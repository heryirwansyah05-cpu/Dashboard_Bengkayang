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X21" i="1"/>
  <c r="Y21" i="1"/>
  <c r="X22" i="1"/>
  <c r="Y22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U16" i="1"/>
  <c r="V16" i="1"/>
  <c r="U17" i="1"/>
  <c r="V17" i="1"/>
  <c r="U18" i="1"/>
  <c r="V18" i="1"/>
  <c r="U19" i="1"/>
  <c r="V19" i="1"/>
  <c r="U20" i="1"/>
  <c r="V20" i="1"/>
  <c r="U21" i="1"/>
  <c r="V21" i="1"/>
  <c r="U22" i="1"/>
  <c r="V22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G6" i="1"/>
  <c r="F6" i="1"/>
  <c r="E7" i="1"/>
  <c r="E8" i="1"/>
  <c r="E17" i="1"/>
  <c r="E18" i="1"/>
  <c r="E19" i="1"/>
  <c r="E20" i="1"/>
  <c r="D7" i="1"/>
  <c r="D8" i="1"/>
  <c r="D9" i="1"/>
  <c r="D10" i="1"/>
  <c r="D11" i="1"/>
  <c r="D12" i="1"/>
  <c r="D13" i="1"/>
  <c r="E13" i="1" s="1"/>
  <c r="D14" i="1"/>
  <c r="E14" i="1" s="1"/>
  <c r="D15" i="1"/>
  <c r="E15" i="1" s="1"/>
  <c r="D16" i="1"/>
  <c r="D17" i="1"/>
  <c r="D18" i="1"/>
  <c r="D19" i="1"/>
  <c r="D20" i="1"/>
  <c r="D21" i="1"/>
  <c r="D22" i="1"/>
  <c r="D6" i="1"/>
  <c r="C7" i="1"/>
  <c r="C8" i="1"/>
  <c r="C9" i="1"/>
  <c r="E9" i="1" s="1"/>
  <c r="C10" i="1"/>
  <c r="E10" i="1" s="1"/>
  <c r="C11" i="1"/>
  <c r="E11" i="1" s="1"/>
  <c r="C12" i="1"/>
  <c r="E12" i="1" s="1"/>
  <c r="C13" i="1"/>
  <c r="C14" i="1"/>
  <c r="C15" i="1"/>
  <c r="C16" i="1"/>
  <c r="E16" i="1" s="1"/>
  <c r="C17" i="1"/>
  <c r="C18" i="1"/>
  <c r="C19" i="1"/>
  <c r="C20" i="1"/>
  <c r="C21" i="1"/>
  <c r="E21" i="1" s="1"/>
  <c r="C22" i="1"/>
  <c r="E22" i="1" s="1"/>
  <c r="C6" i="1"/>
  <c r="E6" i="1" s="1"/>
  <c r="W13" i="1" l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Z16" i="1" l="1"/>
  <c r="Z20" i="1"/>
  <c r="Z22" i="1"/>
  <c r="Z10" i="1"/>
  <c r="Z18" i="1"/>
  <c r="Z15" i="1"/>
  <c r="Z9" i="1"/>
  <c r="T20" i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T15" i="1"/>
  <c r="T17" i="1"/>
  <c r="Z17" i="1" l="1"/>
  <c r="Z11" i="1"/>
  <c r="Z6" i="1"/>
  <c r="Z21" i="1"/>
  <c r="Z19" i="1"/>
  <c r="Z8" i="1"/>
  <c r="Z7" i="1"/>
  <c r="Z12" i="1"/>
  <c r="Z14" i="1"/>
  <c r="Z13" i="1"/>
  <c r="T14" i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</calcChain>
</file>

<file path=xl/sharedStrings.xml><?xml version="1.0" encoding="utf-8"?>
<sst xmlns="http://schemas.openxmlformats.org/spreadsheetml/2006/main" count="1249" uniqueCount="685">
  <si>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</si>
  <si>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</si>
  <si>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</si>
  <si>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</si>
  <si>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</si>
  <si>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</si>
  <si>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</si>
  <si>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</si>
  <si>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</si>
  <si>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</si>
  <si>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</si>
  <si>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</si>
  <si>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</si>
  <si>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</si>
  <si>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</si>
  <si>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</si>
  <si>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</si>
  <si>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</si>
  <si>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</si>
  <si>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</si>
  <si>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</si>
  <si>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</si>
  <si>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</si>
  <si>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</si>
  <si>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</si>
  <si>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</si>
  <si>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</si>
  <si>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</si>
  <si>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</si>
  <si>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</si>
  <si>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</si>
  <si>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</si>
  <si>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</si>
  <si>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</si>
  <si>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</si>
  <si>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</si>
  <si>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</si>
  <si>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</si>
  <si>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</si>
  <si>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</si>
  <si>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</si>
  <si>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</si>
  <si>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</si>
  <si>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</si>
  <si>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</si>
  <si>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</si>
  <si>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</si>
  <si>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</si>
  <si>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</si>
  <si>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</si>
  <si>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</si>
  <si>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</si>
  <si>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</si>
  <si>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</si>
  <si>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</si>
  <si>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</si>
  <si>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</si>
  <si>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</si>
  <si>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</si>
  <si>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</si>
  <si>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</si>
  <si>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</si>
  <si>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</si>
  <si>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</si>
  <si>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</si>
  <si>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</si>
  <si>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</si>
  <si>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</si>
  <si>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</si>
  <si>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</si>
  <si>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</si>
  <si>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</si>
  <si>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</si>
  <si>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</si>
  <si>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</si>
  <si>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</si>
  <si>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</si>
  <si>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</si>
  <si>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</si>
  <si>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</si>
  <si>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</si>
  <si>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</si>
  <si>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</si>
  <si>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</si>
  <si>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</si>
  <si>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</si>
  <si>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</si>
  <si>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</si>
  <si>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</si>
  <si>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</si>
  <si>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</si>
  <si>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</si>
  <si>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</si>
  <si>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</si>
  <si>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</si>
  <si>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</si>
  <si>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</si>
  <si>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</si>
  <si>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</si>
  <si>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</si>
  <si>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</si>
  <si>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</si>
  <si>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</si>
  <si>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</si>
  <si>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</si>
  <si>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</si>
  <si>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</si>
  <si>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</si>
  <si>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</si>
  <si>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</si>
  <si>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</si>
  <si>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</si>
  <si>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</si>
  <si>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</si>
  <si>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</si>
  <si>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</si>
  <si>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</si>
  <si>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</si>
  <si>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</si>
  <si>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</si>
  <si>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</si>
  <si>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</si>
  <si>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</si>
  <si>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</si>
  <si>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</si>
  <si>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</si>
  <si>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</si>
  <si>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</si>
  <si>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</si>
  <si>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</si>
  <si>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</si>
  <si>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</si>
  <si>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</si>
  <si>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</si>
  <si>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</si>
  <si>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</si>
  <si>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</si>
  <si>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</si>
  <si>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</si>
  <si>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</si>
  <si>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</si>
  <si>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</si>
  <si>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</si>
  <si>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</si>
  <si>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</si>
  <si>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</si>
  <si>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</si>
  <si>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</si>
  <si>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</si>
  <si>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</si>
  <si>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</si>
  <si>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</si>
  <si>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</si>
  <si>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</si>
  <si>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</si>
  <si>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</si>
  <si>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</si>
  <si>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</si>
  <si>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</si>
  <si>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</si>
  <si>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</si>
  <si>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</si>
  <si>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</si>
  <si>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</si>
  <si>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</si>
  <si>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</si>
  <si>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</si>
  <si>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</si>
  <si>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</si>
  <si>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</si>
  <si>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</si>
  <si>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</si>
  <si>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</si>
  <si>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</si>
  <si>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</si>
  <si>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</si>
  <si>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</si>
  <si>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</si>
  <si>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</si>
  <si>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</si>
  <si>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</si>
  <si>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</si>
  <si>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</si>
  <si>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</si>
  <si>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</si>
  <si>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</si>
  <si>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</si>
  <si>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</si>
  <si>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</si>
  <si>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</si>
  <si>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</si>
  <si>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</si>
  <si>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</si>
  <si>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</si>
  <si>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</si>
  <si>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</si>
  <si>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</si>
  <si>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</si>
  <si>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</si>
  <si>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</si>
  <si>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</si>
  <si>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</si>
  <si>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</si>
  <si>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</si>
  <si>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</si>
  <si>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</si>
  <si>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</si>
  <si>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</si>
  <si>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</si>
  <si>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</si>
  <si>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</si>
  <si>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</si>
  <si>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</si>
  <si>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</si>
  <si>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</si>
  <si>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</si>
  <si>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</si>
  <si>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</si>
  <si>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</si>
  <si>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</si>
  <si>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</si>
  <si>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</si>
  <si>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</si>
  <si>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</si>
  <si>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</si>
  <si>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</si>
  <si>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</si>
  <si>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</si>
  <si>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</si>
  <si>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</si>
  <si>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</si>
  <si>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</si>
  <si>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</si>
  <si>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</si>
  <si>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</si>
  <si>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</si>
  <si>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</si>
  <si>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</si>
  <si>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</si>
  <si>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</si>
  <si>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</si>
  <si>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</si>
  <si>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</si>
  <si>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</si>
  <si>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</si>
  <si>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</si>
  <si>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</si>
  <si>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</si>
  <si>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</si>
  <si>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</si>
  <si>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</si>
  <si>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</si>
  <si>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</si>
  <si>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</si>
  <si>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</si>
  <si>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</si>
  <si>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</si>
  <si>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</si>
  <si>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</si>
  <si>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</si>
  <si>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</si>
  <si>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</si>
  <si>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</si>
  <si>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</si>
  <si>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</si>
  <si>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</si>
  <si>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</si>
  <si>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</si>
  <si>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</si>
  <si>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</si>
  <si>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</si>
  <si>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</si>
  <si>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</si>
  <si>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</si>
  <si>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</si>
  <si>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</si>
  <si>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</si>
  <si>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</si>
  <si>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</si>
  <si>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</si>
  <si>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</si>
  <si>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</si>
  <si>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</si>
  <si>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</si>
  <si>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</si>
  <si>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</si>
  <si>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</si>
  <si>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</si>
  <si>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</si>
  <si>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</si>
  <si>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</si>
  <si>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</si>
  <si>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</si>
  <si>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</si>
  <si>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</si>
  <si>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</si>
  <si>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</si>
  <si>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</si>
  <si>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</si>
  <si>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</si>
  <si>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</si>
  <si>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</si>
  <si>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</si>
  <si>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</si>
  <si>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</si>
  <si>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</si>
  <si>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</si>
  <si>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</si>
  <si>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</si>
  <si>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</si>
  <si>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</si>
  <si>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</si>
  <si>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</si>
  <si>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</si>
  <si>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</si>
  <si>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</si>
  <si>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</si>
  <si>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</si>
  <si>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</si>
  <si>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</si>
  <si>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</si>
  <si>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</si>
  <si>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</si>
  <si>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</si>
  <si>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</si>
  <si>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</si>
  <si>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</si>
  <si>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</si>
  <si>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</si>
  <si>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</si>
  <si>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</si>
  <si>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</si>
  <si>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</si>
  <si>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</si>
  <si>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</si>
  <si>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</si>
  <si>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</si>
  <si>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</si>
  <si>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</si>
  <si>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</si>
  <si>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</si>
  <si>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</si>
  <si>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</si>
  <si>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</si>
  <si>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</si>
  <si>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</si>
  <si>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</si>
  <si>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</si>
  <si>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</si>
  <si>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</si>
  <si>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</si>
  <si>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</si>
  <si>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</si>
  <si>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</si>
  <si>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</si>
  <si>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</si>
  <si>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</si>
  <si>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</si>
  <si>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</si>
  <si>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</si>
  <si>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</si>
  <si>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</si>
  <si>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</si>
  <si>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</si>
  <si>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</si>
  <si>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</si>
  <si>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</si>
  <si>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</si>
  <si>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</si>
  <si>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</si>
  <si>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</si>
  <si>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</si>
  <si>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</si>
  <si>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</si>
  <si>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</si>
  <si>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</si>
  <si>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</si>
  <si>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</si>
  <si>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</si>
  <si>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</si>
  <si>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</si>
  <si>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</si>
  <si>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</si>
  <si>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</si>
  <si>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</si>
  <si>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</si>
  <si>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</si>
  <si>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</si>
  <si>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</si>
  <si>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</si>
  <si>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</si>
  <si>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</si>
  <si>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</si>
  <si>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</si>
  <si>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</si>
  <si>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</si>
  <si>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</si>
  <si>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</si>
  <si>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</si>
  <si>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</si>
  <si>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</si>
  <si>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</si>
  <si>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</si>
  <si>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</si>
  <si>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</si>
  <si>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</si>
  <si>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</si>
  <si>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</si>
  <si>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</si>
  <si>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</si>
  <si>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</si>
  <si>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</si>
  <si>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</si>
  <si>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</si>
  <si>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</si>
  <si>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</si>
  <si>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</si>
  <si>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</si>
  <si>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</si>
  <si>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</si>
  <si>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</si>
  <si>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</si>
  <si>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</si>
  <si>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</si>
  <si>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</si>
  <si>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</si>
  <si>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</si>
  <si>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</si>
  <si>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</si>
  <si>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</si>
  <si>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</si>
  <si>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</si>
  <si>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</si>
  <si>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</si>
  <si>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</si>
  <si>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</si>
  <si>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</si>
  <si>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</si>
  <si>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</si>
  <si>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</si>
  <si>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</si>
  <si>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</si>
  <si>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</si>
  <si>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</si>
  <si>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</si>
  <si>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</si>
  <si>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</si>
  <si>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</si>
  <si>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</si>
  <si>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</si>
  <si>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</si>
  <si>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</si>
  <si>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</si>
  <si>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</si>
  <si>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</si>
  <si>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</si>
  <si>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</si>
  <si>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</si>
  <si>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</si>
  <si>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</si>
  <si>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</si>
  <si>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</si>
  <si>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</si>
  <si>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</si>
  <si>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</si>
  <si>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</si>
  <si>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</si>
  <si>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</si>
  <si>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</si>
  <si>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</si>
  <si>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</si>
  <si>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</si>
  <si>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</si>
  <si>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</si>
  <si>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</si>
  <si>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</si>
  <si>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</si>
  <si>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</si>
  <si>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</si>
  <si>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</si>
  <si>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</si>
  <si>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</si>
  <si>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</si>
  <si>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</si>
  <si>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</si>
  <si>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</si>
  <si>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</si>
  <si>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</si>
  <si>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</si>
  <si>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</si>
  <si>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</si>
  <si>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</si>
  <si>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</si>
  <si>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</si>
  <si>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</si>
  <si>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</si>
  <si>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</si>
  <si>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</si>
  <si>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</si>
  <si>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</si>
  <si>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</si>
  <si>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</si>
  <si>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</si>
  <si>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</si>
  <si>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</si>
  <si>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</si>
  <si>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</si>
  <si>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</si>
  <si>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</si>
  <si>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</si>
  <si>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</si>
  <si>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</si>
  <si>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</si>
  <si>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</si>
  <si>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</si>
  <si>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</si>
  <si>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</si>
  <si>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</si>
  <si>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</si>
  <si>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</si>
  <si>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</si>
  <si>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</si>
  <si>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</si>
  <si>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</si>
  <si>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</si>
  <si>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</si>
  <si>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</si>
  <si>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</si>
  <si>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</si>
  <si>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</si>
  <si>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</si>
  <si>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</si>
  <si>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</si>
  <si>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</si>
  <si>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</si>
  <si>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</si>
  <si>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</si>
  <si>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</si>
  <si>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</si>
  <si>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</si>
  <si>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</si>
  <si>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</si>
  <si>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</si>
  <si>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</si>
  <si>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</si>
  <si>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</si>
  <si>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</si>
  <si>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</si>
  <si>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</si>
  <si>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</si>
  <si>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</si>
  <si>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</si>
  <si>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</si>
  <si>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</si>
  <si>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</si>
  <si>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</si>
  <si>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</si>
  <si>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</si>
  <si>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</si>
  <si>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</si>
  <si>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</si>
  <si>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</si>
  <si>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</si>
  <si>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</si>
  <si>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</si>
  <si>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</si>
  <si>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</si>
  <si>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</si>
  <si>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</si>
  <si>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</si>
  <si>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</si>
  <si>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</si>
  <si>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</si>
  <si>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</si>
  <si>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</si>
  <si>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</si>
  <si>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</si>
  <si>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</si>
  <si>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</si>
  <si>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</si>
  <si>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</si>
  <si>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</si>
  <si>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</si>
  <si>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</si>
  <si>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</si>
  <si>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</si>
  <si>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</si>
  <si>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</si>
  <si>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</si>
  <si>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</si>
  <si>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</si>
  <si>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</si>
  <si>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</si>
  <si>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</si>
  <si>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</si>
  <si>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</si>
  <si>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</si>
  <si>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</si>
  <si>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</si>
  <si>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</si>
  <si>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</si>
  <si>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</si>
  <si>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</si>
  <si>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</si>
  <si>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</si>
  <si>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</si>
  <si>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</si>
  <si>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</si>
  <si>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</si>
  <si>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</si>
  <si>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</si>
  <si>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</si>
  <si>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</si>
  <si>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</si>
  <si>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</si>
  <si>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</si>
  <si>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</si>
  <si>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</si>
  <si>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</si>
  <si>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</si>
  <si>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</si>
  <si>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</si>
  <si>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</si>
  <si>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</si>
  <si>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</si>
  <si>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</si>
  <si>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</si>
  <si>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</si>
  <si>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</si>
  <si>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</si>
  <si>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</si>
  <si>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</si>
  <si>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</si>
  <si>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</si>
  <si>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</si>
  <si>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</si>
  <si>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</si>
  <si>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</si>
  <si>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</si>
  <si>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</si>
  <si>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</si>
  <si>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</si>
  <si>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</si>
  <si>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</si>
  <si>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</si>
  <si>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</si>
  <si>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</si>
  <si>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</si>
  <si>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</si>
  <si>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</si>
  <si>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</si>
  <si>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</si>
  <si>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</si>
  <si>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</si>
  <si>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</si>
  <si>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</si>
  <si>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</si>
  <si>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</si>
  <si>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</si>
  <si>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</si>
  <si>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</si>
  <si>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</si>
  <si>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</si>
  <si>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</si>
  <si>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</si>
  <si>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Total</t>
  </si>
  <si>
    <t>MURUK RIAN|TANA TIDUNG</t>
  </si>
  <si>
    <t>BUKIT SANTUAI|KOTAWARINGIN TIMUR</t>
  </si>
  <si>
    <t>KAHAYAN HULU UTARA|GUNUNG MAS</t>
  </si>
  <si>
    <t>PURING KENCANA|KAPUAS HULU</t>
  </si>
  <si>
    <t>SP SELL IN MTD</t>
  </si>
  <si>
    <t>SP SELL IN LMTD</t>
  </si>
  <si>
    <t>DD</t>
  </si>
  <si>
    <t>RETTAG_3GB</t>
  </si>
  <si>
    <t>SELLIN_3GB</t>
  </si>
  <si>
    <t>BATANG KAWA|LAMANDAU</t>
  </si>
  <si>
    <t>KATINGAN HULU|KATINGAN</t>
  </si>
  <si>
    <t>KAYAN HILIR|MALINAU</t>
  </si>
  <si>
    <t>KRAYAN TIMUR|NUNUKAN</t>
  </si>
  <si>
    <t>MARATUA|BERAU</t>
  </si>
  <si>
    <t>RUNGAN HULU|GUNUNG MAS</t>
  </si>
  <si>
    <t>SEBANGAU KUALA|PULANG PISAU</t>
  </si>
  <si>
    <t>SIMPANG DUA|KETAPANG</t>
  </si>
  <si>
    <t>SOMPAK|LANDAK</t>
  </si>
  <si>
    <t>TANAH PINOH|MELAWI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</si>
</sst>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8" fillId="0" borderId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22"/>
  <sheetViews>
    <sheetView zoomScale="44" workbookViewId="0">
      <pane xSplit="1" ySplit="5" topLeftCell="T18" activePane="bottomRight" state="frozen"/>
      <selection pane="topRight" activeCell="B1" sqref="B1"/>
      <selection pane="bottomLeft" activeCell="A6" sqref="A6"/>
      <selection pane="bottomRight" activeCell="Y6" sqref="X6:Y22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6" ht="64.5" customHeight="1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  <c r="X5" s="3" t="s">
        <v>670</v>
      </c>
      <c r="Y5" s="3" t="s">
        <v>671</v>
      </c>
      <c r="Z5" s="3" t="s">
        <v>33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316383017.00627351</v>
      </c>
      <c r="D6" s="4">
        <f>IFERROR(VLOOKUP(A:A,MASTER!A:D,4,0),0)</f>
        <v>316739856.08267534</v>
      </c>
      <c r="E6" s="8">
        <f>IFERROR(C6/D6-1,0)</f>
        <v>-1.1265998564723434E-3</v>
      </c>
      <c r="F6" s="4">
        <f>IFERROR(VLOOKUP(A6,MASTER!A:E,5,0),0)</f>
        <v>561711.71171171404</v>
      </c>
      <c r="G6" s="4">
        <f>IFERROR(VLOOKUP(A6,MASTER!A:F,6,0),0)</f>
        <v>2364864.8648648672</v>
      </c>
      <c r="H6" s="8">
        <f>IFERROR(F6/G6-1,0)</f>
        <v>-0.76247619047618975</v>
      </c>
      <c r="I6" s="4">
        <f>IFERROR(VLOOKUP(A6,MASTER!A:O,15,0),0)</f>
        <v>33315045.045045044</v>
      </c>
      <c r="J6" s="4">
        <f>IFERROR(VLOOKUP(A6,MASTER!A:P,16,0),0)</f>
        <v>38258108.108108111</v>
      </c>
      <c r="K6" s="8">
        <f>IFERROR(I6/J6-1,0)</f>
        <v>-0.12920301885015251</v>
      </c>
      <c r="L6" s="4">
        <f>IFERROR(VLOOKUP(A6,MASTER!A:S,19,0),0)</f>
        <v>144512971.17117116</v>
      </c>
      <c r="M6" s="4">
        <f>IFERROR(VLOOKUP(A6,MASTER!A:T,20,0),0)</f>
        <v>152240720.72072071</v>
      </c>
      <c r="N6" s="8">
        <f>IFERROR(L6/M6-1,0)</f>
        <v>-5.0760069401706187E-2</v>
      </c>
      <c r="O6" s="4">
        <f>IFERROR(VLOOKUP(A6,MASTER!A:U,21,0),0)</f>
        <v>34175675.675675675</v>
      </c>
      <c r="P6" s="4">
        <f>IFERROR(VLOOKUP(A6,MASTER!A:V,22,0),0)</f>
        <v>35638918.918918923</v>
      </c>
      <c r="Q6" s="8">
        <f>IFERROR(O6/P6-1,0)</f>
        <v>-4.1057453133531596E-2</v>
      </c>
      <c r="R6" s="4">
        <f>IFERROR(VLOOKUP(A6,MASTER!A:W,23,0),0)</f>
        <v>6777</v>
      </c>
      <c r="S6" s="4">
        <f>IFERROR(VLOOKUP(A6,MASTER!A:X,24,0),0)</f>
        <v>8198</v>
      </c>
      <c r="T6" s="8">
        <f>IFERROR(R6/S6-1,0)</f>
        <v>-0.17333495974627955</v>
      </c>
      <c r="U6" s="11">
        <f>IFERROR(VLOOKUP(A6,MASTER!A:M,13,0),0)</f>
        <v>442</v>
      </c>
      <c r="V6" s="11">
        <f>IFERROR(VLOOKUP(A6,MASTER!A:N,14,0),0)</f>
        <v>344</v>
      </c>
      <c r="W6" s="8">
        <f>IFERROR(U6/V6-1,0)</f>
        <v>0.28488372093023262</v>
      </c>
      <c r="X6" s="11">
        <f>IFERROR(VLOOKUP(A6,MASTER!A:Q,17,0),0)</f>
        <v>172</v>
      </c>
      <c r="Y6" s="11">
        <f>IFERROR(VLOOKUP(A6,MASTER!A:R,18,0),0)</f>
        <v>87</v>
      </c>
      <c r="Z6" s="8">
        <f>IFERROR(X6/Y6-1,0)</f>
        <v>0.97701149425287359</v>
      </c>
    </row>
    <row r="7" spans="1:26" ht="64.5" customHeight="1">
      <c r="A7" s="9" t="s">
        <v>2</v>
      </c>
      <c r="B7" s="1" t="s">
        <v>17</v>
      </c>
      <c r="C7" s="4">
        <f>IFERROR(VLOOKUP(A:A,MASTER!A:C,3,0),0)</f>
        <v>39165752.322177731</v>
      </c>
      <c r="D7" s="4">
        <f>IFERROR(VLOOKUP(A:A,MASTER!A:D,4,0),0)</f>
        <v>29046727.62289241</v>
      </c>
      <c r="E7" s="8">
        <f t="shared" ref="E7:E22" si="0">IFERROR(C7/D7-1,0)</f>
        <v>0.34837055762902125</v>
      </c>
      <c r="F7" s="4">
        <f>IFERROR(VLOOKUP(A7,MASTER!A:E,5,0),0)</f>
        <v>57657.657657657001</v>
      </c>
      <c r="G7" s="4">
        <f>IFERROR(VLOOKUP(A7,MASTER!A:F,6,0),0)</f>
        <v>40540.540540542002</v>
      </c>
      <c r="H7" s="8">
        <f t="shared" ref="H7:H22" si="1">IFERROR(F7/G7-1,0)</f>
        <v>0.42222222222215477</v>
      </c>
      <c r="I7" s="4">
        <f>IFERROR(VLOOKUP(A7,MASTER!A:O,15,0),0)</f>
        <v>324324.32432432403</v>
      </c>
      <c r="J7" s="4">
        <f>IFERROR(VLOOKUP(A7,MASTER!A:P,16,0),0)</f>
        <v>40540.540540542002</v>
      </c>
      <c r="K7" s="8">
        <f t="shared" ref="K7:K22" si="2">IFERROR(I7/J7-1,0)</f>
        <v>6.9999999999997042</v>
      </c>
      <c r="L7" s="4">
        <f>IFERROR(VLOOKUP(A7,MASTER!A:S,19,0),0)</f>
        <v>20354774.774774775</v>
      </c>
      <c r="M7" s="4">
        <f>IFERROR(VLOOKUP(A7,MASTER!A:T,20,0),0)</f>
        <v>16590756.756756756</v>
      </c>
      <c r="N7" s="8">
        <f t="shared" ref="N7:N22" si="3">IFERROR(L7/M7-1,0)</f>
        <v>0.22687440200610998</v>
      </c>
      <c r="O7" s="4">
        <f>IFERROR(VLOOKUP(A7,MASTER!A:U,21,0),0)</f>
        <v>266666.66666666698</v>
      </c>
      <c r="P7" s="4">
        <f>IFERROR(VLOOKUP(A7,MASTER!A:V,22,0),0)</f>
        <v>157657.65765765801</v>
      </c>
      <c r="Q7" s="8">
        <f t="shared" ref="Q7:Q22" si="4">IFERROR(O7/P7-1,0)</f>
        <v>0.69142857142856951</v>
      </c>
      <c r="R7" s="4">
        <f>IFERROR(VLOOKUP(A7,MASTER!A:W,23,0),0)</f>
        <v>1237</v>
      </c>
      <c r="S7" s="4">
        <f>IFERROR(VLOOKUP(A7,MASTER!A:X,24,0),0)</f>
        <v>1076</v>
      </c>
      <c r="T7" s="8">
        <f t="shared" ref="T7:T22" si="5">IFERROR(R7/S7-1,0)</f>
        <v>0.1496282527881041</v>
      </c>
      <c r="U7" s="11">
        <f>IFERROR(VLOOKUP(A7,MASTER!A:M,13,0),0)</f>
        <v>8</v>
      </c>
      <c r="V7" s="11">
        <f>IFERROR(VLOOKUP(A7,MASTER!A:N,14,0),0)</f>
        <v>4</v>
      </c>
      <c r="W7" s="8">
        <f t="shared" ref="W7:W22" si="6">IFERROR(U7/V7-1,0)</f>
        <v>1</v>
      </c>
      <c r="X7" s="11">
        <f>IFERROR(VLOOKUP(A7,MASTER!A:Q,17,0),0)</f>
        <v>6</v>
      </c>
      <c r="Y7" s="11">
        <f>IFERROR(VLOOKUP(A7,MASTER!A:R,18,0),0)</f>
        <v>0</v>
      </c>
      <c r="Z7" s="8">
        <f t="shared" ref="Z7:Z22" si="7">IFERROR(X7/Y7-1,0)</f>
        <v>0</v>
      </c>
    </row>
    <row r="8" spans="1:26" ht="64.5" customHeight="1">
      <c r="A8" s="9" t="s">
        <v>3</v>
      </c>
      <c r="B8" s="1" t="s">
        <v>16</v>
      </c>
      <c r="C8" s="4">
        <f>IFERROR(VLOOKUP(A:A,MASTER!A:C,3,0),0)</f>
        <v>241840307.67857397</v>
      </c>
      <c r="D8" s="4">
        <f>IFERROR(VLOOKUP(A:A,MASTER!A:D,4,0),0)</f>
        <v>235139159.3640655</v>
      </c>
      <c r="E8" s="8">
        <f t="shared" si="0"/>
        <v>2.8498648768804591E-2</v>
      </c>
      <c r="F8" s="4">
        <f>IFERROR(VLOOKUP(A8,MASTER!A:E,5,0),0)</f>
        <v>2684459.4594594608</v>
      </c>
      <c r="G8" s="4">
        <f>IFERROR(VLOOKUP(A8,MASTER!A:F,6,0),0)</f>
        <v>2982882.8828828852</v>
      </c>
      <c r="H8" s="8">
        <f t="shared" si="1"/>
        <v>-0.10004530353367591</v>
      </c>
      <c r="I8" s="4">
        <f>IFERROR(VLOOKUP(A8,MASTER!A:O,15,0),0)</f>
        <v>46986936.936936937</v>
      </c>
      <c r="J8" s="4">
        <f>IFERROR(VLOOKUP(A8,MASTER!A:P,16,0),0)</f>
        <v>40045945.945945941</v>
      </c>
      <c r="K8" s="8">
        <f t="shared" si="2"/>
        <v>0.17332568446154206</v>
      </c>
      <c r="L8" s="4">
        <f>IFERROR(VLOOKUP(A8,MASTER!A:S,19,0),0)</f>
        <v>61369414.414414413</v>
      </c>
      <c r="M8" s="4">
        <f>IFERROR(VLOOKUP(A8,MASTER!A:T,20,0),0)</f>
        <v>66715027.027027026</v>
      </c>
      <c r="N8" s="8">
        <f t="shared" si="3"/>
        <v>-8.0126065308300687E-2</v>
      </c>
      <c r="O8" s="4">
        <f>IFERROR(VLOOKUP(A8,MASTER!A:U,21,0),0)</f>
        <v>45252882.882882878</v>
      </c>
      <c r="P8" s="4">
        <f>IFERROR(VLOOKUP(A8,MASTER!A:V,22,0),0)</f>
        <v>40352072.072072074</v>
      </c>
      <c r="Q8" s="8">
        <f t="shared" si="4"/>
        <v>0.12145128017360696</v>
      </c>
      <c r="R8" s="4">
        <f>IFERROR(VLOOKUP(A8,MASTER!A:W,23,0),0)</f>
        <v>3601</v>
      </c>
      <c r="S8" s="4">
        <f>IFERROR(VLOOKUP(A8,MASTER!A:X,24,0),0)</f>
        <v>3678</v>
      </c>
      <c r="T8" s="8">
        <f t="shared" si="5"/>
        <v>-2.0935290918977723E-2</v>
      </c>
      <c r="U8" s="11">
        <f>IFERROR(VLOOKUP(A8,MASTER!A:M,13,0),0)</f>
        <v>37</v>
      </c>
      <c r="V8" s="11">
        <f>IFERROR(VLOOKUP(A8,MASTER!A:N,14,0),0)</f>
        <v>38</v>
      </c>
      <c r="W8" s="8">
        <f t="shared" si="6"/>
        <v>-2.6315789473684181E-2</v>
      </c>
      <c r="X8" s="11">
        <f>IFERROR(VLOOKUP(A8,MASTER!A:Q,17,0),0)</f>
        <v>122</v>
      </c>
      <c r="Y8" s="11">
        <f>IFERROR(VLOOKUP(A8,MASTER!A:R,18,0),0)</f>
        <v>66</v>
      </c>
      <c r="Z8" s="8">
        <f t="shared" si="7"/>
        <v>0.8484848484848484</v>
      </c>
    </row>
    <row r="9" spans="1:26" ht="64.5" customHeight="1">
      <c r="A9" s="9" t="s">
        <v>4</v>
      </c>
      <c r="B9" s="1" t="s">
        <v>16</v>
      </c>
      <c r="C9" s="4">
        <f>IFERROR(VLOOKUP(A:A,MASTER!A:C,3,0),0)</f>
        <v>143079921.9101347</v>
      </c>
      <c r="D9" s="4">
        <f>IFERROR(VLOOKUP(A:A,MASTER!A:D,4,0),0)</f>
        <v>141489660.35464859</v>
      </c>
      <c r="E9" s="8">
        <f t="shared" si="0"/>
        <v>1.1239418848699501E-2</v>
      </c>
      <c r="F9" s="4">
        <f>IFERROR(VLOOKUP(A9,MASTER!A:E,5,0),0)</f>
        <v>942342.34234234202</v>
      </c>
      <c r="G9" s="4">
        <f>IFERROR(VLOOKUP(A9,MASTER!A:F,6,0),0)</f>
        <v>1817117.117117119</v>
      </c>
      <c r="H9" s="8">
        <f t="shared" si="1"/>
        <v>-0.48140803173029323</v>
      </c>
      <c r="I9" s="4">
        <f>IFERROR(VLOOKUP(A9,MASTER!A:O,15,0),0)</f>
        <v>27768918.918918919</v>
      </c>
      <c r="J9" s="4">
        <f>IFERROR(VLOOKUP(A9,MASTER!A:P,16,0),0)</f>
        <v>26933333.333333336</v>
      </c>
      <c r="K9" s="8">
        <f t="shared" si="2"/>
        <v>3.1024217286593325E-2</v>
      </c>
      <c r="L9" s="4">
        <f>IFERROR(VLOOKUP(A9,MASTER!A:S,19,0),0)</f>
        <v>51683243.24324324</v>
      </c>
      <c r="M9" s="4">
        <f>IFERROR(VLOOKUP(A9,MASTER!A:T,20,0),0)</f>
        <v>49918324.324324317</v>
      </c>
      <c r="N9" s="8">
        <f t="shared" si="3"/>
        <v>3.5356133099582188E-2</v>
      </c>
      <c r="O9" s="4">
        <f>IFERROR(VLOOKUP(A9,MASTER!A:U,21,0),0)</f>
        <v>26064234.234234232</v>
      </c>
      <c r="P9" s="4">
        <f>IFERROR(VLOOKUP(A9,MASTER!A:V,22,0),0)</f>
        <v>32221891.891891889</v>
      </c>
      <c r="Q9" s="8">
        <f t="shared" si="4"/>
        <v>-0.19110167951395585</v>
      </c>
      <c r="R9" s="4">
        <f>IFERROR(VLOOKUP(A9,MASTER!A:W,23,0),0)</f>
        <v>3789</v>
      </c>
      <c r="S9" s="4">
        <f>IFERROR(VLOOKUP(A9,MASTER!A:X,24,0),0)</f>
        <v>3676</v>
      </c>
      <c r="T9" s="8">
        <f t="shared" si="5"/>
        <v>3.0739934711643047E-2</v>
      </c>
      <c r="U9" s="11">
        <f>IFERROR(VLOOKUP(A9,MASTER!A:M,13,0),0)</f>
        <v>13</v>
      </c>
      <c r="V9" s="11">
        <f>IFERROR(VLOOKUP(A9,MASTER!A:N,14,0),0)</f>
        <v>16</v>
      </c>
      <c r="W9" s="8">
        <f t="shared" si="6"/>
        <v>-0.1875</v>
      </c>
      <c r="X9" s="11">
        <f>IFERROR(VLOOKUP(A9,MASTER!A:Q,17,0),0)</f>
        <v>112</v>
      </c>
      <c r="Y9" s="11">
        <f>IFERROR(VLOOKUP(A9,MASTER!A:R,18,0),0)</f>
        <v>49</v>
      </c>
      <c r="Z9" s="8">
        <f t="shared" si="7"/>
        <v>1.2857142857142856</v>
      </c>
    </row>
    <row r="10" spans="1:26" ht="64.5" customHeight="1">
      <c r="A10" s="9" t="s">
        <v>34</v>
      </c>
      <c r="B10" s="1" t="s">
        <v>17</v>
      </c>
      <c r="C10" s="4">
        <f>IFERROR(VLOOKUP(A:A,MASTER!A:C,3,0),0)</f>
        <v>0</v>
      </c>
      <c r="D10" s="4">
        <f>IFERROR(VLOOKUP(A:A,MASTER!A:D,4,0),0)</f>
        <v>0</v>
      </c>
      <c r="E10" s="8">
        <f t="shared" si="0"/>
        <v>0</v>
      </c>
      <c r="F10" s="4">
        <f>IFERROR(VLOOKUP(A10,MASTER!A:E,5,0),0)</f>
        <v>0</v>
      </c>
      <c r="G10" s="4">
        <f>IFERROR(VLOOKUP(A10,MASTER!A:F,6,0),0)</f>
        <v>0</v>
      </c>
      <c r="H10" s="8">
        <f t="shared" si="1"/>
        <v>0</v>
      </c>
      <c r="I10" s="4">
        <f>IFERROR(VLOOKUP(A10,MASTER!A:O,15,0),0)</f>
        <v>0</v>
      </c>
      <c r="J10" s="4">
        <f>IFERROR(VLOOKUP(A10,MASTER!A:P,16,0),0)</f>
        <v>0</v>
      </c>
      <c r="K10" s="8">
        <f t="shared" si="2"/>
        <v>0</v>
      </c>
      <c r="L10" s="4">
        <f>IFERROR(VLOOKUP(A10,MASTER!A:S,19,0),0)</f>
        <v>0</v>
      </c>
      <c r="M10" s="4">
        <f>IFERROR(VLOOKUP(A10,MASTER!A:T,20,0),0)</f>
        <v>0</v>
      </c>
      <c r="N10" s="8">
        <f t="shared" si="3"/>
        <v>0</v>
      </c>
      <c r="O10" s="4">
        <f>IFERROR(VLOOKUP(A10,MASTER!A:U,21,0),0)</f>
        <v>0</v>
      </c>
      <c r="P10" s="4">
        <f>IFERROR(VLOOKUP(A10,MASTER!A:V,22,0),0)</f>
        <v>0</v>
      </c>
      <c r="Q10" s="8">
        <f t="shared" si="4"/>
        <v>0</v>
      </c>
      <c r="R10" s="4">
        <f>IFERROR(VLOOKUP(A10,MASTER!A:W,23,0),0)</f>
        <v>0</v>
      </c>
      <c r="S10" s="4">
        <f>IFERROR(VLOOKUP(A10,MASTER!A:X,24,0),0)</f>
        <v>0</v>
      </c>
      <c r="T10" s="8">
        <f t="shared" si="5"/>
        <v>0</v>
      </c>
      <c r="U10" s="11">
        <f>IFERROR(VLOOKUP(A10,MASTER!A:M,13,0),0)</f>
        <v>0</v>
      </c>
      <c r="V10" s="11">
        <f>IFERROR(VLOOKUP(A10,MASTER!A:N,14,0),0)</f>
        <v>0</v>
      </c>
      <c r="W10" s="8">
        <f t="shared" si="6"/>
        <v>0</v>
      </c>
      <c r="X10" s="11">
        <f>IFERROR(VLOOKUP(A10,MASTER!A:Q,17,0),0)</f>
        <v>0</v>
      </c>
      <c r="Y10" s="11">
        <f>IFERROR(VLOOKUP(A10,MASTER!A:R,18,0),0)</f>
        <v>0</v>
      </c>
      <c r="Z10" s="8">
        <f t="shared" si="7"/>
        <v>0</v>
      </c>
    </row>
    <row r="11" spans="1:26" ht="64.5" customHeight="1">
      <c r="A11" s="9" t="s">
        <v>5</v>
      </c>
      <c r="B11" s="1" t="s">
        <v>16</v>
      </c>
      <c r="C11" s="4">
        <f>IFERROR(VLOOKUP(A:A,MASTER!A:C,3,0),0)</f>
        <v>144454852.31375936</v>
      </c>
      <c r="D11" s="4">
        <f>IFERROR(VLOOKUP(A:A,MASTER!A:D,4,0),0)</f>
        <v>147536561.51752508</v>
      </c>
      <c r="E11" s="8">
        <f t="shared" si="0"/>
        <v>-2.0887766205664571E-2</v>
      </c>
      <c r="F11" s="4">
        <f>IFERROR(VLOOKUP(A11,MASTER!A:E,5,0),0)</f>
        <v>1783333.333333334</v>
      </c>
      <c r="G11" s="4">
        <f>IFERROR(VLOOKUP(A11,MASTER!A:F,6,0),0)</f>
        <v>490090.09009009099</v>
      </c>
      <c r="H11" s="8">
        <f t="shared" si="1"/>
        <v>2.6387867647058769</v>
      </c>
      <c r="I11" s="4">
        <f>IFERROR(VLOOKUP(A11,MASTER!A:O,15,0),0)</f>
        <v>12191621.62162162</v>
      </c>
      <c r="J11" s="4">
        <f>IFERROR(VLOOKUP(A11,MASTER!A:P,16,0),0)</f>
        <v>11866666.666666668</v>
      </c>
      <c r="K11" s="8">
        <f t="shared" si="2"/>
        <v>2.7383844518675815E-2</v>
      </c>
      <c r="L11" s="4">
        <f>IFERROR(VLOOKUP(A11,MASTER!A:S,19,0),0)</f>
        <v>63369729.729729727</v>
      </c>
      <c r="M11" s="4">
        <f>IFERROR(VLOOKUP(A11,MASTER!A:T,20,0),0)</f>
        <v>63166162.162162162</v>
      </c>
      <c r="N11" s="8">
        <f t="shared" si="3"/>
        <v>3.22273129472328E-3</v>
      </c>
      <c r="O11" s="4">
        <f>IFERROR(VLOOKUP(A11,MASTER!A:U,21,0),0)</f>
        <v>11190270.270270271</v>
      </c>
      <c r="P11" s="4">
        <f>IFERROR(VLOOKUP(A11,MASTER!A:V,22,0),0)</f>
        <v>10868468.468468469</v>
      </c>
      <c r="Q11" s="8">
        <f t="shared" si="4"/>
        <v>2.9608753315649938E-2</v>
      </c>
      <c r="R11" s="4">
        <f>IFERROR(VLOOKUP(A11,MASTER!A:W,23,0),0)</f>
        <v>2981</v>
      </c>
      <c r="S11" s="4">
        <f>IFERROR(VLOOKUP(A11,MASTER!A:X,24,0),0)</f>
        <v>3026</v>
      </c>
      <c r="T11" s="8">
        <f t="shared" si="5"/>
        <v>-1.4871116986120314E-2</v>
      </c>
      <c r="U11" s="11">
        <f>IFERROR(VLOOKUP(A11,MASTER!A:M,13,0),0)</f>
        <v>13</v>
      </c>
      <c r="V11" s="11">
        <f>IFERROR(VLOOKUP(A11,MASTER!A:N,14,0),0)</f>
        <v>21</v>
      </c>
      <c r="W11" s="8">
        <f t="shared" si="6"/>
        <v>-0.38095238095238093</v>
      </c>
      <c r="X11" s="11">
        <f>IFERROR(VLOOKUP(A11,MASTER!A:Q,17,0),0)</f>
        <v>86</v>
      </c>
      <c r="Y11" s="11">
        <f>IFERROR(VLOOKUP(A11,MASTER!A:R,18,0),0)</f>
        <v>27</v>
      </c>
      <c r="Z11" s="8">
        <f t="shared" si="7"/>
        <v>2.1851851851851851</v>
      </c>
    </row>
    <row r="12" spans="1:26" ht="64.5" customHeight="1">
      <c r="A12" s="9" t="s">
        <v>6</v>
      </c>
      <c r="B12" s="1" t="s">
        <v>17</v>
      </c>
      <c r="C12" s="4">
        <f>IFERROR(VLOOKUP(A:A,MASTER!A:C,3,0),0)</f>
        <v>554444497.10638607</v>
      </c>
      <c r="D12" s="4">
        <f>IFERROR(VLOOKUP(A:A,MASTER!A:D,4,0),0)</f>
        <v>537297600.11835587</v>
      </c>
      <c r="E12" s="8">
        <f t="shared" si="0"/>
        <v>3.1913220874712822E-2</v>
      </c>
      <c r="F12" s="4">
        <f>IFERROR(VLOOKUP(A12,MASTER!A:E,5,0),0)</f>
        <v>154300598.19819817</v>
      </c>
      <c r="G12" s="4">
        <f>IFERROR(VLOOKUP(A12,MASTER!A:F,6,0),0)</f>
        <v>310127654.05405408</v>
      </c>
      <c r="H12" s="8">
        <f t="shared" si="1"/>
        <v>-0.50246101506541518</v>
      </c>
      <c r="I12" s="4">
        <f>IFERROR(VLOOKUP(A12,MASTER!A:O,15,0),0)</f>
        <v>223172522.52252254</v>
      </c>
      <c r="J12" s="4">
        <f>IFERROR(VLOOKUP(A12,MASTER!A:P,16,0),0)</f>
        <v>195703724.32432431</v>
      </c>
      <c r="K12" s="8">
        <f t="shared" si="2"/>
        <v>0.14035909788142997</v>
      </c>
      <c r="L12" s="4">
        <f>IFERROR(VLOOKUP(A12,MASTER!A:S,19,0),0)</f>
        <v>368740180.18018013</v>
      </c>
      <c r="M12" s="4">
        <f>IFERROR(VLOOKUP(A12,MASTER!A:T,20,0),0)</f>
        <v>365965927.92792791</v>
      </c>
      <c r="N12" s="8">
        <f t="shared" si="3"/>
        <v>7.5806298907656888E-3</v>
      </c>
      <c r="O12" s="4">
        <f>IFERROR(VLOOKUP(A12,MASTER!A:U,21,0),0)</f>
        <v>195276306.3063063</v>
      </c>
      <c r="P12" s="4">
        <f>IFERROR(VLOOKUP(A12,MASTER!A:V,22,0),0)</f>
        <v>164039819.81981981</v>
      </c>
      <c r="Q12" s="8">
        <f t="shared" si="4"/>
        <v>0.19042014628397208</v>
      </c>
      <c r="R12" s="4">
        <f>IFERROR(VLOOKUP(A12,MASTER!A:W,23,0),0)</f>
        <v>13282</v>
      </c>
      <c r="S12" s="4">
        <f>IFERROR(VLOOKUP(A12,MASTER!A:X,24,0),0)</f>
        <v>12977</v>
      </c>
      <c r="T12" s="8">
        <f t="shared" si="5"/>
        <v>2.3503120906218644E-2</v>
      </c>
      <c r="U12" s="11">
        <f>IFERROR(VLOOKUP(A12,MASTER!A:M,13,0),0)</f>
        <v>940</v>
      </c>
      <c r="V12" s="11">
        <f>IFERROR(VLOOKUP(A12,MASTER!A:N,14,0),0)</f>
        <v>724</v>
      </c>
      <c r="W12" s="8">
        <f t="shared" si="6"/>
        <v>0.29834254143646399</v>
      </c>
      <c r="X12" s="11">
        <f>IFERROR(VLOOKUP(A12,MASTER!A:Q,17,0),0)</f>
        <v>437</v>
      </c>
      <c r="Y12" s="11">
        <f>IFERROR(VLOOKUP(A12,MASTER!A:R,18,0),0)</f>
        <v>319</v>
      </c>
      <c r="Z12" s="8">
        <f t="shared" si="7"/>
        <v>0.3699059561128526</v>
      </c>
    </row>
    <row r="13" spans="1:26" ht="64.5" customHeight="1">
      <c r="A13" s="9" t="s">
        <v>7</v>
      </c>
      <c r="B13" s="1" t="s">
        <v>17</v>
      </c>
      <c r="C13" s="4">
        <f>IFERROR(VLOOKUP(A:A,MASTER!A:C,3,0),0)</f>
        <v>119353071.93108429</v>
      </c>
      <c r="D13" s="4">
        <f>IFERROR(VLOOKUP(A:A,MASTER!A:D,4,0),0)</f>
        <v>128270210.19023533</v>
      </c>
      <c r="E13" s="8">
        <f t="shared" si="0"/>
        <v>-6.9518388142704279E-2</v>
      </c>
      <c r="F13" s="4">
        <f>IFERROR(VLOOKUP(A13,MASTER!A:E,5,0),0)</f>
        <v>39189.189189188997</v>
      </c>
      <c r="G13" s="4">
        <f>IFERROR(VLOOKUP(A13,MASTER!A:F,6,0),0)</f>
        <v>277477.47747747903</v>
      </c>
      <c r="H13" s="8">
        <f t="shared" si="1"/>
        <v>-0.85876623376623529</v>
      </c>
      <c r="I13" s="4">
        <f>IFERROR(VLOOKUP(A13,MASTER!A:O,15,0),0)</f>
        <v>26419369.369369373</v>
      </c>
      <c r="J13" s="4">
        <f>IFERROR(VLOOKUP(A13,MASTER!A:P,16,0),0)</f>
        <v>24680630.630630631</v>
      </c>
      <c r="K13" s="8">
        <f t="shared" si="2"/>
        <v>7.0449526382070138E-2</v>
      </c>
      <c r="L13" s="4">
        <f>IFERROR(VLOOKUP(A13,MASTER!A:S,19,0),0)</f>
        <v>81841891.891891882</v>
      </c>
      <c r="M13" s="4">
        <f>IFERROR(VLOOKUP(A13,MASTER!A:T,20,0),0)</f>
        <v>89825684.684684694</v>
      </c>
      <c r="N13" s="8">
        <f t="shared" si="3"/>
        <v>-8.8880956719877391E-2</v>
      </c>
      <c r="O13" s="4">
        <f>IFERROR(VLOOKUP(A13,MASTER!A:U,21,0),0)</f>
        <v>27642072.072072078</v>
      </c>
      <c r="P13" s="4">
        <f>IFERROR(VLOOKUP(A13,MASTER!A:V,22,0),0)</f>
        <v>26442072.072072074</v>
      </c>
      <c r="Q13" s="8">
        <f t="shared" si="4"/>
        <v>4.5382222570500952E-2</v>
      </c>
      <c r="R13" s="4">
        <f>IFERROR(VLOOKUP(A13,MASTER!A:W,23,0),0)</f>
        <v>4761</v>
      </c>
      <c r="S13" s="4">
        <f>IFERROR(VLOOKUP(A13,MASTER!A:X,24,0),0)</f>
        <v>4915</v>
      </c>
      <c r="T13" s="8">
        <f t="shared" si="5"/>
        <v>-3.1332655137334742E-2</v>
      </c>
      <c r="U13" s="11">
        <f>IFERROR(VLOOKUP(A13,MASTER!A:M,13,0),0)</f>
        <v>34</v>
      </c>
      <c r="V13" s="11">
        <f>IFERROR(VLOOKUP(A13,MASTER!A:N,14,0),0)</f>
        <v>47</v>
      </c>
      <c r="W13" s="8">
        <f t="shared" si="6"/>
        <v>-0.27659574468085102</v>
      </c>
      <c r="X13" s="11">
        <f>IFERROR(VLOOKUP(A13,MASTER!A:Q,17,0),0)</f>
        <v>133</v>
      </c>
      <c r="Y13" s="11">
        <f>IFERROR(VLOOKUP(A13,MASTER!A:R,18,0),0)</f>
        <v>154</v>
      </c>
      <c r="Z13" s="8">
        <f t="shared" si="7"/>
        <v>-0.13636363636363635</v>
      </c>
    </row>
    <row r="14" spans="1:26" ht="64.5" customHeight="1">
      <c r="A14" s="9" t="s">
        <v>8</v>
      </c>
      <c r="B14" s="1" t="s">
        <v>16</v>
      </c>
      <c r="C14" s="4">
        <f>IFERROR(VLOOKUP(A:A,MASTER!A:C,3,0),0)</f>
        <v>179204109.95264807</v>
      </c>
      <c r="D14" s="4">
        <f>IFERROR(VLOOKUP(A:A,MASTER!A:D,4,0),0)</f>
        <v>176960980.44488326</v>
      </c>
      <c r="E14" s="8">
        <f t="shared" si="0"/>
        <v>1.2675842449140662E-2</v>
      </c>
      <c r="F14" s="4">
        <f>IFERROR(VLOOKUP(A14,MASTER!A:E,5,0),0)</f>
        <v>1923423.423423426</v>
      </c>
      <c r="G14" s="4">
        <f>IFERROR(VLOOKUP(A14,MASTER!A:F,6,0),0)</f>
        <v>3286486.486486488</v>
      </c>
      <c r="H14" s="8">
        <f t="shared" si="1"/>
        <v>-0.41474780701754332</v>
      </c>
      <c r="I14" s="4">
        <f>IFERROR(VLOOKUP(A14,MASTER!A:O,15,0),0)</f>
        <v>28427477.477477476</v>
      </c>
      <c r="J14" s="4">
        <f>IFERROR(VLOOKUP(A14,MASTER!A:P,16,0),0)</f>
        <v>23289189.189189192</v>
      </c>
      <c r="K14" s="8">
        <f t="shared" si="2"/>
        <v>0.22062976287184233</v>
      </c>
      <c r="L14" s="4">
        <f>IFERROR(VLOOKUP(A14,MASTER!A:S,19,0),0)</f>
        <v>52375945.945945941</v>
      </c>
      <c r="M14" s="4">
        <f>IFERROR(VLOOKUP(A14,MASTER!A:T,20,0),0)</f>
        <v>51591144.144144148</v>
      </c>
      <c r="N14" s="8">
        <f t="shared" si="3"/>
        <v>1.5211947996522035E-2</v>
      </c>
      <c r="O14" s="4">
        <f>IFERROR(VLOOKUP(A14,MASTER!A:U,21,0),0)</f>
        <v>24618738.738738734</v>
      </c>
      <c r="P14" s="4">
        <f>IFERROR(VLOOKUP(A14,MASTER!A:V,22,0),0)</f>
        <v>21432162.162162159</v>
      </c>
      <c r="Q14" s="8">
        <f t="shared" si="4"/>
        <v>0.14868199262706128</v>
      </c>
      <c r="R14" s="4">
        <f>IFERROR(VLOOKUP(A14,MASTER!A:W,23,0),0)</f>
        <v>3560</v>
      </c>
      <c r="S14" s="4">
        <f>IFERROR(VLOOKUP(A14,MASTER!A:X,24,0),0)</f>
        <v>3835</v>
      </c>
      <c r="T14" s="8">
        <f t="shared" si="5"/>
        <v>-7.1707953063885221E-2</v>
      </c>
      <c r="U14" s="11">
        <f>IFERROR(VLOOKUP(A14,MASTER!A:M,13,0),0)</f>
        <v>18</v>
      </c>
      <c r="V14" s="11">
        <f>IFERROR(VLOOKUP(A14,MASTER!A:N,14,0),0)</f>
        <v>9</v>
      </c>
      <c r="W14" s="8">
        <f t="shared" si="6"/>
        <v>1</v>
      </c>
      <c r="X14" s="11">
        <f>IFERROR(VLOOKUP(A14,MASTER!A:Q,17,0),0)</f>
        <v>98</v>
      </c>
      <c r="Y14" s="11">
        <f>IFERROR(VLOOKUP(A14,MASTER!A:R,18,0),0)</f>
        <v>51</v>
      </c>
      <c r="Z14" s="8">
        <f t="shared" si="7"/>
        <v>0.92156862745098045</v>
      </c>
    </row>
    <row r="15" spans="1:26" ht="64.5" customHeight="1">
      <c r="A15" s="9" t="s">
        <v>9</v>
      </c>
      <c r="B15" s="1" t="s">
        <v>16</v>
      </c>
      <c r="C15" s="4">
        <f>IFERROR(VLOOKUP(A:A,MASTER!A:C,3,0),0)</f>
        <v>363638374.77131063</v>
      </c>
      <c r="D15" s="4">
        <f>IFERROR(VLOOKUP(A:A,MASTER!A:D,4,0),0)</f>
        <v>345981933.87672222</v>
      </c>
      <c r="E15" s="8">
        <f t="shared" si="0"/>
        <v>5.1032840636354271E-2</v>
      </c>
      <c r="F15" s="4">
        <f>IFERROR(VLOOKUP(A15,MASTER!A:E,5,0),0)</f>
        <v>7246534.234234239</v>
      </c>
      <c r="G15" s="4">
        <f>IFERROR(VLOOKUP(A15,MASTER!A:F,6,0),0)</f>
        <v>9676219.8198198248</v>
      </c>
      <c r="H15" s="8">
        <f t="shared" si="1"/>
        <v>-0.25109863467641103</v>
      </c>
      <c r="I15" s="4">
        <f>IFERROR(VLOOKUP(A15,MASTER!A:O,15,0),0)</f>
        <v>578699518.91891897</v>
      </c>
      <c r="J15" s="4">
        <f>IFERROR(VLOOKUP(A15,MASTER!A:P,16,0),0)</f>
        <v>463877789.1891892</v>
      </c>
      <c r="K15" s="8">
        <f t="shared" si="2"/>
        <v>0.24752581909650462</v>
      </c>
      <c r="L15" s="4">
        <f>IFERROR(VLOOKUP(A15,MASTER!A:S,19,0),0)</f>
        <v>128603594.5945946</v>
      </c>
      <c r="M15" s="4">
        <f>IFERROR(VLOOKUP(A15,MASTER!A:T,20,0),0)</f>
        <v>125352306.3063063</v>
      </c>
      <c r="N15" s="8">
        <f t="shared" si="3"/>
        <v>2.5937203583183965E-2</v>
      </c>
      <c r="O15" s="4">
        <f>IFERROR(VLOOKUP(A15,MASTER!A:U,21,0),0)</f>
        <v>484910810.8108108</v>
      </c>
      <c r="P15" s="4">
        <f>IFERROR(VLOOKUP(A15,MASTER!A:V,22,0),0)</f>
        <v>390948198.1981982</v>
      </c>
      <c r="Q15" s="8">
        <f t="shared" si="4"/>
        <v>0.24034542951129434</v>
      </c>
      <c r="R15" s="4">
        <f>IFERROR(VLOOKUP(A15,MASTER!A:W,23,0),0)</f>
        <v>7471</v>
      </c>
      <c r="S15" s="4">
        <f>IFERROR(VLOOKUP(A15,MASTER!A:X,24,0),0)</f>
        <v>7910</v>
      </c>
      <c r="T15" s="8">
        <f t="shared" si="5"/>
        <v>-5.549936788874843E-2</v>
      </c>
      <c r="U15" s="11">
        <f>IFERROR(VLOOKUP(A15,MASTER!A:M,13,0),0)</f>
        <v>75</v>
      </c>
      <c r="V15" s="11">
        <f>IFERROR(VLOOKUP(A15,MASTER!A:N,14,0),0)</f>
        <v>59</v>
      </c>
      <c r="W15" s="8">
        <f t="shared" si="6"/>
        <v>0.27118644067796605</v>
      </c>
      <c r="X15" s="11">
        <f>IFERROR(VLOOKUP(A15,MASTER!A:Q,17,0),0)</f>
        <v>237</v>
      </c>
      <c r="Y15" s="11">
        <f>IFERROR(VLOOKUP(A15,MASTER!A:R,18,0),0)</f>
        <v>140</v>
      </c>
      <c r="Z15" s="8">
        <f t="shared" si="7"/>
        <v>0.69285714285714284</v>
      </c>
    </row>
    <row r="16" spans="1:26" ht="64.5" customHeight="1">
      <c r="A16" s="9" t="s">
        <v>35</v>
      </c>
      <c r="B16" s="1" t="s">
        <v>16</v>
      </c>
      <c r="C16" s="4">
        <f>IFERROR(VLOOKUP(A:A,MASTER!A:C,3,0),0)</f>
        <v>0</v>
      </c>
      <c r="D16" s="4">
        <f>IFERROR(VLOOKUP(A:A,MASTER!A:D,4,0),0)</f>
        <v>0</v>
      </c>
      <c r="E16" s="8">
        <f t="shared" si="0"/>
        <v>0</v>
      </c>
      <c r="F16" s="4">
        <f>IFERROR(VLOOKUP(A16,MASTER!A:E,5,0),0)</f>
        <v>0</v>
      </c>
      <c r="G16" s="4">
        <f>IFERROR(VLOOKUP(A16,MASTER!A:F,6,0),0)</f>
        <v>0</v>
      </c>
      <c r="H16" s="8">
        <f t="shared" si="1"/>
        <v>0</v>
      </c>
      <c r="I16" s="4">
        <f>IFERROR(VLOOKUP(A16,MASTER!A:O,15,0),0)</f>
        <v>0</v>
      </c>
      <c r="J16" s="4">
        <f>IFERROR(VLOOKUP(A16,MASTER!A:P,16,0),0)</f>
        <v>0</v>
      </c>
      <c r="K16" s="8">
        <f t="shared" si="2"/>
        <v>0</v>
      </c>
      <c r="L16" s="4">
        <f>IFERROR(VLOOKUP(A16,MASTER!A:S,19,0),0)</f>
        <v>0</v>
      </c>
      <c r="M16" s="4">
        <f>IFERROR(VLOOKUP(A16,MASTER!A:T,20,0),0)</f>
        <v>0</v>
      </c>
      <c r="N16" s="8">
        <f t="shared" si="3"/>
        <v>0</v>
      </c>
      <c r="O16" s="4">
        <f>IFERROR(VLOOKUP(A16,MASTER!A:U,21,0),0)</f>
        <v>0</v>
      </c>
      <c r="P16" s="4">
        <f>IFERROR(VLOOKUP(A16,MASTER!A:V,22,0),0)</f>
        <v>0</v>
      </c>
      <c r="Q16" s="8">
        <f t="shared" si="4"/>
        <v>0</v>
      </c>
      <c r="R16" s="4">
        <f>IFERROR(VLOOKUP(A16,MASTER!A:W,23,0),0)</f>
        <v>0</v>
      </c>
      <c r="S16" s="4">
        <f>IFERROR(VLOOKUP(A16,MASTER!A:X,24,0),0)</f>
        <v>0</v>
      </c>
      <c r="T16" s="8">
        <f t="shared" si="5"/>
        <v>0</v>
      </c>
      <c r="U16" s="11">
        <f>IFERROR(VLOOKUP(A16,MASTER!A:M,13,0),0)</f>
        <v>0</v>
      </c>
      <c r="V16" s="11">
        <f>IFERROR(VLOOKUP(A16,MASTER!A:N,14,0),0)</f>
        <v>0</v>
      </c>
      <c r="W16" s="8">
        <f t="shared" si="6"/>
        <v>0</v>
      </c>
      <c r="X16" s="11">
        <f>IFERROR(VLOOKUP(A16,MASTER!A:Q,17,0),0)</f>
        <v>0</v>
      </c>
      <c r="Y16" s="11">
        <f>IFERROR(VLOOKUP(A16,MASTER!A:R,18,0),0)</f>
        <v>0</v>
      </c>
      <c r="Z16" s="8">
        <f t="shared" si="7"/>
        <v>0</v>
      </c>
    </row>
    <row r="17" spans="1:26" ht="64.5" customHeight="1">
      <c r="A17" s="9" t="s">
        <v>10</v>
      </c>
      <c r="B17" s="1" t="s">
        <v>17</v>
      </c>
      <c r="C17" s="4">
        <f>IFERROR(VLOOKUP(A:A,MASTER!A:C,3,0),0)</f>
        <v>151877669.30633467</v>
      </c>
      <c r="D17" s="4">
        <f>IFERROR(VLOOKUP(A:A,MASTER!A:D,4,0),0)</f>
        <v>145032868.49590403</v>
      </c>
      <c r="E17" s="8">
        <f t="shared" si="0"/>
        <v>4.7194824741565E-2</v>
      </c>
      <c r="F17" s="4">
        <f>IFERROR(VLOOKUP(A17,MASTER!A:E,5,0),0)</f>
        <v>0</v>
      </c>
      <c r="G17" s="4">
        <f>IFERROR(VLOOKUP(A17,MASTER!A:F,6,0),0)</f>
        <v>0</v>
      </c>
      <c r="H17" s="8">
        <f t="shared" si="1"/>
        <v>0</v>
      </c>
      <c r="I17" s="4">
        <f>IFERROR(VLOOKUP(A17,MASTER!A:O,15,0),0)</f>
        <v>0</v>
      </c>
      <c r="J17" s="4">
        <f>IFERROR(VLOOKUP(A17,MASTER!A:P,16,0),0)</f>
        <v>0</v>
      </c>
      <c r="K17" s="8">
        <f t="shared" si="2"/>
        <v>0</v>
      </c>
      <c r="L17" s="4">
        <f>IFERROR(VLOOKUP(A17,MASTER!A:S,19,0),0)</f>
        <v>88015180.180180177</v>
      </c>
      <c r="M17" s="4">
        <f>IFERROR(VLOOKUP(A17,MASTER!A:T,20,0),0)</f>
        <v>87467358.558558553</v>
      </c>
      <c r="N17" s="8">
        <f t="shared" si="3"/>
        <v>6.2631549717471202E-3</v>
      </c>
      <c r="O17" s="4">
        <f>IFERROR(VLOOKUP(A17,MASTER!A:U,21,0),0)</f>
        <v>0</v>
      </c>
      <c r="P17" s="4">
        <f>IFERROR(VLOOKUP(A17,MASTER!A:V,22,0),0)</f>
        <v>19639.639639640001</v>
      </c>
      <c r="Q17" s="8">
        <f t="shared" si="4"/>
        <v>-1</v>
      </c>
      <c r="R17" s="4">
        <f>IFERROR(VLOOKUP(A17,MASTER!A:W,23,0),0)</f>
        <v>3908</v>
      </c>
      <c r="S17" s="4">
        <f>IFERROR(VLOOKUP(A17,MASTER!A:X,24,0),0)</f>
        <v>3604</v>
      </c>
      <c r="T17" s="8">
        <f t="shared" si="5"/>
        <v>8.4350721420643815E-2</v>
      </c>
      <c r="U17" s="11">
        <f>IFERROR(VLOOKUP(A17,MASTER!A:M,13,0),0)</f>
        <v>9</v>
      </c>
      <c r="V17" s="11">
        <f>IFERROR(VLOOKUP(A17,MASTER!A:N,14,0),0)</f>
        <v>23</v>
      </c>
      <c r="W17" s="8">
        <f t="shared" si="6"/>
        <v>-0.60869565217391308</v>
      </c>
      <c r="X17" s="11">
        <f>IFERROR(VLOOKUP(A17,MASTER!A:Q,17,0),0)</f>
        <v>0</v>
      </c>
      <c r="Y17" s="11">
        <f>IFERROR(VLOOKUP(A17,MASTER!A:R,18,0),0)</f>
        <v>0</v>
      </c>
      <c r="Z17" s="8">
        <f t="shared" si="7"/>
        <v>0</v>
      </c>
    </row>
    <row r="18" spans="1:26" ht="64.5" customHeight="1">
      <c r="A18" s="9" t="s">
        <v>11</v>
      </c>
      <c r="B18" s="1" t="s">
        <v>17</v>
      </c>
      <c r="C18" s="4">
        <f>IFERROR(VLOOKUP(A:A,MASTER!A:C,3,0),0)</f>
        <v>119864730.0169666</v>
      </c>
      <c r="D18" s="4">
        <f>IFERROR(VLOOKUP(A:A,MASTER!A:D,4,0),0)</f>
        <v>125262218.99819495</v>
      </c>
      <c r="E18" s="8">
        <f t="shared" si="0"/>
        <v>-4.308952072217509E-2</v>
      </c>
      <c r="F18" s="4">
        <f>IFERROR(VLOOKUP(A18,MASTER!A:E,5,0),0)</f>
        <v>55792117.117117122</v>
      </c>
      <c r="G18" s="4">
        <f>IFERROR(VLOOKUP(A18,MASTER!A:F,6,0),0)</f>
        <v>22743243.243243247</v>
      </c>
      <c r="H18" s="8">
        <f t="shared" si="1"/>
        <v>1.453129332541097</v>
      </c>
      <c r="I18" s="4">
        <f>IFERROR(VLOOKUP(A18,MASTER!A:O,15,0),0)</f>
        <v>7115765.7657657648</v>
      </c>
      <c r="J18" s="4">
        <f>IFERROR(VLOOKUP(A18,MASTER!A:P,16,0),0)</f>
        <v>3080855.855855858</v>
      </c>
      <c r="K18" s="8">
        <f t="shared" si="2"/>
        <v>1.3096717596315499</v>
      </c>
      <c r="L18" s="4">
        <f>IFERROR(VLOOKUP(A18,MASTER!A:S,19,0),0)</f>
        <v>39701261.261261262</v>
      </c>
      <c r="M18" s="4">
        <f>IFERROR(VLOOKUP(A18,MASTER!A:T,20,0),0)</f>
        <v>42502209.459459454</v>
      </c>
      <c r="N18" s="8">
        <f t="shared" si="3"/>
        <v>-6.5901237460839868E-2</v>
      </c>
      <c r="O18" s="4">
        <f>IFERROR(VLOOKUP(A18,MASTER!A:U,21,0),0)</f>
        <v>4207117.1171171153</v>
      </c>
      <c r="P18" s="4">
        <f>IFERROR(VLOOKUP(A18,MASTER!A:V,22,0),0)</f>
        <v>3066756.7567567569</v>
      </c>
      <c r="Q18" s="8">
        <f t="shared" si="4"/>
        <v>0.37184571546076728</v>
      </c>
      <c r="R18" s="4">
        <f>IFERROR(VLOOKUP(A18,MASTER!A:W,23,0),0)</f>
        <v>3878</v>
      </c>
      <c r="S18" s="4">
        <f>IFERROR(VLOOKUP(A18,MASTER!A:X,24,0),0)</f>
        <v>3929</v>
      </c>
      <c r="T18" s="8">
        <f t="shared" si="5"/>
        <v>-1.2980402137948599E-2</v>
      </c>
      <c r="U18" s="11">
        <f>IFERROR(VLOOKUP(A18,MASTER!A:M,13,0),0)</f>
        <v>47</v>
      </c>
      <c r="V18" s="11">
        <f>IFERROR(VLOOKUP(A18,MASTER!A:N,14,0),0)</f>
        <v>35</v>
      </c>
      <c r="W18" s="8">
        <f t="shared" si="6"/>
        <v>0.34285714285714275</v>
      </c>
      <c r="X18" s="11">
        <f>IFERROR(VLOOKUP(A18,MASTER!A:Q,17,0),0)</f>
        <v>44</v>
      </c>
      <c r="Y18" s="11">
        <f>IFERROR(VLOOKUP(A18,MASTER!A:R,18,0),0)</f>
        <v>0</v>
      </c>
      <c r="Z18" s="8">
        <f t="shared" si="7"/>
        <v>0</v>
      </c>
    </row>
    <row r="19" spans="1:26" ht="64.5" customHeight="1">
      <c r="A19" s="9" t="s">
        <v>12</v>
      </c>
      <c r="B19" s="1" t="s">
        <v>17</v>
      </c>
      <c r="C19" s="4">
        <f>IFERROR(VLOOKUP(A:A,MASTER!A:C,3,0),0)</f>
        <v>83716513.732466385</v>
      </c>
      <c r="D19" s="4">
        <f>IFERROR(VLOOKUP(A:A,MASTER!A:D,4,0),0)</f>
        <v>81261094.573664367</v>
      </c>
      <c r="E19" s="8">
        <f t="shared" si="0"/>
        <v>3.0216417483475366E-2</v>
      </c>
      <c r="F19" s="4">
        <f>IFERROR(VLOOKUP(A19,MASTER!A:E,5,0),0)</f>
        <v>64864.864864864001</v>
      </c>
      <c r="G19" s="4">
        <f>IFERROR(VLOOKUP(A19,MASTER!A:F,6,0),0)</f>
        <v>3270270.2702702722</v>
      </c>
      <c r="H19" s="8">
        <f t="shared" si="1"/>
        <v>-0.98016528925619861</v>
      </c>
      <c r="I19" s="4">
        <f>IFERROR(VLOOKUP(A19,MASTER!A:O,15,0),0)</f>
        <v>7714864.8648648644</v>
      </c>
      <c r="J19" s="4">
        <f>IFERROR(VLOOKUP(A19,MASTER!A:P,16,0),0)</f>
        <v>6873873.8738738736</v>
      </c>
      <c r="K19" s="8">
        <f t="shared" si="2"/>
        <v>0.12234600262123196</v>
      </c>
      <c r="L19" s="4">
        <f>IFERROR(VLOOKUP(A19,MASTER!A:S,19,0),0)</f>
        <v>33195486.486486487</v>
      </c>
      <c r="M19" s="4">
        <f>IFERROR(VLOOKUP(A19,MASTER!A:T,20,0),0)</f>
        <v>32259387.387387387</v>
      </c>
      <c r="N19" s="8">
        <f t="shared" si="3"/>
        <v>2.9017882077484458E-2</v>
      </c>
      <c r="O19" s="4">
        <f>IFERROR(VLOOKUP(A19,MASTER!A:U,21,0),0)</f>
        <v>4866216.2162162149</v>
      </c>
      <c r="P19" s="4">
        <f>IFERROR(VLOOKUP(A19,MASTER!A:V,22,0),0)</f>
        <v>8173153.1531531531</v>
      </c>
      <c r="Q19" s="8">
        <f t="shared" si="4"/>
        <v>-0.4046096867353014</v>
      </c>
      <c r="R19" s="4">
        <f>IFERROR(VLOOKUP(A19,MASTER!A:W,23,0),0)</f>
        <v>2776</v>
      </c>
      <c r="S19" s="4">
        <f>IFERROR(VLOOKUP(A19,MASTER!A:X,24,0),0)</f>
        <v>2933</v>
      </c>
      <c r="T19" s="8">
        <f t="shared" si="5"/>
        <v>-5.3528810092055901E-2</v>
      </c>
      <c r="U19" s="11">
        <f>IFERROR(VLOOKUP(A19,MASTER!A:M,13,0),0)</f>
        <v>28</v>
      </c>
      <c r="V19" s="11">
        <f>IFERROR(VLOOKUP(A19,MASTER!A:N,14,0),0)</f>
        <v>14</v>
      </c>
      <c r="W19" s="8">
        <f t="shared" si="6"/>
        <v>1</v>
      </c>
      <c r="X19" s="11">
        <f>IFERROR(VLOOKUP(A19,MASTER!A:Q,17,0),0)</f>
        <v>71</v>
      </c>
      <c r="Y19" s="11">
        <f>IFERROR(VLOOKUP(A19,MASTER!A:R,18,0),0)</f>
        <v>0</v>
      </c>
      <c r="Z19" s="8">
        <f t="shared" si="7"/>
        <v>0</v>
      </c>
    </row>
    <row r="20" spans="1:26" ht="64.5" customHeight="1">
      <c r="A20" s="9" t="s">
        <v>36</v>
      </c>
      <c r="B20" s="1" t="s">
        <v>16</v>
      </c>
      <c r="C20" s="4">
        <f>IFERROR(VLOOKUP(A:A,MASTER!A:C,3,0),0)</f>
        <v>0</v>
      </c>
      <c r="D20" s="4">
        <f>IFERROR(VLOOKUP(A:A,MASTER!A:D,4,0),0)</f>
        <v>0</v>
      </c>
      <c r="E20" s="8">
        <f t="shared" si="0"/>
        <v>0</v>
      </c>
      <c r="F20" s="4">
        <f>IFERROR(VLOOKUP(A20,MASTER!A:E,5,0),0)</f>
        <v>0</v>
      </c>
      <c r="G20" s="4">
        <f>IFERROR(VLOOKUP(A20,MASTER!A:F,6,0),0)</f>
        <v>0</v>
      </c>
      <c r="H20" s="8">
        <f t="shared" si="1"/>
        <v>0</v>
      </c>
      <c r="I20" s="4">
        <f>IFERROR(VLOOKUP(A20,MASTER!A:O,15,0),0)</f>
        <v>0</v>
      </c>
      <c r="J20" s="4">
        <f>IFERROR(VLOOKUP(A20,MASTER!A:P,16,0),0)</f>
        <v>0</v>
      </c>
      <c r="K20" s="8">
        <f t="shared" si="2"/>
        <v>0</v>
      </c>
      <c r="L20" s="4">
        <f>IFERROR(VLOOKUP(A20,MASTER!A:S,19,0),0)</f>
        <v>0</v>
      </c>
      <c r="M20" s="4">
        <f>IFERROR(VLOOKUP(A20,MASTER!A:T,20,0),0)</f>
        <v>0</v>
      </c>
      <c r="N20" s="8">
        <f t="shared" si="3"/>
        <v>0</v>
      </c>
      <c r="O20" s="4">
        <f>IFERROR(VLOOKUP(A20,MASTER!A:U,21,0),0)</f>
        <v>0</v>
      </c>
      <c r="P20" s="4">
        <f>IFERROR(VLOOKUP(A20,MASTER!A:V,22,0),0)</f>
        <v>0</v>
      </c>
      <c r="Q20" s="8">
        <f t="shared" si="4"/>
        <v>0</v>
      </c>
      <c r="R20" s="4">
        <f>IFERROR(VLOOKUP(A20,MASTER!A:W,23,0),0)</f>
        <v>0</v>
      </c>
      <c r="S20" s="4">
        <f>IFERROR(VLOOKUP(A20,MASTER!A:X,24,0),0)</f>
        <v>0</v>
      </c>
      <c r="T20" s="8">
        <f t="shared" si="5"/>
        <v>0</v>
      </c>
      <c r="U20" s="11">
        <f>IFERROR(VLOOKUP(A20,MASTER!A:M,13,0),0)</f>
        <v>0</v>
      </c>
      <c r="V20" s="11">
        <f>IFERROR(VLOOKUP(A20,MASTER!A:N,14,0),0)</f>
        <v>0</v>
      </c>
      <c r="W20" s="8">
        <f t="shared" si="6"/>
        <v>0</v>
      </c>
      <c r="X20" s="11">
        <f>IFERROR(VLOOKUP(A20,MASTER!A:Q,17,0),0)</f>
        <v>0</v>
      </c>
      <c r="Y20" s="11">
        <f>IFERROR(VLOOKUP(A20,MASTER!A:R,18,0),0)</f>
        <v>0</v>
      </c>
      <c r="Z20" s="8">
        <f t="shared" si="7"/>
        <v>0</v>
      </c>
    </row>
    <row r="21" spans="1:26" ht="64.5" customHeight="1">
      <c r="A21" s="9" t="s">
        <v>13</v>
      </c>
      <c r="B21" s="1" t="s">
        <v>16</v>
      </c>
      <c r="C21" s="4">
        <f>IFERROR(VLOOKUP(A:A,MASTER!A:C,3,0),0)</f>
        <v>306329047.86807579</v>
      </c>
      <c r="D21" s="4">
        <f>IFERROR(VLOOKUP(A:A,MASTER!A:D,4,0),0)</f>
        <v>287222959.09212369</v>
      </c>
      <c r="E21" s="8">
        <f t="shared" si="0"/>
        <v>6.6520061057598223E-2</v>
      </c>
      <c r="F21" s="4">
        <f>IFERROR(VLOOKUP(A21,MASTER!A:E,5,0),0)</f>
        <v>858558.55855856405</v>
      </c>
      <c r="G21" s="4">
        <f>IFERROR(VLOOKUP(A21,MASTER!A:F,6,0),0)</f>
        <v>2755855.8558558612</v>
      </c>
      <c r="H21" s="8">
        <f t="shared" si="1"/>
        <v>-0.68846028113762525</v>
      </c>
      <c r="I21" s="4">
        <f>IFERROR(VLOOKUP(A21,MASTER!A:O,15,0),0)</f>
        <v>50531531.531531528</v>
      </c>
      <c r="J21" s="4">
        <f>IFERROR(VLOOKUP(A21,MASTER!A:P,16,0),0)</f>
        <v>56212972.972972974</v>
      </c>
      <c r="K21" s="8">
        <f t="shared" si="2"/>
        <v>-0.10106993352180582</v>
      </c>
      <c r="L21" s="4">
        <f>IFERROR(VLOOKUP(A21,MASTER!A:S,19,0),0)</f>
        <v>176078698.1981982</v>
      </c>
      <c r="M21" s="4">
        <f>IFERROR(VLOOKUP(A21,MASTER!A:T,20,0),0)</f>
        <v>167281099.0990991</v>
      </c>
      <c r="N21" s="8">
        <f t="shared" si="3"/>
        <v>5.2591710279756843E-2</v>
      </c>
      <c r="O21" s="4">
        <f>IFERROR(VLOOKUP(A21,MASTER!A:U,21,0),0)</f>
        <v>57569819.819819823</v>
      </c>
      <c r="P21" s="4">
        <f>IFERROR(VLOOKUP(A21,MASTER!A:V,22,0),0)</f>
        <v>58512745.945945941</v>
      </c>
      <c r="Q21" s="8">
        <f t="shared" si="4"/>
        <v>-1.6114884216802849E-2</v>
      </c>
      <c r="R21" s="4">
        <f>IFERROR(VLOOKUP(A21,MASTER!A:W,23,0),0)</f>
        <v>8363</v>
      </c>
      <c r="S21" s="4">
        <f>IFERROR(VLOOKUP(A21,MASTER!A:X,24,0),0)</f>
        <v>7265</v>
      </c>
      <c r="T21" s="8">
        <f t="shared" si="5"/>
        <v>0.15113558155540252</v>
      </c>
      <c r="U21" s="11">
        <f>IFERROR(VLOOKUP(A21,MASTER!A:M,13,0),0)</f>
        <v>349</v>
      </c>
      <c r="V21" s="11">
        <f>IFERROR(VLOOKUP(A21,MASTER!A:N,14,0),0)</f>
        <v>240</v>
      </c>
      <c r="W21" s="8">
        <f t="shared" si="6"/>
        <v>0.45416666666666661</v>
      </c>
      <c r="X21" s="11">
        <f>IFERROR(VLOOKUP(A21,MASTER!A:Q,17,0),0)</f>
        <v>278</v>
      </c>
      <c r="Y21" s="11">
        <f>IFERROR(VLOOKUP(A21,MASTER!A:R,18,0),0)</f>
        <v>226</v>
      </c>
      <c r="Z21" s="8">
        <f t="shared" si="7"/>
        <v>0.23008849557522115</v>
      </c>
    </row>
    <row r="22" spans="1:26" ht="64.5" customHeight="1">
      <c r="A22" s="9" t="s">
        <v>14</v>
      </c>
      <c r="B22" s="1" t="s">
        <v>16</v>
      </c>
      <c r="C22" s="4">
        <f>IFERROR(VLOOKUP(A:A,MASTER!A:C,3,0),0)</f>
        <v>157217579.18254173</v>
      </c>
      <c r="D22" s="4">
        <f>IFERROR(VLOOKUP(A:A,MASTER!A:D,4,0),0)</f>
        <v>147301344.60131294</v>
      </c>
      <c r="E22" s="8">
        <f t="shared" si="0"/>
        <v>6.7319375855448893E-2</v>
      </c>
      <c r="F22" s="4">
        <f>IFERROR(VLOOKUP(A22,MASTER!A:E,5,0),0)</f>
        <v>690289963.96396387</v>
      </c>
      <c r="G22" s="4">
        <f>IFERROR(VLOOKUP(A22,MASTER!A:F,6,0),0)</f>
        <v>718414136.03603613</v>
      </c>
      <c r="H22" s="8">
        <f t="shared" si="1"/>
        <v>-3.9147576114317406E-2</v>
      </c>
      <c r="I22" s="4">
        <f>IFERROR(VLOOKUP(A22,MASTER!A:O,15,0),0)</f>
        <v>86837572.072072059</v>
      </c>
      <c r="J22" s="4">
        <f>IFERROR(VLOOKUP(A22,MASTER!A:P,16,0),0)</f>
        <v>91532432.432432428</v>
      </c>
      <c r="K22" s="8">
        <f t="shared" si="2"/>
        <v>-5.1291768781803415E-2</v>
      </c>
      <c r="L22" s="4">
        <f>IFERROR(VLOOKUP(A22,MASTER!A:S,19,0),0)</f>
        <v>51103549.54954955</v>
      </c>
      <c r="M22" s="4">
        <f>IFERROR(VLOOKUP(A22,MASTER!A:T,20,0),0)</f>
        <v>49747117.117117122</v>
      </c>
      <c r="N22" s="8">
        <f t="shared" si="3"/>
        <v>2.7266553541968053E-2</v>
      </c>
      <c r="O22" s="4">
        <f>IFERROR(VLOOKUP(A22,MASTER!A:U,21,0),0)</f>
        <v>15444414.414414411</v>
      </c>
      <c r="P22" s="4">
        <f>IFERROR(VLOOKUP(A22,MASTER!A:V,22,0),0)</f>
        <v>33100180.180180181</v>
      </c>
      <c r="Q22" s="8">
        <f t="shared" si="4"/>
        <v>-0.53340391712845536</v>
      </c>
      <c r="R22" s="4">
        <f>IFERROR(VLOOKUP(A22,MASTER!A:W,23,0),0)</f>
        <v>3845</v>
      </c>
      <c r="S22" s="4">
        <f>IFERROR(VLOOKUP(A22,MASTER!A:X,24,0),0)</f>
        <v>3915</v>
      </c>
      <c r="T22" s="8">
        <f t="shared" si="5"/>
        <v>-1.7879948914431676E-2</v>
      </c>
      <c r="U22" s="11">
        <f>IFERROR(VLOOKUP(A22,MASTER!A:M,13,0),0)</f>
        <v>15</v>
      </c>
      <c r="V22" s="11">
        <f>IFERROR(VLOOKUP(A22,MASTER!A:N,14,0),0)</f>
        <v>24</v>
      </c>
      <c r="W22" s="8">
        <f t="shared" si="6"/>
        <v>-0.375</v>
      </c>
      <c r="X22" s="11">
        <f>IFERROR(VLOOKUP(A22,MASTER!A:Q,17,0),0)</f>
        <v>55</v>
      </c>
      <c r="Y22" s="11">
        <f>IFERROR(VLOOKUP(A22,MASTER!A:R,18,0),0)</f>
        <v>43</v>
      </c>
      <c r="Z22" s="8">
        <f t="shared" si="7"/>
        <v>0.27906976744186052</v>
      </c>
    </row>
  </sheetData>
  <autoFilter ref="A5:T22"/>
  <conditionalFormatting sqref="E6:E22">
    <cfRule type="cellIs" dxfId="8" priority="14" operator="lessThan">
      <formula>0</formula>
    </cfRule>
  </conditionalFormatting>
  <conditionalFormatting sqref="H6:H22">
    <cfRule type="cellIs" dxfId="7" priority="8" operator="lessThan">
      <formula>0</formula>
    </cfRule>
  </conditionalFormatting>
  <conditionalFormatting sqref="K6:K22">
    <cfRule type="cellIs" dxfId="6" priority="7" operator="lessThan">
      <formula>0</formula>
    </cfRule>
  </conditionalFormatting>
  <conditionalFormatting sqref="N6:N22">
    <cfRule type="cellIs" dxfId="5" priority="6" operator="lessThan">
      <formula>0</formula>
    </cfRule>
  </conditionalFormatting>
  <conditionalFormatting sqref="Q6:Q22">
    <cfRule type="cellIs" dxfId="4" priority="5" operator="lessThan">
      <formula>0</formula>
    </cfRule>
  </conditionalFormatting>
  <conditionalFormatting sqref="T6:T22">
    <cfRule type="cellIs" dxfId="3" priority="4" operator="lessThan">
      <formula>0</formula>
    </cfRule>
  </conditionalFormatting>
  <conditionalFormatting sqref="W6:W22">
    <cfRule type="cellIs" dxfId="2" priority="3" operator="lessThan">
      <formula>0</formula>
    </cfRule>
  </conditionalFormatting>
  <conditionalFormatting sqref="Z7:Z22">
    <cfRule type="cellIs" dxfId="1" priority="2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74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3" sqref="A3:X574"/>
    </sheetView>
  </sheetViews>
  <sheetFormatPr defaultRowHeight="14.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4">
      <c r="L1" s="7"/>
      <c r="M1" s="7"/>
    </row>
    <row r="2" spans="1:24">
      <c r="A2" s="7" t="s">
        <v>37</v>
      </c>
      <c r="B2" s="10" t="s">
        <v>672</v>
      </c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673</v>
      </c>
      <c r="J2" s="7" t="s">
        <v>673</v>
      </c>
      <c r="K2" s="7" t="s">
        <v>664</v>
      </c>
      <c r="L2" s="7" t="s">
        <v>664</v>
      </c>
      <c r="M2" s="7" t="s">
        <v>41</v>
      </c>
      <c r="N2" s="7" t="s">
        <v>41</v>
      </c>
      <c r="O2" s="7" t="s">
        <v>42</v>
      </c>
      <c r="P2" s="7" t="s">
        <v>42</v>
      </c>
      <c r="Q2" s="7" t="s">
        <v>674</v>
      </c>
      <c r="R2" s="7" t="s">
        <v>674</v>
      </c>
      <c r="S2" s="7" t="s">
        <v>43</v>
      </c>
      <c r="T2" s="7" t="s">
        <v>43</v>
      </c>
      <c r="U2" s="7" t="s">
        <v>44</v>
      </c>
      <c r="V2" s="7" t="s">
        <v>44</v>
      </c>
      <c r="W2" s="7" t="s">
        <v>30</v>
      </c>
      <c r="X2" s="7" t="s">
        <v>30</v>
      </c>
    </row>
    <row r="3" spans="1:24">
      <c r="A3" s="15" t="s">
        <v>45</v>
      </c>
      <c r="B3" s="15" t="s">
        <v>46</v>
      </c>
      <c r="C3" s="15" t="s">
        <v>31</v>
      </c>
      <c r="D3" s="15" t="s">
        <v>32</v>
      </c>
      <c r="E3" s="15" t="s">
        <v>31</v>
      </c>
      <c r="F3" s="15" t="s">
        <v>32</v>
      </c>
      <c r="G3" s="15" t="s">
        <v>31</v>
      </c>
      <c r="H3" s="15" t="s">
        <v>32</v>
      </c>
      <c r="I3" s="15" t="s">
        <v>31</v>
      </c>
      <c r="J3" s="15" t="s">
        <v>32</v>
      </c>
      <c r="K3" s="15" t="s">
        <v>31</v>
      </c>
      <c r="L3" s="15" t="s">
        <v>32</v>
      </c>
      <c r="M3" s="15" t="s">
        <v>31</v>
      </c>
      <c r="N3" s="15" t="s">
        <v>32</v>
      </c>
      <c r="O3" s="15" t="s">
        <v>31</v>
      </c>
      <c r="P3" s="15" t="s">
        <v>32</v>
      </c>
      <c r="Q3" s="15" t="s">
        <v>31</v>
      </c>
      <c r="R3" s="15" t="s">
        <v>32</v>
      </c>
      <c r="S3" s="15" t="s">
        <v>31</v>
      </c>
      <c r="T3" s="15" t="s">
        <v>32</v>
      </c>
      <c r="U3" s="15" t="s">
        <v>31</v>
      </c>
      <c r="V3" s="15" t="s">
        <v>32</v>
      </c>
      <c r="W3" s="15" t="s">
        <v>31</v>
      </c>
      <c r="X3" s="15" t="s">
        <v>32</v>
      </c>
    </row>
    <row r="4" spans="1:24">
      <c r="A4" s="7" t="s">
        <v>47</v>
      </c>
      <c r="B4" s="16" t="s">
        <v>48</v>
      </c>
      <c r="C4">
        <v>418236562.34786206</v>
      </c>
      <c r="D4">
        <v>456142911.5453822</v>
      </c>
      <c r="E4">
        <v>10496171.171171172</v>
      </c>
      <c r="F4">
        <v>59585360.360360362</v>
      </c>
      <c r="G4">
        <v>19</v>
      </c>
      <c r="H4">
        <v>51</v>
      </c>
      <c r="I4">
        <v>5</v>
      </c>
      <c r="J4">
        <v>5</v>
      </c>
      <c r="M4">
        <v>26</v>
      </c>
      <c r="N4">
        <v>82</v>
      </c>
      <c r="O4">
        <v>16215495.495495493</v>
      </c>
      <c r="P4">
        <v>33087927.927927926</v>
      </c>
      <c r="S4">
        <v>51641711.711711712</v>
      </c>
      <c r="T4">
        <v>56146277.477477483</v>
      </c>
      <c r="U4">
        <v>7198828.8288288256</v>
      </c>
      <c r="V4">
        <v>30254414.414414413</v>
      </c>
      <c r="W4">
        <v>8293</v>
      </c>
      <c r="X4">
        <v>8401</v>
      </c>
    </row>
    <row r="5" spans="1:24">
      <c r="A5" s="7" t="s">
        <v>49</v>
      </c>
      <c r="B5" s="16" t="s">
        <v>50</v>
      </c>
      <c r="C5">
        <v>725374271.99728227</v>
      </c>
      <c r="D5">
        <v>684342335.83315301</v>
      </c>
      <c r="E5">
        <v>5333963.9639639752</v>
      </c>
      <c r="F5">
        <v>8481081.0810810886</v>
      </c>
      <c r="G5">
        <v>419</v>
      </c>
      <c r="H5">
        <v>494</v>
      </c>
      <c r="I5">
        <v>38</v>
      </c>
      <c r="J5">
        <v>28</v>
      </c>
      <c r="K5">
        <v>10</v>
      </c>
      <c r="M5">
        <v>470</v>
      </c>
      <c r="N5">
        <v>841</v>
      </c>
      <c r="O5">
        <v>173501801.8018018</v>
      </c>
      <c r="P5">
        <v>132512792.7927928</v>
      </c>
      <c r="Q5">
        <v>373</v>
      </c>
      <c r="R5">
        <v>788</v>
      </c>
      <c r="S5">
        <v>218029599.0990991</v>
      </c>
      <c r="T5">
        <v>220565121.62162164</v>
      </c>
      <c r="U5">
        <v>166977297.29729727</v>
      </c>
      <c r="V5">
        <v>128190990.990991</v>
      </c>
      <c r="W5">
        <v>20429</v>
      </c>
      <c r="X5">
        <v>19737</v>
      </c>
    </row>
    <row r="6" spans="1:24">
      <c r="A6" s="7" t="s">
        <v>51</v>
      </c>
      <c r="B6" s="16" t="s">
        <v>52</v>
      </c>
      <c r="C6">
        <v>170350736.1907298</v>
      </c>
      <c r="D6">
        <v>173461804.8005659</v>
      </c>
      <c r="E6">
        <v>1952027.027027027</v>
      </c>
      <c r="F6">
        <v>4262162.1621621614</v>
      </c>
      <c r="G6">
        <v>30</v>
      </c>
      <c r="H6">
        <v>91</v>
      </c>
      <c r="I6">
        <v>7</v>
      </c>
      <c r="J6">
        <v>9</v>
      </c>
      <c r="M6">
        <v>31</v>
      </c>
      <c r="N6">
        <v>100</v>
      </c>
      <c r="O6">
        <v>45071621.621621616</v>
      </c>
      <c r="P6">
        <v>56048198.198198199</v>
      </c>
      <c r="Q6">
        <v>174</v>
      </c>
      <c r="R6">
        <v>216</v>
      </c>
      <c r="S6">
        <v>60119036.036036029</v>
      </c>
      <c r="T6">
        <v>58203549.54954955</v>
      </c>
      <c r="U6">
        <v>14064684.684684685</v>
      </c>
      <c r="V6">
        <v>51143063.063063063</v>
      </c>
      <c r="W6">
        <v>4637</v>
      </c>
      <c r="X6">
        <v>4359</v>
      </c>
    </row>
    <row r="7" spans="1:24">
      <c r="A7" s="7" t="s">
        <v>53</v>
      </c>
      <c r="B7" s="16" t="s">
        <v>54</v>
      </c>
      <c r="C7">
        <v>94994199.349596262</v>
      </c>
      <c r="D7">
        <v>93881671.553856894</v>
      </c>
      <c r="E7">
        <v>863513.513513515</v>
      </c>
      <c r="F7">
        <v>753153.153153155</v>
      </c>
      <c r="G7">
        <v>26</v>
      </c>
      <c r="H7">
        <v>24</v>
      </c>
      <c r="I7">
        <v>4</v>
      </c>
      <c r="J7">
        <v>3</v>
      </c>
      <c r="M7">
        <v>29</v>
      </c>
      <c r="N7">
        <v>40</v>
      </c>
      <c r="O7">
        <v>10718918.918918915</v>
      </c>
      <c r="P7">
        <v>8930360.3603603598</v>
      </c>
      <c r="Q7">
        <v>92</v>
      </c>
      <c r="R7">
        <v>86</v>
      </c>
      <c r="S7">
        <v>31646630.630630631</v>
      </c>
      <c r="T7">
        <v>30003957.207207207</v>
      </c>
      <c r="U7">
        <v>10612972.972972974</v>
      </c>
      <c r="V7">
        <v>9247477.4774774797</v>
      </c>
      <c r="W7">
        <v>3774</v>
      </c>
      <c r="X7">
        <v>3647</v>
      </c>
    </row>
    <row r="8" spans="1:24">
      <c r="A8" s="7" t="s">
        <v>55</v>
      </c>
      <c r="B8" s="16" t="s">
        <v>54</v>
      </c>
      <c r="C8">
        <v>156654352.55827329</v>
      </c>
      <c r="D8">
        <v>153830272.80247003</v>
      </c>
      <c r="E8">
        <v>572522.52252252505</v>
      </c>
      <c r="F8">
        <v>2914414.414414417</v>
      </c>
      <c r="G8">
        <v>50</v>
      </c>
      <c r="H8">
        <v>62</v>
      </c>
      <c r="I8">
        <v>8</v>
      </c>
      <c r="J8">
        <v>12</v>
      </c>
      <c r="M8">
        <v>75</v>
      </c>
      <c r="N8">
        <v>122</v>
      </c>
      <c r="O8">
        <v>43512162.162162162</v>
      </c>
      <c r="P8">
        <v>26373153.153153155</v>
      </c>
      <c r="Q8">
        <v>156</v>
      </c>
      <c r="R8">
        <v>129</v>
      </c>
      <c r="S8">
        <v>40432369.369369373</v>
      </c>
      <c r="T8">
        <v>44436360.360360362</v>
      </c>
      <c r="U8">
        <v>37650540.540540539</v>
      </c>
      <c r="V8">
        <v>49295405.40540541</v>
      </c>
      <c r="W8">
        <v>4335</v>
      </c>
      <c r="X8">
        <v>4493</v>
      </c>
    </row>
    <row r="9" spans="1:24">
      <c r="A9" s="7" t="s">
        <v>56</v>
      </c>
      <c r="B9" s="16" t="s">
        <v>54</v>
      </c>
      <c r="C9">
        <v>78845865.947571799</v>
      </c>
      <c r="D9">
        <v>75436881.147490561</v>
      </c>
      <c r="E9">
        <v>687567.56756756897</v>
      </c>
      <c r="F9">
        <v>1181981.9819819829</v>
      </c>
      <c r="G9">
        <v>13</v>
      </c>
      <c r="H9">
        <v>19</v>
      </c>
      <c r="I9">
        <v>3</v>
      </c>
      <c r="J9">
        <v>3</v>
      </c>
      <c r="M9">
        <v>16</v>
      </c>
      <c r="N9">
        <v>21</v>
      </c>
      <c r="O9">
        <v>6247027.027027024</v>
      </c>
      <c r="P9">
        <v>7953873.8738738745</v>
      </c>
      <c r="Q9">
        <v>54</v>
      </c>
      <c r="R9">
        <v>49</v>
      </c>
      <c r="S9">
        <v>23871169.369369369</v>
      </c>
      <c r="T9">
        <v>23077369.369369369</v>
      </c>
      <c r="U9">
        <v>5380270.2702702694</v>
      </c>
      <c r="V9">
        <v>7289819.819819822</v>
      </c>
      <c r="W9">
        <v>2037</v>
      </c>
      <c r="X9">
        <v>2067</v>
      </c>
    </row>
    <row r="10" spans="1:24">
      <c r="A10" s="7" t="s">
        <v>57</v>
      </c>
      <c r="B10" s="16" t="s">
        <v>58</v>
      </c>
      <c r="C10">
        <v>203535850.63586098</v>
      </c>
      <c r="D10">
        <v>205070720.17830226</v>
      </c>
      <c r="E10">
        <v>1809909.909909911</v>
      </c>
      <c r="F10">
        <v>148648.648648651</v>
      </c>
      <c r="G10">
        <v>59</v>
      </c>
      <c r="H10">
        <v>68</v>
      </c>
      <c r="I10">
        <v>1</v>
      </c>
      <c r="J10">
        <v>2</v>
      </c>
      <c r="M10">
        <v>67</v>
      </c>
      <c r="N10">
        <v>76</v>
      </c>
      <c r="O10">
        <v>4710810.8108108109</v>
      </c>
      <c r="P10">
        <v>3572072.072072072</v>
      </c>
      <c r="Q10">
        <v>2</v>
      </c>
      <c r="S10">
        <v>36355675.675675675</v>
      </c>
      <c r="T10">
        <v>38128108.108108111</v>
      </c>
      <c r="U10">
        <v>4554774.7747747749</v>
      </c>
      <c r="V10">
        <v>3591891.891891893</v>
      </c>
      <c r="W10">
        <v>5533</v>
      </c>
      <c r="X10">
        <v>5738</v>
      </c>
    </row>
    <row r="11" spans="1:24">
      <c r="A11" s="7" t="s">
        <v>59</v>
      </c>
      <c r="B11" s="16" t="s">
        <v>60</v>
      </c>
      <c r="C11">
        <v>86781881.190966368</v>
      </c>
      <c r="D11">
        <v>86462546.383953229</v>
      </c>
      <c r="E11">
        <v>203243.24324324401</v>
      </c>
      <c r="F11">
        <v>711711.71171171404</v>
      </c>
      <c r="G11">
        <v>16</v>
      </c>
      <c r="H11">
        <v>38</v>
      </c>
      <c r="I11">
        <v>3</v>
      </c>
      <c r="J11">
        <v>5</v>
      </c>
      <c r="M11">
        <v>18</v>
      </c>
      <c r="N11">
        <v>76</v>
      </c>
      <c r="O11">
        <v>11572612.612612611</v>
      </c>
      <c r="P11">
        <v>13045045.045045046</v>
      </c>
      <c r="Q11">
        <v>88</v>
      </c>
      <c r="R11">
        <v>59</v>
      </c>
      <c r="S11">
        <v>40829000</v>
      </c>
      <c r="T11">
        <v>40741270.270270273</v>
      </c>
      <c r="U11">
        <v>8533423.4234234225</v>
      </c>
      <c r="V11">
        <v>10041351.351351352</v>
      </c>
      <c r="W11">
        <v>2821</v>
      </c>
      <c r="X11">
        <v>2974</v>
      </c>
    </row>
    <row r="12" spans="1:24">
      <c r="A12" s="7" t="s">
        <v>61</v>
      </c>
      <c r="B12" s="16" t="s">
        <v>62</v>
      </c>
      <c r="C12">
        <v>412313910.64365214</v>
      </c>
      <c r="D12">
        <v>397687298.76421344</v>
      </c>
      <c r="E12">
        <v>71859684.684684694</v>
      </c>
      <c r="F12">
        <v>104333783.78378379</v>
      </c>
      <c r="G12">
        <v>90</v>
      </c>
      <c r="H12">
        <v>47</v>
      </c>
      <c r="I12">
        <v>9</v>
      </c>
      <c r="J12">
        <v>21</v>
      </c>
      <c r="M12">
        <v>100</v>
      </c>
      <c r="N12">
        <v>52</v>
      </c>
      <c r="O12">
        <v>11498558.558558561</v>
      </c>
      <c r="P12">
        <v>66769459.459459461</v>
      </c>
      <c r="Q12">
        <v>64</v>
      </c>
      <c r="R12">
        <v>187</v>
      </c>
      <c r="S12">
        <v>44145045.045045048</v>
      </c>
      <c r="T12">
        <v>41507709.909909911</v>
      </c>
      <c r="U12">
        <v>10591891.891891895</v>
      </c>
      <c r="V12">
        <v>61247747.747747742</v>
      </c>
      <c r="W12">
        <v>8799</v>
      </c>
      <c r="X12">
        <v>8741</v>
      </c>
    </row>
    <row r="13" spans="1:24">
      <c r="A13" s="7" t="s">
        <v>63</v>
      </c>
      <c r="B13" s="16" t="s">
        <v>50</v>
      </c>
      <c r="C13">
        <v>210785617.29106009</v>
      </c>
      <c r="D13">
        <v>213084307.66453546</v>
      </c>
      <c r="E13">
        <v>679279.27927927999</v>
      </c>
      <c r="F13">
        <v>2384684.6846846868</v>
      </c>
      <c r="G13">
        <v>38</v>
      </c>
      <c r="H13">
        <v>73</v>
      </c>
      <c r="I13">
        <v>11</v>
      </c>
      <c r="J13">
        <v>23</v>
      </c>
      <c r="M13">
        <v>44</v>
      </c>
      <c r="N13">
        <v>111</v>
      </c>
      <c r="O13">
        <v>77230360.360360369</v>
      </c>
      <c r="P13">
        <v>52112252.252252251</v>
      </c>
      <c r="Q13">
        <v>84</v>
      </c>
      <c r="R13">
        <v>226</v>
      </c>
      <c r="S13">
        <v>80484387.387387395</v>
      </c>
      <c r="T13">
        <v>81510324.324324325</v>
      </c>
      <c r="U13">
        <v>78076396.396396399</v>
      </c>
      <c r="V13">
        <v>51036756.756756753</v>
      </c>
      <c r="W13">
        <v>5398</v>
      </c>
      <c r="X13">
        <v>6822</v>
      </c>
    </row>
    <row r="14" spans="1:24">
      <c r="A14" s="7" t="s">
        <v>64</v>
      </c>
      <c r="B14" s="16" t="s">
        <v>50</v>
      </c>
      <c r="C14">
        <v>220369986.6963225</v>
      </c>
      <c r="D14">
        <v>216633854.13731501</v>
      </c>
      <c r="E14">
        <v>1603153.1531531529</v>
      </c>
      <c r="F14">
        <v>3220720.7207207219</v>
      </c>
      <c r="G14">
        <v>34</v>
      </c>
      <c r="H14">
        <v>51</v>
      </c>
      <c r="I14">
        <v>3</v>
      </c>
      <c r="J14">
        <v>13</v>
      </c>
      <c r="M14">
        <v>40</v>
      </c>
      <c r="N14">
        <v>69</v>
      </c>
      <c r="O14">
        <v>54901711.711711712</v>
      </c>
      <c r="P14">
        <v>24790810.810810808</v>
      </c>
      <c r="Q14">
        <v>236</v>
      </c>
      <c r="R14">
        <v>91</v>
      </c>
      <c r="S14">
        <v>83696864.864864871</v>
      </c>
      <c r="T14">
        <v>83170306.306306303</v>
      </c>
      <c r="U14">
        <v>53323963.963963971</v>
      </c>
      <c r="V14">
        <v>22578738.738738734</v>
      </c>
      <c r="W14">
        <v>5734</v>
      </c>
      <c r="X14">
        <v>5495</v>
      </c>
    </row>
    <row r="15" spans="1:24">
      <c r="A15" s="7" t="s">
        <v>65</v>
      </c>
      <c r="B15" s="16" t="s">
        <v>66</v>
      </c>
      <c r="C15">
        <v>228163586.35933253</v>
      </c>
      <c r="D15">
        <v>220285489.07808077</v>
      </c>
      <c r="E15">
        <v>1611801.801801804</v>
      </c>
      <c r="F15">
        <v>3679279.2792792828</v>
      </c>
      <c r="G15">
        <v>101</v>
      </c>
      <c r="H15">
        <v>59</v>
      </c>
      <c r="I15">
        <v>13</v>
      </c>
      <c r="J15">
        <v>7</v>
      </c>
      <c r="M15">
        <v>113</v>
      </c>
      <c r="N15">
        <v>74</v>
      </c>
      <c r="O15">
        <v>48523423.423423424</v>
      </c>
      <c r="P15">
        <v>86000990.990990996</v>
      </c>
      <c r="Q15">
        <v>409</v>
      </c>
      <c r="R15">
        <v>12</v>
      </c>
      <c r="S15">
        <v>113724630.63063063</v>
      </c>
      <c r="T15">
        <v>112433108.10810812</v>
      </c>
      <c r="U15">
        <v>48431711.711711712</v>
      </c>
      <c r="V15">
        <v>71253423.423423424</v>
      </c>
      <c r="W15">
        <v>5839</v>
      </c>
      <c r="X15">
        <v>5427</v>
      </c>
    </row>
    <row r="16" spans="1:24">
      <c r="A16" s="7" t="s">
        <v>67</v>
      </c>
      <c r="B16" s="16" t="s">
        <v>68</v>
      </c>
      <c r="C16">
        <v>133597465.3389612</v>
      </c>
      <c r="D16">
        <v>127757509.23391536</v>
      </c>
      <c r="E16">
        <v>313063.06306306401</v>
      </c>
      <c r="F16">
        <v>1203603.603603604</v>
      </c>
      <c r="G16">
        <v>52</v>
      </c>
      <c r="H16">
        <v>51</v>
      </c>
      <c r="I16">
        <v>4</v>
      </c>
      <c r="J16">
        <v>4</v>
      </c>
      <c r="M16">
        <v>60</v>
      </c>
      <c r="N16">
        <v>59</v>
      </c>
      <c r="O16">
        <v>18830675.675675675</v>
      </c>
      <c r="P16">
        <v>23402252.252252251</v>
      </c>
      <c r="Q16">
        <v>55</v>
      </c>
      <c r="R16">
        <v>76</v>
      </c>
      <c r="S16">
        <v>35241981.981981985</v>
      </c>
      <c r="T16">
        <v>35211279.279279277</v>
      </c>
      <c r="U16">
        <v>16703963.963963963</v>
      </c>
      <c r="V16">
        <v>15661261.26126126</v>
      </c>
      <c r="W16">
        <v>3604</v>
      </c>
      <c r="X16">
        <v>3239</v>
      </c>
    </row>
    <row r="17" spans="1:24">
      <c r="A17" s="7" t="s">
        <v>69</v>
      </c>
      <c r="B17" s="16" t="s">
        <v>70</v>
      </c>
      <c r="C17">
        <v>9887677.1859785914</v>
      </c>
      <c r="D17">
        <v>10070369.345358295</v>
      </c>
      <c r="E17">
        <v>25675.675675676001</v>
      </c>
      <c r="F17">
        <v>116216.216216217</v>
      </c>
      <c r="G17">
        <v>2</v>
      </c>
      <c r="H17">
        <v>3</v>
      </c>
      <c r="I17">
        <v>0</v>
      </c>
      <c r="J17">
        <v>2</v>
      </c>
      <c r="M17">
        <v>2</v>
      </c>
      <c r="N17">
        <v>3</v>
      </c>
      <c r="O17">
        <v>302702.70270270301</v>
      </c>
      <c r="P17">
        <v>404504.50450450502</v>
      </c>
      <c r="Q17">
        <v>2</v>
      </c>
      <c r="R17">
        <v>4</v>
      </c>
      <c r="S17">
        <v>1993738.7387387389</v>
      </c>
      <c r="T17">
        <v>3024675.6756756762</v>
      </c>
      <c r="U17">
        <v>298828.828828828</v>
      </c>
      <c r="V17">
        <v>390540.54054054001</v>
      </c>
      <c r="W17">
        <v>535</v>
      </c>
      <c r="X17">
        <v>270</v>
      </c>
    </row>
    <row r="18" spans="1:24">
      <c r="A18" s="7" t="s">
        <v>71</v>
      </c>
      <c r="B18" s="16" t="s">
        <v>72</v>
      </c>
      <c r="C18">
        <v>1803486133.3225267</v>
      </c>
      <c r="D18">
        <v>1747592418.2026572</v>
      </c>
      <c r="E18">
        <v>477154752.25225228</v>
      </c>
      <c r="F18">
        <v>474751253.15315318</v>
      </c>
      <c r="G18">
        <v>555</v>
      </c>
      <c r="H18">
        <v>513</v>
      </c>
      <c r="I18">
        <v>109</v>
      </c>
      <c r="J18">
        <v>115</v>
      </c>
      <c r="K18">
        <v>23</v>
      </c>
      <c r="M18">
        <v>815</v>
      </c>
      <c r="N18">
        <v>832</v>
      </c>
      <c r="O18">
        <v>204551899.0990991</v>
      </c>
      <c r="P18">
        <v>188476583.78378376</v>
      </c>
      <c r="Q18">
        <v>747</v>
      </c>
      <c r="R18">
        <v>1740</v>
      </c>
      <c r="S18">
        <v>344780518.91891891</v>
      </c>
      <c r="T18">
        <v>355797117.11711711</v>
      </c>
      <c r="U18">
        <v>177942882.88288289</v>
      </c>
      <c r="V18">
        <v>165318691.8918919</v>
      </c>
      <c r="W18">
        <v>45920</v>
      </c>
      <c r="X18">
        <v>45193</v>
      </c>
    </row>
    <row r="19" spans="1:24">
      <c r="A19" s="7" t="s">
        <v>73</v>
      </c>
      <c r="B19" s="16" t="s">
        <v>72</v>
      </c>
      <c r="C19">
        <v>182688997.94049671</v>
      </c>
      <c r="D19">
        <v>166370408.17920136</v>
      </c>
      <c r="E19">
        <v>56963063.063063063</v>
      </c>
      <c r="F19">
        <v>32239099.0990991</v>
      </c>
      <c r="G19">
        <v>42</v>
      </c>
      <c r="H19">
        <v>41</v>
      </c>
      <c r="I19">
        <v>3</v>
      </c>
      <c r="J19">
        <v>1</v>
      </c>
      <c r="M19">
        <v>45</v>
      </c>
      <c r="N19">
        <v>44</v>
      </c>
      <c r="O19">
        <v>8479504.5045045037</v>
      </c>
      <c r="P19">
        <v>6970270.2702702703</v>
      </c>
      <c r="Q19">
        <v>18</v>
      </c>
      <c r="R19">
        <v>20</v>
      </c>
      <c r="S19">
        <v>23429234.234234236</v>
      </c>
      <c r="T19">
        <v>24630648.648648649</v>
      </c>
      <c r="U19">
        <v>3214414.4144144142</v>
      </c>
      <c r="V19">
        <v>4774234.2342342352</v>
      </c>
      <c r="W19">
        <v>3717</v>
      </c>
      <c r="X19">
        <v>3638</v>
      </c>
    </row>
    <row r="20" spans="1:24">
      <c r="A20" s="7" t="s">
        <v>74</v>
      </c>
      <c r="B20" s="16" t="s">
        <v>70</v>
      </c>
      <c r="C20">
        <v>179088320.63582394</v>
      </c>
      <c r="D20">
        <v>175887817.16564092</v>
      </c>
      <c r="E20">
        <v>1462252.2522522539</v>
      </c>
      <c r="F20">
        <v>5278378.3783783847</v>
      </c>
      <c r="G20">
        <v>46</v>
      </c>
      <c r="H20">
        <v>56</v>
      </c>
      <c r="I20">
        <v>6</v>
      </c>
      <c r="J20">
        <v>22</v>
      </c>
      <c r="M20">
        <v>57</v>
      </c>
      <c r="N20">
        <v>73</v>
      </c>
      <c r="O20">
        <v>33633423.423423424</v>
      </c>
      <c r="P20">
        <v>41416216.216216221</v>
      </c>
      <c r="Q20">
        <v>30</v>
      </c>
      <c r="R20">
        <v>257</v>
      </c>
      <c r="S20">
        <v>61304216.216216214</v>
      </c>
      <c r="T20">
        <v>64019981.981981985</v>
      </c>
      <c r="U20">
        <v>45013063.063063063</v>
      </c>
      <c r="V20">
        <v>38881081.081081077</v>
      </c>
      <c r="W20">
        <v>4383</v>
      </c>
      <c r="X20">
        <v>4301</v>
      </c>
    </row>
    <row r="21" spans="1:24">
      <c r="A21" s="7" t="s">
        <v>75</v>
      </c>
      <c r="B21" s="16" t="s">
        <v>76</v>
      </c>
      <c r="C21">
        <v>50889989.887945198</v>
      </c>
      <c r="D21">
        <v>51221465.773754776</v>
      </c>
      <c r="E21">
        <v>79279.279279280003</v>
      </c>
      <c r="F21">
        <v>451351.351351352</v>
      </c>
      <c r="G21">
        <v>14</v>
      </c>
      <c r="H21">
        <v>10</v>
      </c>
      <c r="I21">
        <v>1</v>
      </c>
      <c r="J21">
        <v>2</v>
      </c>
      <c r="M21">
        <v>14</v>
      </c>
      <c r="N21">
        <v>13</v>
      </c>
      <c r="O21">
        <v>5402702.7027027039</v>
      </c>
      <c r="P21">
        <v>7339099.0990990978</v>
      </c>
      <c r="Q21">
        <v>28</v>
      </c>
      <c r="R21">
        <v>8</v>
      </c>
      <c r="S21">
        <v>12782297.297297295</v>
      </c>
      <c r="T21">
        <v>13346225.225225223</v>
      </c>
      <c r="U21">
        <v>4797657.6576576577</v>
      </c>
      <c r="V21">
        <v>4598198.1981981983</v>
      </c>
      <c r="W21">
        <v>1532</v>
      </c>
      <c r="X21">
        <v>1415</v>
      </c>
    </row>
    <row r="22" spans="1:24">
      <c r="A22" s="7" t="s">
        <v>77</v>
      </c>
      <c r="B22" s="16" t="s">
        <v>78</v>
      </c>
      <c r="C22">
        <v>117694562.58156388</v>
      </c>
      <c r="D22">
        <v>108294103.09952401</v>
      </c>
      <c r="E22">
        <v>466756.75675675599</v>
      </c>
      <c r="F22">
        <v>1752252.25225225</v>
      </c>
      <c r="G22">
        <v>26</v>
      </c>
      <c r="H22">
        <v>21</v>
      </c>
      <c r="I22">
        <v>2</v>
      </c>
      <c r="J22">
        <v>5</v>
      </c>
      <c r="M22">
        <v>27</v>
      </c>
      <c r="N22">
        <v>24</v>
      </c>
      <c r="O22">
        <v>14257747.747747747</v>
      </c>
      <c r="P22">
        <v>11148648.648648648</v>
      </c>
      <c r="Q22">
        <v>94</v>
      </c>
      <c r="R22">
        <v>4</v>
      </c>
      <c r="S22">
        <v>36296297.297297299</v>
      </c>
      <c r="T22">
        <v>35350774.774774775</v>
      </c>
      <c r="U22">
        <v>12502432.432432432</v>
      </c>
      <c r="V22">
        <v>13080540.540540541</v>
      </c>
      <c r="W22">
        <v>2479</v>
      </c>
      <c r="X22">
        <v>3163</v>
      </c>
    </row>
    <row r="23" spans="1:24">
      <c r="A23" s="7" t="s">
        <v>79</v>
      </c>
      <c r="B23" s="16" t="s">
        <v>80</v>
      </c>
      <c r="C23">
        <v>1061950606.962007</v>
      </c>
      <c r="D23">
        <v>1023149725.123605</v>
      </c>
      <c r="E23">
        <v>3200675.6756756818</v>
      </c>
      <c r="F23">
        <v>6093693.6936937058</v>
      </c>
      <c r="G23">
        <v>347</v>
      </c>
      <c r="H23">
        <v>719</v>
      </c>
      <c r="I23">
        <v>39</v>
      </c>
      <c r="J23">
        <v>33</v>
      </c>
      <c r="K23">
        <v>4</v>
      </c>
      <c r="M23">
        <v>424</v>
      </c>
      <c r="N23">
        <v>883</v>
      </c>
      <c r="O23">
        <v>418495765.76576579</v>
      </c>
      <c r="P23">
        <v>106357207.2072072</v>
      </c>
      <c r="Q23">
        <v>257</v>
      </c>
      <c r="R23">
        <v>405</v>
      </c>
      <c r="S23">
        <v>257138788.2882883</v>
      </c>
      <c r="T23">
        <v>268149074.32432431</v>
      </c>
      <c r="U23">
        <v>89586666.666666657</v>
      </c>
      <c r="V23">
        <v>94702702.702702701</v>
      </c>
      <c r="W23">
        <v>26239</v>
      </c>
      <c r="X23">
        <v>26266</v>
      </c>
    </row>
    <row r="24" spans="1:24">
      <c r="A24" s="7" t="s">
        <v>81</v>
      </c>
      <c r="B24" s="16" t="s">
        <v>54</v>
      </c>
      <c r="C24">
        <v>31184551.556470465</v>
      </c>
      <c r="D24">
        <v>31845747.366897587</v>
      </c>
      <c r="E24">
        <v>141441.441441442</v>
      </c>
      <c r="F24">
        <v>342342.342342344</v>
      </c>
      <c r="G24">
        <v>8</v>
      </c>
      <c r="H24">
        <v>10</v>
      </c>
      <c r="I24">
        <v>0</v>
      </c>
      <c r="J24">
        <v>2</v>
      </c>
      <c r="M24">
        <v>10</v>
      </c>
      <c r="N24">
        <v>17</v>
      </c>
      <c r="O24">
        <v>3087837.8378378358</v>
      </c>
      <c r="P24">
        <v>2076576.576576578</v>
      </c>
      <c r="Q24">
        <v>40</v>
      </c>
      <c r="R24">
        <v>27</v>
      </c>
      <c r="S24">
        <v>6737072.072072072</v>
      </c>
      <c r="T24">
        <v>7183288.2882882878</v>
      </c>
      <c r="U24">
        <v>2967387.387387387</v>
      </c>
      <c r="V24">
        <v>1799009.0090090099</v>
      </c>
      <c r="W24">
        <v>1409</v>
      </c>
      <c r="X24">
        <v>1309</v>
      </c>
    </row>
    <row r="25" spans="1:24">
      <c r="A25" s="7" t="s">
        <v>82</v>
      </c>
      <c r="B25" s="16" t="s">
        <v>83</v>
      </c>
      <c r="C25">
        <v>735116862.63668144</v>
      </c>
      <c r="D25">
        <v>731889675.38520706</v>
      </c>
      <c r="E25">
        <v>73561351.351351365</v>
      </c>
      <c r="F25">
        <v>39801126.126126125</v>
      </c>
      <c r="G25">
        <v>128</v>
      </c>
      <c r="H25">
        <v>137</v>
      </c>
      <c r="I25">
        <v>16</v>
      </c>
      <c r="J25">
        <v>23</v>
      </c>
      <c r="K25">
        <v>1</v>
      </c>
      <c r="M25">
        <v>143</v>
      </c>
      <c r="N25">
        <v>175</v>
      </c>
      <c r="O25">
        <v>134182072.07207206</v>
      </c>
      <c r="P25">
        <v>162111486.48648649</v>
      </c>
      <c r="Q25">
        <v>405</v>
      </c>
      <c r="R25">
        <v>506</v>
      </c>
      <c r="S25">
        <v>207737457.65765765</v>
      </c>
      <c r="T25">
        <v>214099493.24324322</v>
      </c>
      <c r="U25">
        <v>115374954.95495497</v>
      </c>
      <c r="V25">
        <v>111215855.85585585</v>
      </c>
      <c r="W25">
        <v>15356</v>
      </c>
      <c r="X25">
        <v>15356</v>
      </c>
    </row>
    <row r="26" spans="1:24">
      <c r="A26" s="7" t="s">
        <v>84</v>
      </c>
      <c r="B26" s="16" t="s">
        <v>85</v>
      </c>
      <c r="C26">
        <v>77570018.497532636</v>
      </c>
      <c r="D26">
        <v>67842608.864089996</v>
      </c>
      <c r="E26">
        <v>285135.13513513602</v>
      </c>
      <c r="F26">
        <v>1388963.963963965</v>
      </c>
      <c r="G26">
        <v>31</v>
      </c>
      <c r="H26">
        <v>35</v>
      </c>
      <c r="I26">
        <v>11</v>
      </c>
      <c r="J26">
        <v>10</v>
      </c>
      <c r="M26">
        <v>41</v>
      </c>
      <c r="N26">
        <v>44</v>
      </c>
      <c r="O26">
        <v>70862612.612612605</v>
      </c>
      <c r="P26">
        <v>116138738.73873873</v>
      </c>
      <c r="Q26">
        <v>243</v>
      </c>
      <c r="R26">
        <v>256</v>
      </c>
      <c r="S26">
        <v>26095450.450450446</v>
      </c>
      <c r="T26">
        <v>24741486.486486487</v>
      </c>
      <c r="U26">
        <v>54606306.306306303</v>
      </c>
      <c r="V26">
        <v>99807927.927927926</v>
      </c>
      <c r="W26">
        <v>2538</v>
      </c>
      <c r="X26">
        <v>2209</v>
      </c>
    </row>
    <row r="27" spans="1:24">
      <c r="A27" s="7" t="s">
        <v>86</v>
      </c>
      <c r="B27" s="16" t="s">
        <v>87</v>
      </c>
      <c r="C27">
        <v>3041352.8615875822</v>
      </c>
      <c r="D27">
        <v>2590647.0164878168</v>
      </c>
      <c r="G27">
        <v>2</v>
      </c>
      <c r="H27">
        <v>1</v>
      </c>
      <c r="M27">
        <v>3</v>
      </c>
      <c r="N27">
        <v>1</v>
      </c>
      <c r="S27">
        <v>896081.08108108095</v>
      </c>
      <c r="T27">
        <v>1215324.324324325</v>
      </c>
      <c r="W27">
        <v>152</v>
      </c>
      <c r="X27">
        <v>162</v>
      </c>
    </row>
    <row r="28" spans="1:24">
      <c r="A28" s="7" t="s">
        <v>88</v>
      </c>
      <c r="B28" s="16" t="s">
        <v>89</v>
      </c>
      <c r="C28">
        <v>151131842.2564598</v>
      </c>
      <c r="D28">
        <v>147886614.30255061</v>
      </c>
      <c r="E28">
        <v>551126.12612612802</v>
      </c>
      <c r="F28">
        <v>2430630.6306306329</v>
      </c>
      <c r="G28">
        <v>18</v>
      </c>
      <c r="H28">
        <v>23</v>
      </c>
      <c r="I28">
        <v>15</v>
      </c>
      <c r="J28">
        <v>19</v>
      </c>
      <c r="M28">
        <v>19</v>
      </c>
      <c r="N28">
        <v>25</v>
      </c>
      <c r="O28">
        <v>13799639.63963964</v>
      </c>
      <c r="P28">
        <v>22496396.396396395</v>
      </c>
      <c r="Q28">
        <v>167</v>
      </c>
      <c r="R28">
        <v>83</v>
      </c>
      <c r="S28">
        <v>52871288.288288288</v>
      </c>
      <c r="T28">
        <v>52345324.324324317</v>
      </c>
      <c r="U28">
        <v>11283063.063063061</v>
      </c>
      <c r="V28">
        <v>21860540.540540535</v>
      </c>
      <c r="W28">
        <v>3336</v>
      </c>
      <c r="X28">
        <v>3468</v>
      </c>
    </row>
    <row r="29" spans="1:24">
      <c r="A29" s="7" t="s">
        <v>90</v>
      </c>
      <c r="B29" s="16" t="s">
        <v>60</v>
      </c>
      <c r="C29">
        <v>48355572.478682667</v>
      </c>
      <c r="D29">
        <v>53541142.157362156</v>
      </c>
      <c r="E29">
        <v>61261.261261262</v>
      </c>
      <c r="F29">
        <v>109009.00900901</v>
      </c>
      <c r="G29">
        <v>21</v>
      </c>
      <c r="H29">
        <v>11</v>
      </c>
      <c r="I29">
        <v>1</v>
      </c>
      <c r="J29">
        <v>1</v>
      </c>
      <c r="M29">
        <v>85</v>
      </c>
      <c r="N29">
        <v>114</v>
      </c>
      <c r="O29">
        <v>5385585.5855855839</v>
      </c>
      <c r="P29">
        <v>3370270.2702702712</v>
      </c>
      <c r="Q29">
        <v>88</v>
      </c>
      <c r="R29">
        <v>36</v>
      </c>
      <c r="S29">
        <v>28967702.702702705</v>
      </c>
      <c r="T29">
        <v>32154819.819819819</v>
      </c>
      <c r="U29">
        <v>5418468.4684684677</v>
      </c>
      <c r="V29">
        <v>3840090.0900900899</v>
      </c>
      <c r="W29">
        <v>1554</v>
      </c>
      <c r="X29">
        <v>1581</v>
      </c>
    </row>
    <row r="30" spans="1:24">
      <c r="A30" s="7" t="s">
        <v>91</v>
      </c>
      <c r="B30" s="16" t="s">
        <v>92</v>
      </c>
      <c r="C30">
        <v>45297829.34592963</v>
      </c>
      <c r="D30">
        <v>44555662.054916561</v>
      </c>
      <c r="E30">
        <v>27846621.621621624</v>
      </c>
      <c r="F30">
        <v>63849549.54954955</v>
      </c>
      <c r="G30">
        <v>15</v>
      </c>
      <c r="H30">
        <v>11</v>
      </c>
      <c r="I30">
        <v>4</v>
      </c>
      <c r="J30">
        <v>2</v>
      </c>
      <c r="M30">
        <v>17</v>
      </c>
      <c r="N30">
        <v>14</v>
      </c>
      <c r="O30">
        <v>15883873.873873873</v>
      </c>
      <c r="P30">
        <v>16381081.081081081</v>
      </c>
      <c r="Q30">
        <v>52</v>
      </c>
      <c r="R30">
        <v>2</v>
      </c>
      <c r="S30">
        <v>15158873.873873875</v>
      </c>
      <c r="T30">
        <v>14365414.414414413</v>
      </c>
      <c r="U30">
        <v>1200540.5405405399</v>
      </c>
      <c r="V30">
        <v>16439189.189189188</v>
      </c>
      <c r="W30">
        <v>1123</v>
      </c>
      <c r="X30">
        <v>1055</v>
      </c>
    </row>
    <row r="31" spans="1:24">
      <c r="A31" s="7" t="s">
        <v>93</v>
      </c>
      <c r="B31" s="16" t="s">
        <v>94</v>
      </c>
      <c r="C31">
        <v>197844384.37410647</v>
      </c>
      <c r="D31">
        <v>194895287.31459087</v>
      </c>
      <c r="E31">
        <v>584684.68468468601</v>
      </c>
      <c r="F31">
        <v>425675.67567567702</v>
      </c>
      <c r="G31">
        <v>45</v>
      </c>
      <c r="H31">
        <v>35</v>
      </c>
      <c r="I31">
        <v>8</v>
      </c>
      <c r="J31">
        <v>5</v>
      </c>
      <c r="M31">
        <v>50</v>
      </c>
      <c r="N31">
        <v>41</v>
      </c>
      <c r="O31">
        <v>25326126.126126129</v>
      </c>
      <c r="P31">
        <v>22547297.297297295</v>
      </c>
      <c r="Q31">
        <v>63</v>
      </c>
      <c r="R31">
        <v>70</v>
      </c>
      <c r="S31">
        <v>27994180.180180181</v>
      </c>
      <c r="T31">
        <v>27647457.657657657</v>
      </c>
      <c r="U31">
        <v>21949729.729729727</v>
      </c>
      <c r="V31">
        <v>18267297.297297295</v>
      </c>
      <c r="W31">
        <v>4348</v>
      </c>
      <c r="X31">
        <v>4453</v>
      </c>
    </row>
    <row r="32" spans="1:24">
      <c r="A32" s="7" t="s">
        <v>95</v>
      </c>
      <c r="B32" s="16" t="s">
        <v>96</v>
      </c>
      <c r="C32">
        <v>205799331.62659588</v>
      </c>
      <c r="D32">
        <v>202821950.32564178</v>
      </c>
      <c r="E32">
        <v>15986486.486486487</v>
      </c>
      <c r="F32">
        <v>77810810.810810819</v>
      </c>
      <c r="G32">
        <v>51</v>
      </c>
      <c r="H32">
        <v>45</v>
      </c>
      <c r="I32">
        <v>5</v>
      </c>
      <c r="J32">
        <v>4</v>
      </c>
      <c r="M32">
        <v>58</v>
      </c>
      <c r="N32">
        <v>50</v>
      </c>
      <c r="O32">
        <v>30945090.090090089</v>
      </c>
      <c r="P32">
        <v>40289414.414414413</v>
      </c>
      <c r="Q32">
        <v>220</v>
      </c>
      <c r="R32">
        <v>34</v>
      </c>
      <c r="S32">
        <v>98359990.990990996</v>
      </c>
      <c r="T32">
        <v>102360297.2972973</v>
      </c>
      <c r="U32">
        <v>33060900.9009009</v>
      </c>
      <c r="V32">
        <v>34535675.675675675</v>
      </c>
      <c r="W32">
        <v>6051</v>
      </c>
      <c r="X32">
        <v>8916</v>
      </c>
    </row>
    <row r="33" spans="1:24">
      <c r="A33" s="7" t="s">
        <v>97</v>
      </c>
      <c r="B33" s="16" t="s">
        <v>98</v>
      </c>
      <c r="C33">
        <v>709704904.17699146</v>
      </c>
      <c r="D33">
        <v>705392490.8167913</v>
      </c>
      <c r="E33">
        <v>128830720.72072072</v>
      </c>
      <c r="F33">
        <v>51821981.981981985</v>
      </c>
      <c r="G33">
        <v>332</v>
      </c>
      <c r="H33">
        <v>282</v>
      </c>
      <c r="I33">
        <v>28</v>
      </c>
      <c r="J33">
        <v>35</v>
      </c>
      <c r="M33">
        <v>378</v>
      </c>
      <c r="N33">
        <v>379</v>
      </c>
      <c r="O33">
        <v>135543828.82882884</v>
      </c>
      <c r="P33">
        <v>155193243.24324322</v>
      </c>
      <c r="Q33">
        <v>885</v>
      </c>
      <c r="R33">
        <v>975</v>
      </c>
      <c r="S33">
        <v>184159538.73873875</v>
      </c>
      <c r="T33">
        <v>182107291.44144145</v>
      </c>
      <c r="U33">
        <v>114293063.06306306</v>
      </c>
      <c r="V33">
        <v>92039099.0990991</v>
      </c>
      <c r="W33">
        <v>21910</v>
      </c>
      <c r="X33">
        <v>22343</v>
      </c>
    </row>
    <row r="34" spans="1:24">
      <c r="A34" s="7" t="s">
        <v>99</v>
      </c>
      <c r="B34" s="16" t="s">
        <v>98</v>
      </c>
      <c r="C34">
        <v>1177163674.2333035</v>
      </c>
      <c r="D34">
        <v>1142093796.1617742</v>
      </c>
      <c r="E34">
        <v>952540.54054054804</v>
      </c>
      <c r="F34">
        <v>4711834.234234238</v>
      </c>
      <c r="G34">
        <v>337</v>
      </c>
      <c r="H34">
        <v>336</v>
      </c>
      <c r="I34">
        <v>27</v>
      </c>
      <c r="J34">
        <v>38</v>
      </c>
      <c r="K34">
        <v>1</v>
      </c>
      <c r="M34">
        <v>419</v>
      </c>
      <c r="N34">
        <v>600</v>
      </c>
      <c r="O34">
        <v>72337072.072072059</v>
      </c>
      <c r="P34">
        <v>66847747.747747749</v>
      </c>
      <c r="Q34">
        <v>476</v>
      </c>
      <c r="R34">
        <v>417</v>
      </c>
      <c r="S34">
        <v>223317968.46846849</v>
      </c>
      <c r="T34">
        <v>221175033.78378376</v>
      </c>
      <c r="U34">
        <v>68924369.369369373</v>
      </c>
      <c r="V34">
        <v>61934054.054054059</v>
      </c>
      <c r="W34">
        <v>28591</v>
      </c>
      <c r="X34">
        <v>28005</v>
      </c>
    </row>
    <row r="35" spans="1:24">
      <c r="A35" s="7" t="s">
        <v>100</v>
      </c>
      <c r="B35" s="16" t="s">
        <v>98</v>
      </c>
      <c r="C35">
        <v>1485396018.4214036</v>
      </c>
      <c r="D35">
        <v>1352705232.8763361</v>
      </c>
      <c r="E35">
        <v>6970900.9009009041</v>
      </c>
      <c r="F35">
        <v>12296396.396396402</v>
      </c>
      <c r="G35">
        <v>265</v>
      </c>
      <c r="H35">
        <v>291</v>
      </c>
      <c r="I35">
        <v>34</v>
      </c>
      <c r="J35">
        <v>70</v>
      </c>
      <c r="K35">
        <v>15</v>
      </c>
      <c r="M35">
        <v>442</v>
      </c>
      <c r="N35">
        <v>789</v>
      </c>
      <c r="O35">
        <v>775856801.8018018</v>
      </c>
      <c r="P35">
        <v>465375450.45045042</v>
      </c>
      <c r="Q35">
        <v>1005</v>
      </c>
      <c r="R35">
        <v>644</v>
      </c>
      <c r="S35">
        <v>582672439.63963974</v>
      </c>
      <c r="T35">
        <v>638993245.49549556</v>
      </c>
      <c r="U35">
        <v>589709457.65765762</v>
      </c>
      <c r="V35">
        <v>99975180.180180177</v>
      </c>
      <c r="W35">
        <v>33180</v>
      </c>
      <c r="X35">
        <v>33360</v>
      </c>
    </row>
    <row r="36" spans="1:24">
      <c r="A36" s="7" t="s">
        <v>101</v>
      </c>
      <c r="B36" s="16" t="s">
        <v>98</v>
      </c>
      <c r="C36">
        <v>674795043.20380545</v>
      </c>
      <c r="D36">
        <v>655106357.25948513</v>
      </c>
      <c r="E36">
        <v>1071846.846846848</v>
      </c>
      <c r="F36">
        <v>3631531.5315315318</v>
      </c>
      <c r="G36">
        <v>218</v>
      </c>
      <c r="H36">
        <v>196</v>
      </c>
      <c r="I36">
        <v>17</v>
      </c>
      <c r="J36">
        <v>26</v>
      </c>
      <c r="K36">
        <v>1</v>
      </c>
      <c r="M36">
        <v>270</v>
      </c>
      <c r="N36">
        <v>240</v>
      </c>
      <c r="O36">
        <v>42049729.729729727</v>
      </c>
      <c r="P36">
        <v>54785585.585585587</v>
      </c>
      <c r="Q36">
        <v>83</v>
      </c>
      <c r="R36">
        <v>297</v>
      </c>
      <c r="S36">
        <v>145918241.44144145</v>
      </c>
      <c r="T36">
        <v>145988963.96396396</v>
      </c>
      <c r="U36">
        <v>42913423.423423417</v>
      </c>
      <c r="V36">
        <v>49024504.504504502</v>
      </c>
      <c r="W36">
        <v>21835</v>
      </c>
      <c r="X36">
        <v>20936</v>
      </c>
    </row>
    <row r="37" spans="1:24">
      <c r="A37" s="7" t="s">
        <v>102</v>
      </c>
      <c r="B37" s="16" t="s">
        <v>98</v>
      </c>
      <c r="C37">
        <v>743781473.99560618</v>
      </c>
      <c r="D37">
        <v>742555197.40568972</v>
      </c>
      <c r="E37">
        <v>5034729.7297297297</v>
      </c>
      <c r="F37">
        <v>6890090.0900900932</v>
      </c>
      <c r="G37">
        <v>142</v>
      </c>
      <c r="H37">
        <v>178</v>
      </c>
      <c r="I37">
        <v>15</v>
      </c>
      <c r="J37">
        <v>25</v>
      </c>
      <c r="K37">
        <v>2</v>
      </c>
      <c r="M37">
        <v>166</v>
      </c>
      <c r="N37">
        <v>237</v>
      </c>
      <c r="O37">
        <v>107972342.34234233</v>
      </c>
      <c r="P37">
        <v>103999099.0990991</v>
      </c>
      <c r="Q37">
        <v>621</v>
      </c>
      <c r="R37">
        <v>218</v>
      </c>
      <c r="S37">
        <v>211391646.84684685</v>
      </c>
      <c r="T37">
        <v>217060851.35135135</v>
      </c>
      <c r="U37">
        <v>94441441.441441447</v>
      </c>
      <c r="V37">
        <v>120710540.54054055</v>
      </c>
      <c r="W37">
        <v>24738</v>
      </c>
      <c r="X37">
        <v>24589</v>
      </c>
    </row>
    <row r="38" spans="1:24">
      <c r="A38" s="7" t="s">
        <v>103</v>
      </c>
      <c r="B38" s="16" t="s">
        <v>98</v>
      </c>
      <c r="C38">
        <v>1923377749.0875137</v>
      </c>
      <c r="D38">
        <v>1910961584.3429673</v>
      </c>
      <c r="E38">
        <v>845301108.10810816</v>
      </c>
      <c r="F38">
        <v>913735462.16216218</v>
      </c>
      <c r="G38">
        <v>586</v>
      </c>
      <c r="H38">
        <v>532</v>
      </c>
      <c r="I38">
        <v>52</v>
      </c>
      <c r="J38">
        <v>58</v>
      </c>
      <c r="K38">
        <v>17</v>
      </c>
      <c r="M38">
        <v>711</v>
      </c>
      <c r="N38">
        <v>843</v>
      </c>
      <c r="O38">
        <v>386959549.54954958</v>
      </c>
      <c r="P38">
        <v>208556604.5045045</v>
      </c>
      <c r="Q38">
        <v>1511</v>
      </c>
      <c r="R38">
        <v>707</v>
      </c>
      <c r="S38">
        <v>389304295.4954955</v>
      </c>
      <c r="T38">
        <v>411004827.02702701</v>
      </c>
      <c r="U38">
        <v>194100763.96396396</v>
      </c>
      <c r="V38">
        <v>183791711.7117117</v>
      </c>
      <c r="W38">
        <v>54091</v>
      </c>
      <c r="X38">
        <v>55663</v>
      </c>
    </row>
    <row r="39" spans="1:24">
      <c r="A39" s="7" t="s">
        <v>104</v>
      </c>
      <c r="B39" s="16" t="s">
        <v>105</v>
      </c>
      <c r="C39">
        <v>147884261.85422704</v>
      </c>
      <c r="D39">
        <v>135772977.62094918</v>
      </c>
      <c r="E39">
        <v>371171.17117117101</v>
      </c>
      <c r="F39">
        <v>840540.54054054001</v>
      </c>
      <c r="G39">
        <v>39</v>
      </c>
      <c r="H39">
        <v>21</v>
      </c>
      <c r="I39">
        <v>1</v>
      </c>
      <c r="M39">
        <v>42</v>
      </c>
      <c r="N39">
        <v>23</v>
      </c>
      <c r="O39">
        <v>1213513.5135135129</v>
      </c>
      <c r="P39">
        <v>1290990.990990991</v>
      </c>
      <c r="Q39">
        <v>1</v>
      </c>
      <c r="R39">
        <v>50</v>
      </c>
      <c r="S39">
        <v>28453063.063063063</v>
      </c>
      <c r="T39">
        <v>28608945.945945945</v>
      </c>
      <c r="U39">
        <v>1254414.414414414</v>
      </c>
      <c r="V39">
        <v>951801.80180180201</v>
      </c>
      <c r="W39">
        <v>2483</v>
      </c>
      <c r="X39">
        <v>2315</v>
      </c>
    </row>
    <row r="40" spans="1:24">
      <c r="A40" s="7" t="s">
        <v>106</v>
      </c>
      <c r="B40" s="16" t="s">
        <v>54</v>
      </c>
      <c r="C40">
        <v>47486284.887328438</v>
      </c>
      <c r="D40">
        <v>44756190.046868116</v>
      </c>
      <c r="E40">
        <v>142342.34234234301</v>
      </c>
      <c r="F40">
        <v>35135.135135135999</v>
      </c>
      <c r="G40">
        <v>39</v>
      </c>
      <c r="H40">
        <v>26</v>
      </c>
      <c r="I40">
        <v>0</v>
      </c>
      <c r="J40">
        <v>0</v>
      </c>
      <c r="M40">
        <v>56</v>
      </c>
      <c r="N40">
        <v>29</v>
      </c>
      <c r="O40">
        <v>2723873.8738738731</v>
      </c>
      <c r="P40">
        <v>1016576.576576576</v>
      </c>
      <c r="Q40">
        <v>27</v>
      </c>
      <c r="R40">
        <v>16</v>
      </c>
      <c r="S40">
        <v>12299189.18918919</v>
      </c>
      <c r="T40">
        <v>11456738.73873874</v>
      </c>
      <c r="U40">
        <v>2667297.297297298</v>
      </c>
      <c r="V40">
        <v>1396126.1261261259</v>
      </c>
      <c r="W40">
        <v>1394</v>
      </c>
      <c r="X40">
        <v>1378</v>
      </c>
    </row>
    <row r="41" spans="1:24">
      <c r="A41" s="7" t="s">
        <v>107</v>
      </c>
      <c r="B41" s="16" t="s">
        <v>108</v>
      </c>
      <c r="C41">
        <v>390084318.08012772</v>
      </c>
      <c r="D41">
        <v>367713242.91051608</v>
      </c>
      <c r="E41">
        <v>1300180.1801801811</v>
      </c>
      <c r="F41">
        <v>4329729.7297297362</v>
      </c>
      <c r="G41">
        <v>108</v>
      </c>
      <c r="H41">
        <v>104</v>
      </c>
      <c r="I41">
        <v>11</v>
      </c>
      <c r="J41">
        <v>13</v>
      </c>
      <c r="M41">
        <v>130</v>
      </c>
      <c r="N41">
        <v>122</v>
      </c>
      <c r="O41">
        <v>72272702.702702701</v>
      </c>
      <c r="P41">
        <v>54371351.351351351</v>
      </c>
      <c r="Q41">
        <v>343</v>
      </c>
      <c r="R41">
        <v>671</v>
      </c>
      <c r="S41">
        <v>80612924.324324325</v>
      </c>
      <c r="T41">
        <v>82463441.441441447</v>
      </c>
      <c r="U41">
        <v>41311081.081081077</v>
      </c>
      <c r="V41">
        <v>46951531.531531528</v>
      </c>
      <c r="W41">
        <v>10685</v>
      </c>
      <c r="X41">
        <v>9446</v>
      </c>
    </row>
    <row r="42" spans="1:24">
      <c r="A42" s="7" t="s">
        <v>109</v>
      </c>
      <c r="B42" s="16" t="s">
        <v>108</v>
      </c>
      <c r="C42">
        <v>528610661.05158854</v>
      </c>
      <c r="D42">
        <v>522599520.88278776</v>
      </c>
      <c r="E42">
        <v>4828378.378378381</v>
      </c>
      <c r="F42">
        <v>5145121.6216216236</v>
      </c>
      <c r="G42">
        <v>125</v>
      </c>
      <c r="H42">
        <v>175</v>
      </c>
      <c r="I42">
        <v>12</v>
      </c>
      <c r="J42">
        <v>21</v>
      </c>
      <c r="K42">
        <v>1</v>
      </c>
      <c r="M42">
        <v>234</v>
      </c>
      <c r="N42">
        <v>270</v>
      </c>
      <c r="O42">
        <v>268988738.73873872</v>
      </c>
      <c r="P42">
        <v>37294494.59459459</v>
      </c>
      <c r="Q42">
        <v>562</v>
      </c>
      <c r="R42">
        <v>270</v>
      </c>
      <c r="S42">
        <v>132496644.14414415</v>
      </c>
      <c r="T42">
        <v>153791810.8108108</v>
      </c>
      <c r="U42">
        <v>219112972.97297296</v>
      </c>
      <c r="V42">
        <v>130805855.85585585</v>
      </c>
      <c r="W42">
        <v>14348</v>
      </c>
      <c r="X42">
        <v>13302</v>
      </c>
    </row>
    <row r="43" spans="1:24">
      <c r="A43" s="7" t="s">
        <v>110</v>
      </c>
      <c r="B43" s="16" t="s">
        <v>111</v>
      </c>
      <c r="C43">
        <v>637091141.02060103</v>
      </c>
      <c r="D43">
        <v>592942185.8184365</v>
      </c>
      <c r="E43">
        <v>4786126.1261261264</v>
      </c>
      <c r="F43">
        <v>7992792.7927927934</v>
      </c>
      <c r="G43">
        <v>102</v>
      </c>
      <c r="H43">
        <v>184</v>
      </c>
      <c r="I43">
        <v>11</v>
      </c>
      <c r="J43">
        <v>35</v>
      </c>
      <c r="K43">
        <v>1</v>
      </c>
      <c r="M43">
        <v>126</v>
      </c>
      <c r="N43">
        <v>449</v>
      </c>
      <c r="O43">
        <v>53514954.954954952</v>
      </c>
      <c r="P43">
        <v>57255519.819819815</v>
      </c>
      <c r="Q43">
        <v>436</v>
      </c>
      <c r="R43">
        <v>1280</v>
      </c>
      <c r="S43">
        <v>202261234.23423424</v>
      </c>
      <c r="T43">
        <v>209743162.16216218</v>
      </c>
      <c r="U43">
        <v>52096306.306306303</v>
      </c>
      <c r="V43">
        <v>53409279.279279277</v>
      </c>
      <c r="W43">
        <v>19663</v>
      </c>
      <c r="X43">
        <v>19514</v>
      </c>
    </row>
    <row r="44" spans="1:24">
      <c r="A44" s="7" t="s">
        <v>112</v>
      </c>
      <c r="B44" s="16" t="s">
        <v>111</v>
      </c>
      <c r="C44">
        <v>788771011.17818999</v>
      </c>
      <c r="D44">
        <v>776057282.15749085</v>
      </c>
      <c r="E44">
        <v>37094054.054054059</v>
      </c>
      <c r="F44">
        <v>92015225.225225225</v>
      </c>
      <c r="G44">
        <v>158</v>
      </c>
      <c r="H44">
        <v>313</v>
      </c>
      <c r="I44">
        <v>11</v>
      </c>
      <c r="J44">
        <v>47</v>
      </c>
      <c r="K44">
        <v>3</v>
      </c>
      <c r="M44">
        <v>185</v>
      </c>
      <c r="N44">
        <v>544</v>
      </c>
      <c r="O44">
        <v>67922612.612612605</v>
      </c>
      <c r="P44">
        <v>62489832.432432421</v>
      </c>
      <c r="Q44">
        <v>1538</v>
      </c>
      <c r="R44">
        <v>1976</v>
      </c>
      <c r="S44">
        <v>270909333.33333337</v>
      </c>
      <c r="T44">
        <v>287772148.64864862</v>
      </c>
      <c r="U44">
        <v>61758108.108108111</v>
      </c>
      <c r="V44">
        <v>63498918.918918915</v>
      </c>
      <c r="W44">
        <v>27062</v>
      </c>
      <c r="X44">
        <v>27848</v>
      </c>
    </row>
    <row r="45" spans="1:24">
      <c r="A45" s="7" t="s">
        <v>113</v>
      </c>
      <c r="B45" s="16" t="s">
        <v>111</v>
      </c>
      <c r="C45">
        <v>533768209.2966038</v>
      </c>
      <c r="D45">
        <v>953987271.16858709</v>
      </c>
      <c r="E45">
        <v>12572882.882882889</v>
      </c>
      <c r="F45">
        <v>6207882.8828828894</v>
      </c>
      <c r="G45">
        <v>163</v>
      </c>
      <c r="H45">
        <v>256</v>
      </c>
      <c r="I45">
        <v>14</v>
      </c>
      <c r="J45">
        <v>43</v>
      </c>
      <c r="K45">
        <v>6</v>
      </c>
      <c r="M45">
        <v>193</v>
      </c>
      <c r="N45">
        <v>518</v>
      </c>
      <c r="O45">
        <v>496534054.05405408</v>
      </c>
      <c r="P45">
        <v>484380555.85585588</v>
      </c>
      <c r="Q45">
        <v>366</v>
      </c>
      <c r="R45">
        <v>1405</v>
      </c>
      <c r="S45">
        <v>163495261.26126125</v>
      </c>
      <c r="T45">
        <v>601505241.44144142</v>
      </c>
      <c r="U45">
        <v>47236126.126126125</v>
      </c>
      <c r="V45">
        <v>32242702.702702701</v>
      </c>
      <c r="W45">
        <v>15062</v>
      </c>
      <c r="X45">
        <v>13701</v>
      </c>
    </row>
    <row r="46" spans="1:24">
      <c r="A46" s="7" t="s">
        <v>114</v>
      </c>
      <c r="B46" s="16" t="s">
        <v>111</v>
      </c>
      <c r="C46">
        <v>617172656.61426711</v>
      </c>
      <c r="D46">
        <v>620775003.79131866</v>
      </c>
      <c r="E46">
        <v>4519819.819819821</v>
      </c>
      <c r="F46">
        <v>7430405.4054054171</v>
      </c>
      <c r="G46">
        <v>682</v>
      </c>
      <c r="H46">
        <v>265</v>
      </c>
      <c r="I46">
        <v>20</v>
      </c>
      <c r="J46">
        <v>58</v>
      </c>
      <c r="K46">
        <v>25</v>
      </c>
      <c r="M46">
        <v>2031</v>
      </c>
      <c r="N46">
        <v>636</v>
      </c>
      <c r="O46">
        <v>59948198.198198192</v>
      </c>
      <c r="P46">
        <v>62578918.91891893</v>
      </c>
      <c r="Q46">
        <v>440</v>
      </c>
      <c r="R46">
        <v>578</v>
      </c>
      <c r="S46">
        <v>189833414.41441441</v>
      </c>
      <c r="T46">
        <v>181278342.34234235</v>
      </c>
      <c r="U46">
        <v>57427297.297297299</v>
      </c>
      <c r="V46">
        <v>56735225.225225225</v>
      </c>
      <c r="W46">
        <v>21317</v>
      </c>
      <c r="X46">
        <v>19478</v>
      </c>
    </row>
    <row r="47" spans="1:24">
      <c r="A47" s="7" t="s">
        <v>115</v>
      </c>
      <c r="B47" s="16" t="s">
        <v>111</v>
      </c>
      <c r="C47">
        <v>821796075.14711118</v>
      </c>
      <c r="D47">
        <v>761176297.93736649</v>
      </c>
      <c r="E47">
        <v>918995154.95495498</v>
      </c>
      <c r="F47">
        <v>1232321482.8828828</v>
      </c>
      <c r="G47">
        <v>278</v>
      </c>
      <c r="H47">
        <v>328</v>
      </c>
      <c r="I47">
        <v>26</v>
      </c>
      <c r="J47">
        <v>57</v>
      </c>
      <c r="K47">
        <v>1</v>
      </c>
      <c r="M47">
        <v>329</v>
      </c>
      <c r="N47">
        <v>549</v>
      </c>
      <c r="O47">
        <v>637221067.56756759</v>
      </c>
      <c r="P47">
        <v>717280909.90990984</v>
      </c>
      <c r="Q47">
        <v>1060</v>
      </c>
      <c r="R47">
        <v>8090</v>
      </c>
      <c r="S47">
        <v>203962243.24324322</v>
      </c>
      <c r="T47">
        <v>233231629.27927926</v>
      </c>
      <c r="U47">
        <v>136469369.36936939</v>
      </c>
      <c r="V47">
        <v>130685491.89189188</v>
      </c>
      <c r="W47">
        <v>24242</v>
      </c>
      <c r="X47">
        <v>23159</v>
      </c>
    </row>
    <row r="48" spans="1:24">
      <c r="A48" s="7" t="s">
        <v>116</v>
      </c>
      <c r="B48" s="16" t="s">
        <v>54</v>
      </c>
      <c r="C48">
        <v>42824220.726547144</v>
      </c>
      <c r="D48">
        <v>41579193.937446587</v>
      </c>
      <c r="E48">
        <v>798423.42342342203</v>
      </c>
      <c r="F48">
        <v>1095270.2702702701</v>
      </c>
      <c r="G48">
        <v>5</v>
      </c>
      <c r="H48">
        <v>11</v>
      </c>
      <c r="I48">
        <v>2</v>
      </c>
      <c r="J48">
        <v>3</v>
      </c>
      <c r="M48">
        <v>5</v>
      </c>
      <c r="N48">
        <v>12</v>
      </c>
      <c r="O48">
        <v>4831531.5315315314</v>
      </c>
      <c r="P48">
        <v>3802702.702702702</v>
      </c>
      <c r="Q48">
        <v>31</v>
      </c>
      <c r="R48">
        <v>12</v>
      </c>
      <c r="S48">
        <v>9891522.522522524</v>
      </c>
      <c r="T48">
        <v>10410468.468468469</v>
      </c>
      <c r="U48">
        <v>4220270.2702702703</v>
      </c>
      <c r="V48">
        <v>3549909.9099099091</v>
      </c>
      <c r="W48">
        <v>1063</v>
      </c>
      <c r="X48">
        <v>1057</v>
      </c>
    </row>
    <row r="49" spans="1:24">
      <c r="A49" s="7" t="s">
        <v>118</v>
      </c>
      <c r="B49" s="16" t="s">
        <v>78</v>
      </c>
      <c r="C49">
        <v>375403343.59586251</v>
      </c>
      <c r="D49">
        <v>354032207.88661844</v>
      </c>
      <c r="E49">
        <v>266135393.6936937</v>
      </c>
      <c r="F49">
        <v>269547318.91891891</v>
      </c>
      <c r="G49">
        <v>126</v>
      </c>
      <c r="H49">
        <v>126</v>
      </c>
      <c r="I49">
        <v>14</v>
      </c>
      <c r="J49">
        <v>21</v>
      </c>
      <c r="K49">
        <v>1</v>
      </c>
      <c r="M49">
        <v>160</v>
      </c>
      <c r="N49">
        <v>168</v>
      </c>
      <c r="O49">
        <v>61778108.108108103</v>
      </c>
      <c r="P49">
        <v>81151801.801801801</v>
      </c>
      <c r="Q49">
        <v>375</v>
      </c>
      <c r="R49">
        <v>2351</v>
      </c>
      <c r="S49">
        <v>140925565.76576576</v>
      </c>
      <c r="T49">
        <v>141387299.54954955</v>
      </c>
      <c r="U49">
        <v>63002115.315315314</v>
      </c>
      <c r="V49">
        <v>78591351.351351365</v>
      </c>
      <c r="W49">
        <v>11595</v>
      </c>
      <c r="X49">
        <v>12195</v>
      </c>
    </row>
    <row r="50" spans="1:24">
      <c r="A50" s="7" t="s">
        <v>119</v>
      </c>
      <c r="B50" s="16" t="s">
        <v>50</v>
      </c>
      <c r="C50">
        <v>117898714.11718406</v>
      </c>
      <c r="D50">
        <v>112586688.79596627</v>
      </c>
      <c r="E50">
        <v>422747.74774774897</v>
      </c>
      <c r="F50">
        <v>2881081.0810810821</v>
      </c>
      <c r="G50">
        <v>56</v>
      </c>
      <c r="H50">
        <v>38</v>
      </c>
      <c r="I50">
        <v>10</v>
      </c>
      <c r="J50">
        <v>10</v>
      </c>
      <c r="M50">
        <v>56</v>
      </c>
      <c r="N50">
        <v>40</v>
      </c>
      <c r="O50">
        <v>70494864.864864871</v>
      </c>
      <c r="P50">
        <v>50101441.441441439</v>
      </c>
      <c r="Q50">
        <v>247</v>
      </c>
      <c r="R50">
        <v>327</v>
      </c>
      <c r="S50">
        <v>41230135.135135137</v>
      </c>
      <c r="T50">
        <v>40765648.648648649</v>
      </c>
      <c r="U50">
        <v>70629369.369369373</v>
      </c>
      <c r="V50">
        <v>46220900.9009009</v>
      </c>
      <c r="W50">
        <v>2570</v>
      </c>
      <c r="X50">
        <v>2471</v>
      </c>
    </row>
    <row r="51" spans="1:24">
      <c r="A51" s="7" t="s">
        <v>120</v>
      </c>
      <c r="B51" s="16" t="s">
        <v>121</v>
      </c>
      <c r="C51">
        <v>419551051.32635117</v>
      </c>
      <c r="D51">
        <v>379973169.96769762</v>
      </c>
      <c r="E51">
        <v>15520045.045045044</v>
      </c>
      <c r="F51">
        <v>8105630.6306306329</v>
      </c>
      <c r="G51">
        <v>160</v>
      </c>
      <c r="H51">
        <v>144</v>
      </c>
      <c r="I51">
        <v>11</v>
      </c>
      <c r="J51">
        <v>11</v>
      </c>
      <c r="M51">
        <v>184</v>
      </c>
      <c r="N51">
        <v>165</v>
      </c>
      <c r="O51">
        <v>17287387.387387384</v>
      </c>
      <c r="P51">
        <v>15172072.072072074</v>
      </c>
      <c r="Q51">
        <v>244</v>
      </c>
      <c r="R51">
        <v>32</v>
      </c>
      <c r="S51">
        <v>28785783.783783782</v>
      </c>
      <c r="T51">
        <v>31967495.495495494</v>
      </c>
      <c r="U51">
        <v>15458288.288288286</v>
      </c>
      <c r="V51">
        <v>13190810.810810812</v>
      </c>
      <c r="W51">
        <v>8130</v>
      </c>
      <c r="X51">
        <v>8234</v>
      </c>
    </row>
    <row r="52" spans="1:24">
      <c r="A52" s="7" t="s">
        <v>122</v>
      </c>
      <c r="B52" s="16" t="s">
        <v>123</v>
      </c>
      <c r="C52">
        <v>190025209.53919056</v>
      </c>
      <c r="D52">
        <v>200097639.71266297</v>
      </c>
      <c r="E52">
        <v>159311261.26126125</v>
      </c>
      <c r="F52">
        <v>144745540.54054055</v>
      </c>
      <c r="G52">
        <v>19</v>
      </c>
      <c r="H52">
        <v>26</v>
      </c>
      <c r="I52">
        <v>3</v>
      </c>
      <c r="J52">
        <v>3</v>
      </c>
      <c r="M52">
        <v>23</v>
      </c>
      <c r="N52">
        <v>38</v>
      </c>
      <c r="O52">
        <v>48100675.675675675</v>
      </c>
      <c r="P52">
        <v>38560090.090090089</v>
      </c>
      <c r="Q52">
        <v>54</v>
      </c>
      <c r="R52">
        <v>52</v>
      </c>
      <c r="S52">
        <v>85174771.171171173</v>
      </c>
      <c r="T52">
        <v>90005905.405405402</v>
      </c>
      <c r="U52">
        <v>38692612.612612613</v>
      </c>
      <c r="V52">
        <v>37827027.027027026</v>
      </c>
      <c r="W52">
        <v>4399</v>
      </c>
      <c r="X52">
        <v>4474</v>
      </c>
    </row>
    <row r="53" spans="1:24">
      <c r="A53" s="7" t="s">
        <v>124</v>
      </c>
      <c r="B53" s="16" t="s">
        <v>125</v>
      </c>
      <c r="C53">
        <v>279932754.45837998</v>
      </c>
      <c r="D53">
        <v>263915942.76313883</v>
      </c>
      <c r="E53">
        <v>21847340.540540539</v>
      </c>
      <c r="F53">
        <v>43987545.045045048</v>
      </c>
      <c r="G53">
        <v>45</v>
      </c>
      <c r="H53">
        <v>54</v>
      </c>
      <c r="I53">
        <v>8</v>
      </c>
      <c r="J53">
        <v>5</v>
      </c>
      <c r="M53">
        <v>50</v>
      </c>
      <c r="N53">
        <v>76</v>
      </c>
      <c r="O53">
        <v>69153153.153153151</v>
      </c>
      <c r="P53">
        <v>88527207.207207203</v>
      </c>
      <c r="Q53">
        <v>107</v>
      </c>
      <c r="R53">
        <v>195</v>
      </c>
      <c r="S53">
        <v>81887556.756756753</v>
      </c>
      <c r="T53">
        <v>82927649.54954955</v>
      </c>
      <c r="U53">
        <v>71976666.666666657</v>
      </c>
      <c r="V53">
        <v>89314547.747747749</v>
      </c>
      <c r="W53">
        <v>6499</v>
      </c>
      <c r="X53">
        <v>6283</v>
      </c>
    </row>
    <row r="54" spans="1:24">
      <c r="A54" s="7" t="s">
        <v>126</v>
      </c>
      <c r="B54" s="16" t="s">
        <v>78</v>
      </c>
      <c r="C54">
        <v>178513030.11560342</v>
      </c>
      <c r="D54">
        <v>170344978.591831</v>
      </c>
      <c r="E54">
        <v>2288018.0180180189</v>
      </c>
      <c r="F54">
        <v>3809909.9099099138</v>
      </c>
      <c r="G54">
        <v>37</v>
      </c>
      <c r="H54">
        <v>53</v>
      </c>
      <c r="I54">
        <v>4</v>
      </c>
      <c r="J54">
        <v>3</v>
      </c>
      <c r="M54">
        <v>41</v>
      </c>
      <c r="N54">
        <v>61</v>
      </c>
      <c r="O54">
        <v>34251981.981981978</v>
      </c>
      <c r="P54">
        <v>29850450.45045045</v>
      </c>
      <c r="Q54">
        <v>134</v>
      </c>
      <c r="R54">
        <v>66</v>
      </c>
      <c r="S54">
        <v>70854738.738738731</v>
      </c>
      <c r="T54">
        <v>70328450.45045045</v>
      </c>
      <c r="U54">
        <v>36406396.396396399</v>
      </c>
      <c r="V54">
        <v>27952882.882882886</v>
      </c>
      <c r="W54">
        <v>4928</v>
      </c>
      <c r="X54">
        <v>5128</v>
      </c>
    </row>
    <row r="55" spans="1:24">
      <c r="A55" s="7" t="s">
        <v>127</v>
      </c>
      <c r="B55" s="16" t="s">
        <v>78</v>
      </c>
      <c r="C55">
        <v>31923295.052703407</v>
      </c>
      <c r="D55">
        <v>28694948.165504348</v>
      </c>
      <c r="E55">
        <v>13063.063063064001</v>
      </c>
      <c r="F55">
        <v>592792.79279279301</v>
      </c>
      <c r="G55">
        <v>13</v>
      </c>
      <c r="H55">
        <v>10</v>
      </c>
      <c r="I55">
        <v>2</v>
      </c>
      <c r="J55">
        <v>5</v>
      </c>
      <c r="K55">
        <v>1</v>
      </c>
      <c r="M55">
        <v>13</v>
      </c>
      <c r="N55">
        <v>11</v>
      </c>
      <c r="O55">
        <v>7193243.2432432426</v>
      </c>
      <c r="P55">
        <v>9872072.072072072</v>
      </c>
      <c r="Q55">
        <v>18</v>
      </c>
      <c r="R55">
        <v>16</v>
      </c>
      <c r="S55">
        <v>17159459.459459461</v>
      </c>
      <c r="T55">
        <v>16553738.738738738</v>
      </c>
      <c r="U55">
        <v>8020090.0900900885</v>
      </c>
      <c r="V55">
        <v>11245315.315315315</v>
      </c>
      <c r="W55">
        <v>1312</v>
      </c>
      <c r="X55">
        <v>1138</v>
      </c>
    </row>
    <row r="56" spans="1:24">
      <c r="A56" s="7" t="s">
        <v>128</v>
      </c>
      <c r="B56" s="16" t="s">
        <v>78</v>
      </c>
      <c r="C56">
        <v>172296479.01096198</v>
      </c>
      <c r="D56">
        <v>164363644.05830383</v>
      </c>
      <c r="E56">
        <v>1215540.5405405411</v>
      </c>
      <c r="F56">
        <v>1797297.297297301</v>
      </c>
      <c r="G56">
        <v>71</v>
      </c>
      <c r="H56">
        <v>119</v>
      </c>
      <c r="I56">
        <v>6</v>
      </c>
      <c r="J56">
        <v>11</v>
      </c>
      <c r="K56">
        <v>1</v>
      </c>
      <c r="M56">
        <v>80</v>
      </c>
      <c r="N56">
        <v>159</v>
      </c>
      <c r="O56">
        <v>20632432.432432432</v>
      </c>
      <c r="P56">
        <v>21418918.918918919</v>
      </c>
      <c r="Q56">
        <v>95</v>
      </c>
      <c r="R56">
        <v>93</v>
      </c>
      <c r="S56">
        <v>65229468.468468465</v>
      </c>
      <c r="T56">
        <v>64907243.24324324</v>
      </c>
      <c r="U56">
        <v>19934594.59459459</v>
      </c>
      <c r="V56">
        <v>19151981.981981982</v>
      </c>
      <c r="W56">
        <v>5828</v>
      </c>
      <c r="X56">
        <v>5837</v>
      </c>
    </row>
    <row r="57" spans="1:24">
      <c r="A57" s="7" t="s">
        <v>675</v>
      </c>
      <c r="B57" s="16" t="s">
        <v>94</v>
      </c>
      <c r="E57">
        <v>58851351.351351351</v>
      </c>
      <c r="F57">
        <v>35020270.270270273</v>
      </c>
      <c r="O57">
        <v>5267117.1171171172</v>
      </c>
      <c r="P57">
        <v>6031081.0810810812</v>
      </c>
    </row>
    <row r="58" spans="1:24">
      <c r="A58" s="7" t="s">
        <v>129</v>
      </c>
      <c r="B58" s="16" t="s">
        <v>85</v>
      </c>
      <c r="C58">
        <v>55580234.949988835</v>
      </c>
      <c r="D58">
        <v>48381273.781182498</v>
      </c>
      <c r="E58">
        <v>272613099.0990991</v>
      </c>
      <c r="F58">
        <v>165685494.5945946</v>
      </c>
      <c r="G58">
        <v>17</v>
      </c>
      <c r="H58">
        <v>12</v>
      </c>
      <c r="I58">
        <v>3</v>
      </c>
      <c r="J58">
        <v>2</v>
      </c>
      <c r="M58">
        <v>18</v>
      </c>
      <c r="N58">
        <v>13</v>
      </c>
      <c r="O58">
        <v>33915315.315315314</v>
      </c>
      <c r="P58">
        <v>75124504.504504517</v>
      </c>
      <c r="Q58">
        <v>70</v>
      </c>
      <c r="R58">
        <v>36</v>
      </c>
      <c r="S58">
        <v>24008513.513513513</v>
      </c>
      <c r="T58">
        <v>23494126.126126129</v>
      </c>
      <c r="U58">
        <v>19424144.144144144</v>
      </c>
      <c r="V58">
        <v>31040810.810810812</v>
      </c>
      <c r="W58">
        <v>1183</v>
      </c>
      <c r="X58">
        <v>1459</v>
      </c>
    </row>
    <row r="59" spans="1:24">
      <c r="A59" s="7" t="s">
        <v>130</v>
      </c>
      <c r="B59" s="16" t="s">
        <v>89</v>
      </c>
      <c r="C59">
        <v>459437916.00296903</v>
      </c>
      <c r="D59">
        <v>447456328.36180204</v>
      </c>
      <c r="E59">
        <v>2021846.846846849</v>
      </c>
      <c r="F59">
        <v>3293243.2432432519</v>
      </c>
      <c r="G59">
        <v>58</v>
      </c>
      <c r="H59">
        <v>58</v>
      </c>
      <c r="I59">
        <v>10</v>
      </c>
      <c r="J59">
        <v>32</v>
      </c>
      <c r="M59">
        <v>66</v>
      </c>
      <c r="N59">
        <v>84</v>
      </c>
      <c r="O59">
        <v>28972072.072072074</v>
      </c>
      <c r="P59">
        <v>28834144.144144144</v>
      </c>
      <c r="Q59">
        <v>289</v>
      </c>
      <c r="R59">
        <v>363</v>
      </c>
      <c r="S59">
        <v>136531070.27027026</v>
      </c>
      <c r="T59">
        <v>141118828.82882884</v>
      </c>
      <c r="U59">
        <v>28896259.459459461</v>
      </c>
      <c r="V59">
        <v>27952972.97297297</v>
      </c>
      <c r="W59">
        <v>10397</v>
      </c>
      <c r="X59">
        <v>10716</v>
      </c>
    </row>
    <row r="60" spans="1:24">
      <c r="A60" s="7" t="s">
        <v>131</v>
      </c>
      <c r="B60" s="16" t="s">
        <v>132</v>
      </c>
      <c r="C60">
        <v>272722775.85030705</v>
      </c>
      <c r="D60">
        <v>242360206.29279131</v>
      </c>
      <c r="E60">
        <v>183783.78378378501</v>
      </c>
      <c r="F60">
        <v>1130630.630630631</v>
      </c>
      <c r="G60">
        <v>110</v>
      </c>
      <c r="H60">
        <v>132</v>
      </c>
      <c r="I60">
        <v>5</v>
      </c>
      <c r="J60">
        <v>7</v>
      </c>
      <c r="K60">
        <v>1</v>
      </c>
      <c r="M60">
        <v>118</v>
      </c>
      <c r="N60">
        <v>147</v>
      </c>
      <c r="O60">
        <v>18945045.045045044</v>
      </c>
      <c r="P60">
        <v>26103603.603603601</v>
      </c>
      <c r="Q60">
        <v>27</v>
      </c>
      <c r="R60">
        <v>54</v>
      </c>
      <c r="S60">
        <v>83860477.477477476</v>
      </c>
      <c r="T60">
        <v>77008060.810810819</v>
      </c>
      <c r="U60">
        <v>16478198.198198201</v>
      </c>
      <c r="V60">
        <v>25129189.189189188</v>
      </c>
      <c r="W60">
        <v>7268</v>
      </c>
      <c r="X60">
        <v>7895</v>
      </c>
    </row>
    <row r="61" spans="1:24">
      <c r="A61" s="7" t="s">
        <v>133</v>
      </c>
      <c r="B61" s="16" t="s">
        <v>134</v>
      </c>
      <c r="C61">
        <v>42005225.892355002</v>
      </c>
      <c r="D61">
        <v>24167649.467485607</v>
      </c>
      <c r="E61">
        <v>19819819.819819819</v>
      </c>
      <c r="F61">
        <v>13963963.963963963</v>
      </c>
      <c r="G61">
        <v>10</v>
      </c>
      <c r="H61">
        <v>1</v>
      </c>
      <c r="M61">
        <v>11</v>
      </c>
      <c r="N61">
        <v>1</v>
      </c>
      <c r="S61">
        <v>5353144.1441441439</v>
      </c>
      <c r="T61">
        <v>4510034.2342342343</v>
      </c>
      <c r="W61">
        <v>2178</v>
      </c>
      <c r="X61">
        <v>2198</v>
      </c>
    </row>
    <row r="62" spans="1:24">
      <c r="A62" s="7" t="s">
        <v>135</v>
      </c>
      <c r="B62" s="16" t="s">
        <v>136</v>
      </c>
      <c r="C62">
        <v>223840608.03474367</v>
      </c>
      <c r="D62">
        <v>207348401.28512824</v>
      </c>
      <c r="E62">
        <v>458558.55855855998</v>
      </c>
      <c r="F62">
        <v>885585.58558558801</v>
      </c>
      <c r="G62">
        <v>80</v>
      </c>
      <c r="H62">
        <v>61</v>
      </c>
      <c r="I62">
        <v>5</v>
      </c>
      <c r="J62">
        <v>4</v>
      </c>
      <c r="M62">
        <v>84</v>
      </c>
      <c r="N62">
        <v>67</v>
      </c>
      <c r="O62">
        <v>20647747.747747749</v>
      </c>
      <c r="P62">
        <v>17732432.432432432</v>
      </c>
      <c r="Q62">
        <v>6</v>
      </c>
      <c r="S62">
        <v>38117783.783783786</v>
      </c>
      <c r="T62">
        <v>32642504.504504506</v>
      </c>
      <c r="U62">
        <v>20546036.036036037</v>
      </c>
      <c r="V62">
        <v>15353783.783783784</v>
      </c>
      <c r="W62">
        <v>3352</v>
      </c>
      <c r="X62">
        <v>3509</v>
      </c>
    </row>
    <row r="63" spans="1:24">
      <c r="A63" s="7" t="s">
        <v>137</v>
      </c>
      <c r="B63" s="16" t="s">
        <v>89</v>
      </c>
      <c r="C63">
        <v>233001161.01825887</v>
      </c>
      <c r="D63">
        <v>218436511.6260545</v>
      </c>
      <c r="E63">
        <v>323648.648648653</v>
      </c>
      <c r="F63">
        <v>2155630.6306306371</v>
      </c>
      <c r="G63">
        <v>23</v>
      </c>
      <c r="H63">
        <v>44</v>
      </c>
      <c r="I63">
        <v>17</v>
      </c>
      <c r="J63">
        <v>21</v>
      </c>
      <c r="K63">
        <v>4</v>
      </c>
      <c r="M63">
        <v>85</v>
      </c>
      <c r="N63">
        <v>158</v>
      </c>
      <c r="O63">
        <v>31516306.306306303</v>
      </c>
      <c r="P63">
        <v>29305855.855855856</v>
      </c>
      <c r="Q63">
        <v>328</v>
      </c>
      <c r="R63">
        <v>304</v>
      </c>
      <c r="S63">
        <v>79880045.045045033</v>
      </c>
      <c r="T63">
        <v>78564016.216216221</v>
      </c>
      <c r="U63">
        <v>32328378.37837838</v>
      </c>
      <c r="V63">
        <v>27254504.504504509</v>
      </c>
      <c r="W63">
        <v>4911</v>
      </c>
      <c r="X63">
        <v>4802</v>
      </c>
    </row>
    <row r="64" spans="1:24">
      <c r="A64" s="7" t="s">
        <v>138</v>
      </c>
      <c r="B64" s="16" t="s">
        <v>78</v>
      </c>
      <c r="C64">
        <v>167809460.58182514</v>
      </c>
      <c r="D64">
        <v>160253722.06346482</v>
      </c>
      <c r="E64">
        <v>2353783.7837837832</v>
      </c>
      <c r="F64">
        <v>4445045.0450450471</v>
      </c>
      <c r="G64">
        <v>65</v>
      </c>
      <c r="H64">
        <v>71</v>
      </c>
      <c r="I64">
        <v>4</v>
      </c>
      <c r="J64">
        <v>15</v>
      </c>
      <c r="K64">
        <v>3</v>
      </c>
      <c r="M64">
        <v>75</v>
      </c>
      <c r="N64">
        <v>87</v>
      </c>
      <c r="O64">
        <v>21538468.468468465</v>
      </c>
      <c r="P64">
        <v>22850450.450450446</v>
      </c>
      <c r="Q64">
        <v>48</v>
      </c>
      <c r="R64">
        <v>92</v>
      </c>
      <c r="S64">
        <v>69609234.234234244</v>
      </c>
      <c r="T64">
        <v>69910389.639639646</v>
      </c>
      <c r="U64">
        <v>19710720.72072072</v>
      </c>
      <c r="V64">
        <v>20643873.873873875</v>
      </c>
      <c r="W64">
        <v>5337</v>
      </c>
      <c r="X64">
        <v>5164</v>
      </c>
    </row>
    <row r="65" spans="1:24">
      <c r="A65" s="7" t="s">
        <v>139</v>
      </c>
      <c r="B65" s="16" t="s">
        <v>140</v>
      </c>
      <c r="C65">
        <v>215694814.04965475</v>
      </c>
      <c r="D65">
        <v>223398484.25933439</v>
      </c>
      <c r="E65">
        <v>1994594.594594595</v>
      </c>
      <c r="F65">
        <v>2202702.702702703</v>
      </c>
      <c r="G65">
        <v>22</v>
      </c>
      <c r="H65">
        <v>21</v>
      </c>
      <c r="I65">
        <v>1</v>
      </c>
      <c r="J65">
        <v>3</v>
      </c>
      <c r="M65">
        <v>24</v>
      </c>
      <c r="N65">
        <v>22</v>
      </c>
      <c r="O65">
        <v>21461711.711711712</v>
      </c>
      <c r="P65">
        <v>20680900.9009009</v>
      </c>
      <c r="Q65">
        <v>13</v>
      </c>
      <c r="R65">
        <v>43</v>
      </c>
      <c r="S65">
        <v>37200315.315315314</v>
      </c>
      <c r="T65">
        <v>41108414.414414413</v>
      </c>
      <c r="U65">
        <v>18917027.02702703</v>
      </c>
      <c r="V65">
        <v>17890720.72072072</v>
      </c>
      <c r="W65">
        <v>4329</v>
      </c>
      <c r="X65">
        <v>5485</v>
      </c>
    </row>
    <row r="66" spans="1:24">
      <c r="A66" s="7" t="s">
        <v>141</v>
      </c>
      <c r="B66" s="16" t="s">
        <v>62</v>
      </c>
      <c r="C66">
        <v>151219479.04317617</v>
      </c>
      <c r="D66">
        <v>148364890.45944753</v>
      </c>
      <c r="E66">
        <v>1403603.6036036061</v>
      </c>
      <c r="F66">
        <v>3009799.099099101</v>
      </c>
      <c r="G66">
        <v>51</v>
      </c>
      <c r="H66">
        <v>65</v>
      </c>
      <c r="I66">
        <v>9</v>
      </c>
      <c r="J66">
        <v>7</v>
      </c>
      <c r="M66">
        <v>60</v>
      </c>
      <c r="N66">
        <v>81</v>
      </c>
      <c r="O66">
        <v>87194684.684684694</v>
      </c>
      <c r="P66">
        <v>87572335.135135129</v>
      </c>
      <c r="Q66">
        <v>17</v>
      </c>
      <c r="R66">
        <v>62</v>
      </c>
      <c r="S66">
        <v>32392882.882882886</v>
      </c>
      <c r="T66">
        <v>32334126.126126125</v>
      </c>
      <c r="U66">
        <v>86112252.252252251</v>
      </c>
      <c r="V66">
        <v>88962072.072072059</v>
      </c>
      <c r="W66">
        <v>4006</v>
      </c>
      <c r="X66">
        <v>3891</v>
      </c>
    </row>
    <row r="67" spans="1:24">
      <c r="A67" s="7" t="s">
        <v>142</v>
      </c>
      <c r="B67" s="16" t="s">
        <v>143</v>
      </c>
      <c r="C67">
        <v>1751167.807336696</v>
      </c>
      <c r="D67">
        <v>1424169.0216842571</v>
      </c>
      <c r="E67">
        <v>18018.018018018</v>
      </c>
      <c r="H67">
        <v>1</v>
      </c>
      <c r="N67">
        <v>1</v>
      </c>
      <c r="O67">
        <v>18018.018018018</v>
      </c>
      <c r="S67">
        <v>127927.927927928</v>
      </c>
      <c r="T67">
        <v>150090.09009009</v>
      </c>
      <c r="W67">
        <v>159</v>
      </c>
      <c r="X67">
        <v>114</v>
      </c>
    </row>
    <row r="68" spans="1:24">
      <c r="A68" s="7" t="s">
        <v>144</v>
      </c>
      <c r="B68" s="16" t="s">
        <v>140</v>
      </c>
      <c r="C68">
        <v>319333154.31029463</v>
      </c>
      <c r="D68">
        <v>318603142.04777491</v>
      </c>
      <c r="E68">
        <v>383603.603603606</v>
      </c>
      <c r="F68">
        <v>1764414.4144144161</v>
      </c>
      <c r="G68">
        <v>58</v>
      </c>
      <c r="H68">
        <v>68</v>
      </c>
      <c r="I68">
        <v>9</v>
      </c>
      <c r="J68">
        <v>8</v>
      </c>
      <c r="K68">
        <v>2</v>
      </c>
      <c r="M68">
        <v>68</v>
      </c>
      <c r="N68">
        <v>89</v>
      </c>
      <c r="O68">
        <v>40566486.486486487</v>
      </c>
      <c r="P68">
        <v>36455315.315315314</v>
      </c>
      <c r="Q68">
        <v>198</v>
      </c>
      <c r="R68">
        <v>148</v>
      </c>
      <c r="S68">
        <v>59797882.882882878</v>
      </c>
      <c r="T68">
        <v>59587684.684684686</v>
      </c>
      <c r="U68">
        <v>35407567.567567565</v>
      </c>
      <c r="V68">
        <v>34608738.738738738</v>
      </c>
      <c r="W68">
        <v>7397</v>
      </c>
      <c r="X68">
        <v>7545</v>
      </c>
    </row>
    <row r="69" spans="1:24">
      <c r="A69" s="7" t="s">
        <v>145</v>
      </c>
      <c r="B69" s="16" t="s">
        <v>78</v>
      </c>
      <c r="C69">
        <v>225275817.51034251</v>
      </c>
      <c r="D69">
        <v>224465581.30217481</v>
      </c>
      <c r="E69">
        <v>1569189.18918919</v>
      </c>
      <c r="F69">
        <v>2716216.2162162159</v>
      </c>
      <c r="G69">
        <v>47</v>
      </c>
      <c r="H69">
        <v>75</v>
      </c>
      <c r="I69">
        <v>7</v>
      </c>
      <c r="J69">
        <v>4</v>
      </c>
      <c r="M69">
        <v>52</v>
      </c>
      <c r="N69">
        <v>89</v>
      </c>
      <c r="O69">
        <v>25758378.378378376</v>
      </c>
      <c r="P69">
        <v>19761261.261261266</v>
      </c>
      <c r="Q69">
        <v>82</v>
      </c>
      <c r="R69">
        <v>8</v>
      </c>
      <c r="S69">
        <v>59452387.387387387</v>
      </c>
      <c r="T69">
        <v>64566054.054054059</v>
      </c>
      <c r="U69">
        <v>25356666.666666664</v>
      </c>
      <c r="V69">
        <v>23042162.162162159</v>
      </c>
      <c r="W69">
        <v>6376</v>
      </c>
      <c r="X69">
        <v>6415</v>
      </c>
    </row>
    <row r="70" spans="1:24">
      <c r="A70" s="7" t="s">
        <v>146</v>
      </c>
      <c r="B70" s="16" t="s">
        <v>147</v>
      </c>
      <c r="C70">
        <v>160419506.86924946</v>
      </c>
      <c r="D70">
        <v>147710917.47995216</v>
      </c>
      <c r="E70">
        <v>90090.090090090001</v>
      </c>
      <c r="F70">
        <v>3131531.5315315342</v>
      </c>
      <c r="G70">
        <v>35</v>
      </c>
      <c r="H70">
        <v>27</v>
      </c>
      <c r="I70">
        <v>3</v>
      </c>
      <c r="J70">
        <v>2</v>
      </c>
      <c r="M70">
        <v>37</v>
      </c>
      <c r="N70">
        <v>36</v>
      </c>
      <c r="O70">
        <v>14295855.855855852</v>
      </c>
      <c r="P70">
        <v>44316750.45045045</v>
      </c>
      <c r="Q70">
        <v>63</v>
      </c>
      <c r="R70">
        <v>34</v>
      </c>
      <c r="S70">
        <v>43097063.063063063</v>
      </c>
      <c r="T70">
        <v>47727855.855855852</v>
      </c>
      <c r="U70">
        <v>15620450.45045045</v>
      </c>
      <c r="V70">
        <v>43355945.945945941</v>
      </c>
      <c r="W70">
        <v>3830</v>
      </c>
      <c r="X70">
        <v>3879</v>
      </c>
    </row>
    <row r="71" spans="1:24">
      <c r="A71" s="7" t="s">
        <v>148</v>
      </c>
      <c r="B71" s="16" t="s">
        <v>94</v>
      </c>
      <c r="D71">
        <v>17.531949365999999</v>
      </c>
    </row>
    <row r="72" spans="1:24">
      <c r="A72" s="7" t="s">
        <v>149</v>
      </c>
      <c r="B72" s="16" t="s">
        <v>50</v>
      </c>
      <c r="C72">
        <v>127883411.4764595</v>
      </c>
      <c r="D72">
        <v>130454620.31320144</v>
      </c>
      <c r="E72">
        <v>232432.43243243301</v>
      </c>
      <c r="F72">
        <v>262162.162162163</v>
      </c>
      <c r="G72">
        <v>29</v>
      </c>
      <c r="H72">
        <v>26</v>
      </c>
      <c r="I72">
        <v>6</v>
      </c>
      <c r="J72">
        <v>2</v>
      </c>
      <c r="M72">
        <v>34</v>
      </c>
      <c r="N72">
        <v>36</v>
      </c>
      <c r="O72">
        <v>14720180.180180181</v>
      </c>
      <c r="P72">
        <v>7983693.6936936937</v>
      </c>
      <c r="Q72">
        <v>17</v>
      </c>
      <c r="R72">
        <v>12</v>
      </c>
      <c r="S72">
        <v>57636621.621621624</v>
      </c>
      <c r="T72">
        <v>58753873.873873875</v>
      </c>
      <c r="U72">
        <v>15634324.324324325</v>
      </c>
      <c r="V72">
        <v>7582792.7927927934</v>
      </c>
      <c r="W72">
        <v>3586</v>
      </c>
      <c r="X72">
        <v>3605</v>
      </c>
    </row>
    <row r="73" spans="1:24">
      <c r="A73" s="7" t="s">
        <v>150</v>
      </c>
      <c r="B73" s="16" t="s">
        <v>151</v>
      </c>
      <c r="C73">
        <v>39518551.178732976</v>
      </c>
      <c r="D73">
        <v>40792386.704589978</v>
      </c>
      <c r="E73">
        <v>90090.090090090001</v>
      </c>
      <c r="F73">
        <v>693693.69369369396</v>
      </c>
      <c r="G73">
        <v>12</v>
      </c>
      <c r="H73">
        <v>8</v>
      </c>
      <c r="I73">
        <v>9</v>
      </c>
      <c r="J73">
        <v>1</v>
      </c>
      <c r="M73">
        <v>13</v>
      </c>
      <c r="N73">
        <v>9</v>
      </c>
      <c r="O73">
        <v>57711171.171171166</v>
      </c>
      <c r="P73">
        <v>23216216.216216218</v>
      </c>
      <c r="Q73">
        <v>27</v>
      </c>
      <c r="R73">
        <v>17</v>
      </c>
      <c r="S73">
        <v>9244774.7747747768</v>
      </c>
      <c r="T73">
        <v>10848189.189189188</v>
      </c>
      <c r="U73">
        <v>42494234.234234229</v>
      </c>
      <c r="V73">
        <v>11500990.990990993</v>
      </c>
      <c r="W73">
        <v>640</v>
      </c>
      <c r="X73">
        <v>719</v>
      </c>
    </row>
    <row r="74" spans="1:24">
      <c r="A74" s="7" t="s">
        <v>152</v>
      </c>
      <c r="B74" s="16" t="s">
        <v>151</v>
      </c>
      <c r="C74">
        <v>392027545.68287104</v>
      </c>
      <c r="D74">
        <v>391259310.6768856</v>
      </c>
      <c r="E74">
        <v>172798300.9009009</v>
      </c>
      <c r="F74">
        <v>554078873.87387383</v>
      </c>
      <c r="G74">
        <v>149</v>
      </c>
      <c r="H74">
        <v>239</v>
      </c>
      <c r="I74">
        <v>28</v>
      </c>
      <c r="J74">
        <v>22</v>
      </c>
      <c r="M74">
        <v>161</v>
      </c>
      <c r="N74">
        <v>266</v>
      </c>
      <c r="O74">
        <v>479763873.87387383</v>
      </c>
      <c r="P74">
        <v>283757279.27927929</v>
      </c>
      <c r="Q74">
        <v>173</v>
      </c>
      <c r="R74">
        <v>123</v>
      </c>
      <c r="S74">
        <v>134123682.88288288</v>
      </c>
      <c r="T74">
        <v>138790081.08108106</v>
      </c>
      <c r="U74">
        <v>395748958.55855852</v>
      </c>
      <c r="V74">
        <v>205044857.65765765</v>
      </c>
      <c r="W74">
        <v>8094</v>
      </c>
      <c r="X74">
        <v>9289</v>
      </c>
    </row>
    <row r="75" spans="1:24">
      <c r="A75" s="7" t="s">
        <v>153</v>
      </c>
      <c r="B75" s="16" t="s">
        <v>154</v>
      </c>
      <c r="C75">
        <v>355251150.60351479</v>
      </c>
      <c r="D75">
        <v>343327235.23322397</v>
      </c>
      <c r="E75">
        <v>20743243.243243244</v>
      </c>
      <c r="F75">
        <v>128267342.34234233</v>
      </c>
      <c r="G75">
        <v>22</v>
      </c>
      <c r="H75">
        <v>47</v>
      </c>
      <c r="I75">
        <v>1</v>
      </c>
      <c r="J75">
        <v>1</v>
      </c>
      <c r="M75">
        <v>25</v>
      </c>
      <c r="N75">
        <v>55</v>
      </c>
      <c r="O75">
        <v>50808243.24324324</v>
      </c>
      <c r="P75">
        <v>45217117.117117122</v>
      </c>
      <c r="Q75">
        <v>55</v>
      </c>
      <c r="R75">
        <v>88</v>
      </c>
      <c r="S75">
        <v>153680313.51351351</v>
      </c>
      <c r="T75">
        <v>141130513.51351351</v>
      </c>
      <c r="U75">
        <v>43315045.045045048</v>
      </c>
      <c r="V75">
        <v>40358468.468468472</v>
      </c>
      <c r="W75">
        <v>6873</v>
      </c>
      <c r="X75">
        <v>7114</v>
      </c>
    </row>
    <row r="76" spans="1:24">
      <c r="A76" s="7" t="s">
        <v>155</v>
      </c>
      <c r="B76" s="16" t="s">
        <v>154</v>
      </c>
      <c r="C76">
        <v>51725642.767696276</v>
      </c>
      <c r="D76">
        <v>40206155.856040366</v>
      </c>
      <c r="E76">
        <v>27927.927927928002</v>
      </c>
      <c r="F76">
        <v>43243.243243245</v>
      </c>
      <c r="G76">
        <v>12</v>
      </c>
      <c r="H76">
        <v>9</v>
      </c>
      <c r="I76">
        <v>3</v>
      </c>
      <c r="J76">
        <v>2</v>
      </c>
      <c r="M76">
        <v>17</v>
      </c>
      <c r="N76">
        <v>12</v>
      </c>
      <c r="O76">
        <v>298198.19819819799</v>
      </c>
      <c r="P76">
        <v>4611711.711711714</v>
      </c>
      <c r="Q76">
        <v>19</v>
      </c>
      <c r="R76">
        <v>33</v>
      </c>
      <c r="S76">
        <v>13916171.171171172</v>
      </c>
      <c r="T76">
        <v>10263729.729729731</v>
      </c>
      <c r="U76">
        <v>631531.53153153195</v>
      </c>
      <c r="V76">
        <v>3932702.702702703</v>
      </c>
      <c r="W76">
        <v>1912</v>
      </c>
      <c r="X76">
        <v>1982</v>
      </c>
    </row>
    <row r="77" spans="1:24">
      <c r="A77" s="7" t="s">
        <v>156</v>
      </c>
      <c r="B77" s="16" t="s">
        <v>154</v>
      </c>
      <c r="C77">
        <v>462544708.29824215</v>
      </c>
      <c r="D77">
        <v>377334503.92197484</v>
      </c>
      <c r="E77">
        <v>112725980.18018018</v>
      </c>
      <c r="F77">
        <v>70368192.792792797</v>
      </c>
      <c r="G77">
        <v>82</v>
      </c>
      <c r="H77">
        <v>23</v>
      </c>
      <c r="I77">
        <v>8</v>
      </c>
      <c r="J77">
        <v>5</v>
      </c>
      <c r="M77">
        <v>135</v>
      </c>
      <c r="N77">
        <v>28</v>
      </c>
      <c r="O77">
        <v>100718315.31531531</v>
      </c>
      <c r="P77">
        <v>92174324.324324325</v>
      </c>
      <c r="Q77">
        <v>120</v>
      </c>
      <c r="R77">
        <v>183</v>
      </c>
      <c r="S77">
        <v>176803684.68468466</v>
      </c>
      <c r="T77">
        <v>146266378.37837836</v>
      </c>
      <c r="U77">
        <v>85563873.873873875</v>
      </c>
      <c r="V77">
        <v>80646666.666666672</v>
      </c>
      <c r="W77">
        <v>8212</v>
      </c>
      <c r="X77">
        <v>7998</v>
      </c>
    </row>
    <row r="78" spans="1:24">
      <c r="A78" s="7" t="s">
        <v>157</v>
      </c>
      <c r="B78" s="16" t="s">
        <v>134</v>
      </c>
      <c r="C78">
        <v>178142342.18271321</v>
      </c>
      <c r="D78">
        <v>177448088.58110711</v>
      </c>
      <c r="E78">
        <v>458558.55855855899</v>
      </c>
      <c r="F78">
        <v>778378.37837838102</v>
      </c>
      <c r="G78">
        <v>41</v>
      </c>
      <c r="H78">
        <v>33</v>
      </c>
      <c r="I78">
        <v>12</v>
      </c>
      <c r="J78">
        <v>6</v>
      </c>
      <c r="K78">
        <v>1</v>
      </c>
      <c r="M78">
        <v>47</v>
      </c>
      <c r="N78">
        <v>39</v>
      </c>
      <c r="O78">
        <v>21071171.171171173</v>
      </c>
      <c r="P78">
        <v>17958566.666666668</v>
      </c>
      <c r="Q78">
        <v>154</v>
      </c>
      <c r="R78">
        <v>127</v>
      </c>
      <c r="S78">
        <v>15330315.315315315</v>
      </c>
      <c r="T78">
        <v>18531180.180180181</v>
      </c>
      <c r="U78">
        <v>8249369.3693693681</v>
      </c>
      <c r="V78">
        <v>7885585.5855855849</v>
      </c>
      <c r="W78">
        <v>4463</v>
      </c>
      <c r="X78">
        <v>4498</v>
      </c>
    </row>
    <row r="79" spans="1:24">
      <c r="A79" s="7" t="s">
        <v>1</v>
      </c>
      <c r="B79" s="16" t="s">
        <v>158</v>
      </c>
      <c r="C79">
        <v>316383017.00627351</v>
      </c>
      <c r="D79">
        <v>316739856.08267534</v>
      </c>
      <c r="E79">
        <v>561711.71171171404</v>
      </c>
      <c r="F79">
        <v>2364864.8648648672</v>
      </c>
      <c r="G79">
        <v>205</v>
      </c>
      <c r="H79">
        <v>65</v>
      </c>
      <c r="I79">
        <v>12</v>
      </c>
      <c r="J79">
        <v>12</v>
      </c>
      <c r="K79">
        <v>2</v>
      </c>
      <c r="M79">
        <v>442</v>
      </c>
      <c r="N79">
        <v>344</v>
      </c>
      <c r="O79">
        <v>33315045.045045044</v>
      </c>
      <c r="P79">
        <v>38258108.108108111</v>
      </c>
      <c r="Q79">
        <v>172</v>
      </c>
      <c r="R79">
        <v>87</v>
      </c>
      <c r="S79">
        <v>144512971.17117116</v>
      </c>
      <c r="T79">
        <v>152240720.72072071</v>
      </c>
      <c r="U79">
        <v>34175675.675675675</v>
      </c>
      <c r="V79">
        <v>35638918.918918923</v>
      </c>
      <c r="W79">
        <v>6777</v>
      </c>
      <c r="X79">
        <v>8198</v>
      </c>
    </row>
    <row r="80" spans="1:24">
      <c r="A80" s="7" t="s">
        <v>159</v>
      </c>
      <c r="B80" s="16" t="s">
        <v>121</v>
      </c>
      <c r="C80">
        <v>13250483.252906164</v>
      </c>
      <c r="D80">
        <v>12133380.737509668</v>
      </c>
      <c r="G80">
        <v>3</v>
      </c>
      <c r="H80">
        <v>5</v>
      </c>
      <c r="M80">
        <v>3</v>
      </c>
      <c r="N80">
        <v>6</v>
      </c>
      <c r="O80">
        <v>972972.97297297302</v>
      </c>
      <c r="Q80">
        <v>8</v>
      </c>
      <c r="S80">
        <v>1400540.5405405411</v>
      </c>
      <c r="T80">
        <v>1137882.8828828831</v>
      </c>
      <c r="U80">
        <v>348468.468468468</v>
      </c>
      <c r="V80">
        <v>29729.729729729999</v>
      </c>
      <c r="W80">
        <v>632</v>
      </c>
      <c r="X80">
        <v>482</v>
      </c>
    </row>
    <row r="81" spans="1:24">
      <c r="A81" s="7" t="s">
        <v>160</v>
      </c>
      <c r="B81" s="16" t="s">
        <v>161</v>
      </c>
      <c r="C81">
        <v>162689052.83274019</v>
      </c>
      <c r="D81">
        <v>167390838.35909134</v>
      </c>
      <c r="E81">
        <v>62286861.261261269</v>
      </c>
      <c r="F81">
        <v>48848528.828828834</v>
      </c>
      <c r="G81">
        <v>83</v>
      </c>
      <c r="H81">
        <v>134</v>
      </c>
      <c r="I81">
        <v>34</v>
      </c>
      <c r="J81">
        <v>36</v>
      </c>
      <c r="M81">
        <v>103</v>
      </c>
      <c r="N81">
        <v>205</v>
      </c>
      <c r="O81">
        <v>47167491.891891889</v>
      </c>
      <c r="P81">
        <v>55076503.603603609</v>
      </c>
      <c r="Q81">
        <v>260</v>
      </c>
      <c r="R81">
        <v>109</v>
      </c>
      <c r="S81">
        <v>68858873.873873875</v>
      </c>
      <c r="T81">
        <v>72624774.774774775</v>
      </c>
      <c r="U81">
        <v>47849909.909909904</v>
      </c>
      <c r="V81">
        <v>43017927.927927934</v>
      </c>
      <c r="W81">
        <v>5904</v>
      </c>
      <c r="X81">
        <v>5955</v>
      </c>
    </row>
    <row r="82" spans="1:24">
      <c r="A82" s="7" t="s">
        <v>162</v>
      </c>
      <c r="B82" s="16" t="s">
        <v>76</v>
      </c>
      <c r="C82">
        <v>76547615.895663098</v>
      </c>
      <c r="D82">
        <v>74934550.074392691</v>
      </c>
      <c r="E82">
        <v>191891.89189189201</v>
      </c>
      <c r="F82">
        <v>312612.612612614</v>
      </c>
      <c r="G82">
        <v>16</v>
      </c>
      <c r="H82">
        <v>35</v>
      </c>
      <c r="I82">
        <v>1</v>
      </c>
      <c r="J82">
        <v>0</v>
      </c>
      <c r="M82">
        <v>18</v>
      </c>
      <c r="N82">
        <v>37</v>
      </c>
      <c r="O82">
        <v>1286486.4864864859</v>
      </c>
      <c r="P82">
        <v>1456756.7567567569</v>
      </c>
      <c r="Q82">
        <v>10</v>
      </c>
      <c r="R82">
        <v>9</v>
      </c>
      <c r="S82">
        <v>4492117.1171171172</v>
      </c>
      <c r="T82">
        <v>4139414.4144144151</v>
      </c>
      <c r="U82">
        <v>1249729.729729729</v>
      </c>
      <c r="V82">
        <v>1193963.963963964</v>
      </c>
      <c r="W82">
        <v>979</v>
      </c>
      <c r="X82">
        <v>932</v>
      </c>
    </row>
    <row r="83" spans="1:24">
      <c r="A83" s="7" t="s">
        <v>163</v>
      </c>
      <c r="B83" s="16" t="s">
        <v>52</v>
      </c>
      <c r="C83">
        <v>58115847.087594718</v>
      </c>
      <c r="D83">
        <v>58641961.446843162</v>
      </c>
      <c r="E83">
        <v>808783.78378378402</v>
      </c>
      <c r="F83">
        <v>881081.08108108095</v>
      </c>
      <c r="G83">
        <v>9</v>
      </c>
      <c r="H83">
        <v>26</v>
      </c>
      <c r="I83">
        <v>1</v>
      </c>
      <c r="J83">
        <v>2</v>
      </c>
      <c r="M83">
        <v>11</v>
      </c>
      <c r="N83">
        <v>28</v>
      </c>
      <c r="O83">
        <v>1731531.5315315321</v>
      </c>
      <c r="P83">
        <v>1097297.297297297</v>
      </c>
      <c r="Q83">
        <v>1</v>
      </c>
      <c r="R83">
        <v>8</v>
      </c>
      <c r="S83">
        <v>28519549.549549554</v>
      </c>
      <c r="T83">
        <v>28760990.990990993</v>
      </c>
      <c r="U83">
        <v>1431891.891891893</v>
      </c>
      <c r="V83">
        <v>1280450.4504504511</v>
      </c>
      <c r="W83">
        <v>1536</v>
      </c>
      <c r="X83">
        <v>1589</v>
      </c>
    </row>
    <row r="84" spans="1:24">
      <c r="A84" s="7" t="s">
        <v>164</v>
      </c>
      <c r="B84" s="16" t="s">
        <v>87</v>
      </c>
      <c r="C84">
        <v>50065814.681361251</v>
      </c>
      <c r="D84">
        <v>29891655.22171222</v>
      </c>
      <c r="E84">
        <v>44144.144144143997</v>
      </c>
      <c r="F84">
        <v>54054.054054054002</v>
      </c>
      <c r="G84">
        <v>78</v>
      </c>
      <c r="H84">
        <v>9</v>
      </c>
      <c r="I84">
        <v>1</v>
      </c>
      <c r="J84">
        <v>1</v>
      </c>
      <c r="M84">
        <v>82</v>
      </c>
      <c r="N84">
        <v>10</v>
      </c>
      <c r="O84">
        <v>1909009.0090090081</v>
      </c>
      <c r="P84">
        <v>264864.86486486398</v>
      </c>
      <c r="Q84">
        <v>32</v>
      </c>
      <c r="R84">
        <v>9</v>
      </c>
      <c r="S84">
        <v>5226351.3513513505</v>
      </c>
      <c r="T84">
        <v>2762972.9729729728</v>
      </c>
      <c r="U84">
        <v>2334594.594594595</v>
      </c>
      <c r="V84">
        <v>258918.918918918</v>
      </c>
      <c r="W84">
        <v>1232</v>
      </c>
      <c r="X84">
        <v>1142</v>
      </c>
    </row>
    <row r="85" spans="1:24">
      <c r="A85" s="7" t="s">
        <v>165</v>
      </c>
      <c r="B85" s="16" t="s">
        <v>143</v>
      </c>
      <c r="C85">
        <v>9262239.8094952367</v>
      </c>
      <c r="D85">
        <v>10326008.276031783</v>
      </c>
      <c r="E85">
        <v>14414.414414413999</v>
      </c>
      <c r="F85">
        <v>94594.594594594993</v>
      </c>
      <c r="G85">
        <v>6</v>
      </c>
      <c r="H85">
        <v>8</v>
      </c>
      <c r="I85">
        <v>3</v>
      </c>
      <c r="J85">
        <v>2</v>
      </c>
      <c r="M85">
        <v>8</v>
      </c>
      <c r="N85">
        <v>8</v>
      </c>
      <c r="O85">
        <v>2374774.774774774</v>
      </c>
      <c r="P85">
        <v>995495.49549549504</v>
      </c>
      <c r="Q85">
        <v>25</v>
      </c>
      <c r="R85">
        <v>2</v>
      </c>
      <c r="S85">
        <v>1092162.1621621619</v>
      </c>
      <c r="T85">
        <v>1224702.702702703</v>
      </c>
      <c r="U85">
        <v>1750450.4504504499</v>
      </c>
      <c r="V85">
        <v>386126.12612612598</v>
      </c>
      <c r="W85">
        <v>312</v>
      </c>
      <c r="X85">
        <v>351</v>
      </c>
    </row>
    <row r="86" spans="1:24">
      <c r="A86" s="7" t="s">
        <v>166</v>
      </c>
      <c r="B86" s="16" t="s">
        <v>167</v>
      </c>
      <c r="C86">
        <v>37977652.689194895</v>
      </c>
      <c r="D86">
        <v>41851208.133037761</v>
      </c>
      <c r="E86">
        <v>11711.711711712</v>
      </c>
      <c r="F86">
        <v>640540.54054054106</v>
      </c>
      <c r="G86">
        <v>23</v>
      </c>
      <c r="H86">
        <v>10</v>
      </c>
      <c r="I86">
        <v>3</v>
      </c>
      <c r="J86">
        <v>2</v>
      </c>
      <c r="M86">
        <v>26</v>
      </c>
      <c r="N86">
        <v>10</v>
      </c>
      <c r="O86">
        <v>4307387.3873873902</v>
      </c>
      <c r="P86">
        <v>3434684.684684685</v>
      </c>
      <c r="Q86">
        <v>10</v>
      </c>
      <c r="R86">
        <v>32</v>
      </c>
      <c r="S86">
        <v>18113468.468468469</v>
      </c>
      <c r="T86">
        <v>20035457.657657657</v>
      </c>
      <c r="U86">
        <v>4233423.4234234262</v>
      </c>
      <c r="V86">
        <v>3440630.6306306301</v>
      </c>
      <c r="W86">
        <v>1472</v>
      </c>
      <c r="X86">
        <v>1401</v>
      </c>
    </row>
    <row r="87" spans="1:24">
      <c r="A87" s="7" t="s">
        <v>168</v>
      </c>
      <c r="B87" s="16" t="s">
        <v>169</v>
      </c>
      <c r="C87">
        <v>184321137.81989279</v>
      </c>
      <c r="D87">
        <v>190675586.09313601</v>
      </c>
      <c r="E87">
        <v>337387.38738738699</v>
      </c>
      <c r="F87">
        <v>1415315.3153153169</v>
      </c>
      <c r="G87">
        <v>39</v>
      </c>
      <c r="H87">
        <v>40</v>
      </c>
      <c r="I87">
        <v>4</v>
      </c>
      <c r="J87">
        <v>3</v>
      </c>
      <c r="K87">
        <v>1</v>
      </c>
      <c r="M87">
        <v>50</v>
      </c>
      <c r="N87">
        <v>46</v>
      </c>
      <c r="O87">
        <v>25715765.765765764</v>
      </c>
      <c r="P87">
        <v>31902051.351351347</v>
      </c>
      <c r="Q87">
        <v>125</v>
      </c>
      <c r="R87">
        <v>28</v>
      </c>
      <c r="S87">
        <v>51437234.234234229</v>
      </c>
      <c r="T87">
        <v>60040849.0990991</v>
      </c>
      <c r="U87">
        <v>23079909.909909911</v>
      </c>
      <c r="V87">
        <v>31400000</v>
      </c>
      <c r="W87">
        <v>6102</v>
      </c>
      <c r="X87">
        <v>6375</v>
      </c>
    </row>
    <row r="88" spans="1:24">
      <c r="A88" s="7" t="s">
        <v>170</v>
      </c>
      <c r="B88" s="16" t="s">
        <v>54</v>
      </c>
      <c r="C88">
        <v>28321309.987387031</v>
      </c>
      <c r="D88">
        <v>28119575.738642659</v>
      </c>
      <c r="E88">
        <v>43243.243243243996</v>
      </c>
      <c r="F88">
        <v>381081.08108108101</v>
      </c>
      <c r="G88">
        <v>2</v>
      </c>
      <c r="H88">
        <v>1</v>
      </c>
      <c r="I88">
        <v>1</v>
      </c>
      <c r="J88">
        <v>1</v>
      </c>
      <c r="M88">
        <v>4</v>
      </c>
      <c r="N88">
        <v>2</v>
      </c>
      <c r="O88">
        <v>4795495.4954954963</v>
      </c>
      <c r="P88">
        <v>2680630.630630631</v>
      </c>
      <c r="Q88">
        <v>15</v>
      </c>
      <c r="R88">
        <v>6</v>
      </c>
      <c r="S88">
        <v>4458918.9189189188</v>
      </c>
      <c r="T88">
        <v>4518603.6036036042</v>
      </c>
      <c r="U88">
        <v>3574774.774774774</v>
      </c>
      <c r="V88">
        <v>3035855.8558558561</v>
      </c>
      <c r="W88">
        <v>687</v>
      </c>
      <c r="X88">
        <v>681</v>
      </c>
    </row>
    <row r="89" spans="1:24">
      <c r="A89" s="7" t="s">
        <v>171</v>
      </c>
      <c r="B89" s="16" t="s">
        <v>60</v>
      </c>
      <c r="C89">
        <v>609800519.62546563</v>
      </c>
      <c r="D89">
        <v>591628538.09040439</v>
      </c>
      <c r="E89">
        <v>3924549.5495495498</v>
      </c>
      <c r="F89">
        <v>7290090.0900900913</v>
      </c>
      <c r="G89">
        <v>134</v>
      </c>
      <c r="H89">
        <v>146</v>
      </c>
      <c r="I89">
        <v>24</v>
      </c>
      <c r="J89">
        <v>29</v>
      </c>
      <c r="M89">
        <v>143</v>
      </c>
      <c r="N89">
        <v>174</v>
      </c>
      <c r="O89">
        <v>36938738.738738738</v>
      </c>
      <c r="P89">
        <v>29511711.711711712</v>
      </c>
      <c r="Q89">
        <v>276</v>
      </c>
      <c r="R89">
        <v>141</v>
      </c>
      <c r="S89">
        <v>208946103.6036036</v>
      </c>
      <c r="T89">
        <v>218373504.5045045</v>
      </c>
      <c r="U89">
        <v>36881621.621621624</v>
      </c>
      <c r="V89">
        <v>29452162.162162159</v>
      </c>
      <c r="W89">
        <v>11579</v>
      </c>
      <c r="X89">
        <v>12330</v>
      </c>
    </row>
    <row r="90" spans="1:24">
      <c r="A90" s="7" t="s">
        <v>172</v>
      </c>
      <c r="B90" s="16" t="s">
        <v>121</v>
      </c>
      <c r="C90">
        <v>250146509.14719141</v>
      </c>
      <c r="D90">
        <v>242267217.85106248</v>
      </c>
      <c r="E90">
        <v>1150450.450450453</v>
      </c>
      <c r="F90">
        <v>1502702.7027027039</v>
      </c>
      <c r="G90">
        <v>153</v>
      </c>
      <c r="H90">
        <v>92</v>
      </c>
      <c r="I90">
        <v>15</v>
      </c>
      <c r="J90">
        <v>13</v>
      </c>
      <c r="M90">
        <v>170</v>
      </c>
      <c r="N90">
        <v>103</v>
      </c>
      <c r="O90">
        <v>18502702.702702701</v>
      </c>
      <c r="P90">
        <v>15707207.207207205</v>
      </c>
      <c r="Q90">
        <v>90</v>
      </c>
      <c r="R90">
        <v>29</v>
      </c>
      <c r="S90">
        <v>35318693.69369369</v>
      </c>
      <c r="T90">
        <v>33466295.045045044</v>
      </c>
      <c r="U90">
        <v>13015405.405405404</v>
      </c>
      <c r="V90">
        <v>10141981.981981982</v>
      </c>
      <c r="W90">
        <v>5927</v>
      </c>
      <c r="X90">
        <v>5657</v>
      </c>
    </row>
    <row r="91" spans="1:24">
      <c r="A91" s="7" t="s">
        <v>173</v>
      </c>
      <c r="B91" s="16" t="s">
        <v>174</v>
      </c>
      <c r="C91">
        <v>183813515.52795205</v>
      </c>
      <c r="D91">
        <v>176258078.47670162</v>
      </c>
      <c r="E91">
        <v>130750256.75675675</v>
      </c>
      <c r="F91">
        <v>94292597.297297299</v>
      </c>
      <c r="G91">
        <v>56</v>
      </c>
      <c r="H91">
        <v>85</v>
      </c>
      <c r="I91">
        <v>16</v>
      </c>
      <c r="J91">
        <v>13</v>
      </c>
      <c r="K91">
        <v>5</v>
      </c>
      <c r="M91">
        <v>67</v>
      </c>
      <c r="N91">
        <v>146</v>
      </c>
      <c r="O91">
        <v>34722972.972972974</v>
      </c>
      <c r="P91">
        <v>38468918.918918915</v>
      </c>
      <c r="Q91">
        <v>394</v>
      </c>
      <c r="R91">
        <v>227</v>
      </c>
      <c r="S91">
        <v>21899432.432432432</v>
      </c>
      <c r="T91">
        <v>21177972.972972974</v>
      </c>
      <c r="U91">
        <v>20179369.369369369</v>
      </c>
      <c r="V91">
        <v>23908648.648648649</v>
      </c>
      <c r="W91">
        <v>4809</v>
      </c>
      <c r="X91">
        <v>5941</v>
      </c>
    </row>
    <row r="92" spans="1:24">
      <c r="A92" s="7" t="s">
        <v>175</v>
      </c>
      <c r="B92" s="16" t="s">
        <v>174</v>
      </c>
      <c r="C92">
        <v>276792105.48825604</v>
      </c>
      <c r="D92">
        <v>277350343.09263986</v>
      </c>
      <c r="E92">
        <v>679279.27927928499</v>
      </c>
      <c r="F92">
        <v>1787162.162162164</v>
      </c>
      <c r="G92">
        <v>112</v>
      </c>
      <c r="H92">
        <v>127</v>
      </c>
      <c r="I92">
        <v>26</v>
      </c>
      <c r="J92">
        <v>12</v>
      </c>
      <c r="K92">
        <v>1</v>
      </c>
      <c r="M92">
        <v>138</v>
      </c>
      <c r="N92">
        <v>164</v>
      </c>
      <c r="O92">
        <v>48384684.684684686</v>
      </c>
      <c r="P92">
        <v>35517567.567567565</v>
      </c>
      <c r="Q92">
        <v>396</v>
      </c>
      <c r="R92">
        <v>186</v>
      </c>
      <c r="S92">
        <v>49428536.936936937</v>
      </c>
      <c r="T92">
        <v>46615864.864864863</v>
      </c>
      <c r="U92">
        <v>40258825.225225233</v>
      </c>
      <c r="V92">
        <v>29036576.576576576</v>
      </c>
      <c r="W92">
        <v>8413</v>
      </c>
      <c r="X92">
        <v>8663</v>
      </c>
    </row>
    <row r="93" spans="1:24">
      <c r="A93" s="7" t="s">
        <v>176</v>
      </c>
      <c r="B93" s="16" t="s">
        <v>174</v>
      </c>
      <c r="C93">
        <v>375699460.62563688</v>
      </c>
      <c r="D93">
        <v>375806579.95433962</v>
      </c>
      <c r="E93">
        <v>426126.12612612802</v>
      </c>
      <c r="F93">
        <v>1595720.720720727</v>
      </c>
      <c r="G93">
        <v>181</v>
      </c>
      <c r="H93">
        <v>181</v>
      </c>
      <c r="I93">
        <v>19</v>
      </c>
      <c r="J93">
        <v>17</v>
      </c>
      <c r="K93">
        <v>4</v>
      </c>
      <c r="M93">
        <v>244</v>
      </c>
      <c r="N93">
        <v>231</v>
      </c>
      <c r="O93">
        <v>55159016.216216214</v>
      </c>
      <c r="P93">
        <v>37625225.225225225</v>
      </c>
      <c r="Q93">
        <v>372</v>
      </c>
      <c r="R93">
        <v>86</v>
      </c>
      <c r="S93">
        <v>64318436.936936937</v>
      </c>
      <c r="T93">
        <v>56815355.855855852</v>
      </c>
      <c r="U93">
        <v>36883513.513513513</v>
      </c>
      <c r="V93">
        <v>30394774.774774775</v>
      </c>
      <c r="W93">
        <v>11316</v>
      </c>
      <c r="X93">
        <v>11934</v>
      </c>
    </row>
    <row r="94" spans="1:24">
      <c r="A94" s="7" t="s">
        <v>177</v>
      </c>
      <c r="B94" s="16" t="s">
        <v>178</v>
      </c>
      <c r="C94">
        <v>133907466.45371382</v>
      </c>
      <c r="D94">
        <v>125515118.59354813</v>
      </c>
      <c r="E94">
        <v>541441.441441442</v>
      </c>
      <c r="F94">
        <v>255855.855855856</v>
      </c>
      <c r="G94">
        <v>43</v>
      </c>
      <c r="H94">
        <v>17</v>
      </c>
      <c r="I94">
        <v>0</v>
      </c>
      <c r="J94">
        <v>4</v>
      </c>
      <c r="M94">
        <v>51</v>
      </c>
      <c r="N94">
        <v>24</v>
      </c>
      <c r="O94">
        <v>6184770.2702702694</v>
      </c>
      <c r="P94">
        <v>9372297.2972972952</v>
      </c>
      <c r="Q94">
        <v>6</v>
      </c>
      <c r="R94">
        <v>12</v>
      </c>
      <c r="S94">
        <v>45871801.801801801</v>
      </c>
      <c r="T94">
        <v>51017376.576576576</v>
      </c>
      <c r="U94">
        <v>4571981.9819819815</v>
      </c>
      <c r="V94">
        <v>8898243.2432432417</v>
      </c>
      <c r="W94">
        <v>3604</v>
      </c>
      <c r="X94">
        <v>3605</v>
      </c>
    </row>
    <row r="95" spans="1:24">
      <c r="A95" s="7" t="s">
        <v>179</v>
      </c>
      <c r="B95" s="16" t="s">
        <v>167</v>
      </c>
      <c r="C95">
        <v>170135925.14684361</v>
      </c>
      <c r="D95">
        <v>146525054.42775714</v>
      </c>
      <c r="E95">
        <v>613513.51351351396</v>
      </c>
      <c r="F95">
        <v>1774549.5495495501</v>
      </c>
      <c r="G95">
        <v>63</v>
      </c>
      <c r="H95">
        <v>25</v>
      </c>
      <c r="I95">
        <v>1</v>
      </c>
      <c r="J95">
        <v>3</v>
      </c>
      <c r="M95">
        <v>75</v>
      </c>
      <c r="N95">
        <v>38</v>
      </c>
      <c r="O95">
        <v>6321981.9819819834</v>
      </c>
      <c r="P95">
        <v>3296396.396396399</v>
      </c>
      <c r="Q95">
        <v>43</v>
      </c>
      <c r="S95">
        <v>42050261.261261262</v>
      </c>
      <c r="T95">
        <v>37134378.378378376</v>
      </c>
      <c r="U95">
        <v>7640900.9009009032</v>
      </c>
      <c r="V95">
        <v>1509729.7297297311</v>
      </c>
      <c r="W95">
        <v>4540</v>
      </c>
      <c r="X95">
        <v>4642</v>
      </c>
    </row>
    <row r="96" spans="1:24">
      <c r="A96" s="7" t="s">
        <v>180</v>
      </c>
      <c r="B96" s="16" t="s">
        <v>181</v>
      </c>
      <c r="C96">
        <v>127482561.0159473</v>
      </c>
      <c r="D96">
        <v>120124240.81750913</v>
      </c>
      <c r="E96">
        <v>5405.4054054059998</v>
      </c>
      <c r="F96">
        <v>297297.29729729798</v>
      </c>
      <c r="G96">
        <v>17</v>
      </c>
      <c r="H96">
        <v>22</v>
      </c>
      <c r="I96">
        <v>1</v>
      </c>
      <c r="J96">
        <v>1</v>
      </c>
      <c r="M96">
        <v>18</v>
      </c>
      <c r="N96">
        <v>23</v>
      </c>
      <c r="O96">
        <v>8533783.7837837841</v>
      </c>
      <c r="P96">
        <v>4549549.5495495489</v>
      </c>
      <c r="Q96">
        <v>44</v>
      </c>
      <c r="R96">
        <v>54</v>
      </c>
      <c r="S96">
        <v>26617792.792792793</v>
      </c>
      <c r="T96">
        <v>30187164.414414417</v>
      </c>
      <c r="U96">
        <v>10159909.909909908</v>
      </c>
      <c r="V96">
        <v>7721441.441441441</v>
      </c>
      <c r="W96">
        <v>2995</v>
      </c>
      <c r="X96">
        <v>3080</v>
      </c>
    </row>
    <row r="97" spans="1:24">
      <c r="A97" s="7" t="s">
        <v>667</v>
      </c>
      <c r="B97" s="16" t="s">
        <v>68</v>
      </c>
      <c r="E97">
        <v>16868693.693693694</v>
      </c>
      <c r="F97">
        <v>14054054.054054054</v>
      </c>
      <c r="O97">
        <v>2383783.7837837841</v>
      </c>
      <c r="P97">
        <v>1818918.9189189191</v>
      </c>
    </row>
    <row r="98" spans="1:24">
      <c r="A98" s="7" t="s">
        <v>182</v>
      </c>
      <c r="B98" s="16" t="s">
        <v>94</v>
      </c>
      <c r="C98">
        <v>106908404.78670131</v>
      </c>
      <c r="D98">
        <v>120031464.96645397</v>
      </c>
      <c r="E98">
        <v>141441.44144144101</v>
      </c>
      <c r="F98">
        <v>40540.540540540998</v>
      </c>
      <c r="G98">
        <v>38</v>
      </c>
      <c r="H98">
        <v>37</v>
      </c>
      <c r="I98">
        <v>0</v>
      </c>
      <c r="J98">
        <v>0</v>
      </c>
      <c r="M98">
        <v>44</v>
      </c>
      <c r="N98">
        <v>47</v>
      </c>
      <c r="O98">
        <v>141441.44144144101</v>
      </c>
      <c r="P98">
        <v>4463963.9639639631</v>
      </c>
      <c r="R98">
        <v>17</v>
      </c>
      <c r="S98">
        <v>9365450.450450452</v>
      </c>
      <c r="T98">
        <v>12940486.486486487</v>
      </c>
      <c r="U98">
        <v>621081.08108108095</v>
      </c>
      <c r="V98">
        <v>1418558.558558559</v>
      </c>
      <c r="W98">
        <v>3694</v>
      </c>
      <c r="X98">
        <v>3876</v>
      </c>
    </row>
    <row r="99" spans="1:24">
      <c r="A99" s="7" t="s">
        <v>183</v>
      </c>
      <c r="B99" s="16" t="s">
        <v>94</v>
      </c>
      <c r="C99">
        <v>761605071.24063611</v>
      </c>
      <c r="D99">
        <v>729516393.80367255</v>
      </c>
      <c r="E99">
        <v>544260649.54954958</v>
      </c>
      <c r="F99">
        <v>961992856.75675678</v>
      </c>
      <c r="G99">
        <v>176</v>
      </c>
      <c r="H99">
        <v>144</v>
      </c>
      <c r="I99">
        <v>27</v>
      </c>
      <c r="J99">
        <v>22</v>
      </c>
      <c r="K99">
        <v>1</v>
      </c>
      <c r="M99">
        <v>204</v>
      </c>
      <c r="N99">
        <v>182</v>
      </c>
      <c r="O99">
        <v>42823873.873873875</v>
      </c>
      <c r="P99">
        <v>49183333.333333328</v>
      </c>
      <c r="Q99">
        <v>110</v>
      </c>
      <c r="R99">
        <v>523</v>
      </c>
      <c r="S99">
        <v>86704707.207207218</v>
      </c>
      <c r="T99">
        <v>90046132.882882878</v>
      </c>
      <c r="U99">
        <v>36044414.414414406</v>
      </c>
      <c r="V99">
        <v>40850540.540540546</v>
      </c>
      <c r="W99">
        <v>16316</v>
      </c>
      <c r="X99">
        <v>16190</v>
      </c>
    </row>
    <row r="100" spans="1:24">
      <c r="A100" s="7" t="s">
        <v>184</v>
      </c>
      <c r="B100" s="16" t="s">
        <v>89</v>
      </c>
      <c r="C100">
        <v>67540872.54092136</v>
      </c>
      <c r="D100">
        <v>64911321.756374747</v>
      </c>
      <c r="E100">
        <v>66722972.972972974</v>
      </c>
      <c r="F100">
        <v>135087162.16216215</v>
      </c>
      <c r="G100">
        <v>13</v>
      </c>
      <c r="H100">
        <v>17</v>
      </c>
      <c r="I100">
        <v>2</v>
      </c>
      <c r="J100">
        <v>5</v>
      </c>
      <c r="M100">
        <v>14</v>
      </c>
      <c r="N100">
        <v>18</v>
      </c>
      <c r="O100">
        <v>3233783.7837837832</v>
      </c>
      <c r="P100">
        <v>3869729.7297297302</v>
      </c>
      <c r="Q100">
        <v>31</v>
      </c>
      <c r="R100">
        <v>45</v>
      </c>
      <c r="S100">
        <v>21360900.9009009</v>
      </c>
      <c r="T100">
        <v>21765342.342342343</v>
      </c>
      <c r="U100">
        <v>2694774.7747747749</v>
      </c>
      <c r="V100">
        <v>3248288.2882882892</v>
      </c>
      <c r="W100">
        <v>1839</v>
      </c>
      <c r="X100">
        <v>1598</v>
      </c>
    </row>
    <row r="101" spans="1:24">
      <c r="A101" s="7" t="s">
        <v>185</v>
      </c>
      <c r="B101" s="16" t="s">
        <v>60</v>
      </c>
      <c r="C101">
        <v>36875893.028355695</v>
      </c>
      <c r="D101">
        <v>38715768.496736959</v>
      </c>
      <c r="E101">
        <v>360360.36036036001</v>
      </c>
      <c r="F101">
        <v>259459.45945946101</v>
      </c>
      <c r="G101">
        <v>5</v>
      </c>
      <c r="H101">
        <v>10</v>
      </c>
      <c r="I101">
        <v>1</v>
      </c>
      <c r="J101">
        <v>3</v>
      </c>
      <c r="M101">
        <v>5</v>
      </c>
      <c r="N101">
        <v>11</v>
      </c>
      <c r="O101">
        <v>2305855.8558558561</v>
      </c>
      <c r="P101">
        <v>1250450.450450452</v>
      </c>
      <c r="Q101">
        <v>13</v>
      </c>
      <c r="S101">
        <v>13308738.73873874</v>
      </c>
      <c r="T101">
        <v>13455605.855855856</v>
      </c>
      <c r="U101">
        <v>1778828.8288288279</v>
      </c>
      <c r="V101">
        <v>892342.34234234295</v>
      </c>
      <c r="W101">
        <v>799</v>
      </c>
      <c r="X101">
        <v>801</v>
      </c>
    </row>
    <row r="102" spans="1:24">
      <c r="A102" s="7" t="s">
        <v>186</v>
      </c>
      <c r="B102" s="16" t="s">
        <v>167</v>
      </c>
      <c r="C102">
        <v>90166199.304220259</v>
      </c>
      <c r="D102">
        <v>97429337.777354971</v>
      </c>
      <c r="E102">
        <v>7207.207207208</v>
      </c>
      <c r="F102">
        <v>1630405.4054054059</v>
      </c>
      <c r="G102">
        <v>17</v>
      </c>
      <c r="H102">
        <v>4</v>
      </c>
      <c r="I102">
        <v>2</v>
      </c>
      <c r="J102">
        <v>5</v>
      </c>
      <c r="M102">
        <v>26</v>
      </c>
      <c r="N102">
        <v>5</v>
      </c>
      <c r="O102">
        <v>268468.468468468</v>
      </c>
      <c r="P102">
        <v>1671171.1711711721</v>
      </c>
      <c r="S102">
        <v>22546846.846846849</v>
      </c>
      <c r="T102">
        <v>26233765.765765768</v>
      </c>
      <c r="U102">
        <v>396396.39639639598</v>
      </c>
      <c r="V102">
        <v>268828.82882882899</v>
      </c>
      <c r="W102">
        <v>2747</v>
      </c>
      <c r="X102">
        <v>2720</v>
      </c>
    </row>
    <row r="103" spans="1:24">
      <c r="A103" s="7" t="s">
        <v>187</v>
      </c>
      <c r="B103" s="16" t="s">
        <v>167</v>
      </c>
      <c r="C103">
        <v>273377047.81456077</v>
      </c>
      <c r="D103">
        <v>256058076.17113718</v>
      </c>
      <c r="E103">
        <v>20720.720720722002</v>
      </c>
      <c r="F103">
        <v>433333.33333333698</v>
      </c>
      <c r="G103">
        <v>74</v>
      </c>
      <c r="H103">
        <v>26</v>
      </c>
      <c r="I103">
        <v>3</v>
      </c>
      <c r="J103">
        <v>6</v>
      </c>
      <c r="M103">
        <v>82</v>
      </c>
      <c r="N103">
        <v>27</v>
      </c>
      <c r="O103">
        <v>8011711.711711714</v>
      </c>
      <c r="P103">
        <v>9803184.6846846864</v>
      </c>
      <c r="Q103">
        <v>30</v>
      </c>
      <c r="R103">
        <v>15</v>
      </c>
      <c r="S103">
        <v>54647666.666666664</v>
      </c>
      <c r="T103">
        <v>51934333.333333336</v>
      </c>
      <c r="U103">
        <v>7522342.3423423413</v>
      </c>
      <c r="V103">
        <v>7131441.4414414456</v>
      </c>
      <c r="W103">
        <v>5758</v>
      </c>
      <c r="X103">
        <v>5150</v>
      </c>
    </row>
    <row r="104" spans="1:24">
      <c r="A104" s="7" t="s">
        <v>188</v>
      </c>
      <c r="B104" s="16" t="s">
        <v>189</v>
      </c>
      <c r="C104">
        <v>120193239.57606927</v>
      </c>
      <c r="D104">
        <v>114429996.41073197</v>
      </c>
      <c r="E104">
        <v>630630.630630631</v>
      </c>
      <c r="F104">
        <v>270270.27027027</v>
      </c>
      <c r="G104">
        <v>15</v>
      </c>
      <c r="H104">
        <v>19</v>
      </c>
      <c r="M104">
        <v>17</v>
      </c>
      <c r="N104">
        <v>19</v>
      </c>
      <c r="O104">
        <v>2612612.612612613</v>
      </c>
      <c r="P104">
        <v>1621621.621621622</v>
      </c>
      <c r="S104">
        <v>9463693.6936936937</v>
      </c>
      <c r="T104">
        <v>7873594.594594595</v>
      </c>
      <c r="U104">
        <v>2091441.441441441</v>
      </c>
      <c r="V104">
        <v>1300000</v>
      </c>
      <c r="W104">
        <v>1698</v>
      </c>
      <c r="X104">
        <v>1689</v>
      </c>
    </row>
    <row r="105" spans="1:24">
      <c r="A105" s="7" t="s">
        <v>190</v>
      </c>
      <c r="B105" s="16" t="s">
        <v>134</v>
      </c>
      <c r="C105">
        <v>26534400.436342817</v>
      </c>
      <c r="D105">
        <v>27503832.990642946</v>
      </c>
      <c r="F105">
        <v>13513.513513514001</v>
      </c>
      <c r="G105">
        <v>14</v>
      </c>
      <c r="H105">
        <v>17</v>
      </c>
      <c r="J105">
        <v>0</v>
      </c>
      <c r="M105">
        <v>14</v>
      </c>
      <c r="N105">
        <v>19</v>
      </c>
      <c r="O105">
        <v>45045.045045045001</v>
      </c>
      <c r="P105">
        <v>13513.513513514001</v>
      </c>
      <c r="Q105">
        <v>5</v>
      </c>
      <c r="R105">
        <v>1</v>
      </c>
      <c r="S105">
        <v>2765675.6756756762</v>
      </c>
      <c r="T105">
        <v>2045180.1801801799</v>
      </c>
      <c r="U105">
        <v>45045.045045045001</v>
      </c>
      <c r="V105">
        <v>121621.62162162201</v>
      </c>
      <c r="W105">
        <v>1329</v>
      </c>
      <c r="X105">
        <v>960</v>
      </c>
    </row>
    <row r="106" spans="1:24">
      <c r="A106" s="7" t="s">
        <v>191</v>
      </c>
      <c r="B106" s="16" t="s">
        <v>60</v>
      </c>
      <c r="C106">
        <v>173236104.21780649</v>
      </c>
      <c r="D106">
        <v>162765561.21220636</v>
      </c>
      <c r="E106">
        <v>37344144.144144148</v>
      </c>
      <c r="F106">
        <v>31062837.837837841</v>
      </c>
      <c r="G106">
        <v>42</v>
      </c>
      <c r="H106">
        <v>23</v>
      </c>
      <c r="I106">
        <v>3</v>
      </c>
      <c r="J106">
        <v>10</v>
      </c>
      <c r="M106">
        <v>62</v>
      </c>
      <c r="N106">
        <v>51</v>
      </c>
      <c r="O106">
        <v>16238738.73873874</v>
      </c>
      <c r="P106">
        <v>15252252.252252253</v>
      </c>
      <c r="Q106">
        <v>72</v>
      </c>
      <c r="R106">
        <v>81</v>
      </c>
      <c r="S106">
        <v>57351918.918918923</v>
      </c>
      <c r="T106">
        <v>53166684.684684686</v>
      </c>
      <c r="U106">
        <v>13772252.252252253</v>
      </c>
      <c r="V106">
        <v>13216216.216216216</v>
      </c>
      <c r="W106">
        <v>3933</v>
      </c>
      <c r="X106">
        <v>3841</v>
      </c>
    </row>
    <row r="107" spans="1:24">
      <c r="A107" s="7" t="s">
        <v>192</v>
      </c>
      <c r="B107" s="16" t="s">
        <v>60</v>
      </c>
      <c r="C107">
        <v>294898594.65998024</v>
      </c>
      <c r="D107">
        <v>278995517.63444519</v>
      </c>
      <c r="E107">
        <v>2350450.4504504511</v>
      </c>
      <c r="F107">
        <v>2130630.6306306301</v>
      </c>
      <c r="G107">
        <v>51</v>
      </c>
      <c r="H107">
        <v>26</v>
      </c>
      <c r="I107">
        <v>3</v>
      </c>
      <c r="J107">
        <v>7</v>
      </c>
      <c r="M107">
        <v>57</v>
      </c>
      <c r="N107">
        <v>33</v>
      </c>
      <c r="O107">
        <v>11967567.567567568</v>
      </c>
      <c r="P107">
        <v>16698198.198198196</v>
      </c>
      <c r="Q107">
        <v>56</v>
      </c>
      <c r="R107">
        <v>37</v>
      </c>
      <c r="S107">
        <v>67636306.306306303</v>
      </c>
      <c r="T107">
        <v>68139639.639639646</v>
      </c>
      <c r="U107">
        <v>11277477.477477478</v>
      </c>
      <c r="V107">
        <v>14377387.387387389</v>
      </c>
      <c r="W107">
        <v>6307</v>
      </c>
      <c r="X107">
        <v>6609</v>
      </c>
    </row>
    <row r="108" spans="1:24">
      <c r="A108" s="7" t="s">
        <v>2</v>
      </c>
      <c r="B108" s="16" t="s">
        <v>193</v>
      </c>
      <c r="C108">
        <v>39165752.322177731</v>
      </c>
      <c r="D108">
        <v>29046727.62289241</v>
      </c>
      <c r="E108">
        <v>57657.657657657001</v>
      </c>
      <c r="F108">
        <v>40540.540540542002</v>
      </c>
      <c r="G108">
        <v>8</v>
      </c>
      <c r="H108">
        <v>4</v>
      </c>
      <c r="I108">
        <v>3</v>
      </c>
      <c r="J108">
        <v>0</v>
      </c>
      <c r="M108">
        <v>8</v>
      </c>
      <c r="N108">
        <v>4</v>
      </c>
      <c r="O108">
        <v>324324.32432432403</v>
      </c>
      <c r="P108">
        <v>40540.540540542002</v>
      </c>
      <c r="Q108">
        <v>6</v>
      </c>
      <c r="S108">
        <v>20354774.774774775</v>
      </c>
      <c r="T108">
        <v>16590756.756756756</v>
      </c>
      <c r="U108">
        <v>266666.66666666698</v>
      </c>
      <c r="V108">
        <v>157657.65765765801</v>
      </c>
      <c r="W108">
        <v>1237</v>
      </c>
      <c r="X108">
        <v>1076</v>
      </c>
    </row>
    <row r="109" spans="1:24">
      <c r="A109" s="7" t="s">
        <v>194</v>
      </c>
      <c r="B109" s="16" t="s">
        <v>195</v>
      </c>
      <c r="C109">
        <v>980574732.22138035</v>
      </c>
      <c r="D109">
        <v>999968383.71590126</v>
      </c>
      <c r="E109">
        <v>1587837.8378378381</v>
      </c>
      <c r="F109">
        <v>3122297.297297298</v>
      </c>
      <c r="G109">
        <v>228</v>
      </c>
      <c r="H109">
        <v>261</v>
      </c>
      <c r="I109">
        <v>4</v>
      </c>
      <c r="J109">
        <v>10</v>
      </c>
      <c r="M109">
        <v>265</v>
      </c>
      <c r="N109">
        <v>339</v>
      </c>
      <c r="O109">
        <v>42653153.153153151</v>
      </c>
      <c r="P109">
        <v>45566666.666666664</v>
      </c>
      <c r="Q109">
        <v>105</v>
      </c>
      <c r="R109">
        <v>129</v>
      </c>
      <c r="S109">
        <v>175773054.05405405</v>
      </c>
      <c r="T109">
        <v>193571729.72972974</v>
      </c>
      <c r="U109">
        <v>40674234.234234229</v>
      </c>
      <c r="V109">
        <v>39380900.900900893</v>
      </c>
      <c r="W109">
        <v>18313</v>
      </c>
      <c r="X109">
        <v>17676</v>
      </c>
    </row>
    <row r="110" spans="1:24">
      <c r="A110" s="7" t="s">
        <v>196</v>
      </c>
      <c r="B110" s="16" t="s">
        <v>80</v>
      </c>
      <c r="C110">
        <v>307596639.22370976</v>
      </c>
      <c r="D110">
        <v>304363727.85669553</v>
      </c>
      <c r="E110">
        <v>232432.432432434</v>
      </c>
      <c r="F110">
        <v>1545945.945945946</v>
      </c>
      <c r="G110">
        <v>75</v>
      </c>
      <c r="H110">
        <v>69</v>
      </c>
      <c r="I110">
        <v>13</v>
      </c>
      <c r="J110">
        <v>11</v>
      </c>
      <c r="M110">
        <v>81</v>
      </c>
      <c r="N110">
        <v>75</v>
      </c>
      <c r="O110">
        <v>41073873.873873875</v>
      </c>
      <c r="P110">
        <v>39356756.756756753</v>
      </c>
      <c r="Q110">
        <v>123</v>
      </c>
      <c r="R110">
        <v>300</v>
      </c>
      <c r="S110">
        <v>80044088.288288295</v>
      </c>
      <c r="T110">
        <v>82262954.954954967</v>
      </c>
      <c r="U110">
        <v>39328872.072072074</v>
      </c>
      <c r="V110">
        <v>40073693.693693697</v>
      </c>
      <c r="W110">
        <v>6840</v>
      </c>
      <c r="X110">
        <v>6543</v>
      </c>
    </row>
    <row r="111" spans="1:24">
      <c r="A111" s="7" t="s">
        <v>197</v>
      </c>
      <c r="B111" s="16" t="s">
        <v>108</v>
      </c>
      <c r="C111">
        <v>233429343.57523939</v>
      </c>
      <c r="D111">
        <v>243382539.88156533</v>
      </c>
      <c r="E111">
        <v>42815585.585585587</v>
      </c>
      <c r="F111">
        <v>87736936.93693693</v>
      </c>
      <c r="G111">
        <v>64</v>
      </c>
      <c r="H111">
        <v>84</v>
      </c>
      <c r="I111">
        <v>3</v>
      </c>
      <c r="J111">
        <v>6</v>
      </c>
      <c r="M111">
        <v>81</v>
      </c>
      <c r="N111">
        <v>97</v>
      </c>
      <c r="O111">
        <v>20998018.018018015</v>
      </c>
      <c r="P111">
        <v>18280180.180180177</v>
      </c>
      <c r="Q111">
        <v>178</v>
      </c>
      <c r="R111">
        <v>70</v>
      </c>
      <c r="S111">
        <v>68157702.702702701</v>
      </c>
      <c r="T111">
        <v>75386000</v>
      </c>
      <c r="U111">
        <v>16056036.036036033</v>
      </c>
      <c r="V111">
        <v>11693603.6036036</v>
      </c>
      <c r="W111">
        <v>7255</v>
      </c>
      <c r="X111">
        <v>7026</v>
      </c>
    </row>
    <row r="112" spans="1:24">
      <c r="A112" s="7" t="s">
        <v>198</v>
      </c>
      <c r="B112" s="16" t="s">
        <v>92</v>
      </c>
      <c r="C112">
        <v>133260796.01977964</v>
      </c>
      <c r="D112">
        <v>129678024.97237948</v>
      </c>
      <c r="E112">
        <v>3079459.4594594608</v>
      </c>
      <c r="F112">
        <v>4426126.1261261255</v>
      </c>
      <c r="G112">
        <v>28</v>
      </c>
      <c r="H112">
        <v>153</v>
      </c>
      <c r="I112">
        <v>6</v>
      </c>
      <c r="J112">
        <v>4</v>
      </c>
      <c r="M112">
        <v>28</v>
      </c>
      <c r="N112">
        <v>239</v>
      </c>
      <c r="O112">
        <v>17934954.954954956</v>
      </c>
      <c r="P112">
        <v>38045495.495495498</v>
      </c>
      <c r="Q112">
        <v>59</v>
      </c>
      <c r="R112">
        <v>145</v>
      </c>
      <c r="S112">
        <v>34135045.045045041</v>
      </c>
      <c r="T112">
        <v>36148018.018018015</v>
      </c>
      <c r="U112">
        <v>18206036.036036037</v>
      </c>
      <c r="V112">
        <v>37530180.180180177</v>
      </c>
      <c r="W112">
        <v>2895</v>
      </c>
      <c r="X112">
        <v>2810</v>
      </c>
    </row>
    <row r="113" spans="1:24">
      <c r="A113" s="7" t="s">
        <v>199</v>
      </c>
      <c r="B113" s="16" t="s">
        <v>123</v>
      </c>
      <c r="C113">
        <v>131455499.64470318</v>
      </c>
      <c r="D113">
        <v>120359928.55336864</v>
      </c>
      <c r="E113">
        <v>490090.09009009099</v>
      </c>
      <c r="F113">
        <v>189189.189189189</v>
      </c>
      <c r="G113">
        <v>57</v>
      </c>
      <c r="H113">
        <v>33</v>
      </c>
      <c r="I113">
        <v>2</v>
      </c>
      <c r="J113">
        <v>1</v>
      </c>
      <c r="M113">
        <v>60</v>
      </c>
      <c r="N113">
        <v>33</v>
      </c>
      <c r="O113">
        <v>6864864.8648648653</v>
      </c>
      <c r="P113">
        <v>3062702.702702702</v>
      </c>
      <c r="Q113">
        <v>10</v>
      </c>
      <c r="R113">
        <v>6</v>
      </c>
      <c r="S113">
        <v>27494594.594594598</v>
      </c>
      <c r="T113">
        <v>21777576.576576576</v>
      </c>
      <c r="U113">
        <v>5628378.3783783792</v>
      </c>
      <c r="V113">
        <v>4681441.4414414419</v>
      </c>
      <c r="W113">
        <v>2530</v>
      </c>
      <c r="X113">
        <v>2499</v>
      </c>
    </row>
    <row r="114" spans="1:24">
      <c r="A114" s="7" t="s">
        <v>200</v>
      </c>
      <c r="B114" s="16" t="s">
        <v>60</v>
      </c>
      <c r="C114">
        <v>88249641.904805139</v>
      </c>
      <c r="D114">
        <v>86080074.062234595</v>
      </c>
      <c r="E114">
        <v>53153.153153154002</v>
      </c>
      <c r="F114">
        <v>1445045.0450450459</v>
      </c>
      <c r="G114">
        <v>20</v>
      </c>
      <c r="H114">
        <v>16</v>
      </c>
      <c r="I114">
        <v>2</v>
      </c>
      <c r="J114">
        <v>2</v>
      </c>
      <c r="M114">
        <v>28</v>
      </c>
      <c r="N114">
        <v>17</v>
      </c>
      <c r="O114">
        <v>10809909.909909908</v>
      </c>
      <c r="P114">
        <v>11535135.135135137</v>
      </c>
      <c r="Q114">
        <v>105</v>
      </c>
      <c r="R114">
        <v>95</v>
      </c>
      <c r="S114">
        <v>14429450.45045045</v>
      </c>
      <c r="T114">
        <v>16281004.504504504</v>
      </c>
      <c r="U114">
        <v>7960180.180180178</v>
      </c>
      <c r="V114">
        <v>6461981.9819819815</v>
      </c>
      <c r="W114">
        <v>3508</v>
      </c>
      <c r="X114">
        <v>3530</v>
      </c>
    </row>
    <row r="115" spans="1:24">
      <c r="A115" s="7" t="s">
        <v>201</v>
      </c>
      <c r="B115" s="16" t="s">
        <v>60</v>
      </c>
      <c r="C115">
        <v>29934840.538604047</v>
      </c>
      <c r="D115">
        <v>28979241.625413705</v>
      </c>
      <c r="E115">
        <v>222702.70270270301</v>
      </c>
      <c r="F115">
        <v>5405.4054054050002</v>
      </c>
      <c r="G115">
        <v>9</v>
      </c>
      <c r="H115">
        <v>10</v>
      </c>
      <c r="I115">
        <v>2</v>
      </c>
      <c r="J115">
        <v>0</v>
      </c>
      <c r="M115">
        <v>9</v>
      </c>
      <c r="N115">
        <v>11</v>
      </c>
      <c r="O115">
        <v>2060540.5405405411</v>
      </c>
      <c r="P115">
        <v>1933333.3333333321</v>
      </c>
      <c r="Q115">
        <v>23</v>
      </c>
      <c r="R115">
        <v>19</v>
      </c>
      <c r="S115">
        <v>5925630.630630631</v>
      </c>
      <c r="T115">
        <v>5358000.0000000009</v>
      </c>
      <c r="U115">
        <v>1463963.963963964</v>
      </c>
      <c r="V115">
        <v>443243.24324324302</v>
      </c>
      <c r="W115">
        <v>1141</v>
      </c>
      <c r="X115">
        <v>2165</v>
      </c>
    </row>
    <row r="116" spans="1:24">
      <c r="A116" s="7" t="s">
        <v>202</v>
      </c>
      <c r="B116" s="16" t="s">
        <v>121</v>
      </c>
      <c r="C116">
        <v>60070882.379921094</v>
      </c>
      <c r="D116">
        <v>55917314.781503551</v>
      </c>
      <c r="E116">
        <v>119819.81981982</v>
      </c>
      <c r="F116">
        <v>427927.92792792799</v>
      </c>
      <c r="G116">
        <v>38</v>
      </c>
      <c r="H116">
        <v>34</v>
      </c>
      <c r="I116">
        <v>5</v>
      </c>
      <c r="J116">
        <v>5</v>
      </c>
      <c r="M116">
        <v>44</v>
      </c>
      <c r="N116">
        <v>39</v>
      </c>
      <c r="O116">
        <v>318018.01801801799</v>
      </c>
      <c r="P116">
        <v>1445945.945945946</v>
      </c>
      <c r="Q116">
        <v>7</v>
      </c>
      <c r="R116">
        <v>75</v>
      </c>
      <c r="S116">
        <v>5646936.9369369373</v>
      </c>
      <c r="T116">
        <v>5549621.6216216218</v>
      </c>
      <c r="U116">
        <v>317747.74774774798</v>
      </c>
      <c r="V116">
        <v>1041621.621621622</v>
      </c>
      <c r="W116">
        <v>1485</v>
      </c>
      <c r="X116">
        <v>1422</v>
      </c>
    </row>
    <row r="117" spans="1:24">
      <c r="A117" s="7" t="s">
        <v>203</v>
      </c>
      <c r="B117" s="16" t="s">
        <v>54</v>
      </c>
      <c r="C117">
        <v>93512941.512244001</v>
      </c>
      <c r="D117">
        <v>89284941.245446354</v>
      </c>
      <c r="E117">
        <v>592792.79279279301</v>
      </c>
      <c r="F117">
        <v>352252.25225225301</v>
      </c>
      <c r="G117">
        <v>22</v>
      </c>
      <c r="H117">
        <v>22</v>
      </c>
      <c r="I117">
        <v>2</v>
      </c>
      <c r="J117">
        <v>4</v>
      </c>
      <c r="M117">
        <v>24</v>
      </c>
      <c r="N117">
        <v>22</v>
      </c>
      <c r="O117">
        <v>5529729.7297297288</v>
      </c>
      <c r="P117">
        <v>5167567.5675675673</v>
      </c>
      <c r="Q117">
        <v>43</v>
      </c>
      <c r="R117">
        <v>40</v>
      </c>
      <c r="S117">
        <v>24238153.153153151</v>
      </c>
      <c r="T117">
        <v>22695756.756756756</v>
      </c>
      <c r="U117">
        <v>5215765.7657657648</v>
      </c>
      <c r="V117">
        <v>4614774.7747747749</v>
      </c>
      <c r="W117">
        <v>3773</v>
      </c>
      <c r="X117">
        <v>3897</v>
      </c>
    </row>
    <row r="118" spans="1:24">
      <c r="A118" s="7" t="s">
        <v>204</v>
      </c>
      <c r="B118" s="16" t="s">
        <v>136</v>
      </c>
      <c r="C118">
        <v>362269786.62209225</v>
      </c>
      <c r="D118">
        <v>323889391.61203533</v>
      </c>
      <c r="E118">
        <v>35469819.819819823</v>
      </c>
      <c r="F118">
        <v>13281981.981981983</v>
      </c>
      <c r="G118">
        <v>86</v>
      </c>
      <c r="H118">
        <v>40</v>
      </c>
      <c r="I118">
        <v>8</v>
      </c>
      <c r="J118">
        <v>9</v>
      </c>
      <c r="M118">
        <v>92</v>
      </c>
      <c r="N118">
        <v>45</v>
      </c>
      <c r="O118">
        <v>39506396.396396399</v>
      </c>
      <c r="P118">
        <v>30097297.297297295</v>
      </c>
      <c r="Q118">
        <v>77</v>
      </c>
      <c r="R118">
        <v>95</v>
      </c>
      <c r="S118">
        <v>59592477.477477483</v>
      </c>
      <c r="T118">
        <v>57065090.090090089</v>
      </c>
      <c r="U118">
        <v>32374774.774774779</v>
      </c>
      <c r="V118">
        <v>23783153.153153151</v>
      </c>
      <c r="W118">
        <v>6008</v>
      </c>
      <c r="X118">
        <v>5764</v>
      </c>
    </row>
    <row r="119" spans="1:24">
      <c r="A119" s="7" t="s">
        <v>205</v>
      </c>
      <c r="B119" s="16" t="s">
        <v>136</v>
      </c>
      <c r="C119">
        <v>174782944.92411473</v>
      </c>
      <c r="D119">
        <v>165252163.086797</v>
      </c>
      <c r="E119">
        <v>277477.47747747699</v>
      </c>
      <c r="F119">
        <v>638738.73873873998</v>
      </c>
      <c r="G119">
        <v>45</v>
      </c>
      <c r="H119">
        <v>28</v>
      </c>
      <c r="I119">
        <v>5</v>
      </c>
      <c r="J119">
        <v>1</v>
      </c>
      <c r="M119">
        <v>53</v>
      </c>
      <c r="N119">
        <v>33</v>
      </c>
      <c r="O119">
        <v>9009009.0090090092</v>
      </c>
      <c r="P119">
        <v>6206306.3063063063</v>
      </c>
      <c r="Q119">
        <v>52</v>
      </c>
      <c r="R119">
        <v>18</v>
      </c>
      <c r="S119">
        <v>30229279.27927928</v>
      </c>
      <c r="T119">
        <v>31616646.846846849</v>
      </c>
      <c r="U119">
        <v>6318378.378378381</v>
      </c>
      <c r="V119">
        <v>3064504.5045045051</v>
      </c>
      <c r="W119">
        <v>3210</v>
      </c>
      <c r="X119">
        <v>3079</v>
      </c>
    </row>
    <row r="120" spans="1:24">
      <c r="A120" s="7" t="s">
        <v>206</v>
      </c>
      <c r="B120" s="16" t="s">
        <v>169</v>
      </c>
      <c r="C120">
        <v>375264507.44888973</v>
      </c>
      <c r="D120">
        <v>378478267.81694055</v>
      </c>
      <c r="E120">
        <v>68921621.621621624</v>
      </c>
      <c r="F120">
        <v>76339639.639639646</v>
      </c>
      <c r="G120">
        <v>44</v>
      </c>
      <c r="H120">
        <v>17</v>
      </c>
      <c r="I120">
        <v>0</v>
      </c>
      <c r="J120">
        <v>1</v>
      </c>
      <c r="M120">
        <v>45</v>
      </c>
      <c r="N120">
        <v>18</v>
      </c>
      <c r="O120">
        <v>2829173693.6936936</v>
      </c>
      <c r="P120">
        <v>2469442004.5045042</v>
      </c>
      <c r="Q120">
        <v>1507</v>
      </c>
      <c r="R120">
        <v>45</v>
      </c>
      <c r="S120">
        <v>176684405.4054054</v>
      </c>
      <c r="T120">
        <v>177966891.8918919</v>
      </c>
      <c r="U120">
        <v>1115202677.4774776</v>
      </c>
      <c r="V120">
        <v>627268691.89189184</v>
      </c>
      <c r="W120">
        <v>6931</v>
      </c>
      <c r="X120">
        <v>7573</v>
      </c>
    </row>
    <row r="121" spans="1:24">
      <c r="A121" s="7" t="s">
        <v>207</v>
      </c>
      <c r="B121" s="16" t="s">
        <v>161</v>
      </c>
      <c r="C121">
        <v>416685394.14204401</v>
      </c>
      <c r="D121">
        <v>419898365.20400512</v>
      </c>
      <c r="E121">
        <v>38140180.180180192</v>
      </c>
      <c r="F121">
        <v>31915315.315315321</v>
      </c>
      <c r="G121">
        <v>207</v>
      </c>
      <c r="H121">
        <v>280</v>
      </c>
      <c r="I121">
        <v>35</v>
      </c>
      <c r="J121">
        <v>30</v>
      </c>
      <c r="M121">
        <v>271</v>
      </c>
      <c r="N121">
        <v>490</v>
      </c>
      <c r="O121">
        <v>59844144.144144148</v>
      </c>
      <c r="P121">
        <v>47348108.108108111</v>
      </c>
      <c r="Q121">
        <v>193</v>
      </c>
      <c r="R121">
        <v>60</v>
      </c>
      <c r="S121">
        <v>119051513.51351352</v>
      </c>
      <c r="T121">
        <v>121359445.94594595</v>
      </c>
      <c r="U121">
        <v>51143326.126126125</v>
      </c>
      <c r="V121">
        <v>44079859.459459461</v>
      </c>
      <c r="W121">
        <v>12396</v>
      </c>
      <c r="X121">
        <v>13732</v>
      </c>
    </row>
    <row r="122" spans="1:24">
      <c r="A122" s="7" t="s">
        <v>208</v>
      </c>
      <c r="B122" s="16" t="s">
        <v>76</v>
      </c>
      <c r="C122">
        <v>17444927.399488498</v>
      </c>
      <c r="D122">
        <v>12560925.244395647</v>
      </c>
      <c r="G122">
        <v>4</v>
      </c>
      <c r="I122">
        <v>0</v>
      </c>
      <c r="J122">
        <v>0</v>
      </c>
      <c r="M122">
        <v>4</v>
      </c>
      <c r="S122">
        <v>805000</v>
      </c>
      <c r="T122">
        <v>943558.55855855905</v>
      </c>
      <c r="W122">
        <v>536</v>
      </c>
      <c r="X122">
        <v>516</v>
      </c>
    </row>
    <row r="123" spans="1:24">
      <c r="A123" s="7" t="s">
        <v>209</v>
      </c>
      <c r="B123" s="16" t="s">
        <v>76</v>
      </c>
      <c r="C123">
        <v>198652067.3672567</v>
      </c>
      <c r="D123">
        <v>184143152.42031795</v>
      </c>
      <c r="E123">
        <v>132410714.41441442</v>
      </c>
      <c r="F123">
        <v>87814654.054054052</v>
      </c>
      <c r="G123">
        <v>65</v>
      </c>
      <c r="H123">
        <v>78</v>
      </c>
      <c r="I123">
        <v>5</v>
      </c>
      <c r="J123">
        <v>8</v>
      </c>
      <c r="K123">
        <v>5</v>
      </c>
      <c r="M123">
        <v>79</v>
      </c>
      <c r="N123">
        <v>92</v>
      </c>
      <c r="O123">
        <v>20929099.0990991</v>
      </c>
      <c r="P123">
        <v>20161441.441441439</v>
      </c>
      <c r="Q123">
        <v>205</v>
      </c>
      <c r="R123">
        <v>205</v>
      </c>
      <c r="S123">
        <v>26569900.9009009</v>
      </c>
      <c r="T123">
        <v>28609855.855855856</v>
      </c>
      <c r="U123">
        <v>22157297.297297299</v>
      </c>
      <c r="V123">
        <v>20519819.819819815</v>
      </c>
      <c r="W123">
        <v>4930</v>
      </c>
      <c r="X123">
        <v>4602</v>
      </c>
    </row>
    <row r="124" spans="1:24">
      <c r="A124" s="7" t="s">
        <v>210</v>
      </c>
      <c r="B124" s="16" t="s">
        <v>76</v>
      </c>
      <c r="C124">
        <v>240831954.9600099</v>
      </c>
      <c r="D124">
        <v>235158986.68670458</v>
      </c>
      <c r="E124">
        <v>1301126.1261261289</v>
      </c>
      <c r="F124">
        <v>2780180.1801801869</v>
      </c>
      <c r="G124">
        <v>112</v>
      </c>
      <c r="H124">
        <v>141</v>
      </c>
      <c r="I124">
        <v>19</v>
      </c>
      <c r="J124">
        <v>14</v>
      </c>
      <c r="K124">
        <v>7</v>
      </c>
      <c r="M124">
        <v>142</v>
      </c>
      <c r="N124">
        <v>172</v>
      </c>
      <c r="O124">
        <v>91957657.657657653</v>
      </c>
      <c r="P124">
        <v>77225945.945945948</v>
      </c>
      <c r="Q124">
        <v>188</v>
      </c>
      <c r="R124">
        <v>541</v>
      </c>
      <c r="S124">
        <v>73052771.171171173</v>
      </c>
      <c r="T124">
        <v>71688549.54954955</v>
      </c>
      <c r="U124">
        <v>63339455.855855852</v>
      </c>
      <c r="V124">
        <v>60291441.441441439</v>
      </c>
      <c r="W124">
        <v>6802</v>
      </c>
      <c r="X124">
        <v>6970</v>
      </c>
    </row>
    <row r="125" spans="1:24">
      <c r="A125" s="7" t="s">
        <v>211</v>
      </c>
      <c r="B125" s="16" t="s">
        <v>76</v>
      </c>
      <c r="C125">
        <v>163634806.28189066</v>
      </c>
      <c r="D125">
        <v>173449103.80367017</v>
      </c>
      <c r="E125">
        <v>1454729.729729732</v>
      </c>
      <c r="F125">
        <v>2361936.9369369438</v>
      </c>
      <c r="G125">
        <v>70</v>
      </c>
      <c r="H125">
        <v>80</v>
      </c>
      <c r="I125">
        <v>8</v>
      </c>
      <c r="J125">
        <v>15</v>
      </c>
      <c r="M125">
        <v>79</v>
      </c>
      <c r="N125">
        <v>92</v>
      </c>
      <c r="O125">
        <v>13212162.162162162</v>
      </c>
      <c r="P125">
        <v>14107567.56756757</v>
      </c>
      <c r="Q125">
        <v>62</v>
      </c>
      <c r="R125">
        <v>21</v>
      </c>
      <c r="S125">
        <v>22845162.162162162</v>
      </c>
      <c r="T125">
        <v>26611047.297297295</v>
      </c>
      <c r="U125">
        <v>13544234.234234232</v>
      </c>
      <c r="V125">
        <v>13073873.873873876</v>
      </c>
      <c r="W125">
        <v>3862</v>
      </c>
      <c r="X125">
        <v>3973</v>
      </c>
    </row>
    <row r="126" spans="1:24">
      <c r="A126" s="7" t="s">
        <v>212</v>
      </c>
      <c r="B126" s="16" t="s">
        <v>76</v>
      </c>
      <c r="C126">
        <v>67030028.927973792</v>
      </c>
      <c r="D126">
        <v>62877371.941755138</v>
      </c>
      <c r="E126">
        <v>21171.171171171001</v>
      </c>
      <c r="F126">
        <v>34234.234234233998</v>
      </c>
      <c r="G126">
        <v>18</v>
      </c>
      <c r="H126">
        <v>10</v>
      </c>
      <c r="I126">
        <v>1</v>
      </c>
      <c r="J126">
        <v>0</v>
      </c>
      <c r="M126">
        <v>20</v>
      </c>
      <c r="N126">
        <v>11</v>
      </c>
      <c r="O126">
        <v>1012162.162162162</v>
      </c>
      <c r="P126">
        <v>1238918.918918917</v>
      </c>
      <c r="Q126">
        <v>5</v>
      </c>
      <c r="R126">
        <v>5</v>
      </c>
      <c r="S126">
        <v>9353558.5585585609</v>
      </c>
      <c r="T126">
        <v>9333567.5675675683</v>
      </c>
      <c r="U126">
        <v>790720.72072072001</v>
      </c>
      <c r="V126">
        <v>1649819.8198198189</v>
      </c>
      <c r="W126">
        <v>1717</v>
      </c>
      <c r="X126">
        <v>2064</v>
      </c>
    </row>
    <row r="127" spans="1:24">
      <c r="A127" s="7" t="s">
        <v>213</v>
      </c>
      <c r="B127" s="16" t="s">
        <v>214</v>
      </c>
      <c r="C127">
        <v>78265402.862089232</v>
      </c>
      <c r="D127">
        <v>89186758.402920634</v>
      </c>
      <c r="E127">
        <v>213963.96396396399</v>
      </c>
      <c r="F127">
        <v>738738.73873873905</v>
      </c>
      <c r="G127">
        <v>18</v>
      </c>
      <c r="H127">
        <v>33</v>
      </c>
      <c r="I127">
        <v>4</v>
      </c>
      <c r="J127">
        <v>3</v>
      </c>
      <c r="M127">
        <v>19</v>
      </c>
      <c r="N127">
        <v>34</v>
      </c>
      <c r="O127">
        <v>12638468.468468472</v>
      </c>
      <c r="P127">
        <v>13432000</v>
      </c>
      <c r="Q127">
        <v>26</v>
      </c>
      <c r="R127">
        <v>46</v>
      </c>
      <c r="S127">
        <v>37240990.990990989</v>
      </c>
      <c r="T127">
        <v>39646747.747747742</v>
      </c>
      <c r="U127">
        <v>10781801.801801804</v>
      </c>
      <c r="V127">
        <v>10601711.711711712</v>
      </c>
      <c r="W127">
        <v>2298</v>
      </c>
      <c r="X127">
        <v>2254</v>
      </c>
    </row>
    <row r="128" spans="1:24">
      <c r="A128" s="7" t="s">
        <v>215</v>
      </c>
      <c r="B128" s="16" t="s">
        <v>167</v>
      </c>
      <c r="C128">
        <v>70209357.422429428</v>
      </c>
      <c r="D128">
        <v>98767875.786827162</v>
      </c>
      <c r="E128">
        <v>8108.1081081089997</v>
      </c>
      <c r="F128">
        <v>986486.48648648697</v>
      </c>
      <c r="G128">
        <v>8</v>
      </c>
      <c r="H128">
        <v>7</v>
      </c>
      <c r="I128">
        <v>1</v>
      </c>
      <c r="J128">
        <v>3</v>
      </c>
      <c r="M128">
        <v>9</v>
      </c>
      <c r="N128">
        <v>7</v>
      </c>
      <c r="O128">
        <v>8809909.9099099096</v>
      </c>
      <c r="P128">
        <v>1436936.936936937</v>
      </c>
      <c r="Q128">
        <v>309</v>
      </c>
      <c r="S128">
        <v>12705990.990990993</v>
      </c>
      <c r="T128">
        <v>17343558.558558557</v>
      </c>
      <c r="U128">
        <v>9098648.6486486476</v>
      </c>
      <c r="V128">
        <v>61711.711711712</v>
      </c>
      <c r="W128">
        <v>1894</v>
      </c>
      <c r="X128">
        <v>1861</v>
      </c>
    </row>
    <row r="129" spans="1:24">
      <c r="A129" s="7" t="s">
        <v>216</v>
      </c>
      <c r="B129" s="16" t="s">
        <v>85</v>
      </c>
      <c r="C129">
        <v>17434910.479387097</v>
      </c>
      <c r="D129">
        <v>22770745.449454226</v>
      </c>
      <c r="E129">
        <v>9909.9099099110008</v>
      </c>
      <c r="F129">
        <v>261261.261261262</v>
      </c>
      <c r="G129">
        <v>2</v>
      </c>
      <c r="H129">
        <v>8</v>
      </c>
      <c r="I129">
        <v>3</v>
      </c>
      <c r="J129">
        <v>2</v>
      </c>
      <c r="M129">
        <v>2</v>
      </c>
      <c r="N129">
        <v>10</v>
      </c>
      <c r="O129">
        <v>41063963.963963963</v>
      </c>
      <c r="P129">
        <v>25727027.027027026</v>
      </c>
      <c r="Q129">
        <v>49</v>
      </c>
      <c r="R129">
        <v>117</v>
      </c>
      <c r="S129">
        <v>5365351.3513513505</v>
      </c>
      <c r="T129">
        <v>6931486.4864864862</v>
      </c>
      <c r="U129">
        <v>32510900.9009009</v>
      </c>
      <c r="V129">
        <v>19561081.081081081</v>
      </c>
      <c r="W129">
        <v>641</v>
      </c>
      <c r="X129">
        <v>669</v>
      </c>
    </row>
    <row r="130" spans="1:24">
      <c r="A130" s="7" t="s">
        <v>217</v>
      </c>
      <c r="B130" s="16" t="s">
        <v>85</v>
      </c>
      <c r="C130">
        <v>90066416.74514474</v>
      </c>
      <c r="D130">
        <v>86747149.449185699</v>
      </c>
      <c r="E130">
        <v>47747.747747747999</v>
      </c>
      <c r="F130">
        <v>259459.45945945999</v>
      </c>
      <c r="G130">
        <v>43</v>
      </c>
      <c r="H130">
        <v>33</v>
      </c>
      <c r="I130">
        <v>4</v>
      </c>
      <c r="J130">
        <v>4</v>
      </c>
      <c r="M130">
        <v>53</v>
      </c>
      <c r="N130">
        <v>35</v>
      </c>
      <c r="O130">
        <v>22173873.873873871</v>
      </c>
      <c r="P130">
        <v>12499279.27927928</v>
      </c>
      <c r="Q130">
        <v>52</v>
      </c>
      <c r="R130">
        <v>1</v>
      </c>
      <c r="S130">
        <v>16225315.315315315</v>
      </c>
      <c r="T130">
        <v>17142198.198198199</v>
      </c>
      <c r="U130">
        <v>17580090.090090089</v>
      </c>
      <c r="V130">
        <v>12569189.189189188</v>
      </c>
      <c r="W130">
        <v>2330</v>
      </c>
      <c r="X130">
        <v>2406</v>
      </c>
    </row>
    <row r="131" spans="1:24">
      <c r="A131" s="7" t="s">
        <v>218</v>
      </c>
      <c r="B131" s="16" t="s">
        <v>147</v>
      </c>
      <c r="C131">
        <v>87296843.301642388</v>
      </c>
      <c r="D131">
        <v>84050243.503707662</v>
      </c>
      <c r="E131">
        <v>89243163.06306307</v>
      </c>
      <c r="F131">
        <v>265123366.66666666</v>
      </c>
      <c r="G131">
        <v>23</v>
      </c>
      <c r="H131">
        <v>66</v>
      </c>
      <c r="I131">
        <v>0</v>
      </c>
      <c r="J131">
        <v>9</v>
      </c>
      <c r="M131">
        <v>25</v>
      </c>
      <c r="N131">
        <v>84</v>
      </c>
      <c r="O131">
        <v>3423063.0630630599</v>
      </c>
      <c r="P131">
        <v>48520476.576576576</v>
      </c>
      <c r="Q131">
        <v>43</v>
      </c>
      <c r="R131">
        <v>292</v>
      </c>
      <c r="S131">
        <v>23051153.153153151</v>
      </c>
      <c r="T131">
        <v>28307270.270270273</v>
      </c>
      <c r="U131">
        <v>5122702.7027027002</v>
      </c>
      <c r="V131">
        <v>50413963.963963971</v>
      </c>
      <c r="W131">
        <v>2463</v>
      </c>
      <c r="X131">
        <v>3805</v>
      </c>
    </row>
    <row r="132" spans="1:24">
      <c r="A132" s="7" t="s">
        <v>219</v>
      </c>
      <c r="B132" s="16" t="s">
        <v>220</v>
      </c>
      <c r="C132">
        <v>170270314.07733503</v>
      </c>
      <c r="D132">
        <v>166188962.9549357</v>
      </c>
      <c r="E132">
        <v>3690676.576576578</v>
      </c>
      <c r="F132">
        <v>5078442.3423423432</v>
      </c>
      <c r="G132">
        <v>63</v>
      </c>
      <c r="H132">
        <v>50</v>
      </c>
      <c r="I132">
        <v>6</v>
      </c>
      <c r="J132">
        <v>9</v>
      </c>
      <c r="M132">
        <v>80</v>
      </c>
      <c r="N132">
        <v>64</v>
      </c>
      <c r="O132">
        <v>200695051.35135135</v>
      </c>
      <c r="P132">
        <v>139629554.95495495</v>
      </c>
      <c r="Q132">
        <v>332</v>
      </c>
      <c r="R132">
        <v>70</v>
      </c>
      <c r="S132">
        <v>45774585.585585587</v>
      </c>
      <c r="T132">
        <v>42544722.972972974</v>
      </c>
      <c r="U132">
        <v>307772432.43243247</v>
      </c>
      <c r="V132">
        <v>235065225.22522521</v>
      </c>
      <c r="W132">
        <v>6160</v>
      </c>
      <c r="X132">
        <v>6222</v>
      </c>
    </row>
    <row r="133" spans="1:24">
      <c r="A133" s="7" t="s">
        <v>221</v>
      </c>
      <c r="B133" s="16" t="s">
        <v>52</v>
      </c>
      <c r="C133">
        <v>408593697.10034573</v>
      </c>
      <c r="D133">
        <v>385853382.48497319</v>
      </c>
      <c r="E133">
        <v>39034909.909909911</v>
      </c>
      <c r="F133">
        <v>163501801.8018018</v>
      </c>
      <c r="G133">
        <v>80</v>
      </c>
      <c r="H133">
        <v>92</v>
      </c>
      <c r="I133">
        <v>9</v>
      </c>
      <c r="J133">
        <v>22</v>
      </c>
      <c r="M133">
        <v>113</v>
      </c>
      <c r="N133">
        <v>120</v>
      </c>
      <c r="O133">
        <v>47175495.495495498</v>
      </c>
      <c r="P133">
        <v>33825225.225225225</v>
      </c>
      <c r="Q133">
        <v>240</v>
      </c>
      <c r="R133">
        <v>1111</v>
      </c>
      <c r="S133">
        <v>130189711.7117117</v>
      </c>
      <c r="T133">
        <v>126114342.34234233</v>
      </c>
      <c r="U133">
        <v>24608018.018018018</v>
      </c>
      <c r="V133">
        <v>39706396.396396399</v>
      </c>
      <c r="W133">
        <v>10686</v>
      </c>
      <c r="X133">
        <v>10565</v>
      </c>
    </row>
    <row r="134" spans="1:24">
      <c r="A134" s="7" t="s">
        <v>222</v>
      </c>
      <c r="B134" s="16" t="s">
        <v>76</v>
      </c>
      <c r="C134">
        <v>314630029.98111808</v>
      </c>
      <c r="D134">
        <v>301854659.95040303</v>
      </c>
      <c r="E134">
        <v>135900.90090090199</v>
      </c>
      <c r="F134">
        <v>896396.39639640099</v>
      </c>
      <c r="G134">
        <v>86</v>
      </c>
      <c r="H134">
        <v>82</v>
      </c>
      <c r="I134">
        <v>8</v>
      </c>
      <c r="J134">
        <v>10</v>
      </c>
      <c r="K134">
        <v>5</v>
      </c>
      <c r="M134">
        <v>96</v>
      </c>
      <c r="N134">
        <v>89</v>
      </c>
      <c r="O134">
        <v>20289729.729729727</v>
      </c>
      <c r="P134">
        <v>20047567.567567565</v>
      </c>
      <c r="Q134">
        <v>43</v>
      </c>
      <c r="R134">
        <v>38</v>
      </c>
      <c r="S134">
        <v>58384754.954954952</v>
      </c>
      <c r="T134">
        <v>57423435.135135137</v>
      </c>
      <c r="U134">
        <v>18762972.972972974</v>
      </c>
      <c r="V134">
        <v>17501531.531531528</v>
      </c>
      <c r="W134">
        <v>7131</v>
      </c>
      <c r="X134">
        <v>7260</v>
      </c>
    </row>
    <row r="135" spans="1:24">
      <c r="A135" s="7" t="s">
        <v>223</v>
      </c>
      <c r="B135" s="16" t="s">
        <v>224</v>
      </c>
      <c r="C135">
        <v>31837680.079319082</v>
      </c>
      <c r="D135">
        <v>27962052.588013891</v>
      </c>
      <c r="G135">
        <v>27</v>
      </c>
      <c r="H135">
        <v>2</v>
      </c>
      <c r="M135">
        <v>27</v>
      </c>
      <c r="N135">
        <v>2</v>
      </c>
      <c r="O135">
        <v>400000</v>
      </c>
      <c r="Q135">
        <v>6</v>
      </c>
      <c r="S135">
        <v>7885315.3153153146</v>
      </c>
      <c r="T135">
        <v>6772189.1891891891</v>
      </c>
      <c r="U135">
        <v>1331891.8918918921</v>
      </c>
      <c r="V135">
        <v>504504.50450450502</v>
      </c>
      <c r="W135">
        <v>883</v>
      </c>
      <c r="X135">
        <v>860</v>
      </c>
    </row>
    <row r="136" spans="1:24">
      <c r="A136" s="7" t="s">
        <v>225</v>
      </c>
      <c r="B136" s="16" t="s">
        <v>143</v>
      </c>
      <c r="C136">
        <v>257505610.15194336</v>
      </c>
      <c r="D136">
        <v>248381140.67494607</v>
      </c>
      <c r="E136">
        <v>453153.15315315599</v>
      </c>
      <c r="F136">
        <v>3519819.819819822</v>
      </c>
      <c r="G136">
        <v>61</v>
      </c>
      <c r="H136">
        <v>88</v>
      </c>
      <c r="I136">
        <v>14</v>
      </c>
      <c r="J136">
        <v>6</v>
      </c>
      <c r="M136">
        <v>71</v>
      </c>
      <c r="N136">
        <v>129</v>
      </c>
      <c r="O136">
        <v>13903603.6036036</v>
      </c>
      <c r="P136">
        <v>14937837.837837836</v>
      </c>
      <c r="Q136">
        <v>145</v>
      </c>
      <c r="R136">
        <v>68</v>
      </c>
      <c r="S136">
        <v>27389198.198198196</v>
      </c>
      <c r="T136">
        <v>32564996.846846849</v>
      </c>
      <c r="U136">
        <v>9873063.0630630609</v>
      </c>
      <c r="V136">
        <v>9788558.5585585572</v>
      </c>
      <c r="W136">
        <v>5651</v>
      </c>
      <c r="X136">
        <v>5785</v>
      </c>
    </row>
    <row r="137" spans="1:24">
      <c r="A137" s="7" t="s">
        <v>226</v>
      </c>
      <c r="B137" s="16" t="s">
        <v>224</v>
      </c>
      <c r="C137">
        <v>30806047.637555424</v>
      </c>
      <c r="D137">
        <v>28465002.927326605</v>
      </c>
      <c r="E137">
        <v>4504.5045045050001</v>
      </c>
      <c r="F137">
        <v>121621.62162162201</v>
      </c>
      <c r="G137">
        <v>6</v>
      </c>
      <c r="H137">
        <v>10</v>
      </c>
      <c r="I137">
        <v>2</v>
      </c>
      <c r="J137">
        <v>2</v>
      </c>
      <c r="M137">
        <v>8</v>
      </c>
      <c r="N137">
        <v>13</v>
      </c>
      <c r="O137">
        <v>3726306.3063063058</v>
      </c>
      <c r="P137">
        <v>3539639.6396396402</v>
      </c>
      <c r="Q137">
        <v>32</v>
      </c>
      <c r="R137">
        <v>25</v>
      </c>
      <c r="S137">
        <v>6522477.4774774769</v>
      </c>
      <c r="T137">
        <v>8154130.630630631</v>
      </c>
      <c r="U137">
        <v>2861621.6216216208</v>
      </c>
      <c r="V137">
        <v>2957837.8378378381</v>
      </c>
      <c r="W137">
        <v>819</v>
      </c>
      <c r="X137">
        <v>810</v>
      </c>
    </row>
    <row r="138" spans="1:24">
      <c r="A138" s="7" t="s">
        <v>227</v>
      </c>
      <c r="B138" s="16" t="s">
        <v>78</v>
      </c>
      <c r="C138">
        <v>242339671.67648444</v>
      </c>
      <c r="D138">
        <v>230877930.36194855</v>
      </c>
      <c r="E138">
        <v>1024324.3243243271</v>
      </c>
      <c r="F138">
        <v>2820720.7207207242</v>
      </c>
      <c r="G138">
        <v>34</v>
      </c>
      <c r="H138">
        <v>42</v>
      </c>
      <c r="I138">
        <v>4</v>
      </c>
      <c r="J138">
        <v>9</v>
      </c>
      <c r="M138">
        <v>37</v>
      </c>
      <c r="N138">
        <v>46</v>
      </c>
      <c r="O138">
        <v>21688198.198198199</v>
      </c>
      <c r="P138">
        <v>26120180.180180181</v>
      </c>
      <c r="Q138">
        <v>149</v>
      </c>
      <c r="R138">
        <v>68</v>
      </c>
      <c r="S138">
        <v>91263592.792792797</v>
      </c>
      <c r="T138">
        <v>92710729.729729727</v>
      </c>
      <c r="U138">
        <v>19071124.324324328</v>
      </c>
      <c r="V138">
        <v>23459819.819819819</v>
      </c>
      <c r="W138">
        <v>4983</v>
      </c>
      <c r="X138">
        <v>4782</v>
      </c>
    </row>
    <row r="139" spans="1:24">
      <c r="A139" s="7" t="s">
        <v>228</v>
      </c>
      <c r="B139" s="16" t="s">
        <v>136</v>
      </c>
      <c r="C139">
        <v>333929583.37955755</v>
      </c>
      <c r="D139">
        <v>311007456.07638705</v>
      </c>
      <c r="E139">
        <v>710135.13513513596</v>
      </c>
      <c r="F139">
        <v>2216666.6666666698</v>
      </c>
      <c r="G139">
        <v>80</v>
      </c>
      <c r="H139">
        <v>77</v>
      </c>
      <c r="I139">
        <v>9</v>
      </c>
      <c r="J139">
        <v>10</v>
      </c>
      <c r="M139">
        <v>92</v>
      </c>
      <c r="N139">
        <v>93</v>
      </c>
      <c r="O139">
        <v>48608198.198198199</v>
      </c>
      <c r="P139">
        <v>34772072.072072074</v>
      </c>
      <c r="Q139">
        <v>112</v>
      </c>
      <c r="R139">
        <v>151</v>
      </c>
      <c r="S139">
        <v>70899401.801801801</v>
      </c>
      <c r="T139">
        <v>73380148.648648649</v>
      </c>
      <c r="U139">
        <v>40432612.612612605</v>
      </c>
      <c r="V139">
        <v>29472702.702702705</v>
      </c>
      <c r="W139">
        <v>7421</v>
      </c>
      <c r="X139">
        <v>7483</v>
      </c>
    </row>
    <row r="140" spans="1:24">
      <c r="A140" s="7" t="s">
        <v>229</v>
      </c>
      <c r="B140" s="16" t="s">
        <v>78</v>
      </c>
      <c r="C140">
        <v>86237923.830717117</v>
      </c>
      <c r="D140">
        <v>88095408.478432462</v>
      </c>
      <c r="E140">
        <v>2350900.9009008999</v>
      </c>
      <c r="F140">
        <v>2972522.5225225231</v>
      </c>
      <c r="G140">
        <v>22</v>
      </c>
      <c r="H140">
        <v>31</v>
      </c>
      <c r="I140">
        <v>1</v>
      </c>
      <c r="J140">
        <v>2</v>
      </c>
      <c r="M140">
        <v>23</v>
      </c>
      <c r="N140">
        <v>38</v>
      </c>
      <c r="O140">
        <v>14684234.234234236</v>
      </c>
      <c r="P140">
        <v>17065765.765765764</v>
      </c>
      <c r="Q140">
        <v>21</v>
      </c>
      <c r="R140">
        <v>13</v>
      </c>
      <c r="S140">
        <v>38315810.810810804</v>
      </c>
      <c r="T140">
        <v>43190279.279279277</v>
      </c>
      <c r="U140">
        <v>14456576.576576577</v>
      </c>
      <c r="V140">
        <v>18731981.981981985</v>
      </c>
      <c r="W140">
        <v>2517</v>
      </c>
      <c r="X140">
        <v>2408</v>
      </c>
    </row>
    <row r="141" spans="1:24">
      <c r="A141" s="7" t="s">
        <v>230</v>
      </c>
      <c r="B141" s="16" t="s">
        <v>54</v>
      </c>
      <c r="C141">
        <v>264449811.71257803</v>
      </c>
      <c r="D141">
        <v>251264270.96815354</v>
      </c>
      <c r="E141">
        <v>622747.74774774897</v>
      </c>
      <c r="F141">
        <v>951351.35135135194</v>
      </c>
      <c r="G141">
        <v>40</v>
      </c>
      <c r="H141">
        <v>27</v>
      </c>
      <c r="I141">
        <v>5</v>
      </c>
      <c r="J141">
        <v>7</v>
      </c>
      <c r="M141">
        <v>47</v>
      </c>
      <c r="N141">
        <v>41</v>
      </c>
      <c r="O141">
        <v>8013513.5135135129</v>
      </c>
      <c r="P141">
        <v>21651351.351351351</v>
      </c>
      <c r="Q141">
        <v>84</v>
      </c>
      <c r="R141">
        <v>2579</v>
      </c>
      <c r="S141">
        <v>60043873.873873875</v>
      </c>
      <c r="T141">
        <v>62869800</v>
      </c>
      <c r="U141">
        <v>8720450.4504504483</v>
      </c>
      <c r="V141">
        <v>22792972.972972974</v>
      </c>
      <c r="W141">
        <v>6764</v>
      </c>
      <c r="X141">
        <v>6772</v>
      </c>
    </row>
    <row r="142" spans="1:24">
      <c r="A142" s="7" t="s">
        <v>231</v>
      </c>
      <c r="B142" s="16" t="s">
        <v>78</v>
      </c>
      <c r="C142">
        <v>100521286.54868993</v>
      </c>
      <c r="D142">
        <v>96088765.868402526</v>
      </c>
      <c r="E142">
        <v>319819.81981982099</v>
      </c>
      <c r="F142">
        <v>2430630.6306306319</v>
      </c>
      <c r="G142">
        <v>47</v>
      </c>
      <c r="H142">
        <v>49</v>
      </c>
      <c r="I142">
        <v>7</v>
      </c>
      <c r="J142">
        <v>10</v>
      </c>
      <c r="M142">
        <v>54</v>
      </c>
      <c r="N142">
        <v>64</v>
      </c>
      <c r="O142">
        <v>25245045.045045044</v>
      </c>
      <c r="P142">
        <v>20181081.081081081</v>
      </c>
      <c r="Q142">
        <v>38</v>
      </c>
      <c r="R142">
        <v>78</v>
      </c>
      <c r="S142">
        <v>46910405.40540541</v>
      </c>
      <c r="T142">
        <v>45738666.666666664</v>
      </c>
      <c r="U142">
        <v>26307567.567567568</v>
      </c>
      <c r="V142">
        <v>23142972.972972967</v>
      </c>
      <c r="W142">
        <v>4084</v>
      </c>
      <c r="X142">
        <v>3914</v>
      </c>
    </row>
    <row r="143" spans="1:24">
      <c r="A143" s="7" t="s">
        <v>232</v>
      </c>
      <c r="B143" s="16" t="s">
        <v>60</v>
      </c>
      <c r="C143">
        <v>85788573.339846551</v>
      </c>
      <c r="D143">
        <v>88264692.476748496</v>
      </c>
      <c r="G143">
        <v>30</v>
      </c>
      <c r="H143">
        <v>25</v>
      </c>
      <c r="I143">
        <v>0</v>
      </c>
      <c r="M143">
        <v>32</v>
      </c>
      <c r="N143">
        <v>27</v>
      </c>
      <c r="O143">
        <v>81081.081081081007</v>
      </c>
      <c r="Q143">
        <v>3</v>
      </c>
      <c r="S143">
        <v>33779864.864864863</v>
      </c>
      <c r="T143">
        <v>37190360.360360362</v>
      </c>
      <c r="U143">
        <v>81081.081081081007</v>
      </c>
      <c r="W143">
        <v>1922</v>
      </c>
      <c r="X143">
        <v>1947</v>
      </c>
    </row>
    <row r="144" spans="1:24">
      <c r="A144" s="7" t="s">
        <v>233</v>
      </c>
      <c r="B144" s="16" t="s">
        <v>54</v>
      </c>
      <c r="C144">
        <v>42304375.791346103</v>
      </c>
      <c r="D144">
        <v>42087564.488734454</v>
      </c>
      <c r="E144">
        <v>573873.87387387396</v>
      </c>
      <c r="F144">
        <v>96396.396396397002</v>
      </c>
      <c r="G144">
        <v>21</v>
      </c>
      <c r="H144">
        <v>26</v>
      </c>
      <c r="I144">
        <v>1</v>
      </c>
      <c r="J144">
        <v>0</v>
      </c>
      <c r="M144">
        <v>44</v>
      </c>
      <c r="N144">
        <v>61</v>
      </c>
      <c r="O144">
        <v>2145945.9459459451</v>
      </c>
      <c r="P144">
        <v>1925585.5855855851</v>
      </c>
      <c r="Q144">
        <v>27</v>
      </c>
      <c r="R144">
        <v>19</v>
      </c>
      <c r="S144">
        <v>9157927.927927928</v>
      </c>
      <c r="T144">
        <v>8858783.7837837841</v>
      </c>
      <c r="U144">
        <v>2802972.9729729728</v>
      </c>
      <c r="V144">
        <v>1871621.621621622</v>
      </c>
      <c r="W144">
        <v>1062</v>
      </c>
      <c r="X144">
        <v>1083</v>
      </c>
    </row>
    <row r="145" spans="1:24">
      <c r="A145" s="7" t="s">
        <v>234</v>
      </c>
      <c r="B145" s="16" t="s">
        <v>167</v>
      </c>
      <c r="C145">
        <v>210317606.20456436</v>
      </c>
      <c r="D145">
        <v>197213978.15975654</v>
      </c>
      <c r="E145">
        <v>27927.927927928002</v>
      </c>
      <c r="F145">
        <v>373873.87387387402</v>
      </c>
      <c r="G145">
        <v>52</v>
      </c>
      <c r="H145">
        <v>15</v>
      </c>
      <c r="I145">
        <v>1</v>
      </c>
      <c r="J145">
        <v>1</v>
      </c>
      <c r="M145">
        <v>59</v>
      </c>
      <c r="N145">
        <v>17</v>
      </c>
      <c r="O145">
        <v>17647747.747747749</v>
      </c>
      <c r="P145">
        <v>17109357.657657661</v>
      </c>
      <c r="Q145">
        <v>11</v>
      </c>
      <c r="R145">
        <v>2</v>
      </c>
      <c r="S145">
        <v>55817936.936936937</v>
      </c>
      <c r="T145">
        <v>54962139.639639638</v>
      </c>
      <c r="U145">
        <v>11761845.045045044</v>
      </c>
      <c r="V145">
        <v>9687477.4774774797</v>
      </c>
      <c r="W145">
        <v>4804</v>
      </c>
      <c r="X145">
        <v>5108</v>
      </c>
    </row>
    <row r="146" spans="1:24">
      <c r="A146" s="7" t="s">
        <v>235</v>
      </c>
      <c r="B146" s="16" t="s">
        <v>236</v>
      </c>
      <c r="C146">
        <v>6196.4937303839997</v>
      </c>
      <c r="D146">
        <v>109.577209678</v>
      </c>
      <c r="T146">
        <v>9009.0090090089998</v>
      </c>
      <c r="W146">
        <v>37</v>
      </c>
      <c r="X146">
        <v>3</v>
      </c>
    </row>
    <row r="147" spans="1:24">
      <c r="A147" s="7" t="s">
        <v>237</v>
      </c>
      <c r="B147" s="16" t="s">
        <v>105</v>
      </c>
      <c r="C147">
        <v>121981176.79688841</v>
      </c>
      <c r="D147">
        <v>116030974.16017513</v>
      </c>
      <c r="E147">
        <v>265225.22522522497</v>
      </c>
      <c r="F147">
        <v>478378.378378377</v>
      </c>
      <c r="G147">
        <v>25</v>
      </c>
      <c r="H147">
        <v>16</v>
      </c>
      <c r="I147">
        <v>1</v>
      </c>
      <c r="J147">
        <v>0</v>
      </c>
      <c r="M147">
        <v>29</v>
      </c>
      <c r="N147">
        <v>17</v>
      </c>
      <c r="O147">
        <v>16179909.909909911</v>
      </c>
      <c r="P147">
        <v>18865225.225225225</v>
      </c>
      <c r="Q147">
        <v>6</v>
      </c>
      <c r="R147">
        <v>50</v>
      </c>
      <c r="S147">
        <v>34254765.765765771</v>
      </c>
      <c r="T147">
        <v>34028918.918918923</v>
      </c>
      <c r="U147">
        <v>13710630.630630633</v>
      </c>
      <c r="V147">
        <v>17365675.675675675</v>
      </c>
      <c r="W147">
        <v>2028</v>
      </c>
      <c r="X147">
        <v>1930</v>
      </c>
    </row>
    <row r="148" spans="1:24">
      <c r="A148" s="7" t="s">
        <v>3</v>
      </c>
      <c r="B148" s="16" t="s">
        <v>158</v>
      </c>
      <c r="C148">
        <v>241840307.67857397</v>
      </c>
      <c r="D148">
        <v>235139159.3640655</v>
      </c>
      <c r="E148">
        <v>2684459.4594594608</v>
      </c>
      <c r="F148">
        <v>2982882.8828828852</v>
      </c>
      <c r="G148">
        <v>32</v>
      </c>
      <c r="H148">
        <v>35</v>
      </c>
      <c r="I148">
        <v>13</v>
      </c>
      <c r="J148">
        <v>10</v>
      </c>
      <c r="M148">
        <v>37</v>
      </c>
      <c r="N148">
        <v>38</v>
      </c>
      <c r="O148">
        <v>46986936.936936937</v>
      </c>
      <c r="P148">
        <v>40045945.945945941</v>
      </c>
      <c r="Q148">
        <v>122</v>
      </c>
      <c r="R148">
        <v>66</v>
      </c>
      <c r="S148">
        <v>61369414.414414413</v>
      </c>
      <c r="T148">
        <v>66715027.027027026</v>
      </c>
      <c r="U148">
        <v>45252882.882882878</v>
      </c>
      <c r="V148">
        <v>40352072.072072074</v>
      </c>
      <c r="W148">
        <v>3601</v>
      </c>
      <c r="X148">
        <v>3678</v>
      </c>
    </row>
    <row r="149" spans="1:24">
      <c r="A149" s="7" t="s">
        <v>238</v>
      </c>
      <c r="B149" s="16" t="s">
        <v>178</v>
      </c>
      <c r="C149">
        <v>210734533.48159435</v>
      </c>
      <c r="D149">
        <v>184665945.73806238</v>
      </c>
      <c r="E149">
        <v>3650450.4504504511</v>
      </c>
      <c r="F149">
        <v>490990.990990992</v>
      </c>
      <c r="G149">
        <v>37</v>
      </c>
      <c r="H149">
        <v>38</v>
      </c>
      <c r="I149">
        <v>3</v>
      </c>
      <c r="J149">
        <v>4</v>
      </c>
      <c r="M149">
        <v>44</v>
      </c>
      <c r="N149">
        <v>72</v>
      </c>
      <c r="O149">
        <v>22255556.75675676</v>
      </c>
      <c r="P149">
        <v>30040540.540540539</v>
      </c>
      <c r="S149">
        <v>63213756.756756753</v>
      </c>
      <c r="T149">
        <v>59118270.270270273</v>
      </c>
      <c r="U149">
        <v>17068738.738738738</v>
      </c>
      <c r="V149">
        <v>23451621.62162162</v>
      </c>
      <c r="W149">
        <v>5636</v>
      </c>
      <c r="X149">
        <v>5168</v>
      </c>
    </row>
    <row r="150" spans="1:24">
      <c r="A150" s="7" t="s">
        <v>239</v>
      </c>
      <c r="B150" s="16" t="s">
        <v>54</v>
      </c>
      <c r="C150">
        <v>142672531.25847134</v>
      </c>
      <c r="D150">
        <v>130500000.19501483</v>
      </c>
      <c r="E150">
        <v>1500315.315315315</v>
      </c>
      <c r="F150">
        <v>3536936.9369369382</v>
      </c>
      <c r="G150">
        <v>14</v>
      </c>
      <c r="H150">
        <v>24</v>
      </c>
      <c r="I150">
        <v>2</v>
      </c>
      <c r="J150">
        <v>4</v>
      </c>
      <c r="M150">
        <v>17</v>
      </c>
      <c r="N150">
        <v>25</v>
      </c>
      <c r="O150">
        <v>19691531.531531528</v>
      </c>
      <c r="P150">
        <v>17735495.495495494</v>
      </c>
      <c r="Q150">
        <v>63</v>
      </c>
      <c r="R150">
        <v>26</v>
      </c>
      <c r="S150">
        <v>38881293.693693697</v>
      </c>
      <c r="T150">
        <v>35931735.135135137</v>
      </c>
      <c r="U150">
        <v>16278331.53153153</v>
      </c>
      <c r="V150">
        <v>16648825.225225223</v>
      </c>
      <c r="W150">
        <v>3551</v>
      </c>
      <c r="X150">
        <v>3502</v>
      </c>
    </row>
    <row r="151" spans="1:24">
      <c r="A151" s="7" t="s">
        <v>240</v>
      </c>
      <c r="B151" s="16" t="s">
        <v>241</v>
      </c>
      <c r="C151">
        <v>121212114.72703139</v>
      </c>
      <c r="D151">
        <v>112611190.12987068</v>
      </c>
      <c r="E151">
        <v>161261.261261262</v>
      </c>
      <c r="F151">
        <v>761261.26126126305</v>
      </c>
      <c r="G151">
        <v>60</v>
      </c>
      <c r="H151">
        <v>50</v>
      </c>
      <c r="I151">
        <v>6</v>
      </c>
      <c r="J151">
        <v>5</v>
      </c>
      <c r="M151">
        <v>69</v>
      </c>
      <c r="N151">
        <v>54</v>
      </c>
      <c r="O151">
        <v>86541981.981981978</v>
      </c>
      <c r="P151">
        <v>9328108.1081081126</v>
      </c>
      <c r="Q151">
        <v>47</v>
      </c>
      <c r="R151">
        <v>11</v>
      </c>
      <c r="S151">
        <v>29293558.558558561</v>
      </c>
      <c r="T151">
        <v>26664863.063063063</v>
      </c>
      <c r="U151">
        <v>75366216.216216207</v>
      </c>
      <c r="V151">
        <v>7991801.8018018054</v>
      </c>
      <c r="W151">
        <v>2809</v>
      </c>
      <c r="X151">
        <v>2805</v>
      </c>
    </row>
    <row r="152" spans="1:24">
      <c r="A152" s="7" t="s">
        <v>242</v>
      </c>
      <c r="B152" s="16" t="s">
        <v>241</v>
      </c>
      <c r="C152">
        <v>311208895.44336069</v>
      </c>
      <c r="D152">
        <v>294875358.95987177</v>
      </c>
      <c r="E152">
        <v>772972.97297297395</v>
      </c>
      <c r="F152">
        <v>2749549.5495495521</v>
      </c>
      <c r="G152">
        <v>159</v>
      </c>
      <c r="H152">
        <v>115</v>
      </c>
      <c r="I152">
        <v>21</v>
      </c>
      <c r="J152">
        <v>16</v>
      </c>
      <c r="K152">
        <v>1</v>
      </c>
      <c r="M152">
        <v>173</v>
      </c>
      <c r="N152">
        <v>129</v>
      </c>
      <c r="O152">
        <v>93417837.837837845</v>
      </c>
      <c r="P152">
        <v>69750990.990990996</v>
      </c>
      <c r="Q152">
        <v>488</v>
      </c>
      <c r="R152">
        <v>99</v>
      </c>
      <c r="S152">
        <v>95009144.144144148</v>
      </c>
      <c r="T152">
        <v>87732756.756756753</v>
      </c>
      <c r="U152">
        <v>92178648.648648649</v>
      </c>
      <c r="V152">
        <v>64984684.684684686</v>
      </c>
      <c r="W152">
        <v>6750</v>
      </c>
      <c r="X152">
        <v>6866</v>
      </c>
    </row>
    <row r="153" spans="1:24">
      <c r="A153" s="7" t="s">
        <v>243</v>
      </c>
      <c r="B153" s="16" t="s">
        <v>50</v>
      </c>
      <c r="C153">
        <v>56194184.508952461</v>
      </c>
      <c r="D153">
        <v>50298650.554630481</v>
      </c>
      <c r="E153">
        <v>3503378.3783783792</v>
      </c>
      <c r="F153">
        <v>1285585.585585586</v>
      </c>
      <c r="G153">
        <v>13</v>
      </c>
      <c r="H153">
        <v>9</v>
      </c>
      <c r="I153">
        <v>6</v>
      </c>
      <c r="J153">
        <v>3</v>
      </c>
      <c r="M153">
        <v>13</v>
      </c>
      <c r="N153">
        <v>9</v>
      </c>
      <c r="O153">
        <v>9089189.1891891882</v>
      </c>
      <c r="P153">
        <v>7080540.5405405406</v>
      </c>
      <c r="Q153">
        <v>9</v>
      </c>
      <c r="R153">
        <v>24</v>
      </c>
      <c r="S153">
        <v>20226981.981981985</v>
      </c>
      <c r="T153">
        <v>16356270.270270269</v>
      </c>
      <c r="U153">
        <v>8271261.2612612611</v>
      </c>
      <c r="V153">
        <v>6428918.9189189188</v>
      </c>
      <c r="W153">
        <v>187</v>
      </c>
      <c r="X153">
        <v>1141</v>
      </c>
    </row>
    <row r="154" spans="1:24">
      <c r="A154" s="7" t="s">
        <v>244</v>
      </c>
      <c r="B154" s="16" t="s">
        <v>181</v>
      </c>
      <c r="C154">
        <v>1723363005.619926</v>
      </c>
      <c r="D154">
        <v>1607699315.6637647</v>
      </c>
      <c r="E154">
        <v>294535663.06306309</v>
      </c>
      <c r="F154">
        <v>87703257.657657668</v>
      </c>
      <c r="G154">
        <v>802</v>
      </c>
      <c r="H154">
        <v>688</v>
      </c>
      <c r="I154">
        <v>88</v>
      </c>
      <c r="J154">
        <v>78</v>
      </c>
      <c r="K154">
        <v>16</v>
      </c>
      <c r="M154">
        <v>959</v>
      </c>
      <c r="N154">
        <v>1251</v>
      </c>
      <c r="O154">
        <v>186825045.04504502</v>
      </c>
      <c r="P154">
        <v>192060720.72072071</v>
      </c>
      <c r="Q154">
        <v>1462</v>
      </c>
      <c r="R154">
        <v>948</v>
      </c>
      <c r="S154">
        <v>343231140.54054052</v>
      </c>
      <c r="T154">
        <v>362174227.92792791</v>
      </c>
      <c r="U154">
        <v>176549189.1891892</v>
      </c>
      <c r="V154">
        <v>184940180.18018016</v>
      </c>
      <c r="W154">
        <v>44700</v>
      </c>
      <c r="X154">
        <v>43904</v>
      </c>
    </row>
    <row r="155" spans="1:24">
      <c r="A155" s="7" t="s">
        <v>245</v>
      </c>
      <c r="B155" s="16" t="s">
        <v>48</v>
      </c>
      <c r="C155">
        <v>75607237.218196467</v>
      </c>
      <c r="D155">
        <v>68987059.181398362</v>
      </c>
      <c r="E155">
        <v>96778884.684684694</v>
      </c>
      <c r="F155">
        <v>151702761.26126125</v>
      </c>
      <c r="G155">
        <v>6</v>
      </c>
      <c r="H155">
        <v>5</v>
      </c>
      <c r="I155">
        <v>2</v>
      </c>
      <c r="J155">
        <v>7</v>
      </c>
      <c r="M155">
        <v>6</v>
      </c>
      <c r="N155">
        <v>8</v>
      </c>
      <c r="O155">
        <v>12748648.648648649</v>
      </c>
      <c r="P155">
        <v>31909961.261261258</v>
      </c>
      <c r="S155">
        <v>17692513.513513513</v>
      </c>
      <c r="T155">
        <v>15928036.036036037</v>
      </c>
      <c r="U155">
        <v>9996306.3063063081</v>
      </c>
      <c r="V155">
        <v>20045495.495495494</v>
      </c>
      <c r="W155">
        <v>1832</v>
      </c>
      <c r="X155">
        <v>1764</v>
      </c>
    </row>
    <row r="156" spans="1:24">
      <c r="A156" s="7" t="s">
        <v>246</v>
      </c>
      <c r="B156" s="16" t="s">
        <v>94</v>
      </c>
      <c r="C156">
        <v>31110052.651556883</v>
      </c>
      <c r="D156">
        <v>19603076.825635366</v>
      </c>
      <c r="G156">
        <v>4</v>
      </c>
      <c r="H156">
        <v>1</v>
      </c>
      <c r="J156">
        <v>0</v>
      </c>
      <c r="M156">
        <v>6</v>
      </c>
      <c r="N156">
        <v>1</v>
      </c>
      <c r="S156">
        <v>5348153.1531531531</v>
      </c>
      <c r="T156">
        <v>3673144.1441441439</v>
      </c>
      <c r="W156">
        <v>728</v>
      </c>
      <c r="X156">
        <v>668</v>
      </c>
    </row>
    <row r="157" spans="1:24">
      <c r="A157" s="7" t="s">
        <v>247</v>
      </c>
      <c r="B157" s="16" t="s">
        <v>117</v>
      </c>
      <c r="C157">
        <v>64491695.326347977</v>
      </c>
      <c r="D157">
        <v>65975322.237433441</v>
      </c>
      <c r="E157">
        <v>712133.333333335</v>
      </c>
      <c r="F157">
        <v>1019511.7117117119</v>
      </c>
      <c r="G157">
        <v>21</v>
      </c>
      <c r="H157">
        <v>8</v>
      </c>
      <c r="I157">
        <v>7</v>
      </c>
      <c r="J157">
        <v>2</v>
      </c>
      <c r="M157">
        <v>27</v>
      </c>
      <c r="N157">
        <v>11</v>
      </c>
      <c r="O157">
        <v>12830917.117117118</v>
      </c>
      <c r="P157">
        <v>9399661.2612612639</v>
      </c>
      <c r="Q157">
        <v>56</v>
      </c>
      <c r="R157">
        <v>39</v>
      </c>
      <c r="S157">
        <v>30382972.97297297</v>
      </c>
      <c r="T157">
        <v>31839981.981981985</v>
      </c>
      <c r="U157">
        <v>14145855.855855856</v>
      </c>
      <c r="V157">
        <v>10857117.117117118</v>
      </c>
      <c r="W157">
        <v>1664</v>
      </c>
      <c r="X157">
        <v>1752</v>
      </c>
    </row>
    <row r="158" spans="1:24">
      <c r="A158" s="7" t="s">
        <v>248</v>
      </c>
      <c r="B158" s="16" t="s">
        <v>121</v>
      </c>
      <c r="C158">
        <v>107775463.5020164</v>
      </c>
      <c r="D158">
        <v>108489443.47031243</v>
      </c>
      <c r="E158">
        <v>102252.25225225301</v>
      </c>
      <c r="F158">
        <v>773873.87387387396</v>
      </c>
      <c r="G158">
        <v>84</v>
      </c>
      <c r="H158">
        <v>68</v>
      </c>
      <c r="I158">
        <v>3</v>
      </c>
      <c r="J158">
        <v>5</v>
      </c>
      <c r="M158">
        <v>95</v>
      </c>
      <c r="N158">
        <v>78</v>
      </c>
      <c r="O158">
        <v>6059459.4594594603</v>
      </c>
      <c r="P158">
        <v>7430200.9009009013</v>
      </c>
      <c r="Q158">
        <v>82</v>
      </c>
      <c r="R158">
        <v>14</v>
      </c>
      <c r="S158">
        <v>12218864.864864863</v>
      </c>
      <c r="T158">
        <v>12536540.540540541</v>
      </c>
      <c r="U158">
        <v>5133783.7837837832</v>
      </c>
      <c r="V158">
        <v>3716126.1261261259</v>
      </c>
      <c r="W158">
        <v>2350</v>
      </c>
      <c r="X158">
        <v>2279</v>
      </c>
    </row>
    <row r="159" spans="1:24">
      <c r="A159" s="7" t="s">
        <v>249</v>
      </c>
      <c r="B159" s="16" t="s">
        <v>76</v>
      </c>
      <c r="C159">
        <v>51923240.743497975</v>
      </c>
      <c r="D159">
        <v>46239883.823788829</v>
      </c>
      <c r="E159">
        <v>119997972.97297297</v>
      </c>
      <c r="F159">
        <v>68293693.693693697</v>
      </c>
      <c r="G159">
        <v>7</v>
      </c>
      <c r="H159">
        <v>5</v>
      </c>
      <c r="I159">
        <v>0</v>
      </c>
      <c r="J159">
        <v>0</v>
      </c>
      <c r="M159">
        <v>9</v>
      </c>
      <c r="N159">
        <v>5</v>
      </c>
      <c r="O159">
        <v>11036.036036035999</v>
      </c>
      <c r="P159">
        <v>189189.189189189</v>
      </c>
      <c r="S159">
        <v>5415432.4324324317</v>
      </c>
      <c r="T159">
        <v>4371666.666666667</v>
      </c>
      <c r="W159">
        <v>1634</v>
      </c>
      <c r="X159">
        <v>1620</v>
      </c>
    </row>
    <row r="160" spans="1:24">
      <c r="A160" s="7" t="s">
        <v>250</v>
      </c>
      <c r="B160" s="16" t="s">
        <v>167</v>
      </c>
      <c r="C160">
        <v>160111717.93252924</v>
      </c>
      <c r="D160">
        <v>150636226.6010471</v>
      </c>
      <c r="G160">
        <v>21</v>
      </c>
      <c r="H160">
        <v>34</v>
      </c>
      <c r="M160">
        <v>26</v>
      </c>
      <c r="N160">
        <v>42</v>
      </c>
      <c r="O160">
        <v>5194594.594594595</v>
      </c>
      <c r="P160">
        <v>1828828.8288288291</v>
      </c>
      <c r="Q160">
        <v>9</v>
      </c>
      <c r="S160">
        <v>28857072.072072074</v>
      </c>
      <c r="T160">
        <v>28907297.297297295</v>
      </c>
      <c r="U160">
        <v>2251171.1711711721</v>
      </c>
      <c r="V160">
        <v>1480900.900900902</v>
      </c>
      <c r="W160">
        <v>3722</v>
      </c>
      <c r="X160">
        <v>3629</v>
      </c>
    </row>
    <row r="161" spans="1:24">
      <c r="A161" s="7" t="s">
        <v>251</v>
      </c>
      <c r="B161" s="16" t="s">
        <v>89</v>
      </c>
      <c r="C161">
        <v>451607173.84714794</v>
      </c>
      <c r="D161">
        <v>446225078.3176294</v>
      </c>
      <c r="E161">
        <v>5641801.80180181</v>
      </c>
      <c r="F161">
        <v>2055855.8558558589</v>
      </c>
      <c r="G161">
        <v>51</v>
      </c>
      <c r="H161">
        <v>79</v>
      </c>
      <c r="I161">
        <v>21</v>
      </c>
      <c r="J161">
        <v>5</v>
      </c>
      <c r="M161">
        <v>57</v>
      </c>
      <c r="N161">
        <v>90</v>
      </c>
      <c r="O161">
        <v>36081801.801801801</v>
      </c>
      <c r="P161">
        <v>32239819.819819815</v>
      </c>
      <c r="Q161">
        <v>423</v>
      </c>
      <c r="R161">
        <v>252</v>
      </c>
      <c r="S161">
        <v>107271109.9099099</v>
      </c>
      <c r="T161">
        <v>109589054.05405405</v>
      </c>
      <c r="U161">
        <v>39936756.756756753</v>
      </c>
      <c r="V161">
        <v>32170270.270270269</v>
      </c>
      <c r="W161">
        <v>10362</v>
      </c>
      <c r="X161">
        <v>10354</v>
      </c>
    </row>
    <row r="162" spans="1:24">
      <c r="A162" s="7" t="s">
        <v>252</v>
      </c>
      <c r="B162" s="16" t="s">
        <v>78</v>
      </c>
      <c r="C162">
        <v>134246727.13606051</v>
      </c>
      <c r="D162">
        <v>129064811.93950963</v>
      </c>
      <c r="E162">
        <v>422522.52252252202</v>
      </c>
      <c r="F162">
        <v>2012612.6126126139</v>
      </c>
      <c r="G162">
        <v>29</v>
      </c>
      <c r="H162">
        <v>24</v>
      </c>
      <c r="I162">
        <v>4</v>
      </c>
      <c r="J162">
        <v>6</v>
      </c>
      <c r="M162">
        <v>32</v>
      </c>
      <c r="N162">
        <v>26</v>
      </c>
      <c r="O162">
        <v>15729639.63963964</v>
      </c>
      <c r="P162">
        <v>25746396.396396395</v>
      </c>
      <c r="Q162">
        <v>27</v>
      </c>
      <c r="R162">
        <v>29</v>
      </c>
      <c r="S162">
        <v>36751657.657657653</v>
      </c>
      <c r="T162">
        <v>37294063.063063063</v>
      </c>
      <c r="U162">
        <v>14145045.045045048</v>
      </c>
      <c r="V162">
        <v>25751441.441441443</v>
      </c>
      <c r="W162">
        <v>2957</v>
      </c>
      <c r="X162">
        <v>2839</v>
      </c>
    </row>
    <row r="163" spans="1:24">
      <c r="A163" s="7" t="s">
        <v>253</v>
      </c>
      <c r="B163" s="16" t="s">
        <v>105</v>
      </c>
      <c r="C163">
        <v>261713368.58448011</v>
      </c>
      <c r="D163">
        <v>258754452.36933675</v>
      </c>
      <c r="E163">
        <v>29545952.252252251</v>
      </c>
      <c r="F163">
        <v>89949389.189189196</v>
      </c>
      <c r="G163">
        <v>57</v>
      </c>
      <c r="H163">
        <v>79</v>
      </c>
      <c r="I163">
        <v>9</v>
      </c>
      <c r="J163">
        <v>12</v>
      </c>
      <c r="K163">
        <v>1</v>
      </c>
      <c r="M163">
        <v>63</v>
      </c>
      <c r="N163">
        <v>170</v>
      </c>
      <c r="O163">
        <v>40550270.270270273</v>
      </c>
      <c r="P163">
        <v>40121981.981981985</v>
      </c>
      <c r="Q163">
        <v>130</v>
      </c>
      <c r="R163">
        <v>373</v>
      </c>
      <c r="S163">
        <v>75782459.459459454</v>
      </c>
      <c r="T163">
        <v>73820162.162162155</v>
      </c>
      <c r="U163">
        <v>37745045.045045048</v>
      </c>
      <c r="V163">
        <v>40912972.972972967</v>
      </c>
      <c r="W163">
        <v>5343</v>
      </c>
      <c r="X163">
        <v>5457</v>
      </c>
    </row>
    <row r="164" spans="1:24">
      <c r="A164" s="7" t="s">
        <v>668</v>
      </c>
      <c r="B164" s="16" t="s">
        <v>181</v>
      </c>
      <c r="O164">
        <v>837837.83783783799</v>
      </c>
      <c r="P164">
        <v>992792.79279279301</v>
      </c>
    </row>
    <row r="165" spans="1:24">
      <c r="A165" s="7" t="s">
        <v>254</v>
      </c>
      <c r="B165" s="16" t="s">
        <v>105</v>
      </c>
      <c r="C165">
        <v>169144472.24928221</v>
      </c>
      <c r="D165">
        <v>165013539.44400558</v>
      </c>
      <c r="E165">
        <v>1479279.2792792791</v>
      </c>
      <c r="F165">
        <v>1754054.0540540561</v>
      </c>
      <c r="G165">
        <v>21</v>
      </c>
      <c r="H165">
        <v>16</v>
      </c>
      <c r="I165">
        <v>0</v>
      </c>
      <c r="J165">
        <v>0</v>
      </c>
      <c r="M165">
        <v>24</v>
      </c>
      <c r="N165">
        <v>20</v>
      </c>
      <c r="O165">
        <v>12181441.441441439</v>
      </c>
      <c r="P165">
        <v>14954414.414414415</v>
      </c>
      <c r="Q165">
        <v>12</v>
      </c>
      <c r="R165">
        <v>45</v>
      </c>
      <c r="S165">
        <v>50375673.873873875</v>
      </c>
      <c r="T165">
        <v>51086198.198198199</v>
      </c>
      <c r="U165">
        <v>10167387.387387387</v>
      </c>
      <c r="V165">
        <v>12293063.063063065</v>
      </c>
      <c r="W165">
        <v>3865</v>
      </c>
      <c r="X165">
        <v>3825</v>
      </c>
    </row>
    <row r="166" spans="1:24">
      <c r="A166" s="7" t="s">
        <v>255</v>
      </c>
      <c r="B166" s="16" t="s">
        <v>105</v>
      </c>
      <c r="C166">
        <v>140594223.62372726</v>
      </c>
      <c r="D166">
        <v>142920663.21943036</v>
      </c>
      <c r="E166">
        <v>983783.78378378402</v>
      </c>
      <c r="F166">
        <v>121621.62162162201</v>
      </c>
      <c r="G166">
        <v>19</v>
      </c>
      <c r="H166">
        <v>21</v>
      </c>
      <c r="I166">
        <v>0</v>
      </c>
      <c r="J166">
        <v>0</v>
      </c>
      <c r="M166">
        <v>19</v>
      </c>
      <c r="N166">
        <v>26</v>
      </c>
      <c r="O166">
        <v>2019819.8198198201</v>
      </c>
      <c r="P166">
        <v>2373873.8738738741</v>
      </c>
      <c r="Q166">
        <v>1</v>
      </c>
      <c r="S166">
        <v>28670315.315315317</v>
      </c>
      <c r="T166">
        <v>30713484.684684683</v>
      </c>
      <c r="U166">
        <v>1408828.8288288291</v>
      </c>
      <c r="V166">
        <v>1892072.072072072</v>
      </c>
      <c r="W166">
        <v>2048</v>
      </c>
      <c r="X166">
        <v>2083</v>
      </c>
    </row>
    <row r="167" spans="1:24">
      <c r="A167" s="7" t="s">
        <v>256</v>
      </c>
      <c r="B167" s="16" t="s">
        <v>134</v>
      </c>
      <c r="C167">
        <v>223821277.3080329</v>
      </c>
      <c r="D167">
        <v>217504860.62801325</v>
      </c>
      <c r="E167">
        <v>272972.97297297302</v>
      </c>
      <c r="F167">
        <v>738738.73873873905</v>
      </c>
      <c r="G167">
        <v>25</v>
      </c>
      <c r="H167">
        <v>20</v>
      </c>
      <c r="I167">
        <v>1</v>
      </c>
      <c r="J167">
        <v>2</v>
      </c>
      <c r="M167">
        <v>25</v>
      </c>
      <c r="N167">
        <v>20</v>
      </c>
      <c r="O167">
        <v>6714414.4144144142</v>
      </c>
      <c r="P167">
        <v>3360360.3603603598</v>
      </c>
      <c r="Q167">
        <v>185</v>
      </c>
      <c r="S167">
        <v>15001387.387387387</v>
      </c>
      <c r="T167">
        <v>15141648.648648648</v>
      </c>
      <c r="U167">
        <v>5924684.6846846836</v>
      </c>
      <c r="V167">
        <v>4125495.4954954959</v>
      </c>
      <c r="W167">
        <v>4183</v>
      </c>
      <c r="X167">
        <v>4145</v>
      </c>
    </row>
    <row r="168" spans="1:24">
      <c r="A168" s="7" t="s">
        <v>257</v>
      </c>
      <c r="B168" s="16" t="s">
        <v>167</v>
      </c>
      <c r="C168">
        <v>85061080.518328413</v>
      </c>
      <c r="D168">
        <v>74520012.977741763</v>
      </c>
      <c r="E168">
        <v>2027927.927927928</v>
      </c>
      <c r="F168">
        <v>6801801.8018018017</v>
      </c>
      <c r="G168">
        <v>46</v>
      </c>
      <c r="H168">
        <v>19</v>
      </c>
      <c r="I168">
        <v>0</v>
      </c>
      <c r="J168">
        <v>0</v>
      </c>
      <c r="M168">
        <v>53</v>
      </c>
      <c r="N168">
        <v>23</v>
      </c>
      <c r="O168">
        <v>5157882.8828828828</v>
      </c>
      <c r="P168">
        <v>4429521.6216216208</v>
      </c>
      <c r="Q168">
        <v>12</v>
      </c>
      <c r="S168">
        <v>29980495.495495494</v>
      </c>
      <c r="T168">
        <v>25651047.747747749</v>
      </c>
      <c r="U168">
        <v>5307927.9279279299</v>
      </c>
      <c r="V168">
        <v>4105495.4954954949</v>
      </c>
      <c r="W168">
        <v>2479</v>
      </c>
      <c r="X168">
        <v>2453</v>
      </c>
    </row>
    <row r="169" spans="1:24">
      <c r="A169" s="7" t="s">
        <v>258</v>
      </c>
      <c r="B169" s="16" t="s">
        <v>60</v>
      </c>
      <c r="C169">
        <v>33631034.596449181</v>
      </c>
      <c r="D169">
        <v>29774970.735476673</v>
      </c>
      <c r="E169">
        <v>15765.765765766</v>
      </c>
      <c r="F169">
        <v>265765.76576576702</v>
      </c>
      <c r="G169">
        <v>13</v>
      </c>
      <c r="H169">
        <v>16</v>
      </c>
      <c r="I169">
        <v>1</v>
      </c>
      <c r="J169">
        <v>5</v>
      </c>
      <c r="K169">
        <v>2</v>
      </c>
      <c r="M169">
        <v>32</v>
      </c>
      <c r="N169">
        <v>22</v>
      </c>
      <c r="O169">
        <v>7547297.297297297</v>
      </c>
      <c r="P169">
        <v>7103603.6036036042</v>
      </c>
      <c r="Q169">
        <v>7</v>
      </c>
      <c r="R169">
        <v>19</v>
      </c>
      <c r="S169">
        <v>12513738.73873874</v>
      </c>
      <c r="T169">
        <v>10418054.054054054</v>
      </c>
      <c r="U169">
        <v>6273693.6936936937</v>
      </c>
      <c r="V169">
        <v>7006756.7567567574</v>
      </c>
      <c r="W169">
        <v>650</v>
      </c>
      <c r="X169">
        <v>628</v>
      </c>
    </row>
    <row r="170" spans="1:24">
      <c r="A170" s="7" t="s">
        <v>259</v>
      </c>
      <c r="B170" s="16" t="s">
        <v>260</v>
      </c>
      <c r="C170">
        <v>16711042.069656029</v>
      </c>
      <c r="D170">
        <v>18536249.492158934</v>
      </c>
      <c r="E170">
        <v>1801801.8018018019</v>
      </c>
      <c r="F170">
        <v>10810.810810810999</v>
      </c>
      <c r="G170">
        <v>10</v>
      </c>
      <c r="H170">
        <v>5</v>
      </c>
      <c r="M170">
        <v>10</v>
      </c>
      <c r="N170">
        <v>6</v>
      </c>
      <c r="O170">
        <v>2702702.702702703</v>
      </c>
      <c r="P170">
        <v>4098648.648648649</v>
      </c>
      <c r="S170">
        <v>3396441.4414414419</v>
      </c>
      <c r="T170">
        <v>3207054.0540540549</v>
      </c>
      <c r="U170">
        <v>4242432.4324324327</v>
      </c>
      <c r="V170">
        <v>1760180.1801801799</v>
      </c>
      <c r="W170">
        <v>563</v>
      </c>
      <c r="X170">
        <v>510</v>
      </c>
    </row>
    <row r="171" spans="1:24">
      <c r="A171" s="7" t="s">
        <v>261</v>
      </c>
      <c r="B171" s="16" t="s">
        <v>60</v>
      </c>
      <c r="C171">
        <v>283727336.46299547</v>
      </c>
      <c r="D171">
        <v>283656150.27212048</v>
      </c>
      <c r="E171">
        <v>148472127.92792794</v>
      </c>
      <c r="F171">
        <v>234612141.44144145</v>
      </c>
      <c r="G171">
        <v>133</v>
      </c>
      <c r="H171">
        <v>222</v>
      </c>
      <c r="I171">
        <v>25</v>
      </c>
      <c r="J171">
        <v>45</v>
      </c>
      <c r="K171">
        <v>12</v>
      </c>
      <c r="M171">
        <v>181</v>
      </c>
      <c r="N171">
        <v>301</v>
      </c>
      <c r="O171">
        <v>54309099.0990991</v>
      </c>
      <c r="P171">
        <v>59318018.018018015</v>
      </c>
      <c r="Q171">
        <v>538</v>
      </c>
      <c r="R171">
        <v>2061</v>
      </c>
      <c r="S171">
        <v>99079531.531531543</v>
      </c>
      <c r="T171">
        <v>103849322.07207206</v>
      </c>
      <c r="U171">
        <v>53875045.045045048</v>
      </c>
      <c r="V171">
        <v>68042522.522522524</v>
      </c>
      <c r="W171">
        <v>6128</v>
      </c>
      <c r="X171">
        <v>6140</v>
      </c>
    </row>
    <row r="172" spans="1:24">
      <c r="A172" s="7" t="s">
        <v>262</v>
      </c>
      <c r="B172" s="16" t="s">
        <v>123</v>
      </c>
      <c r="C172">
        <v>228465180.68880051</v>
      </c>
      <c r="D172">
        <v>219168275.63709936</v>
      </c>
      <c r="E172">
        <v>305855.85585585702</v>
      </c>
      <c r="F172">
        <v>408108.10810810898</v>
      </c>
      <c r="G172">
        <v>35</v>
      </c>
      <c r="H172">
        <v>46</v>
      </c>
      <c r="I172">
        <v>0</v>
      </c>
      <c r="J172">
        <v>2</v>
      </c>
      <c r="K172">
        <v>1</v>
      </c>
      <c r="M172">
        <v>41</v>
      </c>
      <c r="N172">
        <v>62</v>
      </c>
      <c r="O172">
        <v>10876666.666666664</v>
      </c>
      <c r="P172">
        <v>13984504.504504506</v>
      </c>
      <c r="Q172">
        <v>15</v>
      </c>
      <c r="R172">
        <v>31</v>
      </c>
      <c r="S172">
        <v>86539360.360360369</v>
      </c>
      <c r="T172">
        <v>85860468.468468457</v>
      </c>
      <c r="U172">
        <v>10282342.342342343</v>
      </c>
      <c r="V172">
        <v>12969729.729729729</v>
      </c>
      <c r="W172">
        <v>5518</v>
      </c>
      <c r="X172">
        <v>5581</v>
      </c>
    </row>
    <row r="173" spans="1:24">
      <c r="A173" s="7" t="s">
        <v>263</v>
      </c>
      <c r="B173" s="16" t="s">
        <v>123</v>
      </c>
      <c r="C173">
        <v>98918805.656559691</v>
      </c>
      <c r="D173">
        <v>92818107.907144114</v>
      </c>
      <c r="E173">
        <v>400900.900900901</v>
      </c>
      <c r="F173">
        <v>1471396.396396396</v>
      </c>
      <c r="G173">
        <v>38</v>
      </c>
      <c r="H173">
        <v>29</v>
      </c>
      <c r="I173">
        <v>5</v>
      </c>
      <c r="J173">
        <v>5</v>
      </c>
      <c r="K173">
        <v>2</v>
      </c>
      <c r="M173">
        <v>44</v>
      </c>
      <c r="N173">
        <v>137</v>
      </c>
      <c r="O173">
        <v>20266936.936936937</v>
      </c>
      <c r="P173">
        <v>22210720.72072072</v>
      </c>
      <c r="Q173">
        <v>24</v>
      </c>
      <c r="R173">
        <v>433</v>
      </c>
      <c r="S173">
        <v>41304495.495495498</v>
      </c>
      <c r="T173">
        <v>38505711.711711712</v>
      </c>
      <c r="U173">
        <v>22748288.288288288</v>
      </c>
      <c r="V173">
        <v>21410180.180180177</v>
      </c>
      <c r="W173">
        <v>2438</v>
      </c>
      <c r="X173">
        <v>2308</v>
      </c>
    </row>
    <row r="174" spans="1:24">
      <c r="A174" s="7" t="s">
        <v>264</v>
      </c>
      <c r="B174" s="16" t="s">
        <v>125</v>
      </c>
      <c r="C174">
        <v>230200956.62202758</v>
      </c>
      <c r="D174">
        <v>234183690.29863566</v>
      </c>
      <c r="E174">
        <v>550000.00000000198</v>
      </c>
      <c r="F174">
        <v>2072972.972972973</v>
      </c>
      <c r="G174">
        <v>30</v>
      </c>
      <c r="H174">
        <v>67</v>
      </c>
      <c r="I174">
        <v>3</v>
      </c>
      <c r="J174">
        <v>4</v>
      </c>
      <c r="M174">
        <v>33</v>
      </c>
      <c r="N174">
        <v>67</v>
      </c>
      <c r="O174">
        <v>29382432.432432432</v>
      </c>
      <c r="P174">
        <v>16090990.990990993</v>
      </c>
      <c r="Q174">
        <v>30</v>
      </c>
      <c r="R174">
        <v>7</v>
      </c>
      <c r="S174">
        <v>80158963.963963971</v>
      </c>
      <c r="T174">
        <v>85209600</v>
      </c>
      <c r="U174">
        <v>22327927.927927926</v>
      </c>
      <c r="V174">
        <v>17077477.477477476</v>
      </c>
      <c r="W174">
        <v>4439</v>
      </c>
      <c r="X174">
        <v>4428</v>
      </c>
    </row>
    <row r="175" spans="1:24">
      <c r="A175" s="7" t="s">
        <v>265</v>
      </c>
      <c r="B175" s="16" t="s">
        <v>123</v>
      </c>
      <c r="C175">
        <v>234842443.5192875</v>
      </c>
      <c r="D175">
        <v>223742756.61957347</v>
      </c>
      <c r="E175">
        <v>334234.23423423403</v>
      </c>
      <c r="F175">
        <v>1614414.4144144161</v>
      </c>
      <c r="G175">
        <v>67</v>
      </c>
      <c r="H175">
        <v>28</v>
      </c>
      <c r="I175">
        <v>8</v>
      </c>
      <c r="J175">
        <v>4</v>
      </c>
      <c r="M175">
        <v>72</v>
      </c>
      <c r="N175">
        <v>31</v>
      </c>
      <c r="O175">
        <v>17801981.981981982</v>
      </c>
      <c r="P175">
        <v>21373333.333333336</v>
      </c>
      <c r="Q175">
        <v>49</v>
      </c>
      <c r="R175">
        <v>42</v>
      </c>
      <c r="S175">
        <v>81788423.423423424</v>
      </c>
      <c r="T175">
        <v>78801915.315315306</v>
      </c>
      <c r="U175">
        <v>18759819.819819819</v>
      </c>
      <c r="V175">
        <v>20548738.738738742</v>
      </c>
      <c r="W175">
        <v>4797</v>
      </c>
      <c r="X175">
        <v>4756</v>
      </c>
    </row>
    <row r="176" spans="1:24">
      <c r="A176" s="7" t="s">
        <v>266</v>
      </c>
      <c r="B176" s="16" t="s">
        <v>123</v>
      </c>
      <c r="C176">
        <v>231046012.12189329</v>
      </c>
      <c r="D176">
        <v>235124633.86559954</v>
      </c>
      <c r="E176">
        <v>1716216.216216218</v>
      </c>
      <c r="F176">
        <v>2524774.7747747749</v>
      </c>
      <c r="G176">
        <v>31</v>
      </c>
      <c r="H176">
        <v>48</v>
      </c>
      <c r="I176">
        <v>2</v>
      </c>
      <c r="J176">
        <v>4</v>
      </c>
      <c r="M176">
        <v>32</v>
      </c>
      <c r="N176">
        <v>51</v>
      </c>
      <c r="O176">
        <v>26414234.234234236</v>
      </c>
      <c r="P176">
        <v>25949729.729729731</v>
      </c>
      <c r="Q176">
        <v>89</v>
      </c>
      <c r="R176">
        <v>107</v>
      </c>
      <c r="S176">
        <v>89608774.774774775</v>
      </c>
      <c r="T176">
        <v>95783034.234234244</v>
      </c>
      <c r="U176">
        <v>24863963.963963959</v>
      </c>
      <c r="V176">
        <v>25029459.459459458</v>
      </c>
      <c r="W176">
        <v>5396</v>
      </c>
      <c r="X176">
        <v>5852</v>
      </c>
    </row>
    <row r="177" spans="1:24">
      <c r="A177" s="7" t="s">
        <v>267</v>
      </c>
      <c r="B177" s="16" t="s">
        <v>178</v>
      </c>
      <c r="C177">
        <v>1238521908.883476</v>
      </c>
      <c r="D177">
        <v>1185952836.0270402</v>
      </c>
      <c r="E177">
        <v>891598851.35135126</v>
      </c>
      <c r="F177">
        <v>984971127.02702713</v>
      </c>
      <c r="G177">
        <v>593</v>
      </c>
      <c r="H177">
        <v>585</v>
      </c>
      <c r="I177">
        <v>44</v>
      </c>
      <c r="J177">
        <v>88</v>
      </c>
      <c r="K177">
        <v>4</v>
      </c>
      <c r="M177">
        <v>858</v>
      </c>
      <c r="N177">
        <v>1169</v>
      </c>
      <c r="O177">
        <v>193385582.88288289</v>
      </c>
      <c r="P177">
        <v>165204708.10810813</v>
      </c>
      <c r="Q177">
        <v>760</v>
      </c>
      <c r="R177">
        <v>945</v>
      </c>
      <c r="S177">
        <v>349700801.8018018</v>
      </c>
      <c r="T177">
        <v>360866083.78378379</v>
      </c>
      <c r="U177">
        <v>174077837.83783785</v>
      </c>
      <c r="V177">
        <v>152630090.09009013</v>
      </c>
      <c r="W177">
        <v>33326</v>
      </c>
      <c r="X177">
        <v>33674</v>
      </c>
    </row>
    <row r="178" spans="1:24">
      <c r="A178" s="7" t="s">
        <v>268</v>
      </c>
      <c r="B178" s="16" t="s">
        <v>62</v>
      </c>
      <c r="C178">
        <v>185414019.46823174</v>
      </c>
      <c r="D178">
        <v>193855123.71349916</v>
      </c>
      <c r="E178">
        <v>1661351.351351355</v>
      </c>
      <c r="F178">
        <v>4615315.3153153192</v>
      </c>
      <c r="G178">
        <v>37</v>
      </c>
      <c r="H178">
        <v>62</v>
      </c>
      <c r="I178">
        <v>10</v>
      </c>
      <c r="J178">
        <v>21</v>
      </c>
      <c r="M178">
        <v>42</v>
      </c>
      <c r="N178">
        <v>71</v>
      </c>
      <c r="O178">
        <v>16925135.135135133</v>
      </c>
      <c r="P178">
        <v>69479369.369369373</v>
      </c>
      <c r="Q178">
        <v>38</v>
      </c>
      <c r="R178">
        <v>114</v>
      </c>
      <c r="S178">
        <v>61164954.954954952</v>
      </c>
      <c r="T178">
        <v>62475135.135135137</v>
      </c>
      <c r="U178">
        <v>16264234.234234232</v>
      </c>
      <c r="V178">
        <v>56637927.927927919</v>
      </c>
      <c r="W178">
        <v>4600</v>
      </c>
      <c r="X178">
        <v>4707</v>
      </c>
    </row>
    <row r="179" spans="1:24">
      <c r="A179" s="7" t="s">
        <v>269</v>
      </c>
      <c r="B179" s="16" t="s">
        <v>70</v>
      </c>
      <c r="C179">
        <v>247367785.89593568</v>
      </c>
      <c r="D179">
        <v>251624582.49492601</v>
      </c>
      <c r="E179">
        <v>4138288.2882882869</v>
      </c>
      <c r="F179">
        <v>3144054.0540540591</v>
      </c>
      <c r="G179">
        <v>59</v>
      </c>
      <c r="H179">
        <v>84</v>
      </c>
      <c r="I179">
        <v>4</v>
      </c>
      <c r="J179">
        <v>29</v>
      </c>
      <c r="K179">
        <v>1</v>
      </c>
      <c r="M179">
        <v>61</v>
      </c>
      <c r="N179">
        <v>160</v>
      </c>
      <c r="O179">
        <v>38433108.108108103</v>
      </c>
      <c r="P179">
        <v>23114414.414414417</v>
      </c>
      <c r="Q179">
        <v>108</v>
      </c>
      <c r="R179">
        <v>172</v>
      </c>
      <c r="S179">
        <v>111497729.72972973</v>
      </c>
      <c r="T179">
        <v>114096828.82882883</v>
      </c>
      <c r="U179">
        <v>34518783.783783786</v>
      </c>
      <c r="V179">
        <v>20663963.963963967</v>
      </c>
      <c r="W179">
        <v>6961</v>
      </c>
      <c r="X179">
        <v>6856</v>
      </c>
    </row>
    <row r="180" spans="1:24">
      <c r="A180" s="7" t="s">
        <v>270</v>
      </c>
      <c r="B180" s="16" t="s">
        <v>134</v>
      </c>
      <c r="C180">
        <v>3272546.5062104878</v>
      </c>
      <c r="D180">
        <v>3829369.4713062709</v>
      </c>
      <c r="G180">
        <v>2</v>
      </c>
      <c r="M180">
        <v>3</v>
      </c>
      <c r="S180">
        <v>183783.783783783</v>
      </c>
      <c r="T180">
        <v>242882.88288288299</v>
      </c>
      <c r="W180">
        <v>269</v>
      </c>
      <c r="X180">
        <v>222</v>
      </c>
    </row>
    <row r="181" spans="1:24">
      <c r="A181" s="7" t="s">
        <v>271</v>
      </c>
      <c r="B181" s="16" t="s">
        <v>76</v>
      </c>
      <c r="C181">
        <v>119957767.19172727</v>
      </c>
      <c r="D181">
        <v>119655146.6253687</v>
      </c>
      <c r="E181">
        <v>9909.9099099100004</v>
      </c>
      <c r="F181">
        <v>67567.567567567996</v>
      </c>
      <c r="G181">
        <v>32</v>
      </c>
      <c r="H181">
        <v>16</v>
      </c>
      <c r="I181">
        <v>0</v>
      </c>
      <c r="J181">
        <v>0</v>
      </c>
      <c r="M181">
        <v>35</v>
      </c>
      <c r="N181">
        <v>18</v>
      </c>
      <c r="O181">
        <v>100000</v>
      </c>
      <c r="P181">
        <v>157657.65765765801</v>
      </c>
      <c r="S181">
        <v>7107612.6126126125</v>
      </c>
      <c r="T181">
        <v>7251121.6216216218</v>
      </c>
      <c r="U181">
        <v>261261.26126126101</v>
      </c>
      <c r="V181">
        <v>210360.36036036001</v>
      </c>
      <c r="W181">
        <v>2315</v>
      </c>
      <c r="X181">
        <v>2467</v>
      </c>
    </row>
    <row r="182" spans="1:24">
      <c r="A182" s="7" t="s">
        <v>272</v>
      </c>
      <c r="B182" s="16" t="s">
        <v>76</v>
      </c>
      <c r="C182">
        <v>43219202.649904907</v>
      </c>
      <c r="D182">
        <v>40356914.862802707</v>
      </c>
      <c r="E182">
        <v>57207.207207207</v>
      </c>
      <c r="F182">
        <v>150450.450450451</v>
      </c>
      <c r="G182">
        <v>15</v>
      </c>
      <c r="H182">
        <v>3</v>
      </c>
      <c r="I182">
        <v>1</v>
      </c>
      <c r="J182">
        <v>1</v>
      </c>
      <c r="M182">
        <v>17</v>
      </c>
      <c r="N182">
        <v>4</v>
      </c>
      <c r="O182">
        <v>11859009.009009007</v>
      </c>
      <c r="P182">
        <v>10073153.153153151</v>
      </c>
      <c r="Q182">
        <v>24</v>
      </c>
      <c r="R182">
        <v>23</v>
      </c>
      <c r="S182">
        <v>12980225.225225223</v>
      </c>
      <c r="T182">
        <v>10544423.423423424</v>
      </c>
      <c r="U182">
        <v>8791171.1711711716</v>
      </c>
      <c r="V182">
        <v>8378648.6486486467</v>
      </c>
      <c r="W182">
        <v>797</v>
      </c>
      <c r="X182">
        <v>763</v>
      </c>
    </row>
    <row r="183" spans="1:24">
      <c r="A183" s="7" t="s">
        <v>273</v>
      </c>
      <c r="B183" s="16" t="s">
        <v>260</v>
      </c>
      <c r="C183">
        <v>896700044.77508032</v>
      </c>
      <c r="D183">
        <v>841982304.30766201</v>
      </c>
      <c r="E183">
        <v>7440990.9909909936</v>
      </c>
      <c r="F183">
        <v>9407207.2072072104</v>
      </c>
      <c r="G183">
        <v>156</v>
      </c>
      <c r="H183">
        <v>236</v>
      </c>
      <c r="I183">
        <v>22</v>
      </c>
      <c r="J183">
        <v>28</v>
      </c>
      <c r="K183">
        <v>1</v>
      </c>
      <c r="M183">
        <v>188</v>
      </c>
      <c r="N183">
        <v>333</v>
      </c>
      <c r="O183">
        <v>146738288.2882883</v>
      </c>
      <c r="P183">
        <v>168612612.61261261</v>
      </c>
      <c r="Q183">
        <v>118</v>
      </c>
      <c r="R183">
        <v>137</v>
      </c>
      <c r="S183">
        <v>250416819.81981981</v>
      </c>
      <c r="T183">
        <v>259034094.5945946</v>
      </c>
      <c r="U183">
        <v>151656216.21621624</v>
      </c>
      <c r="V183">
        <v>150555045.04504505</v>
      </c>
      <c r="W183">
        <v>19437</v>
      </c>
      <c r="X183">
        <v>18866</v>
      </c>
    </row>
    <row r="184" spans="1:24">
      <c r="A184" s="7" t="s">
        <v>676</v>
      </c>
      <c r="B184" s="16" t="s">
        <v>260</v>
      </c>
      <c r="E184">
        <v>319410300.9009009</v>
      </c>
      <c r="F184">
        <v>325388712.61261261</v>
      </c>
      <c r="P184">
        <v>44936936.936936937</v>
      </c>
    </row>
    <row r="185" spans="1:24">
      <c r="A185" s="7" t="s">
        <v>274</v>
      </c>
      <c r="B185" s="16" t="s">
        <v>260</v>
      </c>
      <c r="C185">
        <v>208179701.02875</v>
      </c>
      <c r="D185">
        <v>184426452.27005973</v>
      </c>
      <c r="E185">
        <v>19378378.37837838</v>
      </c>
      <c r="F185">
        <v>68136486.486486495</v>
      </c>
      <c r="G185">
        <v>19</v>
      </c>
      <c r="H185">
        <v>9</v>
      </c>
      <c r="I185">
        <v>3</v>
      </c>
      <c r="J185">
        <v>2</v>
      </c>
      <c r="M185">
        <v>20</v>
      </c>
      <c r="N185">
        <v>12</v>
      </c>
      <c r="O185">
        <v>18910810.810810808</v>
      </c>
      <c r="P185">
        <v>15193693.693693692</v>
      </c>
      <c r="Q185">
        <v>4</v>
      </c>
      <c r="R185">
        <v>8</v>
      </c>
      <c r="S185">
        <v>37502738.738738738</v>
      </c>
      <c r="T185">
        <v>37507729.729729727</v>
      </c>
      <c r="U185">
        <v>8728108.1081081107</v>
      </c>
      <c r="V185">
        <v>11673873.873873873</v>
      </c>
      <c r="W185">
        <v>3824</v>
      </c>
      <c r="X185">
        <v>3830</v>
      </c>
    </row>
    <row r="186" spans="1:24">
      <c r="A186" s="7" t="s">
        <v>275</v>
      </c>
      <c r="B186" s="16" t="s">
        <v>260</v>
      </c>
      <c r="C186">
        <v>216693103.22677276</v>
      </c>
      <c r="D186">
        <v>205828284.47418362</v>
      </c>
      <c r="E186">
        <v>6278288.2882882878</v>
      </c>
      <c r="F186">
        <v>5329369.3693693699</v>
      </c>
      <c r="G186">
        <v>30</v>
      </c>
      <c r="H186">
        <v>22</v>
      </c>
      <c r="I186">
        <v>5</v>
      </c>
      <c r="J186">
        <v>5</v>
      </c>
      <c r="K186">
        <v>1</v>
      </c>
      <c r="M186">
        <v>33</v>
      </c>
      <c r="N186">
        <v>27</v>
      </c>
      <c r="O186">
        <v>38941891.891891889</v>
      </c>
      <c r="P186">
        <v>42315315.315315321</v>
      </c>
      <c r="Q186">
        <v>300</v>
      </c>
      <c r="R186">
        <v>21</v>
      </c>
      <c r="S186">
        <v>48756396.396396391</v>
      </c>
      <c r="T186">
        <v>46084936.936936937</v>
      </c>
      <c r="U186">
        <v>37384594.59459459</v>
      </c>
      <c r="V186">
        <v>39550630.630630635</v>
      </c>
      <c r="W186">
        <v>6043</v>
      </c>
      <c r="X186">
        <v>5942</v>
      </c>
    </row>
    <row r="187" spans="1:24">
      <c r="A187" s="7" t="s">
        <v>276</v>
      </c>
      <c r="B187" s="16" t="s">
        <v>134</v>
      </c>
      <c r="C187">
        <v>257194206.87843245</v>
      </c>
      <c r="D187">
        <v>260724285.62934732</v>
      </c>
      <c r="E187">
        <v>28828.828828828999</v>
      </c>
      <c r="F187">
        <v>328828.82882883103</v>
      </c>
      <c r="G187">
        <v>44</v>
      </c>
      <c r="H187">
        <v>56</v>
      </c>
      <c r="I187">
        <v>4</v>
      </c>
      <c r="J187">
        <v>5</v>
      </c>
      <c r="M187">
        <v>49</v>
      </c>
      <c r="N187">
        <v>64</v>
      </c>
      <c r="O187">
        <v>9668468.4684684686</v>
      </c>
      <c r="P187">
        <v>14292792.792792793</v>
      </c>
      <c r="Q187">
        <v>22</v>
      </c>
      <c r="S187">
        <v>22647774.774774775</v>
      </c>
      <c r="T187">
        <v>21871545.045045048</v>
      </c>
      <c r="U187">
        <v>7094414.4144144151</v>
      </c>
      <c r="V187">
        <v>5774324.3243243238</v>
      </c>
      <c r="W187">
        <v>5310</v>
      </c>
      <c r="X187">
        <v>5376</v>
      </c>
    </row>
    <row r="188" spans="1:24">
      <c r="A188" s="7" t="s">
        <v>677</v>
      </c>
      <c r="B188" s="16" t="s">
        <v>87</v>
      </c>
      <c r="O188">
        <v>135135.135135135</v>
      </c>
      <c r="P188">
        <v>837837.83783783799</v>
      </c>
    </row>
    <row r="189" spans="1:24">
      <c r="A189" s="7" t="s">
        <v>277</v>
      </c>
      <c r="B189" s="16" t="s">
        <v>169</v>
      </c>
      <c r="C189">
        <v>198848646.84077954</v>
      </c>
      <c r="D189">
        <v>157061473.37166655</v>
      </c>
      <c r="E189">
        <v>583783.78378378297</v>
      </c>
      <c r="F189">
        <v>557657.65765765798</v>
      </c>
      <c r="G189">
        <v>32</v>
      </c>
      <c r="H189">
        <v>29</v>
      </c>
      <c r="I189">
        <v>1</v>
      </c>
      <c r="J189">
        <v>1</v>
      </c>
      <c r="M189">
        <v>32</v>
      </c>
      <c r="N189">
        <v>45</v>
      </c>
      <c r="O189">
        <v>16800000</v>
      </c>
      <c r="P189">
        <v>12307657.657657659</v>
      </c>
      <c r="Q189">
        <v>12</v>
      </c>
      <c r="R189">
        <v>11</v>
      </c>
      <c r="S189">
        <v>79880027.027027026</v>
      </c>
      <c r="T189">
        <v>71046790.540540546</v>
      </c>
      <c r="U189">
        <v>12875225.225225225</v>
      </c>
      <c r="V189">
        <v>9861441.4414414391</v>
      </c>
      <c r="W189">
        <v>3247</v>
      </c>
      <c r="X189">
        <v>3243</v>
      </c>
    </row>
    <row r="190" spans="1:24">
      <c r="A190" s="7" t="s">
        <v>278</v>
      </c>
      <c r="B190" s="16" t="s">
        <v>169</v>
      </c>
      <c r="C190">
        <v>85468725.49866125</v>
      </c>
      <c r="D190">
        <v>88978055.576460198</v>
      </c>
      <c r="E190">
        <v>900.900900901</v>
      </c>
      <c r="F190">
        <v>3603.603603604</v>
      </c>
      <c r="G190">
        <v>5</v>
      </c>
      <c r="H190">
        <v>12</v>
      </c>
      <c r="M190">
        <v>5</v>
      </c>
      <c r="N190">
        <v>13</v>
      </c>
      <c r="O190">
        <v>2253153.1531531531</v>
      </c>
      <c r="P190">
        <v>6072635.1351351347</v>
      </c>
      <c r="S190">
        <v>32018846.846846849</v>
      </c>
      <c r="T190">
        <v>39298085.585585587</v>
      </c>
      <c r="U190">
        <v>3667657.6576576582</v>
      </c>
      <c r="V190">
        <v>4653513.5135135129</v>
      </c>
      <c r="W190">
        <v>2022</v>
      </c>
      <c r="X190">
        <v>2093</v>
      </c>
    </row>
    <row r="191" spans="1:24">
      <c r="A191" s="7" t="s">
        <v>279</v>
      </c>
      <c r="B191" s="16" t="s">
        <v>87</v>
      </c>
      <c r="C191">
        <v>2309654.0956132989</v>
      </c>
      <c r="D191">
        <v>2110030.2392894202</v>
      </c>
      <c r="G191">
        <v>4</v>
      </c>
      <c r="H191">
        <v>4</v>
      </c>
      <c r="M191">
        <v>5</v>
      </c>
      <c r="N191">
        <v>4</v>
      </c>
      <c r="S191">
        <v>1222070.2702702701</v>
      </c>
      <c r="T191">
        <v>753432.43243243196</v>
      </c>
      <c r="W191">
        <v>197</v>
      </c>
      <c r="X191">
        <v>169</v>
      </c>
    </row>
    <row r="192" spans="1:24">
      <c r="A192" s="7" t="s">
        <v>280</v>
      </c>
      <c r="B192" s="16" t="s">
        <v>169</v>
      </c>
      <c r="C192">
        <v>151906027.05310524</v>
      </c>
      <c r="D192">
        <v>151052548.5331035</v>
      </c>
      <c r="E192">
        <v>899324.32432432298</v>
      </c>
      <c r="F192">
        <v>692792.79279279395</v>
      </c>
      <c r="G192">
        <v>26</v>
      </c>
      <c r="H192">
        <v>38</v>
      </c>
      <c r="I192">
        <v>4</v>
      </c>
      <c r="J192">
        <v>3</v>
      </c>
      <c r="M192">
        <v>31</v>
      </c>
      <c r="N192">
        <v>41</v>
      </c>
      <c r="O192">
        <v>15967117.117117116</v>
      </c>
      <c r="P192">
        <v>23100720.72072072</v>
      </c>
      <c r="Q192">
        <v>84</v>
      </c>
      <c r="R192">
        <v>85</v>
      </c>
      <c r="S192">
        <v>58143153.153153151</v>
      </c>
      <c r="T192">
        <v>62413954.954954952</v>
      </c>
      <c r="U192">
        <v>15870270.270270271</v>
      </c>
      <c r="V192">
        <v>20149189.189189192</v>
      </c>
      <c r="W192">
        <v>4140</v>
      </c>
      <c r="X192">
        <v>4086</v>
      </c>
    </row>
    <row r="193" spans="1:24">
      <c r="A193" s="7" t="s">
        <v>281</v>
      </c>
      <c r="B193" s="16" t="s">
        <v>54</v>
      </c>
      <c r="C193">
        <v>117537636.7578232</v>
      </c>
      <c r="D193">
        <v>113253822.789657</v>
      </c>
      <c r="E193">
        <v>588513.51351351605</v>
      </c>
      <c r="F193">
        <v>1332432.4324324341</v>
      </c>
      <c r="G193">
        <v>43</v>
      </c>
      <c r="H193">
        <v>42</v>
      </c>
      <c r="I193">
        <v>6</v>
      </c>
      <c r="J193">
        <v>11</v>
      </c>
      <c r="K193">
        <v>3</v>
      </c>
      <c r="M193">
        <v>52</v>
      </c>
      <c r="N193">
        <v>49</v>
      </c>
      <c r="O193">
        <v>12144594.594594592</v>
      </c>
      <c r="P193">
        <v>12880180.180180177</v>
      </c>
      <c r="Q193">
        <v>106</v>
      </c>
      <c r="R193">
        <v>47</v>
      </c>
      <c r="S193">
        <v>24251153.153153151</v>
      </c>
      <c r="T193">
        <v>24171063.063063063</v>
      </c>
      <c r="U193">
        <v>12476756.756756756</v>
      </c>
      <c r="V193">
        <v>12284144.14414414</v>
      </c>
      <c r="W193">
        <v>3778</v>
      </c>
      <c r="X193">
        <v>4349</v>
      </c>
    </row>
    <row r="194" spans="1:24">
      <c r="A194" s="7" t="s">
        <v>282</v>
      </c>
      <c r="B194" s="16" t="s">
        <v>283</v>
      </c>
      <c r="C194">
        <v>191463955.81302601</v>
      </c>
      <c r="D194">
        <v>151559960.07491359</v>
      </c>
      <c r="E194">
        <v>952702.70270270295</v>
      </c>
      <c r="F194">
        <v>313513.51351351402</v>
      </c>
      <c r="G194">
        <v>85</v>
      </c>
      <c r="H194">
        <v>42</v>
      </c>
      <c r="I194">
        <v>2</v>
      </c>
      <c r="J194">
        <v>2</v>
      </c>
      <c r="M194">
        <v>86</v>
      </c>
      <c r="N194">
        <v>69</v>
      </c>
      <c r="O194">
        <v>6033783.7837837841</v>
      </c>
      <c r="P194">
        <v>7484684.6846846864</v>
      </c>
      <c r="Q194">
        <v>1</v>
      </c>
      <c r="S194">
        <v>23266216.216216218</v>
      </c>
      <c r="T194">
        <v>24115801.801801801</v>
      </c>
      <c r="U194">
        <v>6828738.7387387399</v>
      </c>
      <c r="V194">
        <v>7875405.4054054059</v>
      </c>
      <c r="W194">
        <v>3427</v>
      </c>
      <c r="X194">
        <v>3205</v>
      </c>
    </row>
    <row r="195" spans="1:24">
      <c r="A195" s="7" t="s">
        <v>284</v>
      </c>
      <c r="B195" s="16" t="s">
        <v>283</v>
      </c>
      <c r="C195">
        <v>311803277.96208858</v>
      </c>
      <c r="D195">
        <v>323414620.71879858</v>
      </c>
      <c r="E195">
        <v>1455630.6306306319</v>
      </c>
      <c r="F195">
        <v>2488738.7387387441</v>
      </c>
      <c r="G195">
        <v>77</v>
      </c>
      <c r="H195">
        <v>59</v>
      </c>
      <c r="I195">
        <v>8</v>
      </c>
      <c r="J195">
        <v>3</v>
      </c>
      <c r="M195">
        <v>84</v>
      </c>
      <c r="N195">
        <v>102</v>
      </c>
      <c r="O195">
        <v>39208108.108108111</v>
      </c>
      <c r="P195">
        <v>37407747.747747749</v>
      </c>
      <c r="Q195">
        <v>36</v>
      </c>
      <c r="R195">
        <v>72</v>
      </c>
      <c r="S195">
        <v>61391468.468468472</v>
      </c>
      <c r="T195">
        <v>68005801.801801801</v>
      </c>
      <c r="U195">
        <v>31475945.945945948</v>
      </c>
      <c r="V195">
        <v>33551891.891891889</v>
      </c>
      <c r="W195">
        <v>7986</v>
      </c>
      <c r="X195">
        <v>8098</v>
      </c>
    </row>
    <row r="196" spans="1:24">
      <c r="A196" s="7" t="s">
        <v>285</v>
      </c>
      <c r="B196" s="16" t="s">
        <v>283</v>
      </c>
      <c r="C196">
        <v>166145986.21129563</v>
      </c>
      <c r="D196">
        <v>170392414.5627439</v>
      </c>
      <c r="E196">
        <v>1378378.3783783801</v>
      </c>
      <c r="F196">
        <v>1333243.2432432461</v>
      </c>
      <c r="G196">
        <v>58</v>
      </c>
      <c r="H196">
        <v>33</v>
      </c>
      <c r="I196">
        <v>8</v>
      </c>
      <c r="J196">
        <v>5</v>
      </c>
      <c r="M196">
        <v>61</v>
      </c>
      <c r="N196">
        <v>55</v>
      </c>
      <c r="O196">
        <v>43741441.441441439</v>
      </c>
      <c r="P196">
        <v>43965945.945945948</v>
      </c>
      <c r="Q196">
        <v>33</v>
      </c>
      <c r="R196">
        <v>55</v>
      </c>
      <c r="S196">
        <v>53776918.918918923</v>
      </c>
      <c r="T196">
        <v>53130846.846846849</v>
      </c>
      <c r="U196">
        <v>37864144.144144148</v>
      </c>
      <c r="V196">
        <v>37596306.306306303</v>
      </c>
      <c r="W196">
        <v>4568</v>
      </c>
      <c r="X196">
        <v>4613</v>
      </c>
    </row>
    <row r="197" spans="1:24">
      <c r="A197" s="7" t="s">
        <v>286</v>
      </c>
      <c r="B197" s="16" t="s">
        <v>283</v>
      </c>
      <c r="C197">
        <v>119488839.80812436</v>
      </c>
      <c r="D197">
        <v>127165916.52247304</v>
      </c>
      <c r="E197">
        <v>33810810.810810812</v>
      </c>
      <c r="F197">
        <v>73482882.882882878</v>
      </c>
      <c r="G197">
        <v>17</v>
      </c>
      <c r="H197">
        <v>8</v>
      </c>
      <c r="I197">
        <v>4</v>
      </c>
      <c r="J197">
        <v>2</v>
      </c>
      <c r="M197">
        <v>18</v>
      </c>
      <c r="N197">
        <v>10</v>
      </c>
      <c r="O197">
        <v>23510135.135135137</v>
      </c>
      <c r="P197">
        <v>30990990.990990993</v>
      </c>
      <c r="Q197">
        <v>55</v>
      </c>
      <c r="R197">
        <v>133</v>
      </c>
      <c r="S197">
        <v>19616207.207207207</v>
      </c>
      <c r="T197">
        <v>24586450.450450446</v>
      </c>
      <c r="U197">
        <v>4407297.2972972961</v>
      </c>
      <c r="V197">
        <v>30333963.963963963</v>
      </c>
      <c r="W197">
        <v>2459</v>
      </c>
      <c r="X197">
        <v>2474</v>
      </c>
    </row>
    <row r="198" spans="1:24">
      <c r="A198" s="7" t="s">
        <v>287</v>
      </c>
      <c r="B198" s="16" t="s">
        <v>283</v>
      </c>
      <c r="C198">
        <v>60196262.19100827</v>
      </c>
      <c r="D198">
        <v>64400591.291358143</v>
      </c>
      <c r="E198">
        <v>79279.279279280003</v>
      </c>
      <c r="F198">
        <v>454054.05405405699</v>
      </c>
      <c r="G198">
        <v>5</v>
      </c>
      <c r="H198">
        <v>1</v>
      </c>
      <c r="I198">
        <v>1</v>
      </c>
      <c r="J198">
        <v>1</v>
      </c>
      <c r="M198">
        <v>5</v>
      </c>
      <c r="N198">
        <v>2</v>
      </c>
      <c r="O198">
        <v>79279.279279280003</v>
      </c>
      <c r="P198">
        <v>12400000</v>
      </c>
      <c r="R198">
        <v>2</v>
      </c>
      <c r="S198">
        <v>10850945.945945946</v>
      </c>
      <c r="T198">
        <v>11407495.495495494</v>
      </c>
      <c r="V198">
        <v>12126936.936936935</v>
      </c>
      <c r="W198">
        <v>1355</v>
      </c>
      <c r="X198">
        <v>1373</v>
      </c>
    </row>
    <row r="199" spans="1:24">
      <c r="A199" s="7" t="s">
        <v>288</v>
      </c>
      <c r="B199" s="16" t="s">
        <v>283</v>
      </c>
      <c r="C199">
        <v>10273947.579407033</v>
      </c>
      <c r="D199">
        <v>10411159.52354154</v>
      </c>
      <c r="E199">
        <v>5180.1801801800002</v>
      </c>
      <c r="F199">
        <v>213513.513513513</v>
      </c>
      <c r="G199">
        <v>3</v>
      </c>
      <c r="M199">
        <v>4</v>
      </c>
      <c r="O199">
        <v>793693.69369369396</v>
      </c>
      <c r="P199">
        <v>19690990.990990993</v>
      </c>
      <c r="Q199">
        <v>38</v>
      </c>
      <c r="R199">
        <v>11</v>
      </c>
      <c r="S199">
        <v>1652837.8378378381</v>
      </c>
      <c r="T199">
        <v>1697126.1261261259</v>
      </c>
      <c r="U199">
        <v>788288.28828828805</v>
      </c>
      <c r="V199">
        <v>18274774.774774775</v>
      </c>
      <c r="W199">
        <v>332</v>
      </c>
      <c r="X199">
        <v>302</v>
      </c>
    </row>
    <row r="200" spans="1:24">
      <c r="A200" s="7" t="s">
        <v>289</v>
      </c>
      <c r="B200" s="16" t="s">
        <v>290</v>
      </c>
      <c r="C200">
        <v>132608381.85368939</v>
      </c>
      <c r="D200">
        <v>131978532.1505612</v>
      </c>
      <c r="E200">
        <v>32432.432432433001</v>
      </c>
      <c r="F200">
        <v>115315.31531531599</v>
      </c>
      <c r="G200">
        <v>49</v>
      </c>
      <c r="H200">
        <v>32</v>
      </c>
      <c r="I200">
        <v>2</v>
      </c>
      <c r="J200">
        <v>1</v>
      </c>
      <c r="M200">
        <v>59</v>
      </c>
      <c r="N200">
        <v>37</v>
      </c>
      <c r="O200">
        <v>1518918.91891892</v>
      </c>
      <c r="P200">
        <v>621621.62162162201</v>
      </c>
      <c r="Q200">
        <v>16</v>
      </c>
      <c r="R200">
        <v>5</v>
      </c>
      <c r="S200">
        <v>11876526.126126125</v>
      </c>
      <c r="T200">
        <v>12076299.0990991</v>
      </c>
      <c r="U200">
        <v>1241081.0810810821</v>
      </c>
      <c r="V200">
        <v>754594.59459459502</v>
      </c>
      <c r="W200">
        <v>4040</v>
      </c>
      <c r="X200">
        <v>4230</v>
      </c>
    </row>
    <row r="201" spans="1:24">
      <c r="A201" s="7" t="s">
        <v>291</v>
      </c>
      <c r="B201" s="16" t="s">
        <v>147</v>
      </c>
      <c r="C201">
        <v>307968352.9375053</v>
      </c>
      <c r="D201">
        <v>307260869.47735351</v>
      </c>
      <c r="E201">
        <v>720720.72072072304</v>
      </c>
      <c r="F201">
        <v>5247027.0270270286</v>
      </c>
      <c r="G201">
        <v>50</v>
      </c>
      <c r="H201">
        <v>76</v>
      </c>
      <c r="I201">
        <v>8</v>
      </c>
      <c r="J201">
        <v>7</v>
      </c>
      <c r="K201">
        <v>1</v>
      </c>
      <c r="M201">
        <v>61</v>
      </c>
      <c r="N201">
        <v>92</v>
      </c>
      <c r="O201">
        <v>46850450.45045045</v>
      </c>
      <c r="P201">
        <v>127206181.98198198</v>
      </c>
      <c r="Q201">
        <v>86</v>
      </c>
      <c r="R201">
        <v>201</v>
      </c>
      <c r="S201">
        <v>103270945.94594595</v>
      </c>
      <c r="T201">
        <v>121748657.65765767</v>
      </c>
      <c r="U201">
        <v>38967027.027027026</v>
      </c>
      <c r="V201">
        <v>120497027.02702703</v>
      </c>
      <c r="W201">
        <v>7608</v>
      </c>
      <c r="X201">
        <v>7883</v>
      </c>
    </row>
    <row r="202" spans="1:24">
      <c r="A202" s="7" t="s">
        <v>292</v>
      </c>
      <c r="B202" s="16" t="s">
        <v>293</v>
      </c>
      <c r="C202">
        <v>157499190.1905047</v>
      </c>
      <c r="D202">
        <v>145794974.34136456</v>
      </c>
      <c r="E202">
        <v>41554425.225225233</v>
      </c>
      <c r="F202">
        <v>61749729.729729727</v>
      </c>
      <c r="G202">
        <v>16</v>
      </c>
      <c r="H202">
        <v>12</v>
      </c>
      <c r="I202">
        <v>15</v>
      </c>
      <c r="J202">
        <v>7</v>
      </c>
      <c r="M202">
        <v>24</v>
      </c>
      <c r="N202">
        <v>14</v>
      </c>
      <c r="O202">
        <v>21250495.495495494</v>
      </c>
      <c r="P202">
        <v>33077927.927927922</v>
      </c>
      <c r="R202">
        <v>50</v>
      </c>
      <c r="S202">
        <v>19219900.9009009</v>
      </c>
      <c r="T202">
        <v>19924882.882882886</v>
      </c>
      <c r="U202">
        <v>21281171.17117117</v>
      </c>
      <c r="V202">
        <v>34300450.45045045</v>
      </c>
      <c r="W202">
        <v>3605</v>
      </c>
      <c r="X202">
        <v>3466</v>
      </c>
    </row>
    <row r="203" spans="1:24">
      <c r="A203" s="7" t="s">
        <v>294</v>
      </c>
      <c r="B203" s="16" t="s">
        <v>290</v>
      </c>
      <c r="C203">
        <v>44530576.313394941</v>
      </c>
      <c r="D203">
        <v>31618719.747291099</v>
      </c>
      <c r="E203">
        <v>125343030.63063063</v>
      </c>
      <c r="F203">
        <v>133642061.26126127</v>
      </c>
      <c r="G203">
        <v>19</v>
      </c>
      <c r="H203">
        <v>8</v>
      </c>
      <c r="I203">
        <v>1</v>
      </c>
      <c r="J203">
        <v>2</v>
      </c>
      <c r="M203">
        <v>20</v>
      </c>
      <c r="N203">
        <v>8</v>
      </c>
      <c r="O203">
        <v>17914879.27927928</v>
      </c>
      <c r="P203">
        <v>21883507.207207207</v>
      </c>
      <c r="Q203">
        <v>1</v>
      </c>
      <c r="R203">
        <v>5</v>
      </c>
      <c r="S203">
        <v>4774864.8648648644</v>
      </c>
      <c r="T203">
        <v>4693376.5765765756</v>
      </c>
      <c r="U203">
        <v>1547747.7477477479</v>
      </c>
      <c r="V203">
        <v>1968108.1081081091</v>
      </c>
      <c r="W203">
        <v>1222</v>
      </c>
      <c r="X203">
        <v>1691</v>
      </c>
    </row>
    <row r="204" spans="1:24">
      <c r="A204" s="7" t="s">
        <v>295</v>
      </c>
      <c r="B204" s="16" t="s">
        <v>52</v>
      </c>
      <c r="C204">
        <v>426447072.15998882</v>
      </c>
      <c r="D204">
        <v>422317105.93528271</v>
      </c>
      <c r="E204">
        <v>4659182.8828828828</v>
      </c>
      <c r="F204">
        <v>4759459.4594594641</v>
      </c>
      <c r="G204">
        <v>76</v>
      </c>
      <c r="H204">
        <v>118</v>
      </c>
      <c r="I204">
        <v>10</v>
      </c>
      <c r="J204">
        <v>15</v>
      </c>
      <c r="M204">
        <v>101</v>
      </c>
      <c r="N204">
        <v>176</v>
      </c>
      <c r="O204">
        <v>300454287.38738739</v>
      </c>
      <c r="P204">
        <v>247940360.36036035</v>
      </c>
      <c r="Q204">
        <v>232</v>
      </c>
      <c r="R204">
        <v>523</v>
      </c>
      <c r="S204">
        <v>112749189.18918918</v>
      </c>
      <c r="T204">
        <v>115278900.9009009</v>
      </c>
      <c r="U204">
        <v>292157027.02702701</v>
      </c>
      <c r="V204">
        <v>254705135.13513514</v>
      </c>
      <c r="W204">
        <v>11792</v>
      </c>
      <c r="X204">
        <v>11395</v>
      </c>
    </row>
    <row r="205" spans="1:24">
      <c r="A205" s="7" t="s">
        <v>296</v>
      </c>
      <c r="B205" s="16" t="s">
        <v>169</v>
      </c>
      <c r="C205">
        <v>136593879.24518666</v>
      </c>
      <c r="D205">
        <v>121545156.40142326</v>
      </c>
      <c r="E205">
        <v>1801.801801802</v>
      </c>
      <c r="F205">
        <v>27027.027027028002</v>
      </c>
      <c r="G205">
        <v>18</v>
      </c>
      <c r="H205">
        <v>19</v>
      </c>
      <c r="I205">
        <v>0</v>
      </c>
      <c r="J205">
        <v>0</v>
      </c>
      <c r="K205">
        <v>1</v>
      </c>
      <c r="M205">
        <v>20</v>
      </c>
      <c r="N205">
        <v>25</v>
      </c>
      <c r="O205">
        <v>3920720.7207207209</v>
      </c>
      <c r="P205">
        <v>8765765.7657657657</v>
      </c>
      <c r="R205">
        <v>1</v>
      </c>
      <c r="S205">
        <v>28507540.540540539</v>
      </c>
      <c r="T205">
        <v>28165036.036036037</v>
      </c>
      <c r="U205">
        <v>4892162.1621621624</v>
      </c>
      <c r="V205">
        <v>7091711.7117117122</v>
      </c>
      <c r="W205">
        <v>4242</v>
      </c>
      <c r="X205">
        <v>4529</v>
      </c>
    </row>
    <row r="206" spans="1:24">
      <c r="A206" s="7" t="s">
        <v>297</v>
      </c>
      <c r="B206" s="16" t="s">
        <v>169</v>
      </c>
      <c r="C206">
        <v>127349828.20117132</v>
      </c>
      <c r="D206">
        <v>165598471.57235885</v>
      </c>
      <c r="E206">
        <v>900.900900901</v>
      </c>
      <c r="F206">
        <v>694261.261261262</v>
      </c>
      <c r="G206">
        <v>14</v>
      </c>
      <c r="H206">
        <v>27</v>
      </c>
      <c r="J206">
        <v>0</v>
      </c>
      <c r="M206">
        <v>14</v>
      </c>
      <c r="N206">
        <v>44</v>
      </c>
      <c r="O206">
        <v>984694594.5945946</v>
      </c>
      <c r="P206">
        <v>1829637342.3423424</v>
      </c>
      <c r="S206">
        <v>47052738.738738738</v>
      </c>
      <c r="T206">
        <v>60050009.009009011</v>
      </c>
      <c r="U206">
        <v>986880839.63963974</v>
      </c>
      <c r="V206">
        <v>1825278641.4414415</v>
      </c>
      <c r="W206">
        <v>3186</v>
      </c>
      <c r="X206">
        <v>2881</v>
      </c>
    </row>
    <row r="207" spans="1:24">
      <c r="A207" s="7" t="s">
        <v>298</v>
      </c>
      <c r="B207" s="16" t="s">
        <v>89</v>
      </c>
      <c r="C207">
        <v>498443402.78014612</v>
      </c>
      <c r="D207">
        <v>481170800.23747832</v>
      </c>
      <c r="E207">
        <v>1746261.2612612681</v>
      </c>
      <c r="F207">
        <v>7270136.0360360406</v>
      </c>
      <c r="G207">
        <v>82</v>
      </c>
      <c r="H207">
        <v>93</v>
      </c>
      <c r="I207">
        <v>24</v>
      </c>
      <c r="J207">
        <v>22</v>
      </c>
      <c r="K207">
        <v>2</v>
      </c>
      <c r="M207">
        <v>90</v>
      </c>
      <c r="N207">
        <v>153</v>
      </c>
      <c r="O207">
        <v>34248108.108108103</v>
      </c>
      <c r="P207">
        <v>30448411.711711712</v>
      </c>
      <c r="Q207">
        <v>451</v>
      </c>
      <c r="R207">
        <v>240</v>
      </c>
      <c r="S207">
        <v>91912387.387387395</v>
      </c>
      <c r="T207">
        <v>95201585.585585579</v>
      </c>
      <c r="U207">
        <v>34188648.648648649</v>
      </c>
      <c r="V207">
        <v>29758738.738738742</v>
      </c>
      <c r="W207">
        <v>10576</v>
      </c>
      <c r="X207">
        <v>11026</v>
      </c>
    </row>
    <row r="208" spans="1:24">
      <c r="A208" s="7" t="s">
        <v>299</v>
      </c>
      <c r="B208" s="16" t="s">
        <v>134</v>
      </c>
      <c r="C208">
        <v>245018969.94748479</v>
      </c>
      <c r="D208">
        <v>268058729.30219588</v>
      </c>
      <c r="E208">
        <v>1435360.360360367</v>
      </c>
      <c r="F208">
        <v>2029729.729729732</v>
      </c>
      <c r="G208">
        <v>103</v>
      </c>
      <c r="H208">
        <v>63</v>
      </c>
      <c r="I208">
        <v>32</v>
      </c>
      <c r="J208">
        <v>10</v>
      </c>
      <c r="M208">
        <v>163</v>
      </c>
      <c r="N208">
        <v>84</v>
      </c>
      <c r="O208">
        <v>28389189.189189188</v>
      </c>
      <c r="P208">
        <v>18637837.837837838</v>
      </c>
      <c r="Q208">
        <v>322</v>
      </c>
      <c r="R208">
        <v>3</v>
      </c>
      <c r="S208">
        <v>35715520.720720723</v>
      </c>
      <c r="T208">
        <v>32421378.378378376</v>
      </c>
      <c r="U208">
        <v>23467610.810810812</v>
      </c>
      <c r="V208">
        <v>15907477.477477478</v>
      </c>
      <c r="W208">
        <v>7109</v>
      </c>
      <c r="X208">
        <v>6941</v>
      </c>
    </row>
    <row r="209" spans="1:24">
      <c r="A209" s="7" t="s">
        <v>300</v>
      </c>
      <c r="B209" s="16" t="s">
        <v>290</v>
      </c>
      <c r="C209">
        <v>199450494.52296534</v>
      </c>
      <c r="D209">
        <v>183240166.59268022</v>
      </c>
      <c r="E209">
        <v>19782432.432432432</v>
      </c>
      <c r="F209">
        <v>8854054.0540540554</v>
      </c>
      <c r="G209">
        <v>94</v>
      </c>
      <c r="H209">
        <v>61</v>
      </c>
      <c r="I209">
        <v>18</v>
      </c>
      <c r="J209">
        <v>16</v>
      </c>
      <c r="M209">
        <v>98</v>
      </c>
      <c r="N209">
        <v>72</v>
      </c>
      <c r="O209">
        <v>20874324.324324325</v>
      </c>
      <c r="P209">
        <v>14396396.396396397</v>
      </c>
      <c r="Q209">
        <v>94</v>
      </c>
      <c r="R209">
        <v>34</v>
      </c>
      <c r="S209">
        <v>27050090.090090089</v>
      </c>
      <c r="T209">
        <v>25559047.747747749</v>
      </c>
      <c r="U209">
        <v>18737747.747747749</v>
      </c>
      <c r="V209">
        <v>13663513.513513513</v>
      </c>
      <c r="W209">
        <v>4380</v>
      </c>
      <c r="X209">
        <v>4364</v>
      </c>
    </row>
    <row r="210" spans="1:24">
      <c r="A210" s="7" t="s">
        <v>301</v>
      </c>
      <c r="B210" s="16" t="s">
        <v>80</v>
      </c>
      <c r="C210">
        <v>290919821.54943717</v>
      </c>
      <c r="D210">
        <v>269326029.89467758</v>
      </c>
      <c r="E210">
        <v>1218468.4684684691</v>
      </c>
      <c r="F210">
        <v>4115990.9909909931</v>
      </c>
      <c r="G210">
        <v>83</v>
      </c>
      <c r="H210">
        <v>49</v>
      </c>
      <c r="I210">
        <v>8</v>
      </c>
      <c r="J210">
        <v>10</v>
      </c>
      <c r="M210">
        <v>90</v>
      </c>
      <c r="N210">
        <v>56</v>
      </c>
      <c r="O210">
        <v>26907837.837837841</v>
      </c>
      <c r="P210">
        <v>28817117.117117111</v>
      </c>
      <c r="Q210">
        <v>110</v>
      </c>
      <c r="R210">
        <v>154</v>
      </c>
      <c r="S210">
        <v>63503743.24324324</v>
      </c>
      <c r="T210">
        <v>56474881.081081077</v>
      </c>
      <c r="U210">
        <v>25200990.990990993</v>
      </c>
      <c r="V210">
        <v>24261621.62162162</v>
      </c>
      <c r="W210">
        <v>5720</v>
      </c>
      <c r="X210">
        <v>5661</v>
      </c>
    </row>
    <row r="211" spans="1:24">
      <c r="A211" s="7" t="s">
        <v>302</v>
      </c>
      <c r="B211" s="16" t="s">
        <v>72</v>
      </c>
      <c r="C211">
        <v>416033120.3978802</v>
      </c>
      <c r="D211">
        <v>414685374.44632316</v>
      </c>
      <c r="E211">
        <v>192792.792792794</v>
      </c>
      <c r="F211">
        <v>1285585.585585587</v>
      </c>
      <c r="G211">
        <v>78</v>
      </c>
      <c r="H211">
        <v>105</v>
      </c>
      <c r="I211">
        <v>13</v>
      </c>
      <c r="J211">
        <v>14</v>
      </c>
      <c r="K211">
        <v>3</v>
      </c>
      <c r="M211">
        <v>84</v>
      </c>
      <c r="N211">
        <v>115</v>
      </c>
      <c r="O211">
        <v>29119279.27927928</v>
      </c>
      <c r="P211">
        <v>20963063.063063063</v>
      </c>
      <c r="Q211">
        <v>86</v>
      </c>
      <c r="R211">
        <v>59</v>
      </c>
      <c r="S211">
        <v>56998954.954954959</v>
      </c>
      <c r="T211">
        <v>62613324.324324317</v>
      </c>
      <c r="U211">
        <v>22875135.135135137</v>
      </c>
      <c r="V211">
        <v>22433693.693693694</v>
      </c>
      <c r="W211">
        <v>9034</v>
      </c>
      <c r="X211">
        <v>9027</v>
      </c>
    </row>
    <row r="212" spans="1:24">
      <c r="A212" s="7" t="s">
        <v>303</v>
      </c>
      <c r="B212" s="16" t="s">
        <v>304</v>
      </c>
      <c r="C212">
        <v>1414390.8990829571</v>
      </c>
      <c r="D212">
        <v>1461681.0041099039</v>
      </c>
      <c r="S212">
        <v>670495.49549549504</v>
      </c>
      <c r="T212">
        <v>651441.44144144095</v>
      </c>
      <c r="W212">
        <v>69</v>
      </c>
      <c r="X212">
        <v>73</v>
      </c>
    </row>
    <row r="213" spans="1:24">
      <c r="A213" s="7" t="s">
        <v>678</v>
      </c>
      <c r="B213" s="16" t="s">
        <v>304</v>
      </c>
      <c r="E213">
        <v>9009009.0090090074</v>
      </c>
      <c r="F213">
        <v>7207207.2072072066</v>
      </c>
      <c r="P213">
        <v>44594.594594595001</v>
      </c>
    </row>
    <row r="214" spans="1:24">
      <c r="A214" s="7" t="s">
        <v>305</v>
      </c>
      <c r="B214" s="16" t="s">
        <v>117</v>
      </c>
      <c r="C214">
        <v>62335998.062722214</v>
      </c>
      <c r="D214">
        <v>53307919.67905084</v>
      </c>
      <c r="E214">
        <v>16216.216216217999</v>
      </c>
      <c r="F214">
        <v>308108.10810810601</v>
      </c>
      <c r="G214">
        <v>11</v>
      </c>
      <c r="H214">
        <v>15</v>
      </c>
      <c r="I214">
        <v>6</v>
      </c>
      <c r="J214">
        <v>7</v>
      </c>
      <c r="M214">
        <v>12</v>
      </c>
      <c r="N214">
        <v>38</v>
      </c>
      <c r="O214">
        <v>3035225.2252252242</v>
      </c>
      <c r="P214">
        <v>3283243.243243244</v>
      </c>
      <c r="Q214">
        <v>33</v>
      </c>
      <c r="R214">
        <v>21</v>
      </c>
      <c r="S214">
        <v>24474684.684684683</v>
      </c>
      <c r="T214">
        <v>23314054.054054055</v>
      </c>
      <c r="U214">
        <v>2701441.4414414391</v>
      </c>
      <c r="V214">
        <v>3000810.81081081</v>
      </c>
      <c r="W214">
        <v>1855</v>
      </c>
      <c r="X214">
        <v>1760</v>
      </c>
    </row>
    <row r="215" spans="1:24">
      <c r="A215" s="7" t="s">
        <v>306</v>
      </c>
      <c r="B215" s="16" t="s">
        <v>307</v>
      </c>
      <c r="C215">
        <v>68809906.755030975</v>
      </c>
      <c r="D215">
        <v>68449080.189086661</v>
      </c>
      <c r="E215">
        <v>43243.243243243996</v>
      </c>
      <c r="F215">
        <v>271171.17117117101</v>
      </c>
      <c r="G215">
        <v>34</v>
      </c>
      <c r="H215">
        <v>38</v>
      </c>
      <c r="M215">
        <v>37</v>
      </c>
      <c r="N215">
        <v>48</v>
      </c>
      <c r="O215">
        <v>1454414.414414414</v>
      </c>
      <c r="P215">
        <v>969369.369369369</v>
      </c>
      <c r="Q215">
        <v>35</v>
      </c>
      <c r="R215">
        <v>24</v>
      </c>
      <c r="S215">
        <v>34254720.720720723</v>
      </c>
      <c r="T215">
        <v>36319018.018018015</v>
      </c>
      <c r="U215">
        <v>1169369.3693693681</v>
      </c>
      <c r="V215">
        <v>966936.93693693704</v>
      </c>
      <c r="W215">
        <v>4548</v>
      </c>
      <c r="X215">
        <v>4198</v>
      </c>
    </row>
    <row r="216" spans="1:24">
      <c r="A216" s="7" t="s">
        <v>308</v>
      </c>
      <c r="B216" s="16" t="s">
        <v>140</v>
      </c>
      <c r="C216">
        <v>422460064.75707817</v>
      </c>
      <c r="D216">
        <v>432846298.55634975</v>
      </c>
      <c r="E216">
        <v>689549.54954955098</v>
      </c>
      <c r="F216">
        <v>1898648.648648656</v>
      </c>
      <c r="G216">
        <v>36</v>
      </c>
      <c r="H216">
        <v>70</v>
      </c>
      <c r="I216">
        <v>9</v>
      </c>
      <c r="J216">
        <v>13</v>
      </c>
      <c r="M216">
        <v>50</v>
      </c>
      <c r="N216">
        <v>82</v>
      </c>
      <c r="O216">
        <v>69004954.954954952</v>
      </c>
      <c r="P216">
        <v>83676126.126126125</v>
      </c>
      <c r="Q216">
        <v>23</v>
      </c>
      <c r="R216">
        <v>170</v>
      </c>
      <c r="S216">
        <v>89188241.441441447</v>
      </c>
      <c r="T216">
        <v>96530148.648648635</v>
      </c>
      <c r="U216">
        <v>42258648.648648649</v>
      </c>
      <c r="V216">
        <v>45312432.432432443</v>
      </c>
      <c r="W216">
        <v>7732</v>
      </c>
      <c r="X216">
        <v>8183</v>
      </c>
    </row>
    <row r="217" spans="1:24">
      <c r="A217" s="7" t="s">
        <v>309</v>
      </c>
      <c r="B217" s="16" t="s">
        <v>132</v>
      </c>
      <c r="C217">
        <v>507845047.61338449</v>
      </c>
      <c r="D217">
        <v>423556622.193156</v>
      </c>
      <c r="E217">
        <v>55614402.702702701</v>
      </c>
      <c r="F217">
        <v>47066527.927927926</v>
      </c>
      <c r="G217">
        <v>150</v>
      </c>
      <c r="H217">
        <v>128</v>
      </c>
      <c r="I217">
        <v>3</v>
      </c>
      <c r="J217">
        <v>3</v>
      </c>
      <c r="M217">
        <v>178</v>
      </c>
      <c r="N217">
        <v>152</v>
      </c>
      <c r="O217">
        <v>33755855.855855852</v>
      </c>
      <c r="P217">
        <v>19636036.036036041</v>
      </c>
      <c r="Q217">
        <v>112</v>
      </c>
      <c r="R217">
        <v>26</v>
      </c>
      <c r="S217">
        <v>136320882.88288289</v>
      </c>
      <c r="T217">
        <v>112861018.01801802</v>
      </c>
      <c r="U217">
        <v>25615675.675675675</v>
      </c>
      <c r="V217">
        <v>14173333.333333336</v>
      </c>
      <c r="W217">
        <v>12109</v>
      </c>
      <c r="X217">
        <v>12007</v>
      </c>
    </row>
    <row r="218" spans="1:24">
      <c r="A218" s="7" t="s">
        <v>310</v>
      </c>
      <c r="B218" s="16" t="s">
        <v>72</v>
      </c>
      <c r="C218">
        <v>736377231.22987282</v>
      </c>
      <c r="D218">
        <v>704988074.84638858</v>
      </c>
      <c r="E218">
        <v>1976891.8918919</v>
      </c>
      <c r="F218">
        <v>5783108.1081081172</v>
      </c>
      <c r="G218">
        <v>176</v>
      </c>
      <c r="H218">
        <v>159</v>
      </c>
      <c r="I218">
        <v>40</v>
      </c>
      <c r="J218">
        <v>53</v>
      </c>
      <c r="M218">
        <v>204</v>
      </c>
      <c r="N218">
        <v>196</v>
      </c>
      <c r="O218">
        <v>107585315.31531531</v>
      </c>
      <c r="P218">
        <v>99236036.036036029</v>
      </c>
      <c r="Q218">
        <v>203</v>
      </c>
      <c r="R218">
        <v>154</v>
      </c>
      <c r="S218">
        <v>173457736.93693691</v>
      </c>
      <c r="T218">
        <v>176615757.65765765</v>
      </c>
      <c r="U218">
        <v>92385135.135135129</v>
      </c>
      <c r="V218">
        <v>89633827.027027026</v>
      </c>
      <c r="W218">
        <v>17047</v>
      </c>
      <c r="X218">
        <v>16586</v>
      </c>
    </row>
    <row r="219" spans="1:24">
      <c r="A219" s="7" t="s">
        <v>311</v>
      </c>
      <c r="B219" s="16" t="s">
        <v>62</v>
      </c>
      <c r="C219">
        <v>126130161.85481235</v>
      </c>
      <c r="D219">
        <v>121737764.83763698</v>
      </c>
      <c r="E219">
        <v>209909.90990991099</v>
      </c>
      <c r="F219">
        <v>1610810.810810813</v>
      </c>
      <c r="G219">
        <v>18</v>
      </c>
      <c r="H219">
        <v>15</v>
      </c>
      <c r="I219">
        <v>6</v>
      </c>
      <c r="J219">
        <v>5</v>
      </c>
      <c r="M219">
        <v>21</v>
      </c>
      <c r="N219">
        <v>16</v>
      </c>
      <c r="O219">
        <v>22278918.918918915</v>
      </c>
      <c r="P219">
        <v>23977837.837837841</v>
      </c>
      <c r="Q219">
        <v>57</v>
      </c>
      <c r="R219">
        <v>29</v>
      </c>
      <c r="S219">
        <v>33293684.684684683</v>
      </c>
      <c r="T219">
        <v>33718180.180180177</v>
      </c>
      <c r="U219">
        <v>21772432.432432432</v>
      </c>
      <c r="V219">
        <v>21248648.648648649</v>
      </c>
      <c r="W219">
        <v>2237</v>
      </c>
      <c r="X219">
        <v>2247</v>
      </c>
    </row>
    <row r="220" spans="1:24">
      <c r="A220" s="7" t="s">
        <v>312</v>
      </c>
      <c r="B220" s="16" t="s">
        <v>89</v>
      </c>
      <c r="C220">
        <v>41176787.642802879</v>
      </c>
      <c r="D220">
        <v>41386790.495332845</v>
      </c>
      <c r="E220">
        <v>36936.936936938</v>
      </c>
      <c r="F220">
        <v>570270.27027027099</v>
      </c>
      <c r="G220">
        <v>9</v>
      </c>
      <c r="H220">
        <v>11</v>
      </c>
      <c r="I220">
        <v>6</v>
      </c>
      <c r="J220">
        <v>10</v>
      </c>
      <c r="M220">
        <v>11</v>
      </c>
      <c r="N220">
        <v>13</v>
      </c>
      <c r="O220">
        <v>3037387.387387387</v>
      </c>
      <c r="P220">
        <v>5869909.9099099096</v>
      </c>
      <c r="Q220">
        <v>73</v>
      </c>
      <c r="R220">
        <v>110</v>
      </c>
      <c r="S220">
        <v>12140270.270270269</v>
      </c>
      <c r="T220">
        <v>14629126.126126124</v>
      </c>
      <c r="U220">
        <v>2409009.0090090069</v>
      </c>
      <c r="V220">
        <v>5896126.1261261273</v>
      </c>
      <c r="W220">
        <v>1244</v>
      </c>
      <c r="X220">
        <v>1177</v>
      </c>
    </row>
    <row r="221" spans="1:24">
      <c r="A221" s="7" t="s">
        <v>313</v>
      </c>
      <c r="B221" s="16" t="s">
        <v>92</v>
      </c>
      <c r="C221">
        <v>19531823.812842514</v>
      </c>
      <c r="D221">
        <v>18464751.825402442</v>
      </c>
      <c r="E221">
        <v>900.900900901</v>
      </c>
      <c r="F221">
        <v>144144.144144144</v>
      </c>
      <c r="G221">
        <v>4</v>
      </c>
      <c r="H221">
        <v>3</v>
      </c>
      <c r="I221">
        <v>0</v>
      </c>
      <c r="M221">
        <v>4</v>
      </c>
      <c r="N221">
        <v>3</v>
      </c>
      <c r="O221">
        <v>27927.927927928002</v>
      </c>
      <c r="P221">
        <v>1360360.36036036</v>
      </c>
      <c r="Q221">
        <v>1</v>
      </c>
      <c r="S221">
        <v>1477792.7927927929</v>
      </c>
      <c r="T221">
        <v>1333648.648648649</v>
      </c>
      <c r="U221">
        <v>27027.027027027001</v>
      </c>
      <c r="V221">
        <v>1361261.2612612611</v>
      </c>
      <c r="W221">
        <v>473</v>
      </c>
      <c r="X221">
        <v>935</v>
      </c>
    </row>
    <row r="222" spans="1:24">
      <c r="A222" s="7" t="s">
        <v>314</v>
      </c>
      <c r="B222" s="16" t="s">
        <v>315</v>
      </c>
      <c r="C222">
        <v>153021340.89755699</v>
      </c>
      <c r="D222">
        <v>142443552.79431993</v>
      </c>
      <c r="E222">
        <v>507207.20720720699</v>
      </c>
      <c r="F222">
        <v>755405.40540540405</v>
      </c>
      <c r="G222">
        <v>45</v>
      </c>
      <c r="H222">
        <v>29</v>
      </c>
      <c r="I222">
        <v>1</v>
      </c>
      <c r="J222">
        <v>3</v>
      </c>
      <c r="M222">
        <v>50</v>
      </c>
      <c r="N222">
        <v>32</v>
      </c>
      <c r="O222">
        <v>10144594.594594594</v>
      </c>
      <c r="P222">
        <v>18751351.351351351</v>
      </c>
      <c r="S222">
        <v>24287990.990990993</v>
      </c>
      <c r="T222">
        <v>21867162.162162159</v>
      </c>
      <c r="U222">
        <v>8439999.9999999981</v>
      </c>
      <c r="V222">
        <v>18016036.036036037</v>
      </c>
      <c r="W222">
        <v>3379</v>
      </c>
      <c r="X222">
        <v>3449</v>
      </c>
    </row>
    <row r="223" spans="1:24">
      <c r="A223" s="7" t="s">
        <v>316</v>
      </c>
      <c r="B223" s="16" t="s">
        <v>62</v>
      </c>
      <c r="C223">
        <v>234650800.32617152</v>
      </c>
      <c r="D223">
        <v>240518284.63278836</v>
      </c>
      <c r="E223">
        <v>257237872.07207206</v>
      </c>
      <c r="F223">
        <v>460791005.40540546</v>
      </c>
      <c r="G223">
        <v>79</v>
      </c>
      <c r="H223">
        <v>96</v>
      </c>
      <c r="I223">
        <v>12</v>
      </c>
      <c r="J223">
        <v>14</v>
      </c>
      <c r="M223">
        <v>127</v>
      </c>
      <c r="N223">
        <v>154</v>
      </c>
      <c r="O223">
        <v>46950694.59459459</v>
      </c>
      <c r="P223">
        <v>92971386.486486495</v>
      </c>
      <c r="Q223">
        <v>65</v>
      </c>
      <c r="R223">
        <v>158</v>
      </c>
      <c r="S223">
        <v>84601567.567567572</v>
      </c>
      <c r="T223">
        <v>83896873.873873875</v>
      </c>
      <c r="U223">
        <v>15541441.441441435</v>
      </c>
      <c r="V223">
        <v>43848378.378378376</v>
      </c>
      <c r="W223">
        <v>8756</v>
      </c>
      <c r="X223">
        <v>9587</v>
      </c>
    </row>
    <row r="224" spans="1:24">
      <c r="A224" s="7" t="s">
        <v>317</v>
      </c>
      <c r="B224" s="16" t="s">
        <v>62</v>
      </c>
      <c r="C224">
        <v>237442484.60534492</v>
      </c>
      <c r="D224">
        <v>222718141.56916305</v>
      </c>
      <c r="E224">
        <v>874324.32432432799</v>
      </c>
      <c r="F224">
        <v>1879279.2792792809</v>
      </c>
      <c r="G224">
        <v>98</v>
      </c>
      <c r="H224">
        <v>39</v>
      </c>
      <c r="I224">
        <v>14</v>
      </c>
      <c r="J224">
        <v>10</v>
      </c>
      <c r="M224">
        <v>124</v>
      </c>
      <c r="N224">
        <v>46</v>
      </c>
      <c r="O224">
        <v>22702612.612612616</v>
      </c>
      <c r="P224">
        <v>35000180.180180185</v>
      </c>
      <c r="Q224">
        <v>15</v>
      </c>
      <c r="R224">
        <v>158</v>
      </c>
      <c r="S224">
        <v>79621081.081081092</v>
      </c>
      <c r="T224">
        <v>77905693.693693697</v>
      </c>
      <c r="U224">
        <v>23190900.9009009</v>
      </c>
      <c r="V224">
        <v>32555225.225225225</v>
      </c>
      <c r="W224">
        <v>5606</v>
      </c>
      <c r="X224">
        <v>5478</v>
      </c>
    </row>
    <row r="225" spans="1:24">
      <c r="A225" s="7" t="s">
        <v>318</v>
      </c>
      <c r="B225" s="16" t="s">
        <v>78</v>
      </c>
      <c r="C225">
        <v>245373291.94411668</v>
      </c>
      <c r="D225">
        <v>232427878.9098416</v>
      </c>
      <c r="E225">
        <v>33080045.045045048</v>
      </c>
      <c r="F225">
        <v>67018018.018018015</v>
      </c>
      <c r="G225">
        <v>72</v>
      </c>
      <c r="H225">
        <v>81</v>
      </c>
      <c r="I225">
        <v>14</v>
      </c>
      <c r="J225">
        <v>24</v>
      </c>
      <c r="M225">
        <v>88</v>
      </c>
      <c r="N225">
        <v>135</v>
      </c>
      <c r="O225">
        <v>52339279.279279277</v>
      </c>
      <c r="P225">
        <v>62054954.954954959</v>
      </c>
      <c r="Q225">
        <v>179</v>
      </c>
      <c r="R225">
        <v>156</v>
      </c>
      <c r="S225">
        <v>101825585.58558558</v>
      </c>
      <c r="T225">
        <v>102312184.68468469</v>
      </c>
      <c r="U225">
        <v>51851531.531531528</v>
      </c>
      <c r="V225">
        <v>59400450.45045045</v>
      </c>
      <c r="W225">
        <v>8810</v>
      </c>
      <c r="X225">
        <v>8703</v>
      </c>
    </row>
    <row r="226" spans="1:24">
      <c r="A226" s="7" t="s">
        <v>319</v>
      </c>
      <c r="B226" s="16" t="s">
        <v>78</v>
      </c>
      <c r="C226">
        <v>145744977.07528999</v>
      </c>
      <c r="D226">
        <v>139399045.74857742</v>
      </c>
      <c r="E226">
        <v>2450630.6306306319</v>
      </c>
      <c r="F226">
        <v>2581081.0810810821</v>
      </c>
      <c r="G226">
        <v>21</v>
      </c>
      <c r="H226">
        <v>65</v>
      </c>
      <c r="I226">
        <v>0</v>
      </c>
      <c r="J226">
        <v>5</v>
      </c>
      <c r="K226">
        <v>1</v>
      </c>
      <c r="M226">
        <v>29</v>
      </c>
      <c r="N226">
        <v>107</v>
      </c>
      <c r="O226">
        <v>18193873.873873871</v>
      </c>
      <c r="P226">
        <v>12995495.495495494</v>
      </c>
      <c r="Q226">
        <v>149</v>
      </c>
      <c r="R226">
        <v>94</v>
      </c>
      <c r="S226">
        <v>51419567.567567565</v>
      </c>
      <c r="T226">
        <v>53735000</v>
      </c>
      <c r="U226">
        <v>16060270.270270271</v>
      </c>
      <c r="V226">
        <v>11567297.297297299</v>
      </c>
      <c r="W226">
        <v>5853</v>
      </c>
      <c r="X226">
        <v>5584</v>
      </c>
    </row>
    <row r="227" spans="1:24">
      <c r="A227" s="7" t="s">
        <v>320</v>
      </c>
      <c r="B227" s="16" t="s">
        <v>121</v>
      </c>
      <c r="C227">
        <v>1059580.3941499209</v>
      </c>
      <c r="D227">
        <v>1035492.291811901</v>
      </c>
      <c r="G227">
        <v>1</v>
      </c>
      <c r="M227">
        <v>3</v>
      </c>
      <c r="S227">
        <v>323873.87387387402</v>
      </c>
      <c r="T227">
        <v>114144.144144144</v>
      </c>
      <c r="W227">
        <v>67</v>
      </c>
      <c r="X227">
        <v>53</v>
      </c>
    </row>
    <row r="228" spans="1:24">
      <c r="A228" s="7" t="s">
        <v>321</v>
      </c>
      <c r="B228" s="16" t="s">
        <v>224</v>
      </c>
      <c r="C228">
        <v>185442120.81494308</v>
      </c>
      <c r="D228">
        <v>158130303.5152874</v>
      </c>
      <c r="E228">
        <v>1801.801801802</v>
      </c>
      <c r="F228">
        <v>28828.828828828999</v>
      </c>
      <c r="G228">
        <v>46</v>
      </c>
      <c r="H228">
        <v>31</v>
      </c>
      <c r="I228">
        <v>0</v>
      </c>
      <c r="J228">
        <v>0</v>
      </c>
      <c r="M228">
        <v>48</v>
      </c>
      <c r="N228">
        <v>44</v>
      </c>
      <c r="O228">
        <v>5096936.9369369363</v>
      </c>
      <c r="P228">
        <v>3640360.3603603588</v>
      </c>
      <c r="Q228">
        <v>33</v>
      </c>
      <c r="R228">
        <v>51</v>
      </c>
      <c r="S228">
        <v>68165405.405405402</v>
      </c>
      <c r="T228">
        <v>64530295.495495498</v>
      </c>
      <c r="U228">
        <v>4757387.3873873875</v>
      </c>
      <c r="V228">
        <v>4184774.774774773</v>
      </c>
      <c r="W228">
        <v>3910</v>
      </c>
      <c r="X228">
        <v>3892</v>
      </c>
    </row>
    <row r="229" spans="1:24">
      <c r="A229" s="7" t="s">
        <v>322</v>
      </c>
      <c r="B229" s="16" t="s">
        <v>224</v>
      </c>
      <c r="C229">
        <v>131897479.29338531</v>
      </c>
      <c r="D229">
        <v>112505640.62418532</v>
      </c>
      <c r="E229">
        <v>301801.801801803</v>
      </c>
      <c r="F229">
        <v>54954.954954956003</v>
      </c>
      <c r="G229">
        <v>18</v>
      </c>
      <c r="H229">
        <v>7</v>
      </c>
      <c r="I229">
        <v>4</v>
      </c>
      <c r="J229">
        <v>0</v>
      </c>
      <c r="M229">
        <v>19</v>
      </c>
      <c r="N229">
        <v>8</v>
      </c>
      <c r="O229">
        <v>13673693.693693694</v>
      </c>
      <c r="P229">
        <v>12778558.558558561</v>
      </c>
      <c r="Q229">
        <v>56</v>
      </c>
      <c r="R229">
        <v>105</v>
      </c>
      <c r="S229">
        <v>36804009.009009011</v>
      </c>
      <c r="T229">
        <v>34537220.720720723</v>
      </c>
      <c r="U229">
        <v>11306126.126126124</v>
      </c>
      <c r="V229">
        <v>8757117.1171171162</v>
      </c>
      <c r="W229">
        <v>2227</v>
      </c>
      <c r="X229">
        <v>2198</v>
      </c>
    </row>
    <row r="230" spans="1:24">
      <c r="A230" s="7" t="s">
        <v>323</v>
      </c>
      <c r="B230" s="16" t="s">
        <v>78</v>
      </c>
      <c r="C230">
        <v>177379774.16955325</v>
      </c>
      <c r="D230">
        <v>174966399.5450604</v>
      </c>
      <c r="E230">
        <v>775225.22522522695</v>
      </c>
      <c r="F230">
        <v>890090.09009009297</v>
      </c>
      <c r="G230">
        <v>69</v>
      </c>
      <c r="H230">
        <v>109</v>
      </c>
      <c r="I230">
        <v>9</v>
      </c>
      <c r="J230">
        <v>7</v>
      </c>
      <c r="M230">
        <v>85</v>
      </c>
      <c r="N230">
        <v>147</v>
      </c>
      <c r="O230">
        <v>23013963.963963959</v>
      </c>
      <c r="P230">
        <v>19619819.819819823</v>
      </c>
      <c r="Q230">
        <v>183</v>
      </c>
      <c r="R230">
        <v>84</v>
      </c>
      <c r="S230">
        <v>50811373.873873875</v>
      </c>
      <c r="T230">
        <v>52125756.75675676</v>
      </c>
      <c r="U230">
        <v>19548288.288288288</v>
      </c>
      <c r="V230">
        <v>18115135.135135137</v>
      </c>
      <c r="W230">
        <v>4538</v>
      </c>
      <c r="X230">
        <v>4594</v>
      </c>
    </row>
    <row r="231" spans="1:24">
      <c r="A231" s="7" t="s">
        <v>324</v>
      </c>
      <c r="B231" s="16" t="s">
        <v>108</v>
      </c>
      <c r="C231">
        <v>828261095.02814078</v>
      </c>
      <c r="D231">
        <v>1247022689.834691</v>
      </c>
      <c r="E231">
        <v>1562721644.1441441</v>
      </c>
      <c r="F231">
        <v>1348052025.2252252</v>
      </c>
      <c r="G231">
        <v>193</v>
      </c>
      <c r="H231">
        <v>233</v>
      </c>
      <c r="I231">
        <v>23</v>
      </c>
      <c r="J231">
        <v>35</v>
      </c>
      <c r="K231">
        <v>1</v>
      </c>
      <c r="M231">
        <v>304</v>
      </c>
      <c r="N231">
        <v>361</v>
      </c>
      <c r="O231">
        <v>567335225.22522521</v>
      </c>
      <c r="P231">
        <v>546928828.82882881</v>
      </c>
      <c r="Q231">
        <v>577</v>
      </c>
      <c r="R231">
        <v>2444</v>
      </c>
      <c r="S231">
        <v>199864959.45945945</v>
      </c>
      <c r="T231">
        <v>658065945.94594598</v>
      </c>
      <c r="U231">
        <v>78449549.549549535</v>
      </c>
      <c r="V231">
        <v>100600270.27027027</v>
      </c>
      <c r="W231">
        <v>22156</v>
      </c>
      <c r="X231">
        <v>22716</v>
      </c>
    </row>
    <row r="232" spans="1:24">
      <c r="A232" s="7" t="s">
        <v>325</v>
      </c>
      <c r="B232" s="16" t="s">
        <v>224</v>
      </c>
      <c r="C232">
        <v>188868323.82019871</v>
      </c>
      <c r="D232">
        <v>164176202.42528364</v>
      </c>
      <c r="E232">
        <v>149457972.97297296</v>
      </c>
      <c r="F232">
        <v>118598738.73873873</v>
      </c>
      <c r="G232">
        <v>49</v>
      </c>
      <c r="H232">
        <v>23</v>
      </c>
      <c r="I232">
        <v>4</v>
      </c>
      <c r="J232">
        <v>1</v>
      </c>
      <c r="M232">
        <v>52</v>
      </c>
      <c r="N232">
        <v>26</v>
      </c>
      <c r="O232">
        <v>22074414.414414417</v>
      </c>
      <c r="P232">
        <v>18575765.765765764</v>
      </c>
      <c r="Q232">
        <v>68</v>
      </c>
      <c r="S232">
        <v>36826774.774774775</v>
      </c>
      <c r="T232">
        <v>33811063.063063063</v>
      </c>
      <c r="U232">
        <v>14376576.576576576</v>
      </c>
      <c r="V232">
        <v>14634414.414414413</v>
      </c>
      <c r="W232">
        <v>4315</v>
      </c>
      <c r="X232">
        <v>4304</v>
      </c>
    </row>
    <row r="233" spans="1:24">
      <c r="A233" s="7" t="s">
        <v>4</v>
      </c>
      <c r="B233" s="16" t="s">
        <v>158</v>
      </c>
      <c r="C233">
        <v>143079921.9101347</v>
      </c>
      <c r="D233">
        <v>141489660.35464859</v>
      </c>
      <c r="E233">
        <v>942342.34234234202</v>
      </c>
      <c r="F233">
        <v>1817117.117117119</v>
      </c>
      <c r="G233">
        <v>12</v>
      </c>
      <c r="H233">
        <v>12</v>
      </c>
      <c r="I233">
        <v>6</v>
      </c>
      <c r="J233">
        <v>7</v>
      </c>
      <c r="M233">
        <v>13</v>
      </c>
      <c r="N233">
        <v>16</v>
      </c>
      <c r="O233">
        <v>27768918.918918919</v>
      </c>
      <c r="P233">
        <v>26933333.333333336</v>
      </c>
      <c r="Q233">
        <v>112</v>
      </c>
      <c r="R233">
        <v>49</v>
      </c>
      <c r="S233">
        <v>51683243.24324324</v>
      </c>
      <c r="T233">
        <v>49918324.324324317</v>
      </c>
      <c r="U233">
        <v>26064234.234234232</v>
      </c>
      <c r="V233">
        <v>32221891.891891889</v>
      </c>
      <c r="W233">
        <v>3789</v>
      </c>
      <c r="X233">
        <v>3676</v>
      </c>
    </row>
    <row r="234" spans="1:24">
      <c r="A234" s="7" t="s">
        <v>326</v>
      </c>
      <c r="B234" s="16" t="s">
        <v>108</v>
      </c>
      <c r="C234">
        <v>654786060.64503896</v>
      </c>
      <c r="D234">
        <v>658382401.37582159</v>
      </c>
      <c r="E234">
        <v>18879775.675675679</v>
      </c>
      <c r="F234">
        <v>8216146.8468468534</v>
      </c>
      <c r="G234">
        <v>253</v>
      </c>
      <c r="H234">
        <v>201</v>
      </c>
      <c r="I234">
        <v>31</v>
      </c>
      <c r="J234">
        <v>29</v>
      </c>
      <c r="M234">
        <v>442</v>
      </c>
      <c r="N234">
        <v>297</v>
      </c>
      <c r="O234">
        <v>576222063.06306303</v>
      </c>
      <c r="P234">
        <v>537646327.92792797</v>
      </c>
      <c r="Q234">
        <v>775</v>
      </c>
      <c r="R234">
        <v>1593</v>
      </c>
      <c r="S234">
        <v>191783378.37837836</v>
      </c>
      <c r="T234">
        <v>203911515.76576576</v>
      </c>
      <c r="U234">
        <v>92099189.189189181</v>
      </c>
      <c r="V234">
        <v>85341351.351351351</v>
      </c>
      <c r="W234">
        <v>19791</v>
      </c>
      <c r="X234">
        <v>20158</v>
      </c>
    </row>
    <row r="235" spans="1:24">
      <c r="A235" s="7" t="s">
        <v>327</v>
      </c>
      <c r="B235" s="16" t="s">
        <v>78</v>
      </c>
      <c r="C235">
        <v>68266312.200022712</v>
      </c>
      <c r="D235">
        <v>69025431.102913469</v>
      </c>
      <c r="E235">
        <v>155855.85585585699</v>
      </c>
      <c r="F235">
        <v>482882.88288288401</v>
      </c>
      <c r="G235">
        <v>37</v>
      </c>
      <c r="H235">
        <v>24</v>
      </c>
      <c r="I235">
        <v>3</v>
      </c>
      <c r="J235">
        <v>4</v>
      </c>
      <c r="M235">
        <v>37</v>
      </c>
      <c r="N235">
        <v>27</v>
      </c>
      <c r="O235">
        <v>4777477.477477476</v>
      </c>
      <c r="P235">
        <v>5347747.7477477482</v>
      </c>
      <c r="Q235">
        <v>46</v>
      </c>
      <c r="R235">
        <v>7</v>
      </c>
      <c r="S235">
        <v>21013018.018018015</v>
      </c>
      <c r="T235">
        <v>22969954.954954956</v>
      </c>
      <c r="U235">
        <v>5671801.8018018007</v>
      </c>
      <c r="V235">
        <v>5220000</v>
      </c>
      <c r="W235">
        <v>1933</v>
      </c>
      <c r="X235">
        <v>1837</v>
      </c>
    </row>
    <row r="236" spans="1:24">
      <c r="A236" s="7" t="s">
        <v>328</v>
      </c>
      <c r="B236" s="16" t="s">
        <v>121</v>
      </c>
      <c r="C236">
        <v>192529426.28123629</v>
      </c>
      <c r="D236">
        <v>177206441.5459162</v>
      </c>
      <c r="E236">
        <v>454054.05405405298</v>
      </c>
      <c r="F236">
        <v>880855.85585585597</v>
      </c>
      <c r="G236">
        <v>69</v>
      </c>
      <c r="H236">
        <v>56</v>
      </c>
      <c r="I236">
        <v>8</v>
      </c>
      <c r="J236">
        <v>5</v>
      </c>
      <c r="M236">
        <v>80</v>
      </c>
      <c r="N236">
        <v>62</v>
      </c>
      <c r="O236">
        <v>9736036.0360360369</v>
      </c>
      <c r="P236">
        <v>16094594.594594596</v>
      </c>
      <c r="Q236">
        <v>56</v>
      </c>
      <c r="R236">
        <v>107</v>
      </c>
      <c r="S236">
        <v>26752936.936936937</v>
      </c>
      <c r="T236">
        <v>27682639.639639638</v>
      </c>
      <c r="U236">
        <v>8704594.594594596</v>
      </c>
      <c r="V236">
        <v>12164414.414414413</v>
      </c>
      <c r="W236">
        <v>3952</v>
      </c>
      <c r="X236">
        <v>4617</v>
      </c>
    </row>
    <row r="237" spans="1:24">
      <c r="A237" s="7" t="s">
        <v>329</v>
      </c>
      <c r="B237" s="16" t="s">
        <v>330</v>
      </c>
      <c r="C237">
        <v>446827471.93172705</v>
      </c>
      <c r="D237">
        <v>427278311.01592481</v>
      </c>
      <c r="E237">
        <v>2840315.315315316</v>
      </c>
      <c r="F237">
        <v>5259684.6846846882</v>
      </c>
      <c r="G237">
        <v>169</v>
      </c>
      <c r="H237">
        <v>168</v>
      </c>
      <c r="I237">
        <v>18</v>
      </c>
      <c r="J237">
        <v>21</v>
      </c>
      <c r="K237">
        <v>7</v>
      </c>
      <c r="M237">
        <v>216</v>
      </c>
      <c r="N237">
        <v>210</v>
      </c>
      <c r="O237">
        <v>35424774.774774767</v>
      </c>
      <c r="P237">
        <v>62558558.558558561</v>
      </c>
      <c r="Q237">
        <v>447</v>
      </c>
      <c r="R237">
        <v>88</v>
      </c>
      <c r="S237">
        <v>93478819.819819823</v>
      </c>
      <c r="T237">
        <v>90244831.081081092</v>
      </c>
      <c r="U237">
        <v>35304054.054054052</v>
      </c>
      <c r="V237">
        <v>58519639.639639638</v>
      </c>
      <c r="W237">
        <v>13869</v>
      </c>
      <c r="X237">
        <v>13939</v>
      </c>
    </row>
    <row r="238" spans="1:24">
      <c r="A238" s="7" t="s">
        <v>331</v>
      </c>
      <c r="B238" s="16" t="s">
        <v>290</v>
      </c>
      <c r="C238">
        <v>652380785.06724918</v>
      </c>
      <c r="D238">
        <v>636162946.05665624</v>
      </c>
      <c r="E238">
        <v>1176576.5765765789</v>
      </c>
      <c r="F238">
        <v>3550900.9009009032</v>
      </c>
      <c r="G238">
        <v>206</v>
      </c>
      <c r="H238">
        <v>219</v>
      </c>
      <c r="I238">
        <v>31</v>
      </c>
      <c r="J238">
        <v>25</v>
      </c>
      <c r="K238">
        <v>6</v>
      </c>
      <c r="M238">
        <v>235</v>
      </c>
      <c r="N238">
        <v>251</v>
      </c>
      <c r="O238">
        <v>57232432.432432435</v>
      </c>
      <c r="P238">
        <v>70643243.243243247</v>
      </c>
      <c r="Q238">
        <v>229</v>
      </c>
      <c r="R238">
        <v>141</v>
      </c>
      <c r="S238">
        <v>119791351.35135135</v>
      </c>
      <c r="T238">
        <v>114764169.36936937</v>
      </c>
      <c r="U238">
        <v>64258781.981981985</v>
      </c>
      <c r="V238">
        <v>58713063.063063063</v>
      </c>
      <c r="W238">
        <v>17104</v>
      </c>
      <c r="X238">
        <v>16926</v>
      </c>
    </row>
    <row r="239" spans="1:24">
      <c r="A239" s="7" t="s">
        <v>332</v>
      </c>
      <c r="B239" s="16" t="s">
        <v>290</v>
      </c>
      <c r="C239">
        <v>479454531.46289235</v>
      </c>
      <c r="D239">
        <v>482642346.9839679</v>
      </c>
      <c r="E239">
        <v>2752702.7027027081</v>
      </c>
      <c r="F239">
        <v>5237837.837837846</v>
      </c>
      <c r="G239">
        <v>145</v>
      </c>
      <c r="H239">
        <v>133</v>
      </c>
      <c r="I239">
        <v>20</v>
      </c>
      <c r="J239">
        <v>28</v>
      </c>
      <c r="K239">
        <v>2</v>
      </c>
      <c r="M239">
        <v>170</v>
      </c>
      <c r="N239">
        <v>201</v>
      </c>
      <c r="O239">
        <v>59373423.423423424</v>
      </c>
      <c r="P239">
        <v>68031531.531531543</v>
      </c>
      <c r="Q239">
        <v>250</v>
      </c>
      <c r="R239">
        <v>125</v>
      </c>
      <c r="S239">
        <v>120118864.86486487</v>
      </c>
      <c r="T239">
        <v>128508909.9099099</v>
      </c>
      <c r="U239">
        <v>61572702.702702701</v>
      </c>
      <c r="V239">
        <v>65185315.315315314</v>
      </c>
      <c r="W239">
        <v>14638</v>
      </c>
      <c r="X239">
        <v>14751</v>
      </c>
    </row>
    <row r="240" spans="1:24">
      <c r="A240" s="7" t="s">
        <v>333</v>
      </c>
      <c r="B240" s="16" t="s">
        <v>60</v>
      </c>
      <c r="C240">
        <v>66305352.049574539</v>
      </c>
      <c r="D240">
        <v>65972165.161272705</v>
      </c>
      <c r="E240">
        <v>1109684.684684685</v>
      </c>
      <c r="F240">
        <v>1990990.9909909931</v>
      </c>
      <c r="G240">
        <v>27</v>
      </c>
      <c r="H240">
        <v>70</v>
      </c>
      <c r="I240">
        <v>3</v>
      </c>
      <c r="J240">
        <v>5</v>
      </c>
      <c r="M240">
        <v>54</v>
      </c>
      <c r="N240">
        <v>104</v>
      </c>
      <c r="O240">
        <v>19990090.090090089</v>
      </c>
      <c r="P240">
        <v>26978378.378378376</v>
      </c>
      <c r="Q240">
        <v>141</v>
      </c>
      <c r="R240">
        <v>144</v>
      </c>
      <c r="S240">
        <v>23233648.648648649</v>
      </c>
      <c r="T240">
        <v>23018000</v>
      </c>
      <c r="U240">
        <v>18052702.702702705</v>
      </c>
      <c r="V240">
        <v>25303693.693693694</v>
      </c>
      <c r="W240">
        <v>1968</v>
      </c>
      <c r="X240">
        <v>1923</v>
      </c>
    </row>
    <row r="241" spans="1:24">
      <c r="A241" s="7" t="s">
        <v>334</v>
      </c>
      <c r="B241" s="16" t="s">
        <v>60</v>
      </c>
      <c r="C241">
        <v>9336764.8756877277</v>
      </c>
      <c r="D241">
        <v>13204579.156118644</v>
      </c>
      <c r="E241">
        <v>127927.927927928</v>
      </c>
      <c r="F241">
        <v>243243.24324324299</v>
      </c>
      <c r="G241">
        <v>5</v>
      </c>
      <c r="H241">
        <v>6</v>
      </c>
      <c r="I241">
        <v>1</v>
      </c>
      <c r="J241">
        <v>4</v>
      </c>
      <c r="M241">
        <v>5</v>
      </c>
      <c r="N241">
        <v>7</v>
      </c>
      <c r="O241">
        <v>841441.44144144095</v>
      </c>
      <c r="P241">
        <v>631981.98198198201</v>
      </c>
      <c r="Q241">
        <v>13</v>
      </c>
      <c r="R241">
        <v>12</v>
      </c>
      <c r="S241">
        <v>5776306.3063063063</v>
      </c>
      <c r="T241">
        <v>7250270.2702702703</v>
      </c>
      <c r="U241">
        <v>671171.17117117101</v>
      </c>
      <c r="V241">
        <v>850720.72072072094</v>
      </c>
      <c r="W241">
        <v>1089</v>
      </c>
      <c r="X241">
        <v>827</v>
      </c>
    </row>
    <row r="242" spans="1:24">
      <c r="A242" s="7" t="s">
        <v>335</v>
      </c>
      <c r="B242" s="16" t="s">
        <v>121</v>
      </c>
      <c r="C242">
        <v>60275.825278971002</v>
      </c>
      <c r="D242">
        <v>1493545.8619439739</v>
      </c>
      <c r="H242">
        <v>1</v>
      </c>
      <c r="N242">
        <v>1</v>
      </c>
      <c r="S242">
        <v>34234.234234233998</v>
      </c>
      <c r="T242">
        <v>97747.747747747999</v>
      </c>
      <c r="X242">
        <v>147</v>
      </c>
    </row>
    <row r="243" spans="1:24">
      <c r="A243" s="7" t="s">
        <v>336</v>
      </c>
      <c r="B243" s="16" t="s">
        <v>121</v>
      </c>
      <c r="C243">
        <v>2471375.9694179059</v>
      </c>
      <c r="D243">
        <v>2379499.2784762341</v>
      </c>
      <c r="G243">
        <v>2</v>
      </c>
      <c r="H243">
        <v>2</v>
      </c>
      <c r="M243">
        <v>3</v>
      </c>
      <c r="N243">
        <v>2</v>
      </c>
      <c r="S243">
        <v>615135.13513513503</v>
      </c>
      <c r="T243">
        <v>531801.80180180201</v>
      </c>
      <c r="W243">
        <v>120</v>
      </c>
      <c r="X243">
        <v>92</v>
      </c>
    </row>
    <row r="244" spans="1:24">
      <c r="A244" s="7" t="s">
        <v>337</v>
      </c>
      <c r="B244" s="16" t="s">
        <v>121</v>
      </c>
      <c r="C244">
        <v>2046680.4598400609</v>
      </c>
      <c r="D244">
        <v>1899885.4008263431</v>
      </c>
      <c r="G244">
        <v>2</v>
      </c>
      <c r="H244">
        <v>1</v>
      </c>
      <c r="M244">
        <v>2</v>
      </c>
      <c r="N244">
        <v>1</v>
      </c>
      <c r="S244">
        <v>99774.774774774996</v>
      </c>
      <c r="T244">
        <v>18918.918918919</v>
      </c>
      <c r="W244">
        <v>152</v>
      </c>
      <c r="X244">
        <v>487</v>
      </c>
    </row>
    <row r="245" spans="1:24">
      <c r="A245" s="7" t="s">
        <v>338</v>
      </c>
      <c r="B245" s="16" t="s">
        <v>140</v>
      </c>
      <c r="C245">
        <v>737461171.01478517</v>
      </c>
      <c r="D245">
        <v>721789918.1479584</v>
      </c>
      <c r="E245">
        <v>1058693.6936936991</v>
      </c>
      <c r="F245">
        <v>3388288.2882882948</v>
      </c>
      <c r="G245">
        <v>165</v>
      </c>
      <c r="H245">
        <v>276</v>
      </c>
      <c r="I245">
        <v>31</v>
      </c>
      <c r="J245">
        <v>28</v>
      </c>
      <c r="K245">
        <v>1</v>
      </c>
      <c r="M245">
        <v>189</v>
      </c>
      <c r="N245">
        <v>313</v>
      </c>
      <c r="O245">
        <v>79385503.603603601</v>
      </c>
      <c r="P245">
        <v>67686306.306306317</v>
      </c>
      <c r="Q245">
        <v>353</v>
      </c>
      <c r="R245">
        <v>165</v>
      </c>
      <c r="S245">
        <v>142987872.07207206</v>
      </c>
      <c r="T245">
        <v>145416457.65765765</v>
      </c>
      <c r="U245">
        <v>65315495.495495498</v>
      </c>
      <c r="V245">
        <v>62107297.297297299</v>
      </c>
      <c r="W245">
        <v>16016</v>
      </c>
      <c r="X245">
        <v>16189</v>
      </c>
    </row>
    <row r="246" spans="1:24">
      <c r="A246" s="7" t="s">
        <v>339</v>
      </c>
      <c r="B246" s="16" t="s">
        <v>121</v>
      </c>
      <c r="C246">
        <v>120755124.88723226</v>
      </c>
      <c r="D246">
        <v>112528207.62042108</v>
      </c>
      <c r="E246">
        <v>3603.603603604</v>
      </c>
      <c r="G246">
        <v>74</v>
      </c>
      <c r="H246">
        <v>35</v>
      </c>
      <c r="I246">
        <v>0</v>
      </c>
      <c r="J246">
        <v>1</v>
      </c>
      <c r="M246">
        <v>75</v>
      </c>
      <c r="N246">
        <v>38</v>
      </c>
      <c r="O246">
        <v>165765.765765766</v>
      </c>
      <c r="Q246">
        <v>18</v>
      </c>
      <c r="S246">
        <v>8453459.4594594575</v>
      </c>
      <c r="T246">
        <v>7771729.7297297297</v>
      </c>
      <c r="U246">
        <v>162162.16216216201</v>
      </c>
      <c r="W246">
        <v>2422</v>
      </c>
      <c r="X246">
        <v>2537</v>
      </c>
    </row>
    <row r="247" spans="1:24">
      <c r="A247" s="7" t="s">
        <v>340</v>
      </c>
      <c r="B247" s="16" t="s">
        <v>140</v>
      </c>
      <c r="C247">
        <v>369961847.01096392</v>
      </c>
      <c r="D247">
        <v>385134469.64167893</v>
      </c>
      <c r="E247">
        <v>75155855.855855852</v>
      </c>
      <c r="F247">
        <v>56851801.801801808</v>
      </c>
      <c r="G247">
        <v>49</v>
      </c>
      <c r="H247">
        <v>75</v>
      </c>
      <c r="I247">
        <v>7</v>
      </c>
      <c r="J247">
        <v>10</v>
      </c>
      <c r="K247">
        <v>5</v>
      </c>
      <c r="M247">
        <v>80</v>
      </c>
      <c r="N247">
        <v>92</v>
      </c>
      <c r="O247">
        <v>63734909.909909911</v>
      </c>
      <c r="P247">
        <v>70168648.648648649</v>
      </c>
      <c r="Q247">
        <v>70</v>
      </c>
      <c r="R247">
        <v>140</v>
      </c>
      <c r="S247">
        <v>102632360.36036037</v>
      </c>
      <c r="T247">
        <v>114711730.18018018</v>
      </c>
      <c r="U247">
        <v>59074774.774774775</v>
      </c>
      <c r="V247">
        <v>63589819.819819823</v>
      </c>
      <c r="W247">
        <v>8418</v>
      </c>
      <c r="X247">
        <v>8908</v>
      </c>
    </row>
    <row r="248" spans="1:24">
      <c r="A248" s="7" t="s">
        <v>341</v>
      </c>
      <c r="B248" s="16" t="s">
        <v>134</v>
      </c>
      <c r="C248">
        <v>47890152.641652584</v>
      </c>
      <c r="D248">
        <v>42596975.645042188</v>
      </c>
      <c r="E248">
        <v>5405.4054054059998</v>
      </c>
      <c r="F248">
        <v>54054.054054054002</v>
      </c>
      <c r="G248">
        <v>18</v>
      </c>
      <c r="H248">
        <v>11</v>
      </c>
      <c r="I248">
        <v>1</v>
      </c>
      <c r="J248">
        <v>1</v>
      </c>
      <c r="M248">
        <v>20</v>
      </c>
      <c r="N248">
        <v>11</v>
      </c>
      <c r="O248">
        <v>1762162.1621621619</v>
      </c>
      <c r="P248">
        <v>1495495.4954954961</v>
      </c>
      <c r="Q248">
        <v>17</v>
      </c>
      <c r="S248">
        <v>4197972.9729729723</v>
      </c>
      <c r="T248">
        <v>4141270.2702702712</v>
      </c>
      <c r="U248">
        <v>1470630.630630631</v>
      </c>
      <c r="V248">
        <v>1146576.576576577</v>
      </c>
      <c r="W248">
        <v>1215</v>
      </c>
      <c r="X248">
        <v>1302</v>
      </c>
    </row>
    <row r="249" spans="1:24">
      <c r="A249" s="7" t="s">
        <v>342</v>
      </c>
      <c r="B249" s="16" t="s">
        <v>121</v>
      </c>
      <c r="C249">
        <v>2253124.4472915921</v>
      </c>
      <c r="D249">
        <v>1600442.256722915</v>
      </c>
      <c r="G249">
        <v>4</v>
      </c>
      <c r="H249">
        <v>7</v>
      </c>
      <c r="M249">
        <v>6</v>
      </c>
      <c r="N249">
        <v>12</v>
      </c>
      <c r="S249">
        <v>1005450.4504504499</v>
      </c>
      <c r="T249">
        <v>775990.99099099101</v>
      </c>
      <c r="W249">
        <v>393</v>
      </c>
      <c r="X249">
        <v>390</v>
      </c>
    </row>
    <row r="250" spans="1:24">
      <c r="A250" s="7" t="s">
        <v>5</v>
      </c>
      <c r="B250" s="16" t="s">
        <v>158</v>
      </c>
      <c r="C250">
        <v>144454852.31375936</v>
      </c>
      <c r="D250">
        <v>147536561.51752508</v>
      </c>
      <c r="E250">
        <v>1783333.333333334</v>
      </c>
      <c r="F250">
        <v>490090.09009009099</v>
      </c>
      <c r="G250">
        <v>12</v>
      </c>
      <c r="H250">
        <v>21</v>
      </c>
      <c r="I250">
        <v>2</v>
      </c>
      <c r="J250">
        <v>2</v>
      </c>
      <c r="K250">
        <v>2</v>
      </c>
      <c r="M250">
        <v>13</v>
      </c>
      <c r="N250">
        <v>21</v>
      </c>
      <c r="O250">
        <v>12191621.62162162</v>
      </c>
      <c r="P250">
        <v>11866666.666666668</v>
      </c>
      <c r="Q250">
        <v>86</v>
      </c>
      <c r="R250">
        <v>27</v>
      </c>
      <c r="S250">
        <v>63369729.729729727</v>
      </c>
      <c r="T250">
        <v>63166162.162162162</v>
      </c>
      <c r="U250">
        <v>11190270.270270271</v>
      </c>
      <c r="V250">
        <v>10868468.468468469</v>
      </c>
      <c r="W250">
        <v>2981</v>
      </c>
      <c r="X250">
        <v>3026</v>
      </c>
    </row>
    <row r="251" spans="1:24">
      <c r="A251" s="7" t="s">
        <v>343</v>
      </c>
      <c r="B251" s="16" t="s">
        <v>304</v>
      </c>
      <c r="C251">
        <v>14120109.868953921</v>
      </c>
      <c r="D251">
        <v>15354156.124702755</v>
      </c>
      <c r="E251">
        <v>1801.801801802</v>
      </c>
      <c r="F251">
        <v>900900.90090090095</v>
      </c>
      <c r="G251">
        <v>24</v>
      </c>
      <c r="H251">
        <v>8</v>
      </c>
      <c r="I251">
        <v>0</v>
      </c>
      <c r="M251">
        <v>29</v>
      </c>
      <c r="N251">
        <v>11</v>
      </c>
      <c r="O251">
        <v>452252.25225225202</v>
      </c>
      <c r="P251">
        <v>1351351.351351351</v>
      </c>
      <c r="S251">
        <v>3335720.7207207209</v>
      </c>
      <c r="T251">
        <v>2432486.4864864862</v>
      </c>
      <c r="U251">
        <v>348828.82882882899</v>
      </c>
      <c r="V251">
        <v>218018.01801801799</v>
      </c>
      <c r="W251">
        <v>562</v>
      </c>
      <c r="X251">
        <v>543</v>
      </c>
    </row>
    <row r="252" spans="1:24">
      <c r="A252" s="7" t="s">
        <v>344</v>
      </c>
      <c r="B252" s="16" t="s">
        <v>105</v>
      </c>
      <c r="C252">
        <v>306415206.059017</v>
      </c>
      <c r="D252">
        <v>300328293.26199263</v>
      </c>
      <c r="E252">
        <v>242117.117117118</v>
      </c>
      <c r="F252">
        <v>1537387.3873873909</v>
      </c>
      <c r="G252">
        <v>75</v>
      </c>
      <c r="H252">
        <v>52</v>
      </c>
      <c r="I252">
        <v>8</v>
      </c>
      <c r="J252">
        <v>5</v>
      </c>
      <c r="K252">
        <v>1</v>
      </c>
      <c r="M252">
        <v>81</v>
      </c>
      <c r="N252">
        <v>70</v>
      </c>
      <c r="O252">
        <v>47456396.396396399</v>
      </c>
      <c r="P252">
        <v>37355135.135135137</v>
      </c>
      <c r="Q252">
        <v>122</v>
      </c>
      <c r="R252">
        <v>320</v>
      </c>
      <c r="S252">
        <v>75582243.243243247</v>
      </c>
      <c r="T252">
        <v>73332468.468468457</v>
      </c>
      <c r="U252">
        <v>46576126.126126125</v>
      </c>
      <c r="V252">
        <v>37258378.378378376</v>
      </c>
      <c r="W252">
        <v>5683</v>
      </c>
      <c r="X252">
        <v>5920</v>
      </c>
    </row>
    <row r="253" spans="1:24">
      <c r="A253" s="7" t="s">
        <v>345</v>
      </c>
      <c r="B253" s="16" t="s">
        <v>87</v>
      </c>
      <c r="C253">
        <v>91718670.717553422</v>
      </c>
      <c r="D253">
        <v>89819977.083048671</v>
      </c>
      <c r="E253">
        <v>340540.540540541</v>
      </c>
      <c r="F253">
        <v>665765.76576576498</v>
      </c>
      <c r="G253">
        <v>52</v>
      </c>
      <c r="H253">
        <v>35</v>
      </c>
      <c r="I253">
        <v>7</v>
      </c>
      <c r="J253">
        <v>5</v>
      </c>
      <c r="K253">
        <v>1</v>
      </c>
      <c r="M253">
        <v>56</v>
      </c>
      <c r="N253">
        <v>40</v>
      </c>
      <c r="O253">
        <v>21354054.054054052</v>
      </c>
      <c r="P253">
        <v>23080180.180180181</v>
      </c>
      <c r="Q253">
        <v>38</v>
      </c>
      <c r="R253">
        <v>91</v>
      </c>
      <c r="S253">
        <v>21797995.495495494</v>
      </c>
      <c r="T253">
        <v>22736101.801801801</v>
      </c>
      <c r="U253">
        <v>14943873.873873875</v>
      </c>
      <c r="V253">
        <v>17420493.693693694</v>
      </c>
      <c r="W253">
        <v>2194</v>
      </c>
      <c r="X253">
        <v>2216</v>
      </c>
    </row>
    <row r="254" spans="1:24">
      <c r="A254" s="7" t="s">
        <v>346</v>
      </c>
      <c r="B254" s="16" t="s">
        <v>87</v>
      </c>
      <c r="C254">
        <v>287338760.08160341</v>
      </c>
      <c r="D254">
        <v>249103834.80811077</v>
      </c>
      <c r="E254">
        <v>669594.59459459502</v>
      </c>
      <c r="F254">
        <v>3004504.504504506</v>
      </c>
      <c r="G254">
        <v>236</v>
      </c>
      <c r="H254">
        <v>155</v>
      </c>
      <c r="I254">
        <v>15</v>
      </c>
      <c r="J254">
        <v>18</v>
      </c>
      <c r="K254">
        <v>1</v>
      </c>
      <c r="M254">
        <v>262</v>
      </c>
      <c r="N254">
        <v>191</v>
      </c>
      <c r="O254">
        <v>23809909.909909908</v>
      </c>
      <c r="P254">
        <v>24656756.756756756</v>
      </c>
      <c r="Q254">
        <v>139</v>
      </c>
      <c r="R254">
        <v>187</v>
      </c>
      <c r="S254">
        <v>45186788.288288288</v>
      </c>
      <c r="T254">
        <v>43081358.558558561</v>
      </c>
      <c r="U254">
        <v>19261891.891891897</v>
      </c>
      <c r="V254">
        <v>18831171.171171173</v>
      </c>
      <c r="W254">
        <v>6890</v>
      </c>
      <c r="X254">
        <v>6289</v>
      </c>
    </row>
    <row r="255" spans="1:24">
      <c r="A255" s="7" t="s">
        <v>347</v>
      </c>
      <c r="B255" s="16" t="s">
        <v>87</v>
      </c>
      <c r="C255">
        <v>6687177.1891998937</v>
      </c>
      <c r="D255">
        <v>7773512.6881626043</v>
      </c>
      <c r="G255">
        <v>3</v>
      </c>
      <c r="H255">
        <v>19</v>
      </c>
      <c r="M255">
        <v>7</v>
      </c>
      <c r="N255">
        <v>21</v>
      </c>
      <c r="S255">
        <v>3312207.2072072071</v>
      </c>
      <c r="T255">
        <v>2948054.054054054</v>
      </c>
      <c r="W255">
        <v>740</v>
      </c>
      <c r="X255">
        <v>801</v>
      </c>
    </row>
    <row r="256" spans="1:24">
      <c r="A256" s="7" t="s">
        <v>348</v>
      </c>
      <c r="B256" s="16" t="s">
        <v>87</v>
      </c>
      <c r="C256">
        <v>3211099.4041188462</v>
      </c>
      <c r="D256">
        <v>3510079.20573729</v>
      </c>
      <c r="G256">
        <v>1</v>
      </c>
      <c r="H256">
        <v>2</v>
      </c>
      <c r="M256">
        <v>1</v>
      </c>
      <c r="N256">
        <v>2</v>
      </c>
      <c r="S256">
        <v>691081.08108108095</v>
      </c>
      <c r="T256">
        <v>1241846.8468468471</v>
      </c>
      <c r="W256">
        <v>371</v>
      </c>
      <c r="X256">
        <v>195</v>
      </c>
    </row>
    <row r="257" spans="1:24">
      <c r="A257" s="7" t="s">
        <v>349</v>
      </c>
      <c r="B257" s="16" t="s">
        <v>87</v>
      </c>
      <c r="C257">
        <v>2971256.2530465471</v>
      </c>
      <c r="D257">
        <v>2961885.0140182772</v>
      </c>
      <c r="G257">
        <v>1</v>
      </c>
      <c r="H257">
        <v>5</v>
      </c>
      <c r="M257">
        <v>2</v>
      </c>
      <c r="N257">
        <v>9</v>
      </c>
      <c r="S257">
        <v>1190405.405405405</v>
      </c>
      <c r="T257">
        <v>1731360.36036036</v>
      </c>
      <c r="W257">
        <v>651</v>
      </c>
      <c r="X257">
        <v>624</v>
      </c>
    </row>
    <row r="258" spans="1:24">
      <c r="A258" s="7" t="s">
        <v>350</v>
      </c>
      <c r="B258" s="16" t="s">
        <v>87</v>
      </c>
      <c r="C258">
        <v>75133253.888898596</v>
      </c>
      <c r="D258">
        <v>82483087.379130021</v>
      </c>
      <c r="E258">
        <v>59236486.486486487</v>
      </c>
      <c r="F258">
        <v>47245765.765765771</v>
      </c>
      <c r="G258">
        <v>55</v>
      </c>
      <c r="H258">
        <v>65</v>
      </c>
      <c r="I258">
        <v>3</v>
      </c>
      <c r="J258">
        <v>3</v>
      </c>
      <c r="M258">
        <v>62</v>
      </c>
      <c r="N258">
        <v>72</v>
      </c>
      <c r="O258">
        <v>6775675.6756756771</v>
      </c>
      <c r="P258">
        <v>5935135.1351351356</v>
      </c>
      <c r="Q258">
        <v>24</v>
      </c>
      <c r="R258">
        <v>22</v>
      </c>
      <c r="S258">
        <v>14559639.63963964</v>
      </c>
      <c r="T258">
        <v>16577837.837837836</v>
      </c>
      <c r="U258">
        <v>5024324.3243243238</v>
      </c>
      <c r="V258">
        <v>5189459.4594594594</v>
      </c>
      <c r="W258">
        <v>2236</v>
      </c>
      <c r="X258">
        <v>2032</v>
      </c>
    </row>
    <row r="259" spans="1:24">
      <c r="A259" s="7" t="s">
        <v>351</v>
      </c>
      <c r="B259" s="16" t="s">
        <v>50</v>
      </c>
      <c r="C259">
        <v>209847291.90206504</v>
      </c>
      <c r="D259">
        <v>219255311.49583864</v>
      </c>
      <c r="E259">
        <v>203784954.05405405</v>
      </c>
      <c r="F259">
        <v>251092754.05405405</v>
      </c>
      <c r="G259">
        <v>30</v>
      </c>
      <c r="H259">
        <v>57</v>
      </c>
      <c r="I259">
        <v>13</v>
      </c>
      <c r="J259">
        <v>12</v>
      </c>
      <c r="M259">
        <v>34</v>
      </c>
      <c r="N259">
        <v>64</v>
      </c>
      <c r="O259">
        <v>109863743.24324325</v>
      </c>
      <c r="P259">
        <v>116231531.53153154</v>
      </c>
      <c r="Q259">
        <v>78</v>
      </c>
      <c r="R259">
        <v>322</v>
      </c>
      <c r="S259">
        <v>82518918.918918908</v>
      </c>
      <c r="T259">
        <v>86062040.540540546</v>
      </c>
      <c r="U259">
        <v>35057297.297297299</v>
      </c>
      <c r="V259">
        <v>28314954.954954952</v>
      </c>
      <c r="W259">
        <v>6067</v>
      </c>
      <c r="X259">
        <v>5230</v>
      </c>
    </row>
    <row r="260" spans="1:24">
      <c r="A260" s="7" t="s">
        <v>352</v>
      </c>
      <c r="B260" s="16" t="s">
        <v>123</v>
      </c>
      <c r="C260">
        <v>1138642.707231675</v>
      </c>
      <c r="D260">
        <v>1344746.9132915491</v>
      </c>
      <c r="H260">
        <v>1</v>
      </c>
      <c r="M260">
        <v>1</v>
      </c>
      <c r="N260">
        <v>1</v>
      </c>
      <c r="S260">
        <v>438783.78378378402</v>
      </c>
      <c r="T260">
        <v>543333.33333333302</v>
      </c>
      <c r="W260">
        <v>16</v>
      </c>
      <c r="X260">
        <v>104</v>
      </c>
    </row>
    <row r="261" spans="1:24">
      <c r="A261" s="7" t="s">
        <v>353</v>
      </c>
      <c r="B261" s="16" t="s">
        <v>354</v>
      </c>
      <c r="C261">
        <v>406682902.31630272</v>
      </c>
      <c r="D261">
        <v>384431946.47595465</v>
      </c>
      <c r="E261">
        <v>277376125.22522521</v>
      </c>
      <c r="F261">
        <v>270750838.73873878</v>
      </c>
      <c r="G261">
        <v>169</v>
      </c>
      <c r="H261">
        <v>338</v>
      </c>
      <c r="I261">
        <v>37</v>
      </c>
      <c r="J261">
        <v>15</v>
      </c>
      <c r="M261">
        <v>240</v>
      </c>
      <c r="N261">
        <v>540</v>
      </c>
      <c r="O261">
        <v>182399864.86486486</v>
      </c>
      <c r="P261">
        <v>267028648.64864865</v>
      </c>
      <c r="Q261">
        <v>378</v>
      </c>
      <c r="R261">
        <v>401</v>
      </c>
      <c r="S261">
        <v>234704052.25225225</v>
      </c>
      <c r="T261">
        <v>228893144.14414412</v>
      </c>
      <c r="U261">
        <v>160409729.72972974</v>
      </c>
      <c r="V261">
        <v>262039279.27927926</v>
      </c>
      <c r="W261">
        <v>10005</v>
      </c>
      <c r="X261">
        <v>9848</v>
      </c>
    </row>
    <row r="262" spans="1:24">
      <c r="A262" s="7" t="s">
        <v>355</v>
      </c>
      <c r="B262" s="16" t="s">
        <v>48</v>
      </c>
      <c r="C262">
        <v>261048973.80635577</v>
      </c>
      <c r="D262">
        <v>260873475.86307696</v>
      </c>
      <c r="E262">
        <v>216216.21621621799</v>
      </c>
      <c r="F262">
        <v>752252.25225225405</v>
      </c>
      <c r="G262">
        <v>57</v>
      </c>
      <c r="H262">
        <v>19</v>
      </c>
      <c r="I262">
        <v>5</v>
      </c>
      <c r="J262">
        <v>6</v>
      </c>
      <c r="M262">
        <v>61</v>
      </c>
      <c r="N262">
        <v>22</v>
      </c>
      <c r="O262">
        <v>1748828.828828827</v>
      </c>
      <c r="P262">
        <v>950450.45045045204</v>
      </c>
      <c r="Q262">
        <v>50</v>
      </c>
      <c r="S262">
        <v>19919936.936936937</v>
      </c>
      <c r="T262">
        <v>19806225.225225225</v>
      </c>
      <c r="U262">
        <v>1013603.603603601</v>
      </c>
      <c r="V262">
        <v>420090.09009008901</v>
      </c>
      <c r="W262">
        <v>5696</v>
      </c>
      <c r="X262">
        <v>5500</v>
      </c>
    </row>
    <row r="263" spans="1:24">
      <c r="A263" s="7" t="s">
        <v>356</v>
      </c>
      <c r="B263" s="16" t="s">
        <v>123</v>
      </c>
      <c r="C263">
        <v>298597674.07833105</v>
      </c>
      <c r="D263">
        <v>277647050.19163716</v>
      </c>
      <c r="E263">
        <v>67567.567567567996</v>
      </c>
      <c r="F263">
        <v>142342.34234234301</v>
      </c>
      <c r="G263">
        <v>71</v>
      </c>
      <c r="H263">
        <v>62</v>
      </c>
      <c r="I263">
        <v>3</v>
      </c>
      <c r="J263">
        <v>3</v>
      </c>
      <c r="M263">
        <v>75</v>
      </c>
      <c r="N263">
        <v>64</v>
      </c>
      <c r="O263">
        <v>10085225.225225223</v>
      </c>
      <c r="P263">
        <v>13531981.981981982</v>
      </c>
      <c r="Q263">
        <v>23</v>
      </c>
      <c r="R263">
        <v>168</v>
      </c>
      <c r="S263">
        <v>64703908.108108111</v>
      </c>
      <c r="T263">
        <v>62432518.018018015</v>
      </c>
      <c r="U263">
        <v>8982252.2522522528</v>
      </c>
      <c r="V263">
        <v>11502522.522522522</v>
      </c>
      <c r="W263">
        <v>5683</v>
      </c>
      <c r="X263">
        <v>5947</v>
      </c>
    </row>
    <row r="264" spans="1:24">
      <c r="A264" s="7" t="s">
        <v>357</v>
      </c>
      <c r="B264" s="16" t="s">
        <v>62</v>
      </c>
      <c r="C264">
        <v>161416170.54459313</v>
      </c>
      <c r="D264">
        <v>156345768.80381298</v>
      </c>
      <c r="E264">
        <v>682882.88288288203</v>
      </c>
      <c r="F264">
        <v>2142342.3423423441</v>
      </c>
      <c r="G264">
        <v>31</v>
      </c>
      <c r="H264">
        <v>25</v>
      </c>
      <c r="I264">
        <v>2</v>
      </c>
      <c r="J264">
        <v>10</v>
      </c>
      <c r="M264">
        <v>35</v>
      </c>
      <c r="N264">
        <v>31</v>
      </c>
      <c r="O264">
        <v>12680720.720720721</v>
      </c>
      <c r="P264">
        <v>30246666.666666668</v>
      </c>
      <c r="Q264">
        <v>21</v>
      </c>
      <c r="R264">
        <v>106</v>
      </c>
      <c r="S264">
        <v>43060405.40540541</v>
      </c>
      <c r="T264">
        <v>43708495.495495498</v>
      </c>
      <c r="U264">
        <v>14292252.252252253</v>
      </c>
      <c r="V264">
        <v>28693153.153153151</v>
      </c>
      <c r="W264">
        <v>3886</v>
      </c>
      <c r="X264">
        <v>3735</v>
      </c>
    </row>
    <row r="265" spans="1:24">
      <c r="A265" s="7" t="s">
        <v>358</v>
      </c>
      <c r="B265" s="16" t="s">
        <v>315</v>
      </c>
      <c r="C265">
        <v>8498893.4653082956</v>
      </c>
      <c r="D265">
        <v>5681863.1753786337</v>
      </c>
      <c r="G265">
        <v>14</v>
      </c>
      <c r="H265">
        <v>10</v>
      </c>
      <c r="M265">
        <v>14</v>
      </c>
      <c r="N265">
        <v>11</v>
      </c>
      <c r="S265">
        <v>5013558.5585585581</v>
      </c>
      <c r="T265">
        <v>2291846.8468468469</v>
      </c>
      <c r="W265">
        <v>687</v>
      </c>
      <c r="X265">
        <v>244</v>
      </c>
    </row>
    <row r="266" spans="1:24">
      <c r="A266" s="7" t="s">
        <v>359</v>
      </c>
      <c r="B266" s="16" t="s">
        <v>315</v>
      </c>
      <c r="C266">
        <v>185435085.6543082</v>
      </c>
      <c r="D266">
        <v>156302970.96518809</v>
      </c>
      <c r="E266">
        <v>82882.882882883001</v>
      </c>
      <c r="F266">
        <v>1025225.225225227</v>
      </c>
      <c r="G266">
        <v>45</v>
      </c>
      <c r="H266">
        <v>39</v>
      </c>
      <c r="I266">
        <v>4</v>
      </c>
      <c r="J266">
        <v>8</v>
      </c>
      <c r="M266">
        <v>47</v>
      </c>
      <c r="N266">
        <v>46</v>
      </c>
      <c r="O266">
        <v>35854774.774774775</v>
      </c>
      <c r="P266">
        <v>32160720.72072072</v>
      </c>
      <c r="S266">
        <v>66867117.117117122</v>
      </c>
      <c r="T266">
        <v>58285846.846846849</v>
      </c>
      <c r="U266">
        <v>38335045.045045048</v>
      </c>
      <c r="V266">
        <v>32167477.477477476</v>
      </c>
      <c r="W266">
        <v>2968</v>
      </c>
      <c r="X266">
        <v>3291</v>
      </c>
    </row>
    <row r="267" spans="1:24">
      <c r="A267" s="7" t="s">
        <v>360</v>
      </c>
      <c r="B267" s="16" t="s">
        <v>92</v>
      </c>
      <c r="C267">
        <v>294907637.87647182</v>
      </c>
      <c r="D267">
        <v>287660548.46959919</v>
      </c>
      <c r="E267">
        <v>2322567.5675675678</v>
      </c>
      <c r="F267">
        <v>6167567.5675675673</v>
      </c>
      <c r="G267">
        <v>96</v>
      </c>
      <c r="H267">
        <v>171</v>
      </c>
      <c r="I267">
        <v>6</v>
      </c>
      <c r="J267">
        <v>8</v>
      </c>
      <c r="M267">
        <v>132</v>
      </c>
      <c r="N267">
        <v>210</v>
      </c>
      <c r="O267">
        <v>30327837.837837841</v>
      </c>
      <c r="P267">
        <v>58247207.20720721</v>
      </c>
      <c r="Q267">
        <v>93</v>
      </c>
      <c r="R267">
        <v>251</v>
      </c>
      <c r="S267">
        <v>86469225.225225225</v>
      </c>
      <c r="T267">
        <v>87923646.846846849</v>
      </c>
      <c r="U267">
        <v>31306396.396396395</v>
      </c>
      <c r="V267">
        <v>56094727.927927926</v>
      </c>
      <c r="W267">
        <v>6674</v>
      </c>
      <c r="X267">
        <v>6740</v>
      </c>
    </row>
    <row r="268" spans="1:24">
      <c r="A268" s="7" t="s">
        <v>361</v>
      </c>
      <c r="B268" s="16" t="s">
        <v>58</v>
      </c>
      <c r="C268">
        <v>601330837.60497797</v>
      </c>
      <c r="D268">
        <v>570987519.21277165</v>
      </c>
      <c r="E268">
        <v>23448648.648648649</v>
      </c>
      <c r="F268">
        <v>1388288.2882882911</v>
      </c>
      <c r="G268">
        <v>86</v>
      </c>
      <c r="H268">
        <v>100</v>
      </c>
      <c r="I268">
        <v>8</v>
      </c>
      <c r="J268">
        <v>19</v>
      </c>
      <c r="M268">
        <v>96</v>
      </c>
      <c r="N268">
        <v>113</v>
      </c>
      <c r="O268">
        <v>36680180.180180185</v>
      </c>
      <c r="P268">
        <v>25799099.099099103</v>
      </c>
      <c r="Q268">
        <v>487</v>
      </c>
      <c r="R268">
        <v>17</v>
      </c>
      <c r="S268">
        <v>90454045.045045033</v>
      </c>
      <c r="T268">
        <v>89687301.801801801</v>
      </c>
      <c r="U268">
        <v>27035135.13513514</v>
      </c>
      <c r="V268">
        <v>22601441.441441439</v>
      </c>
      <c r="W268">
        <v>13145</v>
      </c>
      <c r="X268">
        <v>12710</v>
      </c>
    </row>
    <row r="269" spans="1:24">
      <c r="A269" s="7" t="s">
        <v>679</v>
      </c>
      <c r="B269" s="16" t="s">
        <v>143</v>
      </c>
      <c r="E269">
        <v>118655512.61261261</v>
      </c>
      <c r="F269">
        <v>74991861.261261269</v>
      </c>
      <c r="O269">
        <v>7657657.6576576577</v>
      </c>
      <c r="P269">
        <v>7207207.2072072066</v>
      </c>
    </row>
    <row r="270" spans="1:24">
      <c r="A270" s="7" t="s">
        <v>362</v>
      </c>
      <c r="B270" s="16" t="s">
        <v>48</v>
      </c>
      <c r="C270">
        <v>208815211.81327054</v>
      </c>
      <c r="D270">
        <v>201205576.50132015</v>
      </c>
      <c r="E270">
        <v>219819.81981982</v>
      </c>
      <c r="F270">
        <v>282882.88288288302</v>
      </c>
      <c r="G270">
        <v>12</v>
      </c>
      <c r="H270">
        <v>9</v>
      </c>
      <c r="I270">
        <v>9</v>
      </c>
      <c r="J270">
        <v>3</v>
      </c>
      <c r="M270">
        <v>15</v>
      </c>
      <c r="N270">
        <v>26</v>
      </c>
      <c r="O270">
        <v>12693333.333333334</v>
      </c>
      <c r="P270">
        <v>30434414.414414413</v>
      </c>
      <c r="S270">
        <v>35309180.180180177</v>
      </c>
      <c r="T270">
        <v>33198819.819819819</v>
      </c>
      <c r="U270">
        <v>15338378.378378378</v>
      </c>
      <c r="V270">
        <v>26662612.612612609</v>
      </c>
      <c r="W270">
        <v>3346</v>
      </c>
      <c r="X270">
        <v>3748</v>
      </c>
    </row>
    <row r="271" spans="1:24">
      <c r="A271" s="7" t="s">
        <v>363</v>
      </c>
      <c r="B271" s="16" t="s">
        <v>52</v>
      </c>
      <c r="C271">
        <v>81906482.484781906</v>
      </c>
      <c r="D271">
        <v>85220690.864808425</v>
      </c>
      <c r="E271">
        <v>362702.70270270301</v>
      </c>
      <c r="F271">
        <v>209909.90990991099</v>
      </c>
      <c r="G271">
        <v>10</v>
      </c>
      <c r="H271">
        <v>60</v>
      </c>
      <c r="I271">
        <v>3</v>
      </c>
      <c r="J271">
        <v>3</v>
      </c>
      <c r="M271">
        <v>12</v>
      </c>
      <c r="N271">
        <v>65</v>
      </c>
      <c r="O271">
        <v>6869009.0090090074</v>
      </c>
      <c r="P271">
        <v>1813513.5135135129</v>
      </c>
      <c r="Q271">
        <v>76</v>
      </c>
      <c r="R271">
        <v>55</v>
      </c>
      <c r="S271">
        <v>40031171.171171166</v>
      </c>
      <c r="T271">
        <v>41501531.531531528</v>
      </c>
      <c r="U271">
        <v>6401891.8918918911</v>
      </c>
      <c r="V271">
        <v>2293963.9639639631</v>
      </c>
      <c r="W271">
        <v>2368</v>
      </c>
      <c r="X271">
        <v>2311</v>
      </c>
    </row>
    <row r="272" spans="1:24">
      <c r="A272" s="7" t="s">
        <v>364</v>
      </c>
      <c r="B272" s="16" t="s">
        <v>52</v>
      </c>
      <c r="C272">
        <v>66328344.597911119</v>
      </c>
      <c r="D272">
        <v>65729305.3939448</v>
      </c>
      <c r="E272">
        <v>2412387.3873873879</v>
      </c>
      <c r="F272">
        <v>2531531.5315315332</v>
      </c>
      <c r="G272">
        <v>44</v>
      </c>
      <c r="H272">
        <v>76</v>
      </c>
      <c r="I272">
        <v>3</v>
      </c>
      <c r="J272">
        <v>9</v>
      </c>
      <c r="M272">
        <v>87</v>
      </c>
      <c r="N272">
        <v>175</v>
      </c>
      <c r="O272">
        <v>14379729.729729729</v>
      </c>
      <c r="P272">
        <v>6090090.0900900904</v>
      </c>
      <c r="Q272">
        <v>199</v>
      </c>
      <c r="R272">
        <v>424</v>
      </c>
      <c r="S272">
        <v>36998585.585585587</v>
      </c>
      <c r="T272">
        <v>36863684.684684686</v>
      </c>
      <c r="U272">
        <v>14108918.918918921</v>
      </c>
      <c r="V272">
        <v>11259099.099099096</v>
      </c>
      <c r="W272">
        <v>2346</v>
      </c>
      <c r="X272">
        <v>2371</v>
      </c>
    </row>
    <row r="273" spans="1:24">
      <c r="A273" s="7" t="s">
        <v>365</v>
      </c>
      <c r="B273" s="16" t="s">
        <v>52</v>
      </c>
      <c r="C273">
        <v>710490383.25724399</v>
      </c>
      <c r="D273">
        <v>744545907.55201221</v>
      </c>
      <c r="E273">
        <v>172487836.93693691</v>
      </c>
      <c r="F273">
        <v>163913189.18918923</v>
      </c>
      <c r="G273">
        <v>166</v>
      </c>
      <c r="H273">
        <v>280</v>
      </c>
      <c r="I273">
        <v>21</v>
      </c>
      <c r="J273">
        <v>52</v>
      </c>
      <c r="M273">
        <v>203</v>
      </c>
      <c r="N273">
        <v>452</v>
      </c>
      <c r="O273">
        <v>74435315.315315306</v>
      </c>
      <c r="P273">
        <v>40272072.072072081</v>
      </c>
      <c r="Q273">
        <v>1275</v>
      </c>
      <c r="R273">
        <v>4448</v>
      </c>
      <c r="S273">
        <v>253070337.83783782</v>
      </c>
      <c r="T273">
        <v>273563350.45045048</v>
      </c>
      <c r="U273">
        <v>70688378.378378376</v>
      </c>
      <c r="V273">
        <v>63369459.459459461</v>
      </c>
      <c r="W273">
        <v>20942</v>
      </c>
      <c r="X273">
        <v>22157</v>
      </c>
    </row>
    <row r="274" spans="1:24">
      <c r="A274" s="7" t="s">
        <v>366</v>
      </c>
      <c r="B274" s="16" t="s">
        <v>293</v>
      </c>
      <c r="C274">
        <v>468244093.83474791</v>
      </c>
      <c r="D274">
        <v>426446323.49571341</v>
      </c>
      <c r="E274">
        <v>62056345.045045048</v>
      </c>
      <c r="F274">
        <v>38619475.675675675</v>
      </c>
      <c r="G274">
        <v>114</v>
      </c>
      <c r="H274">
        <v>263</v>
      </c>
      <c r="I274">
        <v>20</v>
      </c>
      <c r="J274">
        <v>23</v>
      </c>
      <c r="K274">
        <v>2</v>
      </c>
      <c r="M274">
        <v>136</v>
      </c>
      <c r="N274">
        <v>354</v>
      </c>
      <c r="O274">
        <v>54284414.414414406</v>
      </c>
      <c r="P274">
        <v>49722252.252252251</v>
      </c>
      <c r="Q274">
        <v>27</v>
      </c>
      <c r="R274">
        <v>53</v>
      </c>
      <c r="S274">
        <v>144792025.22522521</v>
      </c>
      <c r="T274">
        <v>140650842.34234235</v>
      </c>
      <c r="U274">
        <v>43291171.171171166</v>
      </c>
      <c r="V274">
        <v>48837387.387387387</v>
      </c>
      <c r="W274">
        <v>11236</v>
      </c>
      <c r="X274">
        <v>11134</v>
      </c>
    </row>
    <row r="275" spans="1:24">
      <c r="A275" s="7" t="s">
        <v>367</v>
      </c>
      <c r="B275" s="16" t="s">
        <v>368</v>
      </c>
      <c r="C275">
        <v>197779057.33995631</v>
      </c>
      <c r="D275">
        <v>179777385.59225199</v>
      </c>
      <c r="E275">
        <v>53584414.414414413</v>
      </c>
      <c r="F275">
        <v>54765765.765765771</v>
      </c>
      <c r="G275">
        <v>29</v>
      </c>
      <c r="H275">
        <v>37</v>
      </c>
      <c r="I275">
        <v>7</v>
      </c>
      <c r="J275">
        <v>7</v>
      </c>
      <c r="K275">
        <v>1</v>
      </c>
      <c r="M275">
        <v>32</v>
      </c>
      <c r="N275">
        <v>43</v>
      </c>
      <c r="O275">
        <v>26833513.513513509</v>
      </c>
      <c r="P275">
        <v>46967027.027027026</v>
      </c>
      <c r="Q275">
        <v>211</v>
      </c>
      <c r="R275">
        <v>70</v>
      </c>
      <c r="S275">
        <v>81390655.855855852</v>
      </c>
      <c r="T275">
        <v>76031882.882882878</v>
      </c>
      <c r="U275">
        <v>26014954.954954952</v>
      </c>
      <c r="V275">
        <v>49406396.396396391</v>
      </c>
      <c r="W275">
        <v>3989</v>
      </c>
      <c r="X275">
        <v>3851</v>
      </c>
    </row>
    <row r="276" spans="1:24">
      <c r="A276" s="7" t="s">
        <v>369</v>
      </c>
      <c r="B276" s="16" t="s">
        <v>70</v>
      </c>
      <c r="C276">
        <v>51588016.977851816</v>
      </c>
      <c r="D276">
        <v>52396931.585324906</v>
      </c>
      <c r="E276">
        <v>1216891.8918918921</v>
      </c>
      <c r="F276">
        <v>2053153.1531531559</v>
      </c>
      <c r="G276">
        <v>17</v>
      </c>
      <c r="H276">
        <v>39</v>
      </c>
      <c r="I276">
        <v>2</v>
      </c>
      <c r="J276">
        <v>6</v>
      </c>
      <c r="M276">
        <v>18</v>
      </c>
      <c r="N276">
        <v>48</v>
      </c>
      <c r="O276">
        <v>10517567.567567568</v>
      </c>
      <c r="P276">
        <v>10408108.108108109</v>
      </c>
      <c r="Q276">
        <v>1</v>
      </c>
      <c r="R276">
        <v>37</v>
      </c>
      <c r="S276">
        <v>16933288.288288288</v>
      </c>
      <c r="T276">
        <v>18119108.108108107</v>
      </c>
      <c r="U276">
        <v>8941081.0810810812</v>
      </c>
      <c r="V276">
        <v>9012702.7027027048</v>
      </c>
      <c r="W276">
        <v>1219</v>
      </c>
      <c r="X276">
        <v>1237</v>
      </c>
    </row>
    <row r="277" spans="1:24">
      <c r="A277" s="7" t="s">
        <v>370</v>
      </c>
      <c r="B277" s="16" t="s">
        <v>50</v>
      </c>
      <c r="C277">
        <v>107040107.6507975</v>
      </c>
      <c r="D277">
        <v>110160830.24739802</v>
      </c>
      <c r="E277">
        <v>486486.48648648697</v>
      </c>
      <c r="F277">
        <v>1082882.8828828849</v>
      </c>
      <c r="G277">
        <v>17</v>
      </c>
      <c r="H277">
        <v>24</v>
      </c>
      <c r="I277">
        <v>1</v>
      </c>
      <c r="J277">
        <v>7</v>
      </c>
      <c r="M277">
        <v>19</v>
      </c>
      <c r="N277">
        <v>27</v>
      </c>
      <c r="O277">
        <v>8793873.8738738745</v>
      </c>
      <c r="P277">
        <v>7757207.2072072057</v>
      </c>
      <c r="Q277">
        <v>15</v>
      </c>
      <c r="R277">
        <v>8</v>
      </c>
      <c r="S277">
        <v>49815126.126126125</v>
      </c>
      <c r="T277">
        <v>49638297.297297299</v>
      </c>
      <c r="U277">
        <v>8892612.6126126125</v>
      </c>
      <c r="V277">
        <v>7458108.1081081089</v>
      </c>
      <c r="W277">
        <v>2672</v>
      </c>
      <c r="X277">
        <v>2728</v>
      </c>
    </row>
    <row r="278" spans="1:24">
      <c r="A278" s="7" t="s">
        <v>371</v>
      </c>
      <c r="B278" s="16" t="s">
        <v>121</v>
      </c>
      <c r="C278">
        <v>114661041.72458424</v>
      </c>
      <c r="D278">
        <v>108741974.08053474</v>
      </c>
      <c r="E278">
        <v>134234.23423423499</v>
      </c>
      <c r="F278">
        <v>769369.36936937005</v>
      </c>
      <c r="G278">
        <v>42</v>
      </c>
      <c r="H278">
        <v>47</v>
      </c>
      <c r="I278">
        <v>6</v>
      </c>
      <c r="J278">
        <v>5</v>
      </c>
      <c r="M278">
        <v>48</v>
      </c>
      <c r="N278">
        <v>59</v>
      </c>
      <c r="O278">
        <v>3080180.1801801799</v>
      </c>
      <c r="P278">
        <v>5657657.6576576577</v>
      </c>
      <c r="Q278">
        <v>71</v>
      </c>
      <c r="R278">
        <v>18</v>
      </c>
      <c r="S278">
        <v>10864459.459459459</v>
      </c>
      <c r="T278">
        <v>11706009.009009007</v>
      </c>
      <c r="U278">
        <v>1626126.1261261259</v>
      </c>
      <c r="V278">
        <v>4086576.5765765761</v>
      </c>
      <c r="W278">
        <v>2723</v>
      </c>
      <c r="X278">
        <v>2830</v>
      </c>
    </row>
    <row r="279" spans="1:24">
      <c r="A279" s="7" t="s">
        <v>372</v>
      </c>
      <c r="B279" s="16" t="s">
        <v>373</v>
      </c>
      <c r="C279">
        <v>284270894.72719294</v>
      </c>
      <c r="D279">
        <v>247685170.42602625</v>
      </c>
      <c r="E279">
        <v>47838368.468468472</v>
      </c>
      <c r="F279">
        <v>31436360.360360365</v>
      </c>
      <c r="G279">
        <v>416</v>
      </c>
      <c r="H279">
        <v>37</v>
      </c>
      <c r="I279">
        <v>21</v>
      </c>
      <c r="J279">
        <v>6</v>
      </c>
      <c r="K279">
        <v>1</v>
      </c>
      <c r="M279">
        <v>439</v>
      </c>
      <c r="N279">
        <v>42</v>
      </c>
      <c r="O279">
        <v>45352882.882882878</v>
      </c>
      <c r="P279">
        <v>43198198.198198192</v>
      </c>
      <c r="Q279">
        <v>34</v>
      </c>
      <c r="R279">
        <v>41</v>
      </c>
      <c r="S279">
        <v>114692056.75675675</v>
      </c>
      <c r="T279">
        <v>92973891.891891882</v>
      </c>
      <c r="U279">
        <v>54874007.20720721</v>
      </c>
      <c r="V279">
        <v>45117747.747747742</v>
      </c>
      <c r="W279">
        <v>8692</v>
      </c>
      <c r="X279">
        <v>10457</v>
      </c>
    </row>
    <row r="280" spans="1:24">
      <c r="A280" s="7" t="s">
        <v>374</v>
      </c>
      <c r="B280" s="16" t="s">
        <v>66</v>
      </c>
      <c r="C280">
        <v>180789064.63654509</v>
      </c>
      <c r="D280">
        <v>183580545.05106881</v>
      </c>
      <c r="E280">
        <v>136964864.86486486</v>
      </c>
      <c r="F280">
        <v>251174774.77477479</v>
      </c>
      <c r="G280">
        <v>76</v>
      </c>
      <c r="H280">
        <v>61</v>
      </c>
      <c r="I280">
        <v>9</v>
      </c>
      <c r="J280">
        <v>12</v>
      </c>
      <c r="M280">
        <v>96</v>
      </c>
      <c r="N280">
        <v>81</v>
      </c>
      <c r="O280">
        <v>56229909.909909911</v>
      </c>
      <c r="P280">
        <v>187893018.01801801</v>
      </c>
      <c r="Q280">
        <v>513</v>
      </c>
      <c r="R280">
        <v>1120</v>
      </c>
      <c r="S280">
        <v>65821828.828828834</v>
      </c>
      <c r="T280">
        <v>66491486.486486487</v>
      </c>
      <c r="U280">
        <v>31032522.52252252</v>
      </c>
      <c r="V280">
        <v>123978828.82882883</v>
      </c>
      <c r="W280">
        <v>7040</v>
      </c>
      <c r="X280">
        <v>7150</v>
      </c>
    </row>
    <row r="281" spans="1:24">
      <c r="A281" s="7" t="s">
        <v>375</v>
      </c>
      <c r="B281" s="16" t="s">
        <v>354</v>
      </c>
      <c r="C281">
        <v>286431918.2857551</v>
      </c>
      <c r="D281">
        <v>275814871.7057541</v>
      </c>
      <c r="E281">
        <v>1443018.018018018</v>
      </c>
      <c r="F281">
        <v>2548648.6486486509</v>
      </c>
      <c r="G281">
        <v>488</v>
      </c>
      <c r="H281">
        <v>411</v>
      </c>
      <c r="I281">
        <v>7</v>
      </c>
      <c r="J281">
        <v>7</v>
      </c>
      <c r="M281">
        <v>504</v>
      </c>
      <c r="N281">
        <v>420</v>
      </c>
      <c r="O281">
        <v>50835675.675675675</v>
      </c>
      <c r="P281">
        <v>53094504.504504502</v>
      </c>
      <c r="Q281">
        <v>197</v>
      </c>
      <c r="R281">
        <v>259</v>
      </c>
      <c r="S281">
        <v>170521657.65765765</v>
      </c>
      <c r="T281">
        <v>170954927.92792794</v>
      </c>
      <c r="U281">
        <v>54157297.297297299</v>
      </c>
      <c r="V281">
        <v>55616216.216216221</v>
      </c>
      <c r="W281">
        <v>7101</v>
      </c>
      <c r="X281">
        <v>7028</v>
      </c>
    </row>
    <row r="282" spans="1:24">
      <c r="A282" s="7" t="s">
        <v>376</v>
      </c>
      <c r="B282" s="16" t="s">
        <v>66</v>
      </c>
      <c r="C282">
        <v>98142935.126752973</v>
      </c>
      <c r="D282">
        <v>105963153.06774198</v>
      </c>
      <c r="E282">
        <v>40540.540540542002</v>
      </c>
      <c r="F282">
        <v>1075675.675675676</v>
      </c>
      <c r="G282">
        <v>34</v>
      </c>
      <c r="H282">
        <v>45</v>
      </c>
      <c r="I282">
        <v>4</v>
      </c>
      <c r="J282">
        <v>4</v>
      </c>
      <c r="M282">
        <v>50</v>
      </c>
      <c r="N282">
        <v>53</v>
      </c>
      <c r="O282">
        <v>8225315.3153153136</v>
      </c>
      <c r="P282">
        <v>8367567.5675675701</v>
      </c>
      <c r="Q282">
        <v>137</v>
      </c>
      <c r="R282">
        <v>95</v>
      </c>
      <c r="S282">
        <v>43538304.504504502</v>
      </c>
      <c r="T282">
        <v>49941274.774774775</v>
      </c>
      <c r="U282">
        <v>13308828.828828828</v>
      </c>
      <c r="V282">
        <v>11705045.045045046</v>
      </c>
      <c r="W282">
        <v>4806</v>
      </c>
      <c r="X282">
        <v>5037</v>
      </c>
    </row>
    <row r="283" spans="1:24">
      <c r="A283" s="7" t="s">
        <v>377</v>
      </c>
      <c r="B283" s="16" t="s">
        <v>260</v>
      </c>
      <c r="C283">
        <v>95874063.428213343</v>
      </c>
      <c r="D283">
        <v>89219378.243875876</v>
      </c>
      <c r="E283">
        <v>182882.88288288299</v>
      </c>
      <c r="F283">
        <v>13513.513513514001</v>
      </c>
      <c r="G283">
        <v>4</v>
      </c>
      <c r="H283">
        <v>8</v>
      </c>
      <c r="I283">
        <v>1</v>
      </c>
      <c r="J283">
        <v>0</v>
      </c>
      <c r="M283">
        <v>5</v>
      </c>
      <c r="N283">
        <v>8</v>
      </c>
      <c r="O283">
        <v>3606306.3063063072</v>
      </c>
      <c r="P283">
        <v>3752252.2522522518</v>
      </c>
      <c r="Q283">
        <v>3</v>
      </c>
      <c r="R283">
        <v>1</v>
      </c>
      <c r="S283">
        <v>15350990.990990991</v>
      </c>
      <c r="T283">
        <v>14761504.504504504</v>
      </c>
      <c r="U283">
        <v>6679459.4594594594</v>
      </c>
      <c r="V283">
        <v>2836756.7567567569</v>
      </c>
      <c r="W283">
        <v>1707</v>
      </c>
      <c r="X283">
        <v>1668</v>
      </c>
    </row>
    <row r="284" spans="1:24">
      <c r="A284" s="7" t="s">
        <v>378</v>
      </c>
      <c r="B284" s="16" t="s">
        <v>354</v>
      </c>
      <c r="C284">
        <v>240648895.95098841</v>
      </c>
      <c r="D284">
        <v>229298884.82953596</v>
      </c>
      <c r="E284">
        <v>2164414.4144144161</v>
      </c>
      <c r="F284">
        <v>3376576.576576578</v>
      </c>
      <c r="G284">
        <v>49</v>
      </c>
      <c r="H284">
        <v>53</v>
      </c>
      <c r="I284">
        <v>3</v>
      </c>
      <c r="J284">
        <v>6</v>
      </c>
      <c r="M284">
        <v>51</v>
      </c>
      <c r="N284">
        <v>56</v>
      </c>
      <c r="O284">
        <v>58859279.279279277</v>
      </c>
      <c r="P284">
        <v>41894504.504504509</v>
      </c>
      <c r="Q284">
        <v>149</v>
      </c>
      <c r="R284">
        <v>33</v>
      </c>
      <c r="S284">
        <v>123133783.78378378</v>
      </c>
      <c r="T284">
        <v>128331726.12612613</v>
      </c>
      <c r="U284">
        <v>54405675.675675675</v>
      </c>
      <c r="V284">
        <v>41376126.126126125</v>
      </c>
      <c r="W284">
        <v>4961</v>
      </c>
      <c r="X284">
        <v>4712</v>
      </c>
    </row>
    <row r="285" spans="1:24">
      <c r="A285" s="7" t="s">
        <v>379</v>
      </c>
      <c r="B285" s="16" t="s">
        <v>87</v>
      </c>
      <c r="C285">
        <v>4790653.0708747497</v>
      </c>
      <c r="D285">
        <v>6433750.014453657</v>
      </c>
      <c r="H285">
        <v>2</v>
      </c>
      <c r="N285">
        <v>3</v>
      </c>
      <c r="S285">
        <v>163738.73873873899</v>
      </c>
      <c r="T285">
        <v>340675.67567567597</v>
      </c>
      <c r="W285">
        <v>167</v>
      </c>
      <c r="X285">
        <v>180</v>
      </c>
    </row>
    <row r="286" spans="1:24">
      <c r="A286" s="7" t="s">
        <v>380</v>
      </c>
      <c r="B286" s="16" t="s">
        <v>87</v>
      </c>
      <c r="C286">
        <v>20306059.636328224</v>
      </c>
      <c r="D286">
        <v>9002988.2510116603</v>
      </c>
      <c r="E286">
        <v>18018.018018018</v>
      </c>
      <c r="G286">
        <v>174</v>
      </c>
      <c r="H286">
        <v>18</v>
      </c>
      <c r="I286">
        <v>1</v>
      </c>
      <c r="M286">
        <v>177</v>
      </c>
      <c r="N286">
        <v>20</v>
      </c>
      <c r="O286">
        <v>85585.585585585999</v>
      </c>
      <c r="Q286">
        <v>29</v>
      </c>
      <c r="S286">
        <v>3956756.7567567569</v>
      </c>
      <c r="T286">
        <v>1098927.927927928</v>
      </c>
      <c r="U286">
        <v>67567.567567567996</v>
      </c>
      <c r="W286">
        <v>504</v>
      </c>
      <c r="X286">
        <v>362</v>
      </c>
    </row>
    <row r="287" spans="1:24">
      <c r="A287" s="7" t="s">
        <v>381</v>
      </c>
      <c r="B287" s="16" t="s">
        <v>80</v>
      </c>
      <c r="C287">
        <v>1588569428.1933331</v>
      </c>
      <c r="D287">
        <v>1562110790.5994945</v>
      </c>
      <c r="E287">
        <v>1245395084.6846848</v>
      </c>
      <c r="F287">
        <v>600379931.53153157</v>
      </c>
      <c r="G287">
        <v>454</v>
      </c>
      <c r="H287">
        <v>579</v>
      </c>
      <c r="I287">
        <v>59</v>
      </c>
      <c r="J287">
        <v>57</v>
      </c>
      <c r="K287">
        <v>1</v>
      </c>
      <c r="M287">
        <v>541</v>
      </c>
      <c r="N287">
        <v>738</v>
      </c>
      <c r="O287">
        <v>200181981.98198199</v>
      </c>
      <c r="P287">
        <v>194410810.8108108</v>
      </c>
      <c r="Q287">
        <v>566</v>
      </c>
      <c r="R287">
        <v>637</v>
      </c>
      <c r="S287">
        <v>386248879.27927929</v>
      </c>
      <c r="T287">
        <v>405018527.47747749</v>
      </c>
      <c r="U287">
        <v>166995945.94594595</v>
      </c>
      <c r="V287">
        <v>164444684.68468469</v>
      </c>
      <c r="W287">
        <v>37364</v>
      </c>
      <c r="X287">
        <v>36562</v>
      </c>
    </row>
    <row r="288" spans="1:24">
      <c r="A288" s="7" t="s">
        <v>382</v>
      </c>
      <c r="B288" s="16" t="s">
        <v>80</v>
      </c>
      <c r="C288">
        <v>420732482.6919924</v>
      </c>
      <c r="D288">
        <v>428739513.69352311</v>
      </c>
      <c r="E288">
        <v>3202702.702702702</v>
      </c>
      <c r="F288">
        <v>5010135.1351351393</v>
      </c>
      <c r="G288">
        <v>107</v>
      </c>
      <c r="H288">
        <v>123</v>
      </c>
      <c r="I288">
        <v>14</v>
      </c>
      <c r="J288">
        <v>15</v>
      </c>
      <c r="K288">
        <v>1</v>
      </c>
      <c r="M288">
        <v>124</v>
      </c>
      <c r="N288">
        <v>197</v>
      </c>
      <c r="O288">
        <v>88200270.270270273</v>
      </c>
      <c r="P288">
        <v>83057657.657657668</v>
      </c>
      <c r="Q288">
        <v>200</v>
      </c>
      <c r="R288">
        <v>174</v>
      </c>
      <c r="S288">
        <v>175482499.0990991</v>
      </c>
      <c r="T288">
        <v>177305321.17117116</v>
      </c>
      <c r="U288">
        <v>79730540.540540546</v>
      </c>
      <c r="V288">
        <v>72432742.342342332</v>
      </c>
      <c r="W288">
        <v>13201</v>
      </c>
      <c r="X288">
        <v>9882</v>
      </c>
    </row>
    <row r="289" spans="1:24">
      <c r="A289" s="7" t="s">
        <v>383</v>
      </c>
      <c r="B289" s="16" t="s">
        <v>80</v>
      </c>
      <c r="C289">
        <v>590939554.86220956</v>
      </c>
      <c r="D289">
        <v>543034037.01344812</v>
      </c>
      <c r="E289">
        <v>67792.792792794004</v>
      </c>
      <c r="F289">
        <v>565835.13513513596</v>
      </c>
      <c r="G289">
        <v>122</v>
      </c>
      <c r="H289">
        <v>75</v>
      </c>
      <c r="I289">
        <v>2</v>
      </c>
      <c r="J289">
        <v>3</v>
      </c>
      <c r="M289">
        <v>137</v>
      </c>
      <c r="N289">
        <v>87</v>
      </c>
      <c r="O289">
        <v>26223603.603603605</v>
      </c>
      <c r="P289">
        <v>19589689.189189192</v>
      </c>
      <c r="Q289">
        <v>33</v>
      </c>
      <c r="R289">
        <v>7</v>
      </c>
      <c r="S289">
        <v>107951390.990991</v>
      </c>
      <c r="T289">
        <v>108764450.45045045</v>
      </c>
      <c r="U289">
        <v>24493513.513513517</v>
      </c>
      <c r="V289">
        <v>28911081.081081081</v>
      </c>
      <c r="W289">
        <v>9963</v>
      </c>
      <c r="X289">
        <v>9360</v>
      </c>
    </row>
    <row r="290" spans="1:24">
      <c r="A290" s="7" t="s">
        <v>384</v>
      </c>
      <c r="B290" s="16" t="s">
        <v>68</v>
      </c>
      <c r="C290">
        <v>237427674.61552</v>
      </c>
      <c r="D290">
        <v>238285616.11720484</v>
      </c>
      <c r="E290">
        <v>201891.89189189201</v>
      </c>
      <c r="F290">
        <v>1050450.4504504511</v>
      </c>
      <c r="G290">
        <v>70</v>
      </c>
      <c r="H290">
        <v>53</v>
      </c>
      <c r="I290">
        <v>4</v>
      </c>
      <c r="J290">
        <v>1</v>
      </c>
      <c r="M290">
        <v>80</v>
      </c>
      <c r="N290">
        <v>59</v>
      </c>
      <c r="O290">
        <v>13055855.855855852</v>
      </c>
      <c r="P290">
        <v>8504954.9549549539</v>
      </c>
      <c r="Q290">
        <v>78</v>
      </c>
      <c r="R290">
        <v>41</v>
      </c>
      <c r="S290">
        <v>32026603.603603605</v>
      </c>
      <c r="T290">
        <v>34253234.234234236</v>
      </c>
      <c r="U290">
        <v>11185585.585585589</v>
      </c>
      <c r="V290">
        <v>8433333.3333333321</v>
      </c>
      <c r="W290">
        <v>4619</v>
      </c>
      <c r="X290">
        <v>4843</v>
      </c>
    </row>
    <row r="291" spans="1:24">
      <c r="A291" s="7" t="s">
        <v>385</v>
      </c>
      <c r="B291" s="16" t="s">
        <v>167</v>
      </c>
      <c r="C291">
        <v>84898027.564802855</v>
      </c>
      <c r="D291">
        <v>87021243.148971498</v>
      </c>
      <c r="E291">
        <v>25225.225225227001</v>
      </c>
      <c r="F291">
        <v>1670270.2702702719</v>
      </c>
      <c r="G291">
        <v>36</v>
      </c>
      <c r="H291">
        <v>30</v>
      </c>
      <c r="I291">
        <v>5</v>
      </c>
      <c r="J291">
        <v>7</v>
      </c>
      <c r="M291">
        <v>43</v>
      </c>
      <c r="N291">
        <v>37</v>
      </c>
      <c r="O291">
        <v>8675675.6756756753</v>
      </c>
      <c r="P291">
        <v>21655020.72072072</v>
      </c>
      <c r="Q291">
        <v>48</v>
      </c>
      <c r="R291">
        <v>17</v>
      </c>
      <c r="S291">
        <v>34953196.396396399</v>
      </c>
      <c r="T291">
        <v>36397810.810810804</v>
      </c>
      <c r="U291">
        <v>13385045.045045048</v>
      </c>
      <c r="V291">
        <v>19483693.693693697</v>
      </c>
      <c r="W291">
        <v>2403</v>
      </c>
      <c r="X291">
        <v>2356</v>
      </c>
    </row>
    <row r="292" spans="1:24">
      <c r="A292" s="7" t="s">
        <v>386</v>
      </c>
      <c r="B292" s="16" t="s">
        <v>94</v>
      </c>
      <c r="C292">
        <v>471463187.94697845</v>
      </c>
      <c r="D292">
        <v>482612360.07961506</v>
      </c>
      <c r="E292">
        <v>1261261.2612612611</v>
      </c>
      <c r="F292">
        <v>657657.65765765903</v>
      </c>
      <c r="G292">
        <v>102</v>
      </c>
      <c r="H292">
        <v>109</v>
      </c>
      <c r="I292">
        <v>4</v>
      </c>
      <c r="J292">
        <v>8</v>
      </c>
      <c r="K292">
        <v>2</v>
      </c>
      <c r="M292">
        <v>111</v>
      </c>
      <c r="N292">
        <v>122</v>
      </c>
      <c r="O292">
        <v>16092792.792792792</v>
      </c>
      <c r="P292">
        <v>19288288.288288288</v>
      </c>
      <c r="Q292">
        <v>33</v>
      </c>
      <c r="R292">
        <v>144</v>
      </c>
      <c r="S292">
        <v>50250266.666666664</v>
      </c>
      <c r="T292">
        <v>59212477.477477483</v>
      </c>
      <c r="U292">
        <v>11685585.585585585</v>
      </c>
      <c r="V292">
        <v>15296666.666666668</v>
      </c>
      <c r="W292">
        <v>8150</v>
      </c>
      <c r="X292">
        <v>8274</v>
      </c>
    </row>
    <row r="293" spans="1:24">
      <c r="A293" s="7" t="s">
        <v>387</v>
      </c>
      <c r="B293" s="16" t="s">
        <v>214</v>
      </c>
      <c r="C293">
        <v>81380491.160370886</v>
      </c>
      <c r="D293">
        <v>84875760.146483526</v>
      </c>
      <c r="E293">
        <v>17117.117117116999</v>
      </c>
      <c r="F293">
        <v>688288.28828828898</v>
      </c>
      <c r="G293">
        <v>29</v>
      </c>
      <c r="H293">
        <v>37</v>
      </c>
      <c r="I293">
        <v>0</v>
      </c>
      <c r="J293">
        <v>1</v>
      </c>
      <c r="M293">
        <v>29</v>
      </c>
      <c r="N293">
        <v>40</v>
      </c>
      <c r="O293">
        <v>107207.207207207</v>
      </c>
      <c r="P293">
        <v>2490090.0900900899</v>
      </c>
      <c r="S293">
        <v>37246261.261261262</v>
      </c>
      <c r="T293">
        <v>40534765.765765771</v>
      </c>
      <c r="U293">
        <v>22072.072072071998</v>
      </c>
      <c r="V293">
        <v>1981531.5315315309</v>
      </c>
      <c r="W293">
        <v>2317</v>
      </c>
      <c r="X293">
        <v>2249</v>
      </c>
    </row>
    <row r="294" spans="1:24">
      <c r="A294" s="7" t="s">
        <v>388</v>
      </c>
      <c r="B294" s="16" t="s">
        <v>117</v>
      </c>
      <c r="C294">
        <v>35635962.154338874</v>
      </c>
      <c r="D294">
        <v>34403790.850748263</v>
      </c>
      <c r="E294">
        <v>49549.549549550997</v>
      </c>
      <c r="F294">
        <v>534234.23423423304</v>
      </c>
      <c r="G294">
        <v>23</v>
      </c>
      <c r="H294">
        <v>18</v>
      </c>
      <c r="I294">
        <v>6</v>
      </c>
      <c r="J294">
        <v>8</v>
      </c>
      <c r="M294">
        <v>27</v>
      </c>
      <c r="N294">
        <v>27</v>
      </c>
      <c r="O294">
        <v>2272381.0810810798</v>
      </c>
      <c r="P294">
        <v>9137953.1531531531</v>
      </c>
      <c r="Q294">
        <v>10</v>
      </c>
      <c r="S294">
        <v>16316351.351351352</v>
      </c>
      <c r="T294">
        <v>15770639.63963964</v>
      </c>
      <c r="U294">
        <v>1817567.567567565</v>
      </c>
      <c r="V294">
        <v>6807117.1171171172</v>
      </c>
      <c r="W294">
        <v>1869</v>
      </c>
      <c r="X294">
        <v>1724</v>
      </c>
    </row>
    <row r="295" spans="1:24">
      <c r="A295" s="7" t="s">
        <v>389</v>
      </c>
      <c r="B295" s="16" t="s">
        <v>315</v>
      </c>
      <c r="C295">
        <v>154458908.86036116</v>
      </c>
      <c r="D295">
        <v>149034318.43125162</v>
      </c>
      <c r="E295">
        <v>84040071.171171173</v>
      </c>
      <c r="F295">
        <v>100275791.89189188</v>
      </c>
      <c r="G295">
        <v>19</v>
      </c>
      <c r="H295">
        <v>14</v>
      </c>
      <c r="I295">
        <v>0</v>
      </c>
      <c r="J295">
        <v>1</v>
      </c>
      <c r="M295">
        <v>20</v>
      </c>
      <c r="N295">
        <v>15</v>
      </c>
      <c r="O295">
        <v>47169819.819819815</v>
      </c>
      <c r="P295">
        <v>5126576.5765765756</v>
      </c>
      <c r="S295">
        <v>30715855.855855856</v>
      </c>
      <c r="T295">
        <v>30616810.810810808</v>
      </c>
      <c r="U295">
        <v>6842432.4324324317</v>
      </c>
      <c r="V295">
        <v>5729369.3693693699</v>
      </c>
      <c r="W295">
        <v>2784</v>
      </c>
      <c r="X295">
        <v>2529</v>
      </c>
    </row>
    <row r="296" spans="1:24">
      <c r="A296" s="7" t="s">
        <v>390</v>
      </c>
      <c r="B296" s="16" t="s">
        <v>224</v>
      </c>
      <c r="C296">
        <v>80414863.396881223</v>
      </c>
      <c r="D296">
        <v>64358522.987579159</v>
      </c>
      <c r="G296">
        <v>50</v>
      </c>
      <c r="H296">
        <v>6</v>
      </c>
      <c r="M296">
        <v>50</v>
      </c>
      <c r="N296">
        <v>6</v>
      </c>
      <c r="S296">
        <v>14949225.225225223</v>
      </c>
      <c r="T296">
        <v>12132657.657657659</v>
      </c>
      <c r="W296">
        <v>1536</v>
      </c>
      <c r="X296">
        <v>1441</v>
      </c>
    </row>
    <row r="297" spans="1:24">
      <c r="A297" s="7" t="s">
        <v>6</v>
      </c>
      <c r="B297" s="16" t="s">
        <v>193</v>
      </c>
      <c r="C297">
        <v>554444497.10638607</v>
      </c>
      <c r="D297">
        <v>537297600.11835587</v>
      </c>
      <c r="E297">
        <v>154300598.19819817</v>
      </c>
      <c r="F297">
        <v>310127654.05405408</v>
      </c>
      <c r="G297">
        <v>354</v>
      </c>
      <c r="H297">
        <v>275</v>
      </c>
      <c r="I297">
        <v>24</v>
      </c>
      <c r="J297">
        <v>16</v>
      </c>
      <c r="K297">
        <v>2</v>
      </c>
      <c r="M297">
        <v>940</v>
      </c>
      <c r="N297">
        <v>724</v>
      </c>
      <c r="O297">
        <v>223172522.52252254</v>
      </c>
      <c r="P297">
        <v>195703724.32432431</v>
      </c>
      <c r="Q297">
        <v>437</v>
      </c>
      <c r="R297">
        <v>319</v>
      </c>
      <c r="S297">
        <v>368740180.18018013</v>
      </c>
      <c r="T297">
        <v>365965927.92792791</v>
      </c>
      <c r="U297">
        <v>195276306.3063063</v>
      </c>
      <c r="V297">
        <v>164039819.81981981</v>
      </c>
      <c r="W297">
        <v>13282</v>
      </c>
      <c r="X297">
        <v>12977</v>
      </c>
    </row>
    <row r="298" spans="1:24">
      <c r="A298" s="7" t="s">
        <v>391</v>
      </c>
      <c r="B298" s="16" t="s">
        <v>121</v>
      </c>
      <c r="C298">
        <v>19462361.87129892</v>
      </c>
      <c r="D298">
        <v>24373861.759043757</v>
      </c>
      <c r="E298">
        <v>9009.0090090089998</v>
      </c>
      <c r="G298">
        <v>15</v>
      </c>
      <c r="H298">
        <v>9</v>
      </c>
      <c r="M298">
        <v>15</v>
      </c>
      <c r="N298">
        <v>9</v>
      </c>
      <c r="O298">
        <v>90090.090090090001</v>
      </c>
      <c r="Q298">
        <v>9</v>
      </c>
      <c r="S298">
        <v>1263513.5135135141</v>
      </c>
      <c r="T298">
        <v>1085585.585585586</v>
      </c>
      <c r="U298">
        <v>81081.081081081007</v>
      </c>
      <c r="W298">
        <v>557</v>
      </c>
      <c r="X298">
        <v>534</v>
      </c>
    </row>
    <row r="299" spans="1:24">
      <c r="A299" s="7" t="s">
        <v>392</v>
      </c>
      <c r="B299" s="16" t="s">
        <v>134</v>
      </c>
      <c r="C299">
        <v>73275810.84650974</v>
      </c>
      <c r="D299">
        <v>71638223.782414839</v>
      </c>
      <c r="E299">
        <v>3603.603603604</v>
      </c>
      <c r="F299">
        <v>67567.567567567996</v>
      </c>
      <c r="G299">
        <v>22</v>
      </c>
      <c r="H299">
        <v>22</v>
      </c>
      <c r="I299">
        <v>1</v>
      </c>
      <c r="J299">
        <v>1</v>
      </c>
      <c r="M299">
        <v>26</v>
      </c>
      <c r="N299">
        <v>26</v>
      </c>
      <c r="O299">
        <v>7814414.4144144142</v>
      </c>
      <c r="P299">
        <v>5040540.5405405387</v>
      </c>
      <c r="Q299">
        <v>85</v>
      </c>
      <c r="S299">
        <v>14809394.594594596</v>
      </c>
      <c r="T299">
        <v>14170412.612612613</v>
      </c>
      <c r="U299">
        <v>2805765.7657657661</v>
      </c>
      <c r="V299">
        <v>1543063.0630630639</v>
      </c>
      <c r="W299">
        <v>3507</v>
      </c>
      <c r="X299">
        <v>3548</v>
      </c>
    </row>
    <row r="300" spans="1:24">
      <c r="A300" s="7" t="s">
        <v>393</v>
      </c>
      <c r="B300" s="16" t="s">
        <v>58</v>
      </c>
      <c r="C300">
        <v>367344719.92318016</v>
      </c>
      <c r="D300">
        <v>352671979.4883371</v>
      </c>
      <c r="E300">
        <v>9990765.7657657675</v>
      </c>
      <c r="F300">
        <v>10042117.11711712</v>
      </c>
      <c r="G300">
        <v>153</v>
      </c>
      <c r="H300">
        <v>117</v>
      </c>
      <c r="I300">
        <v>18</v>
      </c>
      <c r="J300">
        <v>19</v>
      </c>
      <c r="K300">
        <v>1</v>
      </c>
      <c r="M300">
        <v>179</v>
      </c>
      <c r="N300">
        <v>157</v>
      </c>
      <c r="O300">
        <v>49966216.216216214</v>
      </c>
      <c r="P300">
        <v>33280180.180180185</v>
      </c>
      <c r="Q300">
        <v>263</v>
      </c>
      <c r="R300">
        <v>44</v>
      </c>
      <c r="S300">
        <v>56482945.945945941</v>
      </c>
      <c r="T300">
        <v>57281081.081081077</v>
      </c>
      <c r="U300">
        <v>40988648.648648649</v>
      </c>
      <c r="V300">
        <v>33401171.17117117</v>
      </c>
      <c r="W300">
        <v>9061</v>
      </c>
      <c r="X300">
        <v>9789</v>
      </c>
    </row>
    <row r="301" spans="1:24">
      <c r="A301" s="7" t="s">
        <v>394</v>
      </c>
      <c r="B301" s="16" t="s">
        <v>134</v>
      </c>
      <c r="C301">
        <v>129197347.11170305</v>
      </c>
      <c r="D301">
        <v>120888307.48813801</v>
      </c>
      <c r="E301">
        <v>42567.567567569</v>
      </c>
      <c r="F301">
        <v>658558.55855855905</v>
      </c>
      <c r="G301">
        <v>25</v>
      </c>
      <c r="H301">
        <v>25</v>
      </c>
      <c r="I301">
        <v>6</v>
      </c>
      <c r="J301">
        <v>6</v>
      </c>
      <c r="M301">
        <v>27</v>
      </c>
      <c r="N301">
        <v>29</v>
      </c>
      <c r="O301">
        <v>13133333.333333332</v>
      </c>
      <c r="P301">
        <v>17113513.513513513</v>
      </c>
      <c r="Q301">
        <v>183</v>
      </c>
      <c r="R301">
        <v>101</v>
      </c>
      <c r="S301">
        <v>23515421.62162162</v>
      </c>
      <c r="T301">
        <v>22780576.576576576</v>
      </c>
      <c r="U301">
        <v>9801081.0810810793</v>
      </c>
      <c r="V301">
        <v>11477117.117117116</v>
      </c>
      <c r="W301">
        <v>3892</v>
      </c>
      <c r="X301">
        <v>3905</v>
      </c>
    </row>
    <row r="302" spans="1:24">
      <c r="A302" s="7" t="s">
        <v>395</v>
      </c>
      <c r="B302" s="16" t="s">
        <v>54</v>
      </c>
      <c r="C302">
        <v>53735219.955708958</v>
      </c>
      <c r="D302">
        <v>50908901.365292102</v>
      </c>
      <c r="E302">
        <v>274774.77477477503</v>
      </c>
      <c r="F302">
        <v>42342.342342342003</v>
      </c>
      <c r="G302">
        <v>9</v>
      </c>
      <c r="H302">
        <v>14</v>
      </c>
      <c r="I302">
        <v>1</v>
      </c>
      <c r="J302">
        <v>2</v>
      </c>
      <c r="M302">
        <v>10</v>
      </c>
      <c r="N302">
        <v>15</v>
      </c>
      <c r="O302">
        <v>3635135.1351351351</v>
      </c>
      <c r="P302">
        <v>2763063.0630630632</v>
      </c>
      <c r="Q302">
        <v>24</v>
      </c>
      <c r="R302">
        <v>7</v>
      </c>
      <c r="S302">
        <v>8969144.1441441458</v>
      </c>
      <c r="T302">
        <v>8493585.5855855867</v>
      </c>
      <c r="U302">
        <v>3356846.8468468459</v>
      </c>
      <c r="V302">
        <v>2948378.3783783782</v>
      </c>
      <c r="W302">
        <v>1549</v>
      </c>
      <c r="X302">
        <v>1564</v>
      </c>
    </row>
    <row r="303" spans="1:24">
      <c r="A303" s="7" t="s">
        <v>396</v>
      </c>
      <c r="B303" s="16" t="s">
        <v>397</v>
      </c>
      <c r="C303">
        <v>371187090.93935603</v>
      </c>
      <c r="D303">
        <v>360703529.78629935</v>
      </c>
      <c r="E303">
        <v>2356261.2612612611</v>
      </c>
      <c r="F303">
        <v>2566666.666666667</v>
      </c>
      <c r="G303">
        <v>177</v>
      </c>
      <c r="H303">
        <v>150</v>
      </c>
      <c r="I303">
        <v>10</v>
      </c>
      <c r="J303">
        <v>19</v>
      </c>
      <c r="M303">
        <v>213</v>
      </c>
      <c r="N303">
        <v>291</v>
      </c>
      <c r="O303">
        <v>38289864.864864863</v>
      </c>
      <c r="P303">
        <v>42047747.747747742</v>
      </c>
      <c r="Q303">
        <v>212</v>
      </c>
      <c r="R303">
        <v>426</v>
      </c>
      <c r="S303">
        <v>70173169.369369373</v>
      </c>
      <c r="T303">
        <v>71924370.270270273</v>
      </c>
      <c r="U303">
        <v>38415090.090090089</v>
      </c>
      <c r="V303">
        <v>38936216.216216214</v>
      </c>
      <c r="W303">
        <v>9481</v>
      </c>
      <c r="X303">
        <v>9951</v>
      </c>
    </row>
    <row r="304" spans="1:24">
      <c r="A304" s="7" t="s">
        <v>398</v>
      </c>
      <c r="B304" s="16" t="s">
        <v>399</v>
      </c>
      <c r="C304">
        <v>427868979.29557216</v>
      </c>
      <c r="D304">
        <v>392508464.62642354</v>
      </c>
      <c r="E304">
        <v>4194144.1441441448</v>
      </c>
      <c r="F304">
        <v>20330405.40540541</v>
      </c>
      <c r="G304">
        <v>117</v>
      </c>
      <c r="H304">
        <v>87</v>
      </c>
      <c r="I304">
        <v>16</v>
      </c>
      <c r="J304">
        <v>18</v>
      </c>
      <c r="K304">
        <v>1</v>
      </c>
      <c r="M304">
        <v>133</v>
      </c>
      <c r="N304">
        <v>97</v>
      </c>
      <c r="O304">
        <v>118010585.58558558</v>
      </c>
      <c r="P304">
        <v>46599099.099099107</v>
      </c>
      <c r="Q304">
        <v>304</v>
      </c>
      <c r="R304">
        <v>335</v>
      </c>
      <c r="S304">
        <v>76890241.441441447</v>
      </c>
      <c r="T304">
        <v>72675036.036036029</v>
      </c>
      <c r="U304">
        <v>110617297.2972973</v>
      </c>
      <c r="V304">
        <v>42216306.306306303</v>
      </c>
      <c r="W304">
        <v>11525</v>
      </c>
      <c r="X304">
        <v>11593</v>
      </c>
    </row>
    <row r="305" spans="1:24">
      <c r="A305" s="7" t="s">
        <v>400</v>
      </c>
      <c r="B305" s="16" t="s">
        <v>140</v>
      </c>
      <c r="C305">
        <v>134471192.43976545</v>
      </c>
      <c r="D305">
        <v>125762213.51300065</v>
      </c>
      <c r="E305">
        <v>703603.60360360402</v>
      </c>
      <c r="F305">
        <v>1838738.7387387401</v>
      </c>
      <c r="G305">
        <v>38</v>
      </c>
      <c r="H305">
        <v>41</v>
      </c>
      <c r="I305">
        <v>4</v>
      </c>
      <c r="J305">
        <v>8</v>
      </c>
      <c r="M305">
        <v>46</v>
      </c>
      <c r="N305">
        <v>42</v>
      </c>
      <c r="O305">
        <v>27662162.162162159</v>
      </c>
      <c r="P305">
        <v>27437117.117117122</v>
      </c>
      <c r="Q305">
        <v>29</v>
      </c>
      <c r="R305">
        <v>13</v>
      </c>
      <c r="S305">
        <v>39324054.054054059</v>
      </c>
      <c r="T305">
        <v>40544477.477477483</v>
      </c>
      <c r="U305">
        <v>22429189.189189192</v>
      </c>
      <c r="V305">
        <v>25962522.52252252</v>
      </c>
      <c r="W305">
        <v>3294</v>
      </c>
      <c r="X305">
        <v>3236</v>
      </c>
    </row>
    <row r="306" spans="1:24">
      <c r="A306" s="7" t="s">
        <v>401</v>
      </c>
      <c r="B306" s="16" t="s">
        <v>121</v>
      </c>
      <c r="C306">
        <v>38902036.85565538</v>
      </c>
      <c r="D306">
        <v>33686585.858250402</v>
      </c>
      <c r="E306">
        <v>2702.7027027029999</v>
      </c>
      <c r="F306">
        <v>387387.38738738699</v>
      </c>
      <c r="G306">
        <v>24</v>
      </c>
      <c r="H306">
        <v>15</v>
      </c>
      <c r="I306">
        <v>0</v>
      </c>
      <c r="J306">
        <v>0</v>
      </c>
      <c r="M306">
        <v>28</v>
      </c>
      <c r="N306">
        <v>20</v>
      </c>
      <c r="O306">
        <v>56756.756756757</v>
      </c>
      <c r="P306">
        <v>2189189.1891891891</v>
      </c>
      <c r="Q306">
        <v>12</v>
      </c>
      <c r="R306">
        <v>1</v>
      </c>
      <c r="S306">
        <v>2799414.4144144142</v>
      </c>
      <c r="T306">
        <v>3392939.1891891891</v>
      </c>
      <c r="U306">
        <v>1089639.6396396391</v>
      </c>
      <c r="V306">
        <v>871081.08108108095</v>
      </c>
      <c r="W306">
        <v>1123</v>
      </c>
      <c r="X306">
        <v>1066</v>
      </c>
    </row>
    <row r="307" spans="1:24">
      <c r="A307" s="7" t="s">
        <v>402</v>
      </c>
      <c r="B307" s="16" t="s">
        <v>290</v>
      </c>
      <c r="C307">
        <v>73683232.236362845</v>
      </c>
      <c r="D307">
        <v>54001062.727827102</v>
      </c>
      <c r="E307">
        <v>71171.171171171998</v>
      </c>
      <c r="F307">
        <v>348198.19819820003</v>
      </c>
      <c r="G307">
        <v>52</v>
      </c>
      <c r="H307">
        <v>9</v>
      </c>
      <c r="I307">
        <v>5</v>
      </c>
      <c r="J307">
        <v>2</v>
      </c>
      <c r="M307">
        <v>54</v>
      </c>
      <c r="N307">
        <v>12</v>
      </c>
      <c r="O307">
        <v>4755855.8558558561</v>
      </c>
      <c r="P307">
        <v>1172972.972972973</v>
      </c>
      <c r="Q307">
        <v>120</v>
      </c>
      <c r="R307">
        <v>17</v>
      </c>
      <c r="S307">
        <v>9356711.7117117122</v>
      </c>
      <c r="T307">
        <v>7083369.369369369</v>
      </c>
      <c r="U307">
        <v>4580090.0900900904</v>
      </c>
      <c r="V307">
        <v>2307747.7477477472</v>
      </c>
      <c r="W307">
        <v>1682</v>
      </c>
      <c r="X307">
        <v>1637</v>
      </c>
    </row>
    <row r="308" spans="1:24">
      <c r="A308" s="7" t="s">
        <v>403</v>
      </c>
      <c r="B308" s="16" t="s">
        <v>121</v>
      </c>
      <c r="C308">
        <v>64690938.45545923</v>
      </c>
      <c r="D308">
        <v>62021360.081654385</v>
      </c>
      <c r="F308">
        <v>55630.630630631</v>
      </c>
      <c r="G308">
        <v>11</v>
      </c>
      <c r="H308">
        <v>12</v>
      </c>
      <c r="I308">
        <v>0</v>
      </c>
      <c r="J308">
        <v>0</v>
      </c>
      <c r="M308">
        <v>11</v>
      </c>
      <c r="N308">
        <v>13</v>
      </c>
      <c r="O308">
        <v>162162.16216216201</v>
      </c>
      <c r="P308">
        <v>58558.558558559002</v>
      </c>
      <c r="Q308">
        <v>20</v>
      </c>
      <c r="S308">
        <v>4950495.4954954954</v>
      </c>
      <c r="T308">
        <v>4883504.5045045046</v>
      </c>
      <c r="U308">
        <v>198198.19819819799</v>
      </c>
      <c r="W308">
        <v>1021</v>
      </c>
      <c r="X308">
        <v>1048</v>
      </c>
    </row>
    <row r="309" spans="1:24">
      <c r="A309" s="7" t="s">
        <v>404</v>
      </c>
      <c r="B309" s="16" t="s">
        <v>368</v>
      </c>
      <c r="C309">
        <v>156422091.23341799</v>
      </c>
      <c r="D309">
        <v>133630894.3258833</v>
      </c>
      <c r="E309">
        <v>51078892.79279279</v>
      </c>
      <c r="F309">
        <v>34578768.468468465</v>
      </c>
      <c r="G309">
        <v>34</v>
      </c>
      <c r="H309">
        <v>102</v>
      </c>
      <c r="I309">
        <v>7</v>
      </c>
      <c r="J309">
        <v>11</v>
      </c>
      <c r="K309">
        <v>1</v>
      </c>
      <c r="M309">
        <v>44</v>
      </c>
      <c r="N309">
        <v>162</v>
      </c>
      <c r="O309">
        <v>7170270.2702702703</v>
      </c>
      <c r="P309">
        <v>28907657.657657657</v>
      </c>
      <c r="Q309">
        <v>70</v>
      </c>
      <c r="R309">
        <v>140</v>
      </c>
      <c r="S309">
        <v>47564707.20720721</v>
      </c>
      <c r="T309">
        <v>48539243.24324324</v>
      </c>
      <c r="U309">
        <v>5257207.2072072066</v>
      </c>
      <c r="V309">
        <v>25611081.081081077</v>
      </c>
      <c r="W309">
        <v>4218</v>
      </c>
      <c r="X309">
        <v>3871</v>
      </c>
    </row>
    <row r="310" spans="1:24">
      <c r="A310" s="7" t="s">
        <v>405</v>
      </c>
      <c r="B310" s="16" t="s">
        <v>140</v>
      </c>
      <c r="C310">
        <v>62712051.877880163</v>
      </c>
      <c r="D310">
        <v>65624227.627561361</v>
      </c>
      <c r="E310">
        <v>13963.963963964001</v>
      </c>
      <c r="F310">
        <v>224099.09909909801</v>
      </c>
      <c r="G310">
        <v>3</v>
      </c>
      <c r="H310">
        <v>14</v>
      </c>
      <c r="I310">
        <v>0</v>
      </c>
      <c r="J310">
        <v>1</v>
      </c>
      <c r="M310">
        <v>4</v>
      </c>
      <c r="N310">
        <v>16</v>
      </c>
      <c r="O310">
        <v>7617567.5675675673</v>
      </c>
      <c r="P310">
        <v>7612972.9729729732</v>
      </c>
      <c r="Q310">
        <v>15</v>
      </c>
      <c r="R310">
        <v>15</v>
      </c>
      <c r="S310">
        <v>16688288.288288288</v>
      </c>
      <c r="T310">
        <v>17992917.117117118</v>
      </c>
      <c r="U310">
        <v>9893873.8738738745</v>
      </c>
      <c r="V310">
        <v>9811081.0810810793</v>
      </c>
      <c r="W310">
        <v>1473</v>
      </c>
      <c r="X310">
        <v>1445</v>
      </c>
    </row>
    <row r="311" spans="1:24">
      <c r="A311" s="7" t="s">
        <v>406</v>
      </c>
      <c r="B311" s="16" t="s">
        <v>54</v>
      </c>
      <c r="C311">
        <v>95019410.386518463</v>
      </c>
      <c r="D311">
        <v>90688958.147025049</v>
      </c>
      <c r="E311">
        <v>665900.90090090095</v>
      </c>
      <c r="F311">
        <v>1735135.135135137</v>
      </c>
      <c r="G311">
        <v>4</v>
      </c>
      <c r="H311">
        <v>107</v>
      </c>
      <c r="I311">
        <v>1</v>
      </c>
      <c r="J311">
        <v>8</v>
      </c>
      <c r="M311">
        <v>4</v>
      </c>
      <c r="N311">
        <v>191</v>
      </c>
      <c r="O311">
        <v>6232612.6126126098</v>
      </c>
      <c r="P311">
        <v>8802702.7027027048</v>
      </c>
      <c r="Q311">
        <v>83</v>
      </c>
      <c r="R311">
        <v>32</v>
      </c>
      <c r="S311">
        <v>19630900.900900904</v>
      </c>
      <c r="T311">
        <v>20742963.963963963</v>
      </c>
      <c r="U311">
        <v>6443423.4234234244</v>
      </c>
      <c r="V311">
        <v>9498198.1981981974</v>
      </c>
      <c r="W311">
        <v>2308</v>
      </c>
      <c r="X311">
        <v>2129</v>
      </c>
    </row>
    <row r="312" spans="1:24">
      <c r="A312" s="7" t="s">
        <v>407</v>
      </c>
      <c r="B312" s="16" t="s">
        <v>134</v>
      </c>
      <c r="C312">
        <v>38150049.445548259</v>
      </c>
      <c r="D312">
        <v>41306505.423111513</v>
      </c>
      <c r="E312">
        <v>17117.117117117999</v>
      </c>
      <c r="F312">
        <v>27027.027027027001</v>
      </c>
      <c r="G312">
        <v>11</v>
      </c>
      <c r="H312">
        <v>6</v>
      </c>
      <c r="I312">
        <v>2</v>
      </c>
      <c r="J312">
        <v>1</v>
      </c>
      <c r="M312">
        <v>12</v>
      </c>
      <c r="N312">
        <v>6</v>
      </c>
      <c r="O312">
        <v>1827927.927927928</v>
      </c>
      <c r="P312">
        <v>1594594.5945945941</v>
      </c>
      <c r="Q312">
        <v>4</v>
      </c>
      <c r="S312">
        <v>4746801.8018018017</v>
      </c>
      <c r="T312">
        <v>3848801.8018018012</v>
      </c>
      <c r="U312">
        <v>1721261.2612612611</v>
      </c>
      <c r="V312">
        <v>1082972.9729729721</v>
      </c>
      <c r="W312">
        <v>1115</v>
      </c>
      <c r="X312">
        <v>903</v>
      </c>
    </row>
    <row r="313" spans="1:24">
      <c r="A313" s="7" t="s">
        <v>408</v>
      </c>
      <c r="B313" s="16" t="s">
        <v>290</v>
      </c>
      <c r="C313">
        <v>26303778.97160548</v>
      </c>
      <c r="D313">
        <v>22617493.228769429</v>
      </c>
      <c r="E313">
        <v>110810.810810811</v>
      </c>
      <c r="F313">
        <v>334234.23423423502</v>
      </c>
      <c r="G313">
        <v>19</v>
      </c>
      <c r="H313">
        <v>8</v>
      </c>
      <c r="I313">
        <v>3</v>
      </c>
      <c r="J313">
        <v>3</v>
      </c>
      <c r="M313">
        <v>21</v>
      </c>
      <c r="N313">
        <v>9</v>
      </c>
      <c r="O313">
        <v>4372072.072072072</v>
      </c>
      <c r="P313">
        <v>5075675.6756756762</v>
      </c>
      <c r="Q313">
        <v>10</v>
      </c>
      <c r="R313">
        <v>57</v>
      </c>
      <c r="S313">
        <v>5782783.7837837832</v>
      </c>
      <c r="T313">
        <v>4509369.369369369</v>
      </c>
      <c r="U313">
        <v>2166306.3063063058</v>
      </c>
      <c r="V313">
        <v>2615495.4954954949</v>
      </c>
      <c r="W313">
        <v>909</v>
      </c>
      <c r="X313">
        <v>897</v>
      </c>
    </row>
    <row r="314" spans="1:24">
      <c r="A314" s="7" t="s">
        <v>409</v>
      </c>
      <c r="B314" s="16" t="s">
        <v>178</v>
      </c>
      <c r="C314">
        <v>444061131.84640527</v>
      </c>
      <c r="D314">
        <v>410236656.68587154</v>
      </c>
      <c r="E314">
        <v>2733558.55855856</v>
      </c>
      <c r="F314">
        <v>1804504.5045045081</v>
      </c>
      <c r="G314">
        <v>132</v>
      </c>
      <c r="H314">
        <v>117</v>
      </c>
      <c r="I314">
        <v>5</v>
      </c>
      <c r="J314">
        <v>7</v>
      </c>
      <c r="M314">
        <v>160</v>
      </c>
      <c r="N314">
        <v>269</v>
      </c>
      <c r="O314">
        <v>38745495.495495498</v>
      </c>
      <c r="P314">
        <v>48029810.810810819</v>
      </c>
      <c r="Q314">
        <v>35</v>
      </c>
      <c r="R314">
        <v>54</v>
      </c>
      <c r="S314">
        <v>142257601.8018018</v>
      </c>
      <c r="T314">
        <v>142795081.08108109</v>
      </c>
      <c r="U314">
        <v>34671261.261261262</v>
      </c>
      <c r="V314">
        <v>41891081.081081077</v>
      </c>
      <c r="W314">
        <v>9768</v>
      </c>
      <c r="X314">
        <v>9477</v>
      </c>
    </row>
    <row r="315" spans="1:24">
      <c r="A315" s="7" t="s">
        <v>666</v>
      </c>
      <c r="B315" s="16" t="s">
        <v>87</v>
      </c>
      <c r="W315">
        <v>5</v>
      </c>
    </row>
    <row r="316" spans="1:24">
      <c r="A316" s="7" t="s">
        <v>410</v>
      </c>
      <c r="B316" s="16" t="s">
        <v>54</v>
      </c>
      <c r="C316">
        <v>750364486.4078933</v>
      </c>
      <c r="D316">
        <v>745886243.55981338</v>
      </c>
      <c r="E316">
        <v>62741666.666666672</v>
      </c>
      <c r="F316">
        <v>114438554.95495497</v>
      </c>
      <c r="G316">
        <v>151</v>
      </c>
      <c r="H316">
        <v>270</v>
      </c>
      <c r="I316">
        <v>22</v>
      </c>
      <c r="J316">
        <v>30</v>
      </c>
      <c r="K316">
        <v>3</v>
      </c>
      <c r="M316">
        <v>182</v>
      </c>
      <c r="N316">
        <v>353</v>
      </c>
      <c r="O316">
        <v>56236756.756756753</v>
      </c>
      <c r="P316">
        <v>55347297.297297306</v>
      </c>
      <c r="Q316">
        <v>478</v>
      </c>
      <c r="R316">
        <v>225</v>
      </c>
      <c r="S316">
        <v>143251511.7117117</v>
      </c>
      <c r="T316">
        <v>154750396.3963964</v>
      </c>
      <c r="U316">
        <v>50515358.558558561</v>
      </c>
      <c r="V316">
        <v>48309189.189189196</v>
      </c>
      <c r="W316">
        <v>18548</v>
      </c>
      <c r="X316">
        <v>19465</v>
      </c>
    </row>
    <row r="317" spans="1:24">
      <c r="A317" s="7" t="s">
        <v>411</v>
      </c>
      <c r="B317" s="16" t="s">
        <v>224</v>
      </c>
      <c r="C317">
        <v>452907945.73475981</v>
      </c>
      <c r="D317">
        <v>382980321.12791103</v>
      </c>
      <c r="E317">
        <v>770630.63063063205</v>
      </c>
      <c r="F317">
        <v>1655855.85585586</v>
      </c>
      <c r="G317">
        <v>134</v>
      </c>
      <c r="H317">
        <v>138</v>
      </c>
      <c r="I317">
        <v>9</v>
      </c>
      <c r="J317">
        <v>5</v>
      </c>
      <c r="M317">
        <v>154</v>
      </c>
      <c r="N317">
        <v>159</v>
      </c>
      <c r="O317">
        <v>52073693.693693697</v>
      </c>
      <c r="P317">
        <v>35920000</v>
      </c>
      <c r="Q317">
        <v>128</v>
      </c>
      <c r="R317">
        <v>182</v>
      </c>
      <c r="S317">
        <v>119310642.34234233</v>
      </c>
      <c r="T317">
        <v>111255500.9009009</v>
      </c>
      <c r="U317">
        <v>46891711.711711712</v>
      </c>
      <c r="V317">
        <v>43327790.990990989</v>
      </c>
      <c r="W317">
        <v>13660</v>
      </c>
      <c r="X317">
        <v>13574</v>
      </c>
    </row>
    <row r="318" spans="1:24">
      <c r="A318" s="7" t="s">
        <v>412</v>
      </c>
      <c r="B318" s="16" t="s">
        <v>413</v>
      </c>
      <c r="C318">
        <v>146334735.65303633</v>
      </c>
      <c r="D318">
        <v>150107524.64944917</v>
      </c>
      <c r="E318">
        <v>18481081.081081081</v>
      </c>
      <c r="F318">
        <v>3314864.864864869</v>
      </c>
      <c r="G318">
        <v>44</v>
      </c>
      <c r="H318">
        <v>11</v>
      </c>
      <c r="I318">
        <v>1</v>
      </c>
      <c r="J318">
        <v>4</v>
      </c>
      <c r="M318">
        <v>55</v>
      </c>
      <c r="N318">
        <v>11</v>
      </c>
      <c r="O318">
        <v>5970270.2702702694</v>
      </c>
      <c r="P318">
        <v>5381981.9819819862</v>
      </c>
      <c r="Q318">
        <v>14</v>
      </c>
      <c r="R318">
        <v>39</v>
      </c>
      <c r="S318">
        <v>63030630.630630635</v>
      </c>
      <c r="T318">
        <v>62546684.684684686</v>
      </c>
      <c r="U318">
        <v>3120450.4504504502</v>
      </c>
      <c r="V318">
        <v>3079369.369369369</v>
      </c>
      <c r="W318">
        <v>3972</v>
      </c>
      <c r="X318">
        <v>4289</v>
      </c>
    </row>
    <row r="319" spans="1:24">
      <c r="A319" s="7" t="s">
        <v>414</v>
      </c>
      <c r="B319" s="16" t="s">
        <v>214</v>
      </c>
      <c r="C319">
        <v>895260294.57431567</v>
      </c>
      <c r="D319">
        <v>970546277.08183408</v>
      </c>
      <c r="E319">
        <v>545894855.85585582</v>
      </c>
      <c r="F319">
        <v>611707710.8108108</v>
      </c>
      <c r="G319">
        <v>416</v>
      </c>
      <c r="H319">
        <v>1048</v>
      </c>
      <c r="I319">
        <v>22</v>
      </c>
      <c r="J319">
        <v>26</v>
      </c>
      <c r="M319">
        <v>488</v>
      </c>
      <c r="N319">
        <v>1143</v>
      </c>
      <c r="O319">
        <v>120106126.12612613</v>
      </c>
      <c r="P319">
        <v>137193468.46846846</v>
      </c>
      <c r="Q319">
        <v>522</v>
      </c>
      <c r="R319">
        <v>331</v>
      </c>
      <c r="S319">
        <v>380326113.51351357</v>
      </c>
      <c r="T319">
        <v>440265082.88288289</v>
      </c>
      <c r="U319">
        <v>114016216.21621622</v>
      </c>
      <c r="V319">
        <v>126008018.01801802</v>
      </c>
      <c r="W319">
        <v>23829</v>
      </c>
      <c r="X319">
        <v>24315</v>
      </c>
    </row>
    <row r="320" spans="1:24">
      <c r="A320" s="7" t="s">
        <v>415</v>
      </c>
      <c r="B320" s="16" t="s">
        <v>413</v>
      </c>
      <c r="C320">
        <v>85150713.893370435</v>
      </c>
      <c r="D320">
        <v>83381493.294339433</v>
      </c>
      <c r="E320">
        <v>302702.70270270301</v>
      </c>
      <c r="F320">
        <v>692342.342342344</v>
      </c>
      <c r="G320">
        <v>23</v>
      </c>
      <c r="H320">
        <v>24</v>
      </c>
      <c r="I320">
        <v>1</v>
      </c>
      <c r="J320">
        <v>3</v>
      </c>
      <c r="M320">
        <v>25</v>
      </c>
      <c r="N320">
        <v>31</v>
      </c>
      <c r="O320">
        <v>16379819.819819819</v>
      </c>
      <c r="P320">
        <v>14126344.144144144</v>
      </c>
      <c r="Q320">
        <v>103</v>
      </c>
      <c r="R320">
        <v>32</v>
      </c>
      <c r="S320">
        <v>27632657.657657657</v>
      </c>
      <c r="T320">
        <v>31852182.432432432</v>
      </c>
      <c r="U320">
        <v>11056936.936936935</v>
      </c>
      <c r="V320">
        <v>11722162.162162161</v>
      </c>
      <c r="W320">
        <v>3058</v>
      </c>
      <c r="X320">
        <v>2972</v>
      </c>
    </row>
    <row r="321" spans="1:24">
      <c r="A321" s="7" t="s">
        <v>416</v>
      </c>
      <c r="B321" s="16" t="s">
        <v>236</v>
      </c>
      <c r="C321">
        <v>638530171.31181407</v>
      </c>
      <c r="D321">
        <v>600384546.67306137</v>
      </c>
      <c r="E321">
        <v>566216.21621622099</v>
      </c>
      <c r="F321">
        <v>2443243.2432432468</v>
      </c>
      <c r="G321">
        <v>227</v>
      </c>
      <c r="H321">
        <v>224</v>
      </c>
      <c r="I321">
        <v>14</v>
      </c>
      <c r="J321">
        <v>18</v>
      </c>
      <c r="K321">
        <v>3</v>
      </c>
      <c r="M321">
        <v>269</v>
      </c>
      <c r="N321">
        <v>350</v>
      </c>
      <c r="O321">
        <v>87102792.792792797</v>
      </c>
      <c r="P321">
        <v>72185765.765765756</v>
      </c>
      <c r="Q321">
        <v>82</v>
      </c>
      <c r="R321">
        <v>58</v>
      </c>
      <c r="S321">
        <v>144546693.6936937</v>
      </c>
      <c r="T321">
        <v>141740342.34234235</v>
      </c>
      <c r="U321">
        <v>71329099.0990991</v>
      </c>
      <c r="V321">
        <v>72398468.468468457</v>
      </c>
      <c r="W321">
        <v>10715</v>
      </c>
      <c r="X321">
        <v>10816</v>
      </c>
    </row>
    <row r="322" spans="1:24">
      <c r="A322" s="7" t="s">
        <v>417</v>
      </c>
      <c r="B322" s="16" t="s">
        <v>117</v>
      </c>
      <c r="C322">
        <v>608932836.59716463</v>
      </c>
      <c r="D322">
        <v>585857933.97296011</v>
      </c>
      <c r="E322">
        <v>824270163.06306303</v>
      </c>
      <c r="F322">
        <v>643838334.23423421</v>
      </c>
      <c r="G322">
        <v>441</v>
      </c>
      <c r="H322">
        <v>415</v>
      </c>
      <c r="I322">
        <v>57</v>
      </c>
      <c r="J322">
        <v>52</v>
      </c>
      <c r="K322">
        <v>6</v>
      </c>
      <c r="M322">
        <v>708</v>
      </c>
      <c r="N322">
        <v>746</v>
      </c>
      <c r="O322">
        <v>123257726.12612613</v>
      </c>
      <c r="P322">
        <v>133016185.58558559</v>
      </c>
      <c r="Q322">
        <v>458</v>
      </c>
      <c r="R322">
        <v>301</v>
      </c>
      <c r="S322">
        <v>266073954.95495495</v>
      </c>
      <c r="T322">
        <v>265580606.3063063</v>
      </c>
      <c r="U322">
        <v>123418918.91891891</v>
      </c>
      <c r="V322">
        <v>134283153.15315315</v>
      </c>
      <c r="W322">
        <v>17727</v>
      </c>
      <c r="X322">
        <v>17755</v>
      </c>
    </row>
    <row r="323" spans="1:24">
      <c r="A323" s="7" t="s">
        <v>418</v>
      </c>
      <c r="B323" s="16" t="s">
        <v>147</v>
      </c>
      <c r="C323">
        <v>16350130.573693108</v>
      </c>
      <c r="D323">
        <v>13921673.742827948</v>
      </c>
      <c r="E323">
        <v>47679504.504504502</v>
      </c>
      <c r="F323">
        <v>86196396.396396399</v>
      </c>
      <c r="G323">
        <v>3</v>
      </c>
      <c r="H323">
        <v>3</v>
      </c>
      <c r="M323">
        <v>3</v>
      </c>
      <c r="N323">
        <v>3</v>
      </c>
      <c r="O323">
        <v>6792567.5675675683</v>
      </c>
      <c r="P323">
        <v>8015315.3153153146</v>
      </c>
      <c r="S323">
        <v>5348738.7387387389</v>
      </c>
      <c r="T323">
        <v>5126657.6576576577</v>
      </c>
      <c r="W323">
        <v>502</v>
      </c>
      <c r="X323">
        <v>466</v>
      </c>
    </row>
    <row r="324" spans="1:24">
      <c r="A324" s="7" t="s">
        <v>419</v>
      </c>
      <c r="B324" s="16" t="s">
        <v>304</v>
      </c>
      <c r="C324">
        <v>127488052.52589817</v>
      </c>
      <c r="D324">
        <v>126943673.83456159</v>
      </c>
      <c r="E324">
        <v>951801.80180180399</v>
      </c>
      <c r="F324">
        <v>3337162.162162161</v>
      </c>
      <c r="G324">
        <v>55</v>
      </c>
      <c r="H324">
        <v>86</v>
      </c>
      <c r="I324">
        <v>13</v>
      </c>
      <c r="J324">
        <v>23</v>
      </c>
      <c r="M324">
        <v>65</v>
      </c>
      <c r="N324">
        <v>102</v>
      </c>
      <c r="O324">
        <v>22897297.297297295</v>
      </c>
      <c r="P324">
        <v>23781981.981981985</v>
      </c>
      <c r="Q324">
        <v>195</v>
      </c>
      <c r="R324">
        <v>141</v>
      </c>
      <c r="S324">
        <v>24983108.108108107</v>
      </c>
      <c r="T324">
        <v>27170007.207207207</v>
      </c>
      <c r="U324">
        <v>28293693.693693694</v>
      </c>
      <c r="V324">
        <v>20376126.126126125</v>
      </c>
      <c r="W324">
        <v>2410</v>
      </c>
      <c r="X324">
        <v>2316</v>
      </c>
    </row>
    <row r="325" spans="1:24">
      <c r="A325" s="7" t="s">
        <v>420</v>
      </c>
      <c r="B325" s="16" t="s">
        <v>304</v>
      </c>
      <c r="C325">
        <v>150290773.20253751</v>
      </c>
      <c r="D325">
        <v>145689961.30356181</v>
      </c>
      <c r="E325">
        <v>1379954.954954956</v>
      </c>
      <c r="F325">
        <v>4580855.8558558542</v>
      </c>
      <c r="G325">
        <v>169</v>
      </c>
      <c r="H325">
        <v>482</v>
      </c>
      <c r="I325">
        <v>11</v>
      </c>
      <c r="J325">
        <v>39</v>
      </c>
      <c r="K325">
        <v>10</v>
      </c>
      <c r="M325">
        <v>205</v>
      </c>
      <c r="N325">
        <v>895</v>
      </c>
      <c r="O325">
        <v>21793693.693693686</v>
      </c>
      <c r="P325">
        <v>28760360.360360354</v>
      </c>
      <c r="Q325">
        <v>544</v>
      </c>
      <c r="R325">
        <v>288</v>
      </c>
      <c r="S325">
        <v>34064484.684684686</v>
      </c>
      <c r="T325">
        <v>50304261.261261262</v>
      </c>
      <c r="U325">
        <v>26295585.585585583</v>
      </c>
      <c r="V325">
        <v>21990810.810810808</v>
      </c>
      <c r="W325">
        <v>3078</v>
      </c>
      <c r="X325">
        <v>3174</v>
      </c>
    </row>
    <row r="326" spans="1:24">
      <c r="A326" s="7" t="s">
        <v>421</v>
      </c>
      <c r="B326" s="16" t="s">
        <v>121</v>
      </c>
      <c r="C326">
        <v>11083574.110524284</v>
      </c>
      <c r="D326">
        <v>5384051.9813042544</v>
      </c>
      <c r="E326">
        <v>12612.612612613</v>
      </c>
      <c r="F326">
        <v>13513.513513514001</v>
      </c>
      <c r="G326">
        <v>1</v>
      </c>
      <c r="H326">
        <v>2</v>
      </c>
      <c r="I326">
        <v>0</v>
      </c>
      <c r="J326">
        <v>0</v>
      </c>
      <c r="M326">
        <v>1</v>
      </c>
      <c r="N326">
        <v>3</v>
      </c>
      <c r="O326">
        <v>1418018.018018018</v>
      </c>
      <c r="P326">
        <v>13513.513513514001</v>
      </c>
      <c r="Q326">
        <v>21</v>
      </c>
      <c r="S326">
        <v>1264909.9099099101</v>
      </c>
      <c r="T326">
        <v>454630.630630631</v>
      </c>
      <c r="U326">
        <v>1405405.405405405</v>
      </c>
      <c r="W326">
        <v>379</v>
      </c>
      <c r="X326">
        <v>301</v>
      </c>
    </row>
    <row r="327" spans="1:24">
      <c r="A327" s="7" t="s">
        <v>422</v>
      </c>
      <c r="B327" s="16" t="s">
        <v>60</v>
      </c>
      <c r="C327">
        <v>74077184.518631682</v>
      </c>
      <c r="D327">
        <v>74474514.164753392</v>
      </c>
      <c r="E327">
        <v>281981.981981983</v>
      </c>
      <c r="F327">
        <v>910810.81081081205</v>
      </c>
      <c r="G327">
        <v>33</v>
      </c>
      <c r="H327">
        <v>42</v>
      </c>
      <c r="I327">
        <v>4</v>
      </c>
      <c r="J327">
        <v>8</v>
      </c>
      <c r="M327">
        <v>36</v>
      </c>
      <c r="N327">
        <v>44</v>
      </c>
      <c r="O327">
        <v>11586486.486486485</v>
      </c>
      <c r="P327">
        <v>14615315.315315315</v>
      </c>
      <c r="Q327">
        <v>63</v>
      </c>
      <c r="R327">
        <v>38</v>
      </c>
      <c r="S327">
        <v>24766126.126126129</v>
      </c>
      <c r="T327">
        <v>26022846.846846849</v>
      </c>
      <c r="U327">
        <v>12948018.018018018</v>
      </c>
      <c r="V327">
        <v>14457837.837837836</v>
      </c>
      <c r="W327">
        <v>2138</v>
      </c>
      <c r="X327">
        <v>2113</v>
      </c>
    </row>
    <row r="328" spans="1:24">
      <c r="A328" s="7" t="s">
        <v>423</v>
      </c>
      <c r="B328" s="16" t="s">
        <v>181</v>
      </c>
      <c r="C328">
        <v>766514385.88937366</v>
      </c>
      <c r="D328">
        <v>737101290.95448267</v>
      </c>
      <c r="E328">
        <v>2484684.684684691</v>
      </c>
      <c r="F328">
        <v>7855855.8558558617</v>
      </c>
      <c r="G328">
        <v>302</v>
      </c>
      <c r="H328">
        <v>288</v>
      </c>
      <c r="I328">
        <v>54</v>
      </c>
      <c r="J328">
        <v>43</v>
      </c>
      <c r="K328">
        <v>14</v>
      </c>
      <c r="M328">
        <v>405</v>
      </c>
      <c r="N328">
        <v>379</v>
      </c>
      <c r="O328">
        <v>81898108.108108103</v>
      </c>
      <c r="P328">
        <v>101177927.92792793</v>
      </c>
      <c r="Q328">
        <v>815</v>
      </c>
      <c r="R328">
        <v>1353</v>
      </c>
      <c r="S328">
        <v>205359612.61261261</v>
      </c>
      <c r="T328">
        <v>216179637.83783782</v>
      </c>
      <c r="U328">
        <v>85532792.792792782</v>
      </c>
      <c r="V328">
        <v>98707027.027027026</v>
      </c>
      <c r="W328">
        <v>22329</v>
      </c>
      <c r="X328">
        <v>23424</v>
      </c>
    </row>
    <row r="329" spans="1:24">
      <c r="A329" s="7" t="s">
        <v>424</v>
      </c>
      <c r="B329" s="16" t="s">
        <v>76</v>
      </c>
      <c r="C329">
        <v>32687342.764924478</v>
      </c>
      <c r="D329">
        <v>22808816.758441798</v>
      </c>
      <c r="E329">
        <v>3603.603603604</v>
      </c>
      <c r="F329">
        <v>54054.054054054999</v>
      </c>
      <c r="G329">
        <v>8</v>
      </c>
      <c r="H329">
        <v>4</v>
      </c>
      <c r="I329">
        <v>2</v>
      </c>
      <c r="J329">
        <v>1</v>
      </c>
      <c r="M329">
        <v>8</v>
      </c>
      <c r="N329">
        <v>4</v>
      </c>
      <c r="O329">
        <v>3066666.666666667</v>
      </c>
      <c r="P329">
        <v>1972972.972972973</v>
      </c>
      <c r="R329">
        <v>4</v>
      </c>
      <c r="S329">
        <v>2863774.7747747749</v>
      </c>
      <c r="T329">
        <v>2191009.0090090092</v>
      </c>
      <c r="U329">
        <v>2714324.3243243238</v>
      </c>
      <c r="V329">
        <v>1984954.9549549541</v>
      </c>
      <c r="W329">
        <v>968</v>
      </c>
      <c r="X329">
        <v>902</v>
      </c>
    </row>
    <row r="330" spans="1:24">
      <c r="A330" s="7" t="s">
        <v>425</v>
      </c>
      <c r="B330" s="16" t="s">
        <v>76</v>
      </c>
      <c r="C330">
        <v>89065597.414227009</v>
      </c>
      <c r="D330">
        <v>86037775.800322667</v>
      </c>
      <c r="E330">
        <v>145945.94594594699</v>
      </c>
      <c r="F330">
        <v>145045.04504504599</v>
      </c>
      <c r="G330">
        <v>28</v>
      </c>
      <c r="H330">
        <v>18</v>
      </c>
      <c r="I330">
        <v>1</v>
      </c>
      <c r="J330">
        <v>1</v>
      </c>
      <c r="M330">
        <v>32</v>
      </c>
      <c r="N330">
        <v>20</v>
      </c>
      <c r="O330">
        <v>10262162.162162164</v>
      </c>
      <c r="P330">
        <v>10428918.918918919</v>
      </c>
      <c r="Q330">
        <v>22</v>
      </c>
      <c r="R330">
        <v>30</v>
      </c>
      <c r="S330">
        <v>19997612.612612613</v>
      </c>
      <c r="T330">
        <v>19028531.531531531</v>
      </c>
      <c r="U330">
        <v>7389369.369369369</v>
      </c>
      <c r="V330">
        <v>8598468.4684684668</v>
      </c>
      <c r="W330">
        <v>1414</v>
      </c>
      <c r="X330">
        <v>1427</v>
      </c>
    </row>
    <row r="331" spans="1:24">
      <c r="A331" s="7" t="s">
        <v>426</v>
      </c>
      <c r="B331" s="16" t="s">
        <v>330</v>
      </c>
      <c r="C331">
        <v>423779564.3918696</v>
      </c>
      <c r="D331">
        <v>435897190.9171294</v>
      </c>
      <c r="E331">
        <v>1458063.0630630669</v>
      </c>
      <c r="F331">
        <v>2858333.3333333381</v>
      </c>
      <c r="G331">
        <v>138</v>
      </c>
      <c r="H331">
        <v>159</v>
      </c>
      <c r="I331">
        <v>18</v>
      </c>
      <c r="J331">
        <v>19</v>
      </c>
      <c r="M331">
        <v>168</v>
      </c>
      <c r="N331">
        <v>190</v>
      </c>
      <c r="O331">
        <v>12906936.936936935</v>
      </c>
      <c r="P331">
        <v>23047747.747747749</v>
      </c>
      <c r="Q331">
        <v>73</v>
      </c>
      <c r="R331">
        <v>146</v>
      </c>
      <c r="S331">
        <v>71653160.360360354</v>
      </c>
      <c r="T331">
        <v>75659479.729729727</v>
      </c>
      <c r="U331">
        <v>14222342.342342341</v>
      </c>
      <c r="V331">
        <v>20806486.486486483</v>
      </c>
      <c r="W331">
        <v>11613</v>
      </c>
      <c r="X331">
        <v>11886</v>
      </c>
    </row>
    <row r="332" spans="1:24">
      <c r="A332" s="7" t="s">
        <v>427</v>
      </c>
      <c r="B332" s="16" t="s">
        <v>241</v>
      </c>
      <c r="C332">
        <v>111884196.17674056</v>
      </c>
      <c r="D332">
        <v>113186059.93028265</v>
      </c>
      <c r="E332">
        <v>1255855.855855857</v>
      </c>
      <c r="F332">
        <v>807207.20720720803</v>
      </c>
      <c r="G332">
        <v>52</v>
      </c>
      <c r="H332">
        <v>40</v>
      </c>
      <c r="I332">
        <v>3</v>
      </c>
      <c r="J332">
        <v>3</v>
      </c>
      <c r="K332">
        <v>1</v>
      </c>
      <c r="M332">
        <v>62</v>
      </c>
      <c r="N332">
        <v>44</v>
      </c>
      <c r="O332">
        <v>18582522.522522524</v>
      </c>
      <c r="P332">
        <v>12355945.945945943</v>
      </c>
      <c r="Q332">
        <v>35</v>
      </c>
      <c r="R332">
        <v>40</v>
      </c>
      <c r="S332">
        <v>43767171.171171166</v>
      </c>
      <c r="T332">
        <v>43274000</v>
      </c>
      <c r="U332">
        <v>19075045.045045048</v>
      </c>
      <c r="V332">
        <v>12657027.02702702</v>
      </c>
      <c r="W332">
        <v>5354</v>
      </c>
      <c r="X332">
        <v>5800</v>
      </c>
    </row>
    <row r="333" spans="1:24">
      <c r="A333" s="7" t="s">
        <v>428</v>
      </c>
      <c r="B333" s="16" t="s">
        <v>283</v>
      </c>
      <c r="C333">
        <v>48159247.275251687</v>
      </c>
      <c r="D333">
        <v>47822384.669629745</v>
      </c>
      <c r="E333">
        <v>52477.477477478002</v>
      </c>
      <c r="F333">
        <v>542342.342342344</v>
      </c>
      <c r="G333">
        <v>17</v>
      </c>
      <c r="H333">
        <v>5</v>
      </c>
      <c r="I333">
        <v>2</v>
      </c>
      <c r="J333">
        <v>2</v>
      </c>
      <c r="M333">
        <v>18</v>
      </c>
      <c r="N333">
        <v>34</v>
      </c>
      <c r="O333">
        <v>2224324.3243243252</v>
      </c>
      <c r="P333">
        <v>25109909.909909911</v>
      </c>
      <c r="R333">
        <v>47</v>
      </c>
      <c r="S333">
        <v>8310990.9909909908</v>
      </c>
      <c r="T333">
        <v>9258360.3603603598</v>
      </c>
      <c r="U333">
        <v>2703603.6036036029</v>
      </c>
      <c r="V333">
        <v>26582522.522522524</v>
      </c>
      <c r="W333">
        <v>1281</v>
      </c>
      <c r="X333">
        <v>1203</v>
      </c>
    </row>
    <row r="334" spans="1:24">
      <c r="A334" s="7" t="s">
        <v>429</v>
      </c>
      <c r="B334" s="16" t="s">
        <v>283</v>
      </c>
      <c r="C334">
        <v>15130046.618148241</v>
      </c>
      <c r="D334">
        <v>15414795.673786605</v>
      </c>
      <c r="E334">
        <v>10810.810810810999</v>
      </c>
      <c r="F334">
        <v>207207.20720720699</v>
      </c>
      <c r="G334">
        <v>1</v>
      </c>
      <c r="M334">
        <v>2</v>
      </c>
      <c r="O334">
        <v>190990.99099099101</v>
      </c>
      <c r="P334">
        <v>3090090.090090089</v>
      </c>
      <c r="S334">
        <v>1558513.5135135141</v>
      </c>
      <c r="T334">
        <v>1095675.675675676</v>
      </c>
      <c r="U334">
        <v>163513.51351351399</v>
      </c>
      <c r="V334">
        <v>2885855.8558558552</v>
      </c>
      <c r="W334">
        <v>608</v>
      </c>
      <c r="X334">
        <v>498</v>
      </c>
    </row>
    <row r="335" spans="1:24">
      <c r="A335" s="7" t="s">
        <v>430</v>
      </c>
      <c r="B335" s="16" t="s">
        <v>283</v>
      </c>
      <c r="C335">
        <v>28282810.608209182</v>
      </c>
      <c r="D335">
        <v>32998633.705055855</v>
      </c>
      <c r="E335">
        <v>119302074.77477477</v>
      </c>
      <c r="F335">
        <v>212947686.48648649</v>
      </c>
      <c r="G335">
        <v>5</v>
      </c>
      <c r="H335">
        <v>4</v>
      </c>
      <c r="I335">
        <v>0</v>
      </c>
      <c r="J335">
        <v>1</v>
      </c>
      <c r="M335">
        <v>5</v>
      </c>
      <c r="N335">
        <v>4</v>
      </c>
      <c r="O335">
        <v>8261981.9819819815</v>
      </c>
      <c r="P335">
        <v>18975109.009009007</v>
      </c>
      <c r="R335">
        <v>4</v>
      </c>
      <c r="S335">
        <v>2277837.8378378381</v>
      </c>
      <c r="T335">
        <v>2789819.8198198192</v>
      </c>
      <c r="V335">
        <v>173423.423423423</v>
      </c>
      <c r="W335">
        <v>833</v>
      </c>
      <c r="X335">
        <v>744</v>
      </c>
    </row>
    <row r="336" spans="1:24">
      <c r="A336" s="7" t="s">
        <v>431</v>
      </c>
      <c r="B336" s="16" t="s">
        <v>78</v>
      </c>
      <c r="C336">
        <v>191523563.56279415</v>
      </c>
      <c r="D336">
        <v>190515319.46524355</v>
      </c>
      <c r="E336">
        <v>1219819.819819821</v>
      </c>
      <c r="F336">
        <v>2454054.0540540572</v>
      </c>
      <c r="G336">
        <v>40</v>
      </c>
      <c r="H336">
        <v>148</v>
      </c>
      <c r="I336">
        <v>2</v>
      </c>
      <c r="J336">
        <v>10</v>
      </c>
      <c r="M336">
        <v>42</v>
      </c>
      <c r="N336">
        <v>250</v>
      </c>
      <c r="O336">
        <v>16494594.594594592</v>
      </c>
      <c r="P336">
        <v>18368468.468468469</v>
      </c>
      <c r="Q336">
        <v>96</v>
      </c>
      <c r="R336">
        <v>421</v>
      </c>
      <c r="S336">
        <v>80449126.126126125</v>
      </c>
      <c r="T336">
        <v>83745882.882882878</v>
      </c>
      <c r="U336">
        <v>18242072.072072074</v>
      </c>
      <c r="V336">
        <v>19645315.315315317</v>
      </c>
      <c r="W336">
        <v>6260</v>
      </c>
      <c r="X336">
        <v>6387</v>
      </c>
    </row>
    <row r="337" spans="1:24">
      <c r="A337" s="7" t="s">
        <v>432</v>
      </c>
      <c r="B337" s="16" t="s">
        <v>105</v>
      </c>
      <c r="C337">
        <v>170693137.6252135</v>
      </c>
      <c r="D337">
        <v>172381110.83419997</v>
      </c>
      <c r="E337">
        <v>81981.981981983001</v>
      </c>
      <c r="F337">
        <v>510810.81081081199</v>
      </c>
      <c r="G337">
        <v>30</v>
      </c>
      <c r="H337">
        <v>21</v>
      </c>
      <c r="I337">
        <v>3</v>
      </c>
      <c r="J337">
        <v>2</v>
      </c>
      <c r="M337">
        <v>35</v>
      </c>
      <c r="N337">
        <v>24</v>
      </c>
      <c r="O337">
        <v>19623063.063063063</v>
      </c>
      <c r="P337">
        <v>19529504.504504506</v>
      </c>
      <c r="Q337">
        <v>33</v>
      </c>
      <c r="R337">
        <v>106</v>
      </c>
      <c r="S337">
        <v>39615527.927927926</v>
      </c>
      <c r="T337">
        <v>40811144.144144148</v>
      </c>
      <c r="U337">
        <v>17747927.927927926</v>
      </c>
      <c r="V337">
        <v>22977342.342342343</v>
      </c>
      <c r="W337">
        <v>3644</v>
      </c>
      <c r="X337">
        <v>3741</v>
      </c>
    </row>
    <row r="338" spans="1:24">
      <c r="A338" s="7" t="s">
        <v>433</v>
      </c>
      <c r="B338" s="16" t="s">
        <v>72</v>
      </c>
      <c r="C338">
        <v>958552066.5336951</v>
      </c>
      <c r="D338">
        <v>935379860.51251829</v>
      </c>
      <c r="E338">
        <v>2860810.8108108202</v>
      </c>
      <c r="F338">
        <v>5679729.7297297446</v>
      </c>
      <c r="G338">
        <v>247</v>
      </c>
      <c r="H338">
        <v>237</v>
      </c>
      <c r="I338">
        <v>63</v>
      </c>
      <c r="J338">
        <v>65</v>
      </c>
      <c r="K338">
        <v>1</v>
      </c>
      <c r="M338">
        <v>354</v>
      </c>
      <c r="N338">
        <v>347</v>
      </c>
      <c r="O338">
        <v>138270720.72072071</v>
      </c>
      <c r="P338">
        <v>134461711.7117117</v>
      </c>
      <c r="Q338">
        <v>270</v>
      </c>
      <c r="R338">
        <v>729</v>
      </c>
      <c r="S338">
        <v>197412014.41441441</v>
      </c>
      <c r="T338">
        <v>197663601.35135135</v>
      </c>
      <c r="U338">
        <v>105271214.41441442</v>
      </c>
      <c r="V338">
        <v>104421171.17117117</v>
      </c>
      <c r="W338">
        <v>18154</v>
      </c>
      <c r="X338">
        <v>18393</v>
      </c>
    </row>
    <row r="339" spans="1:24">
      <c r="A339" s="7" t="s">
        <v>434</v>
      </c>
      <c r="B339" s="16" t="s">
        <v>72</v>
      </c>
      <c r="C339">
        <v>667069031.4798094</v>
      </c>
      <c r="D339">
        <v>645033215.76008356</v>
      </c>
      <c r="E339">
        <v>1937837.83783784</v>
      </c>
      <c r="F339">
        <v>3975000.0000000061</v>
      </c>
      <c r="G339">
        <v>139</v>
      </c>
      <c r="H339">
        <v>145</v>
      </c>
      <c r="I339">
        <v>14</v>
      </c>
      <c r="J339">
        <v>18</v>
      </c>
      <c r="K339">
        <v>1</v>
      </c>
      <c r="M339">
        <v>150</v>
      </c>
      <c r="N339">
        <v>184</v>
      </c>
      <c r="O339">
        <v>79410450.45045045</v>
      </c>
      <c r="P339">
        <v>65863963.963963963</v>
      </c>
      <c r="Q339">
        <v>220</v>
      </c>
      <c r="R339">
        <v>107</v>
      </c>
      <c r="S339">
        <v>115913878.37837839</v>
      </c>
      <c r="T339">
        <v>121349621.62162161</v>
      </c>
      <c r="U339">
        <v>56651261.261261262</v>
      </c>
      <c r="V339">
        <v>53345315.315315314</v>
      </c>
      <c r="W339">
        <v>13709</v>
      </c>
      <c r="X339">
        <v>14874</v>
      </c>
    </row>
    <row r="340" spans="1:24">
      <c r="A340" s="7" t="s">
        <v>435</v>
      </c>
      <c r="B340" s="16" t="s">
        <v>94</v>
      </c>
      <c r="C340">
        <v>50364472.153721996</v>
      </c>
      <c r="D340">
        <v>45426256.657669455</v>
      </c>
      <c r="E340">
        <v>900.900900901</v>
      </c>
      <c r="F340">
        <v>13513.513513514001</v>
      </c>
      <c r="G340">
        <v>7</v>
      </c>
      <c r="H340">
        <v>3</v>
      </c>
      <c r="I340">
        <v>0</v>
      </c>
      <c r="J340">
        <v>0</v>
      </c>
      <c r="M340">
        <v>8</v>
      </c>
      <c r="N340">
        <v>3</v>
      </c>
      <c r="O340">
        <v>991891.89189189195</v>
      </c>
      <c r="P340">
        <v>554054.05405405397</v>
      </c>
      <c r="S340">
        <v>11607702.702702705</v>
      </c>
      <c r="T340">
        <v>11057900.9009009</v>
      </c>
      <c r="U340">
        <v>330540.54054054001</v>
      </c>
      <c r="V340">
        <v>381801.80180180201</v>
      </c>
      <c r="W340">
        <v>940</v>
      </c>
      <c r="X340">
        <v>868</v>
      </c>
    </row>
    <row r="341" spans="1:24">
      <c r="A341" s="7" t="s">
        <v>436</v>
      </c>
      <c r="B341" s="16" t="s">
        <v>89</v>
      </c>
      <c r="C341">
        <v>229694554.10519549</v>
      </c>
      <c r="D341">
        <v>233867063.530128</v>
      </c>
      <c r="E341">
        <v>2777432.432432435</v>
      </c>
      <c r="F341">
        <v>3038738.738738745</v>
      </c>
      <c r="G341">
        <v>55</v>
      </c>
      <c r="H341">
        <v>67</v>
      </c>
      <c r="I341">
        <v>14</v>
      </c>
      <c r="J341">
        <v>16</v>
      </c>
      <c r="K341">
        <v>1</v>
      </c>
      <c r="M341">
        <v>60</v>
      </c>
      <c r="N341">
        <v>74</v>
      </c>
      <c r="O341">
        <v>33974954.954954959</v>
      </c>
      <c r="P341">
        <v>30869009.009009011</v>
      </c>
      <c r="Q341">
        <v>276</v>
      </c>
      <c r="R341">
        <v>135</v>
      </c>
      <c r="S341">
        <v>98587207.207207203</v>
      </c>
      <c r="T341">
        <v>105148148.64864865</v>
      </c>
      <c r="U341">
        <v>30267657.657657657</v>
      </c>
      <c r="V341">
        <v>33605405.40540541</v>
      </c>
      <c r="W341">
        <v>5982</v>
      </c>
      <c r="X341">
        <v>5315</v>
      </c>
    </row>
    <row r="342" spans="1:24">
      <c r="A342" s="7" t="s">
        <v>437</v>
      </c>
      <c r="B342" s="16" t="s">
        <v>70</v>
      </c>
      <c r="C342">
        <v>7729648.823049021</v>
      </c>
      <c r="D342">
        <v>7238553.2088561459</v>
      </c>
      <c r="G342">
        <v>16</v>
      </c>
      <c r="H342">
        <v>5</v>
      </c>
      <c r="M342">
        <v>16</v>
      </c>
      <c r="N342">
        <v>5</v>
      </c>
      <c r="S342">
        <v>4625495.4954954963</v>
      </c>
      <c r="T342">
        <v>4679720.7207207214</v>
      </c>
      <c r="W342">
        <v>1312</v>
      </c>
      <c r="X342">
        <v>2569</v>
      </c>
    </row>
    <row r="343" spans="1:24">
      <c r="A343" s="7" t="s">
        <v>438</v>
      </c>
      <c r="B343" s="16" t="s">
        <v>195</v>
      </c>
      <c r="C343">
        <v>1127582596.2380781</v>
      </c>
      <c r="D343">
        <v>1105342282.2141442</v>
      </c>
      <c r="E343">
        <v>145419358.55855855</v>
      </c>
      <c r="F343">
        <v>165846923.42342341</v>
      </c>
      <c r="G343">
        <v>297</v>
      </c>
      <c r="H343">
        <v>300</v>
      </c>
      <c r="I343">
        <v>24</v>
      </c>
      <c r="J343">
        <v>19</v>
      </c>
      <c r="M343">
        <v>346</v>
      </c>
      <c r="N343">
        <v>370</v>
      </c>
      <c r="O343">
        <v>106789189.18918918</v>
      </c>
      <c r="P343">
        <v>98303783.783783779</v>
      </c>
      <c r="Q343">
        <v>275</v>
      </c>
      <c r="R343">
        <v>223</v>
      </c>
      <c r="S343">
        <v>176111495.4954955</v>
      </c>
      <c r="T343">
        <v>191568432.43243244</v>
      </c>
      <c r="U343">
        <v>88187387.387387395</v>
      </c>
      <c r="V343">
        <v>90050540.540540546</v>
      </c>
      <c r="W343">
        <v>20163</v>
      </c>
      <c r="X343">
        <v>20582</v>
      </c>
    </row>
    <row r="344" spans="1:24">
      <c r="A344" s="7" t="s">
        <v>439</v>
      </c>
      <c r="B344" s="16" t="s">
        <v>178</v>
      </c>
      <c r="C344">
        <v>550128934.14835525</v>
      </c>
      <c r="D344">
        <v>553888857.48642826</v>
      </c>
      <c r="E344">
        <v>1348018.0180180201</v>
      </c>
      <c r="F344">
        <v>9426126.1261261273</v>
      </c>
      <c r="G344">
        <v>131</v>
      </c>
      <c r="H344">
        <v>123</v>
      </c>
      <c r="I344">
        <v>7</v>
      </c>
      <c r="J344">
        <v>45</v>
      </c>
      <c r="K344">
        <v>1</v>
      </c>
      <c r="M344">
        <v>146</v>
      </c>
      <c r="N344">
        <v>213</v>
      </c>
      <c r="O344">
        <v>103925727.02702704</v>
      </c>
      <c r="P344">
        <v>106413323.42342342</v>
      </c>
      <c r="Q344">
        <v>120</v>
      </c>
      <c r="R344">
        <v>239</v>
      </c>
      <c r="S344">
        <v>210161522.52252254</v>
      </c>
      <c r="T344">
        <v>222419238.73873875</v>
      </c>
      <c r="U344">
        <v>85820630.630630642</v>
      </c>
      <c r="V344">
        <v>86304774.774774775</v>
      </c>
      <c r="W344">
        <v>14413</v>
      </c>
      <c r="X344">
        <v>14459</v>
      </c>
    </row>
    <row r="345" spans="1:24">
      <c r="A345" s="7" t="s">
        <v>440</v>
      </c>
      <c r="B345" s="16" t="s">
        <v>78</v>
      </c>
      <c r="C345">
        <v>232478433.8430177</v>
      </c>
      <c r="D345">
        <v>235796493.86199391</v>
      </c>
      <c r="E345">
        <v>2008738.7387387389</v>
      </c>
      <c r="F345">
        <v>3370270.2702702712</v>
      </c>
      <c r="G345">
        <v>40</v>
      </c>
      <c r="H345">
        <v>47</v>
      </c>
      <c r="I345">
        <v>6</v>
      </c>
      <c r="J345">
        <v>7</v>
      </c>
      <c r="M345">
        <v>53</v>
      </c>
      <c r="N345">
        <v>90</v>
      </c>
      <c r="O345">
        <v>19597027.027027026</v>
      </c>
      <c r="P345">
        <v>21838738.738738734</v>
      </c>
      <c r="Q345">
        <v>106</v>
      </c>
      <c r="R345">
        <v>94</v>
      </c>
      <c r="S345">
        <v>46441702.702702701</v>
      </c>
      <c r="T345">
        <v>47913108.108108111</v>
      </c>
      <c r="U345">
        <v>21478918.918918919</v>
      </c>
      <c r="V345">
        <v>23105675.675675675</v>
      </c>
      <c r="W345">
        <v>4731</v>
      </c>
      <c r="X345">
        <v>4891</v>
      </c>
    </row>
    <row r="346" spans="1:24">
      <c r="A346" s="7" t="s">
        <v>441</v>
      </c>
      <c r="B346" s="16" t="s">
        <v>78</v>
      </c>
      <c r="C346">
        <v>105426238.24512351</v>
      </c>
      <c r="D346">
        <v>98464348.982351989</v>
      </c>
      <c r="E346">
        <v>336036.03603603801</v>
      </c>
      <c r="F346">
        <v>1543243.2432432431</v>
      </c>
      <c r="G346">
        <v>22</v>
      </c>
      <c r="H346">
        <v>20</v>
      </c>
      <c r="I346">
        <v>2</v>
      </c>
      <c r="J346">
        <v>4</v>
      </c>
      <c r="M346">
        <v>24</v>
      </c>
      <c r="N346">
        <v>28</v>
      </c>
      <c r="O346">
        <v>14823333.333333332</v>
      </c>
      <c r="P346">
        <v>18148468.468468469</v>
      </c>
      <c r="Q346">
        <v>66</v>
      </c>
      <c r="R346">
        <v>31</v>
      </c>
      <c r="S346">
        <v>20886666.666666668</v>
      </c>
      <c r="T346">
        <v>21211594.59459459</v>
      </c>
      <c r="U346">
        <v>17646936.936936941</v>
      </c>
      <c r="V346">
        <v>19428018.018018015</v>
      </c>
      <c r="W346">
        <v>2271</v>
      </c>
      <c r="X346">
        <v>2309</v>
      </c>
    </row>
    <row r="347" spans="1:24">
      <c r="A347" s="7" t="s">
        <v>442</v>
      </c>
      <c r="B347" s="16" t="s">
        <v>123</v>
      </c>
      <c r="C347">
        <v>1613972.3797066209</v>
      </c>
      <c r="D347">
        <v>1840685.2658793849</v>
      </c>
      <c r="G347">
        <v>1</v>
      </c>
      <c r="M347">
        <v>3</v>
      </c>
      <c r="S347">
        <v>680225.22522522497</v>
      </c>
      <c r="T347">
        <v>715450.45045044995</v>
      </c>
      <c r="W347">
        <v>391</v>
      </c>
      <c r="X347">
        <v>310</v>
      </c>
    </row>
    <row r="348" spans="1:24">
      <c r="A348" s="7" t="s">
        <v>443</v>
      </c>
      <c r="B348" s="16" t="s">
        <v>140</v>
      </c>
      <c r="C348">
        <v>232280409.74091932</v>
      </c>
      <c r="D348">
        <v>240354435.10864523</v>
      </c>
      <c r="E348">
        <v>1779054.054054053</v>
      </c>
      <c r="F348">
        <v>1293243.2432432431</v>
      </c>
      <c r="G348">
        <v>19</v>
      </c>
      <c r="H348">
        <v>41</v>
      </c>
      <c r="I348">
        <v>2</v>
      </c>
      <c r="J348">
        <v>6</v>
      </c>
      <c r="K348">
        <v>1</v>
      </c>
      <c r="M348">
        <v>25</v>
      </c>
      <c r="N348">
        <v>49</v>
      </c>
      <c r="O348">
        <v>24480630.630630627</v>
      </c>
      <c r="P348">
        <v>25727387.387387387</v>
      </c>
      <c r="Q348">
        <v>58</v>
      </c>
      <c r="R348">
        <v>77</v>
      </c>
      <c r="S348">
        <v>57934954.954954959</v>
      </c>
      <c r="T348">
        <v>66201756.756756753</v>
      </c>
      <c r="U348">
        <v>21108198.198198199</v>
      </c>
      <c r="V348">
        <v>22403963.963963959</v>
      </c>
      <c r="W348">
        <v>5678</v>
      </c>
      <c r="X348">
        <v>5419</v>
      </c>
    </row>
    <row r="349" spans="1:24">
      <c r="A349" s="7" t="s">
        <v>444</v>
      </c>
      <c r="B349" s="16" t="s">
        <v>76</v>
      </c>
      <c r="C349">
        <v>25847214.963527665</v>
      </c>
      <c r="D349">
        <v>26604461.737210527</v>
      </c>
      <c r="E349">
        <v>175675.675675676</v>
      </c>
      <c r="F349">
        <v>240540.540540541</v>
      </c>
      <c r="G349">
        <v>7</v>
      </c>
      <c r="H349">
        <v>3</v>
      </c>
      <c r="I349">
        <v>1</v>
      </c>
      <c r="J349">
        <v>0</v>
      </c>
      <c r="M349">
        <v>8</v>
      </c>
      <c r="N349">
        <v>4</v>
      </c>
      <c r="O349">
        <v>8184684.6846846864</v>
      </c>
      <c r="P349">
        <v>5245045.0450450452</v>
      </c>
      <c r="Q349">
        <v>12</v>
      </c>
      <c r="R349">
        <v>72</v>
      </c>
      <c r="S349">
        <v>5587792.7927927934</v>
      </c>
      <c r="T349">
        <v>6186324.3243243238</v>
      </c>
      <c r="U349">
        <v>5982162.1621621624</v>
      </c>
      <c r="V349">
        <v>4226306.3063063063</v>
      </c>
      <c r="W349">
        <v>630</v>
      </c>
      <c r="X349">
        <v>625</v>
      </c>
    </row>
    <row r="350" spans="1:24">
      <c r="A350" s="7" t="s">
        <v>445</v>
      </c>
      <c r="B350" s="16" t="s">
        <v>89</v>
      </c>
      <c r="C350">
        <v>730657737.76031637</v>
      </c>
      <c r="D350">
        <v>735253153.76449573</v>
      </c>
      <c r="E350">
        <v>100218362.16216217</v>
      </c>
      <c r="F350">
        <v>410265150.45045048</v>
      </c>
      <c r="G350">
        <v>507</v>
      </c>
      <c r="H350">
        <v>290</v>
      </c>
      <c r="I350">
        <v>38</v>
      </c>
      <c r="J350">
        <v>58</v>
      </c>
      <c r="K350">
        <v>4</v>
      </c>
      <c r="M350">
        <v>575</v>
      </c>
      <c r="N350">
        <v>915</v>
      </c>
      <c r="O350">
        <v>84564594.594594598</v>
      </c>
      <c r="P350">
        <v>260616126.12612614</v>
      </c>
      <c r="Q350">
        <v>780</v>
      </c>
      <c r="R350">
        <v>747</v>
      </c>
      <c r="S350">
        <v>223445441.44144145</v>
      </c>
      <c r="T350">
        <v>242244655.85585585</v>
      </c>
      <c r="U350">
        <v>84982432.432432428</v>
      </c>
      <c r="V350">
        <v>152699189.1891892</v>
      </c>
      <c r="W350">
        <v>16218</v>
      </c>
      <c r="X350">
        <v>16201</v>
      </c>
    </row>
    <row r="351" spans="1:24">
      <c r="A351" s="7" t="s">
        <v>446</v>
      </c>
      <c r="B351" s="16" t="s">
        <v>48</v>
      </c>
      <c r="C351">
        <v>76629773.596964389</v>
      </c>
      <c r="D351">
        <v>72601435.83366479</v>
      </c>
      <c r="E351">
        <v>704504.50450450496</v>
      </c>
      <c r="F351">
        <v>2095495.4954954949</v>
      </c>
      <c r="G351">
        <v>9</v>
      </c>
      <c r="H351">
        <v>5</v>
      </c>
      <c r="I351">
        <v>1</v>
      </c>
      <c r="J351">
        <v>2</v>
      </c>
      <c r="M351">
        <v>9</v>
      </c>
      <c r="N351">
        <v>10</v>
      </c>
      <c r="O351">
        <v>8424144.1441441439</v>
      </c>
      <c r="P351">
        <v>18740360.360360362</v>
      </c>
      <c r="S351">
        <v>25954594.594594598</v>
      </c>
      <c r="T351">
        <v>24657819.819819819</v>
      </c>
      <c r="U351">
        <v>8572162.1621621624</v>
      </c>
      <c r="V351">
        <v>18504594.594594598</v>
      </c>
      <c r="W351">
        <v>1079</v>
      </c>
      <c r="X351">
        <v>1091</v>
      </c>
    </row>
    <row r="352" spans="1:24">
      <c r="A352" s="7" t="s">
        <v>447</v>
      </c>
      <c r="B352" s="16" t="s">
        <v>448</v>
      </c>
      <c r="C352">
        <v>147630035.0813722</v>
      </c>
      <c r="D352">
        <v>145384424.20960003</v>
      </c>
      <c r="E352">
        <v>861936.93693693797</v>
      </c>
      <c r="F352">
        <v>3472972.9729729742</v>
      </c>
      <c r="G352">
        <v>548</v>
      </c>
      <c r="H352">
        <v>132</v>
      </c>
      <c r="I352">
        <v>8</v>
      </c>
      <c r="J352">
        <v>10</v>
      </c>
      <c r="M352">
        <v>567</v>
      </c>
      <c r="N352">
        <v>179</v>
      </c>
      <c r="O352">
        <v>20499549.54954955</v>
      </c>
      <c r="P352">
        <v>11486306.306306308</v>
      </c>
      <c r="Q352">
        <v>219</v>
      </c>
      <c r="R352">
        <v>19</v>
      </c>
      <c r="S352">
        <v>58694639.639639638</v>
      </c>
      <c r="T352">
        <v>59799873.873873875</v>
      </c>
      <c r="U352">
        <v>15555945.945945945</v>
      </c>
      <c r="V352">
        <v>12863243.243243245</v>
      </c>
      <c r="W352">
        <v>5759</v>
      </c>
      <c r="X352">
        <v>5741</v>
      </c>
    </row>
    <row r="353" spans="1:24">
      <c r="A353" s="7" t="s">
        <v>449</v>
      </c>
      <c r="B353" s="16" t="s">
        <v>76</v>
      </c>
      <c r="C353">
        <v>37816463.616777219</v>
      </c>
      <c r="D353">
        <v>34624238.094280615</v>
      </c>
      <c r="E353">
        <v>19819.819819821001</v>
      </c>
      <c r="F353">
        <v>527927.92792792898</v>
      </c>
      <c r="G353">
        <v>10</v>
      </c>
      <c r="H353">
        <v>22</v>
      </c>
      <c r="I353">
        <v>1</v>
      </c>
      <c r="J353">
        <v>6</v>
      </c>
      <c r="M353">
        <v>16</v>
      </c>
      <c r="N353">
        <v>22</v>
      </c>
      <c r="O353">
        <v>8581981.9819819834</v>
      </c>
      <c r="P353">
        <v>9363783.7837837841</v>
      </c>
      <c r="Q353">
        <v>30</v>
      </c>
      <c r="R353">
        <v>13</v>
      </c>
      <c r="S353">
        <v>13693333.333333332</v>
      </c>
      <c r="T353">
        <v>12390313.513513515</v>
      </c>
      <c r="U353">
        <v>7175225.225225226</v>
      </c>
      <c r="V353">
        <v>7993333.333333334</v>
      </c>
      <c r="W353">
        <v>1845</v>
      </c>
      <c r="X353">
        <v>1826</v>
      </c>
    </row>
    <row r="354" spans="1:24">
      <c r="A354" s="7" t="s">
        <v>450</v>
      </c>
      <c r="B354" s="16" t="s">
        <v>83</v>
      </c>
      <c r="C354">
        <v>1320157032.5785875</v>
      </c>
      <c r="D354">
        <v>1313741605.6610177</v>
      </c>
      <c r="E354">
        <v>635212518.01801801</v>
      </c>
      <c r="F354">
        <v>269418897.2972973</v>
      </c>
      <c r="G354">
        <v>294</v>
      </c>
      <c r="H354">
        <v>405</v>
      </c>
      <c r="I354">
        <v>30</v>
      </c>
      <c r="J354">
        <v>38</v>
      </c>
      <c r="K354">
        <v>6</v>
      </c>
      <c r="M354">
        <v>409</v>
      </c>
      <c r="N354">
        <v>524</v>
      </c>
      <c r="O354">
        <v>153120000</v>
      </c>
      <c r="P354">
        <v>160480855.85585588</v>
      </c>
      <c r="Q354">
        <v>351</v>
      </c>
      <c r="R354">
        <v>635</v>
      </c>
      <c r="S354">
        <v>280225963.96396399</v>
      </c>
      <c r="T354">
        <v>286095713.96396399</v>
      </c>
      <c r="U354">
        <v>137983963.96396396</v>
      </c>
      <c r="V354">
        <v>155151486.48648649</v>
      </c>
      <c r="W354">
        <v>31410</v>
      </c>
      <c r="X354">
        <v>31255</v>
      </c>
    </row>
    <row r="355" spans="1:24">
      <c r="A355" s="7" t="s">
        <v>451</v>
      </c>
      <c r="B355" s="16" t="s">
        <v>70</v>
      </c>
      <c r="C355">
        <v>92505413.962787703</v>
      </c>
      <c r="D355">
        <v>85691838.877531946</v>
      </c>
      <c r="E355">
        <v>76026576.576576576</v>
      </c>
      <c r="F355">
        <v>76527927.927927941</v>
      </c>
      <c r="G355">
        <v>21</v>
      </c>
      <c r="H355">
        <v>20</v>
      </c>
      <c r="I355">
        <v>1</v>
      </c>
      <c r="J355">
        <v>1</v>
      </c>
      <c r="M355">
        <v>21</v>
      </c>
      <c r="N355">
        <v>20</v>
      </c>
      <c r="O355">
        <v>13899324.324324325</v>
      </c>
      <c r="P355">
        <v>25028828.82882883</v>
      </c>
      <c r="Q355">
        <v>3</v>
      </c>
      <c r="R355">
        <v>9</v>
      </c>
      <c r="S355">
        <v>55518423.423423424</v>
      </c>
      <c r="T355">
        <v>52517198.198198199</v>
      </c>
      <c r="U355">
        <v>2709639.6396396402</v>
      </c>
      <c r="V355">
        <v>2081081.0810810809</v>
      </c>
      <c r="W355">
        <v>2941</v>
      </c>
      <c r="X355">
        <v>2751</v>
      </c>
    </row>
    <row r="356" spans="1:24">
      <c r="A356" s="7" t="s">
        <v>452</v>
      </c>
      <c r="B356" s="16" t="s">
        <v>167</v>
      </c>
      <c r="C356">
        <v>107704876.02909739</v>
      </c>
      <c r="D356">
        <v>104263462.30089666</v>
      </c>
      <c r="E356">
        <v>39639.639639640001</v>
      </c>
      <c r="F356">
        <v>1396396.396396396</v>
      </c>
      <c r="G356">
        <v>9</v>
      </c>
      <c r="H356">
        <v>4</v>
      </c>
      <c r="I356">
        <v>1</v>
      </c>
      <c r="J356">
        <v>0</v>
      </c>
      <c r="K356">
        <v>1</v>
      </c>
      <c r="M356">
        <v>13</v>
      </c>
      <c r="N356">
        <v>4</v>
      </c>
      <c r="O356">
        <v>14394684.684684685</v>
      </c>
      <c r="P356">
        <v>3710360.3603603598</v>
      </c>
      <c r="Q356">
        <v>314</v>
      </c>
      <c r="S356">
        <v>18978648.648648649</v>
      </c>
      <c r="T356">
        <v>20179513.513513513</v>
      </c>
      <c r="U356">
        <v>15385945.945945945</v>
      </c>
      <c r="V356">
        <v>4536576.5765765756</v>
      </c>
      <c r="W356">
        <v>2983</v>
      </c>
      <c r="X356">
        <v>2640</v>
      </c>
    </row>
    <row r="357" spans="1:24">
      <c r="A357" s="7" t="s">
        <v>453</v>
      </c>
      <c r="B357" s="16" t="s">
        <v>121</v>
      </c>
      <c r="C357">
        <v>6568278.6396999964</v>
      </c>
      <c r="D357">
        <v>4337296.7745390106</v>
      </c>
      <c r="E357">
        <v>14414.414414413999</v>
      </c>
      <c r="F357">
        <v>34234.234234233998</v>
      </c>
      <c r="G357">
        <v>4</v>
      </c>
      <c r="H357">
        <v>2</v>
      </c>
      <c r="I357">
        <v>1</v>
      </c>
      <c r="J357">
        <v>0</v>
      </c>
      <c r="M357">
        <v>4</v>
      </c>
      <c r="N357">
        <v>2</v>
      </c>
      <c r="O357">
        <v>158558.558558558</v>
      </c>
      <c r="P357">
        <v>36036.036036035999</v>
      </c>
      <c r="Q357">
        <v>26</v>
      </c>
      <c r="S357">
        <v>565801.80180180201</v>
      </c>
      <c r="T357">
        <v>420360.36036036001</v>
      </c>
      <c r="U357">
        <v>144144.144144144</v>
      </c>
      <c r="W357">
        <v>148</v>
      </c>
      <c r="X357">
        <v>120</v>
      </c>
    </row>
    <row r="358" spans="1:24">
      <c r="A358" s="7" t="s">
        <v>454</v>
      </c>
      <c r="B358" s="16" t="s">
        <v>224</v>
      </c>
      <c r="C358">
        <v>39729112.097164765</v>
      </c>
      <c r="D358">
        <v>35416149.693438262</v>
      </c>
      <c r="G358">
        <v>1</v>
      </c>
      <c r="M358">
        <v>1</v>
      </c>
      <c r="N358">
        <v>1</v>
      </c>
      <c r="R358">
        <v>10</v>
      </c>
      <c r="S358">
        <v>6949864.8648648653</v>
      </c>
      <c r="T358">
        <v>6863369.369369369</v>
      </c>
      <c r="U358">
        <v>165315.31531531501</v>
      </c>
      <c r="V358">
        <v>155045.045045045</v>
      </c>
      <c r="W358">
        <v>1294</v>
      </c>
      <c r="X358">
        <v>1255</v>
      </c>
    </row>
    <row r="359" spans="1:24">
      <c r="A359" s="7" t="s">
        <v>455</v>
      </c>
      <c r="B359" s="16" t="s">
        <v>94</v>
      </c>
      <c r="C359">
        <v>43740899.460764021</v>
      </c>
      <c r="D359">
        <v>58215504.498062901</v>
      </c>
      <c r="E359">
        <v>209009.00900900899</v>
      </c>
      <c r="F359">
        <v>495495.49549549603</v>
      </c>
      <c r="G359">
        <v>16</v>
      </c>
      <c r="H359">
        <v>16</v>
      </c>
      <c r="I359">
        <v>3</v>
      </c>
      <c r="J359">
        <v>2</v>
      </c>
      <c r="M359">
        <v>19</v>
      </c>
      <c r="N359">
        <v>19</v>
      </c>
      <c r="O359">
        <v>8043243.2432432417</v>
      </c>
      <c r="P359">
        <v>19018018.018018015</v>
      </c>
      <c r="Q359">
        <v>57</v>
      </c>
      <c r="R359">
        <v>199</v>
      </c>
      <c r="S359">
        <v>9097927.927927928</v>
      </c>
      <c r="T359">
        <v>13385202.702702701</v>
      </c>
      <c r="U359">
        <v>7574144.1441441448</v>
      </c>
      <c r="V359">
        <v>18880270.270270269</v>
      </c>
      <c r="W359">
        <v>1890</v>
      </c>
      <c r="X359">
        <v>2059</v>
      </c>
    </row>
    <row r="360" spans="1:24">
      <c r="A360" s="7" t="s">
        <v>456</v>
      </c>
      <c r="B360" s="16" t="s">
        <v>60</v>
      </c>
      <c r="C360">
        <v>10457389.920110162</v>
      </c>
      <c r="D360">
        <v>7802086.3591315728</v>
      </c>
      <c r="E360">
        <v>298198.19819819799</v>
      </c>
      <c r="F360">
        <v>170270.27027027</v>
      </c>
      <c r="G360">
        <v>6</v>
      </c>
      <c r="H360">
        <v>5</v>
      </c>
      <c r="I360">
        <v>2</v>
      </c>
      <c r="J360">
        <v>1</v>
      </c>
      <c r="M360">
        <v>6</v>
      </c>
      <c r="N360">
        <v>6</v>
      </c>
      <c r="O360">
        <v>2550450.4504504511</v>
      </c>
      <c r="P360">
        <v>1206306.306306307</v>
      </c>
      <c r="Q360">
        <v>1</v>
      </c>
      <c r="R360">
        <v>15</v>
      </c>
      <c r="S360">
        <v>6052927.9279279271</v>
      </c>
      <c r="T360">
        <v>3587828.8288288279</v>
      </c>
      <c r="U360">
        <v>1558018.0180180171</v>
      </c>
      <c r="V360">
        <v>620270.27027026995</v>
      </c>
      <c r="W360">
        <v>628</v>
      </c>
      <c r="X360">
        <v>558</v>
      </c>
    </row>
    <row r="361" spans="1:24">
      <c r="A361" s="7" t="s">
        <v>457</v>
      </c>
      <c r="B361" s="16" t="s">
        <v>214</v>
      </c>
      <c r="C361">
        <v>134069752.71942557</v>
      </c>
      <c r="D361">
        <v>145503101.29507992</v>
      </c>
      <c r="F361">
        <v>396396.39639639598</v>
      </c>
      <c r="G361">
        <v>26</v>
      </c>
      <c r="H361">
        <v>33</v>
      </c>
      <c r="J361">
        <v>1</v>
      </c>
      <c r="M361">
        <v>28</v>
      </c>
      <c r="N361">
        <v>40</v>
      </c>
      <c r="O361">
        <v>450450.45045045001</v>
      </c>
      <c r="P361">
        <v>936936.93693693704</v>
      </c>
      <c r="R361">
        <v>7</v>
      </c>
      <c r="S361">
        <v>68915405.405405402</v>
      </c>
      <c r="T361">
        <v>74164153.153153151</v>
      </c>
      <c r="U361">
        <v>432432.43243243202</v>
      </c>
      <c r="V361">
        <v>1726126.1261261259</v>
      </c>
      <c r="W361">
        <v>2852</v>
      </c>
      <c r="X361">
        <v>2903</v>
      </c>
    </row>
    <row r="362" spans="1:24">
      <c r="A362" s="7" t="s">
        <v>458</v>
      </c>
      <c r="B362" s="16" t="s">
        <v>459</v>
      </c>
      <c r="C362">
        <v>593003472.94098139</v>
      </c>
      <c r="D362">
        <v>561387022.53919458</v>
      </c>
      <c r="E362">
        <v>1991486.486486489</v>
      </c>
      <c r="F362">
        <v>11826126.126126133</v>
      </c>
      <c r="G362">
        <v>289</v>
      </c>
      <c r="H362">
        <v>360</v>
      </c>
      <c r="I362">
        <v>32</v>
      </c>
      <c r="J362">
        <v>38</v>
      </c>
      <c r="K362">
        <v>2</v>
      </c>
      <c r="M362">
        <v>380</v>
      </c>
      <c r="N362">
        <v>498</v>
      </c>
      <c r="O362">
        <v>71251621.621621624</v>
      </c>
      <c r="P362">
        <v>225251846.84684685</v>
      </c>
      <c r="Q362">
        <v>951</v>
      </c>
      <c r="R362">
        <v>596</v>
      </c>
      <c r="S362">
        <v>192942720.72072071</v>
      </c>
      <c r="T362">
        <v>201686308.55855855</v>
      </c>
      <c r="U362">
        <v>64796306.30630631</v>
      </c>
      <c r="V362">
        <v>133392297.2972973</v>
      </c>
      <c r="W362">
        <v>24179</v>
      </c>
      <c r="X362">
        <v>24214</v>
      </c>
    </row>
    <row r="363" spans="1:24">
      <c r="A363" s="7" t="s">
        <v>460</v>
      </c>
      <c r="B363" s="16" t="s">
        <v>459</v>
      </c>
      <c r="C363">
        <v>1715770045.8882844</v>
      </c>
      <c r="D363">
        <v>1729984036.2418337</v>
      </c>
      <c r="E363">
        <v>219233738.73873875</v>
      </c>
      <c r="F363">
        <v>323063243.24324328</v>
      </c>
      <c r="G363">
        <v>554</v>
      </c>
      <c r="H363">
        <v>470</v>
      </c>
      <c r="I363">
        <v>20</v>
      </c>
      <c r="J363">
        <v>31</v>
      </c>
      <c r="K363">
        <v>2</v>
      </c>
      <c r="M363">
        <v>682</v>
      </c>
      <c r="N363">
        <v>614</v>
      </c>
      <c r="O363">
        <v>81773378.378378391</v>
      </c>
      <c r="P363">
        <v>110368603.60360359</v>
      </c>
      <c r="Q363">
        <v>533</v>
      </c>
      <c r="R363">
        <v>462</v>
      </c>
      <c r="S363">
        <v>986498700.90090084</v>
      </c>
      <c r="T363">
        <v>1055594284.2342342</v>
      </c>
      <c r="U363">
        <v>71479414.414414421</v>
      </c>
      <c r="V363">
        <v>93530585.585585579</v>
      </c>
      <c r="W363">
        <v>33043</v>
      </c>
      <c r="X363">
        <v>30121</v>
      </c>
    </row>
    <row r="364" spans="1:24">
      <c r="A364" s="7" t="s">
        <v>461</v>
      </c>
      <c r="B364" s="16" t="s">
        <v>459</v>
      </c>
      <c r="C364">
        <v>875733160.86343908</v>
      </c>
      <c r="D364">
        <v>892871234.08303714</v>
      </c>
      <c r="E364">
        <v>22257449.549549554</v>
      </c>
      <c r="F364">
        <v>23783271.171171177</v>
      </c>
      <c r="G364">
        <v>404</v>
      </c>
      <c r="H364">
        <v>396</v>
      </c>
      <c r="I364">
        <v>19</v>
      </c>
      <c r="J364">
        <v>25</v>
      </c>
      <c r="K364">
        <v>5</v>
      </c>
      <c r="M364">
        <v>498</v>
      </c>
      <c r="N364">
        <v>512</v>
      </c>
      <c r="O364">
        <v>929428154.95495498</v>
      </c>
      <c r="P364">
        <v>611183866.66666663</v>
      </c>
      <c r="Q364">
        <v>1358</v>
      </c>
      <c r="R364">
        <v>1334</v>
      </c>
      <c r="S364">
        <v>227271851.35135135</v>
      </c>
      <c r="T364">
        <v>249906220.72072074</v>
      </c>
      <c r="U364">
        <v>844242072.07207203</v>
      </c>
      <c r="V364">
        <v>423571936.93693697</v>
      </c>
      <c r="W364">
        <v>26159</v>
      </c>
      <c r="X364">
        <v>23028</v>
      </c>
    </row>
    <row r="365" spans="1:24">
      <c r="A365" s="7" t="s">
        <v>462</v>
      </c>
      <c r="B365" s="16" t="s">
        <v>459</v>
      </c>
      <c r="C365">
        <v>667394210.46739495</v>
      </c>
      <c r="D365">
        <v>649273622.01898849</v>
      </c>
      <c r="E365">
        <v>522432.43243243801</v>
      </c>
      <c r="F365">
        <v>3869369.3693693751</v>
      </c>
      <c r="G365">
        <v>227</v>
      </c>
      <c r="H365">
        <v>267</v>
      </c>
      <c r="I365">
        <v>22</v>
      </c>
      <c r="J365">
        <v>19</v>
      </c>
      <c r="K365">
        <v>1</v>
      </c>
      <c r="M365">
        <v>290</v>
      </c>
      <c r="N365">
        <v>322</v>
      </c>
      <c r="O365">
        <v>42459099.099099107</v>
      </c>
      <c r="P365">
        <v>129504639.63963963</v>
      </c>
      <c r="Q365">
        <v>437</v>
      </c>
      <c r="R365">
        <v>344</v>
      </c>
      <c r="S365">
        <v>147045574.77477479</v>
      </c>
      <c r="T365">
        <v>148765684.68468466</v>
      </c>
      <c r="U365">
        <v>45776486.48648648</v>
      </c>
      <c r="V365">
        <v>65023018.018018015</v>
      </c>
      <c r="W365">
        <v>19639</v>
      </c>
      <c r="X365">
        <v>18755</v>
      </c>
    </row>
    <row r="366" spans="1:24">
      <c r="A366" s="7" t="s">
        <v>463</v>
      </c>
      <c r="B366" s="16" t="s">
        <v>459</v>
      </c>
      <c r="C366">
        <v>626184745.15086222</v>
      </c>
      <c r="D366">
        <v>628679820.10831368</v>
      </c>
      <c r="E366">
        <v>1609909.909909914</v>
      </c>
      <c r="F366">
        <v>11451576.576576579</v>
      </c>
      <c r="G366">
        <v>279</v>
      </c>
      <c r="H366">
        <v>589</v>
      </c>
      <c r="I366">
        <v>29</v>
      </c>
      <c r="J366">
        <v>43</v>
      </c>
      <c r="M366">
        <v>342</v>
      </c>
      <c r="N366">
        <v>761</v>
      </c>
      <c r="O366">
        <v>48521351.351351351</v>
      </c>
      <c r="P366">
        <v>158435945.94594595</v>
      </c>
      <c r="Q366">
        <v>540</v>
      </c>
      <c r="R366">
        <v>672</v>
      </c>
      <c r="S366">
        <v>234852261.26126125</v>
      </c>
      <c r="T366">
        <v>253011700.45045045</v>
      </c>
      <c r="U366">
        <v>47374684.684684686</v>
      </c>
      <c r="V366">
        <v>116779279.27927928</v>
      </c>
      <c r="W366">
        <v>26106</v>
      </c>
      <c r="X366">
        <v>26155</v>
      </c>
    </row>
    <row r="367" spans="1:24">
      <c r="A367" s="7" t="s">
        <v>464</v>
      </c>
      <c r="B367" s="16" t="s">
        <v>459</v>
      </c>
      <c r="C367">
        <v>698703350.252828</v>
      </c>
      <c r="D367">
        <v>727516580.49301684</v>
      </c>
      <c r="E367">
        <v>1198306738.7387388</v>
      </c>
      <c r="F367">
        <v>1500872972.9729731</v>
      </c>
      <c r="G367">
        <v>340</v>
      </c>
      <c r="H367">
        <v>278</v>
      </c>
      <c r="I367">
        <v>35</v>
      </c>
      <c r="J367">
        <v>38</v>
      </c>
      <c r="M367">
        <v>406</v>
      </c>
      <c r="N367">
        <v>346</v>
      </c>
      <c r="O367">
        <v>112445000</v>
      </c>
      <c r="P367">
        <v>98505076.576576576</v>
      </c>
      <c r="Q367">
        <v>1598</v>
      </c>
      <c r="R367">
        <v>655</v>
      </c>
      <c r="S367">
        <v>306072772.97297299</v>
      </c>
      <c r="T367">
        <v>312865212.16216218</v>
      </c>
      <c r="U367">
        <v>103700450.45045045</v>
      </c>
      <c r="V367">
        <v>97353423.423423424</v>
      </c>
      <c r="W367">
        <v>27595</v>
      </c>
      <c r="X367">
        <v>30210</v>
      </c>
    </row>
    <row r="368" spans="1:24">
      <c r="A368" s="7" t="s">
        <v>465</v>
      </c>
      <c r="B368" s="16" t="s">
        <v>54</v>
      </c>
      <c r="C368">
        <v>49389508.88463854</v>
      </c>
      <c r="D368">
        <v>46934500.604440935</v>
      </c>
      <c r="E368">
        <v>22713738.738738742</v>
      </c>
      <c r="F368">
        <v>51774324.324324325</v>
      </c>
      <c r="G368">
        <v>6</v>
      </c>
      <c r="H368">
        <v>13</v>
      </c>
      <c r="I368">
        <v>1</v>
      </c>
      <c r="J368">
        <v>3</v>
      </c>
      <c r="M368">
        <v>6</v>
      </c>
      <c r="N368">
        <v>20</v>
      </c>
      <c r="O368">
        <v>6025225.2252252242</v>
      </c>
      <c r="P368">
        <v>4683603.6036036042</v>
      </c>
      <c r="Q368">
        <v>34</v>
      </c>
      <c r="R368">
        <v>23</v>
      </c>
      <c r="S368">
        <v>10193693.693693694</v>
      </c>
      <c r="T368">
        <v>10143594.594594596</v>
      </c>
      <c r="U368">
        <v>4692342.3423423423</v>
      </c>
      <c r="V368">
        <v>4678018.0180180166</v>
      </c>
      <c r="W368">
        <v>1274</v>
      </c>
      <c r="X368">
        <v>1230</v>
      </c>
    </row>
    <row r="369" spans="1:24">
      <c r="A369" s="7" t="s">
        <v>466</v>
      </c>
      <c r="B369" s="16" t="s">
        <v>87</v>
      </c>
      <c r="C369">
        <v>2084875.782874746</v>
      </c>
      <c r="D369">
        <v>1794557.2109051759</v>
      </c>
      <c r="F369">
        <v>3603603.6036036038</v>
      </c>
      <c r="O369">
        <v>163513.51351351399</v>
      </c>
      <c r="S369">
        <v>360810.810810811</v>
      </c>
      <c r="T369">
        <v>295945.94594594598</v>
      </c>
      <c r="W369">
        <v>80</v>
      </c>
      <c r="X369">
        <v>98</v>
      </c>
    </row>
    <row r="370" spans="1:24">
      <c r="A370" s="7" t="s">
        <v>467</v>
      </c>
      <c r="B370" s="16" t="s">
        <v>143</v>
      </c>
      <c r="C370">
        <v>233437519.48573473</v>
      </c>
      <c r="D370">
        <v>223645166.25767031</v>
      </c>
      <c r="E370">
        <v>70270.270270270004</v>
      </c>
      <c r="F370">
        <v>248648.64864865001</v>
      </c>
      <c r="G370">
        <v>72</v>
      </c>
      <c r="H370">
        <v>64</v>
      </c>
      <c r="I370">
        <v>2</v>
      </c>
      <c r="J370">
        <v>3</v>
      </c>
      <c r="M370">
        <v>77</v>
      </c>
      <c r="N370">
        <v>71</v>
      </c>
      <c r="O370">
        <v>14836036.036036033</v>
      </c>
      <c r="P370">
        <v>9978378.3783783801</v>
      </c>
      <c r="Q370">
        <v>44</v>
      </c>
      <c r="R370">
        <v>11</v>
      </c>
      <c r="S370">
        <v>35924891.891891889</v>
      </c>
      <c r="T370">
        <v>34169473.873873875</v>
      </c>
      <c r="U370">
        <v>12601441.441441439</v>
      </c>
      <c r="V370">
        <v>8876396.3963963967</v>
      </c>
      <c r="W370">
        <v>4820</v>
      </c>
      <c r="X370">
        <v>4908</v>
      </c>
    </row>
    <row r="371" spans="1:24">
      <c r="A371" s="7" t="s">
        <v>468</v>
      </c>
      <c r="B371" s="16" t="s">
        <v>80</v>
      </c>
      <c r="C371">
        <v>205750940.64490581</v>
      </c>
      <c r="D371">
        <v>198209016.90751401</v>
      </c>
      <c r="E371">
        <v>240315.31531531599</v>
      </c>
      <c r="F371">
        <v>85135.135135138</v>
      </c>
      <c r="G371">
        <v>35</v>
      </c>
      <c r="H371">
        <v>36</v>
      </c>
      <c r="I371">
        <v>2</v>
      </c>
      <c r="J371">
        <v>0</v>
      </c>
      <c r="M371">
        <v>39</v>
      </c>
      <c r="N371">
        <v>40</v>
      </c>
      <c r="O371">
        <v>7026036.036036036</v>
      </c>
      <c r="P371">
        <v>6056306.3063063063</v>
      </c>
      <c r="Q371">
        <v>23</v>
      </c>
      <c r="R371">
        <v>33</v>
      </c>
      <c r="S371">
        <v>76310872.072072059</v>
      </c>
      <c r="T371">
        <v>74473396.396396399</v>
      </c>
      <c r="U371">
        <v>6983243.2432432435</v>
      </c>
      <c r="V371">
        <v>5136036.036036036</v>
      </c>
      <c r="W371">
        <v>1370</v>
      </c>
      <c r="X371">
        <v>5158</v>
      </c>
    </row>
    <row r="372" spans="1:24">
      <c r="A372" s="7" t="s">
        <v>469</v>
      </c>
      <c r="B372" s="16" t="s">
        <v>470</v>
      </c>
      <c r="C372">
        <v>227106211.26643562</v>
      </c>
      <c r="D372">
        <v>233079816.08801419</v>
      </c>
      <c r="E372">
        <v>1190720.7207207209</v>
      </c>
      <c r="F372">
        <v>1617117.1171171181</v>
      </c>
      <c r="G372">
        <v>45</v>
      </c>
      <c r="H372">
        <v>22</v>
      </c>
      <c r="I372">
        <v>1</v>
      </c>
      <c r="J372">
        <v>1</v>
      </c>
      <c r="M372">
        <v>49</v>
      </c>
      <c r="N372">
        <v>24</v>
      </c>
      <c r="O372">
        <v>9227477.4774774797</v>
      </c>
      <c r="P372">
        <v>20436936.936936937</v>
      </c>
      <c r="R372">
        <v>2</v>
      </c>
      <c r="S372">
        <v>68847054.054054052</v>
      </c>
      <c r="T372">
        <v>72003882.882882878</v>
      </c>
      <c r="U372">
        <v>9960900.9009009041</v>
      </c>
      <c r="V372">
        <v>19976576.576576579</v>
      </c>
      <c r="W372">
        <v>5269</v>
      </c>
      <c r="X372">
        <v>5438</v>
      </c>
    </row>
    <row r="373" spans="1:24">
      <c r="A373" s="7" t="s">
        <v>471</v>
      </c>
      <c r="B373" s="16" t="s">
        <v>470</v>
      </c>
      <c r="C373">
        <v>21472223.91587596</v>
      </c>
      <c r="D373">
        <v>18714299.041452367</v>
      </c>
      <c r="E373">
        <v>32301126.126126129</v>
      </c>
      <c r="F373">
        <v>83330630.630630627</v>
      </c>
      <c r="G373">
        <v>4</v>
      </c>
      <c r="I373">
        <v>0</v>
      </c>
      <c r="J373">
        <v>1</v>
      </c>
      <c r="M373">
        <v>4</v>
      </c>
      <c r="N373">
        <v>1</v>
      </c>
      <c r="O373">
        <v>11684054.054054054</v>
      </c>
      <c r="P373">
        <v>3360360.3603603598</v>
      </c>
      <c r="R373">
        <v>1</v>
      </c>
      <c r="S373">
        <v>1845360.36036036</v>
      </c>
      <c r="T373">
        <v>1774369.369369369</v>
      </c>
      <c r="U373">
        <v>47567.567567568003</v>
      </c>
      <c r="V373">
        <v>2692792.7927927929</v>
      </c>
      <c r="W373">
        <v>649</v>
      </c>
      <c r="X373">
        <v>629</v>
      </c>
    </row>
    <row r="374" spans="1:24">
      <c r="A374" s="7" t="s">
        <v>472</v>
      </c>
      <c r="B374" s="16" t="s">
        <v>470</v>
      </c>
      <c r="C374">
        <v>2844629.7526600081</v>
      </c>
      <c r="D374">
        <v>2436888.7457669019</v>
      </c>
      <c r="E374">
        <v>62612507.20720721</v>
      </c>
      <c r="F374">
        <v>164208150.45045045</v>
      </c>
      <c r="H374">
        <v>1</v>
      </c>
      <c r="J374">
        <v>1</v>
      </c>
      <c r="N374">
        <v>1</v>
      </c>
      <c r="O374">
        <v>16189163.063063065</v>
      </c>
      <c r="P374">
        <v>26499695.495495494</v>
      </c>
      <c r="S374">
        <v>405630.630630631</v>
      </c>
      <c r="T374">
        <v>502972.97297297302</v>
      </c>
      <c r="U374">
        <v>232072.072072073</v>
      </c>
      <c r="V374">
        <v>2549549.5495495498</v>
      </c>
      <c r="W374">
        <v>401</v>
      </c>
      <c r="X374">
        <v>415</v>
      </c>
    </row>
    <row r="375" spans="1:24">
      <c r="A375" s="7" t="s">
        <v>473</v>
      </c>
      <c r="B375" s="16" t="s">
        <v>470</v>
      </c>
      <c r="C375">
        <v>77739472.808243945</v>
      </c>
      <c r="D375">
        <v>82381401.93538405</v>
      </c>
      <c r="E375">
        <v>370270.27027027</v>
      </c>
      <c r="F375">
        <v>422522.52252252301</v>
      </c>
      <c r="G375">
        <v>16</v>
      </c>
      <c r="H375">
        <v>11</v>
      </c>
      <c r="I375">
        <v>2</v>
      </c>
      <c r="J375">
        <v>1</v>
      </c>
      <c r="M375">
        <v>18</v>
      </c>
      <c r="N375">
        <v>12</v>
      </c>
      <c r="O375">
        <v>744684.68468468497</v>
      </c>
      <c r="P375">
        <v>25701801.801801801</v>
      </c>
      <c r="Q375">
        <v>1</v>
      </c>
      <c r="R375">
        <v>1</v>
      </c>
      <c r="S375">
        <v>10652962.162162162</v>
      </c>
      <c r="T375">
        <v>11340261.26126126</v>
      </c>
      <c r="U375">
        <v>5532162.1621621633</v>
      </c>
      <c r="V375">
        <v>15517927.927927928</v>
      </c>
      <c r="W375">
        <v>2488</v>
      </c>
      <c r="X375">
        <v>2231</v>
      </c>
    </row>
    <row r="376" spans="1:24">
      <c r="A376" s="7" t="s">
        <v>474</v>
      </c>
      <c r="B376" s="16" t="s">
        <v>470</v>
      </c>
      <c r="C376">
        <v>110905424.05746759</v>
      </c>
      <c r="D376">
        <v>115926812.39164633</v>
      </c>
      <c r="E376">
        <v>215855.855855856</v>
      </c>
      <c r="F376">
        <v>1012612.6126126139</v>
      </c>
      <c r="G376">
        <v>21</v>
      </c>
      <c r="H376">
        <v>30</v>
      </c>
      <c r="I376">
        <v>0</v>
      </c>
      <c r="J376">
        <v>3</v>
      </c>
      <c r="M376">
        <v>23</v>
      </c>
      <c r="N376">
        <v>31</v>
      </c>
      <c r="O376">
        <v>3665945.9459459479</v>
      </c>
      <c r="P376">
        <v>9120720.7207207195</v>
      </c>
      <c r="R376">
        <v>3</v>
      </c>
      <c r="S376">
        <v>25232972.972972974</v>
      </c>
      <c r="T376">
        <v>25385594.594594598</v>
      </c>
      <c r="U376">
        <v>3455405.4054054068</v>
      </c>
      <c r="V376">
        <v>9285675.6756756753</v>
      </c>
      <c r="W376">
        <v>2272</v>
      </c>
      <c r="X376">
        <v>2371</v>
      </c>
    </row>
    <row r="377" spans="1:24">
      <c r="A377" s="7" t="s">
        <v>475</v>
      </c>
      <c r="B377" s="16" t="s">
        <v>470</v>
      </c>
      <c r="C377">
        <v>43303258.708590105</v>
      </c>
      <c r="D377">
        <v>42499364.4546654</v>
      </c>
      <c r="E377">
        <v>7207.2072072069996</v>
      </c>
      <c r="F377">
        <v>336036.03603603703</v>
      </c>
      <c r="G377">
        <v>7</v>
      </c>
      <c r="H377">
        <v>4</v>
      </c>
      <c r="I377">
        <v>1</v>
      </c>
      <c r="J377">
        <v>5</v>
      </c>
      <c r="M377">
        <v>7</v>
      </c>
      <c r="N377">
        <v>4</v>
      </c>
      <c r="O377">
        <v>2546306.3063063081</v>
      </c>
      <c r="P377">
        <v>6534234.2342342362</v>
      </c>
      <c r="S377">
        <v>9718063.0630630646</v>
      </c>
      <c r="T377">
        <v>8740016.2162162177</v>
      </c>
      <c r="U377">
        <v>3314054.054054054</v>
      </c>
      <c r="V377">
        <v>6040810.81081081</v>
      </c>
      <c r="W377">
        <v>1394</v>
      </c>
      <c r="X377">
        <v>1399</v>
      </c>
    </row>
    <row r="378" spans="1:24">
      <c r="A378" s="7" t="s">
        <v>476</v>
      </c>
      <c r="B378" s="16" t="s">
        <v>470</v>
      </c>
      <c r="C378">
        <v>428681530.21646959</v>
      </c>
      <c r="D378">
        <v>439056674.00753492</v>
      </c>
      <c r="E378">
        <v>2260495.4954954991</v>
      </c>
      <c r="F378">
        <v>8820720.7207207233</v>
      </c>
      <c r="G378">
        <v>167</v>
      </c>
      <c r="H378">
        <v>180</v>
      </c>
      <c r="I378">
        <v>18</v>
      </c>
      <c r="J378">
        <v>43</v>
      </c>
      <c r="M378">
        <v>194</v>
      </c>
      <c r="N378">
        <v>300</v>
      </c>
      <c r="O378">
        <v>75922522.522522524</v>
      </c>
      <c r="P378">
        <v>121425495.49549548</v>
      </c>
      <c r="Q378">
        <v>115</v>
      </c>
      <c r="R378">
        <v>356</v>
      </c>
      <c r="S378">
        <v>105535650.45045045</v>
      </c>
      <c r="T378">
        <v>114383953.15315315</v>
      </c>
      <c r="U378">
        <v>75101891.891891882</v>
      </c>
      <c r="V378">
        <v>117328648.64864865</v>
      </c>
      <c r="W378">
        <v>15920</v>
      </c>
      <c r="X378">
        <v>16136</v>
      </c>
    </row>
    <row r="379" spans="1:24">
      <c r="A379" s="7" t="s">
        <v>477</v>
      </c>
      <c r="B379" s="16" t="s">
        <v>260</v>
      </c>
      <c r="C379">
        <v>533395256.2140255</v>
      </c>
      <c r="D379">
        <v>543279845.97575462</v>
      </c>
      <c r="E379">
        <v>836126.12612612697</v>
      </c>
      <c r="F379">
        <v>2264189.1891891891</v>
      </c>
      <c r="G379">
        <v>99</v>
      </c>
      <c r="H379">
        <v>106</v>
      </c>
      <c r="I379">
        <v>1</v>
      </c>
      <c r="J379">
        <v>5</v>
      </c>
      <c r="M379">
        <v>105</v>
      </c>
      <c r="N379">
        <v>123</v>
      </c>
      <c r="O379">
        <v>63844234.234234229</v>
      </c>
      <c r="P379">
        <v>72327927.927927926</v>
      </c>
      <c r="Q379">
        <v>140</v>
      </c>
      <c r="R379">
        <v>50</v>
      </c>
      <c r="S379">
        <v>132538459.45945945</v>
      </c>
      <c r="T379">
        <v>142341121.62162161</v>
      </c>
      <c r="U379">
        <v>66636036.036036029</v>
      </c>
      <c r="V379">
        <v>67547207.207207203</v>
      </c>
      <c r="W379">
        <v>11545</v>
      </c>
      <c r="X379">
        <v>10973</v>
      </c>
    </row>
    <row r="380" spans="1:24">
      <c r="A380" s="7" t="s">
        <v>478</v>
      </c>
      <c r="B380" s="16" t="s">
        <v>479</v>
      </c>
      <c r="C380">
        <v>43158879.465957701</v>
      </c>
      <c r="D380">
        <v>36455487.295025118</v>
      </c>
      <c r="E380">
        <v>534234.23423423397</v>
      </c>
      <c r="F380">
        <v>406306.30630630697</v>
      </c>
      <c r="G380">
        <v>15</v>
      </c>
      <c r="H380">
        <v>10</v>
      </c>
      <c r="I380">
        <v>1</v>
      </c>
      <c r="J380">
        <v>1</v>
      </c>
      <c r="M380">
        <v>15</v>
      </c>
      <c r="N380">
        <v>11</v>
      </c>
      <c r="O380">
        <v>20141441.441441439</v>
      </c>
      <c r="P380">
        <v>11525675.675675675</v>
      </c>
      <c r="Q380">
        <v>1</v>
      </c>
      <c r="S380">
        <v>10285810.810810812</v>
      </c>
      <c r="T380">
        <v>8656081.0810810812</v>
      </c>
      <c r="U380">
        <v>20327477.47747748</v>
      </c>
      <c r="V380">
        <v>11554684.684684685</v>
      </c>
      <c r="W380">
        <v>909</v>
      </c>
      <c r="X380">
        <v>764</v>
      </c>
    </row>
    <row r="381" spans="1:24">
      <c r="A381" s="7" t="s">
        <v>480</v>
      </c>
      <c r="B381" s="16" t="s">
        <v>123</v>
      </c>
      <c r="C381">
        <v>285800662.89305496</v>
      </c>
      <c r="D381">
        <v>278328218.50730169</v>
      </c>
      <c r="E381">
        <v>1474324.324324325</v>
      </c>
      <c r="F381">
        <v>1937837.83783784</v>
      </c>
      <c r="G381">
        <v>49</v>
      </c>
      <c r="H381">
        <v>57</v>
      </c>
      <c r="I381">
        <v>5</v>
      </c>
      <c r="J381">
        <v>6</v>
      </c>
      <c r="M381">
        <v>60</v>
      </c>
      <c r="N381">
        <v>61</v>
      </c>
      <c r="O381">
        <v>19397747.747747745</v>
      </c>
      <c r="P381">
        <v>15945675.675675673</v>
      </c>
      <c r="Q381">
        <v>53</v>
      </c>
      <c r="R381">
        <v>39</v>
      </c>
      <c r="S381">
        <v>106825801.8018018</v>
      </c>
      <c r="T381">
        <v>103741058.55855855</v>
      </c>
      <c r="U381">
        <v>20074594.594594598</v>
      </c>
      <c r="V381">
        <v>16255945.945945945</v>
      </c>
      <c r="W381">
        <v>5499</v>
      </c>
      <c r="X381">
        <v>5496</v>
      </c>
    </row>
    <row r="382" spans="1:24">
      <c r="A382" s="7" t="s">
        <v>481</v>
      </c>
      <c r="B382" s="16" t="s">
        <v>470</v>
      </c>
      <c r="C382">
        <v>23273397.64673556</v>
      </c>
      <c r="D382">
        <v>22037745.015445486</v>
      </c>
      <c r="E382">
        <v>24774.774774775</v>
      </c>
      <c r="F382">
        <v>88288.288288288997</v>
      </c>
      <c r="G382">
        <v>5</v>
      </c>
      <c r="H382">
        <v>3</v>
      </c>
      <c r="I382">
        <v>1</v>
      </c>
      <c r="J382">
        <v>2</v>
      </c>
      <c r="M382">
        <v>5</v>
      </c>
      <c r="N382">
        <v>4</v>
      </c>
      <c r="O382">
        <v>483333.33333333401</v>
      </c>
      <c r="P382">
        <v>1439639.63963964</v>
      </c>
      <c r="S382">
        <v>3377288.2882882878</v>
      </c>
      <c r="T382">
        <v>3436612.612612613</v>
      </c>
      <c r="U382">
        <v>748198.19819819799</v>
      </c>
      <c r="V382">
        <v>847387.38738738699</v>
      </c>
      <c r="W382">
        <v>628</v>
      </c>
      <c r="X382">
        <v>586</v>
      </c>
    </row>
    <row r="383" spans="1:24">
      <c r="A383" s="7" t="s">
        <v>669</v>
      </c>
      <c r="B383" s="16" t="s">
        <v>85</v>
      </c>
      <c r="E383">
        <v>37972297.297297299</v>
      </c>
      <c r="F383">
        <v>136013513.51351351</v>
      </c>
      <c r="O383">
        <v>4540540.5405405406</v>
      </c>
      <c r="P383">
        <v>1459459.4594594589</v>
      </c>
    </row>
    <row r="384" spans="1:24">
      <c r="A384" s="7" t="s">
        <v>482</v>
      </c>
      <c r="B384" s="16" t="s">
        <v>167</v>
      </c>
      <c r="C384">
        <v>236868927.53776881</v>
      </c>
      <c r="D384">
        <v>228832100.13284495</v>
      </c>
      <c r="E384">
        <v>364864.86486486503</v>
      </c>
      <c r="F384">
        <v>2536936.9369369391</v>
      </c>
      <c r="G384">
        <v>145</v>
      </c>
      <c r="H384">
        <v>202</v>
      </c>
      <c r="I384">
        <v>14</v>
      </c>
      <c r="J384">
        <v>8</v>
      </c>
      <c r="M384">
        <v>180</v>
      </c>
      <c r="N384">
        <v>288</v>
      </c>
      <c r="O384">
        <v>16346846.846846847</v>
      </c>
      <c r="P384">
        <v>20515352.252252255</v>
      </c>
      <c r="Q384">
        <v>122</v>
      </c>
      <c r="R384">
        <v>59</v>
      </c>
      <c r="S384">
        <v>93470356.756756753</v>
      </c>
      <c r="T384">
        <v>95786126.126126125</v>
      </c>
      <c r="U384">
        <v>17086396.396396399</v>
      </c>
      <c r="V384">
        <v>19399639.639639638</v>
      </c>
      <c r="W384">
        <v>9178</v>
      </c>
      <c r="X384">
        <v>8425</v>
      </c>
    </row>
    <row r="385" spans="1:24">
      <c r="A385" s="7" t="s">
        <v>483</v>
      </c>
      <c r="B385" s="16" t="s">
        <v>167</v>
      </c>
      <c r="C385">
        <v>233930495.6876637</v>
      </c>
      <c r="D385">
        <v>260608965.96696013</v>
      </c>
      <c r="E385">
        <v>503702269.36936933</v>
      </c>
      <c r="F385">
        <v>475801317.11711711</v>
      </c>
      <c r="G385">
        <v>287</v>
      </c>
      <c r="H385">
        <v>451</v>
      </c>
      <c r="I385">
        <v>13</v>
      </c>
      <c r="J385">
        <v>12</v>
      </c>
      <c r="M385">
        <v>418</v>
      </c>
      <c r="N385">
        <v>902</v>
      </c>
      <c r="O385">
        <v>56666216.216216214</v>
      </c>
      <c r="P385">
        <v>41853379.279279292</v>
      </c>
      <c r="Q385">
        <v>421</v>
      </c>
      <c r="R385">
        <v>34</v>
      </c>
      <c r="S385">
        <v>90989594.594594598</v>
      </c>
      <c r="T385">
        <v>98383678.378378391</v>
      </c>
      <c r="U385">
        <v>52407657.657657653</v>
      </c>
      <c r="V385">
        <v>41681034.234234244</v>
      </c>
      <c r="W385">
        <v>8915</v>
      </c>
      <c r="X385">
        <v>9764</v>
      </c>
    </row>
    <row r="386" spans="1:24">
      <c r="A386" s="7" t="s">
        <v>484</v>
      </c>
      <c r="B386" s="16" t="s">
        <v>50</v>
      </c>
      <c r="C386">
        <v>160845765.06693015</v>
      </c>
      <c r="D386">
        <v>154998040.34838945</v>
      </c>
      <c r="E386">
        <v>918558.55855856102</v>
      </c>
      <c r="F386">
        <v>2138738.7387387408</v>
      </c>
      <c r="G386">
        <v>64</v>
      </c>
      <c r="H386">
        <v>47</v>
      </c>
      <c r="I386">
        <v>9</v>
      </c>
      <c r="J386">
        <v>9</v>
      </c>
      <c r="M386">
        <v>66</v>
      </c>
      <c r="N386">
        <v>49</v>
      </c>
      <c r="O386">
        <v>38418558.558558561</v>
      </c>
      <c r="P386">
        <v>24122792.792792793</v>
      </c>
      <c r="Q386">
        <v>170</v>
      </c>
      <c r="R386">
        <v>35</v>
      </c>
      <c r="S386">
        <v>70432027.027027026</v>
      </c>
      <c r="T386">
        <v>69094646.846846849</v>
      </c>
      <c r="U386">
        <v>38430090.090090096</v>
      </c>
      <c r="V386">
        <v>24059279.27927928</v>
      </c>
      <c r="W386">
        <v>3939</v>
      </c>
      <c r="X386">
        <v>3619</v>
      </c>
    </row>
    <row r="387" spans="1:24">
      <c r="A387" s="7" t="s">
        <v>485</v>
      </c>
      <c r="B387" s="16" t="s">
        <v>134</v>
      </c>
      <c r="C387">
        <v>223370682.8887082</v>
      </c>
      <c r="D387">
        <v>208328571.63849998</v>
      </c>
      <c r="E387">
        <v>618918.91891891998</v>
      </c>
      <c r="F387">
        <v>1341441.4414414419</v>
      </c>
      <c r="G387">
        <v>56</v>
      </c>
      <c r="H387">
        <v>35</v>
      </c>
      <c r="I387">
        <v>10</v>
      </c>
      <c r="J387">
        <v>5</v>
      </c>
      <c r="M387">
        <v>63</v>
      </c>
      <c r="N387">
        <v>57</v>
      </c>
      <c r="O387">
        <v>36614414.414414413</v>
      </c>
      <c r="P387">
        <v>32277477.477477476</v>
      </c>
      <c r="Q387">
        <v>132</v>
      </c>
      <c r="R387">
        <v>123</v>
      </c>
      <c r="S387">
        <v>40537252.252252258</v>
      </c>
      <c r="T387">
        <v>40149214.414414413</v>
      </c>
      <c r="U387">
        <v>22887117.117117114</v>
      </c>
      <c r="V387">
        <v>19359099.0990991</v>
      </c>
      <c r="W387">
        <v>4600</v>
      </c>
      <c r="X387">
        <v>4553</v>
      </c>
    </row>
    <row r="388" spans="1:24">
      <c r="A388" s="7" t="s">
        <v>486</v>
      </c>
      <c r="B388" s="16" t="s">
        <v>76</v>
      </c>
      <c r="C388">
        <v>55223282.466974415</v>
      </c>
      <c r="D388">
        <v>43799717.362797931</v>
      </c>
      <c r="E388">
        <v>1511711.7117117131</v>
      </c>
      <c r="F388">
        <v>927927.92792792898</v>
      </c>
      <c r="G388">
        <v>13</v>
      </c>
      <c r="H388">
        <v>12</v>
      </c>
      <c r="I388">
        <v>2</v>
      </c>
      <c r="J388">
        <v>2</v>
      </c>
      <c r="M388">
        <v>14</v>
      </c>
      <c r="N388">
        <v>13</v>
      </c>
      <c r="O388">
        <v>21588288.288288288</v>
      </c>
      <c r="P388">
        <v>9929819.8198198192</v>
      </c>
      <c r="Q388">
        <v>8</v>
      </c>
      <c r="R388">
        <v>38</v>
      </c>
      <c r="S388">
        <v>20992761.261261258</v>
      </c>
      <c r="T388">
        <v>17872329.729729731</v>
      </c>
      <c r="U388">
        <v>21309009.009009007</v>
      </c>
      <c r="V388">
        <v>9347744.1441441458</v>
      </c>
      <c r="W388">
        <v>1447</v>
      </c>
      <c r="X388">
        <v>1457</v>
      </c>
    </row>
    <row r="389" spans="1:24">
      <c r="A389" s="7" t="s">
        <v>487</v>
      </c>
      <c r="B389" s="16" t="s">
        <v>307</v>
      </c>
      <c r="C389">
        <v>339089947.19789308</v>
      </c>
      <c r="D389">
        <v>359336795.1237188</v>
      </c>
      <c r="E389">
        <v>624324.32432432403</v>
      </c>
      <c r="F389">
        <v>3991891.8918918972</v>
      </c>
      <c r="G389">
        <v>138</v>
      </c>
      <c r="H389">
        <v>133</v>
      </c>
      <c r="I389">
        <v>3</v>
      </c>
      <c r="J389">
        <v>7</v>
      </c>
      <c r="M389">
        <v>157</v>
      </c>
      <c r="N389">
        <v>183</v>
      </c>
      <c r="O389">
        <v>50829414.414414406</v>
      </c>
      <c r="P389">
        <v>95461351.351351365</v>
      </c>
      <c r="Q389">
        <v>199</v>
      </c>
      <c r="R389">
        <v>318</v>
      </c>
      <c r="S389">
        <v>140228493.6936937</v>
      </c>
      <c r="T389">
        <v>153452459.45945945</v>
      </c>
      <c r="U389">
        <v>49662252.252252251</v>
      </c>
      <c r="V389">
        <v>78490990.990990996</v>
      </c>
      <c r="W389">
        <v>11561</v>
      </c>
      <c r="X389">
        <v>11548</v>
      </c>
    </row>
    <row r="390" spans="1:24">
      <c r="A390" s="7" t="s">
        <v>680</v>
      </c>
      <c r="B390" s="16" t="s">
        <v>181</v>
      </c>
      <c r="E390">
        <v>106058558.55855855</v>
      </c>
      <c r="F390">
        <v>47454954.954954952</v>
      </c>
      <c r="O390">
        <v>12921171.171171172</v>
      </c>
      <c r="P390">
        <v>1271171.1711711709</v>
      </c>
    </row>
    <row r="391" spans="1:24">
      <c r="A391" s="7" t="s">
        <v>488</v>
      </c>
      <c r="B391" s="16" t="s">
        <v>315</v>
      </c>
      <c r="C391">
        <v>95772344.409235552</v>
      </c>
      <c r="D391">
        <v>79887903.242412001</v>
      </c>
      <c r="E391">
        <v>41291216.216216214</v>
      </c>
      <c r="F391">
        <v>50163063.063063063</v>
      </c>
      <c r="G391">
        <v>22</v>
      </c>
      <c r="H391">
        <v>5</v>
      </c>
      <c r="I391">
        <v>2</v>
      </c>
      <c r="J391">
        <v>2</v>
      </c>
      <c r="M391">
        <v>22</v>
      </c>
      <c r="N391">
        <v>6</v>
      </c>
      <c r="O391">
        <v>56938918.918918923</v>
      </c>
      <c r="P391">
        <v>36937747.747747742</v>
      </c>
      <c r="S391">
        <v>40526693.693693697</v>
      </c>
      <c r="T391">
        <v>34284504.504504502</v>
      </c>
      <c r="U391">
        <v>50828378.378378376</v>
      </c>
      <c r="V391">
        <v>35697117.117117122</v>
      </c>
      <c r="W391">
        <v>1678</v>
      </c>
      <c r="X391">
        <v>1645</v>
      </c>
    </row>
    <row r="392" spans="1:24">
      <c r="A392" s="7" t="s">
        <v>489</v>
      </c>
      <c r="B392" s="16" t="s">
        <v>181</v>
      </c>
      <c r="C392">
        <v>197746395.45751733</v>
      </c>
      <c r="D392">
        <v>187921849.96032572</v>
      </c>
      <c r="E392">
        <v>72972.972972974996</v>
      </c>
      <c r="F392">
        <v>1258108.1081081079</v>
      </c>
      <c r="G392">
        <v>100</v>
      </c>
      <c r="H392">
        <v>92</v>
      </c>
      <c r="I392">
        <v>10</v>
      </c>
      <c r="J392">
        <v>8</v>
      </c>
      <c r="M392">
        <v>111</v>
      </c>
      <c r="N392">
        <v>142</v>
      </c>
      <c r="O392">
        <v>16477747.747747747</v>
      </c>
      <c r="P392">
        <v>12368108.108108109</v>
      </c>
      <c r="Q392">
        <v>145</v>
      </c>
      <c r="R392">
        <v>232</v>
      </c>
      <c r="S392">
        <v>52580522.522522531</v>
      </c>
      <c r="T392">
        <v>55773000</v>
      </c>
      <c r="U392">
        <v>15123423.423423424</v>
      </c>
      <c r="V392">
        <v>13123153.153153151</v>
      </c>
      <c r="W392">
        <v>6748</v>
      </c>
      <c r="X392">
        <v>6370</v>
      </c>
    </row>
    <row r="393" spans="1:24">
      <c r="A393" s="7" t="s">
        <v>490</v>
      </c>
      <c r="B393" s="16" t="s">
        <v>220</v>
      </c>
      <c r="C393">
        <v>115549960.01115389</v>
      </c>
      <c r="D393">
        <v>107938133.40368083</v>
      </c>
      <c r="E393">
        <v>8108.1081081080001</v>
      </c>
      <c r="F393">
        <v>60360.360360359999</v>
      </c>
      <c r="G393">
        <v>37</v>
      </c>
      <c r="H393">
        <v>37</v>
      </c>
      <c r="I393">
        <v>1</v>
      </c>
      <c r="J393">
        <v>2</v>
      </c>
      <c r="M393">
        <v>46</v>
      </c>
      <c r="N393">
        <v>47</v>
      </c>
      <c r="O393">
        <v>4825405.4054054068</v>
      </c>
      <c r="P393">
        <v>2269369.3693693699</v>
      </c>
      <c r="Q393">
        <v>40</v>
      </c>
      <c r="S393">
        <v>29256324.324324325</v>
      </c>
      <c r="T393">
        <v>26735493.693693694</v>
      </c>
      <c r="U393">
        <v>3529459.4594594608</v>
      </c>
      <c r="V393">
        <v>1531981.9819819829</v>
      </c>
      <c r="W393">
        <v>3886</v>
      </c>
      <c r="X393">
        <v>3959</v>
      </c>
    </row>
    <row r="394" spans="1:24">
      <c r="A394" s="7" t="s">
        <v>491</v>
      </c>
      <c r="B394" s="16" t="s">
        <v>220</v>
      </c>
      <c r="C394">
        <v>30805387.717838231</v>
      </c>
      <c r="D394">
        <v>36714585.544026852</v>
      </c>
      <c r="E394">
        <v>16216.216216217001</v>
      </c>
      <c r="F394">
        <v>429729.72972973099</v>
      </c>
      <c r="G394">
        <v>28</v>
      </c>
      <c r="H394">
        <v>20</v>
      </c>
      <c r="I394">
        <v>2</v>
      </c>
      <c r="J394">
        <v>1</v>
      </c>
      <c r="M394">
        <v>31</v>
      </c>
      <c r="N394">
        <v>22</v>
      </c>
      <c r="O394">
        <v>8927927.927927928</v>
      </c>
      <c r="P394">
        <v>15624594.594594596</v>
      </c>
      <c r="Q394">
        <v>34</v>
      </c>
      <c r="R394">
        <v>14</v>
      </c>
      <c r="S394">
        <v>10226171.17117117</v>
      </c>
      <c r="T394">
        <v>10779495.495495496</v>
      </c>
      <c r="U394">
        <v>8360720.7207207195</v>
      </c>
      <c r="V394">
        <v>14591171.171171172</v>
      </c>
      <c r="W394">
        <v>1201</v>
      </c>
      <c r="X394">
        <v>1189</v>
      </c>
    </row>
    <row r="395" spans="1:24">
      <c r="A395" s="7" t="s">
        <v>492</v>
      </c>
      <c r="B395" s="16" t="s">
        <v>60</v>
      </c>
      <c r="C395">
        <v>138460935.60146138</v>
      </c>
      <c r="D395">
        <v>123733609.60703032</v>
      </c>
      <c r="E395">
        <v>1167567.5675675699</v>
      </c>
      <c r="F395">
        <v>2830630.6306306371</v>
      </c>
      <c r="G395">
        <v>32</v>
      </c>
      <c r="H395">
        <v>26</v>
      </c>
      <c r="I395">
        <v>7</v>
      </c>
      <c r="J395">
        <v>20</v>
      </c>
      <c r="M395">
        <v>35</v>
      </c>
      <c r="N395">
        <v>78</v>
      </c>
      <c r="O395">
        <v>33398198.198198199</v>
      </c>
      <c r="P395">
        <v>28460990.990990993</v>
      </c>
      <c r="Q395">
        <v>134</v>
      </c>
      <c r="R395">
        <v>77</v>
      </c>
      <c r="S395">
        <v>59908603.603603601</v>
      </c>
      <c r="T395">
        <v>56176288.288288288</v>
      </c>
      <c r="U395">
        <v>28943603.603603605</v>
      </c>
      <c r="V395">
        <v>25530720.72072072</v>
      </c>
      <c r="W395">
        <v>3624</v>
      </c>
      <c r="X395">
        <v>3679</v>
      </c>
    </row>
    <row r="396" spans="1:24">
      <c r="A396" s="7" t="s">
        <v>493</v>
      </c>
      <c r="B396" s="16" t="s">
        <v>448</v>
      </c>
      <c r="C396">
        <v>165465844.93895966</v>
      </c>
      <c r="D396">
        <v>151765759.48093814</v>
      </c>
      <c r="E396">
        <v>104038288.2882883</v>
      </c>
      <c r="F396">
        <v>193882882.88288289</v>
      </c>
      <c r="G396">
        <v>97</v>
      </c>
      <c r="H396">
        <v>94</v>
      </c>
      <c r="I396">
        <v>9</v>
      </c>
      <c r="J396">
        <v>2</v>
      </c>
      <c r="M396">
        <v>104</v>
      </c>
      <c r="N396">
        <v>105</v>
      </c>
      <c r="O396">
        <v>20521846.846846845</v>
      </c>
      <c r="P396">
        <v>13572747.747747749</v>
      </c>
      <c r="Q396">
        <v>85</v>
      </c>
      <c r="S396">
        <v>59357378.378378376</v>
      </c>
      <c r="T396">
        <v>54452144.144144148</v>
      </c>
      <c r="U396">
        <v>17856081.081081081</v>
      </c>
      <c r="V396">
        <v>12381531.531531531</v>
      </c>
      <c r="W396">
        <v>4870</v>
      </c>
      <c r="X396">
        <v>4993</v>
      </c>
    </row>
    <row r="397" spans="1:24">
      <c r="A397" s="7" t="s">
        <v>7</v>
      </c>
      <c r="B397" s="16" t="s">
        <v>193</v>
      </c>
      <c r="C397">
        <v>119353071.93108429</v>
      </c>
      <c r="D397">
        <v>128270210.19023533</v>
      </c>
      <c r="E397">
        <v>39189.189189188997</v>
      </c>
      <c r="F397">
        <v>277477.47747747903</v>
      </c>
      <c r="G397">
        <v>31</v>
      </c>
      <c r="H397">
        <v>39</v>
      </c>
      <c r="I397">
        <v>14</v>
      </c>
      <c r="J397">
        <v>3</v>
      </c>
      <c r="M397">
        <v>34</v>
      </c>
      <c r="N397">
        <v>47</v>
      </c>
      <c r="O397">
        <v>26419369.369369373</v>
      </c>
      <c r="P397">
        <v>24680630.630630631</v>
      </c>
      <c r="Q397">
        <v>133</v>
      </c>
      <c r="R397">
        <v>154</v>
      </c>
      <c r="S397">
        <v>81841891.891891882</v>
      </c>
      <c r="T397">
        <v>89825684.684684694</v>
      </c>
      <c r="U397">
        <v>27642072.072072078</v>
      </c>
      <c r="V397">
        <v>26442072.072072074</v>
      </c>
      <c r="W397">
        <v>4761</v>
      </c>
      <c r="X397">
        <v>4915</v>
      </c>
    </row>
    <row r="398" spans="1:24">
      <c r="A398" s="7" t="s">
        <v>494</v>
      </c>
      <c r="B398" s="16" t="s">
        <v>330</v>
      </c>
      <c r="C398">
        <v>150929384.29263008</v>
      </c>
      <c r="D398">
        <v>147124905.63805747</v>
      </c>
      <c r="E398">
        <v>14414.414414413999</v>
      </c>
      <c r="F398">
        <v>288288.28828828799</v>
      </c>
      <c r="G398">
        <v>77</v>
      </c>
      <c r="H398">
        <v>75</v>
      </c>
      <c r="I398">
        <v>3</v>
      </c>
      <c r="J398">
        <v>3</v>
      </c>
      <c r="M398">
        <v>87</v>
      </c>
      <c r="N398">
        <v>92</v>
      </c>
      <c r="O398">
        <v>7924324.3243243229</v>
      </c>
      <c r="P398">
        <v>7126126.1261261264</v>
      </c>
      <c r="Q398">
        <v>122</v>
      </c>
      <c r="R398">
        <v>36</v>
      </c>
      <c r="S398">
        <v>39355045.045045048</v>
      </c>
      <c r="T398">
        <v>36785756.75675676</v>
      </c>
      <c r="U398">
        <v>7519369.369369369</v>
      </c>
      <c r="V398">
        <v>6084774.774774774</v>
      </c>
      <c r="W398">
        <v>5886</v>
      </c>
      <c r="X398">
        <v>6132</v>
      </c>
    </row>
    <row r="399" spans="1:24">
      <c r="A399" s="7" t="s">
        <v>495</v>
      </c>
      <c r="B399" s="16" t="s">
        <v>330</v>
      </c>
      <c r="C399">
        <v>259205293.05224985</v>
      </c>
      <c r="D399">
        <v>250700798.06191826</v>
      </c>
      <c r="E399">
        <v>56756.756756757</v>
      </c>
      <c r="F399">
        <v>1052027.02702703</v>
      </c>
      <c r="G399">
        <v>91</v>
      </c>
      <c r="H399">
        <v>112</v>
      </c>
      <c r="I399">
        <v>4</v>
      </c>
      <c r="J399">
        <v>9</v>
      </c>
      <c r="M399">
        <v>106</v>
      </c>
      <c r="N399">
        <v>135</v>
      </c>
      <c r="O399">
        <v>7773063.0630630618</v>
      </c>
      <c r="P399">
        <v>7967567.5675675683</v>
      </c>
      <c r="Q399">
        <v>163</v>
      </c>
      <c r="R399">
        <v>51</v>
      </c>
      <c r="S399">
        <v>53811063.063063063</v>
      </c>
      <c r="T399">
        <v>58917301.801801801</v>
      </c>
      <c r="U399">
        <v>7918018.0180180185</v>
      </c>
      <c r="V399">
        <v>9168738.7387387399</v>
      </c>
      <c r="W399">
        <v>8302</v>
      </c>
      <c r="X399">
        <v>6924</v>
      </c>
    </row>
    <row r="400" spans="1:24">
      <c r="A400" s="7" t="s">
        <v>496</v>
      </c>
      <c r="B400" s="16" t="s">
        <v>330</v>
      </c>
      <c r="C400">
        <v>262528879.06739375</v>
      </c>
      <c r="D400">
        <v>252338125.23626217</v>
      </c>
      <c r="E400">
        <v>1178153.1531531559</v>
      </c>
      <c r="F400">
        <v>3667342.3423423441</v>
      </c>
      <c r="G400">
        <v>128</v>
      </c>
      <c r="H400">
        <v>117</v>
      </c>
      <c r="I400">
        <v>14</v>
      </c>
      <c r="J400">
        <v>14</v>
      </c>
      <c r="M400">
        <v>156</v>
      </c>
      <c r="N400">
        <v>148</v>
      </c>
      <c r="O400">
        <v>24904144.144144144</v>
      </c>
      <c r="P400">
        <v>33943243.243243247</v>
      </c>
      <c r="Q400">
        <v>230</v>
      </c>
      <c r="R400">
        <v>82</v>
      </c>
      <c r="S400">
        <v>55732486.486486487</v>
      </c>
      <c r="T400">
        <v>56526342.342342347</v>
      </c>
      <c r="U400">
        <v>24292162.162162162</v>
      </c>
      <c r="V400">
        <v>34313063.063063063</v>
      </c>
      <c r="W400">
        <v>8725</v>
      </c>
      <c r="X400">
        <v>9302</v>
      </c>
    </row>
    <row r="401" spans="1:24">
      <c r="A401" s="7" t="s">
        <v>497</v>
      </c>
      <c r="B401" s="16" t="s">
        <v>330</v>
      </c>
      <c r="C401">
        <v>1141516934.0727122</v>
      </c>
      <c r="D401">
        <v>975865908.79133201</v>
      </c>
      <c r="E401">
        <v>910065013.51351345</v>
      </c>
      <c r="F401">
        <v>1005729374.7747748</v>
      </c>
      <c r="G401">
        <v>498</v>
      </c>
      <c r="H401">
        <v>713</v>
      </c>
      <c r="I401">
        <v>30</v>
      </c>
      <c r="J401">
        <v>40</v>
      </c>
      <c r="K401">
        <v>41</v>
      </c>
      <c r="M401">
        <v>642</v>
      </c>
      <c r="N401">
        <v>975</v>
      </c>
      <c r="O401">
        <v>245742972.97297296</v>
      </c>
      <c r="P401">
        <v>217681817.11711711</v>
      </c>
      <c r="Q401">
        <v>664</v>
      </c>
      <c r="R401">
        <v>214</v>
      </c>
      <c r="S401">
        <v>264261900.9009009</v>
      </c>
      <c r="T401">
        <v>202238360.36036035</v>
      </c>
      <c r="U401">
        <v>158610720.72072074</v>
      </c>
      <c r="V401">
        <v>154723783.78378376</v>
      </c>
      <c r="W401">
        <v>29850</v>
      </c>
      <c r="X401">
        <v>28357</v>
      </c>
    </row>
    <row r="402" spans="1:24">
      <c r="A402" s="7" t="s">
        <v>498</v>
      </c>
      <c r="B402" s="16" t="s">
        <v>330</v>
      </c>
      <c r="C402">
        <v>829012204.95147896</v>
      </c>
      <c r="D402">
        <v>765229641.77622271</v>
      </c>
      <c r="E402">
        <v>74179909.909909919</v>
      </c>
      <c r="F402">
        <v>190482432.43243244</v>
      </c>
      <c r="G402">
        <v>269</v>
      </c>
      <c r="H402">
        <v>308</v>
      </c>
      <c r="I402">
        <v>29</v>
      </c>
      <c r="J402">
        <v>27</v>
      </c>
      <c r="K402">
        <v>1</v>
      </c>
      <c r="M402">
        <v>322</v>
      </c>
      <c r="N402">
        <v>362</v>
      </c>
      <c r="O402">
        <v>178072702.7027027</v>
      </c>
      <c r="P402">
        <v>169400450.45045045</v>
      </c>
      <c r="Q402">
        <v>760</v>
      </c>
      <c r="R402">
        <v>167</v>
      </c>
      <c r="S402">
        <v>199860180.18018019</v>
      </c>
      <c r="T402">
        <v>192010930.18018019</v>
      </c>
      <c r="U402">
        <v>167982342.34234235</v>
      </c>
      <c r="V402">
        <v>168925135.13513514</v>
      </c>
      <c r="W402">
        <v>27106</v>
      </c>
      <c r="X402">
        <v>26503</v>
      </c>
    </row>
    <row r="403" spans="1:24">
      <c r="A403" s="7" t="s">
        <v>499</v>
      </c>
      <c r="B403" s="16" t="s">
        <v>143</v>
      </c>
      <c r="C403">
        <v>345168146.52581573</v>
      </c>
      <c r="D403">
        <v>324585179.2204864</v>
      </c>
      <c r="E403">
        <v>282657.65765766002</v>
      </c>
      <c r="F403">
        <v>1202927.9279279299</v>
      </c>
      <c r="G403">
        <v>243</v>
      </c>
      <c r="H403">
        <v>126</v>
      </c>
      <c r="I403">
        <v>18</v>
      </c>
      <c r="J403">
        <v>13</v>
      </c>
      <c r="M403">
        <v>264</v>
      </c>
      <c r="N403">
        <v>225</v>
      </c>
      <c r="O403">
        <v>29865225.225225225</v>
      </c>
      <c r="P403">
        <v>31924324.324324321</v>
      </c>
      <c r="Q403">
        <v>181</v>
      </c>
      <c r="R403">
        <v>117</v>
      </c>
      <c r="S403">
        <v>49814951.351351351</v>
      </c>
      <c r="T403">
        <v>52099016.216216214</v>
      </c>
      <c r="U403">
        <v>19106936.936936937</v>
      </c>
      <c r="V403">
        <v>20026036.036036037</v>
      </c>
      <c r="W403">
        <v>8553</v>
      </c>
      <c r="X403">
        <v>8895</v>
      </c>
    </row>
    <row r="404" spans="1:24">
      <c r="A404" s="7" t="s">
        <v>500</v>
      </c>
      <c r="B404" s="16" t="s">
        <v>220</v>
      </c>
      <c r="C404">
        <v>390683742.81005335</v>
      </c>
      <c r="D404">
        <v>384860671.64125812</v>
      </c>
      <c r="E404">
        <v>544933909.90990984</v>
      </c>
      <c r="F404">
        <v>470940212.61261261</v>
      </c>
      <c r="G404">
        <v>157</v>
      </c>
      <c r="H404">
        <v>165</v>
      </c>
      <c r="I404">
        <v>20</v>
      </c>
      <c r="J404">
        <v>14</v>
      </c>
      <c r="K404">
        <v>1</v>
      </c>
      <c r="M404">
        <v>195</v>
      </c>
      <c r="N404">
        <v>213</v>
      </c>
      <c r="O404">
        <v>159342882.88288289</v>
      </c>
      <c r="P404">
        <v>175432162.16216215</v>
      </c>
      <c r="Q404">
        <v>473</v>
      </c>
      <c r="R404">
        <v>149</v>
      </c>
      <c r="S404">
        <v>115547396.3963964</v>
      </c>
      <c r="T404">
        <v>116714657.65765767</v>
      </c>
      <c r="U404">
        <v>78976216.216216221</v>
      </c>
      <c r="V404">
        <v>159504864.86486486</v>
      </c>
      <c r="W404">
        <v>11606</v>
      </c>
      <c r="X404">
        <v>13444</v>
      </c>
    </row>
    <row r="405" spans="1:24">
      <c r="A405" s="7" t="s">
        <v>501</v>
      </c>
      <c r="B405" s="16" t="s">
        <v>397</v>
      </c>
      <c r="C405">
        <v>1061696179.7745878</v>
      </c>
      <c r="D405">
        <v>1094159518.8375044</v>
      </c>
      <c r="E405">
        <v>337508038.73873878</v>
      </c>
      <c r="F405">
        <v>8888831.531531537</v>
      </c>
      <c r="G405">
        <v>356</v>
      </c>
      <c r="H405">
        <v>338</v>
      </c>
      <c r="I405">
        <v>26</v>
      </c>
      <c r="J405">
        <v>58</v>
      </c>
      <c r="M405">
        <v>405</v>
      </c>
      <c r="N405">
        <v>450</v>
      </c>
      <c r="O405">
        <v>141035810.8108108</v>
      </c>
      <c r="P405">
        <v>118614639.63963965</v>
      </c>
      <c r="Q405">
        <v>1013</v>
      </c>
      <c r="R405">
        <v>417</v>
      </c>
      <c r="S405">
        <v>221895005.4054054</v>
      </c>
      <c r="T405">
        <v>232313903.6036036</v>
      </c>
      <c r="U405">
        <v>128490765.76576577</v>
      </c>
      <c r="V405">
        <v>111644639.63963965</v>
      </c>
      <c r="W405">
        <v>26797</v>
      </c>
      <c r="X405">
        <v>27041</v>
      </c>
    </row>
    <row r="406" spans="1:24">
      <c r="A406" s="7" t="s">
        <v>502</v>
      </c>
      <c r="B406" s="16" t="s">
        <v>70</v>
      </c>
      <c r="C406">
        <v>16420911.364340248</v>
      </c>
      <c r="D406">
        <v>16681278.072448296</v>
      </c>
      <c r="E406">
        <v>77027.027027026998</v>
      </c>
      <c r="F406">
        <v>211711.71171171201</v>
      </c>
      <c r="G406">
        <v>7</v>
      </c>
      <c r="H406">
        <v>6</v>
      </c>
      <c r="J406">
        <v>1</v>
      </c>
      <c r="M406">
        <v>8</v>
      </c>
      <c r="N406">
        <v>8</v>
      </c>
      <c r="O406">
        <v>576576.57657657703</v>
      </c>
      <c r="P406">
        <v>941441.441441442</v>
      </c>
      <c r="Q406">
        <v>1</v>
      </c>
      <c r="R406">
        <v>51</v>
      </c>
      <c r="S406">
        <v>11876711.711711712</v>
      </c>
      <c r="T406">
        <v>11758369.369369367</v>
      </c>
      <c r="U406">
        <v>2044594.5945945941</v>
      </c>
      <c r="V406">
        <v>765135.13513513503</v>
      </c>
      <c r="W406">
        <v>687</v>
      </c>
      <c r="X406">
        <v>702</v>
      </c>
    </row>
    <row r="407" spans="1:24">
      <c r="A407" s="7" t="s">
        <v>503</v>
      </c>
      <c r="B407" s="16" t="s">
        <v>330</v>
      </c>
      <c r="C407">
        <v>456934508.71630418</v>
      </c>
      <c r="D407">
        <v>457934970.22149944</v>
      </c>
      <c r="E407">
        <v>1828828.828828831</v>
      </c>
      <c r="F407">
        <v>3477252.252252256</v>
      </c>
      <c r="G407">
        <v>155</v>
      </c>
      <c r="H407">
        <v>182</v>
      </c>
      <c r="I407">
        <v>10</v>
      </c>
      <c r="J407">
        <v>18</v>
      </c>
      <c r="M407">
        <v>181</v>
      </c>
      <c r="N407">
        <v>224</v>
      </c>
      <c r="O407">
        <v>44109909.909909904</v>
      </c>
      <c r="P407">
        <v>50014414.414414413</v>
      </c>
      <c r="Q407">
        <v>412</v>
      </c>
      <c r="R407">
        <v>140</v>
      </c>
      <c r="S407">
        <v>124344809.009009</v>
      </c>
      <c r="T407">
        <v>119395695.94594595</v>
      </c>
      <c r="U407">
        <v>41647927.927927926</v>
      </c>
      <c r="V407">
        <v>49335945.945945941</v>
      </c>
      <c r="W407">
        <v>15898</v>
      </c>
      <c r="X407">
        <v>15911</v>
      </c>
    </row>
    <row r="408" spans="1:24">
      <c r="A408" s="7" t="s">
        <v>504</v>
      </c>
      <c r="B408" s="16" t="s">
        <v>283</v>
      </c>
      <c r="C408">
        <v>143234976.33139279</v>
      </c>
      <c r="D408">
        <v>141386197.86589259</v>
      </c>
      <c r="E408">
        <v>299099.099099099</v>
      </c>
      <c r="F408">
        <v>290990.99099099101</v>
      </c>
      <c r="G408">
        <v>55</v>
      </c>
      <c r="H408">
        <v>24</v>
      </c>
      <c r="I408">
        <v>1</v>
      </c>
      <c r="J408">
        <v>2</v>
      </c>
      <c r="M408">
        <v>58</v>
      </c>
      <c r="N408">
        <v>26</v>
      </c>
      <c r="O408">
        <v>8979279.2792792786</v>
      </c>
      <c r="P408">
        <v>13191891.891891891</v>
      </c>
      <c r="Q408">
        <v>50</v>
      </c>
      <c r="S408">
        <v>26295090.090090092</v>
      </c>
      <c r="T408">
        <v>25223675.675675675</v>
      </c>
      <c r="U408">
        <v>10536936.936936935</v>
      </c>
      <c r="V408">
        <v>11795585.585585587</v>
      </c>
      <c r="W408">
        <v>3098</v>
      </c>
      <c r="X408">
        <v>3031</v>
      </c>
    </row>
    <row r="409" spans="1:24">
      <c r="A409" s="7" t="s">
        <v>505</v>
      </c>
      <c r="B409" s="16" t="s">
        <v>260</v>
      </c>
      <c r="C409">
        <v>84620889.763260916</v>
      </c>
      <c r="D409">
        <v>86279292.050017431</v>
      </c>
      <c r="E409">
        <v>9009.0090090089998</v>
      </c>
      <c r="F409">
        <v>54954.954954954999</v>
      </c>
      <c r="G409">
        <v>3</v>
      </c>
      <c r="H409">
        <v>3</v>
      </c>
      <c r="I409">
        <v>1</v>
      </c>
      <c r="J409">
        <v>1</v>
      </c>
      <c r="K409">
        <v>1</v>
      </c>
      <c r="M409">
        <v>4</v>
      </c>
      <c r="N409">
        <v>5</v>
      </c>
      <c r="O409">
        <v>1360360.36036036</v>
      </c>
      <c r="P409">
        <v>1856756.7567567569</v>
      </c>
      <c r="R409">
        <v>3</v>
      </c>
      <c r="S409">
        <v>19435270.270270273</v>
      </c>
      <c r="T409">
        <v>19067063.063063063</v>
      </c>
      <c r="U409">
        <v>1118918.9189189191</v>
      </c>
      <c r="V409">
        <v>1362162.1621621619</v>
      </c>
      <c r="W409">
        <v>2078</v>
      </c>
      <c r="X409">
        <v>2097</v>
      </c>
    </row>
    <row r="410" spans="1:24">
      <c r="A410" s="7" t="s">
        <v>506</v>
      </c>
      <c r="B410" s="16" t="s">
        <v>236</v>
      </c>
      <c r="C410">
        <v>222075373.21471766</v>
      </c>
      <c r="D410">
        <v>212240950.70117852</v>
      </c>
      <c r="E410">
        <v>409549.54954955098</v>
      </c>
      <c r="F410">
        <v>627477.47747747903</v>
      </c>
      <c r="G410">
        <v>63</v>
      </c>
      <c r="H410">
        <v>28</v>
      </c>
      <c r="I410">
        <v>9</v>
      </c>
      <c r="J410">
        <v>14</v>
      </c>
      <c r="M410">
        <v>102</v>
      </c>
      <c r="N410">
        <v>87</v>
      </c>
      <c r="O410">
        <v>41237477.477477483</v>
      </c>
      <c r="P410">
        <v>44237477.477477469</v>
      </c>
      <c r="Q410">
        <v>42</v>
      </c>
      <c r="R410">
        <v>19</v>
      </c>
      <c r="S410">
        <v>49108175.675675675</v>
      </c>
      <c r="T410">
        <v>47105549.54954955</v>
      </c>
      <c r="U410">
        <v>38874594.59459459</v>
      </c>
      <c r="V410">
        <v>45007477.477477483</v>
      </c>
      <c r="W410">
        <v>4794</v>
      </c>
      <c r="X410">
        <v>4440</v>
      </c>
    </row>
    <row r="411" spans="1:24">
      <c r="A411" s="7" t="s">
        <v>507</v>
      </c>
      <c r="B411" s="16" t="s">
        <v>134</v>
      </c>
      <c r="C411">
        <v>34545733.432468578</v>
      </c>
      <c r="D411">
        <v>23088894.455446169</v>
      </c>
      <c r="G411">
        <v>1</v>
      </c>
      <c r="I411">
        <v>0</v>
      </c>
      <c r="M411">
        <v>1</v>
      </c>
      <c r="O411">
        <v>45045.045045045001</v>
      </c>
      <c r="Q411">
        <v>5</v>
      </c>
      <c r="S411">
        <v>5471576.5765765766</v>
      </c>
      <c r="T411">
        <v>3801432.4324324322</v>
      </c>
      <c r="U411">
        <v>45045.045045045001</v>
      </c>
      <c r="W411">
        <v>1282</v>
      </c>
      <c r="X411">
        <v>1279</v>
      </c>
    </row>
    <row r="412" spans="1:24">
      <c r="A412" s="7" t="s">
        <v>508</v>
      </c>
      <c r="B412" s="16" t="s">
        <v>397</v>
      </c>
      <c r="C412">
        <v>226089090.74795973</v>
      </c>
      <c r="D412">
        <v>221672875.02311862</v>
      </c>
      <c r="E412">
        <v>66800675.675675675</v>
      </c>
      <c r="F412">
        <v>52854054.054054059</v>
      </c>
      <c r="G412">
        <v>42</v>
      </c>
      <c r="H412">
        <v>37</v>
      </c>
      <c r="I412">
        <v>2</v>
      </c>
      <c r="J412">
        <v>9</v>
      </c>
      <c r="M412">
        <v>54</v>
      </c>
      <c r="N412">
        <v>69</v>
      </c>
      <c r="O412">
        <v>27571396.396396399</v>
      </c>
      <c r="P412">
        <v>24771621.62162162</v>
      </c>
      <c r="Q412">
        <v>83</v>
      </c>
      <c r="R412">
        <v>219</v>
      </c>
      <c r="S412">
        <v>31832207.207207207</v>
      </c>
      <c r="T412">
        <v>34801234.234234236</v>
      </c>
      <c r="U412">
        <v>17867972.972972974</v>
      </c>
      <c r="V412">
        <v>23809189.189189188</v>
      </c>
      <c r="W412">
        <v>4526</v>
      </c>
      <c r="X412">
        <v>4449</v>
      </c>
    </row>
    <row r="413" spans="1:24">
      <c r="A413" s="7" t="s">
        <v>509</v>
      </c>
      <c r="B413" s="16" t="s">
        <v>134</v>
      </c>
      <c r="C413">
        <v>247088137.11256924</v>
      </c>
      <c r="D413">
        <v>247370315.22944283</v>
      </c>
      <c r="E413">
        <v>1343918.9189189209</v>
      </c>
      <c r="F413">
        <v>1460360.3603603649</v>
      </c>
      <c r="G413">
        <v>75</v>
      </c>
      <c r="H413">
        <v>61</v>
      </c>
      <c r="I413">
        <v>16</v>
      </c>
      <c r="J413">
        <v>11</v>
      </c>
      <c r="K413">
        <v>2</v>
      </c>
      <c r="M413">
        <v>77</v>
      </c>
      <c r="N413">
        <v>72</v>
      </c>
      <c r="O413">
        <v>32387387.387387384</v>
      </c>
      <c r="P413">
        <v>24807207.207207207</v>
      </c>
      <c r="Q413">
        <v>267</v>
      </c>
      <c r="R413">
        <v>13</v>
      </c>
      <c r="S413">
        <v>42234741.441441439</v>
      </c>
      <c r="T413">
        <v>39893213.963963963</v>
      </c>
      <c r="U413">
        <v>23074864.864864863</v>
      </c>
      <c r="V413">
        <v>19418648.648648649</v>
      </c>
      <c r="W413">
        <v>5671</v>
      </c>
      <c r="X413">
        <v>5536</v>
      </c>
    </row>
    <row r="414" spans="1:24">
      <c r="A414" s="7" t="s">
        <v>510</v>
      </c>
      <c r="B414" s="16" t="s">
        <v>134</v>
      </c>
      <c r="C414">
        <v>677824579.46434319</v>
      </c>
      <c r="D414">
        <v>678121320.93358505</v>
      </c>
      <c r="E414">
        <v>201537832.43243244</v>
      </c>
      <c r="F414">
        <v>221949051.35135135</v>
      </c>
      <c r="G414">
        <v>271</v>
      </c>
      <c r="H414">
        <v>144</v>
      </c>
      <c r="I414">
        <v>31</v>
      </c>
      <c r="J414">
        <v>23</v>
      </c>
      <c r="K414">
        <v>10</v>
      </c>
      <c r="M414">
        <v>325</v>
      </c>
      <c r="N414">
        <v>206</v>
      </c>
      <c r="O414">
        <v>79301171.171171173</v>
      </c>
      <c r="P414">
        <v>84883783.783783793</v>
      </c>
      <c r="Q414">
        <v>455</v>
      </c>
      <c r="R414">
        <v>298</v>
      </c>
      <c r="S414">
        <v>73074198.198198199</v>
      </c>
      <c r="T414">
        <v>70964306.306306303</v>
      </c>
      <c r="U414">
        <v>51124954.954954952</v>
      </c>
      <c r="V414">
        <v>47649639.639639638</v>
      </c>
      <c r="W414">
        <v>16174</v>
      </c>
      <c r="X414">
        <v>16504</v>
      </c>
    </row>
    <row r="415" spans="1:24">
      <c r="A415" s="7" t="s">
        <v>8</v>
      </c>
      <c r="B415" s="16" t="s">
        <v>158</v>
      </c>
      <c r="C415">
        <v>179204109.95264807</v>
      </c>
      <c r="D415">
        <v>176960980.44488326</v>
      </c>
      <c r="E415">
        <v>1923423.423423426</v>
      </c>
      <c r="F415">
        <v>3286486.486486488</v>
      </c>
      <c r="G415">
        <v>17</v>
      </c>
      <c r="H415">
        <v>7</v>
      </c>
      <c r="I415">
        <v>9</v>
      </c>
      <c r="J415">
        <v>6</v>
      </c>
      <c r="M415">
        <v>18</v>
      </c>
      <c r="N415">
        <v>9</v>
      </c>
      <c r="O415">
        <v>28427477.477477476</v>
      </c>
      <c r="P415">
        <v>23289189.189189192</v>
      </c>
      <c r="Q415">
        <v>98</v>
      </c>
      <c r="R415">
        <v>51</v>
      </c>
      <c r="S415">
        <v>52375945.945945941</v>
      </c>
      <c r="T415">
        <v>51591144.144144148</v>
      </c>
      <c r="U415">
        <v>24618738.738738734</v>
      </c>
      <c r="V415">
        <v>21432162.162162159</v>
      </c>
      <c r="W415">
        <v>3560</v>
      </c>
      <c r="X415">
        <v>3835</v>
      </c>
    </row>
    <row r="416" spans="1:24">
      <c r="A416" s="7" t="s">
        <v>511</v>
      </c>
      <c r="B416" s="16" t="s">
        <v>134</v>
      </c>
      <c r="C416">
        <v>112762317.86176963</v>
      </c>
      <c r="D416">
        <v>129076024.37946418</v>
      </c>
      <c r="E416">
        <v>274774.77477477503</v>
      </c>
      <c r="F416">
        <v>522522.52252252301</v>
      </c>
      <c r="G416">
        <v>33</v>
      </c>
      <c r="H416">
        <v>10</v>
      </c>
      <c r="I416">
        <v>3</v>
      </c>
      <c r="J416">
        <v>2</v>
      </c>
      <c r="M416">
        <v>90</v>
      </c>
      <c r="N416">
        <v>11</v>
      </c>
      <c r="O416">
        <v>3247747.7477477482</v>
      </c>
      <c r="P416">
        <v>5927927.927927929</v>
      </c>
      <c r="Q416">
        <v>33</v>
      </c>
      <c r="R416">
        <v>10</v>
      </c>
      <c r="S416">
        <v>15742558.558558561</v>
      </c>
      <c r="T416">
        <v>18834837.837837841</v>
      </c>
      <c r="U416">
        <v>3407657.6576576568</v>
      </c>
      <c r="V416">
        <v>3919819.8198198201</v>
      </c>
      <c r="W416">
        <v>3706</v>
      </c>
      <c r="X416">
        <v>3850</v>
      </c>
    </row>
    <row r="417" spans="1:24">
      <c r="A417" s="7" t="s">
        <v>512</v>
      </c>
      <c r="B417" s="16" t="s">
        <v>62</v>
      </c>
      <c r="C417">
        <v>580833812.24018729</v>
      </c>
      <c r="D417">
        <v>560439718.84840846</v>
      </c>
      <c r="E417">
        <v>3004504.504504506</v>
      </c>
      <c r="F417">
        <v>3276576.5765765812</v>
      </c>
      <c r="G417">
        <v>136</v>
      </c>
      <c r="H417">
        <v>151</v>
      </c>
      <c r="I417">
        <v>4</v>
      </c>
      <c r="J417">
        <v>19</v>
      </c>
      <c r="M417">
        <v>152</v>
      </c>
      <c r="N417">
        <v>220</v>
      </c>
      <c r="O417">
        <v>23627027.027027026</v>
      </c>
      <c r="P417">
        <v>39758648.648648657</v>
      </c>
      <c r="Q417">
        <v>72</v>
      </c>
      <c r="R417">
        <v>178</v>
      </c>
      <c r="S417">
        <v>109518855.85585585</v>
      </c>
      <c r="T417">
        <v>117136272.97297297</v>
      </c>
      <c r="U417">
        <v>23590090.090090092</v>
      </c>
      <c r="V417">
        <v>36973333.333333336</v>
      </c>
      <c r="W417">
        <v>14386</v>
      </c>
      <c r="X417">
        <v>14295</v>
      </c>
    </row>
    <row r="418" spans="1:24">
      <c r="A418" s="7" t="s">
        <v>681</v>
      </c>
      <c r="B418" s="16" t="s">
        <v>105</v>
      </c>
      <c r="E418">
        <v>47905405.40540541</v>
      </c>
      <c r="F418">
        <v>1801801.8018018019</v>
      </c>
      <c r="O418">
        <v>336936.93693693698</v>
      </c>
      <c r="P418">
        <v>467567.56756756798</v>
      </c>
    </row>
    <row r="419" spans="1:24">
      <c r="A419" s="7" t="s">
        <v>513</v>
      </c>
      <c r="B419" s="16" t="s">
        <v>117</v>
      </c>
      <c r="C419">
        <v>67706447.101888478</v>
      </c>
      <c r="D419">
        <v>57848469.424368627</v>
      </c>
      <c r="E419">
        <v>14414.414414416</v>
      </c>
      <c r="F419">
        <v>268468.468468468</v>
      </c>
      <c r="G419">
        <v>80</v>
      </c>
      <c r="H419">
        <v>27</v>
      </c>
      <c r="I419">
        <v>4</v>
      </c>
      <c r="J419">
        <v>3</v>
      </c>
      <c r="M419">
        <v>82</v>
      </c>
      <c r="N419">
        <v>27</v>
      </c>
      <c r="O419">
        <v>3275855.8558558561</v>
      </c>
      <c r="P419">
        <v>2217387.3873873879</v>
      </c>
      <c r="Q419">
        <v>38</v>
      </c>
      <c r="R419">
        <v>1</v>
      </c>
      <c r="S419">
        <v>32621846.846846849</v>
      </c>
      <c r="T419">
        <v>24654702.702702705</v>
      </c>
      <c r="U419">
        <v>3041171.1711711702</v>
      </c>
      <c r="V419">
        <v>1707027.0270270291</v>
      </c>
      <c r="W419">
        <v>2207</v>
      </c>
      <c r="X419">
        <v>2000</v>
      </c>
    </row>
    <row r="420" spans="1:24">
      <c r="A420" s="7" t="s">
        <v>514</v>
      </c>
      <c r="B420" s="16" t="s">
        <v>304</v>
      </c>
      <c r="C420">
        <v>113436633.64850128</v>
      </c>
      <c r="D420">
        <v>105485127.03143503</v>
      </c>
      <c r="E420">
        <v>291891.89189189201</v>
      </c>
      <c r="F420">
        <v>1468468.4684684691</v>
      </c>
      <c r="G420">
        <v>38</v>
      </c>
      <c r="H420">
        <v>57</v>
      </c>
      <c r="I420">
        <v>5</v>
      </c>
      <c r="J420">
        <v>12</v>
      </c>
      <c r="M420">
        <v>41</v>
      </c>
      <c r="N420">
        <v>60</v>
      </c>
      <c r="O420">
        <v>2679279.2792792791</v>
      </c>
      <c r="P420">
        <v>9823873.8738738745</v>
      </c>
      <c r="Q420">
        <v>79</v>
      </c>
      <c r="R420">
        <v>18</v>
      </c>
      <c r="S420">
        <v>9653378.3783783801</v>
      </c>
      <c r="T420">
        <v>10602792.792792792</v>
      </c>
      <c r="U420">
        <v>3612162.1621621619</v>
      </c>
      <c r="V420">
        <v>9895225.2252252251</v>
      </c>
      <c r="W420">
        <v>1577</v>
      </c>
      <c r="X420">
        <v>1490</v>
      </c>
    </row>
    <row r="421" spans="1:24">
      <c r="A421" s="7" t="s">
        <v>515</v>
      </c>
      <c r="B421" s="16" t="s">
        <v>304</v>
      </c>
      <c r="C421">
        <v>32691716.28656619</v>
      </c>
      <c r="D421">
        <v>28161506.688287448</v>
      </c>
      <c r="E421">
        <v>64029483.783783786</v>
      </c>
      <c r="F421">
        <v>89453826.126126125</v>
      </c>
      <c r="G421">
        <v>8</v>
      </c>
      <c r="H421">
        <v>6</v>
      </c>
      <c r="I421">
        <v>3</v>
      </c>
      <c r="J421">
        <v>6</v>
      </c>
      <c r="M421">
        <v>8</v>
      </c>
      <c r="N421">
        <v>8</v>
      </c>
      <c r="O421">
        <v>35461621.621621624</v>
      </c>
      <c r="P421">
        <v>3597297.2972972961</v>
      </c>
      <c r="Q421">
        <v>28</v>
      </c>
      <c r="R421">
        <v>28</v>
      </c>
      <c r="S421">
        <v>4787477.4774774779</v>
      </c>
      <c r="T421">
        <v>4343342.3423423423</v>
      </c>
      <c r="U421">
        <v>4111261.2612612601</v>
      </c>
      <c r="V421">
        <v>2437207.2072072062</v>
      </c>
      <c r="W421">
        <v>620</v>
      </c>
      <c r="X421">
        <v>599</v>
      </c>
    </row>
    <row r="422" spans="1:24">
      <c r="A422" s="7" t="s">
        <v>516</v>
      </c>
      <c r="B422" s="16" t="s">
        <v>304</v>
      </c>
      <c r="C422">
        <v>60896551.146531485</v>
      </c>
      <c r="D422">
        <v>63725553.135229938</v>
      </c>
      <c r="E422">
        <v>18558.558558559002</v>
      </c>
      <c r="F422">
        <v>683783.78378378297</v>
      </c>
      <c r="G422">
        <v>27</v>
      </c>
      <c r="H422">
        <v>32</v>
      </c>
      <c r="I422">
        <v>2</v>
      </c>
      <c r="J422">
        <v>11</v>
      </c>
      <c r="M422">
        <v>31</v>
      </c>
      <c r="N422">
        <v>35</v>
      </c>
      <c r="O422">
        <v>4928468.4684684668</v>
      </c>
      <c r="P422">
        <v>3366666.666666666</v>
      </c>
      <c r="Q422">
        <v>47</v>
      </c>
      <c r="R422">
        <v>18</v>
      </c>
      <c r="S422">
        <v>8374729.7297297288</v>
      </c>
      <c r="T422">
        <v>9467351.3513513524</v>
      </c>
      <c r="U422">
        <v>4109099.0990990992</v>
      </c>
      <c r="V422">
        <v>2957567.5675675678</v>
      </c>
      <c r="W422">
        <v>1130</v>
      </c>
      <c r="X422">
        <v>1074</v>
      </c>
    </row>
    <row r="423" spans="1:24">
      <c r="A423" s="7" t="s">
        <v>517</v>
      </c>
      <c r="B423" s="16" t="s">
        <v>304</v>
      </c>
      <c r="C423">
        <v>51288032.03665407</v>
      </c>
      <c r="D423">
        <v>49759017.053369947</v>
      </c>
      <c r="E423">
        <v>18918.918918919</v>
      </c>
      <c r="F423">
        <v>94594.594594594993</v>
      </c>
      <c r="G423">
        <v>12</v>
      </c>
      <c r="H423">
        <v>20</v>
      </c>
      <c r="I423">
        <v>2</v>
      </c>
      <c r="J423">
        <v>3</v>
      </c>
      <c r="M423">
        <v>12</v>
      </c>
      <c r="N423">
        <v>21</v>
      </c>
      <c r="O423">
        <v>2109009.0090090092</v>
      </c>
      <c r="P423">
        <v>1040540.5405405411</v>
      </c>
      <c r="Q423">
        <v>8</v>
      </c>
      <c r="R423">
        <v>5</v>
      </c>
      <c r="S423">
        <v>6700315.3153153136</v>
      </c>
      <c r="T423">
        <v>6668099.0990990987</v>
      </c>
      <c r="U423">
        <v>1454864.8648648639</v>
      </c>
      <c r="V423">
        <v>995405.40540540498</v>
      </c>
      <c r="W423">
        <v>752</v>
      </c>
      <c r="X423">
        <v>797</v>
      </c>
    </row>
    <row r="424" spans="1:24">
      <c r="A424" s="7" t="s">
        <v>518</v>
      </c>
      <c r="B424" s="16" t="s">
        <v>448</v>
      </c>
      <c r="C424">
        <v>52240323.637039252</v>
      </c>
      <c r="D424">
        <v>49959684.813892365</v>
      </c>
      <c r="E424">
        <v>77477.477477477994</v>
      </c>
      <c r="F424">
        <v>319819.81981982</v>
      </c>
      <c r="G424">
        <v>28</v>
      </c>
      <c r="H424">
        <v>11</v>
      </c>
      <c r="I424">
        <v>3</v>
      </c>
      <c r="M424">
        <v>34</v>
      </c>
      <c r="N424">
        <v>13</v>
      </c>
      <c r="O424">
        <v>4129279.2792792781</v>
      </c>
      <c r="P424">
        <v>2595045.0450450461</v>
      </c>
      <c r="Q424">
        <v>24</v>
      </c>
      <c r="S424">
        <v>18611108.108108107</v>
      </c>
      <c r="T424">
        <v>16757065.315315315</v>
      </c>
      <c r="U424">
        <v>3755855.8558558552</v>
      </c>
      <c r="V424">
        <v>3492342.3423423418</v>
      </c>
      <c r="W424">
        <v>1722</v>
      </c>
      <c r="X424">
        <v>1729</v>
      </c>
    </row>
    <row r="425" spans="1:24">
      <c r="A425" s="7" t="s">
        <v>519</v>
      </c>
      <c r="B425" s="16" t="s">
        <v>85</v>
      </c>
      <c r="C425">
        <v>155001853.60286009</v>
      </c>
      <c r="D425">
        <v>155526975.73331776</v>
      </c>
      <c r="E425">
        <v>223423.42342342401</v>
      </c>
      <c r="F425">
        <v>1072072.0720720729</v>
      </c>
      <c r="G425">
        <v>38</v>
      </c>
      <c r="H425">
        <v>24</v>
      </c>
      <c r="I425">
        <v>4</v>
      </c>
      <c r="J425">
        <v>7</v>
      </c>
      <c r="M425">
        <v>47</v>
      </c>
      <c r="N425">
        <v>31</v>
      </c>
      <c r="O425">
        <v>25520720.72072072</v>
      </c>
      <c r="P425">
        <v>25315315.315315314</v>
      </c>
      <c r="Q425">
        <v>49</v>
      </c>
      <c r="S425">
        <v>36801261.261261262</v>
      </c>
      <c r="T425">
        <v>39289837.837837838</v>
      </c>
      <c r="U425">
        <v>17728468.468468469</v>
      </c>
      <c r="V425">
        <v>22270763.963963959</v>
      </c>
      <c r="W425">
        <v>4068</v>
      </c>
      <c r="X425">
        <v>4025</v>
      </c>
    </row>
    <row r="426" spans="1:24">
      <c r="A426" s="7" t="s">
        <v>520</v>
      </c>
      <c r="B426" s="16" t="s">
        <v>304</v>
      </c>
      <c r="C426">
        <v>79098940.903507426</v>
      </c>
      <c r="D426">
        <v>80709354.879524767</v>
      </c>
      <c r="E426">
        <v>191891.89189189201</v>
      </c>
      <c r="F426">
        <v>44144.144144143997</v>
      </c>
      <c r="G426">
        <v>38</v>
      </c>
      <c r="H426">
        <v>11</v>
      </c>
      <c r="I426">
        <v>2</v>
      </c>
      <c r="J426">
        <v>4</v>
      </c>
      <c r="M426">
        <v>41</v>
      </c>
      <c r="N426">
        <v>12</v>
      </c>
      <c r="O426">
        <v>6074774.7747747758</v>
      </c>
      <c r="P426">
        <v>4225225.2252252251</v>
      </c>
      <c r="Q426">
        <v>12</v>
      </c>
      <c r="R426">
        <v>8</v>
      </c>
      <c r="S426">
        <v>14196351.351351351</v>
      </c>
      <c r="T426">
        <v>14110036.036036037</v>
      </c>
      <c r="U426">
        <v>3133063.0630630632</v>
      </c>
      <c r="V426">
        <v>2509999.9999999991</v>
      </c>
      <c r="W426">
        <v>1590</v>
      </c>
      <c r="X426">
        <v>1341</v>
      </c>
    </row>
    <row r="427" spans="1:24">
      <c r="A427" s="7" t="s">
        <v>521</v>
      </c>
      <c r="B427" s="16" t="s">
        <v>399</v>
      </c>
      <c r="C427">
        <v>563553453.50912583</v>
      </c>
      <c r="D427">
        <v>549975319.78336072</v>
      </c>
      <c r="E427">
        <v>214828854.95495495</v>
      </c>
      <c r="F427">
        <v>127448595.4954955</v>
      </c>
      <c r="G427">
        <v>272</v>
      </c>
      <c r="H427">
        <v>239</v>
      </c>
      <c r="I427">
        <v>40</v>
      </c>
      <c r="J427">
        <v>42</v>
      </c>
      <c r="K427">
        <v>6</v>
      </c>
      <c r="M427">
        <v>355</v>
      </c>
      <c r="N427">
        <v>612</v>
      </c>
      <c r="O427">
        <v>129680990.990991</v>
      </c>
      <c r="P427">
        <v>103131981.98198198</v>
      </c>
      <c r="Q427">
        <v>595</v>
      </c>
      <c r="R427">
        <v>878</v>
      </c>
      <c r="S427">
        <v>139033783.78378376</v>
      </c>
      <c r="T427">
        <v>140934630.63063064</v>
      </c>
      <c r="U427">
        <v>105025405.4054054</v>
      </c>
      <c r="V427">
        <v>86163063.06306307</v>
      </c>
      <c r="W427">
        <v>13942</v>
      </c>
      <c r="X427">
        <v>13571</v>
      </c>
    </row>
    <row r="428" spans="1:24">
      <c r="A428" s="7" t="s">
        <v>522</v>
      </c>
      <c r="B428" s="16" t="s">
        <v>143</v>
      </c>
      <c r="C428">
        <v>161764589.69605008</v>
      </c>
      <c r="D428">
        <v>154683313.51300681</v>
      </c>
      <c r="E428">
        <v>20720.720720722002</v>
      </c>
      <c r="F428">
        <v>266666.66666666802</v>
      </c>
      <c r="G428">
        <v>33</v>
      </c>
      <c r="H428">
        <v>46</v>
      </c>
      <c r="I428">
        <v>5</v>
      </c>
      <c r="J428">
        <v>2</v>
      </c>
      <c r="M428">
        <v>38</v>
      </c>
      <c r="N428">
        <v>49</v>
      </c>
      <c r="O428">
        <v>9245945.9459459484</v>
      </c>
      <c r="P428">
        <v>9275675.6756756753</v>
      </c>
      <c r="Q428">
        <v>18</v>
      </c>
      <c r="S428">
        <v>19195396.396396395</v>
      </c>
      <c r="T428">
        <v>20479189.189189188</v>
      </c>
      <c r="U428">
        <v>9205855.8558558561</v>
      </c>
      <c r="V428">
        <v>8729369.3693693709</v>
      </c>
      <c r="W428">
        <v>2971</v>
      </c>
      <c r="X428">
        <v>2970</v>
      </c>
    </row>
    <row r="429" spans="1:24">
      <c r="A429" s="7" t="s">
        <v>523</v>
      </c>
      <c r="B429" s="16" t="s">
        <v>66</v>
      </c>
      <c r="C429">
        <v>105251722.71364282</v>
      </c>
      <c r="D429">
        <v>108621032.11125825</v>
      </c>
      <c r="E429">
        <v>62702.702702702998</v>
      </c>
      <c r="F429">
        <v>2582882.8828828852</v>
      </c>
      <c r="G429">
        <v>24</v>
      </c>
      <c r="H429">
        <v>24</v>
      </c>
      <c r="I429">
        <v>3</v>
      </c>
      <c r="J429">
        <v>3</v>
      </c>
      <c r="K429">
        <v>1</v>
      </c>
      <c r="M429">
        <v>35</v>
      </c>
      <c r="N429">
        <v>27</v>
      </c>
      <c r="O429">
        <v>12531261.261261258</v>
      </c>
      <c r="P429">
        <v>58414954.954954952</v>
      </c>
      <c r="Q429">
        <v>175</v>
      </c>
      <c r="R429">
        <v>10</v>
      </c>
      <c r="S429">
        <v>49775981.981981985</v>
      </c>
      <c r="T429">
        <v>51446513.513513513</v>
      </c>
      <c r="U429">
        <v>12371981.98198198</v>
      </c>
      <c r="V429">
        <v>40561261.261261262</v>
      </c>
      <c r="W429">
        <v>3647</v>
      </c>
      <c r="X429">
        <v>3747</v>
      </c>
    </row>
    <row r="430" spans="1:24">
      <c r="A430" s="7" t="s">
        <v>524</v>
      </c>
      <c r="B430" s="16" t="s">
        <v>220</v>
      </c>
      <c r="C430">
        <v>148903062.16578028</v>
      </c>
      <c r="D430">
        <v>138955709.8956387</v>
      </c>
      <c r="E430">
        <v>432432.43243243301</v>
      </c>
      <c r="F430">
        <v>612612.61261261301</v>
      </c>
      <c r="G430">
        <v>54</v>
      </c>
      <c r="H430">
        <v>44</v>
      </c>
      <c r="I430">
        <v>3</v>
      </c>
      <c r="J430">
        <v>1</v>
      </c>
      <c r="M430">
        <v>62</v>
      </c>
      <c r="N430">
        <v>54</v>
      </c>
      <c r="O430">
        <v>10602702.702702701</v>
      </c>
      <c r="P430">
        <v>7944144.1441441439</v>
      </c>
      <c r="Q430">
        <v>20</v>
      </c>
      <c r="R430">
        <v>7</v>
      </c>
      <c r="S430">
        <v>36711711.711711712</v>
      </c>
      <c r="T430">
        <v>34340918.918918923</v>
      </c>
      <c r="U430">
        <v>8238108.108108107</v>
      </c>
      <c r="V430">
        <v>5943513.5135135157</v>
      </c>
      <c r="W430">
        <v>4401</v>
      </c>
      <c r="X430">
        <v>4742</v>
      </c>
    </row>
    <row r="431" spans="1:24">
      <c r="A431" s="7" t="s">
        <v>525</v>
      </c>
      <c r="B431" s="16" t="s">
        <v>413</v>
      </c>
      <c r="C431">
        <v>1589550047.5168595</v>
      </c>
      <c r="D431">
        <v>1535346154.28563</v>
      </c>
      <c r="E431">
        <v>895517748.64864874</v>
      </c>
      <c r="F431">
        <v>553922700.90090096</v>
      </c>
      <c r="G431">
        <v>291</v>
      </c>
      <c r="H431">
        <v>353</v>
      </c>
      <c r="I431">
        <v>23</v>
      </c>
      <c r="J431">
        <v>58</v>
      </c>
      <c r="M431">
        <v>589</v>
      </c>
      <c r="N431">
        <v>846</v>
      </c>
      <c r="O431">
        <v>127108018.01801802</v>
      </c>
      <c r="P431">
        <v>115691477.47747749</v>
      </c>
      <c r="Q431">
        <v>1165</v>
      </c>
      <c r="R431">
        <v>622</v>
      </c>
      <c r="S431">
        <v>447050603.6036036</v>
      </c>
      <c r="T431">
        <v>446312518.01801807</v>
      </c>
      <c r="U431">
        <v>115703646.84684685</v>
      </c>
      <c r="V431">
        <v>124188198.19819821</v>
      </c>
      <c r="W431">
        <v>32217</v>
      </c>
      <c r="X431">
        <v>32284</v>
      </c>
    </row>
    <row r="432" spans="1:24">
      <c r="A432" s="7" t="s">
        <v>526</v>
      </c>
      <c r="B432" s="16" t="s">
        <v>413</v>
      </c>
      <c r="C432">
        <v>187828322.46697286</v>
      </c>
      <c r="D432">
        <v>169523148.45349345</v>
      </c>
      <c r="E432">
        <v>15315.315315316</v>
      </c>
      <c r="F432">
        <v>296621.62162162201</v>
      </c>
      <c r="G432">
        <v>26</v>
      </c>
      <c r="H432">
        <v>32</v>
      </c>
      <c r="I432">
        <v>1</v>
      </c>
      <c r="J432">
        <v>3</v>
      </c>
      <c r="M432">
        <v>29</v>
      </c>
      <c r="N432">
        <v>39</v>
      </c>
      <c r="O432">
        <v>10133153.153153151</v>
      </c>
      <c r="P432">
        <v>10691759.459459459</v>
      </c>
      <c r="Q432">
        <v>21</v>
      </c>
      <c r="R432">
        <v>18</v>
      </c>
      <c r="S432">
        <v>53203954.954954952</v>
      </c>
      <c r="T432">
        <v>53553450.45045045</v>
      </c>
      <c r="U432">
        <v>8088918.918918917</v>
      </c>
      <c r="V432">
        <v>8452522.5225225221</v>
      </c>
      <c r="W432">
        <v>4627</v>
      </c>
      <c r="X432">
        <v>4460</v>
      </c>
    </row>
    <row r="433" spans="1:24">
      <c r="A433" s="7" t="s">
        <v>661</v>
      </c>
      <c r="B433" s="16" t="s">
        <v>189</v>
      </c>
      <c r="C433">
        <v>3143663.941779267</v>
      </c>
      <c r="D433">
        <v>176956.17547023701</v>
      </c>
      <c r="G433">
        <v>4</v>
      </c>
      <c r="H433">
        <v>1</v>
      </c>
      <c r="M433">
        <v>4</v>
      </c>
      <c r="N433">
        <v>1</v>
      </c>
      <c r="S433">
        <v>989639.63963963999</v>
      </c>
      <c r="T433">
        <v>124549.54954955001</v>
      </c>
      <c r="W433">
        <v>128</v>
      </c>
      <c r="X433">
        <v>141</v>
      </c>
    </row>
    <row r="434" spans="1:24">
      <c r="A434" s="7" t="s">
        <v>527</v>
      </c>
      <c r="B434" s="16" t="s">
        <v>147</v>
      </c>
      <c r="C434">
        <v>374392855.08177006</v>
      </c>
      <c r="D434">
        <v>357330649.86400479</v>
      </c>
      <c r="E434">
        <v>1162162.162162164</v>
      </c>
      <c r="F434">
        <v>6755180.1801801817</v>
      </c>
      <c r="G434">
        <v>52</v>
      </c>
      <c r="H434">
        <v>155</v>
      </c>
      <c r="I434">
        <v>5</v>
      </c>
      <c r="J434">
        <v>10</v>
      </c>
      <c r="M434">
        <v>66</v>
      </c>
      <c r="N434">
        <v>420</v>
      </c>
      <c r="O434">
        <v>22270270.270270269</v>
      </c>
      <c r="P434">
        <v>87848871.171171173</v>
      </c>
      <c r="Q434">
        <v>83</v>
      </c>
      <c r="R434">
        <v>373</v>
      </c>
      <c r="S434">
        <v>115100396.3963964</v>
      </c>
      <c r="T434">
        <v>129942340.54054055</v>
      </c>
      <c r="U434">
        <v>25256486.486486483</v>
      </c>
      <c r="V434">
        <v>87340540.540540546</v>
      </c>
      <c r="W434">
        <v>9979</v>
      </c>
      <c r="X434">
        <v>10215</v>
      </c>
    </row>
    <row r="435" spans="1:24">
      <c r="A435" s="7" t="s">
        <v>528</v>
      </c>
      <c r="B435" s="16" t="s">
        <v>121</v>
      </c>
      <c r="C435">
        <v>40223806.369586058</v>
      </c>
      <c r="D435">
        <v>39389273.110703707</v>
      </c>
      <c r="E435">
        <v>148423.42342342401</v>
      </c>
      <c r="F435">
        <v>347747.74774774897</v>
      </c>
      <c r="G435">
        <v>23</v>
      </c>
      <c r="H435">
        <v>22</v>
      </c>
      <c r="I435">
        <v>4</v>
      </c>
      <c r="J435">
        <v>2</v>
      </c>
      <c r="M435">
        <v>24</v>
      </c>
      <c r="N435">
        <v>23</v>
      </c>
      <c r="O435">
        <v>2792792.7927927938</v>
      </c>
      <c r="P435">
        <v>3703603.6036036038</v>
      </c>
      <c r="Q435">
        <v>18</v>
      </c>
      <c r="R435">
        <v>5</v>
      </c>
      <c r="S435">
        <v>4445225.225225226</v>
      </c>
      <c r="T435">
        <v>4807040.5405405406</v>
      </c>
      <c r="U435">
        <v>2042612.612612613</v>
      </c>
      <c r="V435">
        <v>3210630.630630631</v>
      </c>
      <c r="W435">
        <v>968</v>
      </c>
      <c r="X435">
        <v>943</v>
      </c>
    </row>
    <row r="436" spans="1:24">
      <c r="A436" s="7" t="s">
        <v>529</v>
      </c>
      <c r="B436" s="16" t="s">
        <v>448</v>
      </c>
      <c r="C436">
        <v>93384365.195647791</v>
      </c>
      <c r="D436">
        <v>69558962.432093367</v>
      </c>
      <c r="E436">
        <v>909189.18918919004</v>
      </c>
      <c r="F436">
        <v>374774.77477477503</v>
      </c>
      <c r="G436">
        <v>44</v>
      </c>
      <c r="H436">
        <v>56</v>
      </c>
      <c r="I436">
        <v>0</v>
      </c>
      <c r="J436">
        <v>0</v>
      </c>
      <c r="M436">
        <v>44</v>
      </c>
      <c r="N436">
        <v>144</v>
      </c>
      <c r="O436">
        <v>7653603.6036036052</v>
      </c>
      <c r="P436">
        <v>4018918.918918917</v>
      </c>
      <c r="Q436">
        <v>59</v>
      </c>
      <c r="S436">
        <v>42932144.144144148</v>
      </c>
      <c r="T436">
        <v>34154524.774774775</v>
      </c>
      <c r="U436">
        <v>7721171.1711711716</v>
      </c>
      <c r="V436">
        <v>3748198.198198196</v>
      </c>
      <c r="W436">
        <v>2143</v>
      </c>
      <c r="X436">
        <v>2103</v>
      </c>
    </row>
    <row r="437" spans="1:24">
      <c r="A437" s="7" t="s">
        <v>530</v>
      </c>
      <c r="B437" s="16" t="s">
        <v>448</v>
      </c>
      <c r="C437">
        <v>168026871.88954344</v>
      </c>
      <c r="D437">
        <v>164767610.96615553</v>
      </c>
      <c r="E437">
        <v>94594.594594594004</v>
      </c>
      <c r="F437">
        <v>1111711.7117117119</v>
      </c>
      <c r="G437">
        <v>165</v>
      </c>
      <c r="H437">
        <v>63</v>
      </c>
      <c r="I437">
        <v>8</v>
      </c>
      <c r="J437">
        <v>8</v>
      </c>
      <c r="M437">
        <v>199</v>
      </c>
      <c r="N437">
        <v>72</v>
      </c>
      <c r="O437">
        <v>12379009.009009009</v>
      </c>
      <c r="P437">
        <v>7314864.8648648653</v>
      </c>
      <c r="Q437">
        <v>131</v>
      </c>
      <c r="R437">
        <v>33</v>
      </c>
      <c r="S437">
        <v>79534954.954954967</v>
      </c>
      <c r="T437">
        <v>77240180.180180177</v>
      </c>
      <c r="U437">
        <v>12425495.495495496</v>
      </c>
      <c r="V437">
        <v>7604324.3243243266</v>
      </c>
      <c r="W437">
        <v>5332</v>
      </c>
      <c r="X437">
        <v>5156</v>
      </c>
    </row>
    <row r="438" spans="1:24">
      <c r="A438" s="7" t="s">
        <v>531</v>
      </c>
      <c r="B438" s="16" t="s">
        <v>123</v>
      </c>
      <c r="C438">
        <v>434868871.48007268</v>
      </c>
      <c r="D438">
        <v>443608994.30179477</v>
      </c>
      <c r="E438">
        <v>96726436.936936945</v>
      </c>
      <c r="F438">
        <v>241594829.72972974</v>
      </c>
      <c r="G438">
        <v>124</v>
      </c>
      <c r="H438">
        <v>165</v>
      </c>
      <c r="I438">
        <v>30</v>
      </c>
      <c r="J438">
        <v>34</v>
      </c>
      <c r="K438">
        <v>6</v>
      </c>
      <c r="M438">
        <v>203</v>
      </c>
      <c r="N438">
        <v>462</v>
      </c>
      <c r="O438">
        <v>88637117.117117122</v>
      </c>
      <c r="P438">
        <v>123450000</v>
      </c>
      <c r="Q438">
        <v>195</v>
      </c>
      <c r="R438">
        <v>2772</v>
      </c>
      <c r="S438">
        <v>148722946.84684685</v>
      </c>
      <c r="T438">
        <v>156966304.5045045</v>
      </c>
      <c r="U438">
        <v>91705945.945945948</v>
      </c>
      <c r="V438">
        <v>122651081.08108109</v>
      </c>
      <c r="W438">
        <v>11400</v>
      </c>
      <c r="X438">
        <v>11286</v>
      </c>
    </row>
    <row r="439" spans="1:24">
      <c r="A439" s="7" t="s">
        <v>532</v>
      </c>
      <c r="B439" s="16" t="s">
        <v>85</v>
      </c>
      <c r="C439">
        <v>139644081.89557809</v>
      </c>
      <c r="D439">
        <v>129757677.49990945</v>
      </c>
      <c r="E439">
        <v>3094594.594594596</v>
      </c>
      <c r="F439">
        <v>279279.27927928098</v>
      </c>
      <c r="G439">
        <v>11</v>
      </c>
      <c r="H439">
        <v>28</v>
      </c>
      <c r="I439">
        <v>5</v>
      </c>
      <c r="J439">
        <v>2</v>
      </c>
      <c r="M439">
        <v>11</v>
      </c>
      <c r="N439">
        <v>45</v>
      </c>
      <c r="O439">
        <v>28914414.414414417</v>
      </c>
      <c r="P439">
        <v>14100540.540540541</v>
      </c>
      <c r="Q439">
        <v>28</v>
      </c>
      <c r="R439">
        <v>24</v>
      </c>
      <c r="S439">
        <v>31602342.342342343</v>
      </c>
      <c r="T439">
        <v>27828873.873873871</v>
      </c>
      <c r="U439">
        <v>23664774.774774775</v>
      </c>
      <c r="V439">
        <v>9008018.0180180185</v>
      </c>
      <c r="W439">
        <v>3773</v>
      </c>
      <c r="X439">
        <v>3620</v>
      </c>
    </row>
    <row r="440" spans="1:24">
      <c r="A440" s="7" t="s">
        <v>9</v>
      </c>
      <c r="B440" s="16" t="s">
        <v>158</v>
      </c>
      <c r="C440">
        <v>363638374.77131063</v>
      </c>
      <c r="D440">
        <v>345981933.87672222</v>
      </c>
      <c r="E440">
        <v>7246534.234234239</v>
      </c>
      <c r="F440">
        <v>9676219.8198198248</v>
      </c>
      <c r="G440">
        <v>64</v>
      </c>
      <c r="H440">
        <v>52</v>
      </c>
      <c r="I440">
        <v>18</v>
      </c>
      <c r="J440">
        <v>16</v>
      </c>
      <c r="K440">
        <v>4</v>
      </c>
      <c r="M440">
        <v>75</v>
      </c>
      <c r="N440">
        <v>59</v>
      </c>
      <c r="O440">
        <v>578699518.91891897</v>
      </c>
      <c r="P440">
        <v>463877789.1891892</v>
      </c>
      <c r="Q440">
        <v>237</v>
      </c>
      <c r="R440">
        <v>140</v>
      </c>
      <c r="S440">
        <v>128603594.5945946</v>
      </c>
      <c r="T440">
        <v>125352306.3063063</v>
      </c>
      <c r="U440">
        <v>484910810.8108108</v>
      </c>
      <c r="V440">
        <v>390948198.1981982</v>
      </c>
      <c r="W440">
        <v>7471</v>
      </c>
      <c r="X440">
        <v>7910</v>
      </c>
    </row>
    <row r="441" spans="1:24">
      <c r="A441" s="7" t="s">
        <v>533</v>
      </c>
      <c r="B441" s="16" t="s">
        <v>94</v>
      </c>
      <c r="C441">
        <v>346956740.85197502</v>
      </c>
      <c r="D441">
        <v>335959867.49088609</v>
      </c>
      <c r="E441">
        <v>275675.67567567702</v>
      </c>
      <c r="F441">
        <v>1202702.7027027069</v>
      </c>
      <c r="G441">
        <v>62</v>
      </c>
      <c r="H441">
        <v>68</v>
      </c>
      <c r="I441">
        <v>12</v>
      </c>
      <c r="J441">
        <v>10</v>
      </c>
      <c r="K441">
        <v>1</v>
      </c>
      <c r="M441">
        <v>67</v>
      </c>
      <c r="N441">
        <v>77</v>
      </c>
      <c r="O441">
        <v>30298198.198198199</v>
      </c>
      <c r="P441">
        <v>26788288.288288292</v>
      </c>
      <c r="Q441">
        <v>88</v>
      </c>
      <c r="R441">
        <v>317</v>
      </c>
      <c r="S441">
        <v>39868556.75675676</v>
      </c>
      <c r="T441">
        <v>45704720.720720723</v>
      </c>
      <c r="U441">
        <v>20945405.40540541</v>
      </c>
      <c r="V441">
        <v>19106936.936936937</v>
      </c>
      <c r="W441">
        <v>6214</v>
      </c>
      <c r="X441">
        <v>6883</v>
      </c>
    </row>
    <row r="442" spans="1:24">
      <c r="A442" s="7" t="s">
        <v>534</v>
      </c>
      <c r="B442" s="16" t="s">
        <v>304</v>
      </c>
      <c r="C442">
        <v>8872023.6609403342</v>
      </c>
      <c r="D442">
        <v>8919358.8691047858</v>
      </c>
      <c r="G442">
        <v>7</v>
      </c>
      <c r="H442">
        <v>2</v>
      </c>
      <c r="M442">
        <v>7</v>
      </c>
      <c r="N442">
        <v>2</v>
      </c>
      <c r="S442">
        <v>861396.39639639598</v>
      </c>
      <c r="T442">
        <v>1504009.009009009</v>
      </c>
      <c r="W442">
        <v>218</v>
      </c>
      <c r="X442">
        <v>394</v>
      </c>
    </row>
    <row r="443" spans="1:24">
      <c r="A443" s="7" t="s">
        <v>535</v>
      </c>
      <c r="B443" s="16" t="s">
        <v>304</v>
      </c>
      <c r="C443">
        <v>144385747.65483063</v>
      </c>
      <c r="D443">
        <v>137334940.3838678</v>
      </c>
      <c r="E443">
        <v>1046846.846846848</v>
      </c>
      <c r="F443">
        <v>662162.16216216295</v>
      </c>
      <c r="G443">
        <v>43</v>
      </c>
      <c r="H443">
        <v>15</v>
      </c>
      <c r="I443">
        <v>6</v>
      </c>
      <c r="J443">
        <v>7</v>
      </c>
      <c r="M443">
        <v>49</v>
      </c>
      <c r="N443">
        <v>20</v>
      </c>
      <c r="O443">
        <v>10596396.396396397</v>
      </c>
      <c r="P443">
        <v>11851351.351351352</v>
      </c>
      <c r="Q443">
        <v>75</v>
      </c>
      <c r="R443">
        <v>4</v>
      </c>
      <c r="S443">
        <v>12522567.567567568</v>
      </c>
      <c r="T443">
        <v>12328648.648648648</v>
      </c>
      <c r="U443">
        <v>5709999.9999999991</v>
      </c>
      <c r="V443">
        <v>4259099.0990990996</v>
      </c>
      <c r="W443">
        <v>2875</v>
      </c>
      <c r="X443">
        <v>2691</v>
      </c>
    </row>
    <row r="444" spans="1:24">
      <c r="A444" s="7" t="s">
        <v>536</v>
      </c>
      <c r="B444" s="16" t="s">
        <v>85</v>
      </c>
      <c r="C444">
        <v>120211890.35597624</v>
      </c>
      <c r="D444">
        <v>119393987.38221724</v>
      </c>
      <c r="E444">
        <v>298198.19819819799</v>
      </c>
      <c r="F444">
        <v>710810.81081081298</v>
      </c>
      <c r="G444">
        <v>121</v>
      </c>
      <c r="H444">
        <v>47</v>
      </c>
      <c r="I444">
        <v>6</v>
      </c>
      <c r="J444">
        <v>6</v>
      </c>
      <c r="M444">
        <v>126</v>
      </c>
      <c r="N444">
        <v>58</v>
      </c>
      <c r="O444">
        <v>41910810.810810804</v>
      </c>
      <c r="P444">
        <v>39532342.342342347</v>
      </c>
      <c r="Q444">
        <v>42</v>
      </c>
      <c r="R444">
        <v>40</v>
      </c>
      <c r="S444">
        <v>54339189.189189196</v>
      </c>
      <c r="T444">
        <v>56635846.846846849</v>
      </c>
      <c r="U444">
        <v>35226486.486486487</v>
      </c>
      <c r="V444">
        <v>34550450.45045045</v>
      </c>
      <c r="W444">
        <v>3014</v>
      </c>
      <c r="X444">
        <v>3021</v>
      </c>
    </row>
    <row r="445" spans="1:24">
      <c r="A445" s="7" t="s">
        <v>537</v>
      </c>
      <c r="B445" s="16" t="s">
        <v>448</v>
      </c>
      <c r="C445">
        <v>169311078.76922053</v>
      </c>
      <c r="D445">
        <v>165598139.99494627</v>
      </c>
      <c r="E445">
        <v>163063.063063065</v>
      </c>
      <c r="F445">
        <v>1495495.495495497</v>
      </c>
      <c r="G445">
        <v>233</v>
      </c>
      <c r="H445">
        <v>159</v>
      </c>
      <c r="I445">
        <v>3</v>
      </c>
      <c r="J445">
        <v>5</v>
      </c>
      <c r="M445">
        <v>239</v>
      </c>
      <c r="N445">
        <v>243</v>
      </c>
      <c r="O445">
        <v>7902702.702702702</v>
      </c>
      <c r="P445">
        <v>13451981.98198198</v>
      </c>
      <c r="Q445">
        <v>85</v>
      </c>
      <c r="R445">
        <v>7</v>
      </c>
      <c r="S445">
        <v>48786684.684684686</v>
      </c>
      <c r="T445">
        <v>46825079.279279277</v>
      </c>
      <c r="U445">
        <v>8039639.6396396412</v>
      </c>
      <c r="V445">
        <v>15215765.765765764</v>
      </c>
      <c r="W445">
        <v>5144</v>
      </c>
      <c r="X445">
        <v>4598</v>
      </c>
    </row>
    <row r="446" spans="1:24">
      <c r="A446" s="7" t="s">
        <v>538</v>
      </c>
      <c r="B446" s="16" t="s">
        <v>117</v>
      </c>
      <c r="C446">
        <v>386132020.9027344</v>
      </c>
      <c r="D446">
        <v>381298712.78622508</v>
      </c>
      <c r="E446">
        <v>1564909.909909918</v>
      </c>
      <c r="F446">
        <v>8053153.1531531578</v>
      </c>
      <c r="G446">
        <v>171</v>
      </c>
      <c r="H446">
        <v>104</v>
      </c>
      <c r="I446">
        <v>36</v>
      </c>
      <c r="J446">
        <v>36</v>
      </c>
      <c r="M446">
        <v>226</v>
      </c>
      <c r="N446">
        <v>149</v>
      </c>
      <c r="O446">
        <v>73886525.22522521</v>
      </c>
      <c r="P446">
        <v>82132341.441441447</v>
      </c>
      <c r="Q446">
        <v>279</v>
      </c>
      <c r="R446">
        <v>96</v>
      </c>
      <c r="S446">
        <v>202390495.4954955</v>
      </c>
      <c r="T446">
        <v>217265504.5045045</v>
      </c>
      <c r="U446">
        <v>70129549.54954955</v>
      </c>
      <c r="V446">
        <v>75617837.837837845</v>
      </c>
      <c r="W446">
        <v>11116</v>
      </c>
      <c r="X446">
        <v>11501</v>
      </c>
    </row>
    <row r="447" spans="1:24">
      <c r="A447" s="7" t="s">
        <v>539</v>
      </c>
      <c r="B447" s="16" t="s">
        <v>83</v>
      </c>
      <c r="C447">
        <v>1189040086.4624529</v>
      </c>
      <c r="D447">
        <v>1176279691.3196564</v>
      </c>
      <c r="E447">
        <v>2043918.9189189209</v>
      </c>
      <c r="F447">
        <v>5280257.6576576568</v>
      </c>
      <c r="G447">
        <v>177</v>
      </c>
      <c r="H447">
        <v>253</v>
      </c>
      <c r="I447">
        <v>17</v>
      </c>
      <c r="J447">
        <v>21</v>
      </c>
      <c r="K447">
        <v>1</v>
      </c>
      <c r="M447">
        <v>198</v>
      </c>
      <c r="N447">
        <v>294</v>
      </c>
      <c r="O447">
        <v>67286036.036036029</v>
      </c>
      <c r="P447">
        <v>77918549.54954955</v>
      </c>
      <c r="Q447">
        <v>404</v>
      </c>
      <c r="R447">
        <v>409</v>
      </c>
      <c r="S447">
        <v>118721935.13513513</v>
      </c>
      <c r="T447">
        <v>129456877.02702703</v>
      </c>
      <c r="U447">
        <v>60047881.081081077</v>
      </c>
      <c r="V447">
        <v>68815268.468468472</v>
      </c>
      <c r="W447">
        <v>21502</v>
      </c>
      <c r="X447">
        <v>21867</v>
      </c>
    </row>
    <row r="448" spans="1:24">
      <c r="A448" s="7" t="s">
        <v>540</v>
      </c>
      <c r="B448" s="16" t="s">
        <v>315</v>
      </c>
      <c r="C448">
        <v>140206783.41067889</v>
      </c>
      <c r="D448">
        <v>145051628.59026441</v>
      </c>
      <c r="E448">
        <v>3292882.8828828828</v>
      </c>
      <c r="F448">
        <v>1826351.3513513519</v>
      </c>
      <c r="G448">
        <v>18</v>
      </c>
      <c r="H448">
        <v>22</v>
      </c>
      <c r="I448">
        <v>1</v>
      </c>
      <c r="J448">
        <v>1</v>
      </c>
      <c r="M448">
        <v>19</v>
      </c>
      <c r="N448">
        <v>34</v>
      </c>
      <c r="O448">
        <v>13899099.099099098</v>
      </c>
      <c r="P448">
        <v>8450900.9009009004</v>
      </c>
      <c r="R448">
        <v>1</v>
      </c>
      <c r="S448">
        <v>25209277.47747748</v>
      </c>
      <c r="T448">
        <v>28437297.297297295</v>
      </c>
      <c r="U448">
        <v>10550133.333333334</v>
      </c>
      <c r="V448">
        <v>7746306.3063063063</v>
      </c>
      <c r="W448">
        <v>2580</v>
      </c>
      <c r="X448">
        <v>2581</v>
      </c>
    </row>
    <row r="449" spans="1:24">
      <c r="A449" s="7" t="s">
        <v>541</v>
      </c>
      <c r="B449" s="16" t="s">
        <v>169</v>
      </c>
      <c r="C449">
        <v>1039863039.1914642</v>
      </c>
      <c r="D449">
        <v>1000826036.66131</v>
      </c>
      <c r="E449">
        <v>1752702.702702702</v>
      </c>
      <c r="F449">
        <v>2712612.6126126158</v>
      </c>
      <c r="G449">
        <v>117</v>
      </c>
      <c r="H449">
        <v>129</v>
      </c>
      <c r="I449">
        <v>7</v>
      </c>
      <c r="J449">
        <v>7</v>
      </c>
      <c r="K449">
        <v>2</v>
      </c>
      <c r="M449">
        <v>154</v>
      </c>
      <c r="N449">
        <v>212</v>
      </c>
      <c r="O449">
        <v>48208558.558558561</v>
      </c>
      <c r="P449">
        <v>54440247.747747742</v>
      </c>
      <c r="Q449">
        <v>236</v>
      </c>
      <c r="R449">
        <v>109</v>
      </c>
      <c r="S449">
        <v>363807846.84684682</v>
      </c>
      <c r="T449">
        <v>371061322.07207209</v>
      </c>
      <c r="U449">
        <v>44171261.261261262</v>
      </c>
      <c r="V449">
        <v>58151531.531531528</v>
      </c>
      <c r="W449">
        <v>21365</v>
      </c>
      <c r="X449">
        <v>21928</v>
      </c>
    </row>
    <row r="450" spans="1:24">
      <c r="A450" s="7" t="s">
        <v>542</v>
      </c>
      <c r="B450" s="16" t="s">
        <v>479</v>
      </c>
      <c r="C450">
        <v>328628753.97411072</v>
      </c>
      <c r="D450">
        <v>312248887.36804605</v>
      </c>
      <c r="E450">
        <v>1036936.936936937</v>
      </c>
      <c r="F450">
        <v>81081.081081084005</v>
      </c>
      <c r="G450">
        <v>26</v>
      </c>
      <c r="H450">
        <v>31</v>
      </c>
      <c r="I450">
        <v>0</v>
      </c>
      <c r="J450">
        <v>0</v>
      </c>
      <c r="M450">
        <v>29</v>
      </c>
      <c r="N450">
        <v>34</v>
      </c>
      <c r="O450">
        <v>2000900.9009009011</v>
      </c>
      <c r="P450">
        <v>1009009.009009012</v>
      </c>
      <c r="S450">
        <v>40984810.810810804</v>
      </c>
      <c r="T450">
        <v>40877000</v>
      </c>
      <c r="U450">
        <v>1665315.315315316</v>
      </c>
      <c r="V450">
        <v>464144.14414414403</v>
      </c>
      <c r="W450">
        <v>5520</v>
      </c>
      <c r="X450">
        <v>5444</v>
      </c>
    </row>
    <row r="451" spans="1:24">
      <c r="A451" s="7" t="s">
        <v>543</v>
      </c>
      <c r="B451" s="16" t="s">
        <v>80</v>
      </c>
      <c r="C451">
        <v>88594582.817339808</v>
      </c>
      <c r="D451">
        <v>73987900.205963671</v>
      </c>
      <c r="E451">
        <v>99735135.135135129</v>
      </c>
      <c r="F451">
        <v>35204954.954954959</v>
      </c>
      <c r="G451">
        <v>24</v>
      </c>
      <c r="H451">
        <v>26</v>
      </c>
      <c r="I451">
        <v>3</v>
      </c>
      <c r="J451">
        <v>4</v>
      </c>
      <c r="M451">
        <v>25</v>
      </c>
      <c r="N451">
        <v>32</v>
      </c>
      <c r="O451">
        <v>10702702.702702705</v>
      </c>
      <c r="P451">
        <v>10441441.441441439</v>
      </c>
      <c r="Q451">
        <v>9</v>
      </c>
      <c r="R451">
        <v>60</v>
      </c>
      <c r="S451">
        <v>30899000</v>
      </c>
      <c r="T451">
        <v>27516594.59459459</v>
      </c>
      <c r="U451">
        <v>8129369.3693693699</v>
      </c>
      <c r="V451">
        <v>7515945.9459459456</v>
      </c>
      <c r="W451">
        <v>2298</v>
      </c>
      <c r="X451">
        <v>2369</v>
      </c>
    </row>
    <row r="452" spans="1:24">
      <c r="A452" s="7" t="s">
        <v>544</v>
      </c>
      <c r="B452" s="16" t="s">
        <v>169</v>
      </c>
      <c r="C452">
        <v>99459087.059444427</v>
      </c>
      <c r="D452">
        <v>79079360.09775497</v>
      </c>
      <c r="F452">
        <v>277477.47747747699</v>
      </c>
      <c r="G452">
        <v>25</v>
      </c>
      <c r="H452">
        <v>14</v>
      </c>
      <c r="J452">
        <v>0</v>
      </c>
      <c r="M452">
        <v>25</v>
      </c>
      <c r="N452">
        <v>15</v>
      </c>
      <c r="O452">
        <v>2702702.702702702</v>
      </c>
      <c r="P452">
        <v>1178378.378378378</v>
      </c>
      <c r="S452">
        <v>40367421.621621624</v>
      </c>
      <c r="T452">
        <v>34065349.54954955</v>
      </c>
      <c r="U452">
        <v>2099369.369369369</v>
      </c>
      <c r="V452">
        <v>502882.88288288302</v>
      </c>
      <c r="W452">
        <v>2553</v>
      </c>
      <c r="X452">
        <v>2475</v>
      </c>
    </row>
    <row r="453" spans="1:24">
      <c r="A453" s="7" t="s">
        <v>545</v>
      </c>
      <c r="B453" s="16" t="s">
        <v>224</v>
      </c>
      <c r="C453">
        <v>21272.170603598999</v>
      </c>
      <c r="D453">
        <v>6557.0870177610004</v>
      </c>
      <c r="S453">
        <v>10585.585585586001</v>
      </c>
    </row>
    <row r="454" spans="1:24">
      <c r="A454" s="7" t="s">
        <v>546</v>
      </c>
      <c r="B454" s="16" t="s">
        <v>136</v>
      </c>
      <c r="C454">
        <v>203433940.96167454</v>
      </c>
      <c r="D454">
        <v>198443084.86884692</v>
      </c>
      <c r="E454">
        <v>331981.98198198102</v>
      </c>
      <c r="F454">
        <v>790990.99099099403</v>
      </c>
      <c r="G454">
        <v>72</v>
      </c>
      <c r="H454">
        <v>65</v>
      </c>
      <c r="I454">
        <v>7</v>
      </c>
      <c r="J454">
        <v>7</v>
      </c>
      <c r="M454">
        <v>79</v>
      </c>
      <c r="N454">
        <v>72</v>
      </c>
      <c r="O454">
        <v>44718738.738738738</v>
      </c>
      <c r="P454">
        <v>40847747.747747742</v>
      </c>
      <c r="Q454">
        <v>89</v>
      </c>
      <c r="R454">
        <v>62</v>
      </c>
      <c r="S454">
        <v>65411432.432432435</v>
      </c>
      <c r="T454">
        <v>63951917.117117122</v>
      </c>
      <c r="U454">
        <v>37220270.270270273</v>
      </c>
      <c r="V454">
        <v>34805225.225225225</v>
      </c>
      <c r="W454">
        <v>4465</v>
      </c>
      <c r="X454">
        <v>4928</v>
      </c>
    </row>
    <row r="455" spans="1:24">
      <c r="A455" s="7" t="s">
        <v>547</v>
      </c>
      <c r="B455" s="16" t="s">
        <v>136</v>
      </c>
      <c r="C455">
        <v>372713430.95695662</v>
      </c>
      <c r="D455">
        <v>379695012.77461869</v>
      </c>
      <c r="E455">
        <v>229902398.1981982</v>
      </c>
      <c r="F455">
        <v>225470956.75675678</v>
      </c>
      <c r="G455">
        <v>196</v>
      </c>
      <c r="H455">
        <v>187</v>
      </c>
      <c r="I455">
        <v>15</v>
      </c>
      <c r="J455">
        <v>19</v>
      </c>
      <c r="M455">
        <v>226</v>
      </c>
      <c r="N455">
        <v>217</v>
      </c>
      <c r="O455">
        <v>94344414.414414406</v>
      </c>
      <c r="P455">
        <v>92440540.540540546</v>
      </c>
      <c r="Q455">
        <v>330</v>
      </c>
      <c r="R455">
        <v>139</v>
      </c>
      <c r="S455">
        <v>117189994.5945946</v>
      </c>
      <c r="T455">
        <v>124804130.63063063</v>
      </c>
      <c r="U455">
        <v>81554637.837837845</v>
      </c>
      <c r="V455">
        <v>79412828.828828827</v>
      </c>
      <c r="W455">
        <v>12206</v>
      </c>
      <c r="X455">
        <v>15394</v>
      </c>
    </row>
    <row r="456" spans="1:24">
      <c r="A456" s="7" t="s">
        <v>548</v>
      </c>
      <c r="B456" s="16" t="s">
        <v>136</v>
      </c>
      <c r="C456">
        <v>425955606.2630899</v>
      </c>
      <c r="D456">
        <v>421209102.21976274</v>
      </c>
      <c r="E456">
        <v>1456756.7567567569</v>
      </c>
      <c r="F456">
        <v>3326126.1261261269</v>
      </c>
      <c r="G456">
        <v>125</v>
      </c>
      <c r="H456">
        <v>64</v>
      </c>
      <c r="I456">
        <v>5</v>
      </c>
      <c r="J456">
        <v>3</v>
      </c>
      <c r="M456">
        <v>136</v>
      </c>
      <c r="N456">
        <v>72</v>
      </c>
      <c r="O456">
        <v>20006756.756756756</v>
      </c>
      <c r="P456">
        <v>16209009.009009007</v>
      </c>
      <c r="Q456">
        <v>73</v>
      </c>
      <c r="R456">
        <v>28</v>
      </c>
      <c r="S456">
        <v>66680576.576576576</v>
      </c>
      <c r="T456">
        <v>69538088.288288295</v>
      </c>
      <c r="U456">
        <v>17386576.576576576</v>
      </c>
      <c r="V456">
        <v>15854504.504504506</v>
      </c>
      <c r="W456">
        <v>8230</v>
      </c>
      <c r="X456">
        <v>8553</v>
      </c>
    </row>
    <row r="457" spans="1:24">
      <c r="A457" s="7" t="s">
        <v>549</v>
      </c>
      <c r="B457" s="16" t="s">
        <v>136</v>
      </c>
      <c r="C457">
        <v>202012560.49926004</v>
      </c>
      <c r="D457">
        <v>173922290.429474</v>
      </c>
      <c r="E457">
        <v>347747.74774774798</v>
      </c>
      <c r="F457">
        <v>523423.42342342401</v>
      </c>
      <c r="G457">
        <v>50</v>
      </c>
      <c r="H457">
        <v>31</v>
      </c>
      <c r="I457">
        <v>6</v>
      </c>
      <c r="J457">
        <v>2</v>
      </c>
      <c r="M457">
        <v>55</v>
      </c>
      <c r="N457">
        <v>35</v>
      </c>
      <c r="O457">
        <v>17600540.540540539</v>
      </c>
      <c r="P457">
        <v>15289189.189189188</v>
      </c>
      <c r="Q457">
        <v>4</v>
      </c>
      <c r="R457">
        <v>16</v>
      </c>
      <c r="S457">
        <v>34920133.333333328</v>
      </c>
      <c r="T457">
        <v>29263126.126126129</v>
      </c>
      <c r="U457">
        <v>14538421.621621624</v>
      </c>
      <c r="V457">
        <v>11080900.9009009</v>
      </c>
      <c r="W457">
        <v>3896</v>
      </c>
      <c r="X457">
        <v>3711</v>
      </c>
    </row>
    <row r="458" spans="1:24">
      <c r="A458" s="7" t="s">
        <v>550</v>
      </c>
      <c r="B458" s="16" t="s">
        <v>87</v>
      </c>
      <c r="C458">
        <v>81787751.807856545</v>
      </c>
      <c r="D458">
        <v>70758926.20943433</v>
      </c>
      <c r="E458">
        <v>909909.90990991099</v>
      </c>
      <c r="F458">
        <v>133333.33333333299</v>
      </c>
      <c r="G458">
        <v>56</v>
      </c>
      <c r="H458">
        <v>27</v>
      </c>
      <c r="I458">
        <v>2</v>
      </c>
      <c r="J458">
        <v>2</v>
      </c>
      <c r="M458">
        <v>60</v>
      </c>
      <c r="N458">
        <v>35</v>
      </c>
      <c r="O458">
        <v>4918918.9189189188</v>
      </c>
      <c r="P458">
        <v>4616216.2162162159</v>
      </c>
      <c r="Q458">
        <v>6</v>
      </c>
      <c r="R458">
        <v>21</v>
      </c>
      <c r="S458">
        <v>14194709.90990991</v>
      </c>
      <c r="T458">
        <v>11091639.63963964</v>
      </c>
      <c r="U458">
        <v>4544954.9549549548</v>
      </c>
      <c r="V458">
        <v>4470720.7207207214</v>
      </c>
      <c r="W458">
        <v>1466</v>
      </c>
      <c r="X458">
        <v>1435</v>
      </c>
    </row>
    <row r="459" spans="1:24">
      <c r="A459" s="7" t="s">
        <v>551</v>
      </c>
      <c r="B459" s="16" t="s">
        <v>87</v>
      </c>
      <c r="C459">
        <v>119342069.65228836</v>
      </c>
      <c r="D459">
        <v>109685998.71677548</v>
      </c>
      <c r="E459">
        <v>48648.648648649003</v>
      </c>
      <c r="F459">
        <v>414414.41441441502</v>
      </c>
      <c r="G459">
        <v>117</v>
      </c>
      <c r="H459">
        <v>66</v>
      </c>
      <c r="I459">
        <v>3</v>
      </c>
      <c r="J459">
        <v>3</v>
      </c>
      <c r="K459">
        <v>1</v>
      </c>
      <c r="M459">
        <v>128</v>
      </c>
      <c r="N459">
        <v>80</v>
      </c>
      <c r="O459">
        <v>11913513.513513513</v>
      </c>
      <c r="P459">
        <v>11104504.504504504</v>
      </c>
      <c r="Q459">
        <v>7</v>
      </c>
      <c r="R459">
        <v>13</v>
      </c>
      <c r="S459">
        <v>16922207.207207207</v>
      </c>
      <c r="T459">
        <v>16934854.054054055</v>
      </c>
      <c r="U459">
        <v>8665855.8558558561</v>
      </c>
      <c r="V459">
        <v>7123783.7837837832</v>
      </c>
      <c r="W459">
        <v>2576</v>
      </c>
      <c r="X459">
        <v>2544</v>
      </c>
    </row>
    <row r="460" spans="1:24">
      <c r="A460" s="7" t="s">
        <v>552</v>
      </c>
      <c r="B460" s="16" t="s">
        <v>66</v>
      </c>
      <c r="C460">
        <v>219239250.00121248</v>
      </c>
      <c r="D460">
        <v>215607265.24436834</v>
      </c>
      <c r="E460">
        <v>1896126.126126128</v>
      </c>
      <c r="F460">
        <v>7189189.1891891891</v>
      </c>
      <c r="G460">
        <v>174</v>
      </c>
      <c r="H460">
        <v>136</v>
      </c>
      <c r="I460">
        <v>9</v>
      </c>
      <c r="J460">
        <v>4</v>
      </c>
      <c r="M460">
        <v>191</v>
      </c>
      <c r="N460">
        <v>162</v>
      </c>
      <c r="O460">
        <v>47626756.756756753</v>
      </c>
      <c r="P460">
        <v>189610720.72072071</v>
      </c>
      <c r="Q460">
        <v>517</v>
      </c>
      <c r="R460">
        <v>218</v>
      </c>
      <c r="S460">
        <v>92627855.855855852</v>
      </c>
      <c r="T460">
        <v>91314173.423423424</v>
      </c>
      <c r="U460">
        <v>45152522.522522517</v>
      </c>
      <c r="V460">
        <v>132286936.93693693</v>
      </c>
      <c r="W460">
        <v>8620</v>
      </c>
      <c r="X460">
        <v>9529</v>
      </c>
    </row>
    <row r="461" spans="1:24">
      <c r="A461" s="7" t="s">
        <v>553</v>
      </c>
      <c r="B461" s="16" t="s">
        <v>554</v>
      </c>
      <c r="C461">
        <v>465395088.83947045</v>
      </c>
      <c r="D461">
        <v>427639061.44706148</v>
      </c>
      <c r="E461">
        <v>10118018.01801802</v>
      </c>
      <c r="F461">
        <v>9459009.0090090111</v>
      </c>
      <c r="G461">
        <v>220</v>
      </c>
      <c r="H461">
        <v>68</v>
      </c>
      <c r="I461">
        <v>16</v>
      </c>
      <c r="J461">
        <v>14</v>
      </c>
      <c r="K461">
        <v>1</v>
      </c>
      <c r="M461">
        <v>331</v>
      </c>
      <c r="N461">
        <v>99</v>
      </c>
      <c r="O461">
        <v>39470630.630630635</v>
      </c>
      <c r="P461">
        <v>135267567.56756756</v>
      </c>
      <c r="Q461">
        <v>275</v>
      </c>
      <c r="R461">
        <v>287</v>
      </c>
      <c r="S461">
        <v>123679666.66666667</v>
      </c>
      <c r="T461">
        <v>117734081.08108109</v>
      </c>
      <c r="U461">
        <v>36711351.351351351</v>
      </c>
      <c r="V461">
        <v>135269549.54954955</v>
      </c>
      <c r="W461">
        <v>9106</v>
      </c>
      <c r="X461">
        <v>9147</v>
      </c>
    </row>
    <row r="462" spans="1:24">
      <c r="A462" s="7" t="s">
        <v>555</v>
      </c>
      <c r="B462" s="16" t="s">
        <v>554</v>
      </c>
      <c r="C462">
        <v>74151948.350005493</v>
      </c>
      <c r="D462">
        <v>66268634.911148667</v>
      </c>
      <c r="E462">
        <v>25211060.360360362</v>
      </c>
      <c r="F462">
        <v>164470122.52252254</v>
      </c>
      <c r="G462">
        <v>41</v>
      </c>
      <c r="H462">
        <v>26</v>
      </c>
      <c r="I462">
        <v>3</v>
      </c>
      <c r="J462">
        <v>3</v>
      </c>
      <c r="M462">
        <v>42</v>
      </c>
      <c r="N462">
        <v>28</v>
      </c>
      <c r="O462">
        <v>12467387.387387387</v>
      </c>
      <c r="P462">
        <v>10968468.468468469</v>
      </c>
      <c r="Q462">
        <v>35</v>
      </c>
      <c r="R462">
        <v>8</v>
      </c>
      <c r="S462">
        <v>26495495.495495494</v>
      </c>
      <c r="T462">
        <v>24485576.576576576</v>
      </c>
      <c r="U462">
        <v>7189189.1891891891</v>
      </c>
      <c r="V462">
        <v>9054414.4144144114</v>
      </c>
      <c r="W462">
        <v>1580</v>
      </c>
      <c r="X462">
        <v>1606</v>
      </c>
    </row>
    <row r="463" spans="1:24">
      <c r="A463" s="7" t="s">
        <v>556</v>
      </c>
      <c r="B463" s="16" t="s">
        <v>121</v>
      </c>
      <c r="C463">
        <v>50871359.956973799</v>
      </c>
      <c r="D463">
        <v>49607768.817717664</v>
      </c>
      <c r="E463">
        <v>37989883.783783786</v>
      </c>
      <c r="F463">
        <v>55550617.117117122</v>
      </c>
      <c r="G463">
        <v>40</v>
      </c>
      <c r="H463">
        <v>22</v>
      </c>
      <c r="I463">
        <v>1</v>
      </c>
      <c r="M463">
        <v>45</v>
      </c>
      <c r="N463">
        <v>26</v>
      </c>
      <c r="O463">
        <v>3450710.8108108109</v>
      </c>
      <c r="P463">
        <v>13545118.018018018</v>
      </c>
      <c r="Q463">
        <v>10</v>
      </c>
      <c r="S463">
        <v>4901396.3963963967</v>
      </c>
      <c r="T463">
        <v>4771297.297297297</v>
      </c>
      <c r="U463">
        <v>323783.78378378402</v>
      </c>
      <c r="V463">
        <v>118918.91891891899</v>
      </c>
      <c r="W463">
        <v>1438</v>
      </c>
      <c r="X463">
        <v>1342</v>
      </c>
    </row>
    <row r="464" spans="1:24">
      <c r="A464" s="7" t="s">
        <v>682</v>
      </c>
      <c r="B464" s="16" t="s">
        <v>236</v>
      </c>
      <c r="E464">
        <v>64692780.180180177</v>
      </c>
      <c r="F464">
        <v>28923332.432432432</v>
      </c>
      <c r="O464">
        <v>22342342.342342343</v>
      </c>
      <c r="P464">
        <v>22949549.549549554</v>
      </c>
    </row>
    <row r="465" spans="1:24">
      <c r="A465" s="7" t="s">
        <v>557</v>
      </c>
      <c r="B465" s="16" t="s">
        <v>70</v>
      </c>
      <c r="C465">
        <v>397180707.32739192</v>
      </c>
      <c r="D465">
        <v>396396658.3744204</v>
      </c>
      <c r="E465">
        <v>2331036.0360360341</v>
      </c>
      <c r="F465">
        <v>4233333.3333333395</v>
      </c>
      <c r="G465">
        <v>107</v>
      </c>
      <c r="H465">
        <v>90</v>
      </c>
      <c r="I465">
        <v>6</v>
      </c>
      <c r="J465">
        <v>22</v>
      </c>
      <c r="M465">
        <v>113</v>
      </c>
      <c r="N465">
        <v>107</v>
      </c>
      <c r="O465">
        <v>48023603.603603609</v>
      </c>
      <c r="P465">
        <v>54582882.882882886</v>
      </c>
      <c r="Q465">
        <v>27</v>
      </c>
      <c r="R465">
        <v>251</v>
      </c>
      <c r="S465">
        <v>162913135.13513514</v>
      </c>
      <c r="T465">
        <v>167287108.1081081</v>
      </c>
      <c r="U465">
        <v>51280180.180180177</v>
      </c>
      <c r="V465">
        <v>48044144.144144148</v>
      </c>
      <c r="W465">
        <v>10338</v>
      </c>
      <c r="X465">
        <v>10105</v>
      </c>
    </row>
    <row r="466" spans="1:24">
      <c r="A466" s="7" t="s">
        <v>558</v>
      </c>
      <c r="B466" s="16" t="s">
        <v>62</v>
      </c>
      <c r="C466">
        <v>716311992.3791362</v>
      </c>
      <c r="D466">
        <v>715202814.76503325</v>
      </c>
      <c r="E466">
        <v>5202702.7027027104</v>
      </c>
      <c r="F466">
        <v>12227027.02702703</v>
      </c>
      <c r="G466">
        <v>223</v>
      </c>
      <c r="H466">
        <v>247</v>
      </c>
      <c r="I466">
        <v>24</v>
      </c>
      <c r="J466">
        <v>17</v>
      </c>
      <c r="K466">
        <v>7</v>
      </c>
      <c r="M466">
        <v>260</v>
      </c>
      <c r="N466">
        <v>391</v>
      </c>
      <c r="O466">
        <v>54655945.945945941</v>
      </c>
      <c r="P466">
        <v>117909189.18918918</v>
      </c>
      <c r="Q466">
        <v>115</v>
      </c>
      <c r="R466">
        <v>279</v>
      </c>
      <c r="S466">
        <v>164534800</v>
      </c>
      <c r="T466">
        <v>165088995.4954955</v>
      </c>
      <c r="U466">
        <v>52248198.198198192</v>
      </c>
      <c r="V466">
        <v>110458918.91891891</v>
      </c>
      <c r="W466">
        <v>17998</v>
      </c>
      <c r="X466">
        <v>18291</v>
      </c>
    </row>
    <row r="467" spans="1:24">
      <c r="A467" s="7" t="s">
        <v>559</v>
      </c>
      <c r="B467" s="16" t="s">
        <v>479</v>
      </c>
      <c r="C467">
        <v>380048114.44179642</v>
      </c>
      <c r="D467">
        <v>337637932.8555488</v>
      </c>
      <c r="E467">
        <v>902702.70270270295</v>
      </c>
      <c r="F467">
        <v>3336936.9369369401</v>
      </c>
      <c r="G467">
        <v>178</v>
      </c>
      <c r="H467">
        <v>122</v>
      </c>
      <c r="I467">
        <v>16</v>
      </c>
      <c r="J467">
        <v>23</v>
      </c>
      <c r="K467">
        <v>2</v>
      </c>
      <c r="M467">
        <v>192</v>
      </c>
      <c r="N467">
        <v>157</v>
      </c>
      <c r="O467">
        <v>37747747.747747749</v>
      </c>
      <c r="P467">
        <v>55978108.108108111</v>
      </c>
      <c r="Q467">
        <v>41</v>
      </c>
      <c r="R467">
        <v>15</v>
      </c>
      <c r="S467">
        <v>108317899.0990991</v>
      </c>
      <c r="T467">
        <v>103409935.13513513</v>
      </c>
      <c r="U467">
        <v>39053423.423423424</v>
      </c>
      <c r="V467">
        <v>45282612.612612613</v>
      </c>
      <c r="W467">
        <v>8040</v>
      </c>
      <c r="X467">
        <v>7824</v>
      </c>
    </row>
    <row r="468" spans="1:24">
      <c r="A468" s="7" t="s">
        <v>560</v>
      </c>
      <c r="B468" s="16" t="s">
        <v>236</v>
      </c>
      <c r="C468">
        <v>57171383.370918207</v>
      </c>
      <c r="D468">
        <v>58977920.749976955</v>
      </c>
      <c r="E468">
        <v>37837.837837838997</v>
      </c>
      <c r="F468">
        <v>428828.82882882998</v>
      </c>
      <c r="G468">
        <v>21</v>
      </c>
      <c r="H468">
        <v>20</v>
      </c>
      <c r="I468">
        <v>2</v>
      </c>
      <c r="J468">
        <v>2</v>
      </c>
      <c r="M468">
        <v>25</v>
      </c>
      <c r="N468">
        <v>23</v>
      </c>
      <c r="O468">
        <v>5027927.927927929</v>
      </c>
      <c r="P468">
        <v>3351081.0810810798</v>
      </c>
      <c r="Q468">
        <v>4</v>
      </c>
      <c r="R468">
        <v>2</v>
      </c>
      <c r="S468">
        <v>21390675.675675675</v>
      </c>
      <c r="T468">
        <v>22348396.396396395</v>
      </c>
      <c r="U468">
        <v>4946036.036036036</v>
      </c>
      <c r="V468">
        <v>3857297.2972972961</v>
      </c>
      <c r="W468">
        <v>2180</v>
      </c>
      <c r="X468">
        <v>2264</v>
      </c>
    </row>
    <row r="469" spans="1:24">
      <c r="A469" s="7" t="s">
        <v>561</v>
      </c>
      <c r="B469" s="16" t="s">
        <v>60</v>
      </c>
      <c r="C469">
        <v>55150355.917374723</v>
      </c>
      <c r="D469">
        <v>55204164.285905682</v>
      </c>
      <c r="E469">
        <v>626576.57657657703</v>
      </c>
      <c r="F469">
        <v>1988288.2882882869</v>
      </c>
      <c r="G469">
        <v>17</v>
      </c>
      <c r="H469">
        <v>19</v>
      </c>
      <c r="I469">
        <v>2</v>
      </c>
      <c r="J469">
        <v>6</v>
      </c>
      <c r="M469">
        <v>20</v>
      </c>
      <c r="N469">
        <v>35</v>
      </c>
      <c r="O469">
        <v>12185135.135135137</v>
      </c>
      <c r="P469">
        <v>16429729.729729732</v>
      </c>
      <c r="Q469">
        <v>47</v>
      </c>
      <c r="R469">
        <v>58</v>
      </c>
      <c r="S469">
        <v>19183828.828828827</v>
      </c>
      <c r="T469">
        <v>19879153.153153151</v>
      </c>
      <c r="U469">
        <v>11643153.153153151</v>
      </c>
      <c r="V469">
        <v>14964324.324324325</v>
      </c>
      <c r="W469">
        <v>1250</v>
      </c>
      <c r="X469">
        <v>1275</v>
      </c>
    </row>
    <row r="470" spans="1:24">
      <c r="A470" s="7" t="s">
        <v>562</v>
      </c>
      <c r="B470" s="16" t="s">
        <v>563</v>
      </c>
      <c r="C470">
        <v>299794283.79459232</v>
      </c>
      <c r="D470">
        <v>309678361.97356516</v>
      </c>
      <c r="E470">
        <v>170296792.7927928</v>
      </c>
      <c r="F470">
        <v>627753799.09909916</v>
      </c>
      <c r="G470">
        <v>261</v>
      </c>
      <c r="H470">
        <v>303</v>
      </c>
      <c r="I470">
        <v>20</v>
      </c>
      <c r="J470">
        <v>25</v>
      </c>
      <c r="M470">
        <v>519</v>
      </c>
      <c r="N470">
        <v>706</v>
      </c>
      <c r="O470">
        <v>164162756.75675678</v>
      </c>
      <c r="P470">
        <v>469868439.63963962</v>
      </c>
      <c r="Q470">
        <v>367</v>
      </c>
      <c r="R470">
        <v>116</v>
      </c>
      <c r="S470">
        <v>123186711.7117117</v>
      </c>
      <c r="T470">
        <v>130373234.23423424</v>
      </c>
      <c r="U470">
        <v>160726945.94594595</v>
      </c>
      <c r="V470">
        <v>228828980.18018019</v>
      </c>
      <c r="W470">
        <v>9931</v>
      </c>
      <c r="X470">
        <v>9861</v>
      </c>
    </row>
    <row r="471" spans="1:24">
      <c r="A471" s="7" t="s">
        <v>564</v>
      </c>
      <c r="B471" s="16" t="s">
        <v>563</v>
      </c>
      <c r="C471">
        <v>421368101.23929805</v>
      </c>
      <c r="D471">
        <v>418969125.6635502</v>
      </c>
      <c r="E471">
        <v>1464324.324324328</v>
      </c>
      <c r="F471">
        <v>4845045.045045048</v>
      </c>
      <c r="G471">
        <v>139</v>
      </c>
      <c r="H471">
        <v>145</v>
      </c>
      <c r="I471">
        <v>22</v>
      </c>
      <c r="J471">
        <v>20</v>
      </c>
      <c r="M471">
        <v>170</v>
      </c>
      <c r="N471">
        <v>155</v>
      </c>
      <c r="O471">
        <v>46365855.855855852</v>
      </c>
      <c r="P471">
        <v>41175091.891891889</v>
      </c>
      <c r="Q471">
        <v>441</v>
      </c>
      <c r="R471">
        <v>225</v>
      </c>
      <c r="S471">
        <v>171132432.43243244</v>
      </c>
      <c r="T471">
        <v>173588522.52252254</v>
      </c>
      <c r="U471">
        <v>53149909.909909911</v>
      </c>
      <c r="V471">
        <v>44700315.315315314</v>
      </c>
      <c r="W471">
        <v>12151</v>
      </c>
      <c r="X471">
        <v>12242</v>
      </c>
    </row>
    <row r="472" spans="1:24">
      <c r="A472" s="7" t="s">
        <v>565</v>
      </c>
      <c r="B472" s="16" t="s">
        <v>563</v>
      </c>
      <c r="C472">
        <v>306079084.40682566</v>
      </c>
      <c r="D472">
        <v>303396422.9055534</v>
      </c>
      <c r="E472">
        <v>2257387.3873873889</v>
      </c>
      <c r="F472">
        <v>4316846.8468468497</v>
      </c>
      <c r="G472">
        <v>100</v>
      </c>
      <c r="H472">
        <v>280</v>
      </c>
      <c r="I472">
        <v>23</v>
      </c>
      <c r="J472">
        <v>16</v>
      </c>
      <c r="K472">
        <v>1</v>
      </c>
      <c r="M472">
        <v>133</v>
      </c>
      <c r="N472">
        <v>369</v>
      </c>
      <c r="O472">
        <v>41207747.747747742</v>
      </c>
      <c r="P472">
        <v>35894280.180180185</v>
      </c>
      <c r="Q472">
        <v>319</v>
      </c>
      <c r="R472">
        <v>381</v>
      </c>
      <c r="S472">
        <v>129393504.50450452</v>
      </c>
      <c r="T472">
        <v>136214612.61261261</v>
      </c>
      <c r="U472">
        <v>43284324.324324317</v>
      </c>
      <c r="V472">
        <v>31829009.009009007</v>
      </c>
      <c r="W472">
        <v>12101</v>
      </c>
      <c r="X472">
        <v>11374</v>
      </c>
    </row>
    <row r="473" spans="1:24">
      <c r="A473" s="7" t="s">
        <v>566</v>
      </c>
      <c r="B473" s="16" t="s">
        <v>563</v>
      </c>
      <c r="C473">
        <v>196861923.83127284</v>
      </c>
      <c r="D473">
        <v>200182971.3904016</v>
      </c>
      <c r="E473">
        <v>283783.78378378402</v>
      </c>
      <c r="F473">
        <v>2326126.1261261259</v>
      </c>
      <c r="G473">
        <v>33</v>
      </c>
      <c r="H473">
        <v>20</v>
      </c>
      <c r="I473">
        <v>7</v>
      </c>
      <c r="J473">
        <v>15</v>
      </c>
      <c r="M473">
        <v>42</v>
      </c>
      <c r="N473">
        <v>30</v>
      </c>
      <c r="O473">
        <v>33321399.0990991</v>
      </c>
      <c r="P473">
        <v>34252178.378378376</v>
      </c>
      <c r="Q473">
        <v>137</v>
      </c>
      <c r="R473">
        <v>111</v>
      </c>
      <c r="S473">
        <v>111870531.53153154</v>
      </c>
      <c r="T473">
        <v>118911405.4054054</v>
      </c>
      <c r="U473">
        <v>32293918.918918919</v>
      </c>
      <c r="V473">
        <v>32407972.97297297</v>
      </c>
      <c r="W473">
        <v>6669</v>
      </c>
      <c r="X473">
        <v>6364</v>
      </c>
    </row>
    <row r="474" spans="1:24">
      <c r="A474" s="7" t="s">
        <v>567</v>
      </c>
      <c r="B474" s="16" t="s">
        <v>563</v>
      </c>
      <c r="C474">
        <v>117452435.92298089</v>
      </c>
      <c r="D474">
        <v>117633151.65035188</v>
      </c>
      <c r="E474">
        <v>36783333.333333336</v>
      </c>
      <c r="F474">
        <v>36727567.567567565</v>
      </c>
      <c r="G474">
        <v>37</v>
      </c>
      <c r="H474">
        <v>33</v>
      </c>
      <c r="I474">
        <v>3</v>
      </c>
      <c r="J474">
        <v>14</v>
      </c>
      <c r="K474">
        <v>4</v>
      </c>
      <c r="M474">
        <v>44</v>
      </c>
      <c r="N474">
        <v>43</v>
      </c>
      <c r="O474">
        <v>37045495.495495498</v>
      </c>
      <c r="P474">
        <v>34279992.79279279</v>
      </c>
      <c r="Q474">
        <v>399</v>
      </c>
      <c r="R474">
        <v>80</v>
      </c>
      <c r="S474">
        <v>46520720.720720723</v>
      </c>
      <c r="T474">
        <v>47663772.972972974</v>
      </c>
      <c r="U474">
        <v>32270405.40540541</v>
      </c>
      <c r="V474">
        <v>22831531.531531528</v>
      </c>
      <c r="W474">
        <v>4659</v>
      </c>
      <c r="X474">
        <v>4755</v>
      </c>
    </row>
    <row r="475" spans="1:24">
      <c r="A475" s="7" t="s">
        <v>568</v>
      </c>
      <c r="B475" s="16" t="s">
        <v>48</v>
      </c>
      <c r="C475">
        <v>276862071.87611449</v>
      </c>
      <c r="D475">
        <v>261504787.73969996</v>
      </c>
      <c r="E475">
        <v>199549.54954954999</v>
      </c>
      <c r="F475">
        <v>1236036.036036039</v>
      </c>
      <c r="G475">
        <v>11</v>
      </c>
      <c r="H475">
        <v>11</v>
      </c>
      <c r="I475">
        <v>1</v>
      </c>
      <c r="J475">
        <v>6</v>
      </c>
      <c r="M475">
        <v>13</v>
      </c>
      <c r="N475">
        <v>58</v>
      </c>
      <c r="O475">
        <v>13713063.063063065</v>
      </c>
      <c r="P475">
        <v>11145945.945945948</v>
      </c>
      <c r="Q475">
        <v>5</v>
      </c>
      <c r="S475">
        <v>31439178.37837838</v>
      </c>
      <c r="T475">
        <v>32994536.936936937</v>
      </c>
      <c r="U475">
        <v>10310090.090090089</v>
      </c>
      <c r="V475">
        <v>10793333.333333332</v>
      </c>
      <c r="W475">
        <v>6278</v>
      </c>
      <c r="X475">
        <v>5989</v>
      </c>
    </row>
    <row r="476" spans="1:24">
      <c r="A476" s="7" t="s">
        <v>569</v>
      </c>
      <c r="B476" s="16" t="s">
        <v>169</v>
      </c>
      <c r="C476">
        <v>4094621659.1883254</v>
      </c>
      <c r="D476">
        <v>4122254994.5119872</v>
      </c>
      <c r="E476">
        <v>3521136075.6756759</v>
      </c>
      <c r="F476">
        <v>3329785122.5225224</v>
      </c>
      <c r="G476">
        <v>871</v>
      </c>
      <c r="H476">
        <v>1300</v>
      </c>
      <c r="I476">
        <v>73</v>
      </c>
      <c r="J476">
        <v>63</v>
      </c>
      <c r="K476">
        <v>6</v>
      </c>
      <c r="M476">
        <v>1138</v>
      </c>
      <c r="N476">
        <v>1820</v>
      </c>
      <c r="O476">
        <v>1372640351.3513513</v>
      </c>
      <c r="P476">
        <v>504340275.67567563</v>
      </c>
      <c r="Q476">
        <v>1624</v>
      </c>
      <c r="R476">
        <v>1045</v>
      </c>
      <c r="S476">
        <v>2528077419.8198199</v>
      </c>
      <c r="T476">
        <v>2755576581.0810809</v>
      </c>
      <c r="U476">
        <v>490596079.27927929</v>
      </c>
      <c r="V476">
        <v>477144050.45045042</v>
      </c>
      <c r="W476">
        <v>59374</v>
      </c>
      <c r="X476">
        <v>59119</v>
      </c>
    </row>
    <row r="477" spans="1:24">
      <c r="A477" s="7" t="s">
        <v>683</v>
      </c>
      <c r="B477" s="16" t="s">
        <v>117</v>
      </c>
      <c r="E477">
        <v>16328828.828828828</v>
      </c>
      <c r="F477">
        <v>4617117.1171171172</v>
      </c>
      <c r="O477">
        <v>4918693.6936936937</v>
      </c>
      <c r="P477">
        <v>2024324.324324324</v>
      </c>
    </row>
    <row r="478" spans="1:24">
      <c r="A478" s="7" t="s">
        <v>570</v>
      </c>
      <c r="B478" s="16" t="s">
        <v>220</v>
      </c>
      <c r="C478">
        <v>258763349.09157705</v>
      </c>
      <c r="D478">
        <v>237843795.36356106</v>
      </c>
      <c r="E478">
        <v>689189.18918919098</v>
      </c>
      <c r="F478">
        <v>1236036.0360360381</v>
      </c>
      <c r="G478">
        <v>30</v>
      </c>
      <c r="H478">
        <v>22</v>
      </c>
      <c r="I478">
        <v>3</v>
      </c>
      <c r="J478">
        <v>3</v>
      </c>
      <c r="M478">
        <v>31</v>
      </c>
      <c r="N478">
        <v>24</v>
      </c>
      <c r="O478">
        <v>10877027.027027028</v>
      </c>
      <c r="P478">
        <v>11383513.513513513</v>
      </c>
      <c r="Q478">
        <v>150</v>
      </c>
      <c r="S478">
        <v>41716801.801801801</v>
      </c>
      <c r="T478">
        <v>39933099.099099107</v>
      </c>
      <c r="U478">
        <v>11602882.882882882</v>
      </c>
      <c r="V478">
        <v>10533243.24324324</v>
      </c>
      <c r="W478">
        <v>5091</v>
      </c>
      <c r="X478">
        <v>4855</v>
      </c>
    </row>
    <row r="479" spans="1:24">
      <c r="A479" s="7" t="s">
        <v>571</v>
      </c>
      <c r="B479" s="16" t="s">
        <v>85</v>
      </c>
      <c r="C479">
        <v>287201569.42917269</v>
      </c>
      <c r="D479">
        <v>285729329.8447932</v>
      </c>
      <c r="E479">
        <v>755855.85585585597</v>
      </c>
      <c r="F479">
        <v>225225.22522522701</v>
      </c>
      <c r="G479">
        <v>24</v>
      </c>
      <c r="H479">
        <v>30</v>
      </c>
      <c r="I479">
        <v>2</v>
      </c>
      <c r="J479">
        <v>3</v>
      </c>
      <c r="M479">
        <v>25</v>
      </c>
      <c r="N479">
        <v>32</v>
      </c>
      <c r="O479">
        <v>7116216.2162162177</v>
      </c>
      <c r="P479">
        <v>21164042.342342347</v>
      </c>
      <c r="Q479">
        <v>172</v>
      </c>
      <c r="S479">
        <v>64182870.270270273</v>
      </c>
      <c r="T479">
        <v>66009214.414414413</v>
      </c>
      <c r="U479">
        <v>8293153.1531531531</v>
      </c>
      <c r="V479">
        <v>17568648.648648653</v>
      </c>
      <c r="W479">
        <v>4983</v>
      </c>
      <c r="X479">
        <v>4980</v>
      </c>
    </row>
    <row r="480" spans="1:24">
      <c r="A480" s="7" t="s">
        <v>572</v>
      </c>
      <c r="B480" s="16" t="s">
        <v>479</v>
      </c>
      <c r="C480">
        <v>141407195.69422036</v>
      </c>
      <c r="D480">
        <v>153511035.49411559</v>
      </c>
      <c r="E480">
        <v>43076801.801801808</v>
      </c>
      <c r="F480">
        <v>31465765.765765768</v>
      </c>
      <c r="G480">
        <v>70</v>
      </c>
      <c r="H480">
        <v>95</v>
      </c>
      <c r="I480">
        <v>6</v>
      </c>
      <c r="J480">
        <v>7</v>
      </c>
      <c r="M480">
        <v>149</v>
      </c>
      <c r="N480">
        <v>133</v>
      </c>
      <c r="O480">
        <v>30146981.981981985</v>
      </c>
      <c r="P480">
        <v>28561261.261261266</v>
      </c>
      <c r="Q480">
        <v>16</v>
      </c>
      <c r="R480">
        <v>5</v>
      </c>
      <c r="S480">
        <v>50745495.495495498</v>
      </c>
      <c r="T480">
        <v>62819697.297297299</v>
      </c>
      <c r="U480">
        <v>25681621.62162162</v>
      </c>
      <c r="V480">
        <v>23880360.360360362</v>
      </c>
      <c r="W480">
        <v>5248</v>
      </c>
      <c r="X480">
        <v>5158</v>
      </c>
    </row>
    <row r="481" spans="1:24">
      <c r="A481" s="7" t="s">
        <v>573</v>
      </c>
      <c r="B481" s="16" t="s">
        <v>94</v>
      </c>
      <c r="C481">
        <v>407460015.30310583</v>
      </c>
      <c r="D481">
        <v>393679040.72043198</v>
      </c>
      <c r="E481">
        <v>1534234.2342342359</v>
      </c>
      <c r="F481">
        <v>2304504.5045045041</v>
      </c>
      <c r="G481">
        <v>114</v>
      </c>
      <c r="H481">
        <v>70</v>
      </c>
      <c r="I481">
        <v>10</v>
      </c>
      <c r="J481">
        <v>7</v>
      </c>
      <c r="M481">
        <v>133</v>
      </c>
      <c r="N481">
        <v>102</v>
      </c>
      <c r="O481">
        <v>484791891.8918919</v>
      </c>
      <c r="P481">
        <v>845646846.84684682</v>
      </c>
      <c r="Q481">
        <v>95</v>
      </c>
      <c r="R481">
        <v>205</v>
      </c>
      <c r="S481">
        <v>90095301.801801801</v>
      </c>
      <c r="T481">
        <v>87055658.108108118</v>
      </c>
      <c r="U481">
        <v>29273153.153153151</v>
      </c>
      <c r="V481">
        <v>32338558.558558561</v>
      </c>
      <c r="W481">
        <v>9609</v>
      </c>
      <c r="X481">
        <v>9630</v>
      </c>
    </row>
    <row r="482" spans="1:24">
      <c r="A482" s="7" t="s">
        <v>574</v>
      </c>
      <c r="B482" s="16" t="s">
        <v>307</v>
      </c>
      <c r="C482">
        <v>900994033.355618</v>
      </c>
      <c r="D482">
        <v>907070212.11891007</v>
      </c>
      <c r="E482">
        <v>183272837.83783782</v>
      </c>
      <c r="F482">
        <v>371762792.79279286</v>
      </c>
      <c r="G482">
        <v>278</v>
      </c>
      <c r="H482">
        <v>379</v>
      </c>
      <c r="I482">
        <v>15</v>
      </c>
      <c r="J482">
        <v>21</v>
      </c>
      <c r="M482">
        <v>320</v>
      </c>
      <c r="N482">
        <v>490</v>
      </c>
      <c r="O482">
        <v>821561666.66666663</v>
      </c>
      <c r="P482">
        <v>945845360.36036026</v>
      </c>
      <c r="Q482">
        <v>1572</v>
      </c>
      <c r="R482">
        <v>1701</v>
      </c>
      <c r="S482">
        <v>354990711.71171176</v>
      </c>
      <c r="T482">
        <v>364348390.54054052</v>
      </c>
      <c r="U482">
        <v>84981306.306306303</v>
      </c>
      <c r="V482">
        <v>203255450.45045045</v>
      </c>
      <c r="W482">
        <v>32364</v>
      </c>
      <c r="X482">
        <v>33087</v>
      </c>
    </row>
    <row r="483" spans="1:24">
      <c r="A483" s="7" t="s">
        <v>10</v>
      </c>
      <c r="B483" s="16" t="s">
        <v>193</v>
      </c>
      <c r="C483">
        <v>151877669.30633467</v>
      </c>
      <c r="D483">
        <v>145032868.49590403</v>
      </c>
      <c r="G483">
        <v>9</v>
      </c>
      <c r="H483">
        <v>22</v>
      </c>
      <c r="J483">
        <v>0</v>
      </c>
      <c r="M483">
        <v>9</v>
      </c>
      <c r="N483">
        <v>23</v>
      </c>
      <c r="S483">
        <v>88015180.180180177</v>
      </c>
      <c r="T483">
        <v>87467358.558558553</v>
      </c>
      <c r="V483">
        <v>19639.639639640001</v>
      </c>
      <c r="W483">
        <v>3908</v>
      </c>
      <c r="X483">
        <v>3604</v>
      </c>
    </row>
    <row r="484" spans="1:24">
      <c r="A484" s="7" t="s">
        <v>575</v>
      </c>
      <c r="B484" s="16" t="s">
        <v>87</v>
      </c>
      <c r="C484">
        <v>3549223.5306836129</v>
      </c>
      <c r="D484">
        <v>3263643.3051873408</v>
      </c>
      <c r="G484">
        <v>4</v>
      </c>
      <c r="H484">
        <v>16</v>
      </c>
      <c r="M484">
        <v>4</v>
      </c>
      <c r="N484">
        <v>18</v>
      </c>
      <c r="S484">
        <v>1075225.2252252251</v>
      </c>
      <c r="T484">
        <v>1135872.072072072</v>
      </c>
      <c r="W484">
        <v>244</v>
      </c>
      <c r="X484">
        <v>242</v>
      </c>
    </row>
    <row r="485" spans="1:24">
      <c r="A485" s="7" t="s">
        <v>576</v>
      </c>
      <c r="B485" s="16" t="s">
        <v>283</v>
      </c>
      <c r="C485">
        <v>214550870.91451705</v>
      </c>
      <c r="D485">
        <v>201378754.52125186</v>
      </c>
      <c r="E485">
        <v>35135.135135135002</v>
      </c>
      <c r="F485">
        <v>323423.42342342302</v>
      </c>
      <c r="G485">
        <v>52</v>
      </c>
      <c r="H485">
        <v>24</v>
      </c>
      <c r="I485">
        <v>2</v>
      </c>
      <c r="J485">
        <v>0</v>
      </c>
      <c r="M485">
        <v>55</v>
      </c>
      <c r="N485">
        <v>27</v>
      </c>
      <c r="O485">
        <v>10125225.225225223</v>
      </c>
      <c r="P485">
        <v>16143243.243243244</v>
      </c>
      <c r="R485">
        <v>8</v>
      </c>
      <c r="S485">
        <v>29789684.684684683</v>
      </c>
      <c r="T485">
        <v>31954702.702702705</v>
      </c>
      <c r="U485">
        <v>8023243.2432432417</v>
      </c>
      <c r="V485">
        <v>15958018.01801802</v>
      </c>
      <c r="W485">
        <v>3613</v>
      </c>
      <c r="X485">
        <v>3566</v>
      </c>
    </row>
    <row r="486" spans="1:24">
      <c r="A486" s="7" t="s">
        <v>577</v>
      </c>
      <c r="B486" s="16" t="s">
        <v>307</v>
      </c>
      <c r="C486">
        <v>896096040.17738199</v>
      </c>
      <c r="D486">
        <v>859487330.25479174</v>
      </c>
      <c r="E486">
        <v>1685855.8558558589</v>
      </c>
      <c r="F486">
        <v>8220270.270270275</v>
      </c>
      <c r="G486">
        <v>429</v>
      </c>
      <c r="H486">
        <v>383</v>
      </c>
      <c r="I486">
        <v>31</v>
      </c>
      <c r="J486">
        <v>27</v>
      </c>
      <c r="M486">
        <v>523</v>
      </c>
      <c r="N486">
        <v>477</v>
      </c>
      <c r="O486">
        <v>87157612.612612605</v>
      </c>
      <c r="P486">
        <v>122193963.96396397</v>
      </c>
      <c r="Q486">
        <v>1284</v>
      </c>
      <c r="R486">
        <v>1042</v>
      </c>
      <c r="S486">
        <v>344090639.63963962</v>
      </c>
      <c r="T486">
        <v>363857756.75675672</v>
      </c>
      <c r="U486">
        <v>83574684.684684694</v>
      </c>
      <c r="V486">
        <v>99649819.819819823</v>
      </c>
      <c r="W486">
        <v>37904</v>
      </c>
      <c r="X486">
        <v>37816</v>
      </c>
    </row>
    <row r="487" spans="1:24">
      <c r="A487" s="7" t="s">
        <v>578</v>
      </c>
      <c r="B487" s="16" t="s">
        <v>330</v>
      </c>
      <c r="C487">
        <v>854156769.69949555</v>
      </c>
      <c r="D487">
        <v>806640860.47352135</v>
      </c>
      <c r="E487">
        <v>2263513.5135135171</v>
      </c>
      <c r="F487">
        <v>7690540.5405405452</v>
      </c>
      <c r="G487">
        <v>301</v>
      </c>
      <c r="H487">
        <v>310</v>
      </c>
      <c r="I487">
        <v>32</v>
      </c>
      <c r="J487">
        <v>32</v>
      </c>
      <c r="K487">
        <v>5</v>
      </c>
      <c r="M487">
        <v>396</v>
      </c>
      <c r="N487">
        <v>393</v>
      </c>
      <c r="O487">
        <v>159471891.8918919</v>
      </c>
      <c r="P487">
        <v>148061261.26126125</v>
      </c>
      <c r="Q487">
        <v>790</v>
      </c>
      <c r="R487">
        <v>221</v>
      </c>
      <c r="S487">
        <v>169337027.02702704</v>
      </c>
      <c r="T487">
        <v>176567981.98198199</v>
      </c>
      <c r="U487">
        <v>155327657.65765765</v>
      </c>
      <c r="V487">
        <v>135568288.2882883</v>
      </c>
      <c r="W487">
        <v>28562</v>
      </c>
      <c r="X487">
        <v>27836</v>
      </c>
    </row>
    <row r="488" spans="1:24">
      <c r="A488" s="7" t="s">
        <v>579</v>
      </c>
      <c r="B488" s="16" t="s">
        <v>66</v>
      </c>
      <c r="C488">
        <v>129748009.46064666</v>
      </c>
      <c r="D488">
        <v>123361985.15546708</v>
      </c>
      <c r="E488">
        <v>144594.59459459499</v>
      </c>
      <c r="F488">
        <v>337837.83783783799</v>
      </c>
      <c r="G488">
        <v>27</v>
      </c>
      <c r="H488">
        <v>19</v>
      </c>
      <c r="I488">
        <v>1</v>
      </c>
      <c r="J488">
        <v>0</v>
      </c>
      <c r="M488">
        <v>34</v>
      </c>
      <c r="N488">
        <v>22</v>
      </c>
      <c r="O488">
        <v>2033333.3333333349</v>
      </c>
      <c r="P488">
        <v>3751801.8018018021</v>
      </c>
      <c r="Q488">
        <v>24</v>
      </c>
      <c r="R488">
        <v>15</v>
      </c>
      <c r="S488">
        <v>32044054.054054055</v>
      </c>
      <c r="T488">
        <v>32636121.62162162</v>
      </c>
      <c r="U488">
        <v>2339369.3693693709</v>
      </c>
      <c r="V488">
        <v>3019279.2792792781</v>
      </c>
      <c r="W488">
        <v>3234</v>
      </c>
      <c r="X488">
        <v>3367</v>
      </c>
    </row>
    <row r="489" spans="1:24">
      <c r="A489" s="7" t="s">
        <v>580</v>
      </c>
      <c r="B489" s="16" t="s">
        <v>236</v>
      </c>
      <c r="C489">
        <v>3.9162587420000001</v>
      </c>
      <c r="D489">
        <v>12011.332970474001</v>
      </c>
      <c r="E489">
        <v>30337162.162162159</v>
      </c>
      <c r="F489">
        <v>79752252.252252251</v>
      </c>
      <c r="O489">
        <v>474324.32432432403</v>
      </c>
      <c r="P489">
        <v>777927.92792792805</v>
      </c>
    </row>
    <row r="490" spans="1:24">
      <c r="A490" s="7" t="s">
        <v>581</v>
      </c>
      <c r="B490" s="16" t="s">
        <v>62</v>
      </c>
      <c r="C490">
        <v>325521044.16063654</v>
      </c>
      <c r="D490">
        <v>318275321.7058816</v>
      </c>
      <c r="E490">
        <v>1543693.6936936991</v>
      </c>
      <c r="F490">
        <v>3136036.0360360462</v>
      </c>
      <c r="G490">
        <v>125</v>
      </c>
      <c r="H490">
        <v>188</v>
      </c>
      <c r="I490">
        <v>17</v>
      </c>
      <c r="J490">
        <v>21</v>
      </c>
      <c r="M490">
        <v>135</v>
      </c>
      <c r="N490">
        <v>191</v>
      </c>
      <c r="O490">
        <v>28525675.675675675</v>
      </c>
      <c r="P490">
        <v>29878378.378378376</v>
      </c>
      <c r="Q490">
        <v>62</v>
      </c>
      <c r="R490">
        <v>124</v>
      </c>
      <c r="S490">
        <v>71907198.198198199</v>
      </c>
      <c r="T490">
        <v>72487639.639639631</v>
      </c>
      <c r="U490">
        <v>26853153.153153151</v>
      </c>
      <c r="V490">
        <v>29200180.180180181</v>
      </c>
      <c r="W490">
        <v>6665</v>
      </c>
      <c r="X490">
        <v>6746</v>
      </c>
    </row>
    <row r="491" spans="1:24">
      <c r="A491" s="7" t="s">
        <v>582</v>
      </c>
      <c r="B491" s="16" t="s">
        <v>48</v>
      </c>
      <c r="C491">
        <v>321147961.33597338</v>
      </c>
      <c r="D491">
        <v>290477461.95661962</v>
      </c>
      <c r="E491">
        <v>2575765.7657657652</v>
      </c>
      <c r="F491">
        <v>1550045.0450450459</v>
      </c>
      <c r="G491">
        <v>93</v>
      </c>
      <c r="H491">
        <v>43</v>
      </c>
      <c r="I491">
        <v>3</v>
      </c>
      <c r="J491">
        <v>3</v>
      </c>
      <c r="M491">
        <v>94</v>
      </c>
      <c r="N491">
        <v>52</v>
      </c>
      <c r="O491">
        <v>42592162.162162162</v>
      </c>
      <c r="P491">
        <v>107942432.43243243</v>
      </c>
      <c r="Q491">
        <v>1</v>
      </c>
      <c r="S491">
        <v>46464009.009009011</v>
      </c>
      <c r="T491">
        <v>43090702.702702701</v>
      </c>
      <c r="U491">
        <v>37020270.270270273</v>
      </c>
      <c r="V491">
        <v>95598918.918918908</v>
      </c>
      <c r="W491">
        <v>5617</v>
      </c>
      <c r="X491">
        <v>5229</v>
      </c>
    </row>
    <row r="492" spans="1:24">
      <c r="A492" s="7" t="s">
        <v>583</v>
      </c>
      <c r="B492" s="16" t="s">
        <v>54</v>
      </c>
      <c r="C492">
        <v>57883620.669892102</v>
      </c>
      <c r="D492">
        <v>57239110.829962127</v>
      </c>
      <c r="E492">
        <v>897522.522522524</v>
      </c>
      <c r="F492">
        <v>550450.45045045298</v>
      </c>
      <c r="G492">
        <v>10</v>
      </c>
      <c r="H492">
        <v>21</v>
      </c>
      <c r="I492">
        <v>5</v>
      </c>
      <c r="J492">
        <v>6</v>
      </c>
      <c r="M492">
        <v>15</v>
      </c>
      <c r="N492">
        <v>42</v>
      </c>
      <c r="O492">
        <v>10051351.351351349</v>
      </c>
      <c r="P492">
        <v>9040630.6306306291</v>
      </c>
      <c r="Q492">
        <v>72</v>
      </c>
      <c r="R492">
        <v>59</v>
      </c>
      <c r="S492">
        <v>14593018.01801802</v>
      </c>
      <c r="T492">
        <v>14985380.630630633</v>
      </c>
      <c r="U492">
        <v>9518468.4684684668</v>
      </c>
      <c r="V492">
        <v>8368558.558558559</v>
      </c>
      <c r="W492">
        <v>2078</v>
      </c>
      <c r="X492">
        <v>1985</v>
      </c>
    </row>
    <row r="493" spans="1:24">
      <c r="A493" s="7" t="s">
        <v>584</v>
      </c>
      <c r="B493" s="16" t="s">
        <v>70</v>
      </c>
      <c r="C493">
        <v>150963201.33239868</v>
      </c>
      <c r="D493">
        <v>147750873.82497188</v>
      </c>
      <c r="E493">
        <v>864864.86486486497</v>
      </c>
      <c r="F493">
        <v>102702.702702703</v>
      </c>
      <c r="G493">
        <v>26</v>
      </c>
      <c r="H493">
        <v>36</v>
      </c>
      <c r="J493">
        <v>1</v>
      </c>
      <c r="K493">
        <v>1</v>
      </c>
      <c r="M493">
        <v>29</v>
      </c>
      <c r="N493">
        <v>40</v>
      </c>
      <c r="O493">
        <v>1757657.657657658</v>
      </c>
      <c r="P493">
        <v>1590990.9909909931</v>
      </c>
      <c r="Q493">
        <v>4</v>
      </c>
      <c r="R493">
        <v>8</v>
      </c>
      <c r="S493">
        <v>66133828.828828834</v>
      </c>
      <c r="T493">
        <v>66815414.414414413</v>
      </c>
      <c r="U493">
        <v>1804054.0540540549</v>
      </c>
      <c r="V493">
        <v>1812612.6126126139</v>
      </c>
      <c r="W493">
        <v>3634</v>
      </c>
      <c r="X493">
        <v>3622</v>
      </c>
    </row>
    <row r="494" spans="1:24">
      <c r="A494" s="7" t="s">
        <v>585</v>
      </c>
      <c r="B494" s="16" t="s">
        <v>330</v>
      </c>
      <c r="C494">
        <v>589672920.77523172</v>
      </c>
      <c r="D494">
        <v>545289729.34377384</v>
      </c>
      <c r="E494">
        <v>2253378.3783783792</v>
      </c>
      <c r="F494">
        <v>5559459.4594594594</v>
      </c>
      <c r="G494">
        <v>225</v>
      </c>
      <c r="H494">
        <v>233</v>
      </c>
      <c r="I494">
        <v>19</v>
      </c>
      <c r="J494">
        <v>17</v>
      </c>
      <c r="M494">
        <v>274</v>
      </c>
      <c r="N494">
        <v>293</v>
      </c>
      <c r="O494">
        <v>37089189.189189181</v>
      </c>
      <c r="P494">
        <v>59681981.981981985</v>
      </c>
      <c r="Q494">
        <v>473</v>
      </c>
      <c r="R494">
        <v>150</v>
      </c>
      <c r="S494">
        <v>140464106.3063063</v>
      </c>
      <c r="T494">
        <v>139102706.3063063</v>
      </c>
      <c r="U494">
        <v>32958738.738738734</v>
      </c>
      <c r="V494">
        <v>56191081.081081077</v>
      </c>
      <c r="W494">
        <v>20943</v>
      </c>
      <c r="X494">
        <v>20000</v>
      </c>
    </row>
    <row r="495" spans="1:24">
      <c r="A495" s="7" t="s">
        <v>586</v>
      </c>
      <c r="B495" s="16" t="s">
        <v>66</v>
      </c>
      <c r="C495">
        <v>255474087.62038022</v>
      </c>
      <c r="D495">
        <v>262370068.21303028</v>
      </c>
      <c r="E495">
        <v>151265020.72072074</v>
      </c>
      <c r="F495">
        <v>711642336.93693697</v>
      </c>
      <c r="G495">
        <v>115</v>
      </c>
      <c r="H495">
        <v>132</v>
      </c>
      <c r="I495">
        <v>10</v>
      </c>
      <c r="J495">
        <v>7</v>
      </c>
      <c r="M495">
        <v>236</v>
      </c>
      <c r="N495">
        <v>262</v>
      </c>
      <c r="O495">
        <v>33142162.162162159</v>
      </c>
      <c r="P495">
        <v>75530405.405405402</v>
      </c>
      <c r="Q495">
        <v>435</v>
      </c>
      <c r="R495">
        <v>44</v>
      </c>
      <c r="S495">
        <v>131479927.92792793</v>
      </c>
      <c r="T495">
        <v>129225288.2882883</v>
      </c>
      <c r="U495">
        <v>31879729.729729727</v>
      </c>
      <c r="V495">
        <v>57087612.612612605</v>
      </c>
      <c r="W495">
        <v>10352</v>
      </c>
      <c r="X495">
        <v>10658</v>
      </c>
    </row>
    <row r="496" spans="1:24">
      <c r="A496" s="7" t="s">
        <v>11</v>
      </c>
      <c r="B496" s="16" t="s">
        <v>193</v>
      </c>
      <c r="C496">
        <v>119864730.0169666</v>
      </c>
      <c r="D496">
        <v>125262218.99819495</v>
      </c>
      <c r="E496">
        <v>55792117.117117122</v>
      </c>
      <c r="F496">
        <v>22743243.243243247</v>
      </c>
      <c r="G496">
        <v>41</v>
      </c>
      <c r="H496">
        <v>28</v>
      </c>
      <c r="I496">
        <v>6</v>
      </c>
      <c r="J496">
        <v>0</v>
      </c>
      <c r="M496">
        <v>47</v>
      </c>
      <c r="N496">
        <v>35</v>
      </c>
      <c r="O496">
        <v>7115765.7657657648</v>
      </c>
      <c r="P496">
        <v>3080855.855855858</v>
      </c>
      <c r="Q496">
        <v>44</v>
      </c>
      <c r="S496">
        <v>39701261.261261262</v>
      </c>
      <c r="T496">
        <v>42502209.459459454</v>
      </c>
      <c r="U496">
        <v>4207117.1171171153</v>
      </c>
      <c r="V496">
        <v>3066756.7567567569</v>
      </c>
      <c r="W496">
        <v>3878</v>
      </c>
      <c r="X496">
        <v>3929</v>
      </c>
    </row>
    <row r="497" spans="1:24">
      <c r="A497" s="7" t="s">
        <v>12</v>
      </c>
      <c r="B497" s="16" t="s">
        <v>193</v>
      </c>
      <c r="C497">
        <v>83716513.732466385</v>
      </c>
      <c r="D497">
        <v>81261094.573664367</v>
      </c>
      <c r="E497">
        <v>64864.864864864001</v>
      </c>
      <c r="F497">
        <v>3270270.2702702722</v>
      </c>
      <c r="G497">
        <v>22</v>
      </c>
      <c r="H497">
        <v>14</v>
      </c>
      <c r="I497">
        <v>8</v>
      </c>
      <c r="J497">
        <v>3</v>
      </c>
      <c r="M497">
        <v>28</v>
      </c>
      <c r="N497">
        <v>14</v>
      </c>
      <c r="O497">
        <v>7714864.8648648644</v>
      </c>
      <c r="P497">
        <v>6873873.8738738736</v>
      </c>
      <c r="Q497">
        <v>71</v>
      </c>
      <c r="S497">
        <v>33195486.486486487</v>
      </c>
      <c r="T497">
        <v>32259387.387387387</v>
      </c>
      <c r="U497">
        <v>4866216.2162162149</v>
      </c>
      <c r="V497">
        <v>8173153.1531531531</v>
      </c>
      <c r="W497">
        <v>2776</v>
      </c>
      <c r="X497">
        <v>2933</v>
      </c>
    </row>
    <row r="498" spans="1:24">
      <c r="A498" s="7" t="s">
        <v>587</v>
      </c>
      <c r="B498" s="16" t="s">
        <v>60</v>
      </c>
      <c r="C498">
        <v>64775226.99454201</v>
      </c>
      <c r="D498">
        <v>67938810.866252139</v>
      </c>
      <c r="E498">
        <v>206306.30630630799</v>
      </c>
      <c r="F498">
        <v>525225.22522522497</v>
      </c>
      <c r="G498">
        <v>30</v>
      </c>
      <c r="H498">
        <v>22</v>
      </c>
      <c r="I498">
        <v>5</v>
      </c>
      <c r="J498">
        <v>7</v>
      </c>
      <c r="M498">
        <v>41</v>
      </c>
      <c r="N498">
        <v>37</v>
      </c>
      <c r="O498">
        <v>10909009.009009007</v>
      </c>
      <c r="P498">
        <v>11579279.27927928</v>
      </c>
      <c r="Q498">
        <v>76</v>
      </c>
      <c r="R498">
        <v>66</v>
      </c>
      <c r="S498">
        <v>24927342.342342343</v>
      </c>
      <c r="T498">
        <v>25068371.62162162</v>
      </c>
      <c r="U498">
        <v>10259549.549549552</v>
      </c>
      <c r="V498">
        <v>11111531.531531531</v>
      </c>
      <c r="W498">
        <v>1773</v>
      </c>
      <c r="X498">
        <v>1801</v>
      </c>
    </row>
    <row r="499" spans="1:24">
      <c r="A499" s="7" t="s">
        <v>588</v>
      </c>
      <c r="B499" s="16" t="s">
        <v>307</v>
      </c>
      <c r="C499">
        <v>1941226937.3993919</v>
      </c>
      <c r="D499">
        <v>1882625791.0326109</v>
      </c>
      <c r="E499">
        <v>933332638.73873866</v>
      </c>
      <c r="F499">
        <v>1716237036.9369369</v>
      </c>
      <c r="G499">
        <v>773</v>
      </c>
      <c r="H499">
        <v>860</v>
      </c>
      <c r="I499">
        <v>76</v>
      </c>
      <c r="J499">
        <v>69</v>
      </c>
      <c r="K499">
        <v>1</v>
      </c>
      <c r="M499">
        <v>937</v>
      </c>
      <c r="N499">
        <v>1112</v>
      </c>
      <c r="O499">
        <v>208677252.25225225</v>
      </c>
      <c r="P499">
        <v>497960810.8108108</v>
      </c>
      <c r="Q499">
        <v>2091</v>
      </c>
      <c r="R499">
        <v>2560</v>
      </c>
      <c r="S499">
        <v>590339639.63963974</v>
      </c>
      <c r="T499">
        <v>602410310.8108108</v>
      </c>
      <c r="U499">
        <v>199209189.1891892</v>
      </c>
      <c r="V499">
        <v>379637387.38738739</v>
      </c>
      <c r="W499">
        <v>63356</v>
      </c>
      <c r="X499">
        <v>64247</v>
      </c>
    </row>
    <row r="500" spans="1:24">
      <c r="A500" s="7" t="s">
        <v>589</v>
      </c>
      <c r="B500" s="16" t="s">
        <v>52</v>
      </c>
      <c r="C500">
        <v>464096916.75079823</v>
      </c>
      <c r="D500">
        <v>448759760.92424196</v>
      </c>
      <c r="E500">
        <v>14249819.819819823</v>
      </c>
      <c r="F500">
        <v>8456829.7297297344</v>
      </c>
      <c r="G500">
        <v>79</v>
      </c>
      <c r="H500">
        <v>103</v>
      </c>
      <c r="I500">
        <v>12</v>
      </c>
      <c r="J500">
        <v>20</v>
      </c>
      <c r="M500">
        <v>135</v>
      </c>
      <c r="N500">
        <v>219</v>
      </c>
      <c r="O500">
        <v>47457117.117117122</v>
      </c>
      <c r="P500">
        <v>135571297.2972973</v>
      </c>
      <c r="Q500">
        <v>237</v>
      </c>
      <c r="R500">
        <v>1762</v>
      </c>
      <c r="S500">
        <v>183817977.47747746</v>
      </c>
      <c r="T500">
        <v>181835450.45045045</v>
      </c>
      <c r="U500">
        <v>42994144.144144148</v>
      </c>
      <c r="V500">
        <v>148988063.06306309</v>
      </c>
      <c r="W500">
        <v>14476</v>
      </c>
      <c r="X500">
        <v>13991</v>
      </c>
    </row>
    <row r="501" spans="1:24">
      <c r="A501" s="7" t="s">
        <v>590</v>
      </c>
      <c r="B501" s="16" t="s">
        <v>54</v>
      </c>
      <c r="C501">
        <v>37377377.968455411</v>
      </c>
      <c r="D501">
        <v>38669367.606255449</v>
      </c>
      <c r="E501">
        <v>643918.91891891905</v>
      </c>
      <c r="F501">
        <v>681081.08108108095</v>
      </c>
      <c r="G501">
        <v>10</v>
      </c>
      <c r="H501">
        <v>17</v>
      </c>
      <c r="I501">
        <v>2</v>
      </c>
      <c r="J501">
        <v>2</v>
      </c>
      <c r="M501">
        <v>11</v>
      </c>
      <c r="N501">
        <v>20</v>
      </c>
      <c r="O501">
        <v>10257657.657657659</v>
      </c>
      <c r="P501">
        <v>6086486.4864864862</v>
      </c>
      <c r="Q501">
        <v>21</v>
      </c>
      <c r="R501">
        <v>10</v>
      </c>
      <c r="S501">
        <v>12679045.045045044</v>
      </c>
      <c r="T501">
        <v>12023585.585585587</v>
      </c>
      <c r="U501">
        <v>6764054.0540540544</v>
      </c>
      <c r="V501">
        <v>6563243.2432432454</v>
      </c>
      <c r="W501">
        <v>1558</v>
      </c>
      <c r="X501">
        <v>1584</v>
      </c>
    </row>
    <row r="502" spans="1:24">
      <c r="A502" s="7" t="s">
        <v>591</v>
      </c>
      <c r="B502" s="16" t="s">
        <v>169</v>
      </c>
      <c r="C502">
        <v>1126639344.3934774</v>
      </c>
      <c r="D502">
        <v>1093129203.8343525</v>
      </c>
      <c r="E502">
        <v>7417297.2972972998</v>
      </c>
      <c r="F502">
        <v>6803378.378378381</v>
      </c>
      <c r="G502">
        <v>139</v>
      </c>
      <c r="H502">
        <v>88</v>
      </c>
      <c r="I502">
        <v>17</v>
      </c>
      <c r="J502">
        <v>12</v>
      </c>
      <c r="K502">
        <v>1</v>
      </c>
      <c r="M502">
        <v>161</v>
      </c>
      <c r="N502">
        <v>128</v>
      </c>
      <c r="O502">
        <v>152959099.0990991</v>
      </c>
      <c r="P502">
        <v>213571169.36936939</v>
      </c>
      <c r="Q502">
        <v>258</v>
      </c>
      <c r="R502">
        <v>225</v>
      </c>
      <c r="S502">
        <v>376760718.91891891</v>
      </c>
      <c r="T502">
        <v>370058509.009009</v>
      </c>
      <c r="U502">
        <v>133831351.35135137</v>
      </c>
      <c r="V502">
        <v>190097657.65765765</v>
      </c>
      <c r="W502">
        <v>23352</v>
      </c>
      <c r="X502">
        <v>23753</v>
      </c>
    </row>
    <row r="503" spans="1:24">
      <c r="A503" s="7" t="s">
        <v>592</v>
      </c>
      <c r="B503" s="16" t="s">
        <v>87</v>
      </c>
      <c r="C503">
        <v>6332762.0280955536</v>
      </c>
      <c r="D503">
        <v>5503599.9579009227</v>
      </c>
      <c r="H503">
        <v>2</v>
      </c>
      <c r="N503">
        <v>2</v>
      </c>
      <c r="S503">
        <v>1408099.0990990989</v>
      </c>
      <c r="T503">
        <v>1453828.8288288291</v>
      </c>
      <c r="W503">
        <v>353</v>
      </c>
      <c r="X503">
        <v>291</v>
      </c>
    </row>
    <row r="504" spans="1:24">
      <c r="A504" s="7" t="s">
        <v>593</v>
      </c>
      <c r="B504" s="16" t="s">
        <v>143</v>
      </c>
      <c r="C504">
        <v>79079534.692805931</v>
      </c>
      <c r="D504">
        <v>78524342.543479457</v>
      </c>
      <c r="E504">
        <v>28828.828828829999</v>
      </c>
      <c r="F504">
        <v>199099.099099101</v>
      </c>
      <c r="G504">
        <v>10</v>
      </c>
      <c r="H504">
        <v>26</v>
      </c>
      <c r="I504">
        <v>4</v>
      </c>
      <c r="J504">
        <v>2</v>
      </c>
      <c r="M504">
        <v>14</v>
      </c>
      <c r="N504">
        <v>27</v>
      </c>
      <c r="O504">
        <v>3614414.4144144142</v>
      </c>
      <c r="P504">
        <v>8577477.4774774797</v>
      </c>
      <c r="Q504">
        <v>36</v>
      </c>
      <c r="R504">
        <v>10</v>
      </c>
      <c r="S504">
        <v>7426306.3063063063</v>
      </c>
      <c r="T504">
        <v>8581342.3423423432</v>
      </c>
      <c r="U504">
        <v>3642522.5225225221</v>
      </c>
      <c r="V504">
        <v>4168558.55855856</v>
      </c>
      <c r="W504">
        <v>1575</v>
      </c>
      <c r="X504">
        <v>1602</v>
      </c>
    </row>
    <row r="505" spans="1:24">
      <c r="A505" s="7" t="s">
        <v>594</v>
      </c>
      <c r="B505" s="16" t="s">
        <v>290</v>
      </c>
      <c r="C505">
        <v>21568914.77841796</v>
      </c>
      <c r="D505">
        <v>20456745.926949099</v>
      </c>
      <c r="G505">
        <v>2</v>
      </c>
      <c r="H505">
        <v>1</v>
      </c>
      <c r="M505">
        <v>2</v>
      </c>
      <c r="N505">
        <v>1</v>
      </c>
      <c r="Q505">
        <v>44</v>
      </c>
      <c r="S505">
        <v>884549.54954955005</v>
      </c>
      <c r="T505">
        <v>1238243.2432432431</v>
      </c>
      <c r="W505">
        <v>577</v>
      </c>
      <c r="X505">
        <v>684</v>
      </c>
    </row>
    <row r="506" spans="1:24">
      <c r="A506" s="7" t="s">
        <v>595</v>
      </c>
      <c r="B506" s="16" t="s">
        <v>92</v>
      </c>
      <c r="C506">
        <v>28939907.037340671</v>
      </c>
      <c r="D506">
        <v>26832877.00499168</v>
      </c>
      <c r="E506">
        <v>42735488.288288288</v>
      </c>
      <c r="F506">
        <v>98275360.360360354</v>
      </c>
      <c r="G506">
        <v>10</v>
      </c>
      <c r="H506">
        <v>18</v>
      </c>
      <c r="I506">
        <v>1</v>
      </c>
      <c r="J506">
        <v>2</v>
      </c>
      <c r="M506">
        <v>10</v>
      </c>
      <c r="N506">
        <v>22</v>
      </c>
      <c r="O506">
        <v>6276396.3963963958</v>
      </c>
      <c r="P506">
        <v>12551351.351351352</v>
      </c>
      <c r="Q506">
        <v>21</v>
      </c>
      <c r="R506">
        <v>12</v>
      </c>
      <c r="S506">
        <v>4271171.1711711707</v>
      </c>
      <c r="T506">
        <v>4916117.1171171172</v>
      </c>
      <c r="U506">
        <v>972972.97297297302</v>
      </c>
      <c r="V506">
        <v>3752342.3423423432</v>
      </c>
      <c r="W506">
        <v>591</v>
      </c>
      <c r="X506">
        <v>716</v>
      </c>
    </row>
    <row r="507" spans="1:24">
      <c r="A507" s="7" t="s">
        <v>596</v>
      </c>
      <c r="B507" s="16" t="s">
        <v>50</v>
      </c>
      <c r="C507">
        <v>101745559.37547973</v>
      </c>
      <c r="D507">
        <v>93509716.412157118</v>
      </c>
      <c r="E507">
        <v>1018918.91891892</v>
      </c>
      <c r="F507">
        <v>2499774.7747747749</v>
      </c>
      <c r="G507">
        <v>12</v>
      </c>
      <c r="H507">
        <v>10</v>
      </c>
      <c r="I507">
        <v>1</v>
      </c>
      <c r="J507">
        <v>7</v>
      </c>
      <c r="M507">
        <v>12</v>
      </c>
      <c r="N507">
        <v>10</v>
      </c>
      <c r="O507">
        <v>19136666.666666664</v>
      </c>
      <c r="P507">
        <v>12519729.729729729</v>
      </c>
      <c r="Q507">
        <v>217</v>
      </c>
      <c r="R507">
        <v>68</v>
      </c>
      <c r="S507">
        <v>21408913.513513513</v>
      </c>
      <c r="T507">
        <v>20217789.189189188</v>
      </c>
      <c r="U507">
        <v>20469909.909909908</v>
      </c>
      <c r="V507">
        <v>11493333.333333332</v>
      </c>
      <c r="W507">
        <v>1574</v>
      </c>
      <c r="X507">
        <v>1659</v>
      </c>
    </row>
    <row r="508" spans="1:24">
      <c r="A508" s="7" t="s">
        <v>597</v>
      </c>
      <c r="B508" s="16" t="s">
        <v>89</v>
      </c>
      <c r="C508">
        <v>141221878.10798895</v>
      </c>
      <c r="D508">
        <v>143863076.47291967</v>
      </c>
      <c r="E508">
        <v>932882.88288288203</v>
      </c>
      <c r="F508">
        <v>1979279.279279283</v>
      </c>
      <c r="G508">
        <v>25</v>
      </c>
      <c r="H508">
        <v>32</v>
      </c>
      <c r="I508">
        <v>1</v>
      </c>
      <c r="J508">
        <v>15</v>
      </c>
      <c r="K508">
        <v>1</v>
      </c>
      <c r="M508">
        <v>26</v>
      </c>
      <c r="N508">
        <v>180</v>
      </c>
      <c r="O508">
        <v>10468468.468468465</v>
      </c>
      <c r="P508">
        <v>12533693.693693692</v>
      </c>
      <c r="Q508">
        <v>161</v>
      </c>
      <c r="R508">
        <v>259</v>
      </c>
      <c r="S508">
        <v>32648646.846846849</v>
      </c>
      <c r="T508">
        <v>35023963.963963963</v>
      </c>
      <c r="U508">
        <v>11427837.837837839</v>
      </c>
      <c r="V508">
        <v>11108558.558558553</v>
      </c>
      <c r="W508">
        <v>3400</v>
      </c>
      <c r="X508">
        <v>3582</v>
      </c>
    </row>
    <row r="509" spans="1:24">
      <c r="A509" s="7" t="s">
        <v>598</v>
      </c>
      <c r="B509" s="16" t="s">
        <v>143</v>
      </c>
      <c r="C509">
        <v>55161481.07129176</v>
      </c>
      <c r="D509">
        <v>55812292.854247287</v>
      </c>
      <c r="E509">
        <v>1254054.054054053</v>
      </c>
      <c r="F509">
        <v>38045945.945945941</v>
      </c>
      <c r="G509">
        <v>13</v>
      </c>
      <c r="H509">
        <v>3</v>
      </c>
      <c r="I509">
        <v>4</v>
      </c>
      <c r="J509">
        <v>3</v>
      </c>
      <c r="M509">
        <v>13</v>
      </c>
      <c r="N509">
        <v>5</v>
      </c>
      <c r="O509">
        <v>6288377.4774774779</v>
      </c>
      <c r="P509">
        <v>6964864.8648648653</v>
      </c>
      <c r="Q509">
        <v>41</v>
      </c>
      <c r="R509">
        <v>152</v>
      </c>
      <c r="S509">
        <v>3558693.6936936928</v>
      </c>
      <c r="T509">
        <v>5518297.297297297</v>
      </c>
      <c r="U509">
        <v>3604864.8648648639</v>
      </c>
      <c r="V509">
        <v>4008378.3783783782</v>
      </c>
      <c r="W509">
        <v>1135</v>
      </c>
      <c r="X509">
        <v>1145</v>
      </c>
    </row>
    <row r="510" spans="1:24">
      <c r="A510" s="7" t="s">
        <v>599</v>
      </c>
      <c r="B510" s="16" t="s">
        <v>125</v>
      </c>
      <c r="C510">
        <v>147009308.92200741</v>
      </c>
      <c r="D510">
        <v>143338621.39843959</v>
      </c>
      <c r="E510">
        <v>39970045.045045048</v>
      </c>
      <c r="F510">
        <v>52029729.729729727</v>
      </c>
      <c r="G510">
        <v>12</v>
      </c>
      <c r="H510">
        <v>16</v>
      </c>
      <c r="I510">
        <v>0</v>
      </c>
      <c r="J510">
        <v>1</v>
      </c>
      <c r="M510">
        <v>14</v>
      </c>
      <c r="N510">
        <v>20</v>
      </c>
      <c r="O510">
        <v>45429819.819819823</v>
      </c>
      <c r="P510">
        <v>18499684.684684686</v>
      </c>
      <c r="Q510">
        <v>39</v>
      </c>
      <c r="S510">
        <v>54907702.702702701</v>
      </c>
      <c r="T510">
        <v>54861792.79279279</v>
      </c>
      <c r="U510">
        <v>29358738.738738742</v>
      </c>
      <c r="V510">
        <v>17393603.603603605</v>
      </c>
      <c r="W510">
        <v>3480</v>
      </c>
      <c r="X510">
        <v>3355</v>
      </c>
    </row>
    <row r="511" spans="1:24">
      <c r="A511" s="7" t="s">
        <v>600</v>
      </c>
      <c r="B511" s="16" t="s">
        <v>50</v>
      </c>
      <c r="C511">
        <v>347249075.64994407</v>
      </c>
      <c r="D511">
        <v>349296587.06251943</v>
      </c>
      <c r="E511">
        <v>84575540.540540546</v>
      </c>
      <c r="F511">
        <v>114625495.49549548</v>
      </c>
      <c r="G511">
        <v>38</v>
      </c>
      <c r="H511">
        <v>30</v>
      </c>
      <c r="I511">
        <v>9</v>
      </c>
      <c r="J511">
        <v>4</v>
      </c>
      <c r="K511">
        <v>1</v>
      </c>
      <c r="M511">
        <v>41</v>
      </c>
      <c r="N511">
        <v>35</v>
      </c>
      <c r="O511">
        <v>67183963.963963971</v>
      </c>
      <c r="P511">
        <v>52466216.216216214</v>
      </c>
      <c r="Q511">
        <v>172</v>
      </c>
      <c r="R511">
        <v>18</v>
      </c>
      <c r="S511">
        <v>145837279.27927926</v>
      </c>
      <c r="T511">
        <v>146717360.36036035</v>
      </c>
      <c r="U511">
        <v>44495945.945945941</v>
      </c>
      <c r="V511">
        <v>49680990.990990989</v>
      </c>
      <c r="W511">
        <v>7601</v>
      </c>
      <c r="X511">
        <v>7655</v>
      </c>
    </row>
    <row r="512" spans="1:24">
      <c r="A512" s="7" t="s">
        <v>601</v>
      </c>
      <c r="B512" s="16" t="s">
        <v>89</v>
      </c>
      <c r="C512">
        <v>103531659.16722405</v>
      </c>
      <c r="D512">
        <v>102102967.14001071</v>
      </c>
      <c r="E512">
        <v>3609639.6396396412</v>
      </c>
      <c r="F512">
        <v>873873.87387387897</v>
      </c>
      <c r="G512">
        <v>16</v>
      </c>
      <c r="H512">
        <v>10</v>
      </c>
      <c r="I512">
        <v>4</v>
      </c>
      <c r="J512">
        <v>8</v>
      </c>
      <c r="M512">
        <v>17</v>
      </c>
      <c r="N512">
        <v>10</v>
      </c>
      <c r="O512">
        <v>12747747.747747747</v>
      </c>
      <c r="P512">
        <v>27081081.081081085</v>
      </c>
      <c r="Q512">
        <v>102</v>
      </c>
      <c r="R512">
        <v>1732</v>
      </c>
      <c r="S512">
        <v>30043558.558558561</v>
      </c>
      <c r="T512">
        <v>31500873.873873871</v>
      </c>
      <c r="U512">
        <v>8709459.4594594575</v>
      </c>
      <c r="V512">
        <v>25573873.873873871</v>
      </c>
      <c r="W512">
        <v>2497</v>
      </c>
      <c r="X512">
        <v>2374</v>
      </c>
    </row>
    <row r="513" spans="1:24">
      <c r="A513" s="7" t="s">
        <v>602</v>
      </c>
      <c r="B513" s="16" t="s">
        <v>87</v>
      </c>
      <c r="C513">
        <v>99386192.488962367</v>
      </c>
      <c r="D513">
        <v>90014457.549099565</v>
      </c>
      <c r="E513">
        <v>399099.099099099</v>
      </c>
      <c r="F513">
        <v>617117.11711711704</v>
      </c>
      <c r="G513">
        <v>14</v>
      </c>
      <c r="H513">
        <v>11</v>
      </c>
      <c r="I513">
        <v>1</v>
      </c>
      <c r="J513">
        <v>1</v>
      </c>
      <c r="M513">
        <v>14</v>
      </c>
      <c r="N513">
        <v>14</v>
      </c>
      <c r="O513">
        <v>1705405.405405405</v>
      </c>
      <c r="P513">
        <v>896396.39639639598</v>
      </c>
      <c r="Q513">
        <v>4</v>
      </c>
      <c r="S513">
        <v>7484457.6576576577</v>
      </c>
      <c r="T513">
        <v>6673000</v>
      </c>
      <c r="U513">
        <v>1168962.1621621619</v>
      </c>
      <c r="V513">
        <v>1041081.0810810809</v>
      </c>
      <c r="W513">
        <v>1192</v>
      </c>
      <c r="X513">
        <v>1194</v>
      </c>
    </row>
    <row r="514" spans="1:24">
      <c r="A514" s="7" t="s">
        <v>603</v>
      </c>
      <c r="B514" s="16" t="s">
        <v>140</v>
      </c>
      <c r="C514">
        <v>719949086.68741763</v>
      </c>
      <c r="D514">
        <v>733600330.52598202</v>
      </c>
      <c r="E514">
        <v>449632364.86486489</v>
      </c>
      <c r="F514">
        <v>256708153.15315315</v>
      </c>
      <c r="G514">
        <v>245</v>
      </c>
      <c r="H514">
        <v>343</v>
      </c>
      <c r="I514">
        <v>20</v>
      </c>
      <c r="J514">
        <v>48</v>
      </c>
      <c r="K514">
        <v>8</v>
      </c>
      <c r="M514">
        <v>336</v>
      </c>
      <c r="N514">
        <v>595</v>
      </c>
      <c r="O514">
        <v>140977387.38738739</v>
      </c>
      <c r="P514">
        <v>126684864.86486487</v>
      </c>
      <c r="Q514">
        <v>718</v>
      </c>
      <c r="R514">
        <v>399</v>
      </c>
      <c r="S514">
        <v>172467877.47747746</v>
      </c>
      <c r="T514">
        <v>182231428.82882884</v>
      </c>
      <c r="U514">
        <v>129297657.65765767</v>
      </c>
      <c r="V514">
        <v>130035675.67567566</v>
      </c>
      <c r="W514">
        <v>19002</v>
      </c>
      <c r="X514">
        <v>18821</v>
      </c>
    </row>
    <row r="515" spans="1:24">
      <c r="A515" s="7" t="s">
        <v>684</v>
      </c>
      <c r="B515" s="16" t="s">
        <v>214</v>
      </c>
      <c r="E515">
        <v>11486486.486486485</v>
      </c>
      <c r="F515">
        <v>2477477.4774774769</v>
      </c>
      <c r="O515">
        <v>243243.24324324299</v>
      </c>
      <c r="P515">
        <v>19819.819819820001</v>
      </c>
    </row>
    <row r="516" spans="1:24">
      <c r="A516" s="7" t="s">
        <v>604</v>
      </c>
      <c r="B516" s="16" t="s">
        <v>224</v>
      </c>
      <c r="C516">
        <v>144650940.90807793</v>
      </c>
      <c r="D516">
        <v>124103196.03938553</v>
      </c>
      <c r="E516">
        <v>11711.711711712</v>
      </c>
      <c r="F516">
        <v>78378.378378377995</v>
      </c>
      <c r="G516">
        <v>20</v>
      </c>
      <c r="H516">
        <v>21</v>
      </c>
      <c r="I516">
        <v>1</v>
      </c>
      <c r="J516">
        <v>1</v>
      </c>
      <c r="M516">
        <v>26</v>
      </c>
      <c r="N516">
        <v>24</v>
      </c>
      <c r="O516">
        <v>3772432.4324324322</v>
      </c>
      <c r="P516">
        <v>3952252.2522522518</v>
      </c>
      <c r="Q516">
        <v>15</v>
      </c>
      <c r="S516">
        <v>45755054.054054059</v>
      </c>
      <c r="T516">
        <v>42139864.864864863</v>
      </c>
      <c r="U516">
        <v>4411171.1711711697</v>
      </c>
      <c r="V516">
        <v>4683693.6936936928</v>
      </c>
      <c r="W516">
        <v>3615</v>
      </c>
      <c r="X516">
        <v>3675</v>
      </c>
    </row>
    <row r="517" spans="1:24">
      <c r="A517" s="7" t="s">
        <v>605</v>
      </c>
      <c r="B517" s="16" t="s">
        <v>224</v>
      </c>
      <c r="C517">
        <v>81825585.286187708</v>
      </c>
      <c r="D517">
        <v>81492247.967723057</v>
      </c>
      <c r="E517">
        <v>9009.0090090089998</v>
      </c>
      <c r="F517">
        <v>48648.648648649003</v>
      </c>
      <c r="G517">
        <v>31</v>
      </c>
      <c r="H517">
        <v>29</v>
      </c>
      <c r="I517">
        <v>1</v>
      </c>
      <c r="J517">
        <v>0</v>
      </c>
      <c r="M517">
        <v>32</v>
      </c>
      <c r="N517">
        <v>29</v>
      </c>
      <c r="O517">
        <v>5414414.4144144151</v>
      </c>
      <c r="P517">
        <v>4553153.1531531531</v>
      </c>
      <c r="Q517">
        <v>5</v>
      </c>
      <c r="R517">
        <v>2</v>
      </c>
      <c r="S517">
        <v>22062072.072072074</v>
      </c>
      <c r="T517">
        <v>24707135.135135137</v>
      </c>
      <c r="U517">
        <v>4615675.6756756753</v>
      </c>
      <c r="V517">
        <v>5108018.0180180185</v>
      </c>
      <c r="W517">
        <v>3075</v>
      </c>
      <c r="X517">
        <v>5805</v>
      </c>
    </row>
    <row r="518" spans="1:24">
      <c r="A518" s="7" t="s">
        <v>606</v>
      </c>
      <c r="B518" s="16" t="s">
        <v>241</v>
      </c>
      <c r="C518">
        <v>74359634.121416241</v>
      </c>
      <c r="D518">
        <v>67732441.095990777</v>
      </c>
      <c r="E518">
        <v>169826025.22522521</v>
      </c>
      <c r="F518">
        <v>85421747.747747749</v>
      </c>
      <c r="G518">
        <v>39</v>
      </c>
      <c r="H518">
        <v>37</v>
      </c>
      <c r="I518">
        <v>2</v>
      </c>
      <c r="J518">
        <v>1</v>
      </c>
      <c r="M518">
        <v>44</v>
      </c>
      <c r="N518">
        <v>42</v>
      </c>
      <c r="O518">
        <v>29911673.873873875</v>
      </c>
      <c r="P518">
        <v>19805855.855855856</v>
      </c>
      <c r="Q518">
        <v>19</v>
      </c>
      <c r="R518">
        <v>13</v>
      </c>
      <c r="S518">
        <v>21557198.198198199</v>
      </c>
      <c r="T518">
        <v>20862144.144144144</v>
      </c>
      <c r="U518">
        <v>5521081.0810810812</v>
      </c>
      <c r="V518">
        <v>6617657.657657655</v>
      </c>
      <c r="W518">
        <v>2280</v>
      </c>
      <c r="X518">
        <v>2350</v>
      </c>
    </row>
    <row r="519" spans="1:24">
      <c r="A519" s="7" t="s">
        <v>607</v>
      </c>
      <c r="B519" s="16" t="s">
        <v>140</v>
      </c>
      <c r="C519">
        <v>20813103.413693752</v>
      </c>
      <c r="D519">
        <v>20850104.591679413</v>
      </c>
      <c r="F519">
        <v>2702.7027027029999</v>
      </c>
      <c r="H519">
        <v>4</v>
      </c>
      <c r="N519">
        <v>4</v>
      </c>
      <c r="O519">
        <v>587387.38738738699</v>
      </c>
      <c r="P519">
        <v>227927.92792792799</v>
      </c>
      <c r="S519">
        <v>2629954.9549549548</v>
      </c>
      <c r="T519">
        <v>2495756.7567567569</v>
      </c>
      <c r="U519">
        <v>692432.43243243301</v>
      </c>
      <c r="V519">
        <v>496756.75675675698</v>
      </c>
      <c r="W519">
        <v>335</v>
      </c>
      <c r="X519">
        <v>406</v>
      </c>
    </row>
    <row r="520" spans="1:24">
      <c r="A520" s="7" t="s">
        <v>608</v>
      </c>
      <c r="B520" s="16" t="s">
        <v>189</v>
      </c>
      <c r="C520">
        <v>84436050.485398054</v>
      </c>
      <c r="D520">
        <v>77876273.767803609</v>
      </c>
      <c r="E520">
        <v>32148154.054054055</v>
      </c>
      <c r="F520">
        <v>34173222.522522524</v>
      </c>
      <c r="G520">
        <v>29</v>
      </c>
      <c r="H520">
        <v>50</v>
      </c>
      <c r="I520">
        <v>3</v>
      </c>
      <c r="J520">
        <v>2</v>
      </c>
      <c r="M520">
        <v>32</v>
      </c>
      <c r="N520">
        <v>55</v>
      </c>
      <c r="O520">
        <v>10818018.018018017</v>
      </c>
      <c r="P520">
        <v>25860581.081081081</v>
      </c>
      <c r="Q520">
        <v>18</v>
      </c>
      <c r="R520">
        <v>2</v>
      </c>
      <c r="S520">
        <v>16593873.873873875</v>
      </c>
      <c r="T520">
        <v>19727436.936936937</v>
      </c>
      <c r="U520">
        <v>6891081.0810810821</v>
      </c>
      <c r="V520">
        <v>7574324.3243243238</v>
      </c>
      <c r="W520">
        <v>1747</v>
      </c>
      <c r="X520">
        <v>1501</v>
      </c>
    </row>
    <row r="521" spans="1:24">
      <c r="A521" s="7" t="s">
        <v>609</v>
      </c>
      <c r="B521" s="16" t="s">
        <v>189</v>
      </c>
      <c r="C521">
        <v>212102766.5590452</v>
      </c>
      <c r="D521">
        <v>204117177.77394569</v>
      </c>
      <c r="E521">
        <v>20720.720720721001</v>
      </c>
      <c r="F521">
        <v>445945.94594594702</v>
      </c>
      <c r="G521">
        <v>84</v>
      </c>
      <c r="H521">
        <v>67</v>
      </c>
      <c r="I521">
        <v>5</v>
      </c>
      <c r="J521">
        <v>6</v>
      </c>
      <c r="M521">
        <v>91</v>
      </c>
      <c r="N521">
        <v>71</v>
      </c>
      <c r="O521">
        <v>10862162.162162161</v>
      </c>
      <c r="P521">
        <v>11662162.162162162</v>
      </c>
      <c r="Q521">
        <v>37</v>
      </c>
      <c r="R521">
        <v>51</v>
      </c>
      <c r="S521">
        <v>30165630.630630631</v>
      </c>
      <c r="T521">
        <v>29475081.081081081</v>
      </c>
      <c r="U521">
        <v>7861981.9819819815</v>
      </c>
      <c r="V521">
        <v>6865585.5855855858</v>
      </c>
      <c r="W521">
        <v>4139</v>
      </c>
      <c r="X521">
        <v>3935</v>
      </c>
    </row>
    <row r="522" spans="1:24">
      <c r="A522" s="7" t="s">
        <v>610</v>
      </c>
      <c r="B522" s="16" t="s">
        <v>189</v>
      </c>
      <c r="C522">
        <v>93813658.395410061</v>
      </c>
      <c r="D522">
        <v>89668523.602816865</v>
      </c>
      <c r="E522">
        <v>407432.43243243301</v>
      </c>
      <c r="F522">
        <v>669144.14414414705</v>
      </c>
      <c r="G522">
        <v>24</v>
      </c>
      <c r="H522">
        <v>17</v>
      </c>
      <c r="I522">
        <v>3</v>
      </c>
      <c r="J522">
        <v>2</v>
      </c>
      <c r="M522">
        <v>26</v>
      </c>
      <c r="N522">
        <v>17</v>
      </c>
      <c r="O522">
        <v>6239639.6396396393</v>
      </c>
      <c r="P522">
        <v>5639639.6396396393</v>
      </c>
      <c r="Q522">
        <v>36</v>
      </c>
      <c r="R522">
        <v>190</v>
      </c>
      <c r="S522">
        <v>11495180.180180181</v>
      </c>
      <c r="T522">
        <v>10360711.711711712</v>
      </c>
      <c r="U522">
        <v>4418738.7387387389</v>
      </c>
      <c r="V522">
        <v>4190900.9009009008</v>
      </c>
      <c r="W522">
        <v>1654</v>
      </c>
      <c r="X522">
        <v>1651</v>
      </c>
    </row>
    <row r="523" spans="1:24">
      <c r="A523" s="7" t="s">
        <v>611</v>
      </c>
      <c r="B523" s="16" t="s">
        <v>189</v>
      </c>
      <c r="C523">
        <v>28256139.346550576</v>
      </c>
      <c r="D523">
        <v>33836903.255396299</v>
      </c>
      <c r="E523">
        <v>10810.810810810999</v>
      </c>
      <c r="F523">
        <v>161711.71171171201</v>
      </c>
      <c r="G523">
        <v>22</v>
      </c>
      <c r="H523">
        <v>14</v>
      </c>
      <c r="I523">
        <v>1</v>
      </c>
      <c r="J523">
        <v>2</v>
      </c>
      <c r="M523">
        <v>24</v>
      </c>
      <c r="N523">
        <v>17</v>
      </c>
      <c r="O523">
        <v>2318018.018018018</v>
      </c>
      <c r="P523">
        <v>3995855.8558558561</v>
      </c>
      <c r="Q523">
        <v>9</v>
      </c>
      <c r="R523">
        <v>3</v>
      </c>
      <c r="S523">
        <v>4752072.0720720729</v>
      </c>
      <c r="T523">
        <v>6256873.8738738745</v>
      </c>
      <c r="U523">
        <v>1218918.9189189191</v>
      </c>
      <c r="V523">
        <v>3126396.3963963962</v>
      </c>
      <c r="W523">
        <v>929</v>
      </c>
      <c r="X523">
        <v>1034</v>
      </c>
    </row>
    <row r="524" spans="1:24">
      <c r="A524" s="7" t="s">
        <v>612</v>
      </c>
      <c r="B524" s="16" t="s">
        <v>143</v>
      </c>
      <c r="C524">
        <v>267468681.71233246</v>
      </c>
      <c r="D524">
        <v>252175538.5312956</v>
      </c>
      <c r="E524">
        <v>435735.13513513701</v>
      </c>
      <c r="F524">
        <v>970706.30630630697</v>
      </c>
      <c r="G524">
        <v>211</v>
      </c>
      <c r="H524">
        <v>148</v>
      </c>
      <c r="I524">
        <v>17</v>
      </c>
      <c r="J524">
        <v>9</v>
      </c>
      <c r="M524">
        <v>237</v>
      </c>
      <c r="N524">
        <v>497</v>
      </c>
      <c r="O524">
        <v>27503603.603603601</v>
      </c>
      <c r="P524">
        <v>24779279.27927928</v>
      </c>
      <c r="Q524">
        <v>114</v>
      </c>
      <c r="R524">
        <v>130</v>
      </c>
      <c r="S524">
        <v>32399899.0990991</v>
      </c>
      <c r="T524">
        <v>34115076.576576576</v>
      </c>
      <c r="U524">
        <v>24024864.864864863</v>
      </c>
      <c r="V524">
        <v>24428691.891891889</v>
      </c>
      <c r="W524">
        <v>7413</v>
      </c>
      <c r="X524">
        <v>6689</v>
      </c>
    </row>
    <row r="525" spans="1:24">
      <c r="A525" s="7" t="s">
        <v>613</v>
      </c>
      <c r="B525" s="16" t="s">
        <v>189</v>
      </c>
      <c r="C525">
        <v>313701466.46551502</v>
      </c>
      <c r="D525">
        <v>294651978.99339789</v>
      </c>
      <c r="E525">
        <v>407882.88288288401</v>
      </c>
      <c r="F525">
        <v>1587162.1621621649</v>
      </c>
      <c r="G525">
        <v>111</v>
      </c>
      <c r="H525">
        <v>105</v>
      </c>
      <c r="I525">
        <v>12</v>
      </c>
      <c r="J525">
        <v>10</v>
      </c>
      <c r="K525">
        <v>1</v>
      </c>
      <c r="M525">
        <v>127</v>
      </c>
      <c r="N525">
        <v>151</v>
      </c>
      <c r="O525">
        <v>7483783.7837837841</v>
      </c>
      <c r="P525">
        <v>12129729.729729729</v>
      </c>
      <c r="Q525">
        <v>82</v>
      </c>
      <c r="R525">
        <v>466</v>
      </c>
      <c r="S525">
        <v>27574616.216216218</v>
      </c>
      <c r="T525">
        <v>28903304.504504506</v>
      </c>
      <c r="U525">
        <v>6327787.3873873856</v>
      </c>
      <c r="V525">
        <v>11304457.657657661</v>
      </c>
      <c r="W525">
        <v>7385</v>
      </c>
      <c r="X525">
        <v>8015</v>
      </c>
    </row>
    <row r="526" spans="1:24">
      <c r="A526" s="7" t="s">
        <v>614</v>
      </c>
      <c r="B526" s="16" t="s">
        <v>54</v>
      </c>
      <c r="C526">
        <v>218688762.85002762</v>
      </c>
      <c r="D526">
        <v>205323819.65100354</v>
      </c>
      <c r="E526">
        <v>3505405.4054054068</v>
      </c>
      <c r="F526">
        <v>3514414.4144144179</v>
      </c>
      <c r="G526">
        <v>55</v>
      </c>
      <c r="H526">
        <v>62</v>
      </c>
      <c r="I526">
        <v>9</v>
      </c>
      <c r="J526">
        <v>12</v>
      </c>
      <c r="M526">
        <v>65</v>
      </c>
      <c r="N526">
        <v>88</v>
      </c>
      <c r="O526">
        <v>36035585.585585587</v>
      </c>
      <c r="P526">
        <v>32814414.414414417</v>
      </c>
      <c r="Q526">
        <v>157</v>
      </c>
      <c r="R526">
        <v>89</v>
      </c>
      <c r="S526">
        <v>63895810.810810804</v>
      </c>
      <c r="T526">
        <v>65463747.747747742</v>
      </c>
      <c r="U526">
        <v>36201801.801801801</v>
      </c>
      <c r="V526">
        <v>32706846.846846849</v>
      </c>
      <c r="W526">
        <v>6529</v>
      </c>
      <c r="X526">
        <v>6429</v>
      </c>
    </row>
    <row r="527" spans="1:24">
      <c r="A527" s="7" t="s">
        <v>615</v>
      </c>
      <c r="B527" s="16" t="s">
        <v>54</v>
      </c>
      <c r="C527">
        <v>114260149.34645407</v>
      </c>
      <c r="D527">
        <v>111334758.6294198</v>
      </c>
      <c r="E527">
        <v>97072.072072073002</v>
      </c>
      <c r="F527">
        <v>681981.98198198294</v>
      </c>
      <c r="G527">
        <v>11</v>
      </c>
      <c r="H527">
        <v>13</v>
      </c>
      <c r="I527">
        <v>0</v>
      </c>
      <c r="J527">
        <v>3</v>
      </c>
      <c r="M527">
        <v>12</v>
      </c>
      <c r="N527">
        <v>17</v>
      </c>
      <c r="O527">
        <v>6265765.7657657657</v>
      </c>
      <c r="P527">
        <v>4908108.1081081089</v>
      </c>
      <c r="Q527">
        <v>60</v>
      </c>
      <c r="R527">
        <v>25</v>
      </c>
      <c r="S527">
        <v>18028459.459459461</v>
      </c>
      <c r="T527">
        <v>18980063.063063063</v>
      </c>
      <c r="U527">
        <v>6063423.4234234244</v>
      </c>
      <c r="V527">
        <v>4362792.7927927934</v>
      </c>
      <c r="W527">
        <v>2718</v>
      </c>
      <c r="X527">
        <v>2780</v>
      </c>
    </row>
    <row r="528" spans="1:24">
      <c r="A528" s="7" t="s">
        <v>616</v>
      </c>
      <c r="B528" s="16" t="s">
        <v>60</v>
      </c>
      <c r="C528">
        <v>175094426.76756945</v>
      </c>
      <c r="D528">
        <v>174402079.3308692</v>
      </c>
      <c r="E528">
        <v>677477.47747747996</v>
      </c>
      <c r="F528">
        <v>2595495.4954954959</v>
      </c>
      <c r="G528">
        <v>29</v>
      </c>
      <c r="H528">
        <v>82</v>
      </c>
      <c r="I528">
        <v>6</v>
      </c>
      <c r="J528">
        <v>21</v>
      </c>
      <c r="M528">
        <v>35</v>
      </c>
      <c r="N528">
        <v>123</v>
      </c>
      <c r="O528">
        <v>25626126.126126129</v>
      </c>
      <c r="P528">
        <v>25607657.657657657</v>
      </c>
      <c r="Q528">
        <v>124</v>
      </c>
      <c r="R528">
        <v>105</v>
      </c>
      <c r="S528">
        <v>52761171.171171166</v>
      </c>
      <c r="T528">
        <v>57857666.666666664</v>
      </c>
      <c r="U528">
        <v>23206846.846846849</v>
      </c>
      <c r="V528">
        <v>25975225.225225225</v>
      </c>
      <c r="W528">
        <v>4162</v>
      </c>
      <c r="X528">
        <v>4302</v>
      </c>
    </row>
    <row r="529" spans="1:24">
      <c r="A529" s="7" t="s">
        <v>617</v>
      </c>
      <c r="B529" s="16" t="s">
        <v>60</v>
      </c>
      <c r="C529">
        <v>191680751.57650572</v>
      </c>
      <c r="D529">
        <v>184084728.59001985</v>
      </c>
      <c r="E529">
        <v>719369.36936937203</v>
      </c>
      <c r="F529">
        <v>1321621.6216216241</v>
      </c>
      <c r="G529">
        <v>31</v>
      </c>
      <c r="H529">
        <v>49</v>
      </c>
      <c r="I529">
        <v>6</v>
      </c>
      <c r="J529">
        <v>8</v>
      </c>
      <c r="K529">
        <v>2</v>
      </c>
      <c r="M529">
        <v>35</v>
      </c>
      <c r="N529">
        <v>56</v>
      </c>
      <c r="O529">
        <v>22911711.711711705</v>
      </c>
      <c r="P529">
        <v>24036936.936936941</v>
      </c>
      <c r="Q529">
        <v>122</v>
      </c>
      <c r="R529">
        <v>108</v>
      </c>
      <c r="S529">
        <v>99787432.432432428</v>
      </c>
      <c r="T529">
        <v>97751662.162162155</v>
      </c>
      <c r="U529">
        <v>25523783.783783782</v>
      </c>
      <c r="V529">
        <v>22662792.792792793</v>
      </c>
      <c r="W529">
        <v>5386</v>
      </c>
      <c r="X529">
        <v>5384</v>
      </c>
    </row>
    <row r="530" spans="1:24">
      <c r="A530" s="7" t="s">
        <v>618</v>
      </c>
      <c r="B530" s="16" t="s">
        <v>60</v>
      </c>
      <c r="C530">
        <v>245856281.65163285</v>
      </c>
      <c r="D530">
        <v>234613317.30111849</v>
      </c>
      <c r="E530">
        <v>2455405.405405405</v>
      </c>
      <c r="F530">
        <v>2817117.1171171232</v>
      </c>
      <c r="G530">
        <v>46</v>
      </c>
      <c r="H530">
        <v>41</v>
      </c>
      <c r="I530">
        <v>3</v>
      </c>
      <c r="J530">
        <v>8</v>
      </c>
      <c r="M530">
        <v>55</v>
      </c>
      <c r="N530">
        <v>51</v>
      </c>
      <c r="O530">
        <v>18220270.270270269</v>
      </c>
      <c r="P530">
        <v>34215315.315315321</v>
      </c>
      <c r="Q530">
        <v>136</v>
      </c>
      <c r="R530">
        <v>112</v>
      </c>
      <c r="S530">
        <v>78398729.729729727</v>
      </c>
      <c r="T530">
        <v>77864473.423423424</v>
      </c>
      <c r="U530">
        <v>18268468.468468469</v>
      </c>
      <c r="V530">
        <v>32975405.405405413</v>
      </c>
      <c r="W530">
        <v>6163</v>
      </c>
      <c r="X530">
        <v>5798</v>
      </c>
    </row>
    <row r="531" spans="1:24">
      <c r="A531" s="7" t="s">
        <v>619</v>
      </c>
      <c r="B531" s="16" t="s">
        <v>620</v>
      </c>
      <c r="C531">
        <v>281407317.51726264</v>
      </c>
      <c r="D531">
        <v>282070931.6020714</v>
      </c>
      <c r="E531">
        <v>7720675.6756756753</v>
      </c>
      <c r="F531">
        <v>4964639.639639643</v>
      </c>
      <c r="G531">
        <v>108</v>
      </c>
      <c r="H531">
        <v>164</v>
      </c>
      <c r="I531">
        <v>10</v>
      </c>
      <c r="J531">
        <v>11</v>
      </c>
      <c r="K531">
        <v>2</v>
      </c>
      <c r="M531">
        <v>128</v>
      </c>
      <c r="N531">
        <v>366</v>
      </c>
      <c r="O531">
        <v>29035765.765765768</v>
      </c>
      <c r="P531">
        <v>16223873.873873875</v>
      </c>
      <c r="Q531">
        <v>380</v>
      </c>
      <c r="R531">
        <v>14</v>
      </c>
      <c r="S531">
        <v>34981675.675675675</v>
      </c>
      <c r="T531">
        <v>33464630.630630631</v>
      </c>
      <c r="U531">
        <v>29768108.108108111</v>
      </c>
      <c r="V531">
        <v>20837027.02702703</v>
      </c>
      <c r="W531">
        <v>7544</v>
      </c>
      <c r="X531">
        <v>8885</v>
      </c>
    </row>
    <row r="532" spans="1:24">
      <c r="A532" s="7" t="s">
        <v>621</v>
      </c>
      <c r="B532" s="16" t="s">
        <v>620</v>
      </c>
      <c r="C532">
        <v>221938431.15946364</v>
      </c>
      <c r="D532">
        <v>205407972.79067221</v>
      </c>
      <c r="E532">
        <v>966216.21621621703</v>
      </c>
      <c r="F532">
        <v>4172072.0720720738</v>
      </c>
      <c r="G532">
        <v>106</v>
      </c>
      <c r="H532">
        <v>74</v>
      </c>
      <c r="I532">
        <v>7</v>
      </c>
      <c r="J532">
        <v>12</v>
      </c>
      <c r="K532">
        <v>2</v>
      </c>
      <c r="M532">
        <v>125</v>
      </c>
      <c r="N532">
        <v>94</v>
      </c>
      <c r="O532">
        <v>17518918.918918919</v>
      </c>
      <c r="P532">
        <v>18586486.486486487</v>
      </c>
      <c r="Q532">
        <v>72</v>
      </c>
      <c r="R532">
        <v>7</v>
      </c>
      <c r="S532">
        <v>32775053.153153151</v>
      </c>
      <c r="T532">
        <v>33299727.927927926</v>
      </c>
      <c r="U532">
        <v>18415675.675675675</v>
      </c>
      <c r="V532">
        <v>15624774.774774777</v>
      </c>
      <c r="W532">
        <v>6308</v>
      </c>
      <c r="X532">
        <v>6033</v>
      </c>
    </row>
    <row r="533" spans="1:24">
      <c r="A533" s="7" t="s">
        <v>622</v>
      </c>
      <c r="B533" s="16" t="s">
        <v>620</v>
      </c>
      <c r="C533">
        <v>235973674.13633355</v>
      </c>
      <c r="D533">
        <v>214694266.69019973</v>
      </c>
      <c r="E533">
        <v>82724545.045045033</v>
      </c>
      <c r="F533">
        <v>1338288.288288292</v>
      </c>
      <c r="G533">
        <v>104</v>
      </c>
      <c r="H533">
        <v>80</v>
      </c>
      <c r="I533">
        <v>6</v>
      </c>
      <c r="J533">
        <v>4</v>
      </c>
      <c r="K533">
        <v>1</v>
      </c>
      <c r="M533">
        <v>121</v>
      </c>
      <c r="N533">
        <v>101</v>
      </c>
      <c r="O533">
        <v>28910810.810810808</v>
      </c>
      <c r="P533">
        <v>16884684.684684686</v>
      </c>
      <c r="Q533">
        <v>395</v>
      </c>
      <c r="R533">
        <v>7</v>
      </c>
      <c r="S533">
        <v>30977234.234234236</v>
      </c>
      <c r="T533">
        <v>33506750.45045045</v>
      </c>
      <c r="U533">
        <v>24316753.153153151</v>
      </c>
      <c r="V533">
        <v>12071891.891891897</v>
      </c>
      <c r="W533">
        <v>6146</v>
      </c>
      <c r="X533">
        <v>5717</v>
      </c>
    </row>
    <row r="534" spans="1:24">
      <c r="A534" s="7" t="s">
        <v>623</v>
      </c>
      <c r="B534" s="16" t="s">
        <v>620</v>
      </c>
      <c r="C534">
        <v>166929754.34638128</v>
      </c>
      <c r="D534">
        <v>158582162.77610299</v>
      </c>
      <c r="E534">
        <v>438292.79279279301</v>
      </c>
      <c r="F534">
        <v>38284606.306306303</v>
      </c>
      <c r="G534">
        <v>84</v>
      </c>
      <c r="H534">
        <v>33</v>
      </c>
      <c r="I534">
        <v>6</v>
      </c>
      <c r="J534">
        <v>5</v>
      </c>
      <c r="K534">
        <v>1</v>
      </c>
      <c r="M534">
        <v>94</v>
      </c>
      <c r="N534">
        <v>51</v>
      </c>
      <c r="O534">
        <v>16569680.180180181</v>
      </c>
      <c r="P534">
        <v>24687314.414414413</v>
      </c>
      <c r="Q534">
        <v>61</v>
      </c>
      <c r="S534">
        <v>21372297.297297295</v>
      </c>
      <c r="T534">
        <v>20566337.837837841</v>
      </c>
      <c r="U534">
        <v>15172792.792792792</v>
      </c>
      <c r="V534">
        <v>12330000</v>
      </c>
      <c r="W534">
        <v>3680</v>
      </c>
      <c r="X534">
        <v>3304</v>
      </c>
    </row>
    <row r="535" spans="1:24">
      <c r="A535" s="7" t="s">
        <v>624</v>
      </c>
      <c r="B535" s="16" t="s">
        <v>260</v>
      </c>
      <c r="C535">
        <v>89704247.654951468</v>
      </c>
      <c r="D535">
        <v>83928815.420070201</v>
      </c>
      <c r="E535">
        <v>18918.918918919</v>
      </c>
      <c r="F535">
        <v>315315.31531531602</v>
      </c>
      <c r="G535">
        <v>11</v>
      </c>
      <c r="H535">
        <v>15</v>
      </c>
      <c r="I535">
        <v>0</v>
      </c>
      <c r="J535">
        <v>2</v>
      </c>
      <c r="M535">
        <v>11</v>
      </c>
      <c r="N535">
        <v>15</v>
      </c>
      <c r="O535">
        <v>15063963.963963963</v>
      </c>
      <c r="P535">
        <v>4749549.5495495498</v>
      </c>
      <c r="S535">
        <v>30048720.72072072</v>
      </c>
      <c r="T535">
        <v>26753648.648648649</v>
      </c>
      <c r="U535">
        <v>12969639.63963964</v>
      </c>
      <c r="V535">
        <v>9566036.0360360369</v>
      </c>
      <c r="W535">
        <v>1985</v>
      </c>
      <c r="X535">
        <v>2014</v>
      </c>
    </row>
    <row r="536" spans="1:24">
      <c r="A536" s="7" t="s">
        <v>625</v>
      </c>
      <c r="B536" s="16" t="s">
        <v>52</v>
      </c>
      <c r="C536">
        <v>129699170.24536566</v>
      </c>
      <c r="D536">
        <v>128583420.654708</v>
      </c>
      <c r="E536">
        <v>277657.65765765798</v>
      </c>
      <c r="F536">
        <v>113513.513513515</v>
      </c>
      <c r="G536">
        <v>15</v>
      </c>
      <c r="H536">
        <v>38</v>
      </c>
      <c r="I536">
        <v>3</v>
      </c>
      <c r="J536">
        <v>4</v>
      </c>
      <c r="M536">
        <v>24</v>
      </c>
      <c r="N536">
        <v>92</v>
      </c>
      <c r="O536">
        <v>2067297.297297297</v>
      </c>
      <c r="P536">
        <v>2996396.3963963981</v>
      </c>
      <c r="Q536">
        <v>8</v>
      </c>
      <c r="R536">
        <v>26</v>
      </c>
      <c r="S536">
        <v>45263549.54954955</v>
      </c>
      <c r="T536">
        <v>46554720.720720723</v>
      </c>
      <c r="U536">
        <v>2468918.918918917</v>
      </c>
      <c r="V536">
        <v>2613603.6036036038</v>
      </c>
      <c r="W536">
        <v>4365</v>
      </c>
      <c r="X536">
        <v>4350</v>
      </c>
    </row>
    <row r="537" spans="1:24">
      <c r="A537" s="7" t="s">
        <v>626</v>
      </c>
      <c r="B537" s="16" t="s">
        <v>96</v>
      </c>
      <c r="C537">
        <v>328514379.27451587</v>
      </c>
      <c r="D537">
        <v>328482599.76209486</v>
      </c>
      <c r="E537">
        <v>2778738.7387387431</v>
      </c>
      <c r="F537">
        <v>5509009.009009012</v>
      </c>
      <c r="G537">
        <v>172</v>
      </c>
      <c r="H537">
        <v>154</v>
      </c>
      <c r="I537">
        <v>9</v>
      </c>
      <c r="J537">
        <v>10</v>
      </c>
      <c r="K537">
        <v>1</v>
      </c>
      <c r="M537">
        <v>224</v>
      </c>
      <c r="N537">
        <v>188</v>
      </c>
      <c r="O537">
        <v>53177117.117117122</v>
      </c>
      <c r="P537">
        <v>63688288.288288288</v>
      </c>
      <c r="Q537">
        <v>278</v>
      </c>
      <c r="R537">
        <v>295</v>
      </c>
      <c r="S537">
        <v>102325225.22522523</v>
      </c>
      <c r="T537">
        <v>108815761.7117117</v>
      </c>
      <c r="U537">
        <v>53916216.216216214</v>
      </c>
      <c r="V537">
        <v>61965225.225225225</v>
      </c>
      <c r="W537">
        <v>10516</v>
      </c>
      <c r="X537">
        <v>10870</v>
      </c>
    </row>
    <row r="538" spans="1:24">
      <c r="A538" s="7" t="s">
        <v>627</v>
      </c>
      <c r="B538" s="16" t="s">
        <v>96</v>
      </c>
      <c r="C538">
        <v>588810329.42575479</v>
      </c>
      <c r="D538">
        <v>537623446.75570107</v>
      </c>
      <c r="E538">
        <v>103072928.82882883</v>
      </c>
      <c r="F538">
        <v>113116495.49549548</v>
      </c>
      <c r="G538">
        <v>185</v>
      </c>
      <c r="H538">
        <v>123</v>
      </c>
      <c r="I538">
        <v>9</v>
      </c>
      <c r="J538">
        <v>7</v>
      </c>
      <c r="K538">
        <v>1</v>
      </c>
      <c r="M538">
        <v>238</v>
      </c>
      <c r="N538">
        <v>201</v>
      </c>
      <c r="O538">
        <v>105507162.16216215</v>
      </c>
      <c r="P538">
        <v>196815081.08108109</v>
      </c>
      <c r="Q538">
        <v>162</v>
      </c>
      <c r="R538">
        <v>115</v>
      </c>
      <c r="S538">
        <v>229809468.46846849</v>
      </c>
      <c r="T538">
        <v>219475371.62162164</v>
      </c>
      <c r="U538">
        <v>111366306.3063063</v>
      </c>
      <c r="V538">
        <v>121672342.34234233</v>
      </c>
      <c r="W538">
        <v>13734</v>
      </c>
      <c r="X538">
        <v>13867</v>
      </c>
    </row>
    <row r="539" spans="1:24">
      <c r="A539" s="7" t="s">
        <v>628</v>
      </c>
      <c r="B539" s="16" t="s">
        <v>448</v>
      </c>
      <c r="C539">
        <v>410693084.44142067</v>
      </c>
      <c r="D539">
        <v>392308089.80612278</v>
      </c>
      <c r="E539">
        <v>163500963.96396396</v>
      </c>
      <c r="F539">
        <v>163690242.34234235</v>
      </c>
      <c r="G539">
        <v>184</v>
      </c>
      <c r="H539">
        <v>136</v>
      </c>
      <c r="I539">
        <v>15</v>
      </c>
      <c r="J539">
        <v>15</v>
      </c>
      <c r="K539">
        <v>2</v>
      </c>
      <c r="M539">
        <v>205</v>
      </c>
      <c r="N539">
        <v>168</v>
      </c>
      <c r="O539">
        <v>124218828.82882883</v>
      </c>
      <c r="P539">
        <v>109638378.37837839</v>
      </c>
      <c r="Q539">
        <v>337</v>
      </c>
      <c r="R539">
        <v>1799</v>
      </c>
      <c r="S539">
        <v>117270837.83783785</v>
      </c>
      <c r="T539">
        <v>117417736.93693694</v>
      </c>
      <c r="U539">
        <v>95011441.441441447</v>
      </c>
      <c r="V539">
        <v>117366126.12612613</v>
      </c>
      <c r="W539">
        <v>11608</v>
      </c>
      <c r="X539">
        <v>11623</v>
      </c>
    </row>
    <row r="540" spans="1:24">
      <c r="A540" s="7" t="s">
        <v>629</v>
      </c>
      <c r="B540" s="16" t="s">
        <v>78</v>
      </c>
      <c r="C540">
        <v>18385946.481825292</v>
      </c>
      <c r="D540">
        <v>17515977.749311298</v>
      </c>
      <c r="E540">
        <v>185585.58558558501</v>
      </c>
      <c r="F540">
        <v>313513.51351351303</v>
      </c>
      <c r="G540">
        <v>2</v>
      </c>
      <c r="H540">
        <v>3</v>
      </c>
      <c r="K540">
        <v>1</v>
      </c>
      <c r="M540">
        <v>2</v>
      </c>
      <c r="N540">
        <v>3</v>
      </c>
      <c r="O540">
        <v>599999.99999999895</v>
      </c>
      <c r="P540">
        <v>944144.14414414403</v>
      </c>
      <c r="Q540">
        <v>12</v>
      </c>
      <c r="S540">
        <v>5000495.4954954954</v>
      </c>
      <c r="T540">
        <v>4845702.702702703</v>
      </c>
      <c r="U540">
        <v>778108.10810810805</v>
      </c>
      <c r="V540">
        <v>1057297.297297297</v>
      </c>
      <c r="W540">
        <v>466</v>
      </c>
      <c r="X540">
        <v>370</v>
      </c>
    </row>
    <row r="541" spans="1:24">
      <c r="A541" s="7" t="s">
        <v>630</v>
      </c>
      <c r="B541" s="16" t="s">
        <v>241</v>
      </c>
      <c r="C541">
        <v>107775486.94376516</v>
      </c>
      <c r="D541">
        <v>102703437.00879532</v>
      </c>
      <c r="E541">
        <v>69549.549549550997</v>
      </c>
      <c r="F541">
        <v>362837.83783783898</v>
      </c>
      <c r="G541">
        <v>60</v>
      </c>
      <c r="H541">
        <v>40</v>
      </c>
      <c r="I541">
        <v>4</v>
      </c>
      <c r="J541">
        <v>3</v>
      </c>
      <c r="M541">
        <v>69</v>
      </c>
      <c r="N541">
        <v>47</v>
      </c>
      <c r="O541">
        <v>22143513.513513513</v>
      </c>
      <c r="P541">
        <v>9112882.8828828838</v>
      </c>
      <c r="Q541">
        <v>153</v>
      </c>
      <c r="R541">
        <v>9</v>
      </c>
      <c r="S541">
        <v>25173963.963963963</v>
      </c>
      <c r="T541">
        <v>23582711.711711712</v>
      </c>
      <c r="U541">
        <v>23316576.576576576</v>
      </c>
      <c r="V541">
        <v>9113783.7837837841</v>
      </c>
      <c r="W541">
        <v>2867</v>
      </c>
      <c r="X541">
        <v>2647</v>
      </c>
    </row>
    <row r="542" spans="1:24">
      <c r="A542" s="7" t="s">
        <v>631</v>
      </c>
      <c r="B542" s="16" t="s">
        <v>68</v>
      </c>
      <c r="C542">
        <v>478753179.96950728</v>
      </c>
      <c r="D542">
        <v>454203543.73606783</v>
      </c>
      <c r="E542">
        <v>89297251.351351365</v>
      </c>
      <c r="F542">
        <v>77091363.06306307</v>
      </c>
      <c r="G542">
        <v>204</v>
      </c>
      <c r="H542">
        <v>273</v>
      </c>
      <c r="I542">
        <v>17</v>
      </c>
      <c r="J542">
        <v>14</v>
      </c>
      <c r="M542">
        <v>217</v>
      </c>
      <c r="N542">
        <v>326</v>
      </c>
      <c r="O542">
        <v>50713693.693693697</v>
      </c>
      <c r="P542">
        <v>43843243.24324324</v>
      </c>
      <c r="Q542">
        <v>382</v>
      </c>
      <c r="R542">
        <v>222</v>
      </c>
      <c r="S542">
        <v>80125000</v>
      </c>
      <c r="T542">
        <v>77938476.576576576</v>
      </c>
      <c r="U542">
        <v>38243693.693693697</v>
      </c>
      <c r="V542">
        <v>36602612.612612605</v>
      </c>
      <c r="W542">
        <v>9750</v>
      </c>
      <c r="X542">
        <v>8795</v>
      </c>
    </row>
    <row r="543" spans="1:24">
      <c r="A543" s="7" t="s">
        <v>632</v>
      </c>
      <c r="B543" s="16" t="s">
        <v>70</v>
      </c>
      <c r="C543">
        <v>3354121.8244352508</v>
      </c>
      <c r="D543">
        <v>3293103.3420901289</v>
      </c>
      <c r="E543">
        <v>67792110.810810804</v>
      </c>
      <c r="F543">
        <v>54313545.045045048</v>
      </c>
      <c r="G543">
        <v>5</v>
      </c>
      <c r="H543">
        <v>2</v>
      </c>
      <c r="J543">
        <v>1</v>
      </c>
      <c r="M543">
        <v>5</v>
      </c>
      <c r="N543">
        <v>2</v>
      </c>
      <c r="O543">
        <v>37555220.720720723</v>
      </c>
      <c r="P543">
        <v>35935145.045045048</v>
      </c>
      <c r="R543">
        <v>18</v>
      </c>
      <c r="S543">
        <v>2235090.0900900899</v>
      </c>
      <c r="T543">
        <v>1908873.8738738741</v>
      </c>
      <c r="U543">
        <v>99369.369369369</v>
      </c>
      <c r="V543">
        <v>164864.864864865</v>
      </c>
      <c r="W543">
        <v>180</v>
      </c>
      <c r="X543">
        <v>186</v>
      </c>
    </row>
    <row r="544" spans="1:24">
      <c r="A544" s="7" t="s">
        <v>633</v>
      </c>
      <c r="B544" s="16" t="s">
        <v>60</v>
      </c>
      <c r="C544">
        <v>34354257.40825481</v>
      </c>
      <c r="D544">
        <v>34420730.313084774</v>
      </c>
      <c r="E544">
        <v>136936.93693693701</v>
      </c>
      <c r="F544">
        <v>29729.729729729999</v>
      </c>
      <c r="G544">
        <v>5</v>
      </c>
      <c r="H544">
        <v>10</v>
      </c>
      <c r="I544">
        <v>0</v>
      </c>
      <c r="M544">
        <v>5</v>
      </c>
      <c r="N544">
        <v>10</v>
      </c>
      <c r="O544">
        <v>1524324.3243243231</v>
      </c>
      <c r="P544">
        <v>1372072.072072072</v>
      </c>
      <c r="Q544">
        <v>28</v>
      </c>
      <c r="R544">
        <v>15</v>
      </c>
      <c r="S544">
        <v>12750540.540540541</v>
      </c>
      <c r="T544">
        <v>15097576.576576576</v>
      </c>
      <c r="U544">
        <v>1285585.5855855851</v>
      </c>
      <c r="V544">
        <v>202252.25225225199</v>
      </c>
      <c r="W544">
        <v>992</v>
      </c>
      <c r="X544">
        <v>1062</v>
      </c>
    </row>
    <row r="545" spans="1:24">
      <c r="A545" s="7" t="s">
        <v>634</v>
      </c>
      <c r="B545" s="16" t="s">
        <v>80</v>
      </c>
      <c r="C545">
        <v>368475630.45738328</v>
      </c>
      <c r="D545">
        <v>355954347.82893974</v>
      </c>
      <c r="E545">
        <v>3735135.1351351351</v>
      </c>
      <c r="F545">
        <v>3224774.7747747782</v>
      </c>
      <c r="G545">
        <v>123</v>
      </c>
      <c r="H545">
        <v>47</v>
      </c>
      <c r="I545">
        <v>4</v>
      </c>
      <c r="J545">
        <v>4</v>
      </c>
      <c r="M545">
        <v>142</v>
      </c>
      <c r="N545">
        <v>53</v>
      </c>
      <c r="O545">
        <v>45234594.59459459</v>
      </c>
      <c r="P545">
        <v>41786936.936936937</v>
      </c>
      <c r="Q545">
        <v>26</v>
      </c>
      <c r="R545">
        <v>13</v>
      </c>
      <c r="S545">
        <v>65924405.40540541</v>
      </c>
      <c r="T545">
        <v>71940103.603603601</v>
      </c>
      <c r="U545">
        <v>46258018.018018015</v>
      </c>
      <c r="V545">
        <v>35996486.486486487</v>
      </c>
      <c r="W545">
        <v>6303</v>
      </c>
      <c r="X545">
        <v>8135</v>
      </c>
    </row>
    <row r="546" spans="1:24">
      <c r="A546" s="7" t="s">
        <v>635</v>
      </c>
      <c r="B546" s="16" t="s">
        <v>134</v>
      </c>
      <c r="C546">
        <v>61611801.583170049</v>
      </c>
      <c r="D546">
        <v>64235648.493536331</v>
      </c>
      <c r="E546">
        <v>4504.5045045050001</v>
      </c>
      <c r="F546">
        <v>310810.810810811</v>
      </c>
      <c r="G546">
        <v>7</v>
      </c>
      <c r="H546">
        <v>14</v>
      </c>
      <c r="I546">
        <v>2</v>
      </c>
      <c r="J546">
        <v>1</v>
      </c>
      <c r="M546">
        <v>7</v>
      </c>
      <c r="N546">
        <v>14</v>
      </c>
      <c r="O546">
        <v>454954.95495495503</v>
      </c>
      <c r="P546">
        <v>4698198.1981981983</v>
      </c>
      <c r="S546">
        <v>3233558.558558559</v>
      </c>
      <c r="T546">
        <v>3225351.3513513519</v>
      </c>
      <c r="U546">
        <v>853603.60360360297</v>
      </c>
      <c r="V546">
        <v>4549009.0090090092</v>
      </c>
      <c r="W546">
        <v>1349</v>
      </c>
      <c r="X546">
        <v>1444</v>
      </c>
    </row>
    <row r="547" spans="1:24">
      <c r="A547" s="7" t="s">
        <v>636</v>
      </c>
      <c r="B547" s="16" t="s">
        <v>479</v>
      </c>
      <c r="C547">
        <v>209849605.6566954</v>
      </c>
      <c r="D547">
        <v>193862186.21692988</v>
      </c>
      <c r="E547">
        <v>102504627.02702703</v>
      </c>
      <c r="F547">
        <v>116549156.75675677</v>
      </c>
      <c r="G547">
        <v>46</v>
      </c>
      <c r="H547">
        <v>52</v>
      </c>
      <c r="I547">
        <v>4</v>
      </c>
      <c r="J547">
        <v>6</v>
      </c>
      <c r="M547">
        <v>51</v>
      </c>
      <c r="N547">
        <v>68</v>
      </c>
      <c r="O547">
        <v>44075960.360360362</v>
      </c>
      <c r="P547">
        <v>56860661.261261262</v>
      </c>
      <c r="Q547">
        <v>33</v>
      </c>
      <c r="R547">
        <v>23</v>
      </c>
      <c r="S547">
        <v>72140130.630630627</v>
      </c>
      <c r="T547">
        <v>68141396.396396399</v>
      </c>
      <c r="U547">
        <v>36533153.153153151</v>
      </c>
      <c r="V547">
        <v>48927252.252252251</v>
      </c>
      <c r="W547">
        <v>5791</v>
      </c>
      <c r="X547">
        <v>5819</v>
      </c>
    </row>
    <row r="548" spans="1:24">
      <c r="A548" s="7" t="s">
        <v>637</v>
      </c>
      <c r="B548" s="16" t="s">
        <v>143</v>
      </c>
      <c r="C548">
        <v>333333563.61542743</v>
      </c>
      <c r="D548">
        <v>330121376.9174912</v>
      </c>
      <c r="E548">
        <v>2404729.729729733</v>
      </c>
      <c r="F548">
        <v>3216666.6666666688</v>
      </c>
      <c r="G548">
        <v>90</v>
      </c>
      <c r="H548">
        <v>77</v>
      </c>
      <c r="I548">
        <v>27</v>
      </c>
      <c r="J548">
        <v>15</v>
      </c>
      <c r="M548">
        <v>110</v>
      </c>
      <c r="N548">
        <v>106</v>
      </c>
      <c r="O548">
        <v>27220180.180180185</v>
      </c>
      <c r="P548">
        <v>24842342.342342339</v>
      </c>
      <c r="Q548">
        <v>259</v>
      </c>
      <c r="R548">
        <v>253</v>
      </c>
      <c r="S548">
        <v>34582207.20720721</v>
      </c>
      <c r="T548">
        <v>40576204.954954952</v>
      </c>
      <c r="U548">
        <v>20778648.648648649</v>
      </c>
      <c r="V548">
        <v>18830630.630630631</v>
      </c>
      <c r="W548">
        <v>9439</v>
      </c>
      <c r="X548">
        <v>9426</v>
      </c>
    </row>
    <row r="549" spans="1:24">
      <c r="A549" s="7" t="s">
        <v>638</v>
      </c>
      <c r="B549" s="16" t="s">
        <v>241</v>
      </c>
      <c r="C549">
        <v>378356038.69074321</v>
      </c>
      <c r="D549">
        <v>356027581.28459829</v>
      </c>
      <c r="E549">
        <v>27619819.819819823</v>
      </c>
      <c r="F549">
        <v>40199099.099099107</v>
      </c>
      <c r="G549">
        <v>205</v>
      </c>
      <c r="H549">
        <v>191</v>
      </c>
      <c r="I549">
        <v>16</v>
      </c>
      <c r="J549">
        <v>17</v>
      </c>
      <c r="M549">
        <v>223</v>
      </c>
      <c r="N549">
        <v>230</v>
      </c>
      <c r="O549">
        <v>31999729.729729734</v>
      </c>
      <c r="P549">
        <v>23814054.054054055</v>
      </c>
      <c r="Q549">
        <v>72</v>
      </c>
      <c r="R549">
        <v>165</v>
      </c>
      <c r="S549">
        <v>123896792.7927928</v>
      </c>
      <c r="T549">
        <v>114717890.09009008</v>
      </c>
      <c r="U549">
        <v>31585585.585585587</v>
      </c>
      <c r="V549">
        <v>19601891.891891893</v>
      </c>
      <c r="W549">
        <v>12704</v>
      </c>
      <c r="X549">
        <v>12601</v>
      </c>
    </row>
    <row r="550" spans="1:24">
      <c r="A550" s="7" t="s">
        <v>639</v>
      </c>
      <c r="B550" s="16" t="s">
        <v>132</v>
      </c>
      <c r="C550">
        <v>157523748.46722898</v>
      </c>
      <c r="D550">
        <v>133797801.43757182</v>
      </c>
      <c r="E550">
        <v>6765765.7657657666</v>
      </c>
      <c r="F550">
        <v>20012612.612612613</v>
      </c>
      <c r="G550">
        <v>78</v>
      </c>
      <c r="H550">
        <v>60</v>
      </c>
      <c r="I550">
        <v>2</v>
      </c>
      <c r="J550">
        <v>1</v>
      </c>
      <c r="M550">
        <v>89</v>
      </c>
      <c r="N550">
        <v>72</v>
      </c>
      <c r="O550">
        <v>9209009.0090090074</v>
      </c>
      <c r="P550">
        <v>6735810.8108108109</v>
      </c>
      <c r="Q550">
        <v>1</v>
      </c>
      <c r="R550">
        <v>3</v>
      </c>
      <c r="S550">
        <v>56409792.79279279</v>
      </c>
      <c r="T550">
        <v>49615126.126126125</v>
      </c>
      <c r="U550">
        <v>6126666.666666666</v>
      </c>
      <c r="V550">
        <v>3402162.1621621619</v>
      </c>
      <c r="W550">
        <v>5503</v>
      </c>
      <c r="X550">
        <v>5374</v>
      </c>
    </row>
    <row r="551" spans="1:24">
      <c r="A551" s="7" t="s">
        <v>640</v>
      </c>
      <c r="B551" s="16" t="s">
        <v>134</v>
      </c>
      <c r="C551">
        <v>432372501.56789881</v>
      </c>
      <c r="D551">
        <v>414186936.92727739</v>
      </c>
      <c r="E551">
        <v>624324.32432432496</v>
      </c>
      <c r="F551">
        <v>1250450.4504504539</v>
      </c>
      <c r="G551">
        <v>87</v>
      </c>
      <c r="H551">
        <v>66</v>
      </c>
      <c r="I551">
        <v>13</v>
      </c>
      <c r="J551">
        <v>15</v>
      </c>
      <c r="M551">
        <v>92</v>
      </c>
      <c r="N551">
        <v>74</v>
      </c>
      <c r="O551">
        <v>31624504.504504506</v>
      </c>
      <c r="P551">
        <v>33183063.063063059</v>
      </c>
      <c r="Q551">
        <v>119</v>
      </c>
      <c r="R551">
        <v>25</v>
      </c>
      <c r="S551">
        <v>52228327.027027026</v>
      </c>
      <c r="T551">
        <v>54531610.810810804</v>
      </c>
      <c r="U551">
        <v>29483333.333333336</v>
      </c>
      <c r="V551">
        <v>26235989.189189192</v>
      </c>
      <c r="W551">
        <v>7366</v>
      </c>
      <c r="X551">
        <v>7397</v>
      </c>
    </row>
    <row r="552" spans="1:24">
      <c r="A552" s="7" t="s">
        <v>641</v>
      </c>
      <c r="B552" s="16" t="s">
        <v>80</v>
      </c>
      <c r="C552">
        <v>216120410.7957826</v>
      </c>
      <c r="D552">
        <v>220208420.82567811</v>
      </c>
      <c r="E552">
        <v>575675.67567567597</v>
      </c>
      <c r="F552">
        <v>1101801.801801804</v>
      </c>
      <c r="G552">
        <v>40</v>
      </c>
      <c r="H552">
        <v>37</v>
      </c>
      <c r="I552">
        <v>4</v>
      </c>
      <c r="J552">
        <v>2</v>
      </c>
      <c r="K552">
        <v>2</v>
      </c>
      <c r="M552">
        <v>43</v>
      </c>
      <c r="N552">
        <v>53</v>
      </c>
      <c r="O552">
        <v>25581531.531531528</v>
      </c>
      <c r="P552">
        <v>18611711.711711712</v>
      </c>
      <c r="Q552">
        <v>34</v>
      </c>
      <c r="R552">
        <v>18</v>
      </c>
      <c r="S552">
        <v>73896700.9009009</v>
      </c>
      <c r="T552">
        <v>79036445.945945948</v>
      </c>
      <c r="U552">
        <v>22809639.639639638</v>
      </c>
      <c r="V552">
        <v>21249099.0990991</v>
      </c>
      <c r="W552">
        <v>5356</v>
      </c>
      <c r="X552">
        <v>4769</v>
      </c>
    </row>
    <row r="553" spans="1:24">
      <c r="A553" s="7" t="s">
        <v>642</v>
      </c>
      <c r="B553" s="16" t="s">
        <v>169</v>
      </c>
      <c r="C553">
        <v>412538646.34897697</v>
      </c>
      <c r="D553">
        <v>357526884.00979966</v>
      </c>
      <c r="E553">
        <v>1697747.7477477479</v>
      </c>
      <c r="F553">
        <v>1190990.990990991</v>
      </c>
      <c r="G553">
        <v>56</v>
      </c>
      <c r="H553">
        <v>36</v>
      </c>
      <c r="I553">
        <v>0</v>
      </c>
      <c r="J553">
        <v>0</v>
      </c>
      <c r="K553">
        <v>1</v>
      </c>
      <c r="M553">
        <v>57</v>
      </c>
      <c r="N553">
        <v>45</v>
      </c>
      <c r="O553">
        <v>29130180.180180181</v>
      </c>
      <c r="P553">
        <v>33303799.0990991</v>
      </c>
      <c r="R553">
        <v>2</v>
      </c>
      <c r="S553">
        <v>137578666.66666669</v>
      </c>
      <c r="T553">
        <v>129037810.81081082</v>
      </c>
      <c r="U553">
        <v>28953423.423423424</v>
      </c>
      <c r="V553">
        <v>29609639.639639638</v>
      </c>
      <c r="W553">
        <v>8529</v>
      </c>
      <c r="X553">
        <v>8935</v>
      </c>
    </row>
    <row r="554" spans="1:24">
      <c r="A554" s="7" t="s">
        <v>643</v>
      </c>
      <c r="B554" s="16" t="s">
        <v>58</v>
      </c>
      <c r="C554">
        <v>634855211.54293418</v>
      </c>
      <c r="D554">
        <v>617176598.80748713</v>
      </c>
      <c r="E554">
        <v>4369594.594594595</v>
      </c>
      <c r="F554">
        <v>6223423.4234234244</v>
      </c>
      <c r="G554">
        <v>197</v>
      </c>
      <c r="H554">
        <v>163</v>
      </c>
      <c r="I554">
        <v>23</v>
      </c>
      <c r="J554">
        <v>30</v>
      </c>
      <c r="K554">
        <v>1</v>
      </c>
      <c r="M554">
        <v>213</v>
      </c>
      <c r="N554">
        <v>235</v>
      </c>
      <c r="O554">
        <v>63244144.144144148</v>
      </c>
      <c r="P554">
        <v>41938288.288288288</v>
      </c>
      <c r="Q554">
        <v>380</v>
      </c>
      <c r="R554">
        <v>67</v>
      </c>
      <c r="S554">
        <v>123886385.58558558</v>
      </c>
      <c r="T554">
        <v>127822608.10810812</v>
      </c>
      <c r="U554">
        <v>56488018.018018015</v>
      </c>
      <c r="V554">
        <v>46087837.837837838</v>
      </c>
      <c r="W554">
        <v>17831</v>
      </c>
      <c r="X554">
        <v>18285</v>
      </c>
    </row>
    <row r="555" spans="1:24">
      <c r="A555" s="7" t="s">
        <v>644</v>
      </c>
      <c r="B555" s="16" t="s">
        <v>58</v>
      </c>
      <c r="C555">
        <v>792989055.7771734</v>
      </c>
      <c r="D555">
        <v>776505244.79825211</v>
      </c>
      <c r="E555">
        <v>331419120.72072071</v>
      </c>
      <c r="F555">
        <v>24904054.054054052</v>
      </c>
      <c r="G555">
        <v>263</v>
      </c>
      <c r="H555">
        <v>398</v>
      </c>
      <c r="I555">
        <v>32</v>
      </c>
      <c r="J555">
        <v>51</v>
      </c>
      <c r="K555">
        <v>2</v>
      </c>
      <c r="M555">
        <v>317</v>
      </c>
      <c r="N555">
        <v>536</v>
      </c>
      <c r="O555">
        <v>144824774.77477479</v>
      </c>
      <c r="P555">
        <v>127667567.56756756</v>
      </c>
      <c r="Q555">
        <v>1223</v>
      </c>
      <c r="R555">
        <v>175</v>
      </c>
      <c r="S555">
        <v>212225520.72072071</v>
      </c>
      <c r="T555">
        <v>222851085.58558559</v>
      </c>
      <c r="U555">
        <v>126702792.7927928</v>
      </c>
      <c r="V555">
        <v>121549549.54954953</v>
      </c>
      <c r="W555">
        <v>22531</v>
      </c>
      <c r="X555">
        <v>21753</v>
      </c>
    </row>
    <row r="556" spans="1:24">
      <c r="A556" s="7" t="s">
        <v>645</v>
      </c>
      <c r="B556" s="16" t="s">
        <v>307</v>
      </c>
      <c r="C556">
        <v>258482770.85553488</v>
      </c>
      <c r="D556">
        <v>255025218.99578738</v>
      </c>
      <c r="E556">
        <v>1830630.630630631</v>
      </c>
      <c r="F556">
        <v>1720720.7207207209</v>
      </c>
      <c r="G556">
        <v>39</v>
      </c>
      <c r="H556">
        <v>18</v>
      </c>
      <c r="I556">
        <v>1</v>
      </c>
      <c r="J556">
        <v>1</v>
      </c>
      <c r="M556">
        <v>41</v>
      </c>
      <c r="N556">
        <v>25</v>
      </c>
      <c r="O556">
        <v>5443333.333333333</v>
      </c>
      <c r="P556">
        <v>4773873.8738738727</v>
      </c>
      <c r="Q556">
        <v>40</v>
      </c>
      <c r="R556">
        <v>4</v>
      </c>
      <c r="S556">
        <v>41817351.351351351</v>
      </c>
      <c r="T556">
        <v>42723662.162162162</v>
      </c>
      <c r="U556">
        <v>5446666.6666666651</v>
      </c>
      <c r="V556">
        <v>4544684.6846846836</v>
      </c>
      <c r="W556">
        <v>5212</v>
      </c>
      <c r="X556">
        <v>5114</v>
      </c>
    </row>
    <row r="557" spans="1:24">
      <c r="A557" s="7" t="s">
        <v>13</v>
      </c>
      <c r="B557" s="16" t="s">
        <v>158</v>
      </c>
      <c r="C557">
        <v>306329047.86807579</v>
      </c>
      <c r="D557">
        <v>287222959.09212369</v>
      </c>
      <c r="E557">
        <v>858558.55855856405</v>
      </c>
      <c r="F557">
        <v>2755855.8558558612</v>
      </c>
      <c r="G557">
        <v>128</v>
      </c>
      <c r="H557">
        <v>51</v>
      </c>
      <c r="I557">
        <v>10</v>
      </c>
      <c r="J557">
        <v>11</v>
      </c>
      <c r="K557">
        <v>1</v>
      </c>
      <c r="M557">
        <v>349</v>
      </c>
      <c r="N557">
        <v>240</v>
      </c>
      <c r="O557">
        <v>50531531.531531528</v>
      </c>
      <c r="P557">
        <v>56212972.972972974</v>
      </c>
      <c r="Q557">
        <v>278</v>
      </c>
      <c r="R557">
        <v>226</v>
      </c>
      <c r="S557">
        <v>176078698.1981982</v>
      </c>
      <c r="T557">
        <v>167281099.0990991</v>
      </c>
      <c r="U557">
        <v>57569819.819819823</v>
      </c>
      <c r="V557">
        <v>58512745.945945941</v>
      </c>
      <c r="W557">
        <v>8363</v>
      </c>
      <c r="X557">
        <v>7265</v>
      </c>
    </row>
    <row r="558" spans="1:24">
      <c r="A558" s="7" t="s">
        <v>646</v>
      </c>
      <c r="B558" s="16" t="s">
        <v>121</v>
      </c>
      <c r="C558">
        <v>193430027.22642159</v>
      </c>
      <c r="D558">
        <v>198706377.5799222</v>
      </c>
      <c r="E558">
        <v>14639.63963964</v>
      </c>
      <c r="F558">
        <v>149549.54954954999</v>
      </c>
      <c r="G558">
        <v>52</v>
      </c>
      <c r="H558">
        <v>44</v>
      </c>
      <c r="I558">
        <v>1</v>
      </c>
      <c r="J558">
        <v>1</v>
      </c>
      <c r="M558">
        <v>54</v>
      </c>
      <c r="N558">
        <v>48</v>
      </c>
      <c r="O558">
        <v>438738.73873873899</v>
      </c>
      <c r="P558">
        <v>1144144.1441441439</v>
      </c>
      <c r="Q558">
        <v>27</v>
      </c>
      <c r="R558">
        <v>7</v>
      </c>
      <c r="S558">
        <v>15841045.045045044</v>
      </c>
      <c r="T558">
        <v>17296051.801801801</v>
      </c>
      <c r="U558">
        <v>649009.00900900899</v>
      </c>
      <c r="V558">
        <v>885045.04504504602</v>
      </c>
      <c r="W558">
        <v>3090</v>
      </c>
      <c r="X558">
        <v>3173</v>
      </c>
    </row>
    <row r="559" spans="1:24">
      <c r="A559" s="7" t="s">
        <v>647</v>
      </c>
      <c r="B559" s="16" t="s">
        <v>315</v>
      </c>
      <c r="C559">
        <v>75078399.977625802</v>
      </c>
      <c r="D559">
        <v>70320595.742055014</v>
      </c>
      <c r="E559">
        <v>463063.06306306302</v>
      </c>
      <c r="F559">
        <v>1258558.5585585581</v>
      </c>
      <c r="G559">
        <v>19</v>
      </c>
      <c r="H559">
        <v>32</v>
      </c>
      <c r="I559">
        <v>6</v>
      </c>
      <c r="J559">
        <v>7</v>
      </c>
      <c r="M559">
        <v>19</v>
      </c>
      <c r="N559">
        <v>36</v>
      </c>
      <c r="O559">
        <v>6968918.9189189188</v>
      </c>
      <c r="P559">
        <v>11681981.98198198</v>
      </c>
      <c r="S559">
        <v>18912905.40540541</v>
      </c>
      <c r="T559">
        <v>18203432.432432432</v>
      </c>
      <c r="U559">
        <v>6536216.2162162149</v>
      </c>
      <c r="V559">
        <v>12893873.873873873</v>
      </c>
      <c r="W559">
        <v>1424</v>
      </c>
      <c r="X559">
        <v>1252</v>
      </c>
    </row>
    <row r="560" spans="1:24">
      <c r="A560" s="7" t="s">
        <v>648</v>
      </c>
      <c r="B560" s="16" t="s">
        <v>260</v>
      </c>
      <c r="C560">
        <v>191789894.01317343</v>
      </c>
      <c r="D560">
        <v>182928501.14741468</v>
      </c>
      <c r="E560">
        <v>206351.35135135101</v>
      </c>
      <c r="F560">
        <v>1179504.5045045039</v>
      </c>
      <c r="G560">
        <v>51</v>
      </c>
      <c r="H560">
        <v>49</v>
      </c>
      <c r="I560">
        <v>2</v>
      </c>
      <c r="J560">
        <v>1</v>
      </c>
      <c r="M560">
        <v>55</v>
      </c>
      <c r="N560">
        <v>67</v>
      </c>
      <c r="O560">
        <v>29635405.405405402</v>
      </c>
      <c r="P560">
        <v>39010810.810810804</v>
      </c>
      <c r="Q560">
        <v>4</v>
      </c>
      <c r="R560">
        <v>20</v>
      </c>
      <c r="S560">
        <v>60009459.459459454</v>
      </c>
      <c r="T560">
        <v>59410441.441441439</v>
      </c>
      <c r="U560">
        <v>26667567.567567568</v>
      </c>
      <c r="V560">
        <v>38633963.963963971</v>
      </c>
      <c r="W560">
        <v>4142</v>
      </c>
      <c r="X560">
        <v>4310</v>
      </c>
    </row>
    <row r="561" spans="1:24">
      <c r="A561" s="7" t="s">
        <v>649</v>
      </c>
      <c r="B561" s="16" t="s">
        <v>224</v>
      </c>
      <c r="C561">
        <v>198820750.77541611</v>
      </c>
      <c r="D561">
        <v>174101902.74707592</v>
      </c>
      <c r="E561">
        <v>83333.333333333998</v>
      </c>
      <c r="F561">
        <v>1338513.513513515</v>
      </c>
      <c r="G561">
        <v>38</v>
      </c>
      <c r="H561">
        <v>52</v>
      </c>
      <c r="I561">
        <v>6</v>
      </c>
      <c r="J561">
        <v>7</v>
      </c>
      <c r="M561">
        <v>48</v>
      </c>
      <c r="N561">
        <v>63</v>
      </c>
      <c r="O561">
        <v>12489099.099099098</v>
      </c>
      <c r="P561">
        <v>15350810.810810812</v>
      </c>
      <c r="Q561">
        <v>94</v>
      </c>
      <c r="R561">
        <v>317</v>
      </c>
      <c r="S561">
        <v>41352594.59459459</v>
      </c>
      <c r="T561">
        <v>41584315.315315314</v>
      </c>
      <c r="U561">
        <v>12508378.378378378</v>
      </c>
      <c r="V561">
        <v>15294054.054054055</v>
      </c>
      <c r="W561">
        <v>5519</v>
      </c>
      <c r="X561">
        <v>5513</v>
      </c>
    </row>
    <row r="562" spans="1:24">
      <c r="A562" s="7" t="s">
        <v>650</v>
      </c>
      <c r="B562" s="16" t="s">
        <v>224</v>
      </c>
      <c r="C562">
        <v>161842365.52157742</v>
      </c>
      <c r="D562">
        <v>141181703.13974157</v>
      </c>
      <c r="E562">
        <v>27927.927927928002</v>
      </c>
      <c r="F562">
        <v>63963.963963964998</v>
      </c>
      <c r="G562">
        <v>25</v>
      </c>
      <c r="H562">
        <v>28</v>
      </c>
      <c r="I562">
        <v>1</v>
      </c>
      <c r="J562">
        <v>0</v>
      </c>
      <c r="M562">
        <v>28</v>
      </c>
      <c r="N562">
        <v>35</v>
      </c>
      <c r="O562">
        <v>8491711.7117117103</v>
      </c>
      <c r="P562">
        <v>7134234.2342342334</v>
      </c>
      <c r="Q562">
        <v>48</v>
      </c>
      <c r="R562">
        <v>103</v>
      </c>
      <c r="S562">
        <v>21299909.909909911</v>
      </c>
      <c r="T562">
        <v>20875621.62162162</v>
      </c>
      <c r="U562">
        <v>5871711.7117117113</v>
      </c>
      <c r="V562">
        <v>6425225.2252252223</v>
      </c>
      <c r="W562">
        <v>3110</v>
      </c>
      <c r="X562">
        <v>3099</v>
      </c>
    </row>
    <row r="563" spans="1:24">
      <c r="A563" s="7" t="s">
        <v>651</v>
      </c>
      <c r="B563" s="16" t="s">
        <v>224</v>
      </c>
      <c r="C563">
        <v>622387612.63963687</v>
      </c>
      <c r="D563">
        <v>541896442.80845153</v>
      </c>
      <c r="E563">
        <v>165847153.15315315</v>
      </c>
      <c r="F563">
        <v>120560363.96396397</v>
      </c>
      <c r="G563">
        <v>210</v>
      </c>
      <c r="H563">
        <v>186</v>
      </c>
      <c r="I563">
        <v>36</v>
      </c>
      <c r="J563">
        <v>30</v>
      </c>
      <c r="K563">
        <v>4</v>
      </c>
      <c r="M563">
        <v>269</v>
      </c>
      <c r="N563">
        <v>291</v>
      </c>
      <c r="O563">
        <v>95057567.567567572</v>
      </c>
      <c r="P563">
        <v>96171171.171171173</v>
      </c>
      <c r="Q563">
        <v>507</v>
      </c>
      <c r="R563">
        <v>714</v>
      </c>
      <c r="S563">
        <v>139114836.03603604</v>
      </c>
      <c r="T563">
        <v>136690977.47747746</v>
      </c>
      <c r="U563">
        <v>73893646.846846849</v>
      </c>
      <c r="V563">
        <v>78901261.261261269</v>
      </c>
      <c r="W563">
        <v>18040</v>
      </c>
      <c r="X563">
        <v>18305</v>
      </c>
    </row>
    <row r="564" spans="1:24">
      <c r="A564" s="7" t="s">
        <v>652</v>
      </c>
      <c r="B564" s="16" t="s">
        <v>224</v>
      </c>
      <c r="C564">
        <v>72431761.347421438</v>
      </c>
      <c r="D564">
        <v>68429693.568378225</v>
      </c>
      <c r="E564">
        <v>1801.801801802</v>
      </c>
      <c r="F564">
        <v>207207.207207208</v>
      </c>
      <c r="G564">
        <v>23</v>
      </c>
      <c r="H564">
        <v>15</v>
      </c>
      <c r="I564">
        <v>2</v>
      </c>
      <c r="J564">
        <v>1</v>
      </c>
      <c r="M564">
        <v>25</v>
      </c>
      <c r="N564">
        <v>17</v>
      </c>
      <c r="O564">
        <v>2013333.333333334</v>
      </c>
      <c r="P564">
        <v>1648648.6486486481</v>
      </c>
      <c r="Q564">
        <v>8</v>
      </c>
      <c r="S564">
        <v>10784459.459459459</v>
      </c>
      <c r="T564">
        <v>11237063.063063065</v>
      </c>
      <c r="U564">
        <v>1355585.585585586</v>
      </c>
      <c r="V564">
        <v>1290540.5405405399</v>
      </c>
      <c r="W564">
        <v>1840</v>
      </c>
      <c r="X564">
        <v>1720</v>
      </c>
    </row>
    <row r="565" spans="1:24">
      <c r="A565" s="7" t="s">
        <v>653</v>
      </c>
      <c r="B565" s="16" t="s">
        <v>96</v>
      </c>
      <c r="C565">
        <v>372866155.88018185</v>
      </c>
      <c r="D565">
        <v>346544673.18222797</v>
      </c>
      <c r="E565">
        <v>163063.063063065</v>
      </c>
      <c r="F565">
        <v>755855.855855859</v>
      </c>
      <c r="G565">
        <v>83</v>
      </c>
      <c r="H565">
        <v>177</v>
      </c>
      <c r="I565">
        <v>1</v>
      </c>
      <c r="J565">
        <v>1</v>
      </c>
      <c r="M565">
        <v>98</v>
      </c>
      <c r="N565">
        <v>197</v>
      </c>
      <c r="O565">
        <v>9219639.6396396402</v>
      </c>
      <c r="P565">
        <v>7110810.8108108109</v>
      </c>
      <c r="Q565">
        <v>54</v>
      </c>
      <c r="R565">
        <v>94</v>
      </c>
      <c r="S565">
        <v>45993324.324324325</v>
      </c>
      <c r="T565">
        <v>49208639.639639638</v>
      </c>
      <c r="U565">
        <v>10771801.801801803</v>
      </c>
      <c r="V565">
        <v>5831621.6216216227</v>
      </c>
      <c r="W565">
        <v>8855</v>
      </c>
      <c r="X565">
        <v>8722</v>
      </c>
    </row>
    <row r="566" spans="1:24">
      <c r="A566" s="7" t="s">
        <v>654</v>
      </c>
      <c r="B566" s="16" t="s">
        <v>66</v>
      </c>
      <c r="C566">
        <v>221346269.13976735</v>
      </c>
      <c r="D566">
        <v>215656226.23709017</v>
      </c>
      <c r="E566">
        <v>2306306.3063063072</v>
      </c>
      <c r="F566">
        <v>7007207.2072072094</v>
      </c>
      <c r="G566">
        <v>81</v>
      </c>
      <c r="H566">
        <v>80</v>
      </c>
      <c r="I566">
        <v>3</v>
      </c>
      <c r="J566">
        <v>4</v>
      </c>
      <c r="M566">
        <v>84</v>
      </c>
      <c r="N566">
        <v>98</v>
      </c>
      <c r="O566">
        <v>25673153.153153151</v>
      </c>
      <c r="P566">
        <v>129405225.22522523</v>
      </c>
      <c r="Q566">
        <v>130</v>
      </c>
      <c r="R566">
        <v>9</v>
      </c>
      <c r="S566">
        <v>139728603.6036036</v>
      </c>
      <c r="T566">
        <v>139426738.73873875</v>
      </c>
      <c r="U566">
        <v>25415585.585585583</v>
      </c>
      <c r="V566">
        <v>95040540.540540546</v>
      </c>
      <c r="W566">
        <v>5260</v>
      </c>
      <c r="X566">
        <v>5415</v>
      </c>
    </row>
    <row r="567" spans="1:24">
      <c r="A567" s="7" t="s">
        <v>655</v>
      </c>
      <c r="B567" s="16" t="s">
        <v>68</v>
      </c>
      <c r="C567">
        <v>380837186.37069619</v>
      </c>
      <c r="D567">
        <v>337242710.90428394</v>
      </c>
      <c r="E567">
        <v>782252.25225225405</v>
      </c>
      <c r="F567">
        <v>971171.17117117299</v>
      </c>
      <c r="G567">
        <v>109</v>
      </c>
      <c r="H567">
        <v>60</v>
      </c>
      <c r="I567">
        <v>8</v>
      </c>
      <c r="J567">
        <v>5</v>
      </c>
      <c r="K567">
        <v>4</v>
      </c>
      <c r="M567">
        <v>120</v>
      </c>
      <c r="N567">
        <v>63</v>
      </c>
      <c r="O567">
        <v>23924324.324324325</v>
      </c>
      <c r="P567">
        <v>15436936.936936935</v>
      </c>
      <c r="Q567">
        <v>64</v>
      </c>
      <c r="R567">
        <v>66</v>
      </c>
      <c r="S567">
        <v>47816950.45045045</v>
      </c>
      <c r="T567">
        <v>46725306.306306303</v>
      </c>
      <c r="U567">
        <v>17711801.801801801</v>
      </c>
      <c r="V567">
        <v>12136306.306306304</v>
      </c>
      <c r="W567">
        <v>6501</v>
      </c>
      <c r="X567">
        <v>7018</v>
      </c>
    </row>
    <row r="568" spans="1:24">
      <c r="A568" s="7" t="s">
        <v>14</v>
      </c>
      <c r="B568" s="16" t="s">
        <v>158</v>
      </c>
      <c r="C568">
        <v>157217579.18254173</v>
      </c>
      <c r="D568">
        <v>147301344.60131294</v>
      </c>
      <c r="E568">
        <v>690289963.96396387</v>
      </c>
      <c r="F568">
        <v>718414136.03603613</v>
      </c>
      <c r="G568">
        <v>13</v>
      </c>
      <c r="H568">
        <v>21</v>
      </c>
      <c r="I568">
        <v>8</v>
      </c>
      <c r="J568">
        <v>7</v>
      </c>
      <c r="M568">
        <v>15</v>
      </c>
      <c r="N568">
        <v>24</v>
      </c>
      <c r="O568">
        <v>86837572.072072059</v>
      </c>
      <c r="P568">
        <v>91532432.432432428</v>
      </c>
      <c r="Q568">
        <v>55</v>
      </c>
      <c r="R568">
        <v>43</v>
      </c>
      <c r="S568">
        <v>51103549.54954955</v>
      </c>
      <c r="T568">
        <v>49747117.117117122</v>
      </c>
      <c r="U568">
        <v>15444414.414414411</v>
      </c>
      <c r="V568">
        <v>33100180.180180181</v>
      </c>
      <c r="W568">
        <v>3845</v>
      </c>
      <c r="X568">
        <v>3915</v>
      </c>
    </row>
    <row r="569" spans="1:24">
      <c r="A569" s="7" t="s">
        <v>656</v>
      </c>
      <c r="B569" s="16" t="s">
        <v>304</v>
      </c>
      <c r="C569">
        <v>142940044.51316109</v>
      </c>
      <c r="D569">
        <v>161006819.53858697</v>
      </c>
      <c r="E569">
        <v>972072.07207207498</v>
      </c>
      <c r="F569">
        <v>639639.63963963802</v>
      </c>
      <c r="G569">
        <v>74</v>
      </c>
      <c r="H569">
        <v>45</v>
      </c>
      <c r="I569">
        <v>7</v>
      </c>
      <c r="J569">
        <v>16</v>
      </c>
      <c r="M569">
        <v>79</v>
      </c>
      <c r="N569">
        <v>272</v>
      </c>
      <c r="O569">
        <v>28233333.333333336</v>
      </c>
      <c r="P569">
        <v>26481081.081081081</v>
      </c>
      <c r="Q569">
        <v>53</v>
      </c>
      <c r="R569">
        <v>61</v>
      </c>
      <c r="S569">
        <v>45456810.810810804</v>
      </c>
      <c r="T569">
        <v>48366364.864864863</v>
      </c>
      <c r="U569">
        <v>26858198.198198199</v>
      </c>
      <c r="V569">
        <v>24557747.747747753</v>
      </c>
      <c r="W569">
        <v>3265</v>
      </c>
      <c r="X569">
        <v>3093</v>
      </c>
    </row>
    <row r="570" spans="1:24">
      <c r="A570" s="7" t="s">
        <v>657</v>
      </c>
      <c r="B570" s="16" t="s">
        <v>48</v>
      </c>
      <c r="C570">
        <v>227738917.81824234</v>
      </c>
      <c r="D570">
        <v>193751914.13312352</v>
      </c>
      <c r="E570">
        <v>621621.62162162096</v>
      </c>
      <c r="F570">
        <v>1092792.7927927941</v>
      </c>
      <c r="G570">
        <v>43</v>
      </c>
      <c r="H570">
        <v>51</v>
      </c>
      <c r="I570">
        <v>6</v>
      </c>
      <c r="J570">
        <v>5</v>
      </c>
      <c r="M570">
        <v>48</v>
      </c>
      <c r="N570">
        <v>152</v>
      </c>
      <c r="O570">
        <v>25267657.657657657</v>
      </c>
      <c r="P570">
        <v>52202702.702702701</v>
      </c>
      <c r="S570">
        <v>68785171.171171173</v>
      </c>
      <c r="T570">
        <v>62519207.20720721</v>
      </c>
      <c r="U570">
        <v>24920540.540540535</v>
      </c>
      <c r="V570">
        <v>41165225.225225225</v>
      </c>
      <c r="W570">
        <v>3353</v>
      </c>
      <c r="X570">
        <v>3567</v>
      </c>
    </row>
    <row r="571" spans="1:24">
      <c r="A571" s="7" t="s">
        <v>658</v>
      </c>
      <c r="B571" s="16" t="s">
        <v>54</v>
      </c>
      <c r="C571">
        <v>62787950.736355625</v>
      </c>
      <c r="D571">
        <v>64722438.889378048</v>
      </c>
      <c r="E571">
        <v>195495.495495496</v>
      </c>
      <c r="F571">
        <v>520720.72072072001</v>
      </c>
      <c r="G571">
        <v>6</v>
      </c>
      <c r="I571">
        <v>0</v>
      </c>
      <c r="J571">
        <v>1</v>
      </c>
      <c r="M571">
        <v>7</v>
      </c>
      <c r="N571">
        <v>1</v>
      </c>
      <c r="O571">
        <v>8729729.7297297306</v>
      </c>
      <c r="P571">
        <v>5047747.7477477482</v>
      </c>
      <c r="Q571">
        <v>24</v>
      </c>
      <c r="R571">
        <v>15</v>
      </c>
      <c r="S571">
        <v>14200000</v>
      </c>
      <c r="T571">
        <v>15188648.648648648</v>
      </c>
      <c r="U571">
        <v>7424234.2342342343</v>
      </c>
      <c r="V571">
        <v>4519459.4594594603</v>
      </c>
      <c r="W571">
        <v>1586</v>
      </c>
      <c r="X571">
        <v>1529</v>
      </c>
    </row>
    <row r="572" spans="1:24">
      <c r="A572" s="7" t="s">
        <v>659</v>
      </c>
      <c r="B572" s="16" t="s">
        <v>50</v>
      </c>
      <c r="C572">
        <v>284392063.55788958</v>
      </c>
      <c r="D572">
        <v>281260860.3537274</v>
      </c>
      <c r="E572">
        <v>290720.72072072199</v>
      </c>
      <c r="F572">
        <v>1403603.603603607</v>
      </c>
      <c r="G572">
        <v>57</v>
      </c>
      <c r="H572">
        <v>44</v>
      </c>
      <c r="I572">
        <v>13</v>
      </c>
      <c r="J572">
        <v>6</v>
      </c>
      <c r="M572">
        <v>59</v>
      </c>
      <c r="N572">
        <v>60</v>
      </c>
      <c r="O572">
        <v>64090090.090090089</v>
      </c>
      <c r="P572">
        <v>59474594.59459459</v>
      </c>
      <c r="Q572">
        <v>65</v>
      </c>
      <c r="R572">
        <v>22</v>
      </c>
      <c r="S572">
        <v>142118081.08108109</v>
      </c>
      <c r="T572">
        <v>141720369.36936939</v>
      </c>
      <c r="U572">
        <v>63102792.79279279</v>
      </c>
      <c r="V572">
        <v>57845765.765765771</v>
      </c>
      <c r="W572">
        <v>6013</v>
      </c>
      <c r="X572">
        <v>5801</v>
      </c>
    </row>
    <row r="573" spans="1:24">
      <c r="A573" s="7" t="s">
        <v>660</v>
      </c>
      <c r="B573" s="16" t="s">
        <v>83</v>
      </c>
      <c r="C573">
        <v>330533456.24110842</v>
      </c>
      <c r="D573">
        <v>345656754.16725868</v>
      </c>
      <c r="E573">
        <v>1709549.5495495501</v>
      </c>
      <c r="F573">
        <v>2812404.5045045051</v>
      </c>
      <c r="G573">
        <v>92</v>
      </c>
      <c r="H573">
        <v>104</v>
      </c>
      <c r="I573">
        <v>9</v>
      </c>
      <c r="J573">
        <v>9</v>
      </c>
      <c r="K573">
        <v>2</v>
      </c>
      <c r="M573">
        <v>148</v>
      </c>
      <c r="N573">
        <v>121</v>
      </c>
      <c r="O573">
        <v>42979369.369369365</v>
      </c>
      <c r="P573">
        <v>55875136.936936945</v>
      </c>
      <c r="Q573">
        <v>357</v>
      </c>
      <c r="R573">
        <v>84</v>
      </c>
      <c r="S573">
        <v>80550594.594594598</v>
      </c>
      <c r="T573">
        <v>89124639.639639631</v>
      </c>
      <c r="U573">
        <v>36999369.369369365</v>
      </c>
      <c r="V573">
        <v>30226531.531531531</v>
      </c>
      <c r="W573">
        <v>8416</v>
      </c>
      <c r="X573">
        <v>8891</v>
      </c>
    </row>
    <row r="574" spans="1:24">
      <c r="A574" s="12" t="s">
        <v>665</v>
      </c>
      <c r="B574" s="13"/>
      <c r="C574" s="14">
        <v>146900821602.19818</v>
      </c>
      <c r="D574" s="14">
        <v>143404542610.62943</v>
      </c>
      <c r="E574" s="14">
        <v>29156909337.83783</v>
      </c>
      <c r="F574" s="14">
        <v>32248410047.747761</v>
      </c>
      <c r="G574" s="14">
        <v>46606</v>
      </c>
      <c r="H574" s="14">
        <v>47871</v>
      </c>
      <c r="I574" s="14">
        <v>4673</v>
      </c>
      <c r="J574" s="14">
        <v>5566</v>
      </c>
      <c r="K574" s="14">
        <v>460</v>
      </c>
      <c r="L574" s="14"/>
      <c r="M574" s="14">
        <v>59111</v>
      </c>
      <c r="N574" s="14">
        <v>70613</v>
      </c>
      <c r="O574" s="14">
        <v>29517218828.828819</v>
      </c>
      <c r="P574" s="14">
        <v>30316937255.855846</v>
      </c>
      <c r="Q574" s="14">
        <v>87864</v>
      </c>
      <c r="R574" s="14">
        <v>103017</v>
      </c>
      <c r="S574" s="14">
        <v>41304989990.99099</v>
      </c>
      <c r="T574" s="14">
        <v>43157511161.261246</v>
      </c>
      <c r="U574" s="14">
        <v>20709800486.486485</v>
      </c>
      <c r="V574" s="14">
        <v>21562095708.108131</v>
      </c>
      <c r="W574" s="14">
        <v>3712574</v>
      </c>
      <c r="X574" s="14">
        <v>3728336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2026-09-21T11:14:41Z</dcterms:modified>
</cp:coreProperties>
</file>