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D7" i="1"/>
  <c r="D8" i="1"/>
  <c r="E8" i="1" s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6" i="1"/>
  <c r="E19" i="1" l="1"/>
  <c r="E7" i="1"/>
  <c r="E18" i="1"/>
  <c r="E17" i="1"/>
  <c r="E16" i="1"/>
  <c r="E21" i="1"/>
  <c r="E9" i="1"/>
  <c r="E14" i="1"/>
  <c r="E20" i="1"/>
  <c r="E13" i="1"/>
  <c r="E12" i="1"/>
  <c r="E6" i="1"/>
  <c r="E11" i="1"/>
  <c r="E22" i="1"/>
  <c r="E10" i="1"/>
  <c r="E15" i="1"/>
  <c r="W13" i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<sst xmlns="http://schemas.openxmlformats.org/spreadsheetml/2006/main" count="1252" uniqueCount="682">
  <si>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</si>
  <si>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</si>
  <si>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</si>
  <si>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</si>
  <si>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</si>
  <si>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</si>
  <si>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</si>
  <si>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</si>
  <si>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</si>
  <si>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</si>
  <si>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</si>
  <si>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</si>
  <si>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</si>
  <si>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</si>
  <si>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</si>
  <si>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</si>
  <si>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</si>
  <si>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</si>
  <si>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</si>
  <si>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</si>
  <si>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</si>
  <si>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</si>
  <si>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</si>
  <si>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</si>
  <si>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</si>
  <si>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</si>
  <si>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</si>
  <si>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</si>
  <si>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</si>
  <si>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</si>
  <si>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</si>
  <si>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</si>
  <si>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</si>
  <si>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</si>
  <si>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</si>
  <si>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</si>
  <si>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</si>
  <si>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</si>
  <si>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</si>
  <si>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</si>
  <si>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</si>
  <si>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</si>
  <si>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</si>
  <si>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</si>
  <si>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</si>
  <si>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</si>
  <si>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</si>
  <si>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</si>
  <si>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</si>
  <si>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</si>
  <si>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</si>
  <si>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</si>
  <si>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</si>
  <si>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</si>
  <si>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</si>
  <si>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</si>
  <si>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</si>
  <si>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</si>
  <si>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</si>
  <si>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</si>
  <si>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</si>
  <si>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</si>
  <si>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</si>
  <si>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</si>
  <si>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</si>
  <si>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</si>
  <si>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</si>
  <si>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</si>
  <si>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</si>
  <si>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</si>
  <si>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</si>
  <si>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</si>
  <si>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</si>
  <si>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</si>
  <si>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</si>
  <si>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</si>
  <si>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</si>
  <si>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</si>
  <si>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</si>
  <si>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</si>
  <si>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</si>
  <si>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</si>
  <si>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</si>
  <si>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</si>
  <si>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</si>
  <si>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</si>
  <si>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</si>
  <si>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</si>
  <si>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</si>
  <si>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</si>
  <si>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</si>
  <si>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</si>
  <si>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</si>
  <si>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</si>
  <si>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</si>
  <si>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</si>
  <si>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</si>
  <si>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</si>
  <si>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</si>
  <si>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</si>
  <si>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</si>
  <si>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</si>
  <si>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</si>
  <si>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</si>
  <si>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</si>
  <si>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</si>
  <si>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</si>
  <si>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</si>
  <si>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</si>
  <si>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</si>
  <si>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</si>
  <si>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</si>
  <si>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</si>
  <si>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</si>
  <si>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</si>
  <si>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</si>
  <si>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</si>
  <si>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</si>
  <si>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</si>
  <si>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</si>
  <si>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</si>
  <si>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</si>
  <si>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</si>
  <si>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</si>
  <si>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</si>
  <si>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</si>
  <si>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</si>
  <si>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</si>
  <si>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</si>
  <si>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</si>
  <si>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</si>
  <si>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</si>
  <si>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</si>
  <si>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</si>
  <si>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</si>
  <si>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</si>
  <si>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</si>
  <si>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</si>
  <si>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</si>
  <si>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</si>
  <si>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</si>
  <si>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</si>
  <si>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</si>
  <si>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</si>
  <si>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</si>
  <si>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</si>
  <si>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</si>
  <si>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</si>
  <si>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</si>
  <si>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</si>
  <si>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</si>
  <si>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</si>
  <si>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</si>
  <si>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</si>
  <si>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</si>
  <si>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</si>
  <si>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</si>
  <si>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</si>
  <si>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</si>
  <si>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</si>
  <si>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</si>
  <si>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</si>
  <si>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</si>
  <si>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</si>
  <si>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</si>
  <si>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</si>
  <si>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</si>
  <si>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</si>
  <si>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</si>
  <si>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</si>
  <si>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</si>
  <si>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</si>
  <si>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</si>
  <si>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</si>
  <si>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</si>
  <si>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</si>
  <si>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</si>
  <si>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</si>
  <si>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</si>
  <si>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</si>
  <si>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</si>
  <si>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</si>
  <si>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</si>
  <si>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</si>
  <si>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</si>
  <si>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</si>
  <si>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</si>
  <si>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</si>
  <si>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</si>
  <si>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</si>
  <si>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</si>
  <si>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</si>
  <si>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</si>
  <si>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</si>
  <si>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</si>
  <si>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</si>
  <si>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</si>
  <si>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</si>
  <si>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</si>
  <si>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</si>
  <si>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</si>
  <si>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</si>
  <si>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</si>
  <si>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</si>
  <si>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</si>
  <si>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</si>
  <si>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</si>
  <si>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</si>
  <si>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</si>
  <si>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</si>
  <si>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</si>
  <si>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</si>
  <si>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</si>
  <si>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</si>
  <si>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</si>
  <si>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</si>
  <si>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</si>
  <si>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</si>
  <si>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</si>
  <si>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</si>
  <si>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</si>
  <si>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</si>
  <si>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</si>
  <si>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</si>
  <si>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</si>
  <si>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</si>
  <si>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</si>
  <si>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</si>
  <si>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</si>
  <si>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</si>
  <si>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</si>
  <si>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</si>
  <si>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</si>
  <si>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</si>
  <si>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</si>
  <si>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</si>
  <si>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</si>
  <si>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</si>
  <si>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</si>
  <si>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</si>
  <si>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</si>
  <si>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</si>
  <si>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</si>
  <si>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</si>
  <si>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</si>
  <si>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</si>
  <si>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</si>
  <si>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</si>
  <si>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</si>
  <si>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</si>
  <si>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</si>
  <si>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</si>
  <si>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</si>
  <si>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</si>
  <si>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</si>
  <si>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</si>
  <si>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</si>
  <si>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</si>
  <si>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</si>
  <si>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</si>
  <si>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</si>
  <si>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</si>
  <si>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</si>
  <si>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</si>
  <si>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</si>
  <si>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</si>
  <si>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</si>
  <si>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</si>
  <si>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</si>
  <si>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</si>
  <si>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</si>
  <si>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</si>
  <si>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</si>
  <si>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</si>
  <si>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</si>
  <si>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</si>
  <si>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</si>
  <si>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</si>
  <si>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</si>
  <si>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</si>
  <si>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</si>
  <si>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</si>
  <si>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</si>
  <si>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</si>
  <si>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</si>
  <si>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</si>
  <si>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</si>
  <si>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</si>
  <si>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</si>
  <si>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</si>
  <si>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</si>
  <si>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</si>
  <si>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</si>
  <si>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</si>
  <si>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</si>
  <si>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</si>
  <si>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</si>
  <si>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</si>
  <si>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</si>
  <si>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</si>
  <si>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</si>
  <si>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</si>
  <si>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</si>
  <si>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</si>
  <si>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</si>
  <si>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</si>
  <si>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</si>
  <si>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</si>
  <si>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</si>
  <si>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</si>
  <si>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</si>
  <si>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</si>
  <si>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</si>
  <si>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</si>
  <si>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</si>
  <si>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</si>
  <si>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</si>
  <si>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</si>
  <si>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</si>
  <si>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</si>
  <si>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</si>
  <si>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</si>
  <si>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</si>
  <si>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</si>
  <si>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</si>
  <si>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</si>
  <si>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</si>
  <si>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</si>
  <si>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</si>
  <si>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</si>
  <si>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</si>
  <si>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</si>
  <si>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</si>
  <si>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</si>
  <si>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</si>
  <si>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</si>
  <si>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</si>
  <si>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</si>
  <si>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</si>
  <si>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</si>
  <si>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</si>
  <si>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</si>
  <si>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</si>
  <si>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</si>
  <si>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</si>
  <si>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</si>
  <si>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</si>
  <si>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</si>
  <si>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</si>
  <si>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</si>
  <si>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</si>
  <si>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</si>
  <si>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</si>
  <si>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</si>
  <si>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</si>
  <si>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</si>
  <si>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</si>
  <si>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</si>
  <si>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</si>
  <si>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</si>
  <si>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</si>
  <si>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</si>
  <si>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</si>
  <si>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</si>
  <si>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</si>
  <si>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</si>
  <si>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</si>
  <si>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</si>
  <si>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</si>
  <si>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</si>
  <si>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</si>
  <si>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</si>
  <si>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</si>
  <si>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</si>
  <si>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</si>
  <si>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</si>
  <si>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</si>
  <si>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</si>
  <si>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</si>
  <si>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</si>
  <si>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</si>
  <si>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</si>
  <si>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</si>
  <si>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</si>
  <si>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</si>
  <si>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</si>
  <si>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</si>
  <si>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</si>
  <si>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</si>
  <si>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</si>
  <si>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</si>
  <si>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</si>
  <si>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</si>
  <si>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</si>
  <si>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</si>
  <si>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</si>
  <si>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</si>
  <si>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</si>
  <si>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</si>
  <si>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</si>
  <si>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</si>
  <si>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</si>
  <si>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</si>
  <si>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</si>
  <si>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</si>
  <si>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</si>
  <si>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</si>
  <si>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</si>
  <si>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</si>
  <si>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</si>
  <si>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</si>
  <si>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</si>
  <si>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</si>
  <si>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</si>
  <si>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</si>
  <si>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</si>
  <si>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</si>
  <si>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</si>
  <si>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</si>
  <si>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</si>
  <si>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</si>
  <si>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</si>
  <si>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</si>
  <si>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</si>
  <si>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</si>
  <si>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</si>
  <si>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</si>
  <si>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</si>
  <si>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</si>
  <si>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</si>
  <si>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</si>
  <si>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</si>
  <si>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</si>
  <si>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</si>
  <si>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</si>
  <si>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</si>
  <si>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</si>
  <si>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</si>
  <si>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</si>
  <si>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</si>
  <si>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</si>
  <si>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</si>
  <si>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</si>
  <si>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</si>
  <si>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</si>
  <si>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</si>
  <si>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</si>
  <si>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</si>
  <si>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</si>
  <si>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</si>
  <si>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</si>
  <si>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</si>
  <si>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</si>
  <si>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</si>
  <si>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</si>
  <si>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</si>
  <si>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</si>
  <si>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</si>
  <si>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</si>
  <si>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</si>
  <si>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</si>
  <si>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</si>
  <si>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</si>
  <si>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</si>
  <si>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</si>
  <si>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</si>
  <si>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</si>
  <si>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</si>
  <si>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</si>
  <si>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</si>
  <si>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</si>
  <si>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</si>
  <si>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</si>
  <si>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</si>
  <si>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</si>
  <si>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</si>
  <si>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</si>
  <si>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</si>
  <si>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</si>
  <si>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</si>
  <si>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</si>
  <si>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</si>
  <si>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</si>
  <si>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</si>
  <si>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</si>
  <si>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</si>
  <si>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</si>
  <si>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</si>
  <si>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</si>
  <si>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</si>
  <si>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</si>
  <si>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</si>
  <si>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</si>
  <si>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</si>
  <si>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</si>
  <si>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</si>
  <si>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</si>
  <si>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</si>
  <si>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</si>
  <si>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</si>
  <si>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</si>
  <si>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</si>
  <si>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</si>
  <si>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</si>
  <si>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</si>
  <si>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</si>
  <si>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</si>
  <si>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</si>
  <si>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</si>
  <si>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</si>
  <si>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</si>
  <si>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</si>
  <si>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</si>
  <si>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</si>
  <si>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</si>
  <si>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</si>
  <si>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</si>
  <si>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</si>
  <si>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</si>
  <si>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</si>
  <si>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</si>
  <si>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</si>
  <si>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</si>
  <si>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</si>
  <si>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</si>
  <si>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</si>
  <si>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</si>
  <si>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</si>
  <si>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</si>
  <si>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</si>
  <si>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</si>
  <si>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</si>
  <si>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</si>
  <si>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</si>
  <si>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</si>
  <si>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</si>
  <si>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</si>
  <si>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</si>
  <si>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</si>
  <si>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</si>
  <si>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</si>
  <si>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</si>
  <si>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</si>
  <si>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</si>
  <si>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</si>
  <si>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</si>
  <si>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</si>
  <si>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</si>
  <si>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</si>
  <si>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</si>
  <si>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</si>
  <si>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</si>
  <si>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</si>
  <si>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</si>
  <si>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</si>
  <si>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</si>
  <si>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</si>
  <si>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</si>
  <si>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</si>
  <si>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</si>
  <si>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</si>
  <si>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</si>
  <si>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</si>
  <si>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</si>
  <si>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</si>
  <si>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</si>
  <si>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</si>
  <si>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</si>
  <si>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</si>
  <si>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</si>
  <si>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</si>
  <si>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</si>
  <si>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</si>
  <si>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</si>
  <si>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</si>
  <si>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</si>
  <si>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</si>
  <si>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</si>
  <si>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</si>
  <si>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</si>
  <si>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</si>
  <si>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</si>
  <si>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</si>
  <si>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</si>
  <si>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</si>
  <si>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</si>
  <si>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</si>
  <si>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</si>
  <si>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</si>
  <si>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</si>
  <si>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</si>
  <si>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</si>
  <si>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</si>
  <si>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</si>
  <si>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</si>
  <si>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</si>
  <si>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</si>
  <si>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</si>
  <si>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</si>
  <si>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</si>
  <si>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</si>
  <si>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</si>
  <si>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</si>
  <si>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</si>
  <si>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</si>
  <si>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</si>
  <si>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</si>
  <si>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</si>
  <si>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</si>
  <si>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</si>
  <si>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</si>
  <si>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</si>
  <si>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</si>
  <si>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</si>
  <si>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</si>
  <si>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</si>
  <si>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</si>
  <si>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</si>
  <si>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</si>
  <si>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</si>
  <si>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</si>
  <si>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</si>
  <si>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</si>
  <si>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</si>
  <si>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</si>
  <si>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</si>
  <si>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</si>
  <si>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</si>
  <si>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</si>
  <si>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</si>
  <si>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</si>
  <si>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</si>
  <si>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</si>
  <si>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</si>
  <si>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</si>
  <si>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</si>
  <si>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</si>
  <si>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</si>
  <si>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</si>
  <si>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</si>
  <si>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</si>
  <si>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</si>
  <si>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</si>
  <si>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</si>
  <si>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</si>
  <si>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</si>
  <si>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</si>
  <si>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</si>
  <si>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</si>
  <si>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</si>
  <si>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</si>
  <si>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</si>
  <si>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</si>
  <si>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</si>
  <si>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</si>
  <si>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</si>
  <si>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</si>
  <si>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</si>
  <si>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</si>
  <si>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</si>
  <si>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</si>
  <si>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</si>
  <si>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</si>
  <si>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</si>
  <si>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</si>
  <si>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</si>
  <si>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</si>
  <si>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SP SELL IN MTD</t>
  </si>
  <si>
    <t>SP SELL IN LMTD</t>
  </si>
  <si>
    <t>DD</t>
  </si>
  <si>
    <t>RETTAG_3GB</t>
  </si>
  <si>
    <t>SELLIN_3GB</t>
  </si>
  <si>
    <t>BUKIT SANTUAI|KOTAWARINGIN TIMUR</t>
  </si>
  <si>
    <t>TANJUNG PALAS BARAT|BULUNGAN</t>
  </si>
  <si>
    <t>DAHA BARAT|HULU SUNGAI SELATAN</t>
  </si>
  <si>
    <t>AMBALAU|SINTANG</t>
  </si>
  <si>
    <t>BANYUKE HULU|LANDAK</t>
  </si>
  <si>
    <t>BUKIT RAYA|KATINGAN</t>
  </si>
  <si>
    <t>MARATUA|BERAU</t>
  </si>
  <si>
    <t>RAKUMPIT|KOTA PALANGKARAYA</t>
  </si>
  <si>
    <t>RUNGAN HULU|GUNUNG MAS</t>
  </si>
  <si>
    <t>TANAH PINOH|MELAWI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</si>
</sst>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667</v>
      </c>
      <c r="Y5" s="3" t="s">
        <v>668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382502818.54664475</v>
      </c>
      <c r="D6" s="4">
        <f>IFERROR(VLOOKUP(A:A,MASTER!A:D,4,0),0)</f>
        <v>383365731.24118876</v>
      </c>
      <c r="E6" s="8">
        <f>IFERROR(C6/D6-1,0)</f>
        <v>-2.250886357917925E-3</v>
      </c>
      <c r="F6" s="4">
        <f>IFERROR(VLOOKUP(A6,MASTER!A:E,5,0),0)</f>
        <v>567117.11711711797</v>
      </c>
      <c r="G6" s="4">
        <f>IFERROR(VLOOKUP(A6,MASTER!A:F,6,0),0)</f>
        <v>2646846.8468468501</v>
      </c>
      <c r="H6" s="8">
        <f>IFERROR(F6/G6-1,0)</f>
        <v>-0.78573859768550025</v>
      </c>
      <c r="I6" s="4">
        <f>IFERROR(VLOOKUP(A6,MASTER!A:O,15,0),0)</f>
        <v>41754594.59459459</v>
      </c>
      <c r="J6" s="4">
        <f>IFERROR(VLOOKUP(A6,MASTER!A:P,16,0),0)</f>
        <v>46171261.261261262</v>
      </c>
      <c r="K6" s="8">
        <f>IFERROR(I6/J6-1,0)</f>
        <v>-9.5658349934927056E-2</v>
      </c>
      <c r="L6" s="4">
        <f>IFERROR(VLOOKUP(A6,MASTER!A:S,19,0),0)</f>
        <v>181592070.27027026</v>
      </c>
      <c r="M6" s="4">
        <f>IFERROR(VLOOKUP(A6,MASTER!A:T,20,0),0)</f>
        <v>182908639.63963965</v>
      </c>
      <c r="N6" s="8">
        <f>IFERROR(L6/M6-1,0)</f>
        <v>-7.1979616269808311E-3</v>
      </c>
      <c r="O6" s="4">
        <f>IFERROR(VLOOKUP(A6,MASTER!A:U,21,0),0)</f>
        <v>40217477.477477483</v>
      </c>
      <c r="P6" s="4">
        <f>IFERROR(VLOOKUP(A6,MASTER!A:V,22,0),0)</f>
        <v>42849819.819819823</v>
      </c>
      <c r="Q6" s="8">
        <f>IFERROR(O6/P6-1,0)</f>
        <v>-6.1431818229601309E-2</v>
      </c>
      <c r="R6" s="4">
        <f>IFERROR(VLOOKUP(A6,MASTER!A:W,23,0),0)</f>
        <v>8549</v>
      </c>
      <c r="S6" s="4">
        <f>IFERROR(VLOOKUP(A6,MASTER!A:X,24,0),0)</f>
        <v>8019</v>
      </c>
      <c r="T6" s="8">
        <f>IFERROR(R6/S6-1,0)</f>
        <v>6.6093029055992014E-2</v>
      </c>
      <c r="U6" s="11">
        <f>IFERROR(VLOOKUP(A6,MASTER!A:M,13,0),0)</f>
        <v>583</v>
      </c>
      <c r="V6" s="11">
        <f>IFERROR(VLOOKUP(A6,MASTER!A:N,14,0),0)</f>
        <v>513</v>
      </c>
      <c r="W6" s="8">
        <f>IFERROR(U6/V6-1,0)</f>
        <v>0.13645224171539971</v>
      </c>
      <c r="X6" s="11">
        <f>IFERROR(VLOOKUP(A6,MASTER!A:Q,17,0),0)</f>
        <v>181</v>
      </c>
      <c r="Y6" s="11">
        <f>IFERROR(VLOOKUP(A6,MASTER!A:R,18,0),0)</f>
        <v>141</v>
      </c>
      <c r="Z6" s="8">
        <f>IFERROR(X6/Y6-1,0)</f>
        <v>0.28368794326241131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44956205.900216006</v>
      </c>
      <c r="D7" s="4">
        <f>IFERROR(VLOOKUP(A:A,MASTER!A:D,4,0),0)</f>
        <v>36650879.354137994</v>
      </c>
      <c r="E7" s="8">
        <f t="shared" ref="E7:E22" si="0">IFERROR(C7/D7-1,0)</f>
        <v>0.22660647418109803</v>
      </c>
      <c r="F7" s="4">
        <f>IFERROR(VLOOKUP(A7,MASTER!A:E,5,0),0)</f>
        <v>55507432.432432435</v>
      </c>
      <c r="G7" s="4">
        <f>IFERROR(VLOOKUP(A7,MASTER!A:F,6,0),0)</f>
        <v>91031531.531531543</v>
      </c>
      <c r="H7" s="8">
        <f t="shared" ref="H7:H22" si="1">IFERROR(F7/G7-1,0)</f>
        <v>-0.39023949725369889</v>
      </c>
      <c r="I7" s="4">
        <f>IFERROR(VLOOKUP(A7,MASTER!A:O,15,0),0)</f>
        <v>2595945.945945946</v>
      </c>
      <c r="J7" s="4">
        <f>IFERROR(VLOOKUP(A7,MASTER!A:P,16,0),0)</f>
        <v>7268243.2432432435</v>
      </c>
      <c r="K7" s="8">
        <f t="shared" ref="K7:K22" si="2">IFERROR(I7/J7-1,0)</f>
        <v>-0.64283722227386819</v>
      </c>
      <c r="L7" s="4">
        <f>IFERROR(VLOOKUP(A7,MASTER!A:S,19,0),0)</f>
        <v>23908783.783783782</v>
      </c>
      <c r="M7" s="4">
        <f>IFERROR(VLOOKUP(A7,MASTER!A:T,20,0),0)</f>
        <v>20883819.819819819</v>
      </c>
      <c r="N7" s="8">
        <f t="shared" ref="N7:N22" si="3">IFERROR(L7/M7-1,0)</f>
        <v>0.1448472544803856</v>
      </c>
      <c r="O7" s="4">
        <f>IFERROR(VLOOKUP(A7,MASTER!A:U,21,0),0)</f>
        <v>330180.18018018099</v>
      </c>
      <c r="P7" s="4">
        <f>IFERROR(VLOOKUP(A7,MASTER!A:V,22,0),0)</f>
        <v>6509009.0090090092</v>
      </c>
      <c r="Q7" s="8">
        <f t="shared" ref="Q7:Q22" si="4">IFERROR(O7/P7-1,0)</f>
        <v>-0.94927335640138399</v>
      </c>
      <c r="R7" s="4">
        <f>IFERROR(VLOOKUP(A7,MASTER!A:W,23,0),0)</f>
        <v>983</v>
      </c>
      <c r="S7" s="4">
        <f>IFERROR(VLOOKUP(A7,MASTER!A:X,24,0),0)</f>
        <v>1093</v>
      </c>
      <c r="T7" s="8">
        <f t="shared" ref="T7:T22" si="5">IFERROR(R7/S7-1,0)</f>
        <v>-0.10064043915827992</v>
      </c>
      <c r="U7" s="11">
        <f>IFERROR(VLOOKUP(A7,MASTER!A:M,13,0),0)</f>
        <v>10</v>
      </c>
      <c r="V7" s="11">
        <f>IFERROR(VLOOKUP(A7,MASTER!A:N,14,0),0)</f>
        <v>5</v>
      </c>
      <c r="W7" s="8">
        <f t="shared" ref="W7:W22" si="6">IFERROR(U7/V7-1,0)</f>
        <v>1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287462788.21212769</v>
      </c>
      <c r="D8" s="4">
        <f>IFERROR(VLOOKUP(A:A,MASTER!A:D,4,0),0)</f>
        <v>287986459.01453215</v>
      </c>
      <c r="E8" s="8">
        <f t="shared" si="0"/>
        <v>-1.8183868928991487E-3</v>
      </c>
      <c r="F8" s="4">
        <f>IFERROR(VLOOKUP(A8,MASTER!A:E,5,0),0)</f>
        <v>3257432.432432435</v>
      </c>
      <c r="G8" s="4">
        <f>IFERROR(VLOOKUP(A8,MASTER!A:F,6,0),0)</f>
        <v>3735135.1351351379</v>
      </c>
      <c r="H8" s="8">
        <f t="shared" si="1"/>
        <v>-0.12789435600578869</v>
      </c>
      <c r="I8" s="4">
        <f>IFERROR(VLOOKUP(A8,MASTER!A:O,15,0),0)</f>
        <v>51087837.837837838</v>
      </c>
      <c r="J8" s="4">
        <f>IFERROR(VLOOKUP(A8,MASTER!A:P,16,0),0)</f>
        <v>59894594.59459459</v>
      </c>
      <c r="K8" s="8">
        <f t="shared" si="2"/>
        <v>-0.14703758855647298</v>
      </c>
      <c r="L8" s="4">
        <f>IFERROR(VLOOKUP(A8,MASTER!A:S,19,0),0)</f>
        <v>74764459.459459454</v>
      </c>
      <c r="M8" s="4">
        <f>IFERROR(VLOOKUP(A8,MASTER!A:T,20,0),0)</f>
        <v>81422774.774774775</v>
      </c>
      <c r="N8" s="8">
        <f t="shared" si="3"/>
        <v>-8.1774605860989502E-2</v>
      </c>
      <c r="O8" s="4">
        <f>IFERROR(VLOOKUP(A8,MASTER!A:U,21,0),0)</f>
        <v>48864594.59459459</v>
      </c>
      <c r="P8" s="4">
        <f>IFERROR(VLOOKUP(A8,MASTER!A:V,22,0),0)</f>
        <v>56251171.171171166</v>
      </c>
      <c r="Q8" s="8">
        <f t="shared" si="4"/>
        <v>-0.13131418284784457</v>
      </c>
      <c r="R8" s="4">
        <f>IFERROR(VLOOKUP(A8,MASTER!A:W,23,0),0)</f>
        <v>4137</v>
      </c>
      <c r="S8" s="4">
        <f>IFERROR(VLOOKUP(A8,MASTER!A:X,24,0),0)</f>
        <v>3823</v>
      </c>
      <c r="T8" s="8">
        <f t="shared" si="5"/>
        <v>8.2134449385299568E-2</v>
      </c>
      <c r="U8" s="11">
        <f>IFERROR(VLOOKUP(A8,MASTER!A:M,13,0),0)</f>
        <v>45</v>
      </c>
      <c r="V8" s="11">
        <f>IFERROR(VLOOKUP(A8,MASTER!A:N,14,0),0)</f>
        <v>55</v>
      </c>
      <c r="W8" s="8">
        <f t="shared" si="6"/>
        <v>-0.18181818181818177</v>
      </c>
      <c r="X8" s="11">
        <f>IFERROR(VLOOKUP(A8,MASTER!A:Q,17,0),0)</f>
        <v>102</v>
      </c>
      <c r="Y8" s="11">
        <f>IFERROR(VLOOKUP(A8,MASTER!A:R,18,0),0)</f>
        <v>74</v>
      </c>
      <c r="Z8" s="8">
        <f t="shared" si="7"/>
        <v>0.37837837837837829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170763442.34676895</v>
      </c>
      <c r="D9" s="4">
        <f>IFERROR(VLOOKUP(A:A,MASTER!A:D,4,0),0)</f>
        <v>170374764.60037044</v>
      </c>
      <c r="E9" s="8">
        <f t="shared" si="0"/>
        <v>2.2813105409722478E-3</v>
      </c>
      <c r="F9" s="4">
        <f>IFERROR(VLOOKUP(A9,MASTER!A:E,5,0),0)</f>
        <v>1253153.1531531529</v>
      </c>
      <c r="G9" s="4">
        <f>IFERROR(VLOOKUP(A9,MASTER!A:F,6,0),0)</f>
        <v>2141441.4414414442</v>
      </c>
      <c r="H9" s="8">
        <f t="shared" si="1"/>
        <v>-0.41480858224653017</v>
      </c>
      <c r="I9" s="4">
        <f>IFERROR(VLOOKUP(A9,MASTER!A:O,15,0),0)</f>
        <v>29386036.036036037</v>
      </c>
      <c r="J9" s="4">
        <f>IFERROR(VLOOKUP(A9,MASTER!A:P,16,0),0)</f>
        <v>27266666.666666668</v>
      </c>
      <c r="K9" s="8">
        <f t="shared" si="2"/>
        <v>7.7727482984206731E-2</v>
      </c>
      <c r="L9" s="4">
        <f>IFERROR(VLOOKUP(A9,MASTER!A:S,19,0),0)</f>
        <v>63171801.801801801</v>
      </c>
      <c r="M9" s="4">
        <f>IFERROR(VLOOKUP(A9,MASTER!A:T,20,0),0)</f>
        <v>59920972.972972974</v>
      </c>
      <c r="N9" s="8">
        <f t="shared" si="3"/>
        <v>5.4251936634859055E-2</v>
      </c>
      <c r="O9" s="4">
        <f>IFERROR(VLOOKUP(A9,MASTER!A:U,21,0),0)</f>
        <v>30330900.900900904</v>
      </c>
      <c r="P9" s="4">
        <f>IFERROR(VLOOKUP(A9,MASTER!A:V,22,0),0)</f>
        <v>34012432.432432435</v>
      </c>
      <c r="Q9" s="8">
        <f t="shared" si="4"/>
        <v>-0.10824075987052961</v>
      </c>
      <c r="R9" s="4">
        <f>IFERROR(VLOOKUP(A9,MASTER!A:W,23,0),0)</f>
        <v>3486</v>
      </c>
      <c r="S9" s="4">
        <f>IFERROR(VLOOKUP(A9,MASTER!A:X,24,0),0)</f>
        <v>3593</v>
      </c>
      <c r="T9" s="8">
        <f t="shared" si="5"/>
        <v>-2.9780128026718589E-2</v>
      </c>
      <c r="U9" s="11">
        <f>IFERROR(VLOOKUP(A9,MASTER!A:M,13,0),0)</f>
        <v>16</v>
      </c>
      <c r="V9" s="11">
        <f>IFERROR(VLOOKUP(A9,MASTER!A:N,14,0),0)</f>
        <v>18</v>
      </c>
      <c r="W9" s="8">
        <f t="shared" si="6"/>
        <v>-0.11111111111111116</v>
      </c>
      <c r="X9" s="11">
        <f>IFERROR(VLOOKUP(A9,MASTER!A:Q,17,0),0)</f>
        <v>95</v>
      </c>
      <c r="Y9" s="11">
        <f>IFERROR(VLOOKUP(A9,MASTER!A:R,18,0),0)</f>
        <v>49</v>
      </c>
      <c r="Z9" s="8">
        <f t="shared" si="7"/>
        <v>0.93877551020408156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197436396.3963964</v>
      </c>
      <c r="G10" s="4">
        <f>IFERROR(VLOOKUP(A10,MASTER!A:F,6,0),0)</f>
        <v>307826576.57657659</v>
      </c>
      <c r="H10" s="8">
        <f t="shared" si="1"/>
        <v>-0.35861159685385036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177001810.43610489</v>
      </c>
      <c r="D11" s="4">
        <f>IFERROR(VLOOKUP(A:A,MASTER!A:D,4,0),0)</f>
        <v>179738906.83033916</v>
      </c>
      <c r="E11" s="8">
        <f t="shared" si="0"/>
        <v>-1.52281798220677E-2</v>
      </c>
      <c r="F11" s="4">
        <f>IFERROR(VLOOKUP(A11,MASTER!A:E,5,0),0)</f>
        <v>1963513.5135135141</v>
      </c>
      <c r="G11" s="4">
        <f>IFERROR(VLOOKUP(A11,MASTER!A:F,6,0),0)</f>
        <v>872072.072072073</v>
      </c>
      <c r="H11" s="8">
        <f t="shared" si="1"/>
        <v>1.2515495867768576</v>
      </c>
      <c r="I11" s="4">
        <f>IFERROR(VLOOKUP(A11,MASTER!A:O,15,0),0)</f>
        <v>15195225.225225225</v>
      </c>
      <c r="J11" s="4">
        <f>IFERROR(VLOOKUP(A11,MASTER!A:P,16,0),0)</f>
        <v>13428828.828828828</v>
      </c>
      <c r="K11" s="8">
        <f t="shared" si="2"/>
        <v>0.13153763585133516</v>
      </c>
      <c r="L11" s="4">
        <f>IFERROR(VLOOKUP(A11,MASTER!A:S,19,0),0)</f>
        <v>77047972.972972974</v>
      </c>
      <c r="M11" s="4">
        <f>IFERROR(VLOOKUP(A11,MASTER!A:T,20,0),0)</f>
        <v>76750216.216216221</v>
      </c>
      <c r="N11" s="8">
        <f t="shared" si="3"/>
        <v>3.8795559339914742E-3</v>
      </c>
      <c r="O11" s="4">
        <f>IFERROR(VLOOKUP(A11,MASTER!A:U,21,0),0)</f>
        <v>13397207.207207208</v>
      </c>
      <c r="P11" s="4">
        <f>IFERROR(VLOOKUP(A11,MASTER!A:V,22,0),0)</f>
        <v>12499099.0990991</v>
      </c>
      <c r="Q11" s="8">
        <f t="shared" si="4"/>
        <v>7.1853827302868822E-2</v>
      </c>
      <c r="R11" s="4">
        <f>IFERROR(VLOOKUP(A11,MASTER!A:W,23,0),0)</f>
        <v>3103</v>
      </c>
      <c r="S11" s="4">
        <f>IFERROR(VLOOKUP(A11,MASTER!A:X,24,0),0)</f>
        <v>3043</v>
      </c>
      <c r="T11" s="8">
        <f t="shared" si="5"/>
        <v>1.9717384160368168E-2</v>
      </c>
      <c r="U11" s="11">
        <f>IFERROR(VLOOKUP(A11,MASTER!A:M,13,0),0)</f>
        <v>16</v>
      </c>
      <c r="V11" s="11">
        <f>IFERROR(VLOOKUP(A11,MASTER!A:N,14,0),0)</f>
        <v>32</v>
      </c>
      <c r="W11" s="8">
        <f t="shared" si="6"/>
        <v>-0.5</v>
      </c>
      <c r="X11" s="11">
        <f>IFERROR(VLOOKUP(A11,MASTER!A:Q,17,0),0)</f>
        <v>86</v>
      </c>
      <c r="Y11" s="11">
        <f>IFERROR(VLOOKUP(A11,MASTER!A:R,18,0),0)</f>
        <v>27</v>
      </c>
      <c r="Z11" s="8">
        <f t="shared" si="7"/>
        <v>2.1851851851851851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668044096.30967736</v>
      </c>
      <c r="D12" s="4">
        <f>IFERROR(VLOOKUP(A:A,MASTER!A:D,4,0),0)</f>
        <v>653228210.32408774</v>
      </c>
      <c r="E12" s="8">
        <f t="shared" si="0"/>
        <v>2.2681025943810607E-2</v>
      </c>
      <c r="F12" s="4">
        <f>IFERROR(VLOOKUP(A12,MASTER!A:E,5,0),0)</f>
        <v>6604054.054054047</v>
      </c>
      <c r="G12" s="4">
        <f>IFERROR(VLOOKUP(A12,MASTER!A:F,6,0),0)</f>
        <v>6634709.0090090176</v>
      </c>
      <c r="H12" s="8">
        <f t="shared" si="1"/>
        <v>-4.620391778048627E-3</v>
      </c>
      <c r="I12" s="4">
        <f>IFERROR(VLOOKUP(A12,MASTER!A:O,15,0),0)</f>
        <v>272186486.48648649</v>
      </c>
      <c r="J12" s="4">
        <f>IFERROR(VLOOKUP(A12,MASTER!A:P,16,0),0)</f>
        <v>226579400</v>
      </c>
      <c r="K12" s="8">
        <f t="shared" si="2"/>
        <v>0.20128522931249049</v>
      </c>
      <c r="L12" s="4">
        <f>IFERROR(VLOOKUP(A12,MASTER!A:S,19,0),0)</f>
        <v>445697522.52252251</v>
      </c>
      <c r="M12" s="4">
        <f>IFERROR(VLOOKUP(A12,MASTER!A:T,20,0),0)</f>
        <v>443005612.61261261</v>
      </c>
      <c r="N12" s="8">
        <f t="shared" si="3"/>
        <v>6.0764690858756687E-3</v>
      </c>
      <c r="O12" s="4">
        <f>IFERROR(VLOOKUP(A12,MASTER!A:U,21,0),0)</f>
        <v>249222342.34234235</v>
      </c>
      <c r="P12" s="4">
        <f>IFERROR(VLOOKUP(A12,MASTER!A:V,22,0),0)</f>
        <v>199225405.4054054</v>
      </c>
      <c r="Q12" s="8">
        <f t="shared" si="4"/>
        <v>0.2509566329414552</v>
      </c>
      <c r="R12" s="4">
        <f>IFERROR(VLOOKUP(A12,MASTER!A:W,23,0),0)</f>
        <v>13765</v>
      </c>
      <c r="S12" s="4">
        <f>IFERROR(VLOOKUP(A12,MASTER!A:X,24,0),0)</f>
        <v>13247</v>
      </c>
      <c r="T12" s="8">
        <f t="shared" si="5"/>
        <v>3.9103193175813455E-2</v>
      </c>
      <c r="U12" s="11">
        <f>IFERROR(VLOOKUP(A12,MASTER!A:M,13,0),0)</f>
        <v>1057</v>
      </c>
      <c r="V12" s="11">
        <f>IFERROR(VLOOKUP(A12,MASTER!A:N,14,0),0)</f>
        <v>786</v>
      </c>
      <c r="W12" s="8">
        <f t="shared" si="6"/>
        <v>0.34478371501272265</v>
      </c>
      <c r="X12" s="11">
        <f>IFERROR(VLOOKUP(A12,MASTER!A:Q,17,0),0)</f>
        <v>593</v>
      </c>
      <c r="Y12" s="11">
        <f>IFERROR(VLOOKUP(A12,MASTER!A:R,18,0),0)</f>
        <v>819</v>
      </c>
      <c r="Z12" s="8">
        <f t="shared" si="7"/>
        <v>-0.27594627594627597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145443916.15429062</v>
      </c>
      <c r="D13" s="4">
        <f>IFERROR(VLOOKUP(A:A,MASTER!A:D,4,0),0)</f>
        <v>155084137.39225855</v>
      </c>
      <c r="E13" s="8">
        <f t="shared" si="0"/>
        <v>-6.216123325098466E-2</v>
      </c>
      <c r="F13" s="4">
        <f>IFERROR(VLOOKUP(A13,MASTER!A:E,5,0),0)</f>
        <v>40090.090090090001</v>
      </c>
      <c r="G13" s="4">
        <f>IFERROR(VLOOKUP(A13,MASTER!A:F,6,0),0)</f>
        <v>403603.603603606</v>
      </c>
      <c r="H13" s="8">
        <f t="shared" si="1"/>
        <v>-0.90066964285714368</v>
      </c>
      <c r="I13" s="4">
        <f>IFERROR(VLOOKUP(A13,MASTER!A:O,15,0),0)</f>
        <v>46487837.837837838</v>
      </c>
      <c r="J13" s="4">
        <f>IFERROR(VLOOKUP(A13,MASTER!A:P,16,0),0)</f>
        <v>28275225.225225225</v>
      </c>
      <c r="K13" s="8">
        <f t="shared" si="2"/>
        <v>0.64411909958420299</v>
      </c>
      <c r="L13" s="4">
        <f>IFERROR(VLOOKUP(A13,MASTER!A:S,19,0),0)</f>
        <v>99505657.657657668</v>
      </c>
      <c r="M13" s="4">
        <f>IFERROR(VLOOKUP(A13,MASTER!A:T,20,0),0)</f>
        <v>108355234.23423424</v>
      </c>
      <c r="N13" s="8">
        <f t="shared" si="3"/>
        <v>-8.1671888202892173E-2</v>
      </c>
      <c r="O13" s="4">
        <f>IFERROR(VLOOKUP(A13,MASTER!A:U,21,0),0)</f>
        <v>43550360.360360362</v>
      </c>
      <c r="P13" s="4">
        <f>IFERROR(VLOOKUP(A13,MASTER!A:V,22,0),0)</f>
        <v>29408918.918918919</v>
      </c>
      <c r="Q13" s="8">
        <f t="shared" si="4"/>
        <v>0.48085553503104728</v>
      </c>
      <c r="R13" s="4">
        <f>IFERROR(VLOOKUP(A13,MASTER!A:W,23,0),0)</f>
        <v>4765</v>
      </c>
      <c r="S13" s="4">
        <f>IFERROR(VLOOKUP(A13,MASTER!A:X,24,0),0)</f>
        <v>5497</v>
      </c>
      <c r="T13" s="8">
        <f t="shared" si="5"/>
        <v>-0.13316354375113704</v>
      </c>
      <c r="U13" s="11">
        <f>IFERROR(VLOOKUP(A13,MASTER!A:M,13,0),0)</f>
        <v>40</v>
      </c>
      <c r="V13" s="11">
        <f>IFERROR(VLOOKUP(A13,MASTER!A:N,14,0),0)</f>
        <v>53</v>
      </c>
      <c r="W13" s="8">
        <f t="shared" si="6"/>
        <v>-0.24528301886792447</v>
      </c>
      <c r="X13" s="11">
        <f>IFERROR(VLOOKUP(A13,MASTER!A:Q,17,0),0)</f>
        <v>252</v>
      </c>
      <c r="Y13" s="11">
        <f>IFERROR(VLOOKUP(A13,MASTER!A:R,18,0),0)</f>
        <v>154</v>
      </c>
      <c r="Z13" s="8">
        <f t="shared" si="7"/>
        <v>0.63636363636363646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216853928.81526959</v>
      </c>
      <c r="D14" s="4">
        <f>IFERROR(VLOOKUP(A:A,MASTER!A:D,4,0),0)</f>
        <v>214264834.88582492</v>
      </c>
      <c r="E14" s="8">
        <f t="shared" si="0"/>
        <v>1.2083615731084851E-2</v>
      </c>
      <c r="F14" s="4">
        <f>IFERROR(VLOOKUP(A14,MASTER!A:E,5,0),0)</f>
        <v>2212612.6126126158</v>
      </c>
      <c r="G14" s="4">
        <f>IFERROR(VLOOKUP(A14,MASTER!A:F,6,0),0)</f>
        <v>4509009.0090090111</v>
      </c>
      <c r="H14" s="8">
        <f t="shared" si="1"/>
        <v>-0.50929070929070885</v>
      </c>
      <c r="I14" s="4">
        <f>IFERROR(VLOOKUP(A14,MASTER!A:O,15,0),0)</f>
        <v>29147297.297297295</v>
      </c>
      <c r="J14" s="4">
        <f>IFERROR(VLOOKUP(A14,MASTER!A:P,16,0),0)</f>
        <v>42172072.072072074</v>
      </c>
      <c r="K14" s="8">
        <f t="shared" si="2"/>
        <v>-0.30884834761060442</v>
      </c>
      <c r="L14" s="4">
        <f>IFERROR(VLOOKUP(A14,MASTER!A:S,19,0),0)</f>
        <v>63721657.657657653</v>
      </c>
      <c r="M14" s="4">
        <f>IFERROR(VLOOKUP(A14,MASTER!A:T,20,0),0)</f>
        <v>63078126.126126125</v>
      </c>
      <c r="N14" s="8">
        <f t="shared" si="3"/>
        <v>1.0202134575855615E-2</v>
      </c>
      <c r="O14" s="4">
        <f>IFERROR(VLOOKUP(A14,MASTER!A:U,21,0),0)</f>
        <v>28885855.855855856</v>
      </c>
      <c r="P14" s="4">
        <f>IFERROR(VLOOKUP(A14,MASTER!A:V,22,0),0)</f>
        <v>38611261.261261255</v>
      </c>
      <c r="Q14" s="8">
        <f t="shared" si="4"/>
        <v>-0.25188002379924623</v>
      </c>
      <c r="R14" s="4">
        <f>IFERROR(VLOOKUP(A14,MASTER!A:W,23,0),0)</f>
        <v>3777</v>
      </c>
      <c r="S14" s="4">
        <f>IFERROR(VLOOKUP(A14,MASTER!A:X,24,0),0)</f>
        <v>3669</v>
      </c>
      <c r="T14" s="8">
        <f t="shared" si="5"/>
        <v>2.9435813573180702E-2</v>
      </c>
      <c r="U14" s="11">
        <f>IFERROR(VLOOKUP(A14,MASTER!A:M,13,0),0)</f>
        <v>25</v>
      </c>
      <c r="V14" s="11">
        <f>IFERROR(VLOOKUP(A14,MASTER!A:N,14,0),0)</f>
        <v>22</v>
      </c>
      <c r="W14" s="8">
        <f t="shared" si="6"/>
        <v>0.13636363636363646</v>
      </c>
      <c r="X14" s="11">
        <f>IFERROR(VLOOKUP(A14,MASTER!A:Q,17,0),0)</f>
        <v>96</v>
      </c>
      <c r="Y14" s="11">
        <f>IFERROR(VLOOKUP(A14,MASTER!A:R,18,0),0)</f>
        <v>51</v>
      </c>
      <c r="Z14" s="8">
        <f t="shared" si="7"/>
        <v>0.88235294117647056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434771736.18643367</v>
      </c>
      <c r="D15" s="4">
        <f>IFERROR(VLOOKUP(A:A,MASTER!A:D,4,0),0)</f>
        <v>417055903.46021897</v>
      </c>
      <c r="E15" s="8">
        <f t="shared" si="0"/>
        <v>4.2478316645875092E-2</v>
      </c>
      <c r="F15" s="4">
        <f>IFERROR(VLOOKUP(A15,MASTER!A:E,5,0),0)</f>
        <v>7288876.5765765822</v>
      </c>
      <c r="G15" s="4">
        <f>IFERROR(VLOOKUP(A15,MASTER!A:F,6,0),0)</f>
        <v>11229372.97297298</v>
      </c>
      <c r="H15" s="8">
        <f t="shared" si="1"/>
        <v>-0.35090974410418485</v>
      </c>
      <c r="I15" s="4">
        <f>IFERROR(VLOOKUP(A15,MASTER!A:O,15,0),0)</f>
        <v>670454473.87387395</v>
      </c>
      <c r="J15" s="4">
        <f>IFERROR(VLOOKUP(A15,MASTER!A:P,16,0),0)</f>
        <v>582118329.72972977</v>
      </c>
      <c r="K15" s="8">
        <f t="shared" si="2"/>
        <v>0.15174946335250694</v>
      </c>
      <c r="L15" s="4">
        <f>IFERROR(VLOOKUP(A15,MASTER!A:S,19,0),0)</f>
        <v>156197639.63963965</v>
      </c>
      <c r="M15" s="4">
        <f>IFERROR(VLOOKUP(A15,MASTER!A:T,20,0),0)</f>
        <v>152327081.08108109</v>
      </c>
      <c r="N15" s="8">
        <f t="shared" si="3"/>
        <v>2.5409523579712712E-2</v>
      </c>
      <c r="O15" s="4">
        <f>IFERROR(VLOOKUP(A15,MASTER!A:U,21,0),0)</f>
        <v>564034864.86486495</v>
      </c>
      <c r="P15" s="4">
        <f>IFERROR(VLOOKUP(A15,MASTER!A:V,22,0),0)</f>
        <v>501525405.4054054</v>
      </c>
      <c r="Q15" s="8">
        <f t="shared" si="4"/>
        <v>0.12463866991729033</v>
      </c>
      <c r="R15" s="4">
        <f>IFERROR(VLOOKUP(A15,MASTER!A:W,23,0),0)</f>
        <v>6993</v>
      </c>
      <c r="S15" s="4">
        <f>IFERROR(VLOOKUP(A15,MASTER!A:X,24,0),0)</f>
        <v>7240</v>
      </c>
      <c r="T15" s="8">
        <f t="shared" si="5"/>
        <v>-3.4116022099447529E-2</v>
      </c>
      <c r="U15" s="11">
        <f>IFERROR(VLOOKUP(A15,MASTER!A:M,13,0),0)</f>
        <v>109</v>
      </c>
      <c r="V15" s="11">
        <f>IFERROR(VLOOKUP(A15,MASTER!A:N,14,0),0)</f>
        <v>73</v>
      </c>
      <c r="W15" s="8">
        <f t="shared" si="6"/>
        <v>0.49315068493150682</v>
      </c>
      <c r="X15" s="11">
        <f>IFERROR(VLOOKUP(A15,MASTER!A:Q,17,0),0)</f>
        <v>315</v>
      </c>
      <c r="Y15" s="11">
        <f>IFERROR(VLOOKUP(A15,MASTER!A:R,18,0),0)</f>
        <v>148</v>
      </c>
      <c r="Z15" s="8">
        <f t="shared" si="7"/>
        <v>1.1283783783783785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3378378.3783783782</v>
      </c>
      <c r="G16" s="4">
        <f>IFERROR(VLOOKUP(A16,MASTER!A:F,6,0),0)</f>
        <v>91959459.459459454</v>
      </c>
      <c r="H16" s="8">
        <f t="shared" si="1"/>
        <v>-0.96326230712711247</v>
      </c>
      <c r="I16" s="4">
        <f>IFERROR(VLOOKUP(A16,MASTER!A:O,15,0),0)</f>
        <v>43509909.909909911</v>
      </c>
      <c r="J16" s="4">
        <f>IFERROR(VLOOKUP(A16,MASTER!A:P,16,0),0)</f>
        <v>20856756.756756756</v>
      </c>
      <c r="K16" s="8">
        <f t="shared" si="2"/>
        <v>1.0861301887607446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185025801.248925</v>
      </c>
      <c r="D17" s="4">
        <f>IFERROR(VLOOKUP(A:A,MASTER!A:D,4,0),0)</f>
        <v>175204946.25290117</v>
      </c>
      <c r="E17" s="8">
        <f t="shared" si="0"/>
        <v>5.6053525919569802E-2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106712747.74774775</v>
      </c>
      <c r="M17" s="4">
        <f>IFERROR(VLOOKUP(A17,MASTER!A:T,20,0),0)</f>
        <v>104955286.48648648</v>
      </c>
      <c r="N17" s="8">
        <f t="shared" si="3"/>
        <v>1.6744856977619182E-2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3845</v>
      </c>
      <c r="S17" s="4">
        <f>IFERROR(VLOOKUP(A17,MASTER!A:X,24,0),0)</f>
        <v>3663</v>
      </c>
      <c r="T17" s="8">
        <f t="shared" si="5"/>
        <v>4.9686049686049616E-2</v>
      </c>
      <c r="U17" s="11">
        <f>IFERROR(VLOOKUP(A17,MASTER!A:M,13,0),0)</f>
        <v>13</v>
      </c>
      <c r="V17" s="11">
        <f>IFERROR(VLOOKUP(A17,MASTER!A:N,14,0),0)</f>
        <v>27</v>
      </c>
      <c r="W17" s="8">
        <f t="shared" si="6"/>
        <v>-0.5185185185185186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144818735.396229</v>
      </c>
      <c r="D18" s="4">
        <f>IFERROR(VLOOKUP(A:A,MASTER!A:D,4,0),0)</f>
        <v>152762855.55573151</v>
      </c>
      <c r="E18" s="8">
        <f t="shared" si="0"/>
        <v>-5.2002956678197876E-2</v>
      </c>
      <c r="F18" s="4">
        <f>IFERROR(VLOOKUP(A18,MASTER!A:E,5,0),0)</f>
        <v>343243.24324324197</v>
      </c>
      <c r="G18" s="4">
        <f>IFERROR(VLOOKUP(A18,MASTER!A:F,6,0),0)</f>
        <v>586486.48648648802</v>
      </c>
      <c r="H18" s="8">
        <f t="shared" si="1"/>
        <v>-0.41474654377880549</v>
      </c>
      <c r="I18" s="4">
        <f>IFERROR(VLOOKUP(A18,MASTER!A:O,15,0),0)</f>
        <v>5127027.0270270258</v>
      </c>
      <c r="J18" s="4">
        <f>IFERROR(VLOOKUP(A18,MASTER!A:P,16,0),0)</f>
        <v>14505405.405405408</v>
      </c>
      <c r="K18" s="8">
        <f t="shared" si="2"/>
        <v>-0.64654369293832703</v>
      </c>
      <c r="L18" s="4">
        <f>IFERROR(VLOOKUP(A18,MASTER!A:S,19,0),0)</f>
        <v>48428648.648648649</v>
      </c>
      <c r="M18" s="4">
        <f>IFERROR(VLOOKUP(A18,MASTER!A:T,20,0),0)</f>
        <v>51967020.270270273</v>
      </c>
      <c r="N18" s="8">
        <f t="shared" si="3"/>
        <v>-6.8088791760990808E-2</v>
      </c>
      <c r="O18" s="4">
        <f>IFERROR(VLOOKUP(A18,MASTER!A:U,21,0),0)</f>
        <v>5575765.7657657648</v>
      </c>
      <c r="P18" s="4">
        <f>IFERROR(VLOOKUP(A18,MASTER!A:V,22,0),0)</f>
        <v>14765045.045045046</v>
      </c>
      <c r="Q18" s="8">
        <f t="shared" si="4"/>
        <v>-0.62236716862323971</v>
      </c>
      <c r="R18" s="4">
        <f>IFERROR(VLOOKUP(A18,MASTER!A:W,23,0),0)</f>
        <v>3787</v>
      </c>
      <c r="S18" s="4">
        <f>IFERROR(VLOOKUP(A18,MASTER!A:X,24,0),0)</f>
        <v>4075</v>
      </c>
      <c r="T18" s="8">
        <f t="shared" si="5"/>
        <v>-7.0674846625766841E-2</v>
      </c>
      <c r="U18" s="11">
        <f>IFERROR(VLOOKUP(A18,MASTER!A:M,13,0),0)</f>
        <v>52</v>
      </c>
      <c r="V18" s="11">
        <f>IFERROR(VLOOKUP(A18,MASTER!A:N,14,0),0)</f>
        <v>41</v>
      </c>
      <c r="W18" s="8">
        <f t="shared" si="6"/>
        <v>0.26829268292682928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102190068.74341169</v>
      </c>
      <c r="D19" s="4">
        <f>IFERROR(VLOOKUP(A:A,MASTER!A:D,4,0),0)</f>
        <v>102663804.6574952</v>
      </c>
      <c r="E19" s="8">
        <f t="shared" si="0"/>
        <v>-4.6144394868666838E-3</v>
      </c>
      <c r="F19" s="4">
        <f>IFERROR(VLOOKUP(A19,MASTER!A:E,5,0),0)</f>
        <v>66666.666666664998</v>
      </c>
      <c r="G19" s="4">
        <f>IFERROR(VLOOKUP(A19,MASTER!A:F,6,0),0)</f>
        <v>4344144.1441441448</v>
      </c>
      <c r="H19" s="8">
        <f t="shared" si="1"/>
        <v>-0.98465367067606846</v>
      </c>
      <c r="I19" s="4">
        <f>IFERROR(VLOOKUP(A19,MASTER!A:O,15,0),0)</f>
        <v>9518468.4684684686</v>
      </c>
      <c r="J19" s="4">
        <f>IFERROR(VLOOKUP(A19,MASTER!A:P,16,0),0)</f>
        <v>20650450.45045045</v>
      </c>
      <c r="K19" s="8">
        <f t="shared" si="2"/>
        <v>-0.53906727161678736</v>
      </c>
      <c r="L19" s="4">
        <f>IFERROR(VLOOKUP(A19,MASTER!A:S,19,0),0)</f>
        <v>39689360.360360362</v>
      </c>
      <c r="M19" s="4">
        <f>IFERROR(VLOOKUP(A19,MASTER!A:T,20,0),0)</f>
        <v>41308081.081081077</v>
      </c>
      <c r="N19" s="8">
        <f t="shared" si="3"/>
        <v>-3.9186538768126944E-2</v>
      </c>
      <c r="O19" s="4">
        <f>IFERROR(VLOOKUP(A19,MASTER!A:U,21,0),0)</f>
        <v>6039549.549549548</v>
      </c>
      <c r="P19" s="4">
        <f>IFERROR(VLOOKUP(A19,MASTER!A:V,22,0),0)</f>
        <v>22983063.063063063</v>
      </c>
      <c r="Q19" s="8">
        <f t="shared" si="4"/>
        <v>-0.73721737903352258</v>
      </c>
      <c r="R19" s="4">
        <f>IFERROR(VLOOKUP(A19,MASTER!A:W,23,0),0)</f>
        <v>2909</v>
      </c>
      <c r="S19" s="4">
        <f>IFERROR(VLOOKUP(A19,MASTER!A:X,24,0),0)</f>
        <v>2888</v>
      </c>
      <c r="T19" s="8">
        <f t="shared" si="5"/>
        <v>7.2714681440442241E-3</v>
      </c>
      <c r="U19" s="11">
        <f>IFERROR(VLOOKUP(A19,MASTER!A:M,13,0),0)</f>
        <v>37</v>
      </c>
      <c r="V19" s="11">
        <f>IFERROR(VLOOKUP(A19,MASTER!A:N,14,0),0)</f>
        <v>17</v>
      </c>
      <c r="W19" s="8">
        <f t="shared" si="6"/>
        <v>1.1764705882352939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0</v>
      </c>
      <c r="G20" s="4">
        <f>IFERROR(VLOOKUP(A20,MASTER!A:F,6,0),0)</f>
        <v>0</v>
      </c>
      <c r="H20" s="8">
        <f t="shared" si="1"/>
        <v>0</v>
      </c>
      <c r="I20" s="4">
        <f>IFERROR(VLOOKUP(A20,MASTER!A:O,15,0),0)</f>
        <v>0</v>
      </c>
      <c r="J20" s="4">
        <f>IFERROR(VLOOKUP(A20,MASTER!A:P,16,0),0)</f>
        <v>0</v>
      </c>
      <c r="K20" s="8">
        <f t="shared" si="2"/>
        <v>0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371443952.54106742</v>
      </c>
      <c r="D21" s="4">
        <f>IFERROR(VLOOKUP(A:A,MASTER!A:D,4,0),0)</f>
        <v>349965381.21002066</v>
      </c>
      <c r="E21" s="8">
        <f t="shared" si="0"/>
        <v>6.1373417155673016E-2</v>
      </c>
      <c r="F21" s="4">
        <f>IFERROR(VLOOKUP(A21,MASTER!A:E,5,0),0)</f>
        <v>1138738.7387387429</v>
      </c>
      <c r="G21" s="4">
        <f>IFERROR(VLOOKUP(A21,MASTER!A:F,6,0),0)</f>
        <v>3457657.6576576661</v>
      </c>
      <c r="H21" s="8">
        <f t="shared" si="1"/>
        <v>-0.67066180302240719</v>
      </c>
      <c r="I21" s="4">
        <f>IFERROR(VLOOKUP(A21,MASTER!A:O,15,0),0)</f>
        <v>65212072.072072074</v>
      </c>
      <c r="J21" s="4">
        <f>IFERROR(VLOOKUP(A21,MASTER!A:P,16,0),0)</f>
        <v>72470000</v>
      </c>
      <c r="K21" s="8">
        <f t="shared" si="2"/>
        <v>-0.10015079243725578</v>
      </c>
      <c r="L21" s="4">
        <f>IFERROR(VLOOKUP(A21,MASTER!A:S,19,0),0)</f>
        <v>214752752.25225225</v>
      </c>
      <c r="M21" s="4">
        <f>IFERROR(VLOOKUP(A21,MASTER!A:T,20,0),0)</f>
        <v>202490360.36036035</v>
      </c>
      <c r="N21" s="8">
        <f t="shared" si="3"/>
        <v>6.0557904435891263E-2</v>
      </c>
      <c r="O21" s="4">
        <f>IFERROR(VLOOKUP(A21,MASTER!A:U,21,0),0)</f>
        <v>70728198.198198199</v>
      </c>
      <c r="P21" s="4">
        <f>IFERROR(VLOOKUP(A21,MASTER!A:V,22,0),0)</f>
        <v>70465809.009009004</v>
      </c>
      <c r="Q21" s="8">
        <f t="shared" si="4"/>
        <v>3.7236383556691344E-3</v>
      </c>
      <c r="R21" s="4">
        <f>IFERROR(VLOOKUP(A21,MASTER!A:W,23,0),0)</f>
        <v>7315</v>
      </c>
      <c r="S21" s="4">
        <f>IFERROR(VLOOKUP(A21,MASTER!A:X,24,0),0)</f>
        <v>7158</v>
      </c>
      <c r="T21" s="8">
        <f t="shared" si="5"/>
        <v>2.1933500977926901E-2</v>
      </c>
      <c r="U21" s="11">
        <f>IFERROR(VLOOKUP(A21,MASTER!A:M,13,0),0)</f>
        <v>425</v>
      </c>
      <c r="V21" s="11">
        <f>IFERROR(VLOOKUP(A21,MASTER!A:N,14,0),0)</f>
        <v>309</v>
      </c>
      <c r="W21" s="8">
        <f t="shared" si="6"/>
        <v>0.37540453074433655</v>
      </c>
      <c r="X21" s="11">
        <f>IFERROR(VLOOKUP(A21,MASTER!A:Q,17,0),0)</f>
        <v>365</v>
      </c>
      <c r="Y21" s="11">
        <f>IFERROR(VLOOKUP(A21,MASTER!A:R,18,0),0)</f>
        <v>268</v>
      </c>
      <c r="Z21" s="8">
        <f t="shared" si="7"/>
        <v>0.36194029850746268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192429625.04478538</v>
      </c>
      <c r="D22" s="4">
        <f>IFERROR(VLOOKUP(A:A,MASTER!A:D,4,0),0)</f>
        <v>178092735.09584966</v>
      </c>
      <c r="E22" s="8">
        <f t="shared" si="0"/>
        <v>8.0502385126600462E-2</v>
      </c>
      <c r="F22" s="4">
        <f>IFERROR(VLOOKUP(A22,MASTER!A:E,5,0),0)</f>
        <v>781086356.75675678</v>
      </c>
      <c r="G22" s="4">
        <f>IFERROR(VLOOKUP(A22,MASTER!A:F,6,0),0)</f>
        <v>679365130.63063061</v>
      </c>
      <c r="H22" s="8">
        <f t="shared" si="1"/>
        <v>0.14972983089623981</v>
      </c>
      <c r="I22" s="4">
        <f>IFERROR(VLOOKUP(A22,MASTER!A:O,15,0),0)</f>
        <v>55963247.747747742</v>
      </c>
      <c r="J22" s="4">
        <f>IFERROR(VLOOKUP(A22,MASTER!A:P,16,0),0)</f>
        <v>96633333.333333328</v>
      </c>
      <c r="K22" s="8">
        <f t="shared" si="2"/>
        <v>-0.42087015093741553</v>
      </c>
      <c r="L22" s="4">
        <f>IFERROR(VLOOKUP(A22,MASTER!A:S,19,0),0)</f>
        <v>64067333.333333336</v>
      </c>
      <c r="M22" s="4">
        <f>IFERROR(VLOOKUP(A22,MASTER!A:T,20,0),0)</f>
        <v>60276441.441441439</v>
      </c>
      <c r="N22" s="8">
        <f t="shared" si="3"/>
        <v>6.2891766687566353E-2</v>
      </c>
      <c r="O22" s="4">
        <f>IFERROR(VLOOKUP(A22,MASTER!A:U,21,0),0)</f>
        <v>18432972.97297297</v>
      </c>
      <c r="P22" s="4">
        <f>IFERROR(VLOOKUP(A22,MASTER!A:V,22,0),0)</f>
        <v>39893333.333333336</v>
      </c>
      <c r="Q22" s="8">
        <f t="shared" si="4"/>
        <v>-0.53794352507587817</v>
      </c>
      <c r="R22" s="4">
        <f>IFERROR(VLOOKUP(A22,MASTER!A:W,23,0),0)</f>
        <v>4069</v>
      </c>
      <c r="S22" s="4">
        <f>IFERROR(VLOOKUP(A22,MASTER!A:X,24,0),0)</f>
        <v>3889</v>
      </c>
      <c r="T22" s="8">
        <f t="shared" si="5"/>
        <v>4.6284391874517938E-2</v>
      </c>
      <c r="U22" s="11">
        <f>IFERROR(VLOOKUP(A22,MASTER!A:M,13,0),0)</f>
        <v>20</v>
      </c>
      <c r="V22" s="11">
        <f>IFERROR(VLOOKUP(A22,MASTER!A:N,14,0),0)</f>
        <v>29</v>
      </c>
      <c r="W22" s="8">
        <f t="shared" si="6"/>
        <v>-0.31034482758620685</v>
      </c>
      <c r="X22" s="11">
        <f>IFERROR(VLOOKUP(A22,MASTER!A:Q,17,0),0)</f>
        <v>42</v>
      </c>
      <c r="Y22" s="11">
        <f>IFERROR(VLOOKUP(A22,MASTER!A:R,18,0),0)</f>
        <v>43</v>
      </c>
      <c r="Z22" s="8">
        <f t="shared" si="7"/>
        <v>-2.3255813953488413E-2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6"/>
  <sheetViews>
    <sheetView tabSelected="1" workbookViewId="0">
      <pane xSplit="1" ySplit="3" topLeftCell="B552" activePane="bottomRight" state="frozen"/>
      <selection pane="topRight" activeCell="B1" sqref="B1"/>
      <selection pane="bottomLeft" activeCell="A4" sqref="A4"/>
      <selection pane="bottomRight" activeCell="A3" sqref="A3:X573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669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670</v>
      </c>
      <c r="J2" s="7" t="s">
        <v>670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671</v>
      </c>
      <c r="R2" s="7" t="s">
        <v>671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503621980.11859244</v>
      </c>
      <c r="D4">
        <v>551880968.40935779</v>
      </c>
      <c r="E4">
        <v>1488063.063063063</v>
      </c>
      <c r="F4">
        <v>2265540.540540542</v>
      </c>
      <c r="G4">
        <v>46</v>
      </c>
      <c r="H4">
        <v>55</v>
      </c>
      <c r="I4">
        <v>9</v>
      </c>
      <c r="J4">
        <v>6</v>
      </c>
      <c r="M4">
        <v>64</v>
      </c>
      <c r="N4">
        <v>110</v>
      </c>
      <c r="O4">
        <v>12317117.117117113</v>
      </c>
      <c r="P4">
        <v>34165765.765765771</v>
      </c>
      <c r="R4">
        <v>23</v>
      </c>
      <c r="S4">
        <v>62099099.0990991</v>
      </c>
      <c r="T4">
        <v>69239881.081081077</v>
      </c>
      <c r="U4">
        <v>8714684.6846846808</v>
      </c>
      <c r="V4">
        <v>32404684.684684686</v>
      </c>
      <c r="W4">
        <v>8113</v>
      </c>
      <c r="X4">
        <v>8232</v>
      </c>
    </row>
    <row r="5" spans="1:24">
      <c r="A5" s="7" t="s">
        <v>49</v>
      </c>
      <c r="B5" s="16" t="s">
        <v>50</v>
      </c>
      <c r="C5">
        <v>876866563.14325988</v>
      </c>
      <c r="D5">
        <v>827304440.91267645</v>
      </c>
      <c r="E5">
        <v>5664594.5945946071</v>
      </c>
      <c r="F5">
        <v>13935135.135135146</v>
      </c>
      <c r="G5">
        <v>639</v>
      </c>
      <c r="H5">
        <v>493</v>
      </c>
      <c r="I5">
        <v>41</v>
      </c>
      <c r="J5">
        <v>29</v>
      </c>
      <c r="K5">
        <v>11</v>
      </c>
      <c r="M5">
        <v>696</v>
      </c>
      <c r="N5">
        <v>1179</v>
      </c>
      <c r="O5">
        <v>215641891.89189187</v>
      </c>
      <c r="P5">
        <v>234701441.44144145</v>
      </c>
      <c r="Q5">
        <v>366</v>
      </c>
      <c r="R5">
        <v>759</v>
      </c>
      <c r="S5">
        <v>270833022.52252251</v>
      </c>
      <c r="T5">
        <v>267041283.78378376</v>
      </c>
      <c r="U5">
        <v>210556486.48648649</v>
      </c>
      <c r="V5">
        <v>225603783.78378376</v>
      </c>
      <c r="W5">
        <v>21923</v>
      </c>
      <c r="X5">
        <v>20126</v>
      </c>
    </row>
    <row r="6" spans="1:24">
      <c r="A6" s="7" t="s">
        <v>51</v>
      </c>
      <c r="B6" s="16" t="s">
        <v>52</v>
      </c>
      <c r="C6">
        <v>204811781.54741576</v>
      </c>
      <c r="D6">
        <v>209458142.21117613</v>
      </c>
      <c r="E6">
        <v>1955630.630630631</v>
      </c>
      <c r="F6">
        <v>4726126.1261261264</v>
      </c>
      <c r="G6">
        <v>40</v>
      </c>
      <c r="H6">
        <v>107</v>
      </c>
      <c r="I6">
        <v>7</v>
      </c>
      <c r="J6">
        <v>11</v>
      </c>
      <c r="M6">
        <v>40</v>
      </c>
      <c r="N6">
        <v>128</v>
      </c>
      <c r="O6">
        <v>56752252.252252251</v>
      </c>
      <c r="P6">
        <v>67665315.315315306</v>
      </c>
      <c r="Q6">
        <v>311</v>
      </c>
      <c r="R6">
        <v>278</v>
      </c>
      <c r="S6">
        <v>73654936.936936945</v>
      </c>
      <c r="T6">
        <v>70702603.603603601</v>
      </c>
      <c r="U6">
        <v>19026396.396396395</v>
      </c>
      <c r="V6">
        <v>55997477.477477483</v>
      </c>
      <c r="W6">
        <v>4221</v>
      </c>
      <c r="X6">
        <v>5059</v>
      </c>
    </row>
    <row r="7" spans="1:24">
      <c r="A7" s="7" t="s">
        <v>675</v>
      </c>
      <c r="B7" s="16" t="s">
        <v>169</v>
      </c>
      <c r="E7">
        <v>68581081.081081077</v>
      </c>
      <c r="F7">
        <v>74887387.387387395</v>
      </c>
      <c r="O7">
        <v>8167117.1171171172</v>
      </c>
      <c r="P7">
        <v>8202072.072072072</v>
      </c>
    </row>
    <row r="8" spans="1:24">
      <c r="A8" s="7" t="s">
        <v>53</v>
      </c>
      <c r="B8" s="16" t="s">
        <v>54</v>
      </c>
      <c r="C8">
        <v>115611166.09454717</v>
      </c>
      <c r="D8">
        <v>113325800.70399594</v>
      </c>
      <c r="E8">
        <v>1046396.396396398</v>
      </c>
      <c r="F8">
        <v>2427927.9279279318</v>
      </c>
      <c r="G8">
        <v>32</v>
      </c>
      <c r="H8">
        <v>26</v>
      </c>
      <c r="I8">
        <v>4</v>
      </c>
      <c r="J8">
        <v>6</v>
      </c>
      <c r="M8">
        <v>36</v>
      </c>
      <c r="N8">
        <v>57</v>
      </c>
      <c r="O8">
        <v>13469369.369369367</v>
      </c>
      <c r="P8">
        <v>11706036.036036041</v>
      </c>
      <c r="Q8">
        <v>149</v>
      </c>
      <c r="R8">
        <v>92</v>
      </c>
      <c r="S8">
        <v>37499648.648648649</v>
      </c>
      <c r="T8">
        <v>36057236.486486487</v>
      </c>
      <c r="U8">
        <v>14597477.477477476</v>
      </c>
      <c r="V8">
        <v>12250630.630630633</v>
      </c>
      <c r="W8">
        <v>3777</v>
      </c>
      <c r="X8">
        <v>3660</v>
      </c>
    </row>
    <row r="9" spans="1:24">
      <c r="A9" s="7" t="s">
        <v>55</v>
      </c>
      <c r="B9" s="16" t="s">
        <v>54</v>
      </c>
      <c r="C9">
        <v>189497784.59018821</v>
      </c>
      <c r="D9">
        <v>186470440.89702702</v>
      </c>
      <c r="E9">
        <v>850900.90090090199</v>
      </c>
      <c r="F9">
        <v>3687387.3873873879</v>
      </c>
      <c r="G9">
        <v>64</v>
      </c>
      <c r="H9">
        <v>95</v>
      </c>
      <c r="I9">
        <v>8</v>
      </c>
      <c r="J9">
        <v>16</v>
      </c>
      <c r="M9">
        <v>86</v>
      </c>
      <c r="N9">
        <v>546</v>
      </c>
      <c r="O9">
        <v>57322072.072072066</v>
      </c>
      <c r="P9">
        <v>33547927.927927926</v>
      </c>
      <c r="Q9">
        <v>196</v>
      </c>
      <c r="R9">
        <v>147</v>
      </c>
      <c r="S9">
        <v>48903090.090090096</v>
      </c>
      <c r="T9">
        <v>54474945.945945941</v>
      </c>
      <c r="U9">
        <v>44822882.882882878</v>
      </c>
      <c r="V9">
        <v>58627837.837837838</v>
      </c>
      <c r="W9">
        <v>4346</v>
      </c>
      <c r="X9">
        <v>4372</v>
      </c>
    </row>
    <row r="10" spans="1:24">
      <c r="A10" s="7" t="s">
        <v>56</v>
      </c>
      <c r="B10" s="16" t="s">
        <v>54</v>
      </c>
      <c r="C10">
        <v>95440593.223227829</v>
      </c>
      <c r="D10">
        <v>91795232.075777501</v>
      </c>
      <c r="E10">
        <v>689369.36936937098</v>
      </c>
      <c r="F10">
        <v>1549549.549549551</v>
      </c>
      <c r="G10">
        <v>19</v>
      </c>
      <c r="H10">
        <v>23</v>
      </c>
      <c r="I10">
        <v>3</v>
      </c>
      <c r="J10">
        <v>3</v>
      </c>
      <c r="M10">
        <v>23</v>
      </c>
      <c r="N10">
        <v>28</v>
      </c>
      <c r="O10">
        <v>7347927.9279279271</v>
      </c>
      <c r="P10">
        <v>9081621.6216216218</v>
      </c>
      <c r="Q10">
        <v>66</v>
      </c>
      <c r="R10">
        <v>55</v>
      </c>
      <c r="S10">
        <v>28573736.936936937</v>
      </c>
      <c r="T10">
        <v>27304882.882882878</v>
      </c>
      <c r="U10">
        <v>7085225.2252252232</v>
      </c>
      <c r="V10">
        <v>8665855.8558558561</v>
      </c>
      <c r="W10">
        <v>2105</v>
      </c>
      <c r="X10">
        <v>2060</v>
      </c>
    </row>
    <row r="11" spans="1:24">
      <c r="A11" s="7" t="s">
        <v>57</v>
      </c>
      <c r="B11" s="16" t="s">
        <v>58</v>
      </c>
      <c r="C11">
        <v>245702199.64891627</v>
      </c>
      <c r="D11">
        <v>245034460.60900488</v>
      </c>
      <c r="E11">
        <v>1813513.5135135141</v>
      </c>
      <c r="F11">
        <v>1081981.9819819829</v>
      </c>
      <c r="G11">
        <v>67</v>
      </c>
      <c r="H11">
        <v>85</v>
      </c>
      <c r="I11">
        <v>1</v>
      </c>
      <c r="J11">
        <v>3</v>
      </c>
      <c r="M11">
        <v>77</v>
      </c>
      <c r="N11">
        <v>92</v>
      </c>
      <c r="O11">
        <v>5696396.3963963958</v>
      </c>
      <c r="P11">
        <v>4514414.4144144142</v>
      </c>
      <c r="Q11">
        <v>4</v>
      </c>
      <c r="S11">
        <v>43596126.126126125</v>
      </c>
      <c r="T11">
        <v>45421205.40540541</v>
      </c>
      <c r="U11">
        <v>5191261.261261262</v>
      </c>
      <c r="V11">
        <v>3973513.5135135148</v>
      </c>
      <c r="W11">
        <v>5622</v>
      </c>
      <c r="X11">
        <v>5532</v>
      </c>
    </row>
    <row r="12" spans="1:24">
      <c r="A12" s="7" t="s">
        <v>59</v>
      </c>
      <c r="B12" s="16" t="s">
        <v>60</v>
      </c>
      <c r="C12">
        <v>104792325.80908114</v>
      </c>
      <c r="D12">
        <v>105469631.13843775</v>
      </c>
      <c r="E12">
        <v>218558.55855856001</v>
      </c>
      <c r="F12">
        <v>1073873.8738738771</v>
      </c>
      <c r="G12">
        <v>20</v>
      </c>
      <c r="H12">
        <v>39</v>
      </c>
      <c r="I12">
        <v>5</v>
      </c>
      <c r="J12">
        <v>12</v>
      </c>
      <c r="M12">
        <v>25</v>
      </c>
      <c r="N12">
        <v>82</v>
      </c>
      <c r="O12">
        <v>13074414.414414413</v>
      </c>
      <c r="P12">
        <v>16803603.603603601</v>
      </c>
      <c r="Q12">
        <v>87</v>
      </c>
      <c r="R12">
        <v>66</v>
      </c>
      <c r="S12">
        <v>48580801.801801801</v>
      </c>
      <c r="T12">
        <v>49257981.981981985</v>
      </c>
      <c r="U12">
        <v>9474684.6846846845</v>
      </c>
      <c r="V12">
        <v>11385405.405405406</v>
      </c>
      <c r="W12">
        <v>3063</v>
      </c>
      <c r="X12">
        <v>3013</v>
      </c>
    </row>
    <row r="13" spans="1:24">
      <c r="A13" s="7" t="s">
        <v>61</v>
      </c>
      <c r="B13" s="16" t="s">
        <v>62</v>
      </c>
      <c r="C13">
        <v>495147483.20385939</v>
      </c>
      <c r="D13">
        <v>481002681.94077134</v>
      </c>
      <c r="E13">
        <v>218918.918918924</v>
      </c>
      <c r="F13">
        <v>5136486.4864864964</v>
      </c>
      <c r="G13">
        <v>109</v>
      </c>
      <c r="H13">
        <v>64</v>
      </c>
      <c r="I13">
        <v>9</v>
      </c>
      <c r="J13">
        <v>26</v>
      </c>
      <c r="M13">
        <v>119</v>
      </c>
      <c r="N13">
        <v>67</v>
      </c>
      <c r="O13">
        <v>13785045.045045048</v>
      </c>
      <c r="P13">
        <v>68507027.027027026</v>
      </c>
      <c r="Q13">
        <v>63</v>
      </c>
      <c r="R13">
        <v>162</v>
      </c>
      <c r="S13">
        <v>53637972.972972974</v>
      </c>
      <c r="T13">
        <v>50671448.648648649</v>
      </c>
      <c r="U13">
        <v>11928378.37837838</v>
      </c>
      <c r="V13">
        <v>67419999.999999985</v>
      </c>
      <c r="W13">
        <v>8878</v>
      </c>
      <c r="X13">
        <v>8633</v>
      </c>
    </row>
    <row r="14" spans="1:24">
      <c r="A14" s="7" t="s">
        <v>63</v>
      </c>
      <c r="B14" s="16" t="s">
        <v>50</v>
      </c>
      <c r="C14">
        <v>255032599.24512058</v>
      </c>
      <c r="D14">
        <v>255893837.4885658</v>
      </c>
      <c r="E14">
        <v>845045.04504504905</v>
      </c>
      <c r="F14">
        <v>2988288.2882882929</v>
      </c>
      <c r="G14">
        <v>45</v>
      </c>
      <c r="H14">
        <v>79</v>
      </c>
      <c r="I14">
        <v>16</v>
      </c>
      <c r="J14">
        <v>24</v>
      </c>
      <c r="K14">
        <v>2</v>
      </c>
      <c r="M14">
        <v>52</v>
      </c>
      <c r="N14">
        <v>117</v>
      </c>
      <c r="O14">
        <v>89685773.873873875</v>
      </c>
      <c r="P14">
        <v>82993873.873873875</v>
      </c>
      <c r="Q14">
        <v>85</v>
      </c>
      <c r="R14">
        <v>223</v>
      </c>
      <c r="S14">
        <v>98899207.207207203</v>
      </c>
      <c r="T14">
        <v>99858387.387387395</v>
      </c>
      <c r="U14">
        <v>90644637.837837845</v>
      </c>
      <c r="V14">
        <v>81160630.630630627</v>
      </c>
      <c r="W14">
        <v>5436</v>
      </c>
      <c r="X14">
        <v>5631</v>
      </c>
    </row>
    <row r="15" spans="1:24">
      <c r="A15" s="7" t="s">
        <v>64</v>
      </c>
      <c r="B15" s="16" t="s">
        <v>50</v>
      </c>
      <c r="C15">
        <v>266982566.49847481</v>
      </c>
      <c r="D15">
        <v>261623736.6084266</v>
      </c>
      <c r="E15">
        <v>2181531.5315315342</v>
      </c>
      <c r="F15">
        <v>3515315.3153153169</v>
      </c>
      <c r="G15">
        <v>41</v>
      </c>
      <c r="H15">
        <v>59</v>
      </c>
      <c r="I15">
        <v>10</v>
      </c>
      <c r="J15">
        <v>13</v>
      </c>
      <c r="M15">
        <v>45</v>
      </c>
      <c r="N15">
        <v>79</v>
      </c>
      <c r="O15">
        <v>68135217.117117122</v>
      </c>
      <c r="P15">
        <v>31076846.846846849</v>
      </c>
      <c r="Q15">
        <v>234</v>
      </c>
      <c r="R15">
        <v>96</v>
      </c>
      <c r="S15">
        <v>101264972.97297297</v>
      </c>
      <c r="T15">
        <v>99935729.729729727</v>
      </c>
      <c r="U15">
        <v>66029009.009009011</v>
      </c>
      <c r="V15">
        <v>29019639.639639638</v>
      </c>
      <c r="W15">
        <v>5444</v>
      </c>
      <c r="X15">
        <v>5597</v>
      </c>
    </row>
    <row r="16" spans="1:24">
      <c r="A16" s="7" t="s">
        <v>65</v>
      </c>
      <c r="B16" s="16" t="s">
        <v>66</v>
      </c>
      <c r="C16">
        <v>274830799.25044888</v>
      </c>
      <c r="D16">
        <v>266505817.55131412</v>
      </c>
      <c r="E16">
        <v>1621711.711711714</v>
      </c>
      <c r="F16">
        <v>4574774.7747747777</v>
      </c>
      <c r="G16">
        <v>115</v>
      </c>
      <c r="H16">
        <v>53</v>
      </c>
      <c r="I16">
        <v>13</v>
      </c>
      <c r="J16">
        <v>9</v>
      </c>
      <c r="M16">
        <v>128</v>
      </c>
      <c r="N16">
        <v>81</v>
      </c>
      <c r="O16">
        <v>65581981.981981985</v>
      </c>
      <c r="P16">
        <v>96435225.225225225</v>
      </c>
      <c r="Q16">
        <v>408</v>
      </c>
      <c r="R16">
        <v>12</v>
      </c>
      <c r="S16">
        <v>136684495.4954955</v>
      </c>
      <c r="T16">
        <v>135027684.68468469</v>
      </c>
      <c r="U16">
        <v>61575945.945945941</v>
      </c>
      <c r="V16">
        <v>86591981.981981978</v>
      </c>
      <c r="W16">
        <v>5449</v>
      </c>
      <c r="X16">
        <v>7301</v>
      </c>
    </row>
    <row r="17" spans="1:24">
      <c r="A17" s="7" t="s">
        <v>67</v>
      </c>
      <c r="B17" s="16" t="s">
        <v>68</v>
      </c>
      <c r="C17">
        <v>164185241.38424882</v>
      </c>
      <c r="D17">
        <v>154047955.32464293</v>
      </c>
      <c r="E17">
        <v>116092863.96396397</v>
      </c>
      <c r="F17">
        <v>106552363.06306307</v>
      </c>
      <c r="G17">
        <v>68</v>
      </c>
      <c r="H17">
        <v>53</v>
      </c>
      <c r="I17">
        <v>5</v>
      </c>
      <c r="J17">
        <v>4</v>
      </c>
      <c r="M17">
        <v>73</v>
      </c>
      <c r="N17">
        <v>71</v>
      </c>
      <c r="O17">
        <v>23083108.108108103</v>
      </c>
      <c r="P17">
        <v>27915855.855855856</v>
      </c>
      <c r="Q17">
        <v>50</v>
      </c>
      <c r="R17">
        <v>90</v>
      </c>
      <c r="S17">
        <v>43395765.765765771</v>
      </c>
      <c r="T17">
        <v>41706666.666666664</v>
      </c>
      <c r="U17">
        <v>21294144.144144144</v>
      </c>
      <c r="V17">
        <v>20234504.504504506</v>
      </c>
      <c r="W17">
        <v>3455</v>
      </c>
      <c r="X17">
        <v>3232</v>
      </c>
    </row>
    <row r="18" spans="1:24">
      <c r="A18" s="7" t="s">
        <v>69</v>
      </c>
      <c r="B18" s="16" t="s">
        <v>70</v>
      </c>
      <c r="C18">
        <v>11922396.971984852</v>
      </c>
      <c r="D18">
        <v>12136099.113539588</v>
      </c>
      <c r="E18">
        <v>25675.675675676001</v>
      </c>
      <c r="F18">
        <v>116216.216216217</v>
      </c>
      <c r="G18">
        <v>3</v>
      </c>
      <c r="H18">
        <v>3</v>
      </c>
      <c r="I18">
        <v>0</v>
      </c>
      <c r="J18">
        <v>2</v>
      </c>
      <c r="M18">
        <v>3</v>
      </c>
      <c r="N18">
        <v>3</v>
      </c>
      <c r="O18">
        <v>302702.70270270301</v>
      </c>
      <c r="P18">
        <v>404504.50450450502</v>
      </c>
      <c r="Q18">
        <v>2</v>
      </c>
      <c r="R18">
        <v>4</v>
      </c>
      <c r="S18">
        <v>2524054.054054054</v>
      </c>
      <c r="T18">
        <v>3631409.9099099101</v>
      </c>
      <c r="U18">
        <v>298828.828828828</v>
      </c>
      <c r="V18">
        <v>404054.05405405402</v>
      </c>
      <c r="W18">
        <v>329</v>
      </c>
      <c r="X18">
        <v>348</v>
      </c>
    </row>
    <row r="19" spans="1:24">
      <c r="A19" s="7" t="s">
        <v>71</v>
      </c>
      <c r="B19" s="16" t="s">
        <v>72</v>
      </c>
      <c r="C19">
        <v>2163636552.5137691</v>
      </c>
      <c r="D19">
        <v>2074043919.1767077</v>
      </c>
      <c r="E19">
        <v>480097335.13513517</v>
      </c>
      <c r="F19">
        <v>497187827.92792791</v>
      </c>
      <c r="G19">
        <v>673</v>
      </c>
      <c r="H19">
        <v>630</v>
      </c>
      <c r="I19">
        <v>124</v>
      </c>
      <c r="J19">
        <v>122</v>
      </c>
      <c r="K19">
        <v>27</v>
      </c>
      <c r="M19">
        <v>955</v>
      </c>
      <c r="N19">
        <v>962</v>
      </c>
      <c r="O19">
        <v>240578115.31531531</v>
      </c>
      <c r="P19">
        <v>225677034.23423424</v>
      </c>
      <c r="Q19">
        <v>642</v>
      </c>
      <c r="R19">
        <v>1751</v>
      </c>
      <c r="S19">
        <v>417289165.76576579</v>
      </c>
      <c r="T19">
        <v>425737162.16216218</v>
      </c>
      <c r="U19">
        <v>214029459.45945945</v>
      </c>
      <c r="V19">
        <v>194396619.81981981</v>
      </c>
      <c r="W19">
        <v>45522</v>
      </c>
      <c r="X19">
        <v>45753</v>
      </c>
    </row>
    <row r="20" spans="1:24">
      <c r="A20" s="7" t="s">
        <v>73</v>
      </c>
      <c r="B20" s="16" t="s">
        <v>72</v>
      </c>
      <c r="C20">
        <v>221855744.6815086</v>
      </c>
      <c r="D20">
        <v>197758066.28413707</v>
      </c>
      <c r="E20">
        <v>3603.603603604</v>
      </c>
      <c r="F20">
        <v>254954.95495495599</v>
      </c>
      <c r="G20">
        <v>49</v>
      </c>
      <c r="H20">
        <v>43</v>
      </c>
      <c r="I20">
        <v>4</v>
      </c>
      <c r="J20">
        <v>5</v>
      </c>
      <c r="M20">
        <v>52</v>
      </c>
      <c r="N20">
        <v>59</v>
      </c>
      <c r="O20">
        <v>3778378.3783783782</v>
      </c>
      <c r="P20">
        <v>5345045.0450450461</v>
      </c>
      <c r="Q20">
        <v>18</v>
      </c>
      <c r="R20">
        <v>20</v>
      </c>
      <c r="S20">
        <v>28905585.585585583</v>
      </c>
      <c r="T20">
        <v>28998171.171171173</v>
      </c>
      <c r="U20">
        <v>3713063.0630630632</v>
      </c>
      <c r="V20">
        <v>5666486.4864864871</v>
      </c>
      <c r="W20">
        <v>3892</v>
      </c>
      <c r="X20">
        <v>3307</v>
      </c>
    </row>
    <row r="21" spans="1:24">
      <c r="A21" s="7" t="s">
        <v>74</v>
      </c>
      <c r="B21" s="16" t="s">
        <v>70</v>
      </c>
      <c r="C21">
        <v>215190237.23115304</v>
      </c>
      <c r="D21">
        <v>212457273.35042319</v>
      </c>
      <c r="E21">
        <v>1465855.855855857</v>
      </c>
      <c r="F21">
        <v>5711711.7117117178</v>
      </c>
      <c r="G21">
        <v>56</v>
      </c>
      <c r="H21">
        <v>63</v>
      </c>
      <c r="I21">
        <v>7</v>
      </c>
      <c r="J21">
        <v>22</v>
      </c>
      <c r="M21">
        <v>66</v>
      </c>
      <c r="N21">
        <v>87</v>
      </c>
      <c r="O21">
        <v>39323963.963963963</v>
      </c>
      <c r="P21">
        <v>49094594.594594598</v>
      </c>
      <c r="Q21">
        <v>64</v>
      </c>
      <c r="R21">
        <v>281</v>
      </c>
      <c r="S21">
        <v>74240567.567567572</v>
      </c>
      <c r="T21">
        <v>77402585.585585579</v>
      </c>
      <c r="U21">
        <v>51821981.981981985</v>
      </c>
      <c r="V21">
        <v>45229729.729729727</v>
      </c>
      <c r="W21">
        <v>4308</v>
      </c>
      <c r="X21">
        <v>4394</v>
      </c>
    </row>
    <row r="22" spans="1:24">
      <c r="A22" s="7" t="s">
        <v>75</v>
      </c>
      <c r="B22" s="16" t="s">
        <v>76</v>
      </c>
      <c r="C22">
        <v>62339898.995851241</v>
      </c>
      <c r="D22">
        <v>61102054.983481437</v>
      </c>
      <c r="E22">
        <v>79279.279279280003</v>
      </c>
      <c r="F22">
        <v>557657.65765765798</v>
      </c>
      <c r="G22">
        <v>16</v>
      </c>
      <c r="H22">
        <v>18</v>
      </c>
      <c r="I22">
        <v>1</v>
      </c>
      <c r="J22">
        <v>3</v>
      </c>
      <c r="M22">
        <v>16</v>
      </c>
      <c r="N22">
        <v>20</v>
      </c>
      <c r="O22">
        <v>7294594.594594595</v>
      </c>
      <c r="P22">
        <v>7445405.405405405</v>
      </c>
      <c r="Q22">
        <v>15</v>
      </c>
      <c r="R22">
        <v>8</v>
      </c>
      <c r="S22">
        <v>15568333.333333332</v>
      </c>
      <c r="T22">
        <v>15329018.018018017</v>
      </c>
      <c r="U22">
        <v>5984144.1441441448</v>
      </c>
      <c r="V22">
        <v>5626756.7567567574</v>
      </c>
      <c r="W22">
        <v>1517</v>
      </c>
      <c r="X22">
        <v>1483</v>
      </c>
    </row>
    <row r="23" spans="1:24">
      <c r="A23" s="7" t="s">
        <v>77</v>
      </c>
      <c r="B23" s="16" t="s">
        <v>78</v>
      </c>
      <c r="C23">
        <v>141975263.43113357</v>
      </c>
      <c r="D23">
        <v>131576641.525304</v>
      </c>
      <c r="E23">
        <v>607297.297297296</v>
      </c>
      <c r="F23">
        <v>1863963.9639639619</v>
      </c>
      <c r="G23">
        <v>35</v>
      </c>
      <c r="H23">
        <v>24</v>
      </c>
      <c r="I23">
        <v>4</v>
      </c>
      <c r="J23">
        <v>5</v>
      </c>
      <c r="K23">
        <v>1</v>
      </c>
      <c r="M23">
        <v>38</v>
      </c>
      <c r="N23">
        <v>35</v>
      </c>
      <c r="O23">
        <v>15758648.648648648</v>
      </c>
      <c r="P23">
        <v>15800900.9009009</v>
      </c>
      <c r="Q23">
        <v>94</v>
      </c>
      <c r="R23">
        <v>58</v>
      </c>
      <c r="S23">
        <v>43782369.369369365</v>
      </c>
      <c r="T23">
        <v>43332126.126126125</v>
      </c>
      <c r="U23">
        <v>14339639.63963964</v>
      </c>
      <c r="V23">
        <v>16480900.900900899</v>
      </c>
      <c r="W23">
        <v>2426</v>
      </c>
      <c r="X23">
        <v>2491</v>
      </c>
    </row>
    <row r="24" spans="1:24">
      <c r="A24" s="7" t="s">
        <v>79</v>
      </c>
      <c r="B24" s="16" t="s">
        <v>80</v>
      </c>
      <c r="C24">
        <v>1282645713.7602401</v>
      </c>
      <c r="D24">
        <v>1227448039.9636207</v>
      </c>
      <c r="E24">
        <v>102801576.57657658</v>
      </c>
      <c r="F24">
        <v>91789369.369369373</v>
      </c>
      <c r="G24">
        <v>439</v>
      </c>
      <c r="H24">
        <v>798</v>
      </c>
      <c r="I24">
        <v>43</v>
      </c>
      <c r="J24">
        <v>37</v>
      </c>
      <c r="K24">
        <v>4</v>
      </c>
      <c r="M24">
        <v>515</v>
      </c>
      <c r="N24">
        <v>1033</v>
      </c>
      <c r="O24">
        <v>437838558.55855852</v>
      </c>
      <c r="P24">
        <v>174193693.6936937</v>
      </c>
      <c r="Q24">
        <v>274</v>
      </c>
      <c r="R24">
        <v>455</v>
      </c>
      <c r="S24">
        <v>313277743.24324328</v>
      </c>
      <c r="T24">
        <v>320773695.94594592</v>
      </c>
      <c r="U24">
        <v>106297657.65765767</v>
      </c>
      <c r="V24">
        <v>160140720.72072074</v>
      </c>
      <c r="W24">
        <v>26086</v>
      </c>
      <c r="X24">
        <v>26857</v>
      </c>
    </row>
    <row r="25" spans="1:24">
      <c r="A25" s="7" t="s">
        <v>81</v>
      </c>
      <c r="B25" s="16" t="s">
        <v>54</v>
      </c>
      <c r="C25">
        <v>37977353.669946626</v>
      </c>
      <c r="D25">
        <v>38267139.741669215</v>
      </c>
      <c r="E25">
        <v>141441.441441442</v>
      </c>
      <c r="F25">
        <v>445045.04504504701</v>
      </c>
      <c r="G25">
        <v>12</v>
      </c>
      <c r="H25">
        <v>10</v>
      </c>
      <c r="I25">
        <v>0</v>
      </c>
      <c r="J25">
        <v>4</v>
      </c>
      <c r="M25">
        <v>15</v>
      </c>
      <c r="N25">
        <v>17</v>
      </c>
      <c r="O25">
        <v>3096846.846846845</v>
      </c>
      <c r="P25">
        <v>3132252.2522522518</v>
      </c>
      <c r="Q25">
        <v>40</v>
      </c>
      <c r="R25">
        <v>30</v>
      </c>
      <c r="S25">
        <v>8661441.4414414428</v>
      </c>
      <c r="T25">
        <v>9018090.0900900904</v>
      </c>
      <c r="U25">
        <v>3164774.774774773</v>
      </c>
      <c r="V25">
        <v>2619459.4594594599</v>
      </c>
      <c r="W25">
        <v>1331</v>
      </c>
      <c r="X25">
        <v>1378</v>
      </c>
    </row>
    <row r="26" spans="1:24">
      <c r="A26" s="7" t="s">
        <v>82</v>
      </c>
      <c r="B26" s="16" t="s">
        <v>83</v>
      </c>
      <c r="C26">
        <v>888367822.23077941</v>
      </c>
      <c r="D26">
        <v>879566741.80108488</v>
      </c>
      <c r="E26">
        <v>7380945.9459459493</v>
      </c>
      <c r="F26">
        <v>9820945.9459459484</v>
      </c>
      <c r="G26">
        <v>161</v>
      </c>
      <c r="H26">
        <v>168</v>
      </c>
      <c r="I26">
        <v>16</v>
      </c>
      <c r="J26">
        <v>24</v>
      </c>
      <c r="K26">
        <v>1</v>
      </c>
      <c r="M26">
        <v>200</v>
      </c>
      <c r="N26">
        <v>212</v>
      </c>
      <c r="O26">
        <v>151003693.6936937</v>
      </c>
      <c r="P26">
        <v>176545495.4954955</v>
      </c>
      <c r="Q26">
        <v>373</v>
      </c>
      <c r="R26">
        <v>509</v>
      </c>
      <c r="S26">
        <v>254008807.2072072</v>
      </c>
      <c r="T26">
        <v>257947696.84684685</v>
      </c>
      <c r="U26">
        <v>140478918.91891891</v>
      </c>
      <c r="V26">
        <v>132329459.45945945</v>
      </c>
      <c r="W26">
        <v>15274</v>
      </c>
      <c r="X26">
        <v>14891</v>
      </c>
    </row>
    <row r="27" spans="1:24">
      <c r="A27" s="7" t="s">
        <v>84</v>
      </c>
      <c r="B27" s="16" t="s">
        <v>85</v>
      </c>
      <c r="C27">
        <v>88995152.327871025</v>
      </c>
      <c r="D27">
        <v>81354332.750894994</v>
      </c>
      <c r="E27">
        <v>313063.06306306401</v>
      </c>
      <c r="F27">
        <v>1681756.7567567569</v>
      </c>
      <c r="G27">
        <v>44</v>
      </c>
      <c r="H27">
        <v>45</v>
      </c>
      <c r="I27">
        <v>12</v>
      </c>
      <c r="J27">
        <v>11</v>
      </c>
      <c r="M27">
        <v>51</v>
      </c>
      <c r="N27">
        <v>54</v>
      </c>
      <c r="O27">
        <v>106345495.49549548</v>
      </c>
      <c r="P27">
        <v>170168018.01801801</v>
      </c>
      <c r="Q27">
        <v>270</v>
      </c>
      <c r="R27">
        <v>289</v>
      </c>
      <c r="S27">
        <v>30102522.522522524</v>
      </c>
      <c r="T27">
        <v>29131063.063063063</v>
      </c>
      <c r="U27">
        <v>86078828.828828827</v>
      </c>
      <c r="V27">
        <v>146466396.3963964</v>
      </c>
      <c r="W27">
        <v>2295</v>
      </c>
      <c r="X27">
        <v>2254</v>
      </c>
    </row>
    <row r="28" spans="1:24">
      <c r="A28" s="7" t="s">
        <v>86</v>
      </c>
      <c r="B28" s="16" t="s">
        <v>87</v>
      </c>
      <c r="C28">
        <v>3615277.3956965222</v>
      </c>
      <c r="D28">
        <v>3137751.1456631678</v>
      </c>
      <c r="G28">
        <v>3</v>
      </c>
      <c r="H28">
        <v>1</v>
      </c>
      <c r="M28">
        <v>4</v>
      </c>
      <c r="N28">
        <v>2</v>
      </c>
      <c r="S28">
        <v>1039369.369369369</v>
      </c>
      <c r="T28">
        <v>1526855.8558558561</v>
      </c>
      <c r="W28">
        <v>153</v>
      </c>
      <c r="X28">
        <v>177</v>
      </c>
    </row>
    <row r="29" spans="1:24">
      <c r="A29" s="7" t="s">
        <v>88</v>
      </c>
      <c r="B29" s="16" t="s">
        <v>89</v>
      </c>
      <c r="C29">
        <v>180788319.02856216</v>
      </c>
      <c r="D29">
        <v>179406003.27465174</v>
      </c>
      <c r="E29">
        <v>552027.02702702896</v>
      </c>
      <c r="F29">
        <v>3054054.0540540582</v>
      </c>
      <c r="G29">
        <v>20</v>
      </c>
      <c r="H29">
        <v>25</v>
      </c>
      <c r="I29">
        <v>15</v>
      </c>
      <c r="J29">
        <v>27</v>
      </c>
      <c r="K29">
        <v>1</v>
      </c>
      <c r="M29">
        <v>21</v>
      </c>
      <c r="N29">
        <v>29</v>
      </c>
      <c r="O29">
        <v>16378198.198198197</v>
      </c>
      <c r="P29">
        <v>26418378.378378376</v>
      </c>
      <c r="Q29">
        <v>112</v>
      </c>
      <c r="R29">
        <v>180</v>
      </c>
      <c r="S29">
        <v>64315252.252252258</v>
      </c>
      <c r="T29">
        <v>64314018.018018015</v>
      </c>
      <c r="U29">
        <v>13593423.423423421</v>
      </c>
      <c r="V29">
        <v>26090720.72072072</v>
      </c>
      <c r="W29">
        <v>3260</v>
      </c>
      <c r="X29">
        <v>3452</v>
      </c>
    </row>
    <row r="30" spans="1:24">
      <c r="A30" s="7" t="s">
        <v>90</v>
      </c>
      <c r="B30" s="16" t="s">
        <v>60</v>
      </c>
      <c r="C30">
        <v>57357711.763271585</v>
      </c>
      <c r="D30">
        <v>64343844.931855559</v>
      </c>
      <c r="E30">
        <v>63963.963963964001</v>
      </c>
      <c r="F30">
        <v>122522.522522524</v>
      </c>
      <c r="G30">
        <v>38</v>
      </c>
      <c r="H30">
        <v>14</v>
      </c>
      <c r="I30">
        <v>2</v>
      </c>
      <c r="J30">
        <v>1</v>
      </c>
      <c r="M30">
        <v>117</v>
      </c>
      <c r="N30">
        <v>146</v>
      </c>
      <c r="O30">
        <v>5595495.4954954954</v>
      </c>
      <c r="P30">
        <v>4284684.6846846854</v>
      </c>
      <c r="Q30">
        <v>88</v>
      </c>
      <c r="R30">
        <v>36</v>
      </c>
      <c r="S30">
        <v>34981801.801801801</v>
      </c>
      <c r="T30">
        <v>37939585.585585587</v>
      </c>
      <c r="U30">
        <v>5670270.2702702703</v>
      </c>
      <c r="V30">
        <v>3996216.2162162159</v>
      </c>
      <c r="W30">
        <v>1628</v>
      </c>
      <c r="X30">
        <v>1552</v>
      </c>
    </row>
    <row r="31" spans="1:24">
      <c r="A31" s="7" t="s">
        <v>91</v>
      </c>
      <c r="B31" s="16" t="s">
        <v>92</v>
      </c>
      <c r="C31">
        <v>54557309.860454038</v>
      </c>
      <c r="D31">
        <v>53379017.62581756</v>
      </c>
      <c r="E31">
        <v>27846621.621621624</v>
      </c>
      <c r="F31">
        <v>63849549.54954955</v>
      </c>
      <c r="G31">
        <v>18</v>
      </c>
      <c r="H31">
        <v>11</v>
      </c>
      <c r="I31">
        <v>4</v>
      </c>
      <c r="J31">
        <v>2</v>
      </c>
      <c r="M31">
        <v>19</v>
      </c>
      <c r="N31">
        <v>17</v>
      </c>
      <c r="O31">
        <v>27858648.648648649</v>
      </c>
      <c r="P31">
        <v>16745135.135135135</v>
      </c>
      <c r="Q31">
        <v>52</v>
      </c>
      <c r="R31">
        <v>2</v>
      </c>
      <c r="S31">
        <v>18307612.612612613</v>
      </c>
      <c r="T31">
        <v>17138342.342342343</v>
      </c>
      <c r="U31">
        <v>21308648.648648649</v>
      </c>
      <c r="V31">
        <v>16602342.342342343</v>
      </c>
      <c r="W31">
        <v>1000</v>
      </c>
      <c r="X31">
        <v>1055</v>
      </c>
    </row>
    <row r="32" spans="1:24">
      <c r="A32" s="7" t="s">
        <v>93</v>
      </c>
      <c r="B32" s="16" t="s">
        <v>94</v>
      </c>
      <c r="C32">
        <v>236945609.86978382</v>
      </c>
      <c r="D32">
        <v>230599009.2743935</v>
      </c>
      <c r="E32">
        <v>590990.99099099205</v>
      </c>
      <c r="F32">
        <v>466216.21621621802</v>
      </c>
      <c r="G32">
        <v>60</v>
      </c>
      <c r="H32">
        <v>39</v>
      </c>
      <c r="I32">
        <v>9</v>
      </c>
      <c r="J32">
        <v>6</v>
      </c>
      <c r="M32">
        <v>66</v>
      </c>
      <c r="N32">
        <v>49</v>
      </c>
      <c r="O32">
        <v>29278378.37837838</v>
      </c>
      <c r="P32">
        <v>31150900.9009009</v>
      </c>
      <c r="Q32">
        <v>124</v>
      </c>
      <c r="R32">
        <v>125</v>
      </c>
      <c r="S32">
        <v>34036792.79279279</v>
      </c>
      <c r="T32">
        <v>33660205.40540541</v>
      </c>
      <c r="U32">
        <v>27622792.792792793</v>
      </c>
      <c r="V32">
        <v>25598108.108108107</v>
      </c>
      <c r="W32">
        <v>4405</v>
      </c>
      <c r="X32">
        <v>4651</v>
      </c>
    </row>
    <row r="33" spans="1:24">
      <c r="A33" s="7" t="s">
        <v>95</v>
      </c>
      <c r="B33" s="16" t="s">
        <v>96</v>
      </c>
      <c r="C33">
        <v>247971043.57042089</v>
      </c>
      <c r="D33">
        <v>244514981.20714611</v>
      </c>
      <c r="E33">
        <v>227927.927927927</v>
      </c>
      <c r="F33">
        <v>1640540.5405405411</v>
      </c>
      <c r="G33">
        <v>63</v>
      </c>
      <c r="H33">
        <v>56</v>
      </c>
      <c r="I33">
        <v>5</v>
      </c>
      <c r="J33">
        <v>6</v>
      </c>
      <c r="K33">
        <v>1</v>
      </c>
      <c r="M33">
        <v>71</v>
      </c>
      <c r="N33">
        <v>64</v>
      </c>
      <c r="O33">
        <v>32852522.52252252</v>
      </c>
      <c r="P33">
        <v>46210810.810810819</v>
      </c>
      <c r="Q33">
        <v>190</v>
      </c>
      <c r="R33">
        <v>96</v>
      </c>
      <c r="S33">
        <v>121591792.7927928</v>
      </c>
      <c r="T33">
        <v>122761594.5945946</v>
      </c>
      <c r="U33">
        <v>39873963.963963971</v>
      </c>
      <c r="V33">
        <v>44466846.846846849</v>
      </c>
      <c r="W33">
        <v>6190</v>
      </c>
      <c r="X33">
        <v>5860</v>
      </c>
    </row>
    <row r="34" spans="1:24">
      <c r="A34" s="7" t="s">
        <v>97</v>
      </c>
      <c r="B34" s="16" t="s">
        <v>98</v>
      </c>
      <c r="C34">
        <v>853561825.75340259</v>
      </c>
      <c r="D34">
        <v>845425248.980955</v>
      </c>
      <c r="E34">
        <v>129212702.7027027</v>
      </c>
      <c r="F34">
        <v>188298558.55855855</v>
      </c>
      <c r="G34">
        <v>396</v>
      </c>
      <c r="H34">
        <v>337</v>
      </c>
      <c r="I34">
        <v>34</v>
      </c>
      <c r="J34">
        <v>39</v>
      </c>
      <c r="M34">
        <v>462</v>
      </c>
      <c r="N34">
        <v>448</v>
      </c>
      <c r="O34">
        <v>151713063.06306309</v>
      </c>
      <c r="P34">
        <v>180023198.1981982</v>
      </c>
      <c r="Q34">
        <v>753</v>
      </c>
      <c r="R34">
        <v>985</v>
      </c>
      <c r="S34">
        <v>225484484.68468466</v>
      </c>
      <c r="T34">
        <v>220779156.3063063</v>
      </c>
      <c r="U34">
        <v>129505495.49549548</v>
      </c>
      <c r="V34">
        <v>109089729.72972973</v>
      </c>
      <c r="W34">
        <v>22608</v>
      </c>
      <c r="X34">
        <v>22203</v>
      </c>
    </row>
    <row r="35" spans="1:24">
      <c r="A35" s="7" t="s">
        <v>99</v>
      </c>
      <c r="B35" s="16" t="s">
        <v>98</v>
      </c>
      <c r="C35">
        <v>1413332317.4710376</v>
      </c>
      <c r="D35">
        <v>1367570115.9832783</v>
      </c>
      <c r="E35">
        <v>1024212.61261262</v>
      </c>
      <c r="F35">
        <v>5651659.459459465</v>
      </c>
      <c r="G35">
        <v>400</v>
      </c>
      <c r="H35">
        <v>410</v>
      </c>
      <c r="I35">
        <v>33</v>
      </c>
      <c r="J35">
        <v>39</v>
      </c>
      <c r="K35">
        <v>13</v>
      </c>
      <c r="M35">
        <v>512</v>
      </c>
      <c r="N35">
        <v>730</v>
      </c>
      <c r="O35">
        <v>81052567.567567572</v>
      </c>
      <c r="P35">
        <v>79341441.441441447</v>
      </c>
      <c r="Q35">
        <v>461</v>
      </c>
      <c r="R35">
        <v>434</v>
      </c>
      <c r="S35">
        <v>269816761.26126122</v>
      </c>
      <c r="T35">
        <v>264537734.68468466</v>
      </c>
      <c r="U35">
        <v>80396711.711711705</v>
      </c>
      <c r="V35">
        <v>75297207.207207203</v>
      </c>
      <c r="W35">
        <v>28325</v>
      </c>
      <c r="X35">
        <v>27674</v>
      </c>
    </row>
    <row r="36" spans="1:24">
      <c r="A36" s="7" t="s">
        <v>100</v>
      </c>
      <c r="B36" s="16" t="s">
        <v>98</v>
      </c>
      <c r="C36">
        <v>1894703947.5136807</v>
      </c>
      <c r="D36">
        <v>1706007311.588675</v>
      </c>
      <c r="E36">
        <v>7078108.1081081163</v>
      </c>
      <c r="F36">
        <v>13925225.225225233</v>
      </c>
      <c r="G36">
        <v>355</v>
      </c>
      <c r="H36">
        <v>369</v>
      </c>
      <c r="I36">
        <v>43</v>
      </c>
      <c r="J36">
        <v>72</v>
      </c>
      <c r="K36">
        <v>20</v>
      </c>
      <c r="M36">
        <v>553</v>
      </c>
      <c r="N36">
        <v>979</v>
      </c>
      <c r="O36">
        <v>891885810.8108108</v>
      </c>
      <c r="P36">
        <v>538292927.92792797</v>
      </c>
      <c r="Q36">
        <v>1128</v>
      </c>
      <c r="R36">
        <v>733</v>
      </c>
      <c r="S36">
        <v>808008998.1981982</v>
      </c>
      <c r="T36">
        <v>681978290.54054058</v>
      </c>
      <c r="U36">
        <v>614419187.38738739</v>
      </c>
      <c r="V36">
        <v>166380045.04504505</v>
      </c>
      <c r="W36">
        <v>33068</v>
      </c>
      <c r="X36">
        <v>33435</v>
      </c>
    </row>
    <row r="37" spans="1:24">
      <c r="A37" s="7" t="s">
        <v>101</v>
      </c>
      <c r="B37" s="16" t="s">
        <v>98</v>
      </c>
      <c r="C37">
        <v>813717291.96193671</v>
      </c>
      <c r="D37">
        <v>787245394.64865613</v>
      </c>
      <c r="E37">
        <v>1138513.513513515</v>
      </c>
      <c r="F37">
        <v>4254954.9549549539</v>
      </c>
      <c r="G37">
        <v>273</v>
      </c>
      <c r="H37">
        <v>228</v>
      </c>
      <c r="I37">
        <v>22</v>
      </c>
      <c r="J37">
        <v>29</v>
      </c>
      <c r="K37">
        <v>1</v>
      </c>
      <c r="M37">
        <v>352</v>
      </c>
      <c r="N37">
        <v>282</v>
      </c>
      <c r="O37">
        <v>45909549.549549542</v>
      </c>
      <c r="P37">
        <v>61643243.24324324</v>
      </c>
      <c r="Q37">
        <v>82</v>
      </c>
      <c r="R37">
        <v>314</v>
      </c>
      <c r="S37">
        <v>176619394.5945946</v>
      </c>
      <c r="T37">
        <v>174123756.75675678</v>
      </c>
      <c r="U37">
        <v>48733063.063063063</v>
      </c>
      <c r="V37">
        <v>57854414.414414413</v>
      </c>
      <c r="W37">
        <v>21137</v>
      </c>
      <c r="X37">
        <v>21192</v>
      </c>
    </row>
    <row r="38" spans="1:24">
      <c r="A38" s="7" t="s">
        <v>102</v>
      </c>
      <c r="B38" s="16" t="s">
        <v>98</v>
      </c>
      <c r="C38">
        <v>894428392.41449022</v>
      </c>
      <c r="D38">
        <v>891463172.85037518</v>
      </c>
      <c r="E38">
        <v>5601396.3963964004</v>
      </c>
      <c r="F38">
        <v>9196396.3963963967</v>
      </c>
      <c r="G38">
        <v>191</v>
      </c>
      <c r="H38">
        <v>203</v>
      </c>
      <c r="I38">
        <v>30</v>
      </c>
      <c r="J38">
        <v>28</v>
      </c>
      <c r="K38">
        <v>2</v>
      </c>
      <c r="M38">
        <v>325</v>
      </c>
      <c r="N38">
        <v>267</v>
      </c>
      <c r="O38">
        <v>127801351.35135137</v>
      </c>
      <c r="P38">
        <v>150341441.44144145</v>
      </c>
      <c r="Q38">
        <v>768</v>
      </c>
      <c r="R38">
        <v>297</v>
      </c>
      <c r="S38">
        <v>259714385.58558556</v>
      </c>
      <c r="T38">
        <v>261365788.2882883</v>
      </c>
      <c r="U38">
        <v>116413243.24324323</v>
      </c>
      <c r="V38">
        <v>173269729.72972974</v>
      </c>
      <c r="W38">
        <v>24765</v>
      </c>
      <c r="X38">
        <v>25183</v>
      </c>
    </row>
    <row r="39" spans="1:24">
      <c r="A39" s="7" t="s">
        <v>103</v>
      </c>
      <c r="B39" s="16" t="s">
        <v>98</v>
      </c>
      <c r="C39">
        <v>2316009573.2537746</v>
      </c>
      <c r="D39">
        <v>2292329863.9473681</v>
      </c>
      <c r="E39">
        <v>1248082204.5045047</v>
      </c>
      <c r="F39">
        <v>942917722.52252245</v>
      </c>
      <c r="G39">
        <v>726</v>
      </c>
      <c r="H39">
        <v>648</v>
      </c>
      <c r="I39">
        <v>67</v>
      </c>
      <c r="J39">
        <v>71</v>
      </c>
      <c r="K39">
        <v>24</v>
      </c>
      <c r="M39">
        <v>934</v>
      </c>
      <c r="N39">
        <v>1046</v>
      </c>
      <c r="O39">
        <v>510358108.1081081</v>
      </c>
      <c r="P39">
        <v>242866514.41441441</v>
      </c>
      <c r="Q39">
        <v>1672</v>
      </c>
      <c r="R39">
        <v>817</v>
      </c>
      <c r="S39">
        <v>476112367.56756753</v>
      </c>
      <c r="T39">
        <v>490302358.55855858</v>
      </c>
      <c r="U39">
        <v>233246800</v>
      </c>
      <c r="V39">
        <v>218981081.08108109</v>
      </c>
      <c r="W39">
        <v>55163</v>
      </c>
      <c r="X39">
        <v>54954</v>
      </c>
    </row>
    <row r="40" spans="1:24">
      <c r="A40" s="7" t="s">
        <v>104</v>
      </c>
      <c r="B40" s="16" t="s">
        <v>105</v>
      </c>
      <c r="C40">
        <v>178711164.5143939</v>
      </c>
      <c r="D40">
        <v>159026126.20533577</v>
      </c>
      <c r="E40">
        <v>372072.07207207201</v>
      </c>
      <c r="F40">
        <v>1254954.9549549541</v>
      </c>
      <c r="G40">
        <v>49</v>
      </c>
      <c r="H40">
        <v>33</v>
      </c>
      <c r="I40">
        <v>1</v>
      </c>
      <c r="J40">
        <v>0</v>
      </c>
      <c r="M40">
        <v>52</v>
      </c>
      <c r="N40">
        <v>37</v>
      </c>
      <c r="O40">
        <v>1214414.414414414</v>
      </c>
      <c r="P40">
        <v>1705405.405405405</v>
      </c>
      <c r="Q40">
        <v>1</v>
      </c>
      <c r="R40">
        <v>50</v>
      </c>
      <c r="S40">
        <v>34756936.936936937</v>
      </c>
      <c r="T40">
        <v>34787819.819819823</v>
      </c>
      <c r="U40">
        <v>1254414.414414414</v>
      </c>
      <c r="V40">
        <v>1101261.2612612611</v>
      </c>
      <c r="W40">
        <v>2572</v>
      </c>
      <c r="X40">
        <v>2476</v>
      </c>
    </row>
    <row r="41" spans="1:24">
      <c r="A41" s="7" t="s">
        <v>106</v>
      </c>
      <c r="B41" s="16" t="s">
        <v>54</v>
      </c>
      <c r="C41">
        <v>57440019.089128777</v>
      </c>
      <c r="D41">
        <v>54523174.9062507</v>
      </c>
      <c r="E41">
        <v>142342.34234234301</v>
      </c>
      <c r="F41">
        <v>48648.648648649003</v>
      </c>
      <c r="G41">
        <v>47</v>
      </c>
      <c r="H41">
        <v>30</v>
      </c>
      <c r="I41">
        <v>0</v>
      </c>
      <c r="J41">
        <v>0</v>
      </c>
      <c r="M41">
        <v>66</v>
      </c>
      <c r="N41">
        <v>36</v>
      </c>
      <c r="O41">
        <v>3138288.2882882901</v>
      </c>
      <c r="P41">
        <v>1791171.1711711721</v>
      </c>
      <c r="Q41">
        <v>39</v>
      </c>
      <c r="R41">
        <v>22</v>
      </c>
      <c r="S41">
        <v>15789864.864864863</v>
      </c>
      <c r="T41">
        <v>14189621.621621622</v>
      </c>
      <c r="U41">
        <v>3176216.2162162159</v>
      </c>
      <c r="V41">
        <v>1812162.1621621619</v>
      </c>
      <c r="W41">
        <v>1365</v>
      </c>
      <c r="X41">
        <v>1415</v>
      </c>
    </row>
    <row r="42" spans="1:24">
      <c r="A42" s="7" t="s">
        <v>107</v>
      </c>
      <c r="B42" s="16" t="s">
        <v>108</v>
      </c>
      <c r="C42">
        <v>475510811.34491676</v>
      </c>
      <c r="D42">
        <v>441468120.65730649</v>
      </c>
      <c r="E42">
        <v>815093873.87387395</v>
      </c>
      <c r="F42">
        <v>90552252.252252251</v>
      </c>
      <c r="G42">
        <v>135</v>
      </c>
      <c r="H42">
        <v>120</v>
      </c>
      <c r="I42">
        <v>12</v>
      </c>
      <c r="J42">
        <v>14</v>
      </c>
      <c r="M42">
        <v>155</v>
      </c>
      <c r="N42">
        <v>154</v>
      </c>
      <c r="O42">
        <v>108622252.25225225</v>
      </c>
      <c r="P42">
        <v>72204684.684684694</v>
      </c>
      <c r="Q42">
        <v>435</v>
      </c>
      <c r="R42">
        <v>685</v>
      </c>
      <c r="S42">
        <v>97396167.567567572</v>
      </c>
      <c r="T42">
        <v>98736405.405405402</v>
      </c>
      <c r="U42">
        <v>71458018.018018022</v>
      </c>
      <c r="V42">
        <v>56205225.225225225</v>
      </c>
      <c r="W42">
        <v>10767</v>
      </c>
      <c r="X42">
        <v>9580</v>
      </c>
    </row>
    <row r="43" spans="1:24">
      <c r="A43" s="7" t="s">
        <v>109</v>
      </c>
      <c r="B43" s="16" t="s">
        <v>108</v>
      </c>
      <c r="C43">
        <v>639841884.19426942</v>
      </c>
      <c r="D43">
        <v>627771061.08503973</v>
      </c>
      <c r="E43">
        <v>5692342.342342346</v>
      </c>
      <c r="F43">
        <v>6146923.4234234281</v>
      </c>
      <c r="G43">
        <v>155</v>
      </c>
      <c r="H43">
        <v>206</v>
      </c>
      <c r="I43">
        <v>15</v>
      </c>
      <c r="J43">
        <v>24</v>
      </c>
      <c r="K43">
        <v>1</v>
      </c>
      <c r="M43">
        <v>338</v>
      </c>
      <c r="N43">
        <v>318</v>
      </c>
      <c r="O43">
        <v>342280180.18018013</v>
      </c>
      <c r="P43">
        <v>46685485.585585587</v>
      </c>
      <c r="Q43">
        <v>552</v>
      </c>
      <c r="R43">
        <v>324</v>
      </c>
      <c r="S43">
        <v>161927049.54954955</v>
      </c>
      <c r="T43">
        <v>180325414.41441441</v>
      </c>
      <c r="U43">
        <v>230962072.07207206</v>
      </c>
      <c r="V43">
        <v>167064864.86486486</v>
      </c>
      <c r="W43">
        <v>14047</v>
      </c>
      <c r="X43">
        <v>13896</v>
      </c>
    </row>
    <row r="44" spans="1:24">
      <c r="A44" s="7" t="s">
        <v>110</v>
      </c>
      <c r="B44" s="16" t="s">
        <v>111</v>
      </c>
      <c r="C44">
        <v>766968561.8740356</v>
      </c>
      <c r="D44">
        <v>716740000.8176657</v>
      </c>
      <c r="E44">
        <v>4969009.0090090092</v>
      </c>
      <c r="F44">
        <v>8709909.9099099133</v>
      </c>
      <c r="G44">
        <v>147</v>
      </c>
      <c r="H44">
        <v>229</v>
      </c>
      <c r="I44">
        <v>26</v>
      </c>
      <c r="J44">
        <v>37</v>
      </c>
      <c r="K44">
        <v>1</v>
      </c>
      <c r="M44">
        <v>201</v>
      </c>
      <c r="N44">
        <v>542</v>
      </c>
      <c r="O44">
        <v>60280720.720720723</v>
      </c>
      <c r="P44">
        <v>68741645.945945948</v>
      </c>
      <c r="Q44">
        <v>469</v>
      </c>
      <c r="R44">
        <v>1321</v>
      </c>
      <c r="S44">
        <v>247468486.48648649</v>
      </c>
      <c r="T44">
        <v>251224846.84684685</v>
      </c>
      <c r="U44">
        <v>59798918.918918923</v>
      </c>
      <c r="V44">
        <v>63957971.171171166</v>
      </c>
      <c r="W44">
        <v>19827</v>
      </c>
      <c r="X44">
        <v>19374</v>
      </c>
    </row>
    <row r="45" spans="1:24">
      <c r="A45" s="7" t="s">
        <v>112</v>
      </c>
      <c r="B45" s="16" t="s">
        <v>111</v>
      </c>
      <c r="C45">
        <v>952290279.11593294</v>
      </c>
      <c r="D45">
        <v>930973362.92053056</v>
      </c>
      <c r="E45">
        <v>746055315.31531537</v>
      </c>
      <c r="F45">
        <v>94017027.027027041</v>
      </c>
      <c r="G45">
        <v>186</v>
      </c>
      <c r="H45">
        <v>359</v>
      </c>
      <c r="I45">
        <v>19</v>
      </c>
      <c r="J45">
        <v>51</v>
      </c>
      <c r="K45">
        <v>8</v>
      </c>
      <c r="M45">
        <v>318</v>
      </c>
      <c r="N45">
        <v>631</v>
      </c>
      <c r="O45">
        <v>77846711.711711705</v>
      </c>
      <c r="P45">
        <v>72925327.927927926</v>
      </c>
      <c r="Q45">
        <v>1133</v>
      </c>
      <c r="R45">
        <v>1963</v>
      </c>
      <c r="S45">
        <v>331599153.15315318</v>
      </c>
      <c r="T45">
        <v>347180148.64864862</v>
      </c>
      <c r="U45">
        <v>72856576.576576576</v>
      </c>
      <c r="V45">
        <v>74456036.036036029</v>
      </c>
      <c r="W45">
        <v>27421</v>
      </c>
      <c r="X45">
        <v>27211</v>
      </c>
    </row>
    <row r="46" spans="1:24">
      <c r="A46" s="7" t="s">
        <v>113</v>
      </c>
      <c r="B46" s="16" t="s">
        <v>111</v>
      </c>
      <c r="C46">
        <v>1303425342.6202109</v>
      </c>
      <c r="D46">
        <v>1064350249.3452427</v>
      </c>
      <c r="E46">
        <v>13283693.693693697</v>
      </c>
      <c r="F46">
        <v>7208783.7837837897</v>
      </c>
      <c r="G46">
        <v>257</v>
      </c>
      <c r="H46">
        <v>324</v>
      </c>
      <c r="I46">
        <v>31</v>
      </c>
      <c r="J46">
        <v>45</v>
      </c>
      <c r="K46">
        <v>7</v>
      </c>
      <c r="M46">
        <v>348</v>
      </c>
      <c r="N46">
        <v>582</v>
      </c>
      <c r="O46">
        <v>503351081.08108109</v>
      </c>
      <c r="P46">
        <v>489466862.16216218</v>
      </c>
      <c r="Q46">
        <v>651</v>
      </c>
      <c r="R46">
        <v>1392</v>
      </c>
      <c r="S46">
        <v>1179439180.1801803</v>
      </c>
      <c r="T46">
        <v>636429646.84684682</v>
      </c>
      <c r="U46">
        <v>52603243.24324324</v>
      </c>
      <c r="V46">
        <v>38533333.333333328</v>
      </c>
      <c r="W46">
        <v>14285</v>
      </c>
      <c r="X46">
        <v>13556</v>
      </c>
    </row>
    <row r="47" spans="1:24">
      <c r="A47" s="7" t="s">
        <v>114</v>
      </c>
      <c r="B47" s="16" t="s">
        <v>111</v>
      </c>
      <c r="C47">
        <v>743204922.93032575</v>
      </c>
      <c r="D47">
        <v>743453569.69203472</v>
      </c>
      <c r="E47">
        <v>5502702.7027027067</v>
      </c>
      <c r="F47">
        <v>8978153.1531531643</v>
      </c>
      <c r="G47">
        <v>1045</v>
      </c>
      <c r="H47">
        <v>417</v>
      </c>
      <c r="I47">
        <v>26</v>
      </c>
      <c r="J47">
        <v>61</v>
      </c>
      <c r="K47">
        <v>26</v>
      </c>
      <c r="M47">
        <v>2960</v>
      </c>
      <c r="N47">
        <v>933</v>
      </c>
      <c r="O47">
        <v>68336486.486486495</v>
      </c>
      <c r="P47">
        <v>75391891.891891897</v>
      </c>
      <c r="Q47">
        <v>540</v>
      </c>
      <c r="R47">
        <v>649</v>
      </c>
      <c r="S47">
        <v>238866540.54054055</v>
      </c>
      <c r="T47">
        <v>220254018.01801801</v>
      </c>
      <c r="U47">
        <v>68592072.072072059</v>
      </c>
      <c r="V47">
        <v>68771981.981981978</v>
      </c>
      <c r="W47">
        <v>21709</v>
      </c>
      <c r="X47">
        <v>19460</v>
      </c>
    </row>
    <row r="48" spans="1:24">
      <c r="A48" s="7" t="s">
        <v>115</v>
      </c>
      <c r="B48" s="16" t="s">
        <v>111</v>
      </c>
      <c r="C48">
        <v>1048521847.9858593</v>
      </c>
      <c r="D48">
        <v>909632072.86095679</v>
      </c>
      <c r="E48">
        <v>1128569304.5045047</v>
      </c>
      <c r="F48">
        <v>1678767399.0990992</v>
      </c>
      <c r="G48">
        <v>439</v>
      </c>
      <c r="H48">
        <v>393</v>
      </c>
      <c r="I48">
        <v>51</v>
      </c>
      <c r="J48">
        <v>79</v>
      </c>
      <c r="K48">
        <v>1</v>
      </c>
      <c r="M48">
        <v>496</v>
      </c>
      <c r="N48">
        <v>652</v>
      </c>
      <c r="O48">
        <v>695251337.83783782</v>
      </c>
      <c r="P48">
        <v>738522981.98198199</v>
      </c>
      <c r="Q48">
        <v>656</v>
      </c>
      <c r="R48">
        <v>8030</v>
      </c>
      <c r="S48">
        <v>354406819.81981987</v>
      </c>
      <c r="T48">
        <v>272014304.95495492</v>
      </c>
      <c r="U48">
        <v>159763963.96396396</v>
      </c>
      <c r="V48">
        <v>154446482.88288289</v>
      </c>
      <c r="W48">
        <v>25132</v>
      </c>
      <c r="X48">
        <v>23441</v>
      </c>
    </row>
    <row r="49" spans="1:24">
      <c r="A49" s="7" t="s">
        <v>116</v>
      </c>
      <c r="B49" s="16" t="s">
        <v>54</v>
      </c>
      <c r="C49">
        <v>51834859.148796633</v>
      </c>
      <c r="D49">
        <v>50477555.169986635</v>
      </c>
      <c r="E49">
        <v>820045.04504504497</v>
      </c>
      <c r="F49">
        <v>1134909.9099099089</v>
      </c>
      <c r="G49">
        <v>6</v>
      </c>
      <c r="H49">
        <v>10</v>
      </c>
      <c r="I49">
        <v>2</v>
      </c>
      <c r="J49">
        <v>3</v>
      </c>
      <c r="M49">
        <v>7</v>
      </c>
      <c r="N49">
        <v>12</v>
      </c>
      <c r="O49">
        <v>5357657.6576576577</v>
      </c>
      <c r="P49">
        <v>4554504.5045045037</v>
      </c>
      <c r="Q49">
        <v>31</v>
      </c>
      <c r="R49">
        <v>17</v>
      </c>
      <c r="S49">
        <v>11886972.972972972</v>
      </c>
      <c r="T49">
        <v>12597270.270270271</v>
      </c>
      <c r="U49">
        <v>4575585.5855855849</v>
      </c>
      <c r="V49">
        <v>4220810.81081081</v>
      </c>
      <c r="W49">
        <v>1007</v>
      </c>
      <c r="X49">
        <v>1085</v>
      </c>
    </row>
    <row r="50" spans="1:24">
      <c r="A50" s="7" t="s">
        <v>676</v>
      </c>
      <c r="B50" s="16" t="s">
        <v>117</v>
      </c>
      <c r="E50">
        <v>16328828.828828828</v>
      </c>
      <c r="F50">
        <v>4617117.1171171172</v>
      </c>
      <c r="O50">
        <v>6386261.2612612611</v>
      </c>
      <c r="P50">
        <v>2513963.963963964</v>
      </c>
    </row>
    <row r="51" spans="1:24">
      <c r="A51" s="7" t="s">
        <v>118</v>
      </c>
      <c r="B51" s="16" t="s">
        <v>78</v>
      </c>
      <c r="C51">
        <v>453919617.31074637</v>
      </c>
      <c r="D51">
        <v>427316718.37574953</v>
      </c>
      <c r="E51">
        <v>454098690.990991</v>
      </c>
      <c r="F51">
        <v>271777409.009009</v>
      </c>
      <c r="G51">
        <v>172</v>
      </c>
      <c r="H51">
        <v>146</v>
      </c>
      <c r="I51">
        <v>17</v>
      </c>
      <c r="J51">
        <v>26</v>
      </c>
      <c r="K51">
        <v>2</v>
      </c>
      <c r="M51">
        <v>208</v>
      </c>
      <c r="N51">
        <v>204</v>
      </c>
      <c r="O51">
        <v>71412342.342342347</v>
      </c>
      <c r="P51">
        <v>93254504.504504517</v>
      </c>
      <c r="Q51">
        <v>363</v>
      </c>
      <c r="R51">
        <v>1911</v>
      </c>
      <c r="S51">
        <v>172013763.96396396</v>
      </c>
      <c r="T51">
        <v>172362261.7117117</v>
      </c>
      <c r="U51">
        <v>72097250.45045045</v>
      </c>
      <c r="V51">
        <v>92457747.747747749</v>
      </c>
      <c r="W51">
        <v>11681</v>
      </c>
      <c r="X51">
        <v>11335</v>
      </c>
    </row>
    <row r="52" spans="1:24">
      <c r="A52" s="7" t="s">
        <v>119</v>
      </c>
      <c r="B52" s="16" t="s">
        <v>50</v>
      </c>
      <c r="C52">
        <v>143048658.89383799</v>
      </c>
      <c r="D52">
        <v>135533159.38597581</v>
      </c>
      <c r="E52">
        <v>426351.35135135299</v>
      </c>
      <c r="F52">
        <v>4102702.7027027039</v>
      </c>
      <c r="G52">
        <v>82</v>
      </c>
      <c r="H52">
        <v>43</v>
      </c>
      <c r="I52">
        <v>12</v>
      </c>
      <c r="J52">
        <v>10</v>
      </c>
      <c r="M52">
        <v>83</v>
      </c>
      <c r="N52">
        <v>47</v>
      </c>
      <c r="O52">
        <v>89813423.423423424</v>
      </c>
      <c r="P52">
        <v>72254234.234234244</v>
      </c>
      <c r="Q52">
        <v>250</v>
      </c>
      <c r="R52">
        <v>310</v>
      </c>
      <c r="S52">
        <v>50583513.513513513</v>
      </c>
      <c r="T52">
        <v>49481090.090090089</v>
      </c>
      <c r="U52">
        <v>89248738.738738731</v>
      </c>
      <c r="V52">
        <v>67931261.261261269</v>
      </c>
      <c r="W52">
        <v>2451</v>
      </c>
      <c r="X52">
        <v>2518</v>
      </c>
    </row>
    <row r="53" spans="1:24">
      <c r="A53" s="7" t="s">
        <v>120</v>
      </c>
      <c r="B53" s="16" t="s">
        <v>121</v>
      </c>
      <c r="C53">
        <v>506527084.51710808</v>
      </c>
      <c r="D53">
        <v>458918665.75802821</v>
      </c>
      <c r="E53">
        <v>1393918.9189189191</v>
      </c>
      <c r="F53">
        <v>3333558.5585585618</v>
      </c>
      <c r="G53">
        <v>207</v>
      </c>
      <c r="H53">
        <v>174</v>
      </c>
      <c r="I53">
        <v>13</v>
      </c>
      <c r="J53">
        <v>14</v>
      </c>
      <c r="K53">
        <v>9</v>
      </c>
      <c r="M53">
        <v>227</v>
      </c>
      <c r="N53">
        <v>195</v>
      </c>
      <c r="O53">
        <v>19332432.432432432</v>
      </c>
      <c r="P53">
        <v>19314414.414414417</v>
      </c>
      <c r="Q53">
        <v>119</v>
      </c>
      <c r="R53">
        <v>81</v>
      </c>
      <c r="S53">
        <v>35737891.891891889</v>
      </c>
      <c r="T53">
        <v>38589144.144144148</v>
      </c>
      <c r="U53">
        <v>18932522.52252252</v>
      </c>
      <c r="V53">
        <v>16350360.36036036</v>
      </c>
      <c r="W53">
        <v>8238</v>
      </c>
      <c r="X53">
        <v>7823</v>
      </c>
    </row>
    <row r="54" spans="1:24">
      <c r="A54" s="7" t="s">
        <v>122</v>
      </c>
      <c r="B54" s="16" t="s">
        <v>123</v>
      </c>
      <c r="C54">
        <v>226429165.2394051</v>
      </c>
      <c r="D54">
        <v>241087621.21442512</v>
      </c>
      <c r="E54">
        <v>241809684.68468466</v>
      </c>
      <c r="F54">
        <v>157380675.67567569</v>
      </c>
      <c r="G54">
        <v>31</v>
      </c>
      <c r="H54">
        <v>34</v>
      </c>
      <c r="I54">
        <v>4</v>
      </c>
      <c r="J54">
        <v>3</v>
      </c>
      <c r="M54">
        <v>37</v>
      </c>
      <c r="N54">
        <v>48</v>
      </c>
      <c r="O54">
        <v>57897252.252252258</v>
      </c>
      <c r="P54">
        <v>43413828.828828834</v>
      </c>
      <c r="Q54">
        <v>93</v>
      </c>
      <c r="R54">
        <v>52</v>
      </c>
      <c r="S54">
        <v>103181618.01801802</v>
      </c>
      <c r="T54">
        <v>109028180.18018018</v>
      </c>
      <c r="U54">
        <v>50033963.963963971</v>
      </c>
      <c r="V54">
        <v>43395045.045045048</v>
      </c>
      <c r="W54">
        <v>4472</v>
      </c>
      <c r="X54">
        <v>4846</v>
      </c>
    </row>
    <row r="55" spans="1:24">
      <c r="A55" s="7" t="s">
        <v>124</v>
      </c>
      <c r="B55" s="16" t="s">
        <v>125</v>
      </c>
      <c r="C55">
        <v>339472384.3881228</v>
      </c>
      <c r="D55">
        <v>317903092.29227006</v>
      </c>
      <c r="E55">
        <v>909774.77477477398</v>
      </c>
      <c r="F55">
        <v>3590540.5405405462</v>
      </c>
      <c r="G55">
        <v>61</v>
      </c>
      <c r="H55">
        <v>65</v>
      </c>
      <c r="I55">
        <v>9</v>
      </c>
      <c r="J55">
        <v>8</v>
      </c>
      <c r="M55">
        <v>68</v>
      </c>
      <c r="N55">
        <v>125</v>
      </c>
      <c r="O55">
        <v>77907207.207207218</v>
      </c>
      <c r="P55">
        <v>95311261.261261269</v>
      </c>
      <c r="Q55">
        <v>116</v>
      </c>
      <c r="R55">
        <v>258</v>
      </c>
      <c r="S55">
        <v>99902781.981981978</v>
      </c>
      <c r="T55">
        <v>99736918.018018022</v>
      </c>
      <c r="U55">
        <v>83152522.522522524</v>
      </c>
      <c r="V55">
        <v>106827971.17117117</v>
      </c>
      <c r="W55">
        <v>6527</v>
      </c>
      <c r="X55">
        <v>6372</v>
      </c>
    </row>
    <row r="56" spans="1:24">
      <c r="A56" s="7" t="s">
        <v>126</v>
      </c>
      <c r="B56" s="16" t="s">
        <v>78</v>
      </c>
      <c r="C56">
        <v>216726250.16603303</v>
      </c>
      <c r="D56">
        <v>206803221.21649519</v>
      </c>
      <c r="E56">
        <v>2699729.7297297311</v>
      </c>
      <c r="F56">
        <v>4382882.8828828866</v>
      </c>
      <c r="G56">
        <v>49</v>
      </c>
      <c r="H56">
        <v>60</v>
      </c>
      <c r="I56">
        <v>7</v>
      </c>
      <c r="J56">
        <v>7</v>
      </c>
      <c r="M56">
        <v>52</v>
      </c>
      <c r="N56">
        <v>80</v>
      </c>
      <c r="O56">
        <v>40924954.954954952</v>
      </c>
      <c r="P56">
        <v>35747747.747747749</v>
      </c>
      <c r="Q56">
        <v>135</v>
      </c>
      <c r="R56">
        <v>122</v>
      </c>
      <c r="S56">
        <v>86144063.063063055</v>
      </c>
      <c r="T56">
        <v>85170738.738738731</v>
      </c>
      <c r="U56">
        <v>41108468.468468472</v>
      </c>
      <c r="V56">
        <v>35060900.9009009</v>
      </c>
      <c r="W56">
        <v>5095</v>
      </c>
      <c r="X56">
        <v>4977</v>
      </c>
    </row>
    <row r="57" spans="1:24">
      <c r="A57" s="7" t="s">
        <v>127</v>
      </c>
      <c r="B57" s="16" t="s">
        <v>78</v>
      </c>
      <c r="C57">
        <v>39190045.35433425</v>
      </c>
      <c r="D57">
        <v>34435810.293802127</v>
      </c>
      <c r="E57">
        <v>16666.666666667999</v>
      </c>
      <c r="F57">
        <v>708108.108108107</v>
      </c>
      <c r="G57">
        <v>15</v>
      </c>
      <c r="H57">
        <v>14</v>
      </c>
      <c r="I57">
        <v>4</v>
      </c>
      <c r="J57">
        <v>8</v>
      </c>
      <c r="K57">
        <v>1</v>
      </c>
      <c r="M57">
        <v>16</v>
      </c>
      <c r="N57">
        <v>18</v>
      </c>
      <c r="O57">
        <v>7827477.4774774769</v>
      </c>
      <c r="P57">
        <v>12014414.414414413</v>
      </c>
      <c r="Q57">
        <v>18</v>
      </c>
      <c r="R57">
        <v>32</v>
      </c>
      <c r="S57">
        <v>21275810.810810808</v>
      </c>
      <c r="T57">
        <v>20057972.97297297</v>
      </c>
      <c r="U57">
        <v>9425855.8558558561</v>
      </c>
      <c r="V57">
        <v>12939459.459459458</v>
      </c>
      <c r="W57">
        <v>1195</v>
      </c>
      <c r="X57">
        <v>1163</v>
      </c>
    </row>
    <row r="58" spans="1:24">
      <c r="A58" s="7" t="s">
        <v>128</v>
      </c>
      <c r="B58" s="16" t="s">
        <v>78</v>
      </c>
      <c r="C58">
        <v>209667809.47300345</v>
      </c>
      <c r="D58">
        <v>198645603.30185175</v>
      </c>
      <c r="E58">
        <v>1219144.1441441451</v>
      </c>
      <c r="F58">
        <v>2412612.6126126149</v>
      </c>
      <c r="G58">
        <v>91</v>
      </c>
      <c r="H58">
        <v>141</v>
      </c>
      <c r="I58">
        <v>8</v>
      </c>
      <c r="J58">
        <v>11</v>
      </c>
      <c r="K58">
        <v>2</v>
      </c>
      <c r="M58">
        <v>104</v>
      </c>
      <c r="N58">
        <v>187</v>
      </c>
      <c r="O58">
        <v>24473873.873873871</v>
      </c>
      <c r="P58">
        <v>24664864.864864863</v>
      </c>
      <c r="Q58">
        <v>88</v>
      </c>
      <c r="R58">
        <v>113</v>
      </c>
      <c r="S58">
        <v>81055099.0990991</v>
      </c>
      <c r="T58">
        <v>77893619.819819823</v>
      </c>
      <c r="U58">
        <v>23234054.054054055</v>
      </c>
      <c r="V58">
        <v>26353513.513513513</v>
      </c>
      <c r="W58">
        <v>5773</v>
      </c>
      <c r="X58">
        <v>6009</v>
      </c>
    </row>
    <row r="59" spans="1:24">
      <c r="A59" s="7" t="s">
        <v>129</v>
      </c>
      <c r="B59" s="16" t="s">
        <v>85</v>
      </c>
      <c r="C59">
        <v>64172764.437517188</v>
      </c>
      <c r="D59">
        <v>58379704.104266845</v>
      </c>
      <c r="E59">
        <v>52252.252252252001</v>
      </c>
      <c r="F59">
        <v>169369.36936937101</v>
      </c>
      <c r="G59">
        <v>23</v>
      </c>
      <c r="H59">
        <v>12</v>
      </c>
      <c r="I59">
        <v>4</v>
      </c>
      <c r="J59">
        <v>2</v>
      </c>
      <c r="M59">
        <v>24</v>
      </c>
      <c r="N59">
        <v>14</v>
      </c>
      <c r="O59">
        <v>44376576.576576576</v>
      </c>
      <c r="P59">
        <v>77624954.954954967</v>
      </c>
      <c r="Q59">
        <v>70</v>
      </c>
      <c r="R59">
        <v>48</v>
      </c>
      <c r="S59">
        <v>27563558.558558561</v>
      </c>
      <c r="T59">
        <v>27925027.02702703</v>
      </c>
      <c r="U59">
        <v>25074864.864864863</v>
      </c>
      <c r="V59">
        <v>65871351.351351351</v>
      </c>
      <c r="W59">
        <v>1181</v>
      </c>
      <c r="X59">
        <v>1256</v>
      </c>
    </row>
    <row r="60" spans="1:24">
      <c r="A60" s="7" t="s">
        <v>130</v>
      </c>
      <c r="B60" s="16" t="s">
        <v>89</v>
      </c>
      <c r="C60">
        <v>550892991.77721286</v>
      </c>
      <c r="D60">
        <v>542527774.57799768</v>
      </c>
      <c r="E60">
        <v>2163288.2882882911</v>
      </c>
      <c r="F60">
        <v>4296846.8468468534</v>
      </c>
      <c r="G60">
        <v>71</v>
      </c>
      <c r="H60">
        <v>70</v>
      </c>
      <c r="I60">
        <v>10</v>
      </c>
      <c r="J60">
        <v>39</v>
      </c>
      <c r="M60">
        <v>80</v>
      </c>
      <c r="N60">
        <v>99</v>
      </c>
      <c r="O60">
        <v>31596396.396396391</v>
      </c>
      <c r="P60">
        <v>37026216.216216221</v>
      </c>
      <c r="Q60">
        <v>254</v>
      </c>
      <c r="R60">
        <v>409</v>
      </c>
      <c r="S60">
        <v>164727962.16216218</v>
      </c>
      <c r="T60">
        <v>171700944.14414415</v>
      </c>
      <c r="U60">
        <v>31926890.090090089</v>
      </c>
      <c r="V60">
        <v>35287160.360360354</v>
      </c>
      <c r="W60">
        <v>10613</v>
      </c>
      <c r="X60">
        <v>10629</v>
      </c>
    </row>
    <row r="61" spans="1:24">
      <c r="A61" s="7" t="s">
        <v>131</v>
      </c>
      <c r="B61" s="16" t="s">
        <v>132</v>
      </c>
      <c r="C61">
        <v>330274144.41420364</v>
      </c>
      <c r="D61">
        <v>297448686.94598848</v>
      </c>
      <c r="E61">
        <v>6948648.6486486504</v>
      </c>
      <c r="F61">
        <v>21322522.522522524</v>
      </c>
      <c r="G61">
        <v>138</v>
      </c>
      <c r="H61">
        <v>175</v>
      </c>
      <c r="I61">
        <v>5</v>
      </c>
      <c r="J61">
        <v>7</v>
      </c>
      <c r="K61">
        <v>1</v>
      </c>
      <c r="M61">
        <v>147</v>
      </c>
      <c r="N61">
        <v>189</v>
      </c>
      <c r="O61">
        <v>27136036.036036037</v>
      </c>
      <c r="P61">
        <v>35177927.927927926</v>
      </c>
      <c r="Q61">
        <v>27</v>
      </c>
      <c r="R61">
        <v>54</v>
      </c>
      <c r="S61">
        <v>101839576.57657658</v>
      </c>
      <c r="T61">
        <v>93937529.279279277</v>
      </c>
      <c r="U61">
        <v>20897207.207207207</v>
      </c>
      <c r="V61">
        <v>30136216.216216218</v>
      </c>
      <c r="W61">
        <v>7287</v>
      </c>
      <c r="X61">
        <v>7299</v>
      </c>
    </row>
    <row r="62" spans="1:24">
      <c r="A62" s="7" t="s">
        <v>133</v>
      </c>
      <c r="B62" s="16" t="s">
        <v>134</v>
      </c>
      <c r="C62">
        <v>51677237.993077211</v>
      </c>
      <c r="D62">
        <v>31750730.180678777</v>
      </c>
      <c r="G62">
        <v>16</v>
      </c>
      <c r="H62">
        <v>2</v>
      </c>
      <c r="M62">
        <v>18</v>
      </c>
      <c r="N62">
        <v>2</v>
      </c>
      <c r="S62">
        <v>6345621.6216216208</v>
      </c>
      <c r="T62">
        <v>5622917.1171171172</v>
      </c>
      <c r="W62">
        <v>2219</v>
      </c>
      <c r="X62">
        <v>2148</v>
      </c>
    </row>
    <row r="63" spans="1:24">
      <c r="A63" s="7" t="s">
        <v>135</v>
      </c>
      <c r="B63" s="16" t="s">
        <v>136</v>
      </c>
      <c r="C63">
        <v>270528106.42145377</v>
      </c>
      <c r="D63">
        <v>247241355.89359358</v>
      </c>
      <c r="E63">
        <v>40170270.270270273</v>
      </c>
      <c r="F63">
        <v>13673873.873873876</v>
      </c>
      <c r="G63">
        <v>90</v>
      </c>
      <c r="H63">
        <v>63</v>
      </c>
      <c r="I63">
        <v>5</v>
      </c>
      <c r="J63">
        <v>4</v>
      </c>
      <c r="M63">
        <v>98</v>
      </c>
      <c r="N63">
        <v>74</v>
      </c>
      <c r="O63">
        <v>27574954.954954956</v>
      </c>
      <c r="P63">
        <v>20525225.225225225</v>
      </c>
      <c r="Q63">
        <v>23</v>
      </c>
      <c r="S63">
        <v>46019360.360360362</v>
      </c>
      <c r="T63">
        <v>38630063.063063063</v>
      </c>
      <c r="U63">
        <v>25159729.729729727</v>
      </c>
      <c r="V63">
        <v>18162162.162162159</v>
      </c>
      <c r="W63">
        <v>3515</v>
      </c>
      <c r="X63">
        <v>3522</v>
      </c>
    </row>
    <row r="64" spans="1:24">
      <c r="A64" s="7" t="s">
        <v>137</v>
      </c>
      <c r="B64" s="16" t="s">
        <v>89</v>
      </c>
      <c r="C64">
        <v>278523923.31399876</v>
      </c>
      <c r="D64">
        <v>266669568.25508931</v>
      </c>
      <c r="E64">
        <v>323648.648648653</v>
      </c>
      <c r="F64">
        <v>3068243.243243251</v>
      </c>
      <c r="G64">
        <v>36</v>
      </c>
      <c r="H64">
        <v>51</v>
      </c>
      <c r="I64">
        <v>17</v>
      </c>
      <c r="J64">
        <v>30</v>
      </c>
      <c r="K64">
        <v>4</v>
      </c>
      <c r="M64">
        <v>90</v>
      </c>
      <c r="N64">
        <v>222</v>
      </c>
      <c r="O64">
        <v>36582252.252252251</v>
      </c>
      <c r="P64">
        <v>43112882.882882878</v>
      </c>
      <c r="Q64">
        <v>283</v>
      </c>
      <c r="R64">
        <v>288</v>
      </c>
      <c r="S64">
        <v>96983333.333333328</v>
      </c>
      <c r="T64">
        <v>96351718.918918908</v>
      </c>
      <c r="U64">
        <v>37503873.873873875</v>
      </c>
      <c r="V64">
        <v>32335315.315315321</v>
      </c>
      <c r="W64">
        <v>4790</v>
      </c>
      <c r="X64">
        <v>4887</v>
      </c>
    </row>
    <row r="65" spans="1:24">
      <c r="A65" s="7" t="s">
        <v>138</v>
      </c>
      <c r="B65" s="16" t="s">
        <v>78</v>
      </c>
      <c r="C65">
        <v>202417237.2198984</v>
      </c>
      <c r="D65">
        <v>193212520.54479256</v>
      </c>
      <c r="E65">
        <v>3090720.7207207209</v>
      </c>
      <c r="F65">
        <v>5340540.5405405443</v>
      </c>
      <c r="G65">
        <v>87</v>
      </c>
      <c r="H65">
        <v>78</v>
      </c>
      <c r="I65">
        <v>7</v>
      </c>
      <c r="J65">
        <v>16</v>
      </c>
      <c r="K65">
        <v>5</v>
      </c>
      <c r="M65">
        <v>99</v>
      </c>
      <c r="N65">
        <v>102</v>
      </c>
      <c r="O65">
        <v>26532162.162162159</v>
      </c>
      <c r="P65">
        <v>25124324.324324325</v>
      </c>
      <c r="Q65">
        <v>51</v>
      </c>
      <c r="R65">
        <v>97</v>
      </c>
      <c r="S65">
        <v>84857837.837837845</v>
      </c>
      <c r="T65">
        <v>84509695.945945948</v>
      </c>
      <c r="U65">
        <v>23419549.549549554</v>
      </c>
      <c r="V65">
        <v>25050360.360360362</v>
      </c>
      <c r="W65">
        <v>5218</v>
      </c>
      <c r="X65">
        <v>5229</v>
      </c>
    </row>
    <row r="66" spans="1:24">
      <c r="A66" s="7" t="s">
        <v>139</v>
      </c>
      <c r="B66" s="16" t="s">
        <v>140</v>
      </c>
      <c r="C66">
        <v>260212598.12784588</v>
      </c>
      <c r="D66">
        <v>266160784.11500365</v>
      </c>
      <c r="E66">
        <v>2175675.6756756771</v>
      </c>
      <c r="F66">
        <v>2945045.0450450461</v>
      </c>
      <c r="G66">
        <v>27</v>
      </c>
      <c r="H66">
        <v>23</v>
      </c>
      <c r="I66">
        <v>2</v>
      </c>
      <c r="J66">
        <v>3</v>
      </c>
      <c r="M66">
        <v>28</v>
      </c>
      <c r="N66">
        <v>25</v>
      </c>
      <c r="O66">
        <v>31129729.729729727</v>
      </c>
      <c r="P66">
        <v>25648468.468468469</v>
      </c>
      <c r="Q66">
        <v>197</v>
      </c>
      <c r="R66">
        <v>45</v>
      </c>
      <c r="S66">
        <v>44902522.522522517</v>
      </c>
      <c r="T66">
        <v>48714630.630630635</v>
      </c>
      <c r="U66">
        <v>27576216.216216218</v>
      </c>
      <c r="V66">
        <v>23047297.297297295</v>
      </c>
      <c r="W66">
        <v>4505</v>
      </c>
      <c r="X66">
        <v>4971</v>
      </c>
    </row>
    <row r="67" spans="1:24">
      <c r="A67" s="7" t="s">
        <v>141</v>
      </c>
      <c r="B67" s="16" t="s">
        <v>62</v>
      </c>
      <c r="C67">
        <v>181798903.10680845</v>
      </c>
      <c r="D67">
        <v>177872759.10785902</v>
      </c>
      <c r="E67">
        <v>1415315.3153153181</v>
      </c>
      <c r="F67">
        <v>3155745.0450450489</v>
      </c>
      <c r="G67">
        <v>64</v>
      </c>
      <c r="H67">
        <v>82</v>
      </c>
      <c r="I67">
        <v>9</v>
      </c>
      <c r="J67">
        <v>7</v>
      </c>
      <c r="M67">
        <v>76</v>
      </c>
      <c r="N67">
        <v>111</v>
      </c>
      <c r="O67">
        <v>103413603.6036036</v>
      </c>
      <c r="P67">
        <v>94631794.594594598</v>
      </c>
      <c r="Q67">
        <v>54</v>
      </c>
      <c r="R67">
        <v>63</v>
      </c>
      <c r="S67">
        <v>39083594.59459459</v>
      </c>
      <c r="T67">
        <v>39558621.621621624</v>
      </c>
      <c r="U67">
        <v>102201711.7117117</v>
      </c>
      <c r="V67">
        <v>96478108.108108103</v>
      </c>
      <c r="W67">
        <v>3971</v>
      </c>
      <c r="X67">
        <v>3859</v>
      </c>
    </row>
    <row r="68" spans="1:24">
      <c r="A68" s="7" t="s">
        <v>142</v>
      </c>
      <c r="B68" s="16" t="s">
        <v>143</v>
      </c>
      <c r="C68">
        <v>2104286.0415178142</v>
      </c>
      <c r="D68">
        <v>1773549.107017444</v>
      </c>
      <c r="E68">
        <v>18018.018018018</v>
      </c>
      <c r="F68">
        <v>36846846.846846849</v>
      </c>
      <c r="G68">
        <v>1</v>
      </c>
      <c r="H68">
        <v>1</v>
      </c>
      <c r="M68">
        <v>1</v>
      </c>
      <c r="N68">
        <v>1</v>
      </c>
      <c r="O68">
        <v>615315.31531531503</v>
      </c>
      <c r="P68">
        <v>891891.89189189195</v>
      </c>
      <c r="S68">
        <v>174549.54954954999</v>
      </c>
      <c r="T68">
        <v>164504.50450450499</v>
      </c>
      <c r="W68">
        <v>135</v>
      </c>
      <c r="X68">
        <v>142</v>
      </c>
    </row>
    <row r="69" spans="1:24">
      <c r="A69" s="7" t="s">
        <v>144</v>
      </c>
      <c r="B69" s="16" t="s">
        <v>140</v>
      </c>
      <c r="C69">
        <v>384033517.89469159</v>
      </c>
      <c r="D69">
        <v>379953635.75776398</v>
      </c>
      <c r="E69">
        <v>389909.90990991198</v>
      </c>
      <c r="F69">
        <v>1907657.657657658</v>
      </c>
      <c r="G69">
        <v>69</v>
      </c>
      <c r="H69">
        <v>83</v>
      </c>
      <c r="I69">
        <v>9</v>
      </c>
      <c r="J69">
        <v>9</v>
      </c>
      <c r="K69">
        <v>2</v>
      </c>
      <c r="M69">
        <v>79</v>
      </c>
      <c r="N69">
        <v>109</v>
      </c>
      <c r="O69">
        <v>46086306.306306303</v>
      </c>
      <c r="P69">
        <v>39813873.873873875</v>
      </c>
      <c r="Q69">
        <v>263</v>
      </c>
      <c r="R69">
        <v>148</v>
      </c>
      <c r="S69">
        <v>71755720.720720723</v>
      </c>
      <c r="T69">
        <v>71015657.657657653</v>
      </c>
      <c r="U69">
        <v>43304324.324324325</v>
      </c>
      <c r="V69">
        <v>39004054.054054052</v>
      </c>
      <c r="W69">
        <v>7441</v>
      </c>
      <c r="X69">
        <v>7527</v>
      </c>
    </row>
    <row r="70" spans="1:24">
      <c r="A70" s="7" t="s">
        <v>145</v>
      </c>
      <c r="B70" s="16" t="s">
        <v>78</v>
      </c>
      <c r="C70">
        <v>271173639.28858596</v>
      </c>
      <c r="D70">
        <v>270896663.33269739</v>
      </c>
      <c r="E70">
        <v>1711531.5315315321</v>
      </c>
      <c r="F70">
        <v>2965765.7657657661</v>
      </c>
      <c r="G70">
        <v>60</v>
      </c>
      <c r="H70">
        <v>85</v>
      </c>
      <c r="I70">
        <v>7</v>
      </c>
      <c r="J70">
        <v>5</v>
      </c>
      <c r="M70">
        <v>67</v>
      </c>
      <c r="N70">
        <v>101</v>
      </c>
      <c r="O70">
        <v>28810630.630630627</v>
      </c>
      <c r="P70">
        <v>22988288.288288288</v>
      </c>
      <c r="Q70">
        <v>82</v>
      </c>
      <c r="R70">
        <v>50</v>
      </c>
      <c r="S70">
        <v>73253558.558558553</v>
      </c>
      <c r="T70">
        <v>78062441.441441447</v>
      </c>
      <c r="U70">
        <v>27821891.891891893</v>
      </c>
      <c r="V70">
        <v>27524054.054054052</v>
      </c>
      <c r="W70">
        <v>6346</v>
      </c>
      <c r="X70">
        <v>6350</v>
      </c>
    </row>
    <row r="71" spans="1:24">
      <c r="A71" s="7" t="s">
        <v>146</v>
      </c>
      <c r="B71" s="16" t="s">
        <v>147</v>
      </c>
      <c r="C71">
        <v>192451680.11756545</v>
      </c>
      <c r="D71">
        <v>178191605.61577126</v>
      </c>
      <c r="E71">
        <v>153153.15315315401</v>
      </c>
      <c r="F71">
        <v>3156756.7567567588</v>
      </c>
      <c r="G71">
        <v>43</v>
      </c>
      <c r="H71">
        <v>33</v>
      </c>
      <c r="I71">
        <v>6</v>
      </c>
      <c r="J71">
        <v>2</v>
      </c>
      <c r="M71">
        <v>48</v>
      </c>
      <c r="N71">
        <v>41</v>
      </c>
      <c r="O71">
        <v>21719279.279279277</v>
      </c>
      <c r="P71">
        <v>46594227.927927926</v>
      </c>
      <c r="Q71">
        <v>162</v>
      </c>
      <c r="R71">
        <v>34</v>
      </c>
      <c r="S71">
        <v>52809180.180180177</v>
      </c>
      <c r="T71">
        <v>58155171.171171166</v>
      </c>
      <c r="U71">
        <v>20127657.657657657</v>
      </c>
      <c r="V71">
        <v>46194324.324324325</v>
      </c>
      <c r="W71">
        <v>3869</v>
      </c>
      <c r="X71">
        <v>3695</v>
      </c>
    </row>
    <row r="72" spans="1:24">
      <c r="A72" s="7" t="s">
        <v>148</v>
      </c>
      <c r="B72" s="16" t="s">
        <v>94</v>
      </c>
      <c r="D72">
        <v>17.531949365999999</v>
      </c>
    </row>
    <row r="73" spans="1:24">
      <c r="A73" s="7" t="s">
        <v>149</v>
      </c>
      <c r="B73" s="16" t="s">
        <v>50</v>
      </c>
      <c r="C73">
        <v>153730539.92863387</v>
      </c>
      <c r="D73">
        <v>157296667.8111937</v>
      </c>
      <c r="E73">
        <v>234234.23423423499</v>
      </c>
      <c r="F73">
        <v>694594.59459459397</v>
      </c>
      <c r="G73">
        <v>33</v>
      </c>
      <c r="H73">
        <v>41</v>
      </c>
      <c r="I73">
        <v>6</v>
      </c>
      <c r="J73">
        <v>3</v>
      </c>
      <c r="M73">
        <v>39</v>
      </c>
      <c r="N73">
        <v>44</v>
      </c>
      <c r="O73">
        <v>17258738.738738734</v>
      </c>
      <c r="P73">
        <v>9761711.7117117122</v>
      </c>
      <c r="Q73">
        <v>24</v>
      </c>
      <c r="R73">
        <v>13</v>
      </c>
      <c r="S73">
        <v>69883468.468468457</v>
      </c>
      <c r="T73">
        <v>71150810.810810804</v>
      </c>
      <c r="U73">
        <v>17843873.873873875</v>
      </c>
      <c r="V73">
        <v>9761801.8018018007</v>
      </c>
      <c r="W73">
        <v>3788</v>
      </c>
      <c r="X73">
        <v>3576</v>
      </c>
    </row>
    <row r="74" spans="1:24">
      <c r="A74" s="7" t="s">
        <v>150</v>
      </c>
      <c r="B74" s="16" t="s">
        <v>151</v>
      </c>
      <c r="C74">
        <v>47255030.445387982</v>
      </c>
      <c r="D74">
        <v>47942676.375345066</v>
      </c>
      <c r="E74">
        <v>90090.090090090001</v>
      </c>
      <c r="F74">
        <v>720720.72072072094</v>
      </c>
      <c r="G74">
        <v>13</v>
      </c>
      <c r="H74">
        <v>6</v>
      </c>
      <c r="I74">
        <v>9</v>
      </c>
      <c r="J74">
        <v>1</v>
      </c>
      <c r="M74">
        <v>14</v>
      </c>
      <c r="N74">
        <v>10</v>
      </c>
      <c r="O74">
        <v>57711171.171171166</v>
      </c>
      <c r="P74">
        <v>36936936.936936937</v>
      </c>
      <c r="Q74">
        <v>27</v>
      </c>
      <c r="R74">
        <v>17</v>
      </c>
      <c r="S74">
        <v>11892027.027027028</v>
      </c>
      <c r="T74">
        <v>13443099.0990991</v>
      </c>
      <c r="U74">
        <v>42494234.234234229</v>
      </c>
      <c r="V74">
        <v>17819729.729729731</v>
      </c>
      <c r="W74">
        <v>675</v>
      </c>
      <c r="X74">
        <v>692</v>
      </c>
    </row>
    <row r="75" spans="1:24">
      <c r="A75" s="7" t="s">
        <v>152</v>
      </c>
      <c r="B75" s="16" t="s">
        <v>151</v>
      </c>
      <c r="C75">
        <v>472856363.27753711</v>
      </c>
      <c r="D75">
        <v>470396396.8145808</v>
      </c>
      <c r="E75">
        <v>239234700.9009009</v>
      </c>
      <c r="F75">
        <v>597293282.88288295</v>
      </c>
      <c r="G75">
        <v>172</v>
      </c>
      <c r="H75">
        <v>227</v>
      </c>
      <c r="I75">
        <v>28</v>
      </c>
      <c r="J75">
        <v>24</v>
      </c>
      <c r="M75">
        <v>188</v>
      </c>
      <c r="N75">
        <v>283</v>
      </c>
      <c r="O75">
        <v>598826036.03603613</v>
      </c>
      <c r="P75">
        <v>349920342.34234232</v>
      </c>
      <c r="Q75">
        <v>273</v>
      </c>
      <c r="R75">
        <v>222</v>
      </c>
      <c r="S75">
        <v>163152827.02702704</v>
      </c>
      <c r="T75">
        <v>167663414.41441441</v>
      </c>
      <c r="U75">
        <v>499804273.87387383</v>
      </c>
      <c r="V75">
        <v>254559448.64864865</v>
      </c>
      <c r="W75">
        <v>7797</v>
      </c>
      <c r="X75">
        <v>7671</v>
      </c>
    </row>
    <row r="76" spans="1:24">
      <c r="A76" s="7" t="s">
        <v>153</v>
      </c>
      <c r="B76" s="16" t="s">
        <v>154</v>
      </c>
      <c r="C76">
        <v>431076982.95895356</v>
      </c>
      <c r="D76">
        <v>405198137.93695629</v>
      </c>
      <c r="E76">
        <v>2747747.7477477482</v>
      </c>
      <c r="F76">
        <v>597972.972972975</v>
      </c>
      <c r="G76">
        <v>40</v>
      </c>
      <c r="H76">
        <v>58</v>
      </c>
      <c r="I76">
        <v>1</v>
      </c>
      <c r="J76">
        <v>1</v>
      </c>
      <c r="M76">
        <v>81</v>
      </c>
      <c r="N76">
        <v>67</v>
      </c>
      <c r="O76">
        <v>56685045.045045041</v>
      </c>
      <c r="P76">
        <v>55083783.783783786</v>
      </c>
      <c r="Q76">
        <v>55</v>
      </c>
      <c r="R76">
        <v>88</v>
      </c>
      <c r="S76">
        <v>185890088.2882883</v>
      </c>
      <c r="T76">
        <v>168066261.26126125</v>
      </c>
      <c r="U76">
        <v>51431351.351351351</v>
      </c>
      <c r="V76">
        <v>48244054.054054059</v>
      </c>
      <c r="W76">
        <v>7222</v>
      </c>
      <c r="X76">
        <v>6980</v>
      </c>
    </row>
    <row r="77" spans="1:24">
      <c r="A77" s="7" t="s">
        <v>155</v>
      </c>
      <c r="B77" s="16" t="s">
        <v>154</v>
      </c>
      <c r="C77">
        <v>65514601.558694445</v>
      </c>
      <c r="D77">
        <v>42811840.94592876</v>
      </c>
      <c r="E77">
        <v>58174099.0990991</v>
      </c>
      <c r="F77">
        <v>128109009.009009</v>
      </c>
      <c r="G77">
        <v>21</v>
      </c>
      <c r="H77">
        <v>11</v>
      </c>
      <c r="I77">
        <v>3</v>
      </c>
      <c r="J77">
        <v>2</v>
      </c>
      <c r="M77">
        <v>25</v>
      </c>
      <c r="N77">
        <v>12</v>
      </c>
      <c r="O77">
        <v>5895495.4954954954</v>
      </c>
      <c r="P77">
        <v>5332432.4324324336</v>
      </c>
      <c r="Q77">
        <v>1</v>
      </c>
      <c r="R77">
        <v>33</v>
      </c>
      <c r="S77">
        <v>18086081.081081081</v>
      </c>
      <c r="T77">
        <v>10962918.918918921</v>
      </c>
      <c r="U77">
        <v>699549.54954955005</v>
      </c>
      <c r="V77">
        <v>3980090.0900900899</v>
      </c>
      <c r="W77">
        <v>2083</v>
      </c>
      <c r="X77">
        <v>2166</v>
      </c>
    </row>
    <row r="78" spans="1:24">
      <c r="A78" s="7" t="s">
        <v>156</v>
      </c>
      <c r="B78" s="16" t="s">
        <v>154</v>
      </c>
      <c r="C78">
        <v>562351830.09335709</v>
      </c>
      <c r="D78">
        <v>455250981.73029065</v>
      </c>
      <c r="E78">
        <v>143180780.18018016</v>
      </c>
      <c r="F78">
        <v>96785659.459459454</v>
      </c>
      <c r="G78">
        <v>99</v>
      </c>
      <c r="H78">
        <v>34</v>
      </c>
      <c r="I78">
        <v>10</v>
      </c>
      <c r="J78">
        <v>8</v>
      </c>
      <c r="M78">
        <v>204</v>
      </c>
      <c r="N78">
        <v>135</v>
      </c>
      <c r="O78">
        <v>158821018.01801801</v>
      </c>
      <c r="P78">
        <v>109220270.27027027</v>
      </c>
      <c r="Q78">
        <v>138</v>
      </c>
      <c r="R78">
        <v>183</v>
      </c>
      <c r="S78">
        <v>215034899.0990991</v>
      </c>
      <c r="T78">
        <v>177188099.0990991</v>
      </c>
      <c r="U78">
        <v>136543693.6936937</v>
      </c>
      <c r="V78">
        <v>95266396.396396399</v>
      </c>
      <c r="W78">
        <v>7841</v>
      </c>
      <c r="X78">
        <v>8363</v>
      </c>
    </row>
    <row r="79" spans="1:24">
      <c r="A79" s="7" t="s">
        <v>157</v>
      </c>
      <c r="B79" s="16" t="s">
        <v>134</v>
      </c>
      <c r="C79">
        <v>214581511.74583566</v>
      </c>
      <c r="D79">
        <v>211682187.40452573</v>
      </c>
      <c r="E79">
        <v>20292792.792792797</v>
      </c>
      <c r="F79">
        <v>27638738.738738745</v>
      </c>
      <c r="G79">
        <v>49</v>
      </c>
      <c r="H79">
        <v>38</v>
      </c>
      <c r="I79">
        <v>13</v>
      </c>
      <c r="J79">
        <v>6</v>
      </c>
      <c r="K79">
        <v>1</v>
      </c>
      <c r="M79">
        <v>57</v>
      </c>
      <c r="N79">
        <v>45</v>
      </c>
      <c r="O79">
        <v>21851351.351351351</v>
      </c>
      <c r="P79">
        <v>24927035.135135137</v>
      </c>
      <c r="Q79">
        <v>129</v>
      </c>
      <c r="R79">
        <v>267</v>
      </c>
      <c r="S79">
        <v>19139099.0990991</v>
      </c>
      <c r="T79">
        <v>21244648.648648649</v>
      </c>
      <c r="U79">
        <v>9161621.6216216218</v>
      </c>
      <c r="V79">
        <v>10975855.855855856</v>
      </c>
      <c r="W79">
        <v>4612</v>
      </c>
      <c r="X79">
        <v>4410</v>
      </c>
    </row>
    <row r="80" spans="1:24">
      <c r="A80" s="7" t="s">
        <v>1</v>
      </c>
      <c r="B80" s="16" t="s">
        <v>158</v>
      </c>
      <c r="C80">
        <v>382502818.54664475</v>
      </c>
      <c r="D80">
        <v>383365731.24118876</v>
      </c>
      <c r="E80">
        <v>567117.11711711797</v>
      </c>
      <c r="F80">
        <v>2646846.8468468501</v>
      </c>
      <c r="G80">
        <v>293</v>
      </c>
      <c r="H80">
        <v>115</v>
      </c>
      <c r="I80">
        <v>21</v>
      </c>
      <c r="J80">
        <v>12</v>
      </c>
      <c r="K80">
        <v>2</v>
      </c>
      <c r="M80">
        <v>583</v>
      </c>
      <c r="N80">
        <v>513</v>
      </c>
      <c r="O80">
        <v>41754594.59459459</v>
      </c>
      <c r="P80">
        <v>46171261.261261262</v>
      </c>
      <c r="Q80">
        <v>181</v>
      </c>
      <c r="R80">
        <v>141</v>
      </c>
      <c r="S80">
        <v>181592070.27027026</v>
      </c>
      <c r="T80">
        <v>182908639.63963965</v>
      </c>
      <c r="U80">
        <v>40217477.477477483</v>
      </c>
      <c r="V80">
        <v>42849819.819819823</v>
      </c>
      <c r="W80">
        <v>8549</v>
      </c>
      <c r="X80">
        <v>8019</v>
      </c>
    </row>
    <row r="81" spans="1:24">
      <c r="A81" s="7" t="s">
        <v>159</v>
      </c>
      <c r="B81" s="16" t="s">
        <v>121</v>
      </c>
      <c r="C81">
        <v>17143829.6236712</v>
      </c>
      <c r="D81">
        <v>14362214.430341627</v>
      </c>
      <c r="E81">
        <v>900.900900901</v>
      </c>
      <c r="G81">
        <v>22</v>
      </c>
      <c r="H81">
        <v>7</v>
      </c>
      <c r="I81">
        <v>0</v>
      </c>
      <c r="M81">
        <v>22</v>
      </c>
      <c r="N81">
        <v>8</v>
      </c>
      <c r="O81">
        <v>973873.87387387396</v>
      </c>
      <c r="Q81">
        <v>8</v>
      </c>
      <c r="S81">
        <v>1791531.5315315321</v>
      </c>
      <c r="T81">
        <v>1245765.7657657659</v>
      </c>
      <c r="U81">
        <v>348468.468468468</v>
      </c>
      <c r="V81">
        <v>29729.729729729999</v>
      </c>
      <c r="W81">
        <v>627</v>
      </c>
      <c r="X81">
        <v>481</v>
      </c>
    </row>
    <row r="82" spans="1:24">
      <c r="A82" s="7" t="s">
        <v>160</v>
      </c>
      <c r="B82" s="16" t="s">
        <v>161</v>
      </c>
      <c r="C82">
        <v>197227773.74375153</v>
      </c>
      <c r="D82">
        <v>203499612.15024215</v>
      </c>
      <c r="E82">
        <v>1228648.6486486581</v>
      </c>
      <c r="F82">
        <v>5907207.2072072141</v>
      </c>
      <c r="G82">
        <v>99</v>
      </c>
      <c r="H82">
        <v>120</v>
      </c>
      <c r="I82">
        <v>35</v>
      </c>
      <c r="J82">
        <v>38</v>
      </c>
      <c r="M82">
        <v>176</v>
      </c>
      <c r="N82">
        <v>230</v>
      </c>
      <c r="O82">
        <v>50044376.576576576</v>
      </c>
      <c r="P82">
        <v>61199305.40540541</v>
      </c>
      <c r="Q82">
        <v>186</v>
      </c>
      <c r="R82">
        <v>234</v>
      </c>
      <c r="S82">
        <v>83104351.351351365</v>
      </c>
      <c r="T82">
        <v>89667495.495495498</v>
      </c>
      <c r="U82">
        <v>56303243.24324324</v>
      </c>
      <c r="V82">
        <v>61154504.504504509</v>
      </c>
      <c r="W82">
        <v>5990</v>
      </c>
      <c r="X82">
        <v>6006</v>
      </c>
    </row>
    <row r="83" spans="1:24">
      <c r="A83" s="7" t="s">
        <v>162</v>
      </c>
      <c r="B83" s="16" t="s">
        <v>76</v>
      </c>
      <c r="C83">
        <v>92466414.220926389</v>
      </c>
      <c r="D83">
        <v>90119200.510914609</v>
      </c>
      <c r="E83">
        <v>191891.89189189201</v>
      </c>
      <c r="F83">
        <v>354054.05405405501</v>
      </c>
      <c r="G83">
        <v>20</v>
      </c>
      <c r="H83">
        <v>41</v>
      </c>
      <c r="I83">
        <v>1</v>
      </c>
      <c r="J83">
        <v>1</v>
      </c>
      <c r="M83">
        <v>22</v>
      </c>
      <c r="N83">
        <v>44</v>
      </c>
      <c r="O83">
        <v>1286486.4864864859</v>
      </c>
      <c r="P83">
        <v>1498198.1981981981</v>
      </c>
      <c r="Q83">
        <v>11</v>
      </c>
      <c r="R83">
        <v>9</v>
      </c>
      <c r="S83">
        <v>5354864.8648648653</v>
      </c>
      <c r="T83">
        <v>5123513.5135135138</v>
      </c>
      <c r="U83">
        <v>1394234.2342342341</v>
      </c>
      <c r="V83">
        <v>1294774.7747747749</v>
      </c>
      <c r="W83">
        <v>1015</v>
      </c>
      <c r="X83">
        <v>966</v>
      </c>
    </row>
    <row r="84" spans="1:24">
      <c r="A84" s="7" t="s">
        <v>163</v>
      </c>
      <c r="B84" s="16" t="s">
        <v>52</v>
      </c>
      <c r="C84">
        <v>70325538.000760198</v>
      </c>
      <c r="D84">
        <v>70283128.369466543</v>
      </c>
      <c r="E84">
        <v>808783.78378378402</v>
      </c>
      <c r="F84">
        <v>1116216.216216217</v>
      </c>
      <c r="G84">
        <v>9</v>
      </c>
      <c r="H84">
        <v>23</v>
      </c>
      <c r="I84">
        <v>1</v>
      </c>
      <c r="J84">
        <v>4</v>
      </c>
      <c r="M84">
        <v>11</v>
      </c>
      <c r="N84">
        <v>28</v>
      </c>
      <c r="O84">
        <v>1731531.5315315321</v>
      </c>
      <c r="P84">
        <v>1368468.4684684691</v>
      </c>
      <c r="Q84">
        <v>2</v>
      </c>
      <c r="R84">
        <v>16</v>
      </c>
      <c r="S84">
        <v>34559090.090090089</v>
      </c>
      <c r="T84">
        <v>34410675.675675675</v>
      </c>
      <c r="U84">
        <v>1580540.5405405399</v>
      </c>
      <c r="V84">
        <v>1515945.945945946</v>
      </c>
      <c r="W84">
        <v>1715</v>
      </c>
      <c r="X84">
        <v>1594</v>
      </c>
    </row>
    <row r="85" spans="1:24">
      <c r="A85" s="7" t="s">
        <v>164</v>
      </c>
      <c r="B85" s="16" t="s">
        <v>87</v>
      </c>
      <c r="C85">
        <v>60831310.867086351</v>
      </c>
      <c r="D85">
        <v>36778545.269045502</v>
      </c>
      <c r="E85">
        <v>48648.648648649003</v>
      </c>
      <c r="F85">
        <v>144144.144144144</v>
      </c>
      <c r="G85">
        <v>86</v>
      </c>
      <c r="H85">
        <v>11</v>
      </c>
      <c r="I85">
        <v>1</v>
      </c>
      <c r="J85">
        <v>1</v>
      </c>
      <c r="M85">
        <v>92</v>
      </c>
      <c r="N85">
        <v>12</v>
      </c>
      <c r="O85">
        <v>1913513.5135135129</v>
      </c>
      <c r="P85">
        <v>1526126.1261261259</v>
      </c>
      <c r="Q85">
        <v>30</v>
      </c>
      <c r="R85">
        <v>101</v>
      </c>
      <c r="S85">
        <v>5986036.036036036</v>
      </c>
      <c r="T85">
        <v>3589684.684684685</v>
      </c>
      <c r="U85">
        <v>2334594.594594595</v>
      </c>
      <c r="V85">
        <v>1398288.2882882881</v>
      </c>
      <c r="W85">
        <v>1240</v>
      </c>
      <c r="X85">
        <v>1135</v>
      </c>
    </row>
    <row r="86" spans="1:24">
      <c r="A86" s="7" t="s">
        <v>165</v>
      </c>
      <c r="B86" s="16" t="s">
        <v>143</v>
      </c>
      <c r="C86">
        <v>10918728.877665047</v>
      </c>
      <c r="D86">
        <v>12240214.232943952</v>
      </c>
      <c r="E86">
        <v>287387.38738738699</v>
      </c>
      <c r="F86">
        <v>130630.630630631</v>
      </c>
      <c r="G86">
        <v>6</v>
      </c>
      <c r="H86">
        <v>10</v>
      </c>
      <c r="I86">
        <v>3</v>
      </c>
      <c r="J86">
        <v>2</v>
      </c>
      <c r="M86">
        <v>8</v>
      </c>
      <c r="N86">
        <v>10</v>
      </c>
      <c r="O86">
        <v>3098198.1981981979</v>
      </c>
      <c r="P86">
        <v>1635135.1351351349</v>
      </c>
      <c r="Q86">
        <v>25</v>
      </c>
      <c r="R86">
        <v>11</v>
      </c>
      <c r="S86">
        <v>1717477.4774774769</v>
      </c>
      <c r="T86">
        <v>1447135.1351351349</v>
      </c>
      <c r="U86">
        <v>2044684.684684684</v>
      </c>
      <c r="V86">
        <v>712972.97297297302</v>
      </c>
      <c r="W86">
        <v>283</v>
      </c>
      <c r="X86">
        <v>326</v>
      </c>
    </row>
    <row r="87" spans="1:24">
      <c r="A87" s="7" t="s">
        <v>166</v>
      </c>
      <c r="B87" s="16" t="s">
        <v>167</v>
      </c>
      <c r="C87">
        <v>46432574.705390923</v>
      </c>
      <c r="D87">
        <v>49422355.554924399</v>
      </c>
      <c r="E87">
        <v>17117.117117116999</v>
      </c>
      <c r="F87">
        <v>723423.42342342401</v>
      </c>
      <c r="G87">
        <v>24</v>
      </c>
      <c r="H87">
        <v>11</v>
      </c>
      <c r="I87">
        <v>3</v>
      </c>
      <c r="J87">
        <v>2</v>
      </c>
      <c r="M87">
        <v>26</v>
      </c>
      <c r="N87">
        <v>12</v>
      </c>
      <c r="O87">
        <v>5238367.5675675701</v>
      </c>
      <c r="P87">
        <v>4559009.0090090092</v>
      </c>
      <c r="R87">
        <v>32</v>
      </c>
      <c r="S87">
        <v>22049324.324324325</v>
      </c>
      <c r="T87">
        <v>24176448.648648649</v>
      </c>
      <c r="U87">
        <v>4690630.6306306329</v>
      </c>
      <c r="V87">
        <v>4064774.774774774</v>
      </c>
      <c r="W87">
        <v>1379</v>
      </c>
      <c r="X87">
        <v>1370</v>
      </c>
    </row>
    <row r="88" spans="1:24">
      <c r="A88" s="7" t="s">
        <v>168</v>
      </c>
      <c r="B88" s="16" t="s">
        <v>169</v>
      </c>
      <c r="C88">
        <v>222869541.11031348</v>
      </c>
      <c r="D88">
        <v>232017531.61511087</v>
      </c>
      <c r="E88">
        <v>792342.34234234295</v>
      </c>
      <c r="F88">
        <v>1498198.1981982</v>
      </c>
      <c r="G88">
        <v>55</v>
      </c>
      <c r="H88">
        <v>32</v>
      </c>
      <c r="I88">
        <v>6</v>
      </c>
      <c r="J88">
        <v>3</v>
      </c>
      <c r="K88">
        <v>1</v>
      </c>
      <c r="M88">
        <v>65</v>
      </c>
      <c r="N88">
        <v>51</v>
      </c>
      <c r="O88">
        <v>28062612.612612613</v>
      </c>
      <c r="P88">
        <v>37282231.531531528</v>
      </c>
      <c r="Q88">
        <v>125</v>
      </c>
      <c r="R88">
        <v>29</v>
      </c>
      <c r="S88">
        <v>61684981.981981985</v>
      </c>
      <c r="T88">
        <v>71612155.405405402</v>
      </c>
      <c r="U88">
        <v>27074324.324324325</v>
      </c>
      <c r="V88">
        <v>35565765.765765764</v>
      </c>
      <c r="W88">
        <v>6335</v>
      </c>
      <c r="X88">
        <v>7132</v>
      </c>
    </row>
    <row r="89" spans="1:24">
      <c r="A89" s="7" t="s">
        <v>170</v>
      </c>
      <c r="B89" s="16" t="s">
        <v>54</v>
      </c>
      <c r="C89">
        <v>34192755.14561259</v>
      </c>
      <c r="D89">
        <v>34194207.521206997</v>
      </c>
      <c r="E89">
        <v>45945.945945947002</v>
      </c>
      <c r="F89">
        <v>381081.08108108101</v>
      </c>
      <c r="G89">
        <v>4</v>
      </c>
      <c r="H89">
        <v>3</v>
      </c>
      <c r="I89">
        <v>2</v>
      </c>
      <c r="J89">
        <v>1</v>
      </c>
      <c r="M89">
        <v>6</v>
      </c>
      <c r="N89">
        <v>3</v>
      </c>
      <c r="O89">
        <v>6509909.9099099115</v>
      </c>
      <c r="P89">
        <v>2680630.630630631</v>
      </c>
      <c r="Q89">
        <v>18</v>
      </c>
      <c r="R89">
        <v>6</v>
      </c>
      <c r="S89">
        <v>5739324.3243243247</v>
      </c>
      <c r="T89">
        <v>5457342.3423423432</v>
      </c>
      <c r="U89">
        <v>4828648.6486486495</v>
      </c>
      <c r="V89">
        <v>3640540.5405405401</v>
      </c>
      <c r="W89">
        <v>734</v>
      </c>
      <c r="X89">
        <v>670</v>
      </c>
    </row>
    <row r="90" spans="1:24">
      <c r="A90" s="7" t="s">
        <v>171</v>
      </c>
      <c r="B90" s="16" t="s">
        <v>60</v>
      </c>
      <c r="C90">
        <v>737339646.6827718</v>
      </c>
      <c r="D90">
        <v>714046656.74032915</v>
      </c>
      <c r="E90">
        <v>4091216.216216221</v>
      </c>
      <c r="F90">
        <v>8054954.9549549567</v>
      </c>
      <c r="G90">
        <v>167</v>
      </c>
      <c r="H90">
        <v>185</v>
      </c>
      <c r="I90">
        <v>34</v>
      </c>
      <c r="J90">
        <v>38</v>
      </c>
      <c r="M90">
        <v>186</v>
      </c>
      <c r="N90">
        <v>214</v>
      </c>
      <c r="O90">
        <v>39501801.801801808</v>
      </c>
      <c r="P90">
        <v>33222522.52252252</v>
      </c>
      <c r="Q90">
        <v>274</v>
      </c>
      <c r="R90">
        <v>161</v>
      </c>
      <c r="S90">
        <v>255715202.7027027</v>
      </c>
      <c r="T90">
        <v>264820882.88288289</v>
      </c>
      <c r="U90">
        <v>42488378.378378376</v>
      </c>
      <c r="V90">
        <v>33498378.37837838</v>
      </c>
      <c r="W90">
        <v>12090</v>
      </c>
      <c r="X90">
        <v>12335</v>
      </c>
    </row>
    <row r="91" spans="1:24">
      <c r="A91" s="7" t="s">
        <v>172</v>
      </c>
      <c r="B91" s="16" t="s">
        <v>121</v>
      </c>
      <c r="C91">
        <v>308915427.10478121</v>
      </c>
      <c r="D91">
        <v>293698309.98645705</v>
      </c>
      <c r="E91">
        <v>57368925.225225233</v>
      </c>
      <c r="F91">
        <v>57626198.198198199</v>
      </c>
      <c r="G91">
        <v>209</v>
      </c>
      <c r="H91">
        <v>116</v>
      </c>
      <c r="I91">
        <v>18</v>
      </c>
      <c r="J91">
        <v>14</v>
      </c>
      <c r="M91">
        <v>225</v>
      </c>
      <c r="N91">
        <v>128</v>
      </c>
      <c r="O91">
        <v>26711836.936936937</v>
      </c>
      <c r="P91">
        <v>33840195.495495498</v>
      </c>
      <c r="Q91">
        <v>225</v>
      </c>
      <c r="R91">
        <v>138</v>
      </c>
      <c r="S91">
        <v>44015090.090090089</v>
      </c>
      <c r="T91">
        <v>40341880.630630635</v>
      </c>
      <c r="U91">
        <v>17545135.135135137</v>
      </c>
      <c r="V91">
        <v>13928378.378378376</v>
      </c>
      <c r="W91">
        <v>5971</v>
      </c>
      <c r="X91">
        <v>5676</v>
      </c>
    </row>
    <row r="92" spans="1:24">
      <c r="A92" s="7" t="s">
        <v>173</v>
      </c>
      <c r="B92" s="16" t="s">
        <v>174</v>
      </c>
      <c r="C92">
        <v>220645240.12391582</v>
      </c>
      <c r="D92">
        <v>210621731.65408024</v>
      </c>
      <c r="E92">
        <v>132365920.72072072</v>
      </c>
      <c r="F92">
        <v>122689401.8018018</v>
      </c>
      <c r="G92">
        <v>76</v>
      </c>
      <c r="H92">
        <v>43</v>
      </c>
      <c r="I92">
        <v>17</v>
      </c>
      <c r="J92">
        <v>14</v>
      </c>
      <c r="K92">
        <v>5</v>
      </c>
      <c r="M92">
        <v>85</v>
      </c>
      <c r="N92">
        <v>156</v>
      </c>
      <c r="O92">
        <v>38399504.504504502</v>
      </c>
      <c r="P92">
        <v>50277927.927927926</v>
      </c>
      <c r="Q92">
        <v>424</v>
      </c>
      <c r="R92">
        <v>690</v>
      </c>
      <c r="S92">
        <v>27342315.315315317</v>
      </c>
      <c r="T92">
        <v>26258531.531531531</v>
      </c>
      <c r="U92">
        <v>22581351.351351351</v>
      </c>
      <c r="V92">
        <v>31696666.666666668</v>
      </c>
      <c r="W92">
        <v>4736</v>
      </c>
      <c r="X92">
        <v>4392</v>
      </c>
    </row>
    <row r="93" spans="1:24">
      <c r="A93" s="7" t="s">
        <v>175</v>
      </c>
      <c r="B93" s="16" t="s">
        <v>174</v>
      </c>
      <c r="C93">
        <v>334843252.557239</v>
      </c>
      <c r="D93">
        <v>330564277.94978321</v>
      </c>
      <c r="E93">
        <v>889189.18918919505</v>
      </c>
      <c r="F93">
        <v>2373648.6486486518</v>
      </c>
      <c r="G93">
        <v>137</v>
      </c>
      <c r="H93">
        <v>127</v>
      </c>
      <c r="I93">
        <v>31</v>
      </c>
      <c r="J93">
        <v>16</v>
      </c>
      <c r="K93">
        <v>1</v>
      </c>
      <c r="M93">
        <v>158</v>
      </c>
      <c r="N93">
        <v>187</v>
      </c>
      <c r="O93">
        <v>57312558.558558561</v>
      </c>
      <c r="P93">
        <v>43104504.504504502</v>
      </c>
      <c r="Q93">
        <v>391</v>
      </c>
      <c r="R93">
        <v>332</v>
      </c>
      <c r="S93">
        <v>59087769.369369365</v>
      </c>
      <c r="T93">
        <v>55409360.360360362</v>
      </c>
      <c r="U93">
        <v>48939275.675675683</v>
      </c>
      <c r="V93">
        <v>37598378.378378384</v>
      </c>
      <c r="W93">
        <v>8467</v>
      </c>
      <c r="X93">
        <v>9148</v>
      </c>
    </row>
    <row r="94" spans="1:24">
      <c r="A94" s="7" t="s">
        <v>176</v>
      </c>
      <c r="B94" s="16" t="s">
        <v>174</v>
      </c>
      <c r="C94">
        <v>452528229.50762904</v>
      </c>
      <c r="D94">
        <v>450822301.88429677</v>
      </c>
      <c r="E94">
        <v>437837.83783784002</v>
      </c>
      <c r="F94">
        <v>1821846.846846852</v>
      </c>
      <c r="G94">
        <v>239</v>
      </c>
      <c r="H94">
        <v>217</v>
      </c>
      <c r="I94">
        <v>20</v>
      </c>
      <c r="J94">
        <v>20</v>
      </c>
      <c r="K94">
        <v>4</v>
      </c>
      <c r="M94">
        <v>296</v>
      </c>
      <c r="N94">
        <v>281</v>
      </c>
      <c r="O94">
        <v>61531088.288288288</v>
      </c>
      <c r="P94">
        <v>42310810.810810804</v>
      </c>
      <c r="Q94">
        <v>371</v>
      </c>
      <c r="R94">
        <v>93</v>
      </c>
      <c r="S94">
        <v>77012310.810810819</v>
      </c>
      <c r="T94">
        <v>69138229.729729727</v>
      </c>
      <c r="U94">
        <v>41642972.972972974</v>
      </c>
      <c r="V94">
        <v>36469819.819819823</v>
      </c>
      <c r="W94">
        <v>11491</v>
      </c>
      <c r="X94">
        <v>11954</v>
      </c>
    </row>
    <row r="95" spans="1:24">
      <c r="A95" s="7" t="s">
        <v>177</v>
      </c>
      <c r="B95" s="16" t="s">
        <v>178</v>
      </c>
      <c r="C95">
        <v>162828318.43646279</v>
      </c>
      <c r="D95">
        <v>153797688.99947697</v>
      </c>
      <c r="E95">
        <v>542342.34234234295</v>
      </c>
      <c r="F95">
        <v>499099.099099099</v>
      </c>
      <c r="G95">
        <v>53</v>
      </c>
      <c r="H95">
        <v>30</v>
      </c>
      <c r="I95">
        <v>1</v>
      </c>
      <c r="J95">
        <v>5</v>
      </c>
      <c r="M95">
        <v>64</v>
      </c>
      <c r="N95">
        <v>39</v>
      </c>
      <c r="O95">
        <v>7978463.963963964</v>
      </c>
      <c r="P95">
        <v>9615540.5405405406</v>
      </c>
      <c r="Q95">
        <v>39</v>
      </c>
      <c r="R95">
        <v>12</v>
      </c>
      <c r="S95">
        <v>56002432.432432435</v>
      </c>
      <c r="T95">
        <v>62879268.468468465</v>
      </c>
      <c r="U95">
        <v>5620630.630630631</v>
      </c>
      <c r="V95">
        <v>9152297.2972972952</v>
      </c>
      <c r="W95">
        <v>3715</v>
      </c>
      <c r="X95">
        <v>3801</v>
      </c>
    </row>
    <row r="96" spans="1:24">
      <c r="A96" s="7" t="s">
        <v>179</v>
      </c>
      <c r="B96" s="16" t="s">
        <v>167</v>
      </c>
      <c r="C96">
        <v>204810058.33225334</v>
      </c>
      <c r="D96">
        <v>179062245.16796666</v>
      </c>
      <c r="E96">
        <v>622522.52252252295</v>
      </c>
      <c r="F96">
        <v>2044819.8198198201</v>
      </c>
      <c r="G96">
        <v>85</v>
      </c>
      <c r="H96">
        <v>26</v>
      </c>
      <c r="I96">
        <v>1</v>
      </c>
      <c r="J96">
        <v>3</v>
      </c>
      <c r="M96">
        <v>95</v>
      </c>
      <c r="N96">
        <v>48</v>
      </c>
      <c r="O96">
        <v>6624234.2342342352</v>
      </c>
      <c r="P96">
        <v>4609909.9099099115</v>
      </c>
      <c r="Q96">
        <v>43</v>
      </c>
      <c r="S96">
        <v>49855360.360360362</v>
      </c>
      <c r="T96">
        <v>45486720.720720723</v>
      </c>
      <c r="U96">
        <v>8197027.0270270277</v>
      </c>
      <c r="V96">
        <v>2644144.1441441472</v>
      </c>
      <c r="W96">
        <v>4624</v>
      </c>
      <c r="X96">
        <v>4563</v>
      </c>
    </row>
    <row r="97" spans="1:24">
      <c r="A97" s="7" t="s">
        <v>180</v>
      </c>
      <c r="B97" s="16" t="s">
        <v>181</v>
      </c>
      <c r="C97">
        <v>154621281.34812737</v>
      </c>
      <c r="D97">
        <v>145311956.8023544</v>
      </c>
      <c r="E97">
        <v>6306.3063063070003</v>
      </c>
      <c r="F97">
        <v>357657.65765765798</v>
      </c>
      <c r="G97">
        <v>20</v>
      </c>
      <c r="H97">
        <v>20</v>
      </c>
      <c r="I97">
        <v>1</v>
      </c>
      <c r="J97">
        <v>1</v>
      </c>
      <c r="M97">
        <v>22</v>
      </c>
      <c r="N97">
        <v>26</v>
      </c>
      <c r="O97">
        <v>8534684.6846846845</v>
      </c>
      <c r="P97">
        <v>7767387.3873873837</v>
      </c>
      <c r="Q97">
        <v>43</v>
      </c>
      <c r="R97">
        <v>54</v>
      </c>
      <c r="S97">
        <v>32051621.621621624</v>
      </c>
      <c r="T97">
        <v>36585047.297297299</v>
      </c>
      <c r="U97">
        <v>10957297.297297295</v>
      </c>
      <c r="V97">
        <v>9894144.1441441402</v>
      </c>
      <c r="W97">
        <v>2949</v>
      </c>
      <c r="X97">
        <v>2971</v>
      </c>
    </row>
    <row r="98" spans="1:24">
      <c r="A98" s="7" t="s">
        <v>677</v>
      </c>
      <c r="B98" s="16" t="s">
        <v>260</v>
      </c>
      <c r="E98">
        <v>378302338.73873878</v>
      </c>
      <c r="F98">
        <v>348234240.54054052</v>
      </c>
      <c r="P98">
        <v>54846846.846846849</v>
      </c>
    </row>
    <row r="99" spans="1:24">
      <c r="A99" s="7" t="s">
        <v>672</v>
      </c>
      <c r="B99" s="16" t="s">
        <v>68</v>
      </c>
      <c r="X99">
        <v>1</v>
      </c>
    </row>
    <row r="100" spans="1:24">
      <c r="A100" s="7" t="s">
        <v>182</v>
      </c>
      <c r="B100" s="16" t="s">
        <v>94</v>
      </c>
      <c r="C100">
        <v>136206965.35451651</v>
      </c>
      <c r="D100">
        <v>141703483.85890356</v>
      </c>
      <c r="E100">
        <v>141441.44144144101</v>
      </c>
      <c r="F100">
        <v>54054.054054054002</v>
      </c>
      <c r="G100">
        <v>62</v>
      </c>
      <c r="H100">
        <v>43</v>
      </c>
      <c r="I100">
        <v>0</v>
      </c>
      <c r="J100">
        <v>0</v>
      </c>
      <c r="K100">
        <v>1</v>
      </c>
      <c r="M100">
        <v>73</v>
      </c>
      <c r="N100">
        <v>54</v>
      </c>
      <c r="O100">
        <v>141441.44144144101</v>
      </c>
      <c r="P100">
        <v>4477477.4774774769</v>
      </c>
      <c r="R100">
        <v>17</v>
      </c>
      <c r="S100">
        <v>12113198.198198197</v>
      </c>
      <c r="T100">
        <v>15245981.981981982</v>
      </c>
      <c r="U100">
        <v>992882.88288288296</v>
      </c>
      <c r="V100">
        <v>1633963.963963964</v>
      </c>
      <c r="W100">
        <v>3821</v>
      </c>
      <c r="X100">
        <v>3505</v>
      </c>
    </row>
    <row r="101" spans="1:24">
      <c r="A101" s="7" t="s">
        <v>183</v>
      </c>
      <c r="B101" s="16" t="s">
        <v>94</v>
      </c>
      <c r="C101">
        <v>923011766.41077304</v>
      </c>
      <c r="D101">
        <v>867205587.73427308</v>
      </c>
      <c r="E101">
        <v>544891304.50450456</v>
      </c>
      <c r="F101">
        <v>962797861.26126134</v>
      </c>
      <c r="G101">
        <v>225</v>
      </c>
      <c r="H101">
        <v>169</v>
      </c>
      <c r="I101">
        <v>32</v>
      </c>
      <c r="J101">
        <v>24</v>
      </c>
      <c r="K101">
        <v>2</v>
      </c>
      <c r="M101">
        <v>252</v>
      </c>
      <c r="N101">
        <v>209</v>
      </c>
      <c r="O101">
        <v>52492162.162162162</v>
      </c>
      <c r="P101">
        <v>55315765.765765756</v>
      </c>
      <c r="Q101">
        <v>180</v>
      </c>
      <c r="R101">
        <v>523</v>
      </c>
      <c r="S101">
        <v>105473085.58558558</v>
      </c>
      <c r="T101">
        <v>106668376.12612613</v>
      </c>
      <c r="U101">
        <v>43878738.738738738</v>
      </c>
      <c r="V101">
        <v>46764414.414414413</v>
      </c>
      <c r="W101">
        <v>16172</v>
      </c>
      <c r="X101">
        <v>15988</v>
      </c>
    </row>
    <row r="102" spans="1:24">
      <c r="A102" s="7" t="s">
        <v>184</v>
      </c>
      <c r="B102" s="16" t="s">
        <v>89</v>
      </c>
      <c r="C102">
        <v>82431247.306223467</v>
      </c>
      <c r="D102">
        <v>78396410.878523022</v>
      </c>
      <c r="E102">
        <v>1047297.297297298</v>
      </c>
      <c r="F102">
        <v>785360.36036036105</v>
      </c>
      <c r="G102">
        <v>18</v>
      </c>
      <c r="H102">
        <v>17</v>
      </c>
      <c r="I102">
        <v>2</v>
      </c>
      <c r="J102">
        <v>6</v>
      </c>
      <c r="M102">
        <v>19</v>
      </c>
      <c r="N102">
        <v>19</v>
      </c>
      <c r="O102">
        <v>3381531.53153153</v>
      </c>
      <c r="P102">
        <v>3446306.3063063058</v>
      </c>
      <c r="Q102">
        <v>25</v>
      </c>
      <c r="R102">
        <v>45</v>
      </c>
      <c r="S102">
        <v>26411531.531531531</v>
      </c>
      <c r="T102">
        <v>26484036.036036037</v>
      </c>
      <c r="U102">
        <v>3281711.7117117108</v>
      </c>
      <c r="V102">
        <v>3495675.6756756762</v>
      </c>
      <c r="W102">
        <v>2063</v>
      </c>
      <c r="X102">
        <v>1615</v>
      </c>
    </row>
    <row r="103" spans="1:24">
      <c r="A103" s="7" t="s">
        <v>185</v>
      </c>
      <c r="B103" s="16" t="s">
        <v>60</v>
      </c>
      <c r="C103">
        <v>45254705.091744125</v>
      </c>
      <c r="D103">
        <v>47020239.528215319</v>
      </c>
      <c r="E103">
        <v>360360.36036036001</v>
      </c>
      <c r="F103">
        <v>259459.45945946101</v>
      </c>
      <c r="G103">
        <v>7</v>
      </c>
      <c r="H103">
        <v>10</v>
      </c>
      <c r="I103">
        <v>1</v>
      </c>
      <c r="J103">
        <v>3</v>
      </c>
      <c r="M103">
        <v>7</v>
      </c>
      <c r="N103">
        <v>12</v>
      </c>
      <c r="O103">
        <v>2756306.3063063058</v>
      </c>
      <c r="P103">
        <v>1250450.450450452</v>
      </c>
      <c r="Q103">
        <v>13</v>
      </c>
      <c r="S103">
        <v>16348423.423423424</v>
      </c>
      <c r="T103">
        <v>16415921.171171172</v>
      </c>
      <c r="U103">
        <v>2535585.5855855849</v>
      </c>
      <c r="V103">
        <v>953603.60360360402</v>
      </c>
      <c r="W103">
        <v>806</v>
      </c>
      <c r="X103">
        <v>857</v>
      </c>
    </row>
    <row r="104" spans="1:24">
      <c r="A104" s="7" t="s">
        <v>186</v>
      </c>
      <c r="B104" s="16" t="s">
        <v>167</v>
      </c>
      <c r="C104">
        <v>109679593.36030973</v>
      </c>
      <c r="D104">
        <v>117544483.58919974</v>
      </c>
      <c r="E104">
        <v>7207.207207208</v>
      </c>
      <c r="F104">
        <v>1630405.4054054059</v>
      </c>
      <c r="G104">
        <v>21</v>
      </c>
      <c r="H104">
        <v>5</v>
      </c>
      <c r="I104">
        <v>2</v>
      </c>
      <c r="J104">
        <v>5</v>
      </c>
      <c r="M104">
        <v>27</v>
      </c>
      <c r="N104">
        <v>6</v>
      </c>
      <c r="O104">
        <v>268468.468468468</v>
      </c>
      <c r="P104">
        <v>1671171.1711711721</v>
      </c>
      <c r="S104">
        <v>27811981.981981985</v>
      </c>
      <c r="T104">
        <v>31528135.135135137</v>
      </c>
      <c r="U104">
        <v>396396.39639639598</v>
      </c>
      <c r="V104">
        <v>268828.82882882899</v>
      </c>
      <c r="W104">
        <v>2752</v>
      </c>
      <c r="X104">
        <v>2622</v>
      </c>
    </row>
    <row r="105" spans="1:24">
      <c r="A105" s="7" t="s">
        <v>187</v>
      </c>
      <c r="B105" s="16" t="s">
        <v>167</v>
      </c>
      <c r="C105">
        <v>329271557.31993324</v>
      </c>
      <c r="D105">
        <v>310713265.77812672</v>
      </c>
      <c r="E105">
        <v>22522.522522523999</v>
      </c>
      <c r="F105">
        <v>1033333.333333336</v>
      </c>
      <c r="G105">
        <v>100</v>
      </c>
      <c r="H105">
        <v>33</v>
      </c>
      <c r="I105">
        <v>3</v>
      </c>
      <c r="J105">
        <v>7</v>
      </c>
      <c r="M105">
        <v>115</v>
      </c>
      <c r="N105">
        <v>36</v>
      </c>
      <c r="O105">
        <v>8463963.9639639668</v>
      </c>
      <c r="P105">
        <v>12394175.675675675</v>
      </c>
      <c r="Q105">
        <v>30</v>
      </c>
      <c r="R105">
        <v>15</v>
      </c>
      <c r="S105">
        <v>65925594.59459459</v>
      </c>
      <c r="T105">
        <v>63291270.270270273</v>
      </c>
      <c r="U105">
        <v>8487387.3873873856</v>
      </c>
      <c r="V105">
        <v>9439459.4594594631</v>
      </c>
      <c r="W105">
        <v>5818</v>
      </c>
      <c r="X105">
        <v>5536</v>
      </c>
    </row>
    <row r="106" spans="1:24">
      <c r="A106" s="7" t="s">
        <v>188</v>
      </c>
      <c r="B106" s="16" t="s">
        <v>189</v>
      </c>
      <c r="C106">
        <v>144600733.68825206</v>
      </c>
      <c r="D106">
        <v>136923173.7544131</v>
      </c>
      <c r="E106">
        <v>632432.43243243196</v>
      </c>
      <c r="F106">
        <v>270270.27027027</v>
      </c>
      <c r="G106">
        <v>23</v>
      </c>
      <c r="H106">
        <v>19</v>
      </c>
      <c r="I106">
        <v>0</v>
      </c>
      <c r="M106">
        <v>27</v>
      </c>
      <c r="N106">
        <v>22</v>
      </c>
      <c r="O106">
        <v>2614414.4144144142</v>
      </c>
      <c r="P106">
        <v>2072072.072072072</v>
      </c>
      <c r="Q106">
        <v>1</v>
      </c>
      <c r="S106">
        <v>11444324.324324325</v>
      </c>
      <c r="T106">
        <v>9848234.2342342362</v>
      </c>
      <c r="U106">
        <v>2577477.4774774769</v>
      </c>
      <c r="V106">
        <v>1740540.5405405411</v>
      </c>
      <c r="W106">
        <v>1740</v>
      </c>
      <c r="X106">
        <v>1662</v>
      </c>
    </row>
    <row r="107" spans="1:24">
      <c r="A107" s="7" t="s">
        <v>190</v>
      </c>
      <c r="B107" s="16" t="s">
        <v>134</v>
      </c>
      <c r="C107">
        <v>33322687.174322873</v>
      </c>
      <c r="D107">
        <v>32652352.343005452</v>
      </c>
      <c r="F107">
        <v>13513.513513514001</v>
      </c>
      <c r="G107">
        <v>19</v>
      </c>
      <c r="H107">
        <v>20</v>
      </c>
      <c r="J107">
        <v>0</v>
      </c>
      <c r="M107">
        <v>23</v>
      </c>
      <c r="N107">
        <v>21</v>
      </c>
      <c r="O107">
        <v>45045.045045045001</v>
      </c>
      <c r="P107">
        <v>58558.558558559002</v>
      </c>
      <c r="Q107">
        <v>5</v>
      </c>
      <c r="R107">
        <v>6</v>
      </c>
      <c r="S107">
        <v>3963153.1531531541</v>
      </c>
      <c r="T107">
        <v>2343828.8288288289</v>
      </c>
      <c r="U107">
        <v>45045.045045045001</v>
      </c>
      <c r="V107">
        <v>166666.66666666701</v>
      </c>
      <c r="W107">
        <v>1352</v>
      </c>
      <c r="X107">
        <v>916</v>
      </c>
    </row>
    <row r="108" spans="1:24">
      <c r="A108" s="7" t="s">
        <v>191</v>
      </c>
      <c r="B108" s="16" t="s">
        <v>60</v>
      </c>
      <c r="C108">
        <v>209306234.31742528</v>
      </c>
      <c r="D108">
        <v>196258123.47388393</v>
      </c>
      <c r="E108">
        <v>1330630.630630631</v>
      </c>
      <c r="F108">
        <v>2879054.054054053</v>
      </c>
      <c r="G108">
        <v>49</v>
      </c>
      <c r="H108">
        <v>18</v>
      </c>
      <c r="I108">
        <v>3</v>
      </c>
      <c r="J108">
        <v>10</v>
      </c>
      <c r="M108">
        <v>64</v>
      </c>
      <c r="N108">
        <v>73</v>
      </c>
      <c r="O108">
        <v>14474774.774774777</v>
      </c>
      <c r="P108">
        <v>16699099.099099098</v>
      </c>
      <c r="Q108">
        <v>83</v>
      </c>
      <c r="R108">
        <v>122</v>
      </c>
      <c r="S108">
        <v>68905792.792792797</v>
      </c>
      <c r="T108">
        <v>65388369.369369365</v>
      </c>
      <c r="U108">
        <v>14913783.783783782</v>
      </c>
      <c r="V108">
        <v>15762612.612612614</v>
      </c>
      <c r="W108">
        <v>4028</v>
      </c>
      <c r="X108">
        <v>3942</v>
      </c>
    </row>
    <row r="109" spans="1:24">
      <c r="A109" s="7" t="s">
        <v>192</v>
      </c>
      <c r="B109" s="16" t="s">
        <v>60</v>
      </c>
      <c r="C109">
        <v>355953942.63727725</v>
      </c>
      <c r="D109">
        <v>339629510.52036017</v>
      </c>
      <c r="E109">
        <v>2892792.7927927929</v>
      </c>
      <c r="F109">
        <v>3093693.6936936928</v>
      </c>
      <c r="G109">
        <v>63</v>
      </c>
      <c r="H109">
        <v>28</v>
      </c>
      <c r="I109">
        <v>3</v>
      </c>
      <c r="J109">
        <v>9</v>
      </c>
      <c r="M109">
        <v>71</v>
      </c>
      <c r="N109">
        <v>38</v>
      </c>
      <c r="O109">
        <v>13176576.576576576</v>
      </c>
      <c r="P109">
        <v>18562162.162162159</v>
      </c>
      <c r="Q109">
        <v>64</v>
      </c>
      <c r="R109">
        <v>51</v>
      </c>
      <c r="S109">
        <v>82457117.117117122</v>
      </c>
      <c r="T109">
        <v>81680279.279279277</v>
      </c>
      <c r="U109">
        <v>13327297.297297299</v>
      </c>
      <c r="V109">
        <v>18437477.47747748</v>
      </c>
      <c r="W109">
        <v>6639</v>
      </c>
      <c r="X109">
        <v>6480</v>
      </c>
    </row>
    <row r="110" spans="1:24">
      <c r="A110" s="7" t="s">
        <v>2</v>
      </c>
      <c r="B110" s="16" t="s">
        <v>193</v>
      </c>
      <c r="C110">
        <v>44956205.900216006</v>
      </c>
      <c r="D110">
        <v>36650879.354137994</v>
      </c>
      <c r="E110">
        <v>55507432.432432435</v>
      </c>
      <c r="F110">
        <v>91031531.531531543</v>
      </c>
      <c r="G110">
        <v>9</v>
      </c>
      <c r="H110">
        <v>4</v>
      </c>
      <c r="I110">
        <v>3</v>
      </c>
      <c r="J110">
        <v>0</v>
      </c>
      <c r="M110">
        <v>10</v>
      </c>
      <c r="N110">
        <v>5</v>
      </c>
      <c r="O110">
        <v>2595945.945945946</v>
      </c>
      <c r="P110">
        <v>7268243.2432432435</v>
      </c>
      <c r="Q110">
        <v>6</v>
      </c>
      <c r="S110">
        <v>23908783.783783782</v>
      </c>
      <c r="T110">
        <v>20883819.819819819</v>
      </c>
      <c r="U110">
        <v>330180.18018018099</v>
      </c>
      <c r="V110">
        <v>6509009.0090090092</v>
      </c>
      <c r="W110">
        <v>983</v>
      </c>
      <c r="X110">
        <v>1093</v>
      </c>
    </row>
    <row r="111" spans="1:24">
      <c r="A111" s="7" t="s">
        <v>194</v>
      </c>
      <c r="B111" s="16" t="s">
        <v>195</v>
      </c>
      <c r="C111">
        <v>1188108091.3640671</v>
      </c>
      <c r="D111">
        <v>1187437589.4712236</v>
      </c>
      <c r="E111">
        <v>31404279.27927928</v>
      </c>
      <c r="F111">
        <v>71048423.423423424</v>
      </c>
      <c r="G111">
        <v>305</v>
      </c>
      <c r="H111">
        <v>287</v>
      </c>
      <c r="I111">
        <v>4</v>
      </c>
      <c r="J111">
        <v>10</v>
      </c>
      <c r="M111">
        <v>337</v>
      </c>
      <c r="N111">
        <v>456</v>
      </c>
      <c r="O111">
        <v>52077927.927927926</v>
      </c>
      <c r="P111">
        <v>53933693.693693697</v>
      </c>
      <c r="Q111">
        <v>142</v>
      </c>
      <c r="R111">
        <v>198</v>
      </c>
      <c r="S111">
        <v>213325531.53153151</v>
      </c>
      <c r="T111">
        <v>230284864.86486486</v>
      </c>
      <c r="U111">
        <v>48290450.45045045</v>
      </c>
      <c r="V111">
        <v>46153603.603603601</v>
      </c>
      <c r="W111">
        <v>18292</v>
      </c>
      <c r="X111">
        <v>17329</v>
      </c>
    </row>
    <row r="112" spans="1:24">
      <c r="A112" s="7" t="s">
        <v>196</v>
      </c>
      <c r="B112" s="16" t="s">
        <v>80</v>
      </c>
      <c r="C112">
        <v>363711239.25525421</v>
      </c>
      <c r="D112">
        <v>364975769.21293604</v>
      </c>
      <c r="E112">
        <v>242342.342342344</v>
      </c>
      <c r="F112">
        <v>1807207.2072072099</v>
      </c>
      <c r="G112">
        <v>92</v>
      </c>
      <c r="H112">
        <v>86</v>
      </c>
      <c r="I112">
        <v>17</v>
      </c>
      <c r="J112">
        <v>11</v>
      </c>
      <c r="M112">
        <v>97</v>
      </c>
      <c r="N112">
        <v>97</v>
      </c>
      <c r="O112">
        <v>52354054.054054052</v>
      </c>
      <c r="P112">
        <v>43590990.990990981</v>
      </c>
      <c r="Q112">
        <v>139</v>
      </c>
      <c r="R112">
        <v>300</v>
      </c>
      <c r="S112">
        <v>95574944.144144148</v>
      </c>
      <c r="T112">
        <v>100657675.67567568</v>
      </c>
      <c r="U112">
        <v>51486800</v>
      </c>
      <c r="V112">
        <v>46205855.855855852</v>
      </c>
      <c r="W112">
        <v>6602</v>
      </c>
      <c r="X112">
        <v>6756</v>
      </c>
    </row>
    <row r="113" spans="1:24">
      <c r="A113" s="7" t="s">
        <v>197</v>
      </c>
      <c r="B113" s="16" t="s">
        <v>108</v>
      </c>
      <c r="C113">
        <v>282686337.89754778</v>
      </c>
      <c r="D113">
        <v>289931780.5665834</v>
      </c>
      <c r="E113">
        <v>1105675.6756756781</v>
      </c>
      <c r="F113">
        <v>2503603.6036036029</v>
      </c>
      <c r="G113">
        <v>84</v>
      </c>
      <c r="H113">
        <v>100</v>
      </c>
      <c r="I113">
        <v>3</v>
      </c>
      <c r="J113">
        <v>7</v>
      </c>
      <c r="M113">
        <v>100</v>
      </c>
      <c r="N113">
        <v>117</v>
      </c>
      <c r="O113">
        <v>18432252.252252247</v>
      </c>
      <c r="P113">
        <v>15999999.999999996</v>
      </c>
      <c r="Q113">
        <v>182</v>
      </c>
      <c r="R113">
        <v>73</v>
      </c>
      <c r="S113">
        <v>83217477.477477476</v>
      </c>
      <c r="T113">
        <v>89686621.621621609</v>
      </c>
      <c r="U113">
        <v>18504684.684684683</v>
      </c>
      <c r="V113">
        <v>16020180.180180181</v>
      </c>
      <c r="W113">
        <v>7131</v>
      </c>
      <c r="X113">
        <v>6990</v>
      </c>
    </row>
    <row r="114" spans="1:24">
      <c r="A114" s="7" t="s">
        <v>198</v>
      </c>
      <c r="B114" s="16" t="s">
        <v>92</v>
      </c>
      <c r="C114">
        <v>159270749.29084763</v>
      </c>
      <c r="D114">
        <v>155912447.91256562</v>
      </c>
      <c r="E114">
        <v>47330059.459459461</v>
      </c>
      <c r="F114">
        <v>139531841.44144145</v>
      </c>
      <c r="G114">
        <v>34</v>
      </c>
      <c r="H114">
        <v>143</v>
      </c>
      <c r="I114">
        <v>7</v>
      </c>
      <c r="J114">
        <v>5</v>
      </c>
      <c r="M114">
        <v>36</v>
      </c>
      <c r="N114">
        <v>246</v>
      </c>
      <c r="O114">
        <v>25280360.360360362</v>
      </c>
      <c r="P114">
        <v>59180990.990990989</v>
      </c>
      <c r="Q114">
        <v>56</v>
      </c>
      <c r="R114">
        <v>152</v>
      </c>
      <c r="S114">
        <v>40790000</v>
      </c>
      <c r="T114">
        <v>42644009.009009011</v>
      </c>
      <c r="U114">
        <v>19110000</v>
      </c>
      <c r="V114">
        <v>48674324.324324325</v>
      </c>
      <c r="W114">
        <v>2329</v>
      </c>
      <c r="X114">
        <v>2743</v>
      </c>
    </row>
    <row r="115" spans="1:24">
      <c r="A115" s="7" t="s">
        <v>199</v>
      </c>
      <c r="B115" s="16" t="s">
        <v>123</v>
      </c>
      <c r="C115">
        <v>154703066.75398496</v>
      </c>
      <c r="D115">
        <v>145607646.36438921</v>
      </c>
      <c r="E115">
        <v>490990.99099099101</v>
      </c>
      <c r="F115">
        <v>544144.14414414403</v>
      </c>
      <c r="G115">
        <v>60</v>
      </c>
      <c r="H115">
        <v>42</v>
      </c>
      <c r="I115">
        <v>2</v>
      </c>
      <c r="J115">
        <v>2</v>
      </c>
      <c r="M115">
        <v>63</v>
      </c>
      <c r="N115">
        <v>47</v>
      </c>
      <c r="O115">
        <v>8582522.5225225221</v>
      </c>
      <c r="P115">
        <v>4318558.558558559</v>
      </c>
      <c r="Q115">
        <v>10</v>
      </c>
      <c r="R115">
        <v>6</v>
      </c>
      <c r="S115">
        <v>31789819.819819819</v>
      </c>
      <c r="T115">
        <v>26982432.432432432</v>
      </c>
      <c r="U115">
        <v>6132972.9729729732</v>
      </c>
      <c r="V115">
        <v>5654324.3243243247</v>
      </c>
      <c r="W115">
        <v>2498</v>
      </c>
      <c r="X115">
        <v>2467</v>
      </c>
    </row>
    <row r="116" spans="1:24">
      <c r="A116" s="7" t="s">
        <v>674</v>
      </c>
      <c r="B116" s="16" t="s">
        <v>60</v>
      </c>
      <c r="W116">
        <v>1</v>
      </c>
    </row>
    <row r="117" spans="1:24">
      <c r="A117" s="7" t="s">
        <v>200</v>
      </c>
      <c r="B117" s="16" t="s">
        <v>60</v>
      </c>
      <c r="C117">
        <v>106017485.95370111</v>
      </c>
      <c r="D117">
        <v>105129148.89543504</v>
      </c>
      <c r="E117">
        <v>61261.261261262</v>
      </c>
      <c r="F117">
        <v>1602702.7027027039</v>
      </c>
      <c r="G117">
        <v>31</v>
      </c>
      <c r="H117">
        <v>27</v>
      </c>
      <c r="I117">
        <v>3</v>
      </c>
      <c r="J117">
        <v>5</v>
      </c>
      <c r="M117">
        <v>41</v>
      </c>
      <c r="N117">
        <v>29</v>
      </c>
      <c r="O117">
        <v>13439639.639639638</v>
      </c>
      <c r="P117">
        <v>12836936.936936937</v>
      </c>
      <c r="Q117">
        <v>112</v>
      </c>
      <c r="R117">
        <v>95</v>
      </c>
      <c r="S117">
        <v>17853639.639639638</v>
      </c>
      <c r="T117">
        <v>19488346.846846849</v>
      </c>
      <c r="U117">
        <v>8840180.180180179</v>
      </c>
      <c r="V117">
        <v>7562522.5225225221</v>
      </c>
      <c r="W117">
        <v>3400</v>
      </c>
      <c r="X117">
        <v>3571</v>
      </c>
    </row>
    <row r="118" spans="1:24">
      <c r="A118" s="7" t="s">
        <v>201</v>
      </c>
      <c r="B118" s="16" t="s">
        <v>60</v>
      </c>
      <c r="C118">
        <v>36378035.562446654</v>
      </c>
      <c r="D118">
        <v>35082571.104549773</v>
      </c>
      <c r="E118">
        <v>222702.70270270301</v>
      </c>
      <c r="F118">
        <v>226126.126126127</v>
      </c>
      <c r="G118">
        <v>14</v>
      </c>
      <c r="H118">
        <v>15</v>
      </c>
      <c r="I118">
        <v>3</v>
      </c>
      <c r="J118">
        <v>2</v>
      </c>
      <c r="M118">
        <v>15</v>
      </c>
      <c r="N118">
        <v>16</v>
      </c>
      <c r="O118">
        <v>2231711.7117117122</v>
      </c>
      <c r="P118">
        <v>2199099.0990990992</v>
      </c>
      <c r="Q118">
        <v>26</v>
      </c>
      <c r="R118">
        <v>19</v>
      </c>
      <c r="S118">
        <v>7064909.9099099096</v>
      </c>
      <c r="T118">
        <v>6473180.1801801808</v>
      </c>
      <c r="U118">
        <v>1545045.045045045</v>
      </c>
      <c r="V118">
        <v>514234.23423423403</v>
      </c>
      <c r="W118">
        <v>1149</v>
      </c>
      <c r="X118">
        <v>1161</v>
      </c>
    </row>
    <row r="119" spans="1:24">
      <c r="A119" s="7" t="s">
        <v>202</v>
      </c>
      <c r="B119" s="16" t="s">
        <v>121</v>
      </c>
      <c r="C119">
        <v>72548189.858361349</v>
      </c>
      <c r="D119">
        <v>67256302.705450147</v>
      </c>
      <c r="E119">
        <v>126126.12612612599</v>
      </c>
      <c r="F119">
        <v>549549.54954955005</v>
      </c>
      <c r="G119">
        <v>42</v>
      </c>
      <c r="H119">
        <v>37</v>
      </c>
      <c r="I119">
        <v>5</v>
      </c>
      <c r="J119">
        <v>6</v>
      </c>
      <c r="M119">
        <v>50</v>
      </c>
      <c r="N119">
        <v>42</v>
      </c>
      <c r="O119">
        <v>324324.32432432403</v>
      </c>
      <c r="P119">
        <v>1905405.4054054059</v>
      </c>
      <c r="Q119">
        <v>3</v>
      </c>
      <c r="R119">
        <v>100</v>
      </c>
      <c r="S119">
        <v>6441306.3063063072</v>
      </c>
      <c r="T119">
        <v>6431963.963963965</v>
      </c>
      <c r="U119">
        <v>337567.56756756798</v>
      </c>
      <c r="V119">
        <v>1427477.4774774781</v>
      </c>
      <c r="W119">
        <v>1581</v>
      </c>
      <c r="X119">
        <v>1396</v>
      </c>
    </row>
    <row r="120" spans="1:24">
      <c r="A120" s="7" t="s">
        <v>203</v>
      </c>
      <c r="B120" s="16" t="s">
        <v>54</v>
      </c>
      <c r="C120">
        <v>112970415.9672267</v>
      </c>
      <c r="D120">
        <v>107546200.94373187</v>
      </c>
      <c r="E120">
        <v>592792.79279279301</v>
      </c>
      <c r="F120">
        <v>703603.60360360402</v>
      </c>
      <c r="G120">
        <v>26</v>
      </c>
      <c r="H120">
        <v>26</v>
      </c>
      <c r="I120">
        <v>2</v>
      </c>
      <c r="J120">
        <v>4</v>
      </c>
      <c r="M120">
        <v>27</v>
      </c>
      <c r="N120">
        <v>26</v>
      </c>
      <c r="O120">
        <v>7115315.3153153136</v>
      </c>
      <c r="P120">
        <v>5735135.1351351338</v>
      </c>
      <c r="Q120">
        <v>58</v>
      </c>
      <c r="R120">
        <v>40</v>
      </c>
      <c r="S120">
        <v>28773378.37837838</v>
      </c>
      <c r="T120">
        <v>28039846.846846849</v>
      </c>
      <c r="U120">
        <v>6419009.0090090111</v>
      </c>
      <c r="V120">
        <v>6003243.2432432417</v>
      </c>
      <c r="W120">
        <v>3675</v>
      </c>
      <c r="X120">
        <v>4083</v>
      </c>
    </row>
    <row r="121" spans="1:24">
      <c r="A121" s="7" t="s">
        <v>204</v>
      </c>
      <c r="B121" s="16" t="s">
        <v>136</v>
      </c>
      <c r="C121">
        <v>437249975.57406837</v>
      </c>
      <c r="D121">
        <v>389128786.24008894</v>
      </c>
      <c r="E121">
        <v>402252.25225225202</v>
      </c>
      <c r="F121">
        <v>787387.38738738804</v>
      </c>
      <c r="G121">
        <v>99</v>
      </c>
      <c r="H121">
        <v>57</v>
      </c>
      <c r="I121">
        <v>9</v>
      </c>
      <c r="J121">
        <v>9</v>
      </c>
      <c r="M121">
        <v>106</v>
      </c>
      <c r="N121">
        <v>65</v>
      </c>
      <c r="O121">
        <v>42977747.747747742</v>
      </c>
      <c r="P121">
        <v>33102702.702702701</v>
      </c>
      <c r="Q121">
        <v>77</v>
      </c>
      <c r="R121">
        <v>95</v>
      </c>
      <c r="S121">
        <v>70990900.9009009</v>
      </c>
      <c r="T121">
        <v>68792220.720720723</v>
      </c>
      <c r="U121">
        <v>37102252.252252258</v>
      </c>
      <c r="V121">
        <v>27752342.342342339</v>
      </c>
      <c r="W121">
        <v>5498</v>
      </c>
      <c r="X121">
        <v>5888</v>
      </c>
    </row>
    <row r="122" spans="1:24">
      <c r="A122" s="7" t="s">
        <v>205</v>
      </c>
      <c r="B122" s="16" t="s">
        <v>136</v>
      </c>
      <c r="C122">
        <v>203496072.14778516</v>
      </c>
      <c r="D122">
        <v>195341885.26133686</v>
      </c>
      <c r="E122">
        <v>278378.37837837799</v>
      </c>
      <c r="F122">
        <v>658558.55855855905</v>
      </c>
      <c r="G122">
        <v>53</v>
      </c>
      <c r="H122">
        <v>36</v>
      </c>
      <c r="I122">
        <v>5</v>
      </c>
      <c r="J122">
        <v>1</v>
      </c>
      <c r="M122">
        <v>59</v>
      </c>
      <c r="N122">
        <v>42</v>
      </c>
      <c r="O122">
        <v>10181081.081081079</v>
      </c>
      <c r="P122">
        <v>6226126.1261261255</v>
      </c>
      <c r="Q122">
        <v>50</v>
      </c>
      <c r="R122">
        <v>18</v>
      </c>
      <c r="S122">
        <v>36296349.54954955</v>
      </c>
      <c r="T122">
        <v>37293980.180180177</v>
      </c>
      <c r="U122">
        <v>6842702.7027027039</v>
      </c>
      <c r="V122">
        <v>3602972.9729729742</v>
      </c>
      <c r="W122">
        <v>3137</v>
      </c>
      <c r="X122">
        <v>3099</v>
      </c>
    </row>
    <row r="123" spans="1:24">
      <c r="A123" s="7" t="s">
        <v>206</v>
      </c>
      <c r="B123" s="16" t="s">
        <v>169</v>
      </c>
      <c r="C123">
        <v>447735777.85195947</v>
      </c>
      <c r="D123">
        <v>454603934.97146094</v>
      </c>
      <c r="E123">
        <v>341441.441441442</v>
      </c>
      <c r="F123">
        <v>1471171.1711711709</v>
      </c>
      <c r="G123">
        <v>57</v>
      </c>
      <c r="H123">
        <v>18</v>
      </c>
      <c r="I123">
        <v>0</v>
      </c>
      <c r="J123">
        <v>2</v>
      </c>
      <c r="M123">
        <v>58</v>
      </c>
      <c r="N123">
        <v>20</v>
      </c>
      <c r="O123">
        <v>2823098918.9189191</v>
      </c>
      <c r="P123">
        <v>2467686328.8288288</v>
      </c>
      <c r="Q123">
        <v>1506</v>
      </c>
      <c r="R123">
        <v>45</v>
      </c>
      <c r="S123">
        <v>212945621.62162164</v>
      </c>
      <c r="T123">
        <v>215656801.8018018</v>
      </c>
      <c r="U123">
        <v>1116059884.6846848</v>
      </c>
      <c r="V123">
        <v>683932846.84684682</v>
      </c>
      <c r="W123">
        <v>7482</v>
      </c>
      <c r="X123">
        <v>7678</v>
      </c>
    </row>
    <row r="124" spans="1:24">
      <c r="A124" s="7" t="s">
        <v>207</v>
      </c>
      <c r="B124" s="16" t="s">
        <v>161</v>
      </c>
      <c r="C124">
        <v>507323023.71893096</v>
      </c>
      <c r="D124">
        <v>505347126.56917554</v>
      </c>
      <c r="E124">
        <v>136966868.46846849</v>
      </c>
      <c r="F124">
        <v>131752722.52252252</v>
      </c>
      <c r="G124">
        <v>261</v>
      </c>
      <c r="H124">
        <v>314</v>
      </c>
      <c r="I124">
        <v>37</v>
      </c>
      <c r="J124">
        <v>32</v>
      </c>
      <c r="M124">
        <v>311</v>
      </c>
      <c r="N124">
        <v>536</v>
      </c>
      <c r="O124">
        <v>88437079.279279277</v>
      </c>
      <c r="P124">
        <v>70790441.441441447</v>
      </c>
      <c r="Q124">
        <v>196</v>
      </c>
      <c r="R124">
        <v>200</v>
      </c>
      <c r="S124">
        <v>147833666.66666666</v>
      </c>
      <c r="T124">
        <v>147094743.24324322</v>
      </c>
      <c r="U124">
        <v>74734677.477477476</v>
      </c>
      <c r="V124">
        <v>60426882.882882886</v>
      </c>
      <c r="W124">
        <v>12241</v>
      </c>
      <c r="X124">
        <v>12536</v>
      </c>
    </row>
    <row r="125" spans="1:24">
      <c r="A125" s="7" t="s">
        <v>208</v>
      </c>
      <c r="B125" s="16" t="s">
        <v>76</v>
      </c>
      <c r="C125">
        <v>21173335.906317472</v>
      </c>
      <c r="D125">
        <v>15144885.090231271</v>
      </c>
      <c r="G125">
        <v>4</v>
      </c>
      <c r="I125">
        <v>0</v>
      </c>
      <c r="J125">
        <v>0</v>
      </c>
      <c r="M125">
        <v>4</v>
      </c>
      <c r="S125">
        <v>986936.93693693599</v>
      </c>
      <c r="T125">
        <v>1087522.5225225219</v>
      </c>
      <c r="W125">
        <v>536</v>
      </c>
      <c r="X125">
        <v>495</v>
      </c>
    </row>
    <row r="126" spans="1:24">
      <c r="A126" s="7" t="s">
        <v>209</v>
      </c>
      <c r="B126" s="16" t="s">
        <v>76</v>
      </c>
      <c r="C126">
        <v>245805207.86575899</v>
      </c>
      <c r="D126">
        <v>222080583.18885139</v>
      </c>
      <c r="E126">
        <v>299486664.86486489</v>
      </c>
      <c r="F126">
        <v>148439681.08108109</v>
      </c>
      <c r="G126">
        <v>84</v>
      </c>
      <c r="H126">
        <v>119</v>
      </c>
      <c r="I126">
        <v>7</v>
      </c>
      <c r="J126">
        <v>14</v>
      </c>
      <c r="K126">
        <v>5</v>
      </c>
      <c r="M126">
        <v>101</v>
      </c>
      <c r="N126">
        <v>242</v>
      </c>
      <c r="O126">
        <v>24288386.486486487</v>
      </c>
      <c r="P126">
        <v>25514054.054054048</v>
      </c>
      <c r="Q126">
        <v>205</v>
      </c>
      <c r="R126">
        <v>244</v>
      </c>
      <c r="S126">
        <v>33042774.774774775</v>
      </c>
      <c r="T126">
        <v>35276684.684684686</v>
      </c>
      <c r="U126">
        <v>25697567.567567568</v>
      </c>
      <c r="V126">
        <v>23614054.054054052</v>
      </c>
      <c r="W126">
        <v>4803</v>
      </c>
      <c r="X126">
        <v>4470</v>
      </c>
    </row>
    <row r="127" spans="1:24">
      <c r="A127" s="7" t="s">
        <v>210</v>
      </c>
      <c r="B127" s="16" t="s">
        <v>76</v>
      </c>
      <c r="C127">
        <v>290823449.95041168</v>
      </c>
      <c r="D127">
        <v>280659765.81401938</v>
      </c>
      <c r="E127">
        <v>1602027.0270270309</v>
      </c>
      <c r="F127">
        <v>4183783.7837837888</v>
      </c>
      <c r="G127">
        <v>145</v>
      </c>
      <c r="H127">
        <v>160</v>
      </c>
      <c r="I127">
        <v>20</v>
      </c>
      <c r="J127">
        <v>18</v>
      </c>
      <c r="K127">
        <v>8</v>
      </c>
      <c r="M127">
        <v>170</v>
      </c>
      <c r="N127">
        <v>250</v>
      </c>
      <c r="O127">
        <v>99889189.189189181</v>
      </c>
      <c r="P127">
        <v>97925045.045045033</v>
      </c>
      <c r="Q127">
        <v>213</v>
      </c>
      <c r="R127">
        <v>553</v>
      </c>
      <c r="S127">
        <v>87254194.594594598</v>
      </c>
      <c r="T127">
        <v>86603790.990990996</v>
      </c>
      <c r="U127">
        <v>72062518.918918908</v>
      </c>
      <c r="V127">
        <v>71325178.378378376</v>
      </c>
      <c r="W127">
        <v>6837</v>
      </c>
      <c r="X127">
        <v>6827</v>
      </c>
    </row>
    <row r="128" spans="1:24">
      <c r="A128" s="7" t="s">
        <v>211</v>
      </c>
      <c r="B128" s="16" t="s">
        <v>76</v>
      </c>
      <c r="C128">
        <v>198306452.3640132</v>
      </c>
      <c r="D128">
        <v>206226086.39197531</v>
      </c>
      <c r="E128">
        <v>2003378.378378381</v>
      </c>
      <c r="F128">
        <v>2879954.9549549608</v>
      </c>
      <c r="G128">
        <v>86</v>
      </c>
      <c r="H128">
        <v>88</v>
      </c>
      <c r="I128">
        <v>12</v>
      </c>
      <c r="J128">
        <v>16</v>
      </c>
      <c r="M128">
        <v>103</v>
      </c>
      <c r="N128">
        <v>106</v>
      </c>
      <c r="O128">
        <v>18711261.261261258</v>
      </c>
      <c r="P128">
        <v>16247207.20720721</v>
      </c>
      <c r="Q128">
        <v>110</v>
      </c>
      <c r="R128">
        <v>21</v>
      </c>
      <c r="S128">
        <v>28717684.684684683</v>
      </c>
      <c r="T128">
        <v>32000551.801801801</v>
      </c>
      <c r="U128">
        <v>18015765.765765768</v>
      </c>
      <c r="V128">
        <v>15515315.315315315</v>
      </c>
      <c r="W128">
        <v>3973</v>
      </c>
      <c r="X128">
        <v>15880</v>
      </c>
    </row>
    <row r="129" spans="1:24">
      <c r="A129" s="7" t="s">
        <v>212</v>
      </c>
      <c r="B129" s="16" t="s">
        <v>76</v>
      </c>
      <c r="C129">
        <v>79374866.452670678</v>
      </c>
      <c r="D129">
        <v>75754098.552171916</v>
      </c>
      <c r="E129">
        <v>31981.981981982</v>
      </c>
      <c r="F129">
        <v>35135.135135135002</v>
      </c>
      <c r="G129">
        <v>21</v>
      </c>
      <c r="H129">
        <v>13</v>
      </c>
      <c r="I129">
        <v>1</v>
      </c>
      <c r="J129">
        <v>0</v>
      </c>
      <c r="M129">
        <v>21</v>
      </c>
      <c r="N129">
        <v>14</v>
      </c>
      <c r="O129">
        <v>1203153.1531531529</v>
      </c>
      <c r="P129">
        <v>1510090.0900900881</v>
      </c>
      <c r="Q129">
        <v>5</v>
      </c>
      <c r="R129">
        <v>5</v>
      </c>
      <c r="S129">
        <v>11286756.756756758</v>
      </c>
      <c r="T129">
        <v>11916180.180180181</v>
      </c>
      <c r="U129">
        <v>968198.19819819904</v>
      </c>
      <c r="V129">
        <v>1933153.1531531529</v>
      </c>
      <c r="W129">
        <v>1740</v>
      </c>
      <c r="X129">
        <v>2042</v>
      </c>
    </row>
    <row r="130" spans="1:24">
      <c r="A130" s="7" t="s">
        <v>213</v>
      </c>
      <c r="B130" s="16" t="s">
        <v>214</v>
      </c>
      <c r="C130">
        <v>95370806.796532407</v>
      </c>
      <c r="D130">
        <v>107044730.50151666</v>
      </c>
      <c r="E130">
        <v>213963.96396396399</v>
      </c>
      <c r="F130">
        <v>763963.96396396402</v>
      </c>
      <c r="G130">
        <v>21</v>
      </c>
      <c r="H130">
        <v>33</v>
      </c>
      <c r="I130">
        <v>4</v>
      </c>
      <c r="J130">
        <v>4</v>
      </c>
      <c r="M130">
        <v>22</v>
      </c>
      <c r="N130">
        <v>36</v>
      </c>
      <c r="O130">
        <v>13539369.369369373</v>
      </c>
      <c r="P130">
        <v>13457225.225225225</v>
      </c>
      <c r="Q130">
        <v>23</v>
      </c>
      <c r="R130">
        <v>46</v>
      </c>
      <c r="S130">
        <v>45215450.45045045</v>
      </c>
      <c r="T130">
        <v>48248549.54954955</v>
      </c>
      <c r="U130">
        <v>12066306.30630631</v>
      </c>
      <c r="V130">
        <v>11296396.396396397</v>
      </c>
      <c r="W130">
        <v>2282</v>
      </c>
      <c r="X130">
        <v>2272</v>
      </c>
    </row>
    <row r="131" spans="1:24">
      <c r="A131" s="7" t="s">
        <v>215</v>
      </c>
      <c r="B131" s="16" t="s">
        <v>167</v>
      </c>
      <c r="C131">
        <v>88110853.64608793</v>
      </c>
      <c r="D131">
        <v>116604688.73587361</v>
      </c>
      <c r="E131">
        <v>8108.1081081089997</v>
      </c>
      <c r="F131">
        <v>1833333.333333333</v>
      </c>
      <c r="G131">
        <v>8</v>
      </c>
      <c r="H131">
        <v>7</v>
      </c>
      <c r="I131">
        <v>1</v>
      </c>
      <c r="J131">
        <v>3</v>
      </c>
      <c r="M131">
        <v>9</v>
      </c>
      <c r="N131">
        <v>7</v>
      </c>
      <c r="O131">
        <v>8809909.9099099096</v>
      </c>
      <c r="P131">
        <v>2283783.7837837832</v>
      </c>
      <c r="Q131">
        <v>309</v>
      </c>
      <c r="R131">
        <v>19</v>
      </c>
      <c r="S131">
        <v>15848108.108108109</v>
      </c>
      <c r="T131">
        <v>20456846.846846849</v>
      </c>
      <c r="U131">
        <v>9098648.6486486476</v>
      </c>
      <c r="V131">
        <v>205855.855855856</v>
      </c>
      <c r="W131">
        <v>1616</v>
      </c>
      <c r="X131">
        <v>1899</v>
      </c>
    </row>
    <row r="132" spans="1:24">
      <c r="A132" s="7" t="s">
        <v>216</v>
      </c>
      <c r="B132" s="16" t="s">
        <v>85</v>
      </c>
      <c r="C132">
        <v>21588152.55021229</v>
      </c>
      <c r="D132">
        <v>26974670.473748598</v>
      </c>
      <c r="E132">
        <v>9909.9099099110008</v>
      </c>
      <c r="F132">
        <v>594594.59459459502</v>
      </c>
      <c r="G132">
        <v>3</v>
      </c>
      <c r="H132">
        <v>10</v>
      </c>
      <c r="I132">
        <v>3</v>
      </c>
      <c r="J132">
        <v>2</v>
      </c>
      <c r="M132">
        <v>3</v>
      </c>
      <c r="N132">
        <v>12</v>
      </c>
      <c r="O132">
        <v>48000900.900900893</v>
      </c>
      <c r="P132">
        <v>51049099.0990991</v>
      </c>
      <c r="Q132">
        <v>65</v>
      </c>
      <c r="R132">
        <v>126</v>
      </c>
      <c r="S132">
        <v>6488729.7297297297</v>
      </c>
      <c r="T132">
        <v>8421198.1981981974</v>
      </c>
      <c r="U132">
        <v>37775585.585585587</v>
      </c>
      <c r="V132">
        <v>43588378.378378376</v>
      </c>
      <c r="W132">
        <v>636</v>
      </c>
      <c r="X132">
        <v>629</v>
      </c>
    </row>
    <row r="133" spans="1:24">
      <c r="A133" s="7" t="s">
        <v>217</v>
      </c>
      <c r="B133" s="16" t="s">
        <v>85</v>
      </c>
      <c r="C133">
        <v>108067281.49165924</v>
      </c>
      <c r="D133">
        <v>104041701.04941694</v>
      </c>
      <c r="E133">
        <v>51351.351351352001</v>
      </c>
      <c r="F133">
        <v>421621.62162162201</v>
      </c>
      <c r="G133">
        <v>54</v>
      </c>
      <c r="H133">
        <v>36</v>
      </c>
      <c r="I133">
        <v>5</v>
      </c>
      <c r="J133">
        <v>4</v>
      </c>
      <c r="M133">
        <v>66</v>
      </c>
      <c r="N133">
        <v>40</v>
      </c>
      <c r="O133">
        <v>22177477.477477476</v>
      </c>
      <c r="P133">
        <v>27659189.189189192</v>
      </c>
      <c r="Q133">
        <v>52</v>
      </c>
      <c r="R133">
        <v>28</v>
      </c>
      <c r="S133">
        <v>18887432.432432432</v>
      </c>
      <c r="T133">
        <v>20366342.342342343</v>
      </c>
      <c r="U133">
        <v>18022882.882882886</v>
      </c>
      <c r="V133">
        <v>26957027.02702703</v>
      </c>
      <c r="W133">
        <v>2503</v>
      </c>
      <c r="X133">
        <v>2297</v>
      </c>
    </row>
    <row r="134" spans="1:24">
      <c r="A134" s="7" t="s">
        <v>218</v>
      </c>
      <c r="B134" s="16" t="s">
        <v>147</v>
      </c>
      <c r="C134">
        <v>105960121.76439895</v>
      </c>
      <c r="D134">
        <v>101601350.63264266</v>
      </c>
      <c r="E134">
        <v>583783.783783786</v>
      </c>
      <c r="F134">
        <v>6792792.7927927924</v>
      </c>
      <c r="G134">
        <v>33</v>
      </c>
      <c r="H134">
        <v>68</v>
      </c>
      <c r="I134">
        <v>3</v>
      </c>
      <c r="J134">
        <v>10</v>
      </c>
      <c r="M134">
        <v>36</v>
      </c>
      <c r="N134">
        <v>84</v>
      </c>
      <c r="O134">
        <v>5852252.2522522518</v>
      </c>
      <c r="P134">
        <v>58470927.027027026</v>
      </c>
      <c r="Q134">
        <v>68</v>
      </c>
      <c r="R134">
        <v>292</v>
      </c>
      <c r="S134">
        <v>28869666.666666664</v>
      </c>
      <c r="T134">
        <v>33346279.27927928</v>
      </c>
      <c r="U134">
        <v>7642432.4324324317</v>
      </c>
      <c r="V134">
        <v>59602882.882882878</v>
      </c>
      <c r="W134">
        <v>2504</v>
      </c>
      <c r="X134">
        <v>2434</v>
      </c>
    </row>
    <row r="135" spans="1:24">
      <c r="A135" s="7" t="s">
        <v>219</v>
      </c>
      <c r="B135" s="16" t="s">
        <v>220</v>
      </c>
      <c r="C135">
        <v>205025401.68070719</v>
      </c>
      <c r="D135">
        <v>200981614.34942636</v>
      </c>
      <c r="E135">
        <v>3703289.18918919</v>
      </c>
      <c r="F135">
        <v>5656820.7207207233</v>
      </c>
      <c r="G135">
        <v>84</v>
      </c>
      <c r="H135">
        <v>63</v>
      </c>
      <c r="I135">
        <v>6</v>
      </c>
      <c r="J135">
        <v>9</v>
      </c>
      <c r="M135">
        <v>100</v>
      </c>
      <c r="N135">
        <v>80</v>
      </c>
      <c r="O135">
        <v>246997213.51351351</v>
      </c>
      <c r="P135">
        <v>176341086.48648649</v>
      </c>
      <c r="Q135">
        <v>361</v>
      </c>
      <c r="R135">
        <v>70</v>
      </c>
      <c r="S135">
        <v>55540648.648648649</v>
      </c>
      <c r="T135">
        <v>51698704.954954952</v>
      </c>
      <c r="U135">
        <v>364507297.2972973</v>
      </c>
      <c r="V135">
        <v>276856216.21621621</v>
      </c>
      <c r="W135">
        <v>6118</v>
      </c>
      <c r="X135">
        <v>6258</v>
      </c>
    </row>
    <row r="136" spans="1:24">
      <c r="A136" s="7" t="s">
        <v>221</v>
      </c>
      <c r="B136" s="16" t="s">
        <v>52</v>
      </c>
      <c r="C136">
        <v>492411112.02861142</v>
      </c>
      <c r="D136">
        <v>468313915.73826039</v>
      </c>
      <c r="E136">
        <v>2350225.2252252279</v>
      </c>
      <c r="F136">
        <v>4708108.1081081107</v>
      </c>
      <c r="G136">
        <v>99</v>
      </c>
      <c r="H136">
        <v>98</v>
      </c>
      <c r="I136">
        <v>11</v>
      </c>
      <c r="J136">
        <v>25</v>
      </c>
      <c r="M136">
        <v>126</v>
      </c>
      <c r="N136">
        <v>140</v>
      </c>
      <c r="O136">
        <v>61949369.369369365</v>
      </c>
      <c r="P136">
        <v>39041441.441441439</v>
      </c>
      <c r="Q136">
        <v>488</v>
      </c>
      <c r="R136">
        <v>991</v>
      </c>
      <c r="S136">
        <v>156928135.13513514</v>
      </c>
      <c r="T136">
        <v>152233792.7927928</v>
      </c>
      <c r="U136">
        <v>33009639.639639638</v>
      </c>
      <c r="V136">
        <v>49455675.675675683</v>
      </c>
      <c r="W136">
        <v>10588</v>
      </c>
      <c r="X136">
        <v>10854</v>
      </c>
    </row>
    <row r="137" spans="1:24">
      <c r="A137" s="7" t="s">
        <v>222</v>
      </c>
      <c r="B137" s="16" t="s">
        <v>76</v>
      </c>
      <c r="C137">
        <v>378671387.75848073</v>
      </c>
      <c r="D137">
        <v>362642031.75594074</v>
      </c>
      <c r="E137">
        <v>143108.10810810799</v>
      </c>
      <c r="F137">
        <v>1084684.684684692</v>
      </c>
      <c r="G137">
        <v>105</v>
      </c>
      <c r="H137">
        <v>92</v>
      </c>
      <c r="I137">
        <v>10</v>
      </c>
      <c r="J137">
        <v>12</v>
      </c>
      <c r="K137">
        <v>5</v>
      </c>
      <c r="M137">
        <v>118</v>
      </c>
      <c r="N137">
        <v>107</v>
      </c>
      <c r="O137">
        <v>24116396.396396399</v>
      </c>
      <c r="P137">
        <v>25789909.909909911</v>
      </c>
      <c r="Q137">
        <v>48</v>
      </c>
      <c r="R137">
        <v>38</v>
      </c>
      <c r="S137">
        <v>71250070.270270273</v>
      </c>
      <c r="T137">
        <v>69893254.954954952</v>
      </c>
      <c r="U137">
        <v>22549549.549549554</v>
      </c>
      <c r="V137">
        <v>20920900.900900897</v>
      </c>
      <c r="W137">
        <v>7126</v>
      </c>
      <c r="X137">
        <v>6860</v>
      </c>
    </row>
    <row r="138" spans="1:24">
      <c r="A138" s="7" t="s">
        <v>223</v>
      </c>
      <c r="B138" s="16" t="s">
        <v>224</v>
      </c>
      <c r="C138">
        <v>39199309.008934014</v>
      </c>
      <c r="D138">
        <v>32661156.385382675</v>
      </c>
      <c r="F138">
        <v>5405.4054054050002</v>
      </c>
      <c r="G138">
        <v>28</v>
      </c>
      <c r="H138">
        <v>3</v>
      </c>
      <c r="M138">
        <v>28</v>
      </c>
      <c r="N138">
        <v>3</v>
      </c>
      <c r="O138">
        <v>1751351.351351351</v>
      </c>
      <c r="P138">
        <v>5405.4054054050002</v>
      </c>
      <c r="Q138">
        <v>6</v>
      </c>
      <c r="S138">
        <v>8834234.2342342343</v>
      </c>
      <c r="T138">
        <v>8022504.5045045046</v>
      </c>
      <c r="U138">
        <v>1444054.054054054</v>
      </c>
      <c r="V138">
        <v>837567.56756756804</v>
      </c>
      <c r="W138">
        <v>877</v>
      </c>
      <c r="X138">
        <v>785</v>
      </c>
    </row>
    <row r="139" spans="1:24">
      <c r="A139" s="7" t="s">
        <v>225</v>
      </c>
      <c r="B139" s="16" t="s">
        <v>143</v>
      </c>
      <c r="C139">
        <v>307658562.70188457</v>
      </c>
      <c r="D139">
        <v>296567817.63622916</v>
      </c>
      <c r="E139">
        <v>456756.75675675902</v>
      </c>
      <c r="F139">
        <v>3600900.9009009032</v>
      </c>
      <c r="G139">
        <v>71</v>
      </c>
      <c r="H139">
        <v>91</v>
      </c>
      <c r="I139">
        <v>14</v>
      </c>
      <c r="J139">
        <v>7</v>
      </c>
      <c r="K139">
        <v>1</v>
      </c>
      <c r="M139">
        <v>82</v>
      </c>
      <c r="N139">
        <v>140</v>
      </c>
      <c r="O139">
        <v>16308468.468468469</v>
      </c>
      <c r="P139">
        <v>19532432.432432432</v>
      </c>
      <c r="Q139">
        <v>198</v>
      </c>
      <c r="R139">
        <v>88</v>
      </c>
      <c r="S139">
        <v>32621540.540540539</v>
      </c>
      <c r="T139">
        <v>37869591.441441439</v>
      </c>
      <c r="U139">
        <v>12256936.936936937</v>
      </c>
      <c r="V139">
        <v>11836936.936936935</v>
      </c>
      <c r="W139">
        <v>5699</v>
      </c>
      <c r="X139">
        <v>5731</v>
      </c>
    </row>
    <row r="140" spans="1:24">
      <c r="A140" s="7" t="s">
        <v>226</v>
      </c>
      <c r="B140" s="16" t="s">
        <v>224</v>
      </c>
      <c r="C140">
        <v>37062878.78236381</v>
      </c>
      <c r="D140">
        <v>34390369.645939104</v>
      </c>
      <c r="E140">
        <v>4504.5045045050001</v>
      </c>
      <c r="F140">
        <v>121621.62162162201</v>
      </c>
      <c r="G140">
        <v>7</v>
      </c>
      <c r="H140">
        <v>11</v>
      </c>
      <c r="I140">
        <v>3</v>
      </c>
      <c r="J140">
        <v>2</v>
      </c>
      <c r="M140">
        <v>9</v>
      </c>
      <c r="N140">
        <v>14</v>
      </c>
      <c r="O140">
        <v>3726306.3063063058</v>
      </c>
      <c r="P140">
        <v>4954054.0540540544</v>
      </c>
      <c r="Q140">
        <v>32</v>
      </c>
      <c r="R140">
        <v>25</v>
      </c>
      <c r="S140">
        <v>7915675.6756756762</v>
      </c>
      <c r="T140">
        <v>9435121.6216216218</v>
      </c>
      <c r="U140">
        <v>3285675.6756756748</v>
      </c>
      <c r="V140">
        <v>4334144.1441441439</v>
      </c>
      <c r="W140">
        <v>788</v>
      </c>
      <c r="X140">
        <v>1407</v>
      </c>
    </row>
    <row r="141" spans="1:24">
      <c r="A141" s="7" t="s">
        <v>227</v>
      </c>
      <c r="B141" s="16" t="s">
        <v>78</v>
      </c>
      <c r="C141">
        <v>293664455.99854916</v>
      </c>
      <c r="D141">
        <v>279849690.75069207</v>
      </c>
      <c r="E141">
        <v>1355855.855855858</v>
      </c>
      <c r="F141">
        <v>3590990.9909909931</v>
      </c>
      <c r="G141">
        <v>54</v>
      </c>
      <c r="H141">
        <v>57</v>
      </c>
      <c r="I141">
        <v>6</v>
      </c>
      <c r="J141">
        <v>14</v>
      </c>
      <c r="M141">
        <v>59</v>
      </c>
      <c r="N141">
        <v>68</v>
      </c>
      <c r="O141">
        <v>25641351.351351351</v>
      </c>
      <c r="P141">
        <v>27909279.27927928</v>
      </c>
      <c r="Q141">
        <v>150</v>
      </c>
      <c r="R141">
        <v>86</v>
      </c>
      <c r="S141">
        <v>112694628.82882883</v>
      </c>
      <c r="T141">
        <v>113087468.46846846</v>
      </c>
      <c r="U141">
        <v>23174007.20720721</v>
      </c>
      <c r="V141">
        <v>26551171.171171173</v>
      </c>
      <c r="W141">
        <v>4935</v>
      </c>
      <c r="X141">
        <v>4578</v>
      </c>
    </row>
    <row r="142" spans="1:24">
      <c r="A142" s="7" t="s">
        <v>228</v>
      </c>
      <c r="B142" s="16" t="s">
        <v>136</v>
      </c>
      <c r="C142">
        <v>402691241.01495034</v>
      </c>
      <c r="D142">
        <v>371167889.95194626</v>
      </c>
      <c r="E142">
        <v>720945.94594594801</v>
      </c>
      <c r="F142">
        <v>2731981.9819819862</v>
      </c>
      <c r="G142">
        <v>98</v>
      </c>
      <c r="H142">
        <v>90</v>
      </c>
      <c r="I142">
        <v>10</v>
      </c>
      <c r="J142">
        <v>12</v>
      </c>
      <c r="M142">
        <v>110</v>
      </c>
      <c r="N142">
        <v>109</v>
      </c>
      <c r="O142">
        <v>58557747.747747742</v>
      </c>
      <c r="P142">
        <v>43287387.387387387</v>
      </c>
      <c r="Q142">
        <v>145</v>
      </c>
      <c r="R142">
        <v>148</v>
      </c>
      <c r="S142">
        <v>85136201.801801801</v>
      </c>
      <c r="T142">
        <v>87552864.864864871</v>
      </c>
      <c r="U142">
        <v>52547207.20720721</v>
      </c>
      <c r="V142">
        <v>35641171.171171173</v>
      </c>
      <c r="W142">
        <v>8010</v>
      </c>
      <c r="X142">
        <v>7406</v>
      </c>
    </row>
    <row r="143" spans="1:24">
      <c r="A143" s="7" t="s">
        <v>229</v>
      </c>
      <c r="B143" s="16" t="s">
        <v>78</v>
      </c>
      <c r="C143">
        <v>103814962.02206579</v>
      </c>
      <c r="D143">
        <v>105230313.48382525</v>
      </c>
      <c r="E143">
        <v>3072522.5225225231</v>
      </c>
      <c r="F143">
        <v>3618468.4684684682</v>
      </c>
      <c r="G143">
        <v>35</v>
      </c>
      <c r="H143">
        <v>42</v>
      </c>
      <c r="I143">
        <v>1</v>
      </c>
      <c r="J143">
        <v>3</v>
      </c>
      <c r="M143">
        <v>38</v>
      </c>
      <c r="N143">
        <v>50</v>
      </c>
      <c r="O143">
        <v>15955405.405405404</v>
      </c>
      <c r="P143">
        <v>22450450.450450446</v>
      </c>
      <c r="Q143">
        <v>21</v>
      </c>
      <c r="R143">
        <v>19</v>
      </c>
      <c r="S143">
        <v>47378558.558558561</v>
      </c>
      <c r="T143">
        <v>51394214.414414413</v>
      </c>
      <c r="U143">
        <v>17252792.792792793</v>
      </c>
      <c r="V143">
        <v>23205178.378378376</v>
      </c>
      <c r="W143">
        <v>2472</v>
      </c>
      <c r="X143">
        <v>2442</v>
      </c>
    </row>
    <row r="144" spans="1:24">
      <c r="A144" s="7" t="s">
        <v>230</v>
      </c>
      <c r="B144" s="16" t="s">
        <v>54</v>
      </c>
      <c r="C144">
        <v>320476253.68513459</v>
      </c>
      <c r="D144">
        <v>304195336.00211489</v>
      </c>
      <c r="E144">
        <v>634459.45945946197</v>
      </c>
      <c r="F144">
        <v>982882.88288288296</v>
      </c>
      <c r="G144">
        <v>45</v>
      </c>
      <c r="H144">
        <v>31</v>
      </c>
      <c r="I144">
        <v>11</v>
      </c>
      <c r="J144">
        <v>8</v>
      </c>
      <c r="M144">
        <v>53</v>
      </c>
      <c r="N144">
        <v>46</v>
      </c>
      <c r="O144">
        <v>8836036.0360360369</v>
      </c>
      <c r="P144">
        <v>22043243.243243244</v>
      </c>
      <c r="Q144">
        <v>97</v>
      </c>
      <c r="R144">
        <v>2423</v>
      </c>
      <c r="S144">
        <v>72769189.189189181</v>
      </c>
      <c r="T144">
        <v>75635682.882882878</v>
      </c>
      <c r="U144">
        <v>10048018.018018017</v>
      </c>
      <c r="V144">
        <v>24962162.162162162</v>
      </c>
      <c r="W144">
        <v>6872</v>
      </c>
      <c r="X144">
        <v>6778</v>
      </c>
    </row>
    <row r="145" spans="1:24">
      <c r="A145" s="7" t="s">
        <v>231</v>
      </c>
      <c r="B145" s="16" t="s">
        <v>78</v>
      </c>
      <c r="C145">
        <v>122269206.03074238</v>
      </c>
      <c r="D145">
        <v>116639280.34728086</v>
      </c>
      <c r="E145">
        <v>472972.97297297599</v>
      </c>
      <c r="F145">
        <v>2890090.0900900918</v>
      </c>
      <c r="G145">
        <v>55</v>
      </c>
      <c r="H145">
        <v>56</v>
      </c>
      <c r="I145">
        <v>10</v>
      </c>
      <c r="J145">
        <v>11</v>
      </c>
      <c r="M145">
        <v>65</v>
      </c>
      <c r="N145">
        <v>74</v>
      </c>
      <c r="O145">
        <v>29481261.261261258</v>
      </c>
      <c r="P145">
        <v>26247747.747747749</v>
      </c>
      <c r="Q145">
        <v>36</v>
      </c>
      <c r="R145">
        <v>85</v>
      </c>
      <c r="S145">
        <v>57235360.360360362</v>
      </c>
      <c r="T145">
        <v>55796000</v>
      </c>
      <c r="U145">
        <v>30567567.567567568</v>
      </c>
      <c r="V145">
        <v>28572432.432432432</v>
      </c>
      <c r="W145">
        <v>3978</v>
      </c>
      <c r="X145">
        <v>3974</v>
      </c>
    </row>
    <row r="146" spans="1:24">
      <c r="A146" s="7" t="s">
        <v>232</v>
      </c>
      <c r="B146" s="16" t="s">
        <v>60</v>
      </c>
      <c r="C146">
        <v>102644597.93919702</v>
      </c>
      <c r="D146">
        <v>105609469.09993792</v>
      </c>
      <c r="E146">
        <v>2702.7027027029999</v>
      </c>
      <c r="G146">
        <v>36</v>
      </c>
      <c r="H146">
        <v>31</v>
      </c>
      <c r="I146">
        <v>1</v>
      </c>
      <c r="M146">
        <v>38</v>
      </c>
      <c r="N146">
        <v>35</v>
      </c>
      <c r="O146">
        <v>83783.783783784005</v>
      </c>
      <c r="Q146">
        <v>3</v>
      </c>
      <c r="S146">
        <v>41127657.657657653</v>
      </c>
      <c r="T146">
        <v>44601216.216216214</v>
      </c>
      <c r="U146">
        <v>81081.081081081007</v>
      </c>
      <c r="W146">
        <v>1940</v>
      </c>
      <c r="X146">
        <v>1973</v>
      </c>
    </row>
    <row r="147" spans="1:24">
      <c r="A147" s="7" t="s">
        <v>233</v>
      </c>
      <c r="B147" s="16" t="s">
        <v>54</v>
      </c>
      <c r="C147">
        <v>51159199.73707021</v>
      </c>
      <c r="D147">
        <v>51149573.14997337</v>
      </c>
      <c r="E147">
        <v>573873.87387387396</v>
      </c>
      <c r="F147">
        <v>98198.198198198996</v>
      </c>
      <c r="G147">
        <v>29</v>
      </c>
      <c r="H147">
        <v>39</v>
      </c>
      <c r="I147">
        <v>1</v>
      </c>
      <c r="J147">
        <v>0</v>
      </c>
      <c r="M147">
        <v>50</v>
      </c>
      <c r="N147">
        <v>61</v>
      </c>
      <c r="O147">
        <v>3218018.0180180161</v>
      </c>
      <c r="P147">
        <v>2336306.3063063058</v>
      </c>
      <c r="Q147">
        <v>60</v>
      </c>
      <c r="R147">
        <v>29</v>
      </c>
      <c r="S147">
        <v>10790585.585585585</v>
      </c>
      <c r="T147">
        <v>11379405.405405404</v>
      </c>
      <c r="U147">
        <v>3791891.8918918921</v>
      </c>
      <c r="V147">
        <v>2471711.7117117122</v>
      </c>
      <c r="W147">
        <v>1024</v>
      </c>
      <c r="X147">
        <v>1093</v>
      </c>
    </row>
    <row r="148" spans="1:24">
      <c r="A148" s="7" t="s">
        <v>234</v>
      </c>
      <c r="B148" s="16" t="s">
        <v>167</v>
      </c>
      <c r="C148">
        <v>244804790.61763993</v>
      </c>
      <c r="D148">
        <v>238063914.63057056</v>
      </c>
      <c r="E148">
        <v>2056756.7567567569</v>
      </c>
      <c r="F148">
        <v>6022522.5225225231</v>
      </c>
      <c r="G148">
        <v>62</v>
      </c>
      <c r="H148">
        <v>13</v>
      </c>
      <c r="I148">
        <v>1</v>
      </c>
      <c r="J148">
        <v>2</v>
      </c>
      <c r="M148">
        <v>70</v>
      </c>
      <c r="N148">
        <v>21</v>
      </c>
      <c r="O148">
        <v>22046171.17117117</v>
      </c>
      <c r="P148">
        <v>26633681.981981985</v>
      </c>
      <c r="Q148">
        <v>11</v>
      </c>
      <c r="R148">
        <v>2</v>
      </c>
      <c r="S148">
        <v>65771216.216216214</v>
      </c>
      <c r="T148">
        <v>66287040.540540546</v>
      </c>
      <c r="U148">
        <v>16164818.01801802</v>
      </c>
      <c r="V148">
        <v>12018108.108108109</v>
      </c>
      <c r="W148">
        <v>4746</v>
      </c>
      <c r="X148">
        <v>5024</v>
      </c>
    </row>
    <row r="149" spans="1:24">
      <c r="A149" s="7" t="s">
        <v>235</v>
      </c>
      <c r="B149" s="16" t="s">
        <v>236</v>
      </c>
      <c r="C149">
        <v>6196.4937303839997</v>
      </c>
      <c r="D149">
        <v>186.326401981</v>
      </c>
      <c r="T149">
        <v>9009.0090090089998</v>
      </c>
      <c r="W149">
        <v>1</v>
      </c>
      <c r="X149">
        <v>53</v>
      </c>
    </row>
    <row r="150" spans="1:24">
      <c r="A150" s="7" t="s">
        <v>237</v>
      </c>
      <c r="B150" s="16" t="s">
        <v>105</v>
      </c>
      <c r="C150">
        <v>147138682.81751376</v>
      </c>
      <c r="D150">
        <v>139574450.57572022</v>
      </c>
      <c r="E150">
        <v>267027.02702702698</v>
      </c>
      <c r="F150">
        <v>854954.95495495398</v>
      </c>
      <c r="G150">
        <v>30</v>
      </c>
      <c r="H150">
        <v>20</v>
      </c>
      <c r="I150">
        <v>1</v>
      </c>
      <c r="J150">
        <v>0</v>
      </c>
      <c r="M150">
        <v>35</v>
      </c>
      <c r="N150">
        <v>21</v>
      </c>
      <c r="O150">
        <v>20835765.765765768</v>
      </c>
      <c r="P150">
        <v>21403963.963963963</v>
      </c>
      <c r="Q150">
        <v>45</v>
      </c>
      <c r="R150">
        <v>50</v>
      </c>
      <c r="S150">
        <v>41116927.927927926</v>
      </c>
      <c r="T150">
        <v>41111828.828828834</v>
      </c>
      <c r="U150">
        <v>18771351.351351351</v>
      </c>
      <c r="V150">
        <v>22305675.675675675</v>
      </c>
      <c r="W150">
        <v>2085</v>
      </c>
      <c r="X150">
        <v>1964</v>
      </c>
    </row>
    <row r="151" spans="1:24">
      <c r="A151" s="7" t="s">
        <v>3</v>
      </c>
      <c r="B151" s="16" t="s">
        <v>158</v>
      </c>
      <c r="C151">
        <v>287462788.21212769</v>
      </c>
      <c r="D151">
        <v>287986459.01453215</v>
      </c>
      <c r="E151">
        <v>3257432.432432435</v>
      </c>
      <c r="F151">
        <v>3735135.1351351379</v>
      </c>
      <c r="G151">
        <v>43</v>
      </c>
      <c r="H151">
        <v>48</v>
      </c>
      <c r="I151">
        <v>13</v>
      </c>
      <c r="J151">
        <v>11</v>
      </c>
      <c r="M151">
        <v>45</v>
      </c>
      <c r="N151">
        <v>55</v>
      </c>
      <c r="O151">
        <v>51087837.837837838</v>
      </c>
      <c r="P151">
        <v>59894594.59459459</v>
      </c>
      <c r="Q151">
        <v>102</v>
      </c>
      <c r="R151">
        <v>74</v>
      </c>
      <c r="S151">
        <v>74764459.459459454</v>
      </c>
      <c r="T151">
        <v>81422774.774774775</v>
      </c>
      <c r="U151">
        <v>48864594.59459459</v>
      </c>
      <c r="V151">
        <v>56251171.171171166</v>
      </c>
      <c r="W151">
        <v>4137</v>
      </c>
      <c r="X151">
        <v>3823</v>
      </c>
    </row>
    <row r="152" spans="1:24">
      <c r="A152" s="7" t="s">
        <v>238</v>
      </c>
      <c r="B152" s="16" t="s">
        <v>178</v>
      </c>
      <c r="C152">
        <v>256439119.47781986</v>
      </c>
      <c r="D152">
        <v>221176552.89731449</v>
      </c>
      <c r="E152">
        <v>4553153.1531531541</v>
      </c>
      <c r="F152">
        <v>525225.22522522602</v>
      </c>
      <c r="G152">
        <v>53</v>
      </c>
      <c r="H152">
        <v>44</v>
      </c>
      <c r="I152">
        <v>3</v>
      </c>
      <c r="J152">
        <v>4</v>
      </c>
      <c r="M152">
        <v>61</v>
      </c>
      <c r="N152">
        <v>80</v>
      </c>
      <c r="O152">
        <v>26761863.063063063</v>
      </c>
      <c r="P152">
        <v>31200900.9009009</v>
      </c>
      <c r="S152">
        <v>77048531.531531543</v>
      </c>
      <c r="T152">
        <v>71400927.927927926</v>
      </c>
      <c r="U152">
        <v>21628288.288288288</v>
      </c>
      <c r="V152">
        <v>26980630.630630631</v>
      </c>
      <c r="W152">
        <v>5442</v>
      </c>
      <c r="X152">
        <v>5228</v>
      </c>
    </row>
    <row r="153" spans="1:24">
      <c r="A153" s="7" t="s">
        <v>239</v>
      </c>
      <c r="B153" s="16" t="s">
        <v>54</v>
      </c>
      <c r="C153">
        <v>174338625.1536735</v>
      </c>
      <c r="D153">
        <v>157870350.58658054</v>
      </c>
      <c r="E153">
        <v>1956171.1711711709</v>
      </c>
      <c r="F153">
        <v>3563063.0630630641</v>
      </c>
      <c r="G153">
        <v>46</v>
      </c>
      <c r="H153">
        <v>26</v>
      </c>
      <c r="I153">
        <v>4</v>
      </c>
      <c r="J153">
        <v>4</v>
      </c>
      <c r="M153">
        <v>51</v>
      </c>
      <c r="N153">
        <v>28</v>
      </c>
      <c r="O153">
        <v>22796036.036036037</v>
      </c>
      <c r="P153">
        <v>21275135.135135137</v>
      </c>
      <c r="Q153">
        <v>90</v>
      </c>
      <c r="R153">
        <v>27</v>
      </c>
      <c r="S153">
        <v>49232059.459459454</v>
      </c>
      <c r="T153">
        <v>43758672.072072074</v>
      </c>
      <c r="U153">
        <v>19680854.054054052</v>
      </c>
      <c r="V153">
        <v>18645311.711711712</v>
      </c>
      <c r="W153">
        <v>3509</v>
      </c>
      <c r="X153">
        <v>4029</v>
      </c>
    </row>
    <row r="154" spans="1:24">
      <c r="A154" s="7" t="s">
        <v>240</v>
      </c>
      <c r="B154" s="16" t="s">
        <v>241</v>
      </c>
      <c r="C154">
        <v>149281933.98458523</v>
      </c>
      <c r="D154">
        <v>136531336.36482364</v>
      </c>
      <c r="E154">
        <v>172072.072072073</v>
      </c>
      <c r="F154">
        <v>974774.77477477596</v>
      </c>
      <c r="G154">
        <v>67</v>
      </c>
      <c r="H154">
        <v>59</v>
      </c>
      <c r="I154">
        <v>6</v>
      </c>
      <c r="J154">
        <v>5</v>
      </c>
      <c r="M154">
        <v>79</v>
      </c>
      <c r="N154">
        <v>69</v>
      </c>
      <c r="O154">
        <v>116978468.46846846</v>
      </c>
      <c r="P154">
        <v>28537117.117117122</v>
      </c>
      <c r="Q154">
        <v>44</v>
      </c>
      <c r="R154">
        <v>23</v>
      </c>
      <c r="S154">
        <v>35122027.027027026</v>
      </c>
      <c r="T154">
        <v>31873962.162162162</v>
      </c>
      <c r="U154">
        <v>110961711.7117117</v>
      </c>
      <c r="V154">
        <v>13691441.441441445</v>
      </c>
      <c r="W154">
        <v>2812</v>
      </c>
      <c r="X154">
        <v>2827</v>
      </c>
    </row>
    <row r="155" spans="1:24">
      <c r="A155" s="7" t="s">
        <v>242</v>
      </c>
      <c r="B155" s="16" t="s">
        <v>241</v>
      </c>
      <c r="C155">
        <v>374648624.44422334</v>
      </c>
      <c r="D155">
        <v>356473917.04049224</v>
      </c>
      <c r="E155">
        <v>791891.891891893</v>
      </c>
      <c r="F155">
        <v>3241441.4414414461</v>
      </c>
      <c r="G155">
        <v>188</v>
      </c>
      <c r="H155">
        <v>139</v>
      </c>
      <c r="I155">
        <v>22</v>
      </c>
      <c r="J155">
        <v>18</v>
      </c>
      <c r="K155">
        <v>1</v>
      </c>
      <c r="M155">
        <v>206</v>
      </c>
      <c r="N155">
        <v>159</v>
      </c>
      <c r="O155">
        <v>107082252.25225225</v>
      </c>
      <c r="P155">
        <v>85386216.216216221</v>
      </c>
      <c r="Q155">
        <v>363</v>
      </c>
      <c r="R155">
        <v>123</v>
      </c>
      <c r="S155">
        <v>114032837.83783785</v>
      </c>
      <c r="T155">
        <v>105926360.36036037</v>
      </c>
      <c r="U155">
        <v>101194234.23423424</v>
      </c>
      <c r="V155">
        <v>78661621.621621639</v>
      </c>
      <c r="W155">
        <v>6830</v>
      </c>
      <c r="X155">
        <v>6747</v>
      </c>
    </row>
    <row r="156" spans="1:24">
      <c r="A156" s="7" t="s">
        <v>243</v>
      </c>
      <c r="B156" s="16" t="s">
        <v>50</v>
      </c>
      <c r="C156">
        <v>60146858.329358794</v>
      </c>
      <c r="D156">
        <v>61796633.967361234</v>
      </c>
      <c r="E156">
        <v>325164146.84684682</v>
      </c>
      <c r="F156">
        <v>393540640.54054052</v>
      </c>
      <c r="G156">
        <v>14</v>
      </c>
      <c r="H156">
        <v>13</v>
      </c>
      <c r="I156">
        <v>6</v>
      </c>
      <c r="J156">
        <v>3</v>
      </c>
      <c r="M156">
        <v>14</v>
      </c>
      <c r="N156">
        <v>13</v>
      </c>
      <c r="O156">
        <v>89395274.774774775</v>
      </c>
      <c r="P156">
        <v>99002162.162162155</v>
      </c>
      <c r="Q156">
        <v>9</v>
      </c>
      <c r="R156">
        <v>25</v>
      </c>
      <c r="S156">
        <v>22251261.261261258</v>
      </c>
      <c r="T156">
        <v>20074243.243243244</v>
      </c>
      <c r="U156">
        <v>14342162.162162161</v>
      </c>
      <c r="V156">
        <v>10954504.504504504</v>
      </c>
      <c r="W156">
        <v>1090</v>
      </c>
      <c r="X156">
        <v>1197</v>
      </c>
    </row>
    <row r="157" spans="1:24">
      <c r="A157" s="7" t="s">
        <v>244</v>
      </c>
      <c r="B157" s="16" t="s">
        <v>181</v>
      </c>
      <c r="C157">
        <v>2079712423.1968584</v>
      </c>
      <c r="D157">
        <v>1946822711.1042328</v>
      </c>
      <c r="E157">
        <v>295899954.95495492</v>
      </c>
      <c r="F157">
        <v>168620257.65765765</v>
      </c>
      <c r="G157">
        <v>1010</v>
      </c>
      <c r="H157">
        <v>825</v>
      </c>
      <c r="I157">
        <v>98</v>
      </c>
      <c r="J157">
        <v>85</v>
      </c>
      <c r="K157">
        <v>17</v>
      </c>
      <c r="M157">
        <v>1171</v>
      </c>
      <c r="N157">
        <v>1372</v>
      </c>
      <c r="O157">
        <v>219447387.38738737</v>
      </c>
      <c r="P157">
        <v>233994864.86486486</v>
      </c>
      <c r="Q157">
        <v>1483</v>
      </c>
      <c r="R157">
        <v>956</v>
      </c>
      <c r="S157">
        <v>416702437.83783782</v>
      </c>
      <c r="T157">
        <v>433797732.43243247</v>
      </c>
      <c r="U157">
        <v>208531531.53153151</v>
      </c>
      <c r="V157">
        <v>230158738.73873872</v>
      </c>
      <c r="W157">
        <v>44099</v>
      </c>
      <c r="X157">
        <v>44991</v>
      </c>
    </row>
    <row r="158" spans="1:24">
      <c r="A158" s="7" t="s">
        <v>245</v>
      </c>
      <c r="B158" s="16" t="s">
        <v>48</v>
      </c>
      <c r="C158">
        <v>89480294.039118007</v>
      </c>
      <c r="D158">
        <v>83496025.779792622</v>
      </c>
      <c r="E158">
        <v>45365090.090090089</v>
      </c>
      <c r="F158">
        <v>65132657.657657653</v>
      </c>
      <c r="G158">
        <v>7</v>
      </c>
      <c r="H158">
        <v>3</v>
      </c>
      <c r="I158">
        <v>3</v>
      </c>
      <c r="J158">
        <v>7</v>
      </c>
      <c r="M158">
        <v>9</v>
      </c>
      <c r="N158">
        <v>9</v>
      </c>
      <c r="O158">
        <v>17914144.144144144</v>
      </c>
      <c r="P158">
        <v>21481261.261261258</v>
      </c>
      <c r="R158">
        <v>25</v>
      </c>
      <c r="S158">
        <v>20915846.846846849</v>
      </c>
      <c r="T158">
        <v>19555648.648648649</v>
      </c>
      <c r="U158">
        <v>11407657.657657659</v>
      </c>
      <c r="V158">
        <v>22312522.522522524</v>
      </c>
      <c r="W158">
        <v>1788</v>
      </c>
      <c r="X158">
        <v>1650</v>
      </c>
    </row>
    <row r="159" spans="1:24">
      <c r="A159" s="7" t="s">
        <v>246</v>
      </c>
      <c r="B159" s="16" t="s">
        <v>94</v>
      </c>
      <c r="C159">
        <v>37420841.779209398</v>
      </c>
      <c r="D159">
        <v>24652903.609828558</v>
      </c>
      <c r="G159">
        <v>5</v>
      </c>
      <c r="H159">
        <v>3</v>
      </c>
      <c r="J159">
        <v>0</v>
      </c>
      <c r="M159">
        <v>6</v>
      </c>
      <c r="N159">
        <v>4</v>
      </c>
      <c r="S159">
        <v>6748585.5855855858</v>
      </c>
      <c r="T159">
        <v>4924306.3063063063</v>
      </c>
      <c r="W159">
        <v>699</v>
      </c>
      <c r="X159">
        <v>677</v>
      </c>
    </row>
    <row r="160" spans="1:24">
      <c r="A160" s="7" t="s">
        <v>247</v>
      </c>
      <c r="B160" s="16" t="s">
        <v>117</v>
      </c>
      <c r="C160">
        <v>78254531.257496148</v>
      </c>
      <c r="D160">
        <v>79097483.481999084</v>
      </c>
      <c r="E160">
        <v>751686.48648648895</v>
      </c>
      <c r="F160">
        <v>1367902.7027027039</v>
      </c>
      <c r="G160">
        <v>27</v>
      </c>
      <c r="H160">
        <v>9</v>
      </c>
      <c r="I160">
        <v>7</v>
      </c>
      <c r="J160">
        <v>3</v>
      </c>
      <c r="M160">
        <v>29</v>
      </c>
      <c r="N160">
        <v>12</v>
      </c>
      <c r="O160">
        <v>17679565.765765768</v>
      </c>
      <c r="P160">
        <v>11458219.819819819</v>
      </c>
      <c r="Q160">
        <v>71</v>
      </c>
      <c r="R160">
        <v>43</v>
      </c>
      <c r="S160">
        <v>37384594.59459459</v>
      </c>
      <c r="T160">
        <v>38017585.585585587</v>
      </c>
      <c r="U160">
        <v>17339369.369369369</v>
      </c>
      <c r="V160">
        <v>13501531.531531531</v>
      </c>
      <c r="W160">
        <v>1760</v>
      </c>
      <c r="X160">
        <v>1719</v>
      </c>
    </row>
    <row r="161" spans="1:24">
      <c r="A161" s="7" t="s">
        <v>248</v>
      </c>
      <c r="B161" s="16" t="s">
        <v>121</v>
      </c>
      <c r="C161">
        <v>131085462.13759425</v>
      </c>
      <c r="D161">
        <v>129420272.1860767</v>
      </c>
      <c r="E161">
        <v>102252.25225225301</v>
      </c>
      <c r="F161">
        <v>850450.450450451</v>
      </c>
      <c r="G161">
        <v>109</v>
      </c>
      <c r="H161">
        <v>82</v>
      </c>
      <c r="I161">
        <v>4</v>
      </c>
      <c r="J161">
        <v>5</v>
      </c>
      <c r="M161">
        <v>120</v>
      </c>
      <c r="N161">
        <v>87</v>
      </c>
      <c r="O161">
        <v>6915315.3153153146</v>
      </c>
      <c r="P161">
        <v>6310810.8108108109</v>
      </c>
      <c r="Q161">
        <v>187</v>
      </c>
      <c r="R161">
        <v>14</v>
      </c>
      <c r="S161">
        <v>15118702.702702705</v>
      </c>
      <c r="T161">
        <v>15524018.018018018</v>
      </c>
      <c r="U161">
        <v>7857567.5675675673</v>
      </c>
      <c r="V161">
        <v>4682252.2522522509</v>
      </c>
      <c r="W161">
        <v>2402</v>
      </c>
      <c r="X161">
        <v>2290</v>
      </c>
    </row>
    <row r="162" spans="1:24">
      <c r="A162" s="7" t="s">
        <v>249</v>
      </c>
      <c r="B162" s="16" t="s">
        <v>76</v>
      </c>
      <c r="C162">
        <v>62453264.188254789</v>
      </c>
      <c r="D162">
        <v>55578963.825257525</v>
      </c>
      <c r="G162">
        <v>11</v>
      </c>
      <c r="H162">
        <v>5</v>
      </c>
      <c r="I162">
        <v>0</v>
      </c>
      <c r="J162">
        <v>0</v>
      </c>
      <c r="M162">
        <v>13</v>
      </c>
      <c r="N162">
        <v>7</v>
      </c>
      <c r="S162">
        <v>6746963.963963964</v>
      </c>
      <c r="T162">
        <v>5525270.2702702703</v>
      </c>
      <c r="W162">
        <v>1661</v>
      </c>
      <c r="X162">
        <v>1662</v>
      </c>
    </row>
    <row r="163" spans="1:24">
      <c r="A163" s="7" t="s">
        <v>250</v>
      </c>
      <c r="B163" s="16" t="s">
        <v>167</v>
      </c>
      <c r="C163">
        <v>195372146.62428844</v>
      </c>
      <c r="D163">
        <v>181261873.78494433</v>
      </c>
      <c r="G163">
        <v>25</v>
      </c>
      <c r="H163">
        <v>14</v>
      </c>
      <c r="M163">
        <v>33</v>
      </c>
      <c r="N163">
        <v>42</v>
      </c>
      <c r="O163">
        <v>6545945.9459459474</v>
      </c>
      <c r="P163">
        <v>1828828.8288288291</v>
      </c>
      <c r="Q163">
        <v>9</v>
      </c>
      <c r="S163">
        <v>35262972.972972974</v>
      </c>
      <c r="T163">
        <v>34426936.936936937</v>
      </c>
      <c r="U163">
        <v>2596486.4864864871</v>
      </c>
      <c r="V163">
        <v>2060900.900900902</v>
      </c>
      <c r="W163">
        <v>3772</v>
      </c>
      <c r="X163">
        <v>3625</v>
      </c>
    </row>
    <row r="164" spans="1:24">
      <c r="A164" s="7" t="s">
        <v>251</v>
      </c>
      <c r="B164" s="16" t="s">
        <v>89</v>
      </c>
      <c r="C164">
        <v>541832523.70206475</v>
      </c>
      <c r="D164">
        <v>532604486.34755915</v>
      </c>
      <c r="E164">
        <v>6547207.2072072141</v>
      </c>
      <c r="F164">
        <v>3106756.7567567588</v>
      </c>
      <c r="G164">
        <v>57</v>
      </c>
      <c r="H164">
        <v>100</v>
      </c>
      <c r="I164">
        <v>21</v>
      </c>
      <c r="J164">
        <v>21</v>
      </c>
      <c r="M164">
        <v>66</v>
      </c>
      <c r="N164">
        <v>112</v>
      </c>
      <c r="O164">
        <v>41276936.936936945</v>
      </c>
      <c r="P164">
        <v>39035045.045045041</v>
      </c>
      <c r="Q164">
        <v>339</v>
      </c>
      <c r="R164">
        <v>413</v>
      </c>
      <c r="S164">
        <v>130697776.57657658</v>
      </c>
      <c r="T164">
        <v>131690180.18018018</v>
      </c>
      <c r="U164">
        <v>45721621.621621616</v>
      </c>
      <c r="V164">
        <v>39766486.48648648</v>
      </c>
      <c r="W164">
        <v>10599</v>
      </c>
      <c r="X164">
        <v>9978</v>
      </c>
    </row>
    <row r="165" spans="1:24">
      <c r="A165" s="7" t="s">
        <v>252</v>
      </c>
      <c r="B165" s="16" t="s">
        <v>78</v>
      </c>
      <c r="C165">
        <v>162775008.78629306</v>
      </c>
      <c r="D165">
        <v>156918379.73248771</v>
      </c>
      <c r="E165">
        <v>30829729.729729727</v>
      </c>
      <c r="F165">
        <v>64273873.873873882</v>
      </c>
      <c r="G165">
        <v>37</v>
      </c>
      <c r="H165">
        <v>23</v>
      </c>
      <c r="I165">
        <v>4</v>
      </c>
      <c r="J165">
        <v>11</v>
      </c>
      <c r="M165">
        <v>40</v>
      </c>
      <c r="N165">
        <v>27</v>
      </c>
      <c r="O165">
        <v>18758468.468468469</v>
      </c>
      <c r="P165">
        <v>29831981.981981985</v>
      </c>
      <c r="Q165">
        <v>27</v>
      </c>
      <c r="R165">
        <v>71</v>
      </c>
      <c r="S165">
        <v>45663135.135135137</v>
      </c>
      <c r="T165">
        <v>44799954.954954952</v>
      </c>
      <c r="U165">
        <v>18360630.630630631</v>
      </c>
      <c r="V165">
        <v>28778108.108108107</v>
      </c>
      <c r="W165">
        <v>2884</v>
      </c>
      <c r="X165">
        <v>3211</v>
      </c>
    </row>
    <row r="166" spans="1:24">
      <c r="A166" s="7" t="s">
        <v>253</v>
      </c>
      <c r="B166" s="16" t="s">
        <v>105</v>
      </c>
      <c r="C166">
        <v>315661800.84965003</v>
      </c>
      <c r="D166">
        <v>308872875.6653049</v>
      </c>
      <c r="E166">
        <v>56786119.819819815</v>
      </c>
      <c r="F166">
        <v>171721354.05405405</v>
      </c>
      <c r="G166">
        <v>71</v>
      </c>
      <c r="H166">
        <v>122</v>
      </c>
      <c r="I166">
        <v>12</v>
      </c>
      <c r="J166">
        <v>15</v>
      </c>
      <c r="K166">
        <v>1</v>
      </c>
      <c r="M166">
        <v>80</v>
      </c>
      <c r="N166">
        <v>195</v>
      </c>
      <c r="O166">
        <v>55793603.603603601</v>
      </c>
      <c r="P166">
        <v>45301441.441441439</v>
      </c>
      <c r="Q166">
        <v>228</v>
      </c>
      <c r="R166">
        <v>373</v>
      </c>
      <c r="S166">
        <v>92127810.810810819</v>
      </c>
      <c r="T166">
        <v>89495117.117117122</v>
      </c>
      <c r="U166">
        <v>52973603.603603601</v>
      </c>
      <c r="V166">
        <v>45594864.864864863</v>
      </c>
      <c r="W166">
        <v>5535</v>
      </c>
      <c r="X166">
        <v>5262</v>
      </c>
    </row>
    <row r="167" spans="1:24">
      <c r="A167" s="7" t="s">
        <v>254</v>
      </c>
      <c r="B167" s="16" t="s">
        <v>105</v>
      </c>
      <c r="C167">
        <v>201543313.62120545</v>
      </c>
      <c r="D167">
        <v>203100390.9112505</v>
      </c>
      <c r="E167">
        <v>1930630.6306306301</v>
      </c>
      <c r="F167">
        <v>2074774.774774777</v>
      </c>
      <c r="G167">
        <v>27</v>
      </c>
      <c r="H167">
        <v>25</v>
      </c>
      <c r="I167">
        <v>1</v>
      </c>
      <c r="J167">
        <v>1</v>
      </c>
      <c r="M167">
        <v>31</v>
      </c>
      <c r="N167">
        <v>30</v>
      </c>
      <c r="O167">
        <v>18289729.729729731</v>
      </c>
      <c r="P167">
        <v>15545405.405405406</v>
      </c>
      <c r="Q167">
        <v>69</v>
      </c>
      <c r="R167">
        <v>45</v>
      </c>
      <c r="S167">
        <v>60779367.567567565</v>
      </c>
      <c r="T167">
        <v>63744666.666666664</v>
      </c>
      <c r="U167">
        <v>14801081.081081081</v>
      </c>
      <c r="V167">
        <v>14549009.009009007</v>
      </c>
      <c r="W167">
        <v>3669</v>
      </c>
      <c r="X167">
        <v>3872</v>
      </c>
    </row>
    <row r="168" spans="1:24">
      <c r="A168" s="7" t="s">
        <v>255</v>
      </c>
      <c r="B168" s="16" t="s">
        <v>105</v>
      </c>
      <c r="C168">
        <v>170838979.66882408</v>
      </c>
      <c r="D168">
        <v>169135589.31768474</v>
      </c>
      <c r="E168">
        <v>127470945.94594595</v>
      </c>
      <c r="F168">
        <v>5537837.8378378376</v>
      </c>
      <c r="G168">
        <v>27</v>
      </c>
      <c r="H168">
        <v>28</v>
      </c>
      <c r="I168">
        <v>0</v>
      </c>
      <c r="J168">
        <v>0</v>
      </c>
      <c r="M168">
        <v>29</v>
      </c>
      <c r="N168">
        <v>31</v>
      </c>
      <c r="O168">
        <v>2472522.5225225231</v>
      </c>
      <c r="P168">
        <v>3019819.8198198201</v>
      </c>
      <c r="Q168">
        <v>1</v>
      </c>
      <c r="S168">
        <v>34954819.819819823</v>
      </c>
      <c r="T168">
        <v>36701592.79279279</v>
      </c>
      <c r="U168">
        <v>2575945.945945946</v>
      </c>
      <c r="V168">
        <v>2338918.9189189188</v>
      </c>
      <c r="W168">
        <v>2136</v>
      </c>
      <c r="X168">
        <v>2134</v>
      </c>
    </row>
    <row r="169" spans="1:24">
      <c r="A169" s="7" t="s">
        <v>256</v>
      </c>
      <c r="B169" s="16" t="s">
        <v>134</v>
      </c>
      <c r="C169">
        <v>269854870.18333119</v>
      </c>
      <c r="D169">
        <v>261192323.82097948</v>
      </c>
      <c r="E169">
        <v>408108.10810810799</v>
      </c>
      <c r="F169">
        <v>900900.90090090199</v>
      </c>
      <c r="G169">
        <v>28</v>
      </c>
      <c r="H169">
        <v>22</v>
      </c>
      <c r="I169">
        <v>1</v>
      </c>
      <c r="J169">
        <v>2</v>
      </c>
      <c r="M169">
        <v>29</v>
      </c>
      <c r="N169">
        <v>23</v>
      </c>
      <c r="O169">
        <v>8741441.441441441</v>
      </c>
      <c r="P169">
        <v>3522522.5225225231</v>
      </c>
      <c r="Q169">
        <v>185</v>
      </c>
      <c r="S169">
        <v>18215216.216216218</v>
      </c>
      <c r="T169">
        <v>18488135.135135137</v>
      </c>
      <c r="U169">
        <v>6626306.3063063063</v>
      </c>
      <c r="V169">
        <v>4279459.4594594603</v>
      </c>
      <c r="W169">
        <v>4058</v>
      </c>
      <c r="X169">
        <v>4060</v>
      </c>
    </row>
    <row r="170" spans="1:24">
      <c r="A170" s="7" t="s">
        <v>257</v>
      </c>
      <c r="B170" s="16" t="s">
        <v>167</v>
      </c>
      <c r="C170">
        <v>102268640.97762793</v>
      </c>
      <c r="D170">
        <v>91959054.997297466</v>
      </c>
      <c r="E170">
        <v>904504.50450450496</v>
      </c>
      <c r="F170">
        <v>1171171.1711711709</v>
      </c>
      <c r="G170">
        <v>59</v>
      </c>
      <c r="H170">
        <v>23</v>
      </c>
      <c r="I170">
        <v>2</v>
      </c>
      <c r="J170">
        <v>0</v>
      </c>
      <c r="M170">
        <v>66</v>
      </c>
      <c r="N170">
        <v>25</v>
      </c>
      <c r="O170">
        <v>6875225.225225226</v>
      </c>
      <c r="P170">
        <v>4375467.5675675673</v>
      </c>
      <c r="Q170">
        <v>12</v>
      </c>
      <c r="S170">
        <v>36023241.441441439</v>
      </c>
      <c r="T170">
        <v>31155236.936936937</v>
      </c>
      <c r="U170">
        <v>6158108.1081081089</v>
      </c>
      <c r="V170">
        <v>4686306.3063063063</v>
      </c>
      <c r="W170">
        <v>2465</v>
      </c>
      <c r="X170">
        <v>2500</v>
      </c>
    </row>
    <row r="171" spans="1:24">
      <c r="A171" s="7" t="s">
        <v>258</v>
      </c>
      <c r="B171" s="16" t="s">
        <v>60</v>
      </c>
      <c r="C171">
        <v>40831740.052328803</v>
      </c>
      <c r="D171">
        <v>35988201.031106047</v>
      </c>
      <c r="E171">
        <v>15765.765765766</v>
      </c>
      <c r="F171">
        <v>293693.69369369402</v>
      </c>
      <c r="G171">
        <v>19</v>
      </c>
      <c r="H171">
        <v>17</v>
      </c>
      <c r="I171">
        <v>1</v>
      </c>
      <c r="J171">
        <v>5</v>
      </c>
      <c r="K171">
        <v>2</v>
      </c>
      <c r="M171">
        <v>35</v>
      </c>
      <c r="N171">
        <v>23</v>
      </c>
      <c r="O171">
        <v>9655405.405405404</v>
      </c>
      <c r="P171">
        <v>7131531.5315315314</v>
      </c>
      <c r="Q171">
        <v>16</v>
      </c>
      <c r="R171">
        <v>19</v>
      </c>
      <c r="S171">
        <v>14986036.036036037</v>
      </c>
      <c r="T171">
        <v>12768000</v>
      </c>
      <c r="U171">
        <v>8278018.0180180185</v>
      </c>
      <c r="V171">
        <v>7473333.333333333</v>
      </c>
      <c r="W171">
        <v>664</v>
      </c>
      <c r="X171">
        <v>730</v>
      </c>
    </row>
    <row r="172" spans="1:24">
      <c r="A172" s="7" t="s">
        <v>259</v>
      </c>
      <c r="B172" s="16" t="s">
        <v>260</v>
      </c>
      <c r="C172">
        <v>20354422.728008535</v>
      </c>
      <c r="D172">
        <v>21935643.738766138</v>
      </c>
      <c r="E172">
        <v>1801801.8018018019</v>
      </c>
      <c r="F172">
        <v>13513.513513514001</v>
      </c>
      <c r="G172">
        <v>10</v>
      </c>
      <c r="H172">
        <v>6</v>
      </c>
      <c r="M172">
        <v>10</v>
      </c>
      <c r="N172">
        <v>7</v>
      </c>
      <c r="O172">
        <v>2702702.702702703</v>
      </c>
      <c r="P172">
        <v>4101351.351351351</v>
      </c>
      <c r="S172">
        <v>4039324.3243243252</v>
      </c>
      <c r="T172">
        <v>3778675.6756756762</v>
      </c>
      <c r="U172">
        <v>4496486.4864864871</v>
      </c>
      <c r="V172">
        <v>1823693.693693694</v>
      </c>
      <c r="W172">
        <v>533</v>
      </c>
      <c r="X172">
        <v>538</v>
      </c>
    </row>
    <row r="173" spans="1:24">
      <c r="A173" s="7" t="s">
        <v>261</v>
      </c>
      <c r="B173" s="16" t="s">
        <v>60</v>
      </c>
      <c r="C173">
        <v>344343015.79823482</v>
      </c>
      <c r="D173">
        <v>341266780.43215632</v>
      </c>
      <c r="E173">
        <v>408102814.41441441</v>
      </c>
      <c r="F173">
        <v>235906678.37837836</v>
      </c>
      <c r="G173">
        <v>179</v>
      </c>
      <c r="H173">
        <v>229</v>
      </c>
      <c r="I173">
        <v>26</v>
      </c>
      <c r="J173">
        <v>50</v>
      </c>
      <c r="K173">
        <v>13</v>
      </c>
      <c r="M173">
        <v>222</v>
      </c>
      <c r="N173">
        <v>462</v>
      </c>
      <c r="O173">
        <v>67240180.180180177</v>
      </c>
      <c r="P173">
        <v>69016216.216216221</v>
      </c>
      <c r="Q173">
        <v>568</v>
      </c>
      <c r="R173">
        <v>1999</v>
      </c>
      <c r="S173">
        <v>121515882.88288288</v>
      </c>
      <c r="T173">
        <v>125990903.15315315</v>
      </c>
      <c r="U173">
        <v>64355675.675675683</v>
      </c>
      <c r="V173">
        <v>75710540.540540546</v>
      </c>
      <c r="W173">
        <v>6251</v>
      </c>
      <c r="X173">
        <v>6008</v>
      </c>
    </row>
    <row r="174" spans="1:24">
      <c r="A174" s="7" t="s">
        <v>262</v>
      </c>
      <c r="B174" s="16" t="s">
        <v>123</v>
      </c>
      <c r="C174">
        <v>274218916.68641835</v>
      </c>
      <c r="D174">
        <v>263603308.7099019</v>
      </c>
      <c r="E174">
        <v>305855.85585585702</v>
      </c>
      <c r="F174">
        <v>426126.12612612703</v>
      </c>
      <c r="G174">
        <v>41</v>
      </c>
      <c r="H174">
        <v>74</v>
      </c>
      <c r="I174">
        <v>1</v>
      </c>
      <c r="J174">
        <v>2</v>
      </c>
      <c r="K174">
        <v>1</v>
      </c>
      <c r="M174">
        <v>48</v>
      </c>
      <c r="N174">
        <v>90</v>
      </c>
      <c r="O174">
        <v>18973963.963963963</v>
      </c>
      <c r="P174">
        <v>17325045.045045044</v>
      </c>
      <c r="Q174">
        <v>28</v>
      </c>
      <c r="R174">
        <v>34</v>
      </c>
      <c r="S174">
        <v>104331792.7927928</v>
      </c>
      <c r="T174">
        <v>104543306.3063063</v>
      </c>
      <c r="U174">
        <v>17558468.468468469</v>
      </c>
      <c r="V174">
        <v>15818648.648648648</v>
      </c>
      <c r="W174">
        <v>5477</v>
      </c>
      <c r="X174">
        <v>5485</v>
      </c>
    </row>
    <row r="175" spans="1:24">
      <c r="A175" s="7" t="s">
        <v>263</v>
      </c>
      <c r="B175" s="16" t="s">
        <v>123</v>
      </c>
      <c r="C175">
        <v>119330935.1312425</v>
      </c>
      <c r="D175">
        <v>112063805.45273757</v>
      </c>
      <c r="E175">
        <v>1040540.5405405411</v>
      </c>
      <c r="F175">
        <v>4009234.2342342362</v>
      </c>
      <c r="G175">
        <v>47</v>
      </c>
      <c r="H175">
        <v>69</v>
      </c>
      <c r="I175">
        <v>7</v>
      </c>
      <c r="J175">
        <v>9</v>
      </c>
      <c r="K175">
        <v>2</v>
      </c>
      <c r="M175">
        <v>54</v>
      </c>
      <c r="N175">
        <v>240</v>
      </c>
      <c r="O175">
        <v>38258288.288288288</v>
      </c>
      <c r="P175">
        <v>50635225.225225225</v>
      </c>
      <c r="Q175">
        <v>273</v>
      </c>
      <c r="R175">
        <v>604</v>
      </c>
      <c r="S175">
        <v>49909360.360360362</v>
      </c>
      <c r="T175">
        <v>46784585.585585587</v>
      </c>
      <c r="U175">
        <v>40768918.918918923</v>
      </c>
      <c r="V175">
        <v>48498558.558558561</v>
      </c>
      <c r="W175">
        <v>2392</v>
      </c>
      <c r="X175">
        <v>2346</v>
      </c>
    </row>
    <row r="176" spans="1:24">
      <c r="A176" s="7" t="s">
        <v>264</v>
      </c>
      <c r="B176" s="16" t="s">
        <v>125</v>
      </c>
      <c r="C176">
        <v>281376002.4838587</v>
      </c>
      <c r="D176">
        <v>284242206.42571223</v>
      </c>
      <c r="E176">
        <v>41065418.918918923</v>
      </c>
      <c r="F176">
        <v>44142962.162162162</v>
      </c>
      <c r="G176">
        <v>44</v>
      </c>
      <c r="H176">
        <v>83</v>
      </c>
      <c r="I176">
        <v>4</v>
      </c>
      <c r="J176">
        <v>5</v>
      </c>
      <c r="M176">
        <v>46</v>
      </c>
      <c r="N176">
        <v>84</v>
      </c>
      <c r="O176">
        <v>30307657.657657657</v>
      </c>
      <c r="P176">
        <v>34045945.945945941</v>
      </c>
      <c r="Q176">
        <v>30</v>
      </c>
      <c r="R176">
        <v>8</v>
      </c>
      <c r="S176">
        <v>97005180.180180177</v>
      </c>
      <c r="T176">
        <v>103025176.57657658</v>
      </c>
      <c r="U176">
        <v>24481621.621621624</v>
      </c>
      <c r="V176">
        <v>20349819.819819819</v>
      </c>
      <c r="W176">
        <v>4350</v>
      </c>
      <c r="X176">
        <v>4421</v>
      </c>
    </row>
    <row r="177" spans="1:24">
      <c r="A177" s="7" t="s">
        <v>265</v>
      </c>
      <c r="B177" s="16" t="s">
        <v>123</v>
      </c>
      <c r="C177">
        <v>283962781.96876931</v>
      </c>
      <c r="D177">
        <v>270498812.63754177</v>
      </c>
      <c r="E177">
        <v>340540.540540541</v>
      </c>
      <c r="F177">
        <v>1881081.0810810821</v>
      </c>
      <c r="G177">
        <v>77</v>
      </c>
      <c r="H177">
        <v>40</v>
      </c>
      <c r="I177">
        <v>9</v>
      </c>
      <c r="J177">
        <v>5</v>
      </c>
      <c r="M177">
        <v>82</v>
      </c>
      <c r="N177">
        <v>45</v>
      </c>
      <c r="O177">
        <v>23548108.108108107</v>
      </c>
      <c r="P177">
        <v>25707207.207207207</v>
      </c>
      <c r="Q177">
        <v>56</v>
      </c>
      <c r="R177">
        <v>54</v>
      </c>
      <c r="S177">
        <v>98911216.216216221</v>
      </c>
      <c r="T177">
        <v>95645697.297297299</v>
      </c>
      <c r="U177">
        <v>24906756.756756756</v>
      </c>
      <c r="V177">
        <v>27508468.468468469</v>
      </c>
      <c r="W177">
        <v>4784</v>
      </c>
      <c r="X177">
        <v>4889</v>
      </c>
    </row>
    <row r="178" spans="1:24">
      <c r="A178" s="7" t="s">
        <v>266</v>
      </c>
      <c r="B178" s="16" t="s">
        <v>123</v>
      </c>
      <c r="C178">
        <v>277074426.55406034</v>
      </c>
      <c r="D178">
        <v>282250364.17805856</v>
      </c>
      <c r="E178">
        <v>1988288.2882882911</v>
      </c>
      <c r="F178">
        <v>2838288.2882882901</v>
      </c>
      <c r="G178">
        <v>37</v>
      </c>
      <c r="H178">
        <v>60</v>
      </c>
      <c r="I178">
        <v>3</v>
      </c>
      <c r="J178">
        <v>8</v>
      </c>
      <c r="M178">
        <v>41</v>
      </c>
      <c r="N178">
        <v>68</v>
      </c>
      <c r="O178">
        <v>41721261.261261262</v>
      </c>
      <c r="P178">
        <v>30927207.207207207</v>
      </c>
      <c r="Q178">
        <v>182</v>
      </c>
      <c r="R178">
        <v>107</v>
      </c>
      <c r="S178">
        <v>108865484.68468469</v>
      </c>
      <c r="T178">
        <v>115752142.34234233</v>
      </c>
      <c r="U178">
        <v>40050810.810810804</v>
      </c>
      <c r="V178">
        <v>30832522.522522524</v>
      </c>
      <c r="W178">
        <v>5377</v>
      </c>
      <c r="X178">
        <v>5465</v>
      </c>
    </row>
    <row r="179" spans="1:24">
      <c r="A179" s="7" t="s">
        <v>267</v>
      </c>
      <c r="B179" s="16" t="s">
        <v>178</v>
      </c>
      <c r="C179">
        <v>1501122518.9030178</v>
      </c>
      <c r="D179">
        <v>1434122019.0579073</v>
      </c>
      <c r="E179">
        <v>893913356.75675678</v>
      </c>
      <c r="F179">
        <v>993784152.25225234</v>
      </c>
      <c r="G179">
        <v>754</v>
      </c>
      <c r="H179">
        <v>684</v>
      </c>
      <c r="I179">
        <v>48</v>
      </c>
      <c r="J179">
        <v>91</v>
      </c>
      <c r="K179">
        <v>6</v>
      </c>
      <c r="M179">
        <v>978</v>
      </c>
      <c r="N179">
        <v>1307</v>
      </c>
      <c r="O179">
        <v>221864862.16216218</v>
      </c>
      <c r="P179">
        <v>207936239.63963965</v>
      </c>
      <c r="Q179">
        <v>506</v>
      </c>
      <c r="R179">
        <v>1102</v>
      </c>
      <c r="S179">
        <v>423720036.03603601</v>
      </c>
      <c r="T179">
        <v>435681363.06306303</v>
      </c>
      <c r="U179">
        <v>204751441.44144145</v>
      </c>
      <c r="V179">
        <v>186693063.06306309</v>
      </c>
      <c r="W179">
        <v>32633</v>
      </c>
      <c r="X179">
        <v>31548</v>
      </c>
    </row>
    <row r="180" spans="1:24">
      <c r="A180" s="7" t="s">
        <v>268</v>
      </c>
      <c r="B180" s="16" t="s">
        <v>62</v>
      </c>
      <c r="C180">
        <v>223132193.5548929</v>
      </c>
      <c r="D180">
        <v>233489843.85515636</v>
      </c>
      <c r="E180">
        <v>2168558.5585585628</v>
      </c>
      <c r="F180">
        <v>5303603.603603607</v>
      </c>
      <c r="G180">
        <v>47</v>
      </c>
      <c r="H180">
        <v>51</v>
      </c>
      <c r="I180">
        <v>17</v>
      </c>
      <c r="J180">
        <v>24</v>
      </c>
      <c r="M180">
        <v>52</v>
      </c>
      <c r="N180">
        <v>79</v>
      </c>
      <c r="O180">
        <v>19864774.774774771</v>
      </c>
      <c r="P180">
        <v>75589459.459459454</v>
      </c>
      <c r="Q180">
        <v>51</v>
      </c>
      <c r="R180">
        <v>134</v>
      </c>
      <c r="S180">
        <v>74141396.396396399</v>
      </c>
      <c r="T180">
        <v>77282792.792792797</v>
      </c>
      <c r="U180">
        <v>20224324.324324325</v>
      </c>
      <c r="V180">
        <v>65840540.540540546</v>
      </c>
      <c r="W180">
        <v>4616</v>
      </c>
      <c r="X180">
        <v>4762</v>
      </c>
    </row>
    <row r="181" spans="1:24">
      <c r="A181" s="7" t="s">
        <v>269</v>
      </c>
      <c r="B181" s="16" t="s">
        <v>70</v>
      </c>
      <c r="C181">
        <v>298686143.9986313</v>
      </c>
      <c r="D181">
        <v>300990533.14187062</v>
      </c>
      <c r="E181">
        <v>166605356.75675678</v>
      </c>
      <c r="F181">
        <v>156039621.62162164</v>
      </c>
      <c r="G181">
        <v>67</v>
      </c>
      <c r="H181">
        <v>108</v>
      </c>
      <c r="I181">
        <v>4</v>
      </c>
      <c r="J181">
        <v>31</v>
      </c>
      <c r="K181">
        <v>1</v>
      </c>
      <c r="M181">
        <v>72</v>
      </c>
      <c r="N181">
        <v>290</v>
      </c>
      <c r="O181">
        <v>100049139.63963963</v>
      </c>
      <c r="P181">
        <v>87688072.972972974</v>
      </c>
      <c r="Q181">
        <v>209</v>
      </c>
      <c r="R181">
        <v>176</v>
      </c>
      <c r="S181">
        <v>136733810.8108108</v>
      </c>
      <c r="T181">
        <v>139966333.33333331</v>
      </c>
      <c r="U181">
        <v>41678873.873873875</v>
      </c>
      <c r="V181">
        <v>22341981.981981985</v>
      </c>
      <c r="W181">
        <v>6850</v>
      </c>
      <c r="X181">
        <v>6899</v>
      </c>
    </row>
    <row r="182" spans="1:24">
      <c r="A182" s="7" t="s">
        <v>270</v>
      </c>
      <c r="B182" s="16" t="s">
        <v>134</v>
      </c>
      <c r="C182">
        <v>4393561.6149124363</v>
      </c>
      <c r="D182">
        <v>4653982.472779735</v>
      </c>
      <c r="G182">
        <v>2</v>
      </c>
      <c r="M182">
        <v>3</v>
      </c>
      <c r="S182">
        <v>228378.37837837799</v>
      </c>
      <c r="T182">
        <v>261801.80180180201</v>
      </c>
      <c r="W182">
        <v>245</v>
      </c>
      <c r="X182">
        <v>241</v>
      </c>
    </row>
    <row r="183" spans="1:24">
      <c r="A183" s="7" t="s">
        <v>271</v>
      </c>
      <c r="B183" s="16" t="s">
        <v>76</v>
      </c>
      <c r="C183">
        <v>144221879.47843042</v>
      </c>
      <c r="D183">
        <v>140680392.15613744</v>
      </c>
      <c r="E183">
        <v>10810.810810810999</v>
      </c>
      <c r="F183">
        <v>76576.576576577005</v>
      </c>
      <c r="G183">
        <v>33</v>
      </c>
      <c r="H183">
        <v>18</v>
      </c>
      <c r="I183">
        <v>0</v>
      </c>
      <c r="J183">
        <v>0</v>
      </c>
      <c r="M183">
        <v>37</v>
      </c>
      <c r="N183">
        <v>20</v>
      </c>
      <c r="O183">
        <v>190990.99099099101</v>
      </c>
      <c r="P183">
        <v>166666.66666666701</v>
      </c>
      <c r="S183">
        <v>8405675.6756756753</v>
      </c>
      <c r="T183">
        <v>8417698.1981981974</v>
      </c>
      <c r="U183">
        <v>357657.65765765699</v>
      </c>
      <c r="V183">
        <v>271171.17117117101</v>
      </c>
      <c r="W183">
        <v>2344</v>
      </c>
      <c r="X183">
        <v>2418</v>
      </c>
    </row>
    <row r="184" spans="1:24">
      <c r="A184" s="7" t="s">
        <v>272</v>
      </c>
      <c r="B184" s="16" t="s">
        <v>76</v>
      </c>
      <c r="C184">
        <v>52449542.838165082</v>
      </c>
      <c r="D184">
        <v>48466294.226329826</v>
      </c>
      <c r="E184">
        <v>120055180.18018018</v>
      </c>
      <c r="F184">
        <v>73849549.54954955</v>
      </c>
      <c r="G184">
        <v>15</v>
      </c>
      <c r="H184">
        <v>4</v>
      </c>
      <c r="I184">
        <v>1</v>
      </c>
      <c r="J184">
        <v>1</v>
      </c>
      <c r="M184">
        <v>17</v>
      </c>
      <c r="N184">
        <v>6</v>
      </c>
      <c r="O184">
        <v>15718468.468468469</v>
      </c>
      <c r="P184">
        <v>10262342.342342341</v>
      </c>
      <c r="Q184">
        <v>24</v>
      </c>
      <c r="R184">
        <v>23</v>
      </c>
      <c r="S184">
        <v>15816531.531531531</v>
      </c>
      <c r="T184">
        <v>12255459.459459459</v>
      </c>
      <c r="U184">
        <v>10602522.522522524</v>
      </c>
      <c r="V184">
        <v>8932162.1621621605</v>
      </c>
      <c r="W184">
        <v>802</v>
      </c>
      <c r="X184">
        <v>755</v>
      </c>
    </row>
    <row r="185" spans="1:24">
      <c r="A185" s="7" t="s">
        <v>273</v>
      </c>
      <c r="B185" s="16" t="s">
        <v>260</v>
      </c>
      <c r="C185">
        <v>1073924159.8766825</v>
      </c>
      <c r="D185">
        <v>1010342954.3148674</v>
      </c>
      <c r="E185">
        <v>9530180.1801801845</v>
      </c>
      <c r="F185">
        <v>12853153.153153151</v>
      </c>
      <c r="G185">
        <v>300</v>
      </c>
      <c r="H185">
        <v>291</v>
      </c>
      <c r="I185">
        <v>25</v>
      </c>
      <c r="J185">
        <v>35</v>
      </c>
      <c r="K185">
        <v>1</v>
      </c>
      <c r="M185">
        <v>336</v>
      </c>
      <c r="N185">
        <v>387</v>
      </c>
      <c r="O185">
        <v>166633783.78378376</v>
      </c>
      <c r="P185">
        <v>206954954.95495495</v>
      </c>
      <c r="Q185">
        <v>175</v>
      </c>
      <c r="R185">
        <v>140</v>
      </c>
      <c r="S185">
        <v>306435918.91891891</v>
      </c>
      <c r="T185">
        <v>309553680.18018013</v>
      </c>
      <c r="U185">
        <v>172212522.52252254</v>
      </c>
      <c r="V185">
        <v>186204774.77477479</v>
      </c>
      <c r="W185">
        <v>19948</v>
      </c>
      <c r="X185">
        <v>18648</v>
      </c>
    </row>
    <row r="186" spans="1:24">
      <c r="A186" s="7" t="s">
        <v>274</v>
      </c>
      <c r="B186" s="16" t="s">
        <v>260</v>
      </c>
      <c r="C186">
        <v>249889731.93708241</v>
      </c>
      <c r="D186">
        <v>224302851.85200137</v>
      </c>
      <c r="E186">
        <v>2351351.3513513519</v>
      </c>
      <c r="F186">
        <v>1258108.1081081091</v>
      </c>
      <c r="G186">
        <v>24</v>
      </c>
      <c r="H186">
        <v>13</v>
      </c>
      <c r="I186">
        <v>3</v>
      </c>
      <c r="J186">
        <v>2</v>
      </c>
      <c r="M186">
        <v>24</v>
      </c>
      <c r="N186">
        <v>15</v>
      </c>
      <c r="O186">
        <v>13075675.675675675</v>
      </c>
      <c r="P186">
        <v>16129279.279279279</v>
      </c>
      <c r="Q186">
        <v>13</v>
      </c>
      <c r="R186">
        <v>11</v>
      </c>
      <c r="S186">
        <v>45417675.675675675</v>
      </c>
      <c r="T186">
        <v>45573774.774774775</v>
      </c>
      <c r="U186">
        <v>12634594.594594596</v>
      </c>
      <c r="V186">
        <v>13067027.027027024</v>
      </c>
      <c r="W186">
        <v>3810</v>
      </c>
      <c r="X186">
        <v>3781</v>
      </c>
    </row>
    <row r="187" spans="1:24">
      <c r="A187" s="7" t="s">
        <v>275</v>
      </c>
      <c r="B187" s="16" t="s">
        <v>260</v>
      </c>
      <c r="C187">
        <v>261904555.93289566</v>
      </c>
      <c r="D187">
        <v>249941754.55513415</v>
      </c>
      <c r="E187">
        <v>6483693.6936936937</v>
      </c>
      <c r="F187">
        <v>5749189.18918919</v>
      </c>
      <c r="G187">
        <v>135</v>
      </c>
      <c r="H187">
        <v>31</v>
      </c>
      <c r="I187">
        <v>5</v>
      </c>
      <c r="J187">
        <v>6</v>
      </c>
      <c r="K187">
        <v>1</v>
      </c>
      <c r="M187">
        <v>140</v>
      </c>
      <c r="N187">
        <v>36</v>
      </c>
      <c r="O187">
        <v>43210810.810810804</v>
      </c>
      <c r="P187">
        <v>47508108.108108111</v>
      </c>
      <c r="Q187">
        <v>300</v>
      </c>
      <c r="R187">
        <v>21</v>
      </c>
      <c r="S187">
        <v>61428603.603603609</v>
      </c>
      <c r="T187">
        <v>56510198.198198199</v>
      </c>
      <c r="U187">
        <v>42651711.711711712</v>
      </c>
      <c r="V187">
        <v>47308828.828828827</v>
      </c>
      <c r="W187">
        <v>6062</v>
      </c>
      <c r="X187">
        <v>5752</v>
      </c>
    </row>
    <row r="188" spans="1:24">
      <c r="A188" s="7" t="s">
        <v>276</v>
      </c>
      <c r="B188" s="16" t="s">
        <v>134</v>
      </c>
      <c r="C188">
        <v>308507948.94093364</v>
      </c>
      <c r="D188">
        <v>315266636.93718117</v>
      </c>
      <c r="E188">
        <v>246185889.1891892</v>
      </c>
      <c r="F188">
        <v>246933740.54054055</v>
      </c>
      <c r="G188">
        <v>49</v>
      </c>
      <c r="H188">
        <v>62</v>
      </c>
      <c r="I188">
        <v>4</v>
      </c>
      <c r="J188">
        <v>5</v>
      </c>
      <c r="M188">
        <v>53</v>
      </c>
      <c r="N188">
        <v>72</v>
      </c>
      <c r="O188">
        <v>41020720.720720723</v>
      </c>
      <c r="P188">
        <v>63270270.270270273</v>
      </c>
      <c r="Q188">
        <v>20</v>
      </c>
      <c r="S188">
        <v>27751693.693693694</v>
      </c>
      <c r="T188">
        <v>27514103.603603605</v>
      </c>
      <c r="U188">
        <v>8723963.9639639631</v>
      </c>
      <c r="V188">
        <v>7467297.2972972961</v>
      </c>
      <c r="W188">
        <v>5271</v>
      </c>
      <c r="X188">
        <v>5284</v>
      </c>
    </row>
    <row r="189" spans="1:24">
      <c r="A189" s="7" t="s">
        <v>277</v>
      </c>
      <c r="B189" s="16" t="s">
        <v>169</v>
      </c>
      <c r="C189">
        <v>242303683.28578064</v>
      </c>
      <c r="D189">
        <v>183466255.31523392</v>
      </c>
      <c r="E189">
        <v>584684.68468468403</v>
      </c>
      <c r="F189">
        <v>1485585.585585586</v>
      </c>
      <c r="G189">
        <v>43</v>
      </c>
      <c r="H189">
        <v>31</v>
      </c>
      <c r="I189">
        <v>1</v>
      </c>
      <c r="J189">
        <v>1</v>
      </c>
      <c r="M189">
        <v>45</v>
      </c>
      <c r="N189">
        <v>52</v>
      </c>
      <c r="O189">
        <v>21480828.828828827</v>
      </c>
      <c r="P189">
        <v>15037387.387387387</v>
      </c>
      <c r="Q189">
        <v>12</v>
      </c>
      <c r="R189">
        <v>14</v>
      </c>
      <c r="S189">
        <v>99790612.612612605</v>
      </c>
      <c r="T189">
        <v>83890213.963963971</v>
      </c>
      <c r="U189">
        <v>16806756.756756756</v>
      </c>
      <c r="V189">
        <v>11540900.9009009</v>
      </c>
      <c r="W189">
        <v>3301</v>
      </c>
      <c r="X189">
        <v>3258</v>
      </c>
    </row>
    <row r="190" spans="1:24">
      <c r="A190" s="7" t="s">
        <v>278</v>
      </c>
      <c r="B190" s="16" t="s">
        <v>169</v>
      </c>
      <c r="C190">
        <v>107300537.77257173</v>
      </c>
      <c r="D190">
        <v>108717412.90190876</v>
      </c>
      <c r="E190">
        <v>900.900900901</v>
      </c>
      <c r="F190">
        <v>3603.603603604</v>
      </c>
      <c r="G190">
        <v>8</v>
      </c>
      <c r="H190">
        <v>19</v>
      </c>
      <c r="M190">
        <v>8</v>
      </c>
      <c r="N190">
        <v>20</v>
      </c>
      <c r="O190">
        <v>5885602.702702703</v>
      </c>
      <c r="P190">
        <v>6973536.036036036</v>
      </c>
      <c r="S190">
        <v>41594018.018018015</v>
      </c>
      <c r="T190">
        <v>48702013.513513513</v>
      </c>
      <c r="U190">
        <v>4595135.1351351356</v>
      </c>
      <c r="V190">
        <v>5674684.6846846854</v>
      </c>
      <c r="W190">
        <v>2106</v>
      </c>
      <c r="X190">
        <v>2071</v>
      </c>
    </row>
    <row r="191" spans="1:24">
      <c r="A191" s="7" t="s">
        <v>279</v>
      </c>
      <c r="B191" s="16" t="s">
        <v>87</v>
      </c>
      <c r="C191">
        <v>2786191.6590529252</v>
      </c>
      <c r="D191">
        <v>2568458.2861171169</v>
      </c>
      <c r="G191">
        <v>4</v>
      </c>
      <c r="H191">
        <v>6</v>
      </c>
      <c r="M191">
        <v>5</v>
      </c>
      <c r="N191">
        <v>7</v>
      </c>
      <c r="S191">
        <v>1369592.7927927929</v>
      </c>
      <c r="T191">
        <v>1046945.945945946</v>
      </c>
      <c r="W191">
        <v>190</v>
      </c>
      <c r="X191">
        <v>207</v>
      </c>
    </row>
    <row r="192" spans="1:24">
      <c r="A192" s="7" t="s">
        <v>280</v>
      </c>
      <c r="B192" s="16" t="s">
        <v>169</v>
      </c>
      <c r="C192">
        <v>186849765.98328316</v>
      </c>
      <c r="D192">
        <v>179977561.45303589</v>
      </c>
      <c r="E192">
        <v>910135.13513513398</v>
      </c>
      <c r="F192">
        <v>898198.19819819904</v>
      </c>
      <c r="G192">
        <v>40</v>
      </c>
      <c r="H192">
        <v>27</v>
      </c>
      <c r="I192">
        <v>6</v>
      </c>
      <c r="J192">
        <v>4</v>
      </c>
      <c r="M192">
        <v>44</v>
      </c>
      <c r="N192">
        <v>42</v>
      </c>
      <c r="O192">
        <v>24567490.990990993</v>
      </c>
      <c r="P192">
        <v>23756576.576576576</v>
      </c>
      <c r="Q192">
        <v>116</v>
      </c>
      <c r="R192">
        <v>95</v>
      </c>
      <c r="S192">
        <v>72646486.48648648</v>
      </c>
      <c r="T192">
        <v>73340648.648648635</v>
      </c>
      <c r="U192">
        <v>20907117.117117114</v>
      </c>
      <c r="V192">
        <v>22332432.432432432</v>
      </c>
      <c r="W192">
        <v>4094</v>
      </c>
      <c r="X192">
        <v>4330</v>
      </c>
    </row>
    <row r="193" spans="1:24">
      <c r="A193" s="7" t="s">
        <v>281</v>
      </c>
      <c r="B193" s="16" t="s">
        <v>54</v>
      </c>
      <c r="C193">
        <v>142657514.21291</v>
      </c>
      <c r="D193">
        <v>137205847.59872386</v>
      </c>
      <c r="E193">
        <v>607432.43243243499</v>
      </c>
      <c r="F193">
        <v>2467567.5675675701</v>
      </c>
      <c r="G193">
        <v>50</v>
      </c>
      <c r="H193">
        <v>52</v>
      </c>
      <c r="I193">
        <v>6</v>
      </c>
      <c r="J193">
        <v>12</v>
      </c>
      <c r="K193">
        <v>3</v>
      </c>
      <c r="M193">
        <v>58</v>
      </c>
      <c r="N193">
        <v>62</v>
      </c>
      <c r="O193">
        <v>14407657.657657659</v>
      </c>
      <c r="P193">
        <v>15392792.792792792</v>
      </c>
      <c r="Q193">
        <v>116</v>
      </c>
      <c r="R193">
        <v>56</v>
      </c>
      <c r="S193">
        <v>29130747.747747749</v>
      </c>
      <c r="T193">
        <v>29656243.24324324</v>
      </c>
      <c r="U193">
        <v>14465585.585585587</v>
      </c>
      <c r="V193">
        <v>14398738.738738736</v>
      </c>
      <c r="W193">
        <v>3770</v>
      </c>
      <c r="X193">
        <v>3710</v>
      </c>
    </row>
    <row r="194" spans="1:24">
      <c r="A194" s="7" t="s">
        <v>282</v>
      </c>
      <c r="B194" s="16" t="s">
        <v>283</v>
      </c>
      <c r="C194">
        <v>231281563.17962265</v>
      </c>
      <c r="D194">
        <v>190773819.94959554</v>
      </c>
      <c r="E194">
        <v>956306.30630630697</v>
      </c>
      <c r="F194">
        <v>346846.84684684803</v>
      </c>
      <c r="G194">
        <v>104</v>
      </c>
      <c r="H194">
        <v>78</v>
      </c>
      <c r="I194">
        <v>3</v>
      </c>
      <c r="J194">
        <v>3</v>
      </c>
      <c r="M194">
        <v>106</v>
      </c>
      <c r="N194">
        <v>106</v>
      </c>
      <c r="O194">
        <v>7343693.6936936937</v>
      </c>
      <c r="P194">
        <v>8915495.4954954963</v>
      </c>
      <c r="Q194">
        <v>5</v>
      </c>
      <c r="R194">
        <v>1</v>
      </c>
      <c r="S194">
        <v>28533063.063063063</v>
      </c>
      <c r="T194">
        <v>30284090.090090089</v>
      </c>
      <c r="U194">
        <v>7726936.9369369391</v>
      </c>
      <c r="V194">
        <v>9408108.1081081089</v>
      </c>
      <c r="W194">
        <v>3390</v>
      </c>
      <c r="X194">
        <v>3219</v>
      </c>
    </row>
    <row r="195" spans="1:24">
      <c r="A195" s="7" t="s">
        <v>284</v>
      </c>
      <c r="B195" s="16" t="s">
        <v>283</v>
      </c>
      <c r="C195">
        <v>376370700.12309575</v>
      </c>
      <c r="D195">
        <v>388168564.27302742</v>
      </c>
      <c r="E195">
        <v>1641216.216216217</v>
      </c>
      <c r="F195">
        <v>2786936.936936941</v>
      </c>
      <c r="G195">
        <v>141</v>
      </c>
      <c r="H195">
        <v>70</v>
      </c>
      <c r="I195">
        <v>8</v>
      </c>
      <c r="J195">
        <v>7</v>
      </c>
      <c r="K195">
        <v>1</v>
      </c>
      <c r="M195">
        <v>206</v>
      </c>
      <c r="N195">
        <v>118</v>
      </c>
      <c r="O195">
        <v>44768738.738738745</v>
      </c>
      <c r="P195">
        <v>45756036.036036037</v>
      </c>
      <c r="Q195">
        <v>46</v>
      </c>
      <c r="R195">
        <v>100</v>
      </c>
      <c r="S195">
        <v>76184234.234234244</v>
      </c>
      <c r="T195">
        <v>82413702.702702701</v>
      </c>
      <c r="U195">
        <v>37850630.630630635</v>
      </c>
      <c r="V195">
        <v>41702432.432432435</v>
      </c>
      <c r="W195">
        <v>8115</v>
      </c>
      <c r="X195">
        <v>8122</v>
      </c>
    </row>
    <row r="196" spans="1:24">
      <c r="A196" s="7" t="s">
        <v>285</v>
      </c>
      <c r="B196" s="16" t="s">
        <v>283</v>
      </c>
      <c r="C196">
        <v>200415538.9668096</v>
      </c>
      <c r="D196">
        <v>203939250.15507519</v>
      </c>
      <c r="E196">
        <v>1527027.0270270291</v>
      </c>
      <c r="F196">
        <v>1751261.2612612611</v>
      </c>
      <c r="G196">
        <v>69</v>
      </c>
      <c r="H196">
        <v>29</v>
      </c>
      <c r="I196">
        <v>12</v>
      </c>
      <c r="J196">
        <v>6</v>
      </c>
      <c r="M196">
        <v>72</v>
      </c>
      <c r="N196">
        <v>65</v>
      </c>
      <c r="O196">
        <v>51613333.333333328</v>
      </c>
      <c r="P196">
        <v>54465045.045045048</v>
      </c>
      <c r="Q196">
        <v>36</v>
      </c>
      <c r="R196">
        <v>85</v>
      </c>
      <c r="S196">
        <v>63913630.630630635</v>
      </c>
      <c r="T196">
        <v>63076612.612612605</v>
      </c>
      <c r="U196">
        <v>45600900.9009009</v>
      </c>
      <c r="V196">
        <v>47840900.900900893</v>
      </c>
      <c r="W196">
        <v>4732</v>
      </c>
      <c r="X196">
        <v>4590</v>
      </c>
    </row>
    <row r="197" spans="1:24">
      <c r="A197" s="7" t="s">
        <v>286</v>
      </c>
      <c r="B197" s="16" t="s">
        <v>283</v>
      </c>
      <c r="C197">
        <v>144290452.60627931</v>
      </c>
      <c r="D197">
        <v>153318497.16161337</v>
      </c>
      <c r="E197">
        <v>158333.33333333401</v>
      </c>
      <c r="F197">
        <v>614414.414414417</v>
      </c>
      <c r="G197">
        <v>21</v>
      </c>
      <c r="H197">
        <v>13</v>
      </c>
      <c r="I197">
        <v>5</v>
      </c>
      <c r="J197">
        <v>2</v>
      </c>
      <c r="M197">
        <v>22</v>
      </c>
      <c r="N197">
        <v>15</v>
      </c>
      <c r="O197">
        <v>7721621.6216216218</v>
      </c>
      <c r="P197">
        <v>31981261.261261266</v>
      </c>
      <c r="Q197">
        <v>113</v>
      </c>
      <c r="R197">
        <v>113</v>
      </c>
      <c r="S197">
        <v>23845927.927927926</v>
      </c>
      <c r="T197">
        <v>29208369.369369369</v>
      </c>
      <c r="U197">
        <v>5924594.594594595</v>
      </c>
      <c r="V197">
        <v>31143603.603603605</v>
      </c>
      <c r="W197">
        <v>2474</v>
      </c>
      <c r="X197">
        <v>2459</v>
      </c>
    </row>
    <row r="198" spans="1:24">
      <c r="A198" s="7" t="s">
        <v>287</v>
      </c>
      <c r="B198" s="16" t="s">
        <v>283</v>
      </c>
      <c r="C198">
        <v>73798536.037518695</v>
      </c>
      <c r="D198">
        <v>77216218.05602634</v>
      </c>
      <c r="E198">
        <v>81081.081081081007</v>
      </c>
      <c r="F198">
        <v>456756.75675675902</v>
      </c>
      <c r="G198">
        <v>6</v>
      </c>
      <c r="I198">
        <v>2</v>
      </c>
      <c r="J198">
        <v>2</v>
      </c>
      <c r="M198">
        <v>6</v>
      </c>
      <c r="N198">
        <v>2</v>
      </c>
      <c r="O198">
        <v>81081.081081081007</v>
      </c>
      <c r="P198">
        <v>12672972.972972972</v>
      </c>
      <c r="Q198">
        <v>2</v>
      </c>
      <c r="R198">
        <v>2</v>
      </c>
      <c r="S198">
        <v>12810765.765765764</v>
      </c>
      <c r="T198">
        <v>13889072.072072072</v>
      </c>
      <c r="U198">
        <v>13063.063063063</v>
      </c>
      <c r="V198">
        <v>12340810.810810812</v>
      </c>
      <c r="W198">
        <v>1321</v>
      </c>
      <c r="X198">
        <v>1363</v>
      </c>
    </row>
    <row r="199" spans="1:24">
      <c r="A199" s="7" t="s">
        <v>288</v>
      </c>
      <c r="B199" s="16" t="s">
        <v>283</v>
      </c>
      <c r="C199">
        <v>12677206.808911188</v>
      </c>
      <c r="D199">
        <v>12387084.781565759</v>
      </c>
      <c r="E199">
        <v>5180.1801801800002</v>
      </c>
      <c r="F199">
        <v>370270.27027027</v>
      </c>
      <c r="G199">
        <v>5</v>
      </c>
      <c r="M199">
        <v>5</v>
      </c>
      <c r="O199">
        <v>1694594.594594595</v>
      </c>
      <c r="P199">
        <v>19847747.747747749</v>
      </c>
      <c r="Q199">
        <v>75</v>
      </c>
      <c r="R199">
        <v>98</v>
      </c>
      <c r="S199">
        <v>1922612.612612613</v>
      </c>
      <c r="T199">
        <v>1839558.558558559</v>
      </c>
      <c r="U199">
        <v>1689189.1891891891</v>
      </c>
      <c r="V199">
        <v>19450450.45045045</v>
      </c>
      <c r="W199">
        <v>337</v>
      </c>
      <c r="X199">
        <v>321</v>
      </c>
    </row>
    <row r="200" spans="1:24">
      <c r="A200" s="7" t="s">
        <v>289</v>
      </c>
      <c r="B200" s="16" t="s">
        <v>290</v>
      </c>
      <c r="C200">
        <v>157486383.19923505</v>
      </c>
      <c r="D200">
        <v>154463845.74360737</v>
      </c>
      <c r="E200">
        <v>32432.432432433001</v>
      </c>
      <c r="F200">
        <v>133333.33333333401</v>
      </c>
      <c r="G200">
        <v>63</v>
      </c>
      <c r="H200">
        <v>41</v>
      </c>
      <c r="I200">
        <v>2</v>
      </c>
      <c r="J200">
        <v>1</v>
      </c>
      <c r="M200">
        <v>72</v>
      </c>
      <c r="N200">
        <v>45</v>
      </c>
      <c r="O200">
        <v>1518918.91891892</v>
      </c>
      <c r="P200">
        <v>639639.63963963999</v>
      </c>
      <c r="Q200">
        <v>14</v>
      </c>
      <c r="R200">
        <v>8</v>
      </c>
      <c r="S200">
        <v>14518733.333333332</v>
      </c>
      <c r="T200">
        <v>14375263.063063065</v>
      </c>
      <c r="U200">
        <v>1496396.3963963969</v>
      </c>
      <c r="V200">
        <v>905315.31531531597</v>
      </c>
      <c r="W200">
        <v>4106</v>
      </c>
      <c r="X200">
        <v>4207</v>
      </c>
    </row>
    <row r="201" spans="1:24">
      <c r="A201" s="7" t="s">
        <v>291</v>
      </c>
      <c r="B201" s="16" t="s">
        <v>147</v>
      </c>
      <c r="C201">
        <v>370833616.2107892</v>
      </c>
      <c r="D201">
        <v>369502011.78254539</v>
      </c>
      <c r="E201">
        <v>1039639.639639642</v>
      </c>
      <c r="F201">
        <v>5410990.9909909936</v>
      </c>
      <c r="G201">
        <v>71</v>
      </c>
      <c r="H201">
        <v>87</v>
      </c>
      <c r="I201">
        <v>11</v>
      </c>
      <c r="J201">
        <v>8</v>
      </c>
      <c r="K201">
        <v>2</v>
      </c>
      <c r="M201">
        <v>226</v>
      </c>
      <c r="N201">
        <v>105</v>
      </c>
      <c r="O201">
        <v>53333693.69369369</v>
      </c>
      <c r="P201">
        <v>134093209.009009</v>
      </c>
      <c r="Q201">
        <v>271</v>
      </c>
      <c r="R201">
        <v>222</v>
      </c>
      <c r="S201">
        <v>133587567.56756757</v>
      </c>
      <c r="T201">
        <v>144728270.27027026</v>
      </c>
      <c r="U201">
        <v>48507927.927927919</v>
      </c>
      <c r="V201">
        <v>130085495.49549548</v>
      </c>
      <c r="W201">
        <v>7806</v>
      </c>
      <c r="X201">
        <v>7449</v>
      </c>
    </row>
    <row r="202" spans="1:24">
      <c r="A202" s="7" t="s">
        <v>292</v>
      </c>
      <c r="B202" s="16" t="s">
        <v>293</v>
      </c>
      <c r="C202">
        <v>189487279.99886853</v>
      </c>
      <c r="D202">
        <v>177264467.30191875</v>
      </c>
      <c r="E202">
        <v>77477.477477481996</v>
      </c>
      <c r="F202">
        <v>1402702.702702703</v>
      </c>
      <c r="G202">
        <v>24</v>
      </c>
      <c r="H202">
        <v>19</v>
      </c>
      <c r="I202">
        <v>15</v>
      </c>
      <c r="J202">
        <v>8</v>
      </c>
      <c r="M202">
        <v>33</v>
      </c>
      <c r="N202">
        <v>24</v>
      </c>
      <c r="O202">
        <v>31472432.432432428</v>
      </c>
      <c r="P202">
        <v>41237027.027027026</v>
      </c>
      <c r="Q202">
        <v>230</v>
      </c>
      <c r="R202">
        <v>50</v>
      </c>
      <c r="S202">
        <v>22993369.369369369</v>
      </c>
      <c r="T202">
        <v>24939621.62162162</v>
      </c>
      <c r="U202">
        <v>32550540.540540539</v>
      </c>
      <c r="V202">
        <v>42970360.360360362</v>
      </c>
      <c r="W202">
        <v>3603</v>
      </c>
      <c r="X202">
        <v>3460</v>
      </c>
    </row>
    <row r="203" spans="1:24">
      <c r="A203" s="7" t="s">
        <v>294</v>
      </c>
      <c r="B203" s="16" t="s">
        <v>290</v>
      </c>
      <c r="C203">
        <v>52477244.492437482</v>
      </c>
      <c r="D203">
        <v>39294639.626221262</v>
      </c>
      <c r="E203">
        <v>572972.97297297395</v>
      </c>
      <c r="F203">
        <v>968468.46846846805</v>
      </c>
      <c r="G203">
        <v>21</v>
      </c>
      <c r="H203">
        <v>9</v>
      </c>
      <c r="I203">
        <v>1</v>
      </c>
      <c r="J203">
        <v>2</v>
      </c>
      <c r="M203">
        <v>22</v>
      </c>
      <c r="N203">
        <v>8</v>
      </c>
      <c r="O203">
        <v>1609009.009009009</v>
      </c>
      <c r="P203">
        <v>2816216.2162162159</v>
      </c>
      <c r="Q203">
        <v>10</v>
      </c>
      <c r="R203">
        <v>8</v>
      </c>
      <c r="S203">
        <v>5507657.6576576568</v>
      </c>
      <c r="T203">
        <v>5655178.3783783782</v>
      </c>
      <c r="U203">
        <v>2117387.3873873879</v>
      </c>
      <c r="V203">
        <v>2323783.7837837851</v>
      </c>
      <c r="W203">
        <v>1224</v>
      </c>
      <c r="X203">
        <v>1181</v>
      </c>
    </row>
    <row r="204" spans="1:24">
      <c r="A204" s="7" t="s">
        <v>295</v>
      </c>
      <c r="B204" s="16" t="s">
        <v>52</v>
      </c>
      <c r="C204">
        <v>515233703.81177765</v>
      </c>
      <c r="D204">
        <v>509909089.15835178</v>
      </c>
      <c r="E204">
        <v>4926750.450450452</v>
      </c>
      <c r="F204">
        <v>6839639.639639643</v>
      </c>
      <c r="G204">
        <v>97</v>
      </c>
      <c r="H204">
        <v>137</v>
      </c>
      <c r="I204">
        <v>13</v>
      </c>
      <c r="J204">
        <v>15</v>
      </c>
      <c r="M204">
        <v>309</v>
      </c>
      <c r="N204">
        <v>214</v>
      </c>
      <c r="O204">
        <v>403577710.8108108</v>
      </c>
      <c r="P204">
        <v>266362882.88288289</v>
      </c>
      <c r="Q204">
        <v>361</v>
      </c>
      <c r="R204">
        <v>553</v>
      </c>
      <c r="S204">
        <v>137361693.6936937</v>
      </c>
      <c r="T204">
        <v>139215520.72072071</v>
      </c>
      <c r="U204">
        <v>335758198.1981982</v>
      </c>
      <c r="V204">
        <v>283160720.72072071</v>
      </c>
      <c r="W204">
        <v>12156</v>
      </c>
      <c r="X204">
        <v>11493</v>
      </c>
    </row>
    <row r="205" spans="1:24">
      <c r="A205" s="7" t="s">
        <v>296</v>
      </c>
      <c r="B205" s="16" t="s">
        <v>169</v>
      </c>
      <c r="C205">
        <v>167997157.32757869</v>
      </c>
      <c r="D205">
        <v>142637708.68216026</v>
      </c>
      <c r="E205">
        <v>1801.801801802</v>
      </c>
      <c r="F205">
        <v>86486.486486487003</v>
      </c>
      <c r="G205">
        <v>19</v>
      </c>
      <c r="H205">
        <v>20</v>
      </c>
      <c r="I205">
        <v>0</v>
      </c>
      <c r="J205">
        <v>0</v>
      </c>
      <c r="K205">
        <v>1</v>
      </c>
      <c r="M205">
        <v>22</v>
      </c>
      <c r="N205">
        <v>28</v>
      </c>
      <c r="O205">
        <v>6037837.8378378376</v>
      </c>
      <c r="P205">
        <v>10627027.027027028</v>
      </c>
      <c r="R205">
        <v>1</v>
      </c>
      <c r="S205">
        <v>33790423.423423424</v>
      </c>
      <c r="T205">
        <v>31847963.963963963</v>
      </c>
      <c r="U205">
        <v>6563333.333333333</v>
      </c>
      <c r="V205">
        <v>8965405.4054054059</v>
      </c>
      <c r="W205">
        <v>4603</v>
      </c>
      <c r="X205">
        <v>2788</v>
      </c>
    </row>
    <row r="206" spans="1:24">
      <c r="A206" s="7" t="s">
        <v>297</v>
      </c>
      <c r="B206" s="16" t="s">
        <v>169</v>
      </c>
      <c r="C206">
        <v>160936926.99718633</v>
      </c>
      <c r="D206">
        <v>197158723.61214596</v>
      </c>
      <c r="E206">
        <v>900.900900901</v>
      </c>
      <c r="F206">
        <v>707774.77477477503</v>
      </c>
      <c r="G206">
        <v>15</v>
      </c>
      <c r="H206">
        <v>26</v>
      </c>
      <c r="J206">
        <v>0</v>
      </c>
      <c r="M206">
        <v>16</v>
      </c>
      <c r="N206">
        <v>45</v>
      </c>
      <c r="O206">
        <v>991031683.78378379</v>
      </c>
      <c r="P206">
        <v>1841362567.5675676</v>
      </c>
      <c r="S206">
        <v>59158774.774774775</v>
      </c>
      <c r="T206">
        <v>69792576.576576576</v>
      </c>
      <c r="U206">
        <v>989881109.90990984</v>
      </c>
      <c r="V206">
        <v>1827999632.4324324</v>
      </c>
      <c r="W206">
        <v>2965</v>
      </c>
      <c r="X206">
        <v>2781</v>
      </c>
    </row>
    <row r="207" spans="1:24">
      <c r="A207" s="7" t="s">
        <v>298</v>
      </c>
      <c r="B207" s="16" t="s">
        <v>89</v>
      </c>
      <c r="C207">
        <v>601078710.50343931</v>
      </c>
      <c r="D207">
        <v>582823100.4410795</v>
      </c>
      <c r="E207">
        <v>1748063.0630630699</v>
      </c>
      <c r="F207">
        <v>8336802.7027027113</v>
      </c>
      <c r="G207">
        <v>88</v>
      </c>
      <c r="H207">
        <v>110</v>
      </c>
      <c r="I207">
        <v>24</v>
      </c>
      <c r="J207">
        <v>36</v>
      </c>
      <c r="K207">
        <v>2</v>
      </c>
      <c r="M207">
        <v>98</v>
      </c>
      <c r="N207">
        <v>214</v>
      </c>
      <c r="O207">
        <v>38548288.288288288</v>
      </c>
      <c r="P207">
        <v>37902465.765765771</v>
      </c>
      <c r="Q207">
        <v>379</v>
      </c>
      <c r="R207">
        <v>248</v>
      </c>
      <c r="S207">
        <v>110342477.47747748</v>
      </c>
      <c r="T207">
        <v>114515099.0990991</v>
      </c>
      <c r="U207">
        <v>38239549.549549542</v>
      </c>
      <c r="V207">
        <v>36876666.666666672</v>
      </c>
      <c r="W207">
        <v>10644</v>
      </c>
      <c r="X207">
        <v>11005</v>
      </c>
    </row>
    <row r="208" spans="1:24">
      <c r="A208" s="7" t="s">
        <v>299</v>
      </c>
      <c r="B208" s="16" t="s">
        <v>134</v>
      </c>
      <c r="C208">
        <v>306065467.19996792</v>
      </c>
      <c r="D208">
        <v>324363445.0781166</v>
      </c>
      <c r="E208">
        <v>2636261.2612612699</v>
      </c>
      <c r="F208">
        <v>2968468.468468471</v>
      </c>
      <c r="G208">
        <v>130</v>
      </c>
      <c r="H208">
        <v>73</v>
      </c>
      <c r="I208">
        <v>37</v>
      </c>
      <c r="J208">
        <v>11</v>
      </c>
      <c r="M208">
        <v>211</v>
      </c>
      <c r="N208">
        <v>93</v>
      </c>
      <c r="O208">
        <v>33085585.585585587</v>
      </c>
      <c r="P208">
        <v>23792792.792792793</v>
      </c>
      <c r="Q208">
        <v>274</v>
      </c>
      <c r="R208">
        <v>82</v>
      </c>
      <c r="S208">
        <v>43566448.648648649</v>
      </c>
      <c r="T208">
        <v>39720612.612612613</v>
      </c>
      <c r="U208">
        <v>27940854.054054052</v>
      </c>
      <c r="V208">
        <v>20183963.963963963</v>
      </c>
      <c r="W208">
        <v>7047</v>
      </c>
      <c r="X208">
        <v>6791</v>
      </c>
    </row>
    <row r="209" spans="1:24">
      <c r="A209" s="7" t="s">
        <v>300</v>
      </c>
      <c r="B209" s="16" t="s">
        <v>290</v>
      </c>
      <c r="C209">
        <v>238409145.42401111</v>
      </c>
      <c r="D209">
        <v>219879505.4191477</v>
      </c>
      <c r="E209">
        <v>1104954.954954955</v>
      </c>
      <c r="F209">
        <v>2845045.0450450471</v>
      </c>
      <c r="G209">
        <v>107</v>
      </c>
      <c r="H209">
        <v>67</v>
      </c>
      <c r="I209">
        <v>18</v>
      </c>
      <c r="J209">
        <v>17</v>
      </c>
      <c r="M209">
        <v>116</v>
      </c>
      <c r="N209">
        <v>79</v>
      </c>
      <c r="O209">
        <v>26773423.423423424</v>
      </c>
      <c r="P209">
        <v>16072072.072072074</v>
      </c>
      <c r="Q209">
        <v>231</v>
      </c>
      <c r="R209">
        <v>59</v>
      </c>
      <c r="S209">
        <v>32518063.063063063</v>
      </c>
      <c r="T209">
        <v>31454759.459459461</v>
      </c>
      <c r="U209">
        <v>23349369.369369369</v>
      </c>
      <c r="V209">
        <v>15500900.9009009</v>
      </c>
      <c r="W209">
        <v>4434</v>
      </c>
      <c r="X209">
        <v>4408</v>
      </c>
    </row>
    <row r="210" spans="1:24">
      <c r="A210" s="7" t="s">
        <v>301</v>
      </c>
      <c r="B210" s="16" t="s">
        <v>80</v>
      </c>
      <c r="C210">
        <v>351600928.04401183</v>
      </c>
      <c r="D210">
        <v>324376259.61914796</v>
      </c>
      <c r="E210">
        <v>1356306.306306307</v>
      </c>
      <c r="F210">
        <v>4479954.9549549548</v>
      </c>
      <c r="G210">
        <v>101</v>
      </c>
      <c r="H210">
        <v>53</v>
      </c>
      <c r="I210">
        <v>10</v>
      </c>
      <c r="J210">
        <v>13</v>
      </c>
      <c r="M210">
        <v>111</v>
      </c>
      <c r="N210">
        <v>66</v>
      </c>
      <c r="O210">
        <v>30856486.486486483</v>
      </c>
      <c r="P210">
        <v>50155405.405405402</v>
      </c>
      <c r="Q210">
        <v>116</v>
      </c>
      <c r="R210">
        <v>156</v>
      </c>
      <c r="S210">
        <v>76368698.198198199</v>
      </c>
      <c r="T210">
        <v>67799331.531531543</v>
      </c>
      <c r="U210">
        <v>29431981.981981982</v>
      </c>
      <c r="V210">
        <v>46628378.378378376</v>
      </c>
      <c r="W210">
        <v>5792</v>
      </c>
      <c r="X210">
        <v>6161</v>
      </c>
    </row>
    <row r="211" spans="1:24">
      <c r="A211" s="7" t="s">
        <v>302</v>
      </c>
      <c r="B211" s="16" t="s">
        <v>72</v>
      </c>
      <c r="C211">
        <v>492195969.38140118</v>
      </c>
      <c r="D211">
        <v>490868701.40134954</v>
      </c>
      <c r="E211">
        <v>57164864.864864863</v>
      </c>
      <c r="F211">
        <v>42357117.117117122</v>
      </c>
      <c r="G211">
        <v>89</v>
      </c>
      <c r="H211">
        <v>115</v>
      </c>
      <c r="I211">
        <v>16</v>
      </c>
      <c r="J211">
        <v>16</v>
      </c>
      <c r="K211">
        <v>3</v>
      </c>
      <c r="M211">
        <v>94</v>
      </c>
      <c r="N211">
        <v>126</v>
      </c>
      <c r="O211">
        <v>35349009.009009011</v>
      </c>
      <c r="P211">
        <v>29805405.40540541</v>
      </c>
      <c r="Q211">
        <v>71</v>
      </c>
      <c r="R211">
        <v>59</v>
      </c>
      <c r="S211">
        <v>67482468.468468457</v>
      </c>
      <c r="T211">
        <v>72689351.351351365</v>
      </c>
      <c r="U211">
        <v>26828558.558558561</v>
      </c>
      <c r="V211">
        <v>24939639.639639638</v>
      </c>
      <c r="W211">
        <v>9219</v>
      </c>
      <c r="X211">
        <v>9127</v>
      </c>
    </row>
    <row r="212" spans="1:24">
      <c r="A212" s="7" t="s">
        <v>303</v>
      </c>
      <c r="B212" s="16" t="s">
        <v>304</v>
      </c>
      <c r="C212">
        <v>1729060.6651673</v>
      </c>
      <c r="D212">
        <v>1721906.8589945361</v>
      </c>
      <c r="S212">
        <v>863738.73873873905</v>
      </c>
      <c r="T212">
        <v>701891.89189189195</v>
      </c>
      <c r="W212">
        <v>72</v>
      </c>
      <c r="X212">
        <v>69</v>
      </c>
    </row>
    <row r="213" spans="1:24">
      <c r="A213" s="7" t="s">
        <v>305</v>
      </c>
      <c r="B213" s="16" t="s">
        <v>117</v>
      </c>
      <c r="C213">
        <v>75311779.375047997</v>
      </c>
      <c r="D213">
        <v>64284373.599936634</v>
      </c>
      <c r="E213">
        <v>16216.216216217999</v>
      </c>
      <c r="F213">
        <v>308108.10810810601</v>
      </c>
      <c r="G213">
        <v>14</v>
      </c>
      <c r="H213">
        <v>20</v>
      </c>
      <c r="I213">
        <v>6</v>
      </c>
      <c r="J213">
        <v>7</v>
      </c>
      <c r="M213">
        <v>16</v>
      </c>
      <c r="N213">
        <v>39</v>
      </c>
      <c r="O213">
        <v>3927117.1171171172</v>
      </c>
      <c r="P213">
        <v>3283243.243243244</v>
      </c>
      <c r="Q213">
        <v>66</v>
      </c>
      <c r="R213">
        <v>21</v>
      </c>
      <c r="S213">
        <v>29750090.090090089</v>
      </c>
      <c r="T213">
        <v>28345990.990990993</v>
      </c>
      <c r="U213">
        <v>3870360.3603603598</v>
      </c>
      <c r="V213">
        <v>3187747.7477477472</v>
      </c>
      <c r="W213">
        <v>1816</v>
      </c>
      <c r="X213">
        <v>1690</v>
      </c>
    </row>
    <row r="214" spans="1:24">
      <c r="A214" s="7" t="s">
        <v>306</v>
      </c>
      <c r="B214" s="16" t="s">
        <v>307</v>
      </c>
      <c r="C214">
        <v>82676910.90039745</v>
      </c>
      <c r="D214">
        <v>83068228.675990298</v>
      </c>
      <c r="E214">
        <v>43243.243243243996</v>
      </c>
      <c r="F214">
        <v>271171.17117117101</v>
      </c>
      <c r="G214">
        <v>42</v>
      </c>
      <c r="H214">
        <v>37</v>
      </c>
      <c r="M214">
        <v>47</v>
      </c>
      <c r="N214">
        <v>52</v>
      </c>
      <c r="O214">
        <v>1454414.414414414</v>
      </c>
      <c r="P214">
        <v>1239639.6396396391</v>
      </c>
      <c r="Q214">
        <v>35</v>
      </c>
      <c r="R214">
        <v>24</v>
      </c>
      <c r="S214">
        <v>41348639.639639638</v>
      </c>
      <c r="T214">
        <v>44243198.198198199</v>
      </c>
      <c r="U214">
        <v>1209009.0090090081</v>
      </c>
      <c r="V214">
        <v>1210720.7207207209</v>
      </c>
      <c r="W214">
        <v>4356</v>
      </c>
      <c r="X214">
        <v>4509</v>
      </c>
    </row>
    <row r="215" spans="1:24">
      <c r="A215" s="7" t="s">
        <v>308</v>
      </c>
      <c r="B215" s="16" t="s">
        <v>140</v>
      </c>
      <c r="C215">
        <v>507076131.17990094</v>
      </c>
      <c r="D215">
        <v>519250562.19117749</v>
      </c>
      <c r="E215">
        <v>830990.99099099298</v>
      </c>
      <c r="F215">
        <v>2212162.1621621698</v>
      </c>
      <c r="G215">
        <v>41</v>
      </c>
      <c r="H215">
        <v>78</v>
      </c>
      <c r="I215">
        <v>10</v>
      </c>
      <c r="J215">
        <v>15</v>
      </c>
      <c r="M215">
        <v>57</v>
      </c>
      <c r="N215">
        <v>96</v>
      </c>
      <c r="O215">
        <v>79718468.468468457</v>
      </c>
      <c r="P215">
        <v>95411261.261261269</v>
      </c>
      <c r="Q215">
        <v>18</v>
      </c>
      <c r="R215">
        <v>171</v>
      </c>
      <c r="S215">
        <v>108201079.27927928</v>
      </c>
      <c r="T215">
        <v>115869698.1981982</v>
      </c>
      <c r="U215">
        <v>48468198.198198199</v>
      </c>
      <c r="V215">
        <v>52558558.558558561</v>
      </c>
      <c r="W215">
        <v>8012</v>
      </c>
      <c r="X215">
        <v>8168</v>
      </c>
    </row>
    <row r="216" spans="1:24">
      <c r="A216" s="7" t="s">
        <v>309</v>
      </c>
      <c r="B216" s="16" t="s">
        <v>132</v>
      </c>
      <c r="C216">
        <v>610928303.35631621</v>
      </c>
      <c r="D216">
        <v>516066934.77532434</v>
      </c>
      <c r="E216">
        <v>3094594.594594596</v>
      </c>
      <c r="F216">
        <v>3604504.504504506</v>
      </c>
      <c r="G216">
        <v>186</v>
      </c>
      <c r="H216">
        <v>135</v>
      </c>
      <c r="I216">
        <v>3</v>
      </c>
      <c r="J216">
        <v>3</v>
      </c>
      <c r="M216">
        <v>207</v>
      </c>
      <c r="N216">
        <v>170</v>
      </c>
      <c r="O216">
        <v>41252927.927927926</v>
      </c>
      <c r="P216">
        <v>19856756.756756756</v>
      </c>
      <c r="Q216">
        <v>112</v>
      </c>
      <c r="R216">
        <v>26</v>
      </c>
      <c r="S216">
        <v>160385432.43243244</v>
      </c>
      <c r="T216">
        <v>138279162.16216215</v>
      </c>
      <c r="U216">
        <v>35267972.972972974</v>
      </c>
      <c r="V216">
        <v>17117297.297297299</v>
      </c>
      <c r="W216">
        <v>11985</v>
      </c>
      <c r="X216">
        <v>12048</v>
      </c>
    </row>
    <row r="217" spans="1:24">
      <c r="A217" s="7" t="s">
        <v>310</v>
      </c>
      <c r="B217" s="16" t="s">
        <v>72</v>
      </c>
      <c r="C217">
        <v>888321001.58574307</v>
      </c>
      <c r="D217">
        <v>837675947.75257397</v>
      </c>
      <c r="E217">
        <v>2311126.1261261338</v>
      </c>
      <c r="F217">
        <v>6497522.5225225296</v>
      </c>
      <c r="G217">
        <v>215</v>
      </c>
      <c r="H217">
        <v>187</v>
      </c>
      <c r="I217">
        <v>44</v>
      </c>
      <c r="J217">
        <v>58</v>
      </c>
      <c r="M217">
        <v>243</v>
      </c>
      <c r="N217">
        <v>234</v>
      </c>
      <c r="O217">
        <v>129755315.31531531</v>
      </c>
      <c r="P217">
        <v>123905405.4054054</v>
      </c>
      <c r="Q217">
        <v>224</v>
      </c>
      <c r="R217">
        <v>154</v>
      </c>
      <c r="S217">
        <v>211790800</v>
      </c>
      <c r="T217">
        <v>211540063.96396396</v>
      </c>
      <c r="U217">
        <v>112382702.7027027</v>
      </c>
      <c r="V217">
        <v>108737700.9009009</v>
      </c>
      <c r="W217">
        <v>17377</v>
      </c>
      <c r="X217">
        <v>16720</v>
      </c>
    </row>
    <row r="218" spans="1:24">
      <c r="A218" s="7" t="s">
        <v>311</v>
      </c>
      <c r="B218" s="16" t="s">
        <v>62</v>
      </c>
      <c r="C218">
        <v>152743039.83550811</v>
      </c>
      <c r="D218">
        <v>146973576.66576722</v>
      </c>
      <c r="E218">
        <v>71989414.414414421</v>
      </c>
      <c r="F218">
        <v>194741621.62162164</v>
      </c>
      <c r="G218">
        <v>23</v>
      </c>
      <c r="H218">
        <v>17</v>
      </c>
      <c r="I218">
        <v>6</v>
      </c>
      <c r="J218">
        <v>5</v>
      </c>
      <c r="M218">
        <v>26</v>
      </c>
      <c r="N218">
        <v>19</v>
      </c>
      <c r="O218">
        <v>23254594.59459459</v>
      </c>
      <c r="P218">
        <v>31449639.639639638</v>
      </c>
      <c r="Q218">
        <v>26</v>
      </c>
      <c r="R218">
        <v>42</v>
      </c>
      <c r="S218">
        <v>40970981.981981985</v>
      </c>
      <c r="T218">
        <v>40341963.963963971</v>
      </c>
      <c r="U218">
        <v>24387477.477477476</v>
      </c>
      <c r="V218">
        <v>26036576.576576579</v>
      </c>
      <c r="W218">
        <v>2321</v>
      </c>
      <c r="X218">
        <v>2321</v>
      </c>
    </row>
    <row r="219" spans="1:24">
      <c r="A219" s="7" t="s">
        <v>312</v>
      </c>
      <c r="B219" s="16" t="s">
        <v>89</v>
      </c>
      <c r="C219">
        <v>49597644.092433251</v>
      </c>
      <c r="D219">
        <v>50408370.977691226</v>
      </c>
      <c r="E219">
        <v>36936.936936938</v>
      </c>
      <c r="F219">
        <v>863963.96396396204</v>
      </c>
      <c r="G219">
        <v>10</v>
      </c>
      <c r="H219">
        <v>12</v>
      </c>
      <c r="I219">
        <v>6</v>
      </c>
      <c r="J219">
        <v>14</v>
      </c>
      <c r="M219">
        <v>12</v>
      </c>
      <c r="N219">
        <v>17</v>
      </c>
      <c r="O219">
        <v>3956126.1261261241</v>
      </c>
      <c r="P219">
        <v>6172612.6126126125</v>
      </c>
      <c r="Q219">
        <v>52</v>
      </c>
      <c r="R219">
        <v>112</v>
      </c>
      <c r="S219">
        <v>14934909.90990991</v>
      </c>
      <c r="T219">
        <v>17315117.117117114</v>
      </c>
      <c r="U219">
        <v>3432252.252252249</v>
      </c>
      <c r="V219">
        <v>6159459.4594594613</v>
      </c>
      <c r="W219">
        <v>1112</v>
      </c>
      <c r="X219">
        <v>1216</v>
      </c>
    </row>
    <row r="220" spans="1:24">
      <c r="A220" s="7" t="s">
        <v>313</v>
      </c>
      <c r="B220" s="16" t="s">
        <v>92</v>
      </c>
      <c r="C220">
        <v>22973573.224905495</v>
      </c>
      <c r="D220">
        <v>22351032.237911772</v>
      </c>
      <c r="E220">
        <v>1801.801801802</v>
      </c>
      <c r="F220">
        <v>144144.144144144</v>
      </c>
      <c r="G220">
        <v>4</v>
      </c>
      <c r="H220">
        <v>4</v>
      </c>
      <c r="I220">
        <v>1</v>
      </c>
      <c r="M220">
        <v>4</v>
      </c>
      <c r="N220">
        <v>5</v>
      </c>
      <c r="O220">
        <v>28828.828828828999</v>
      </c>
      <c r="P220">
        <v>1360360.36036036</v>
      </c>
      <c r="Q220">
        <v>1</v>
      </c>
      <c r="S220">
        <v>1667657.657657658</v>
      </c>
      <c r="T220">
        <v>1655090.0900900899</v>
      </c>
      <c r="U220">
        <v>27027.027027027001</v>
      </c>
      <c r="V220">
        <v>1361261.2612612611</v>
      </c>
      <c r="W220">
        <v>496</v>
      </c>
      <c r="X220">
        <v>505</v>
      </c>
    </row>
    <row r="221" spans="1:24">
      <c r="A221" s="7" t="s">
        <v>314</v>
      </c>
      <c r="B221" s="16" t="s">
        <v>315</v>
      </c>
      <c r="C221">
        <v>185206199.67588297</v>
      </c>
      <c r="D221">
        <v>171349116.09119341</v>
      </c>
      <c r="E221">
        <v>643243.24324324296</v>
      </c>
      <c r="F221">
        <v>768918.918918918</v>
      </c>
      <c r="G221">
        <v>58</v>
      </c>
      <c r="H221">
        <v>34</v>
      </c>
      <c r="I221">
        <v>1</v>
      </c>
      <c r="J221">
        <v>3</v>
      </c>
      <c r="M221">
        <v>64</v>
      </c>
      <c r="N221">
        <v>39</v>
      </c>
      <c r="O221">
        <v>10451801.801801801</v>
      </c>
      <c r="P221">
        <v>21981081.081081081</v>
      </c>
      <c r="S221">
        <v>29924162.162162159</v>
      </c>
      <c r="T221">
        <v>25964583.783783782</v>
      </c>
      <c r="U221">
        <v>10363783.783783782</v>
      </c>
      <c r="V221">
        <v>21371891.891891893</v>
      </c>
      <c r="W221">
        <v>3512</v>
      </c>
      <c r="X221">
        <v>3378</v>
      </c>
    </row>
    <row r="222" spans="1:24">
      <c r="A222" s="7" t="s">
        <v>316</v>
      </c>
      <c r="B222" s="16" t="s">
        <v>62</v>
      </c>
      <c r="C222">
        <v>284333741.20719439</v>
      </c>
      <c r="D222">
        <v>289086449.05550784</v>
      </c>
      <c r="E222">
        <v>1200450.4504504539</v>
      </c>
      <c r="F222">
        <v>5705405.4054054124</v>
      </c>
      <c r="G222">
        <v>101</v>
      </c>
      <c r="H222">
        <v>141</v>
      </c>
      <c r="I222">
        <v>15</v>
      </c>
      <c r="J222">
        <v>15</v>
      </c>
      <c r="M222">
        <v>144</v>
      </c>
      <c r="N222">
        <v>198</v>
      </c>
      <c r="O222">
        <v>18010450.45045045</v>
      </c>
      <c r="P222">
        <v>50742522.522522517</v>
      </c>
      <c r="Q222">
        <v>51</v>
      </c>
      <c r="R222">
        <v>175</v>
      </c>
      <c r="S222">
        <v>101131972.97297297</v>
      </c>
      <c r="T222">
        <v>101433405.4054054</v>
      </c>
      <c r="U222">
        <v>18921891.891891889</v>
      </c>
      <c r="V222">
        <v>47934774.774774767</v>
      </c>
      <c r="W222">
        <v>8739</v>
      </c>
      <c r="X222">
        <v>8692</v>
      </c>
    </row>
    <row r="223" spans="1:24">
      <c r="A223" s="7" t="s">
        <v>317</v>
      </c>
      <c r="B223" s="16" t="s">
        <v>62</v>
      </c>
      <c r="C223">
        <v>285770802.52684098</v>
      </c>
      <c r="D223">
        <v>267529523.9821896</v>
      </c>
      <c r="E223">
        <v>878828.82882883295</v>
      </c>
      <c r="F223">
        <v>1952252.2522522539</v>
      </c>
      <c r="G223">
        <v>108</v>
      </c>
      <c r="H223">
        <v>44</v>
      </c>
      <c r="I223">
        <v>17</v>
      </c>
      <c r="J223">
        <v>10</v>
      </c>
      <c r="M223">
        <v>134</v>
      </c>
      <c r="N223">
        <v>52</v>
      </c>
      <c r="O223">
        <v>23626036.036036037</v>
      </c>
      <c r="P223">
        <v>37641441.441441439</v>
      </c>
      <c r="Q223">
        <v>19</v>
      </c>
      <c r="R223">
        <v>129</v>
      </c>
      <c r="S223">
        <v>95394774.774774775</v>
      </c>
      <c r="T223">
        <v>94762135.135135129</v>
      </c>
      <c r="U223">
        <v>25020450.450450446</v>
      </c>
      <c r="V223">
        <v>37839369.369369365</v>
      </c>
      <c r="W223">
        <v>5537</v>
      </c>
      <c r="X223">
        <v>5420</v>
      </c>
    </row>
    <row r="224" spans="1:24">
      <c r="A224" s="7" t="s">
        <v>318</v>
      </c>
      <c r="B224" s="16" t="s">
        <v>78</v>
      </c>
      <c r="C224">
        <v>297295158.2336728</v>
      </c>
      <c r="D224">
        <v>280837943.42543375</v>
      </c>
      <c r="E224">
        <v>3640405.4054054078</v>
      </c>
      <c r="F224">
        <v>5489189.189189191</v>
      </c>
      <c r="G224">
        <v>121</v>
      </c>
      <c r="H224">
        <v>114</v>
      </c>
      <c r="I224">
        <v>16</v>
      </c>
      <c r="J224">
        <v>27</v>
      </c>
      <c r="M224">
        <v>131</v>
      </c>
      <c r="N224">
        <v>158</v>
      </c>
      <c r="O224">
        <v>64411171.171171166</v>
      </c>
      <c r="P224">
        <v>69862612.61261262</v>
      </c>
      <c r="Q224">
        <v>172</v>
      </c>
      <c r="R224">
        <v>185</v>
      </c>
      <c r="S224">
        <v>127350135.13513513</v>
      </c>
      <c r="T224">
        <v>123293995.49549548</v>
      </c>
      <c r="U224">
        <v>61203603.603603601</v>
      </c>
      <c r="V224">
        <v>72944324.324324325</v>
      </c>
      <c r="W224">
        <v>8595</v>
      </c>
      <c r="X224">
        <v>8722</v>
      </c>
    </row>
    <row r="225" spans="1:24">
      <c r="A225" s="7" t="s">
        <v>319</v>
      </c>
      <c r="B225" s="16" t="s">
        <v>78</v>
      </c>
      <c r="C225">
        <v>176812947.79409429</v>
      </c>
      <c r="D225">
        <v>168859533.69370452</v>
      </c>
      <c r="E225">
        <v>2722702.7027027039</v>
      </c>
      <c r="F225">
        <v>3183783.7837837841</v>
      </c>
      <c r="G225">
        <v>28</v>
      </c>
      <c r="H225">
        <v>81</v>
      </c>
      <c r="I225">
        <v>1</v>
      </c>
      <c r="J225">
        <v>5</v>
      </c>
      <c r="K225">
        <v>2</v>
      </c>
      <c r="M225">
        <v>37</v>
      </c>
      <c r="N225">
        <v>129</v>
      </c>
      <c r="O225">
        <v>20357837.837837838</v>
      </c>
      <c r="P225">
        <v>15580180.180180181</v>
      </c>
      <c r="Q225">
        <v>149</v>
      </c>
      <c r="R225">
        <v>124</v>
      </c>
      <c r="S225">
        <v>62278936.936936937</v>
      </c>
      <c r="T225">
        <v>64531513.513513513</v>
      </c>
      <c r="U225">
        <v>17944144.144144144</v>
      </c>
      <c r="V225">
        <v>14513693.693693696</v>
      </c>
      <c r="W225">
        <v>5439</v>
      </c>
      <c r="X225">
        <v>5638</v>
      </c>
    </row>
    <row r="226" spans="1:24">
      <c r="A226" s="7" t="s">
        <v>320</v>
      </c>
      <c r="B226" s="16" t="s">
        <v>121</v>
      </c>
      <c r="C226">
        <v>1232056.1004462279</v>
      </c>
      <c r="D226">
        <v>1270670.810868809</v>
      </c>
      <c r="G226">
        <v>1</v>
      </c>
      <c r="M226">
        <v>3</v>
      </c>
      <c r="S226">
        <v>351801.80180180201</v>
      </c>
      <c r="T226">
        <v>122702.702702703</v>
      </c>
      <c r="W226">
        <v>67</v>
      </c>
      <c r="X226">
        <v>58</v>
      </c>
    </row>
    <row r="227" spans="1:24">
      <c r="A227" s="7" t="s">
        <v>321</v>
      </c>
      <c r="B227" s="16" t="s">
        <v>224</v>
      </c>
      <c r="C227">
        <v>223055643.96731994</v>
      </c>
      <c r="D227">
        <v>192335021.11100787</v>
      </c>
      <c r="E227">
        <v>148918819.81981981</v>
      </c>
      <c r="F227">
        <v>121746486.48648648</v>
      </c>
      <c r="G227">
        <v>54</v>
      </c>
      <c r="H227">
        <v>41</v>
      </c>
      <c r="I227">
        <v>1</v>
      </c>
      <c r="J227">
        <v>1</v>
      </c>
      <c r="M227">
        <v>59</v>
      </c>
      <c r="N227">
        <v>55</v>
      </c>
      <c r="O227">
        <v>11323963.963963963</v>
      </c>
      <c r="P227">
        <v>12396126.126126127</v>
      </c>
      <c r="Q227">
        <v>33</v>
      </c>
      <c r="R227">
        <v>51</v>
      </c>
      <c r="S227">
        <v>81921396.396396399</v>
      </c>
      <c r="T227">
        <v>78710385.585585579</v>
      </c>
      <c r="U227">
        <v>5435855.8558558561</v>
      </c>
      <c r="V227">
        <v>9660630.6306306329</v>
      </c>
      <c r="W227">
        <v>3976</v>
      </c>
      <c r="X227">
        <v>3901</v>
      </c>
    </row>
    <row r="228" spans="1:24">
      <c r="A228" s="7" t="s">
        <v>322</v>
      </c>
      <c r="B228" s="16" t="s">
        <v>224</v>
      </c>
      <c r="C228">
        <v>160121410.48994672</v>
      </c>
      <c r="D228">
        <v>136820982.58429581</v>
      </c>
      <c r="E228">
        <v>302702.702702704</v>
      </c>
      <c r="F228">
        <v>57657.657657657997</v>
      </c>
      <c r="G228">
        <v>21</v>
      </c>
      <c r="H228">
        <v>10</v>
      </c>
      <c r="I228">
        <v>4</v>
      </c>
      <c r="J228">
        <v>0</v>
      </c>
      <c r="M228">
        <v>23</v>
      </c>
      <c r="N228">
        <v>11</v>
      </c>
      <c r="O228">
        <v>25745405.405405402</v>
      </c>
      <c r="P228">
        <v>12781261.26126126</v>
      </c>
      <c r="Q228">
        <v>56</v>
      </c>
      <c r="R228">
        <v>105</v>
      </c>
      <c r="S228">
        <v>44636711.711711712</v>
      </c>
      <c r="T228">
        <v>41937481.981981985</v>
      </c>
      <c r="U228">
        <v>19609369.369369369</v>
      </c>
      <c r="V228">
        <v>10027207.207207208</v>
      </c>
      <c r="W228">
        <v>2247</v>
      </c>
      <c r="X228">
        <v>2168</v>
      </c>
    </row>
    <row r="229" spans="1:24">
      <c r="A229" s="7" t="s">
        <v>323</v>
      </c>
      <c r="B229" s="16" t="s">
        <v>78</v>
      </c>
      <c r="C229">
        <v>214576190.5011138</v>
      </c>
      <c r="D229">
        <v>211383011.08454588</v>
      </c>
      <c r="E229">
        <v>781531.53153153195</v>
      </c>
      <c r="F229">
        <v>1122522.5225225261</v>
      </c>
      <c r="G229">
        <v>84</v>
      </c>
      <c r="H229">
        <v>87</v>
      </c>
      <c r="I229">
        <v>9</v>
      </c>
      <c r="J229">
        <v>9</v>
      </c>
      <c r="M229">
        <v>97</v>
      </c>
      <c r="N229">
        <v>164</v>
      </c>
      <c r="O229">
        <v>25461711.711711708</v>
      </c>
      <c r="P229">
        <v>22257657.657657657</v>
      </c>
      <c r="Q229">
        <v>183</v>
      </c>
      <c r="R229">
        <v>130</v>
      </c>
      <c r="S229">
        <v>62010959.459459454</v>
      </c>
      <c r="T229">
        <v>63790918.918918923</v>
      </c>
      <c r="U229">
        <v>22461801.801801801</v>
      </c>
      <c r="V229">
        <v>21950720.72072072</v>
      </c>
      <c r="W229">
        <v>4551</v>
      </c>
      <c r="X229">
        <v>4663</v>
      </c>
    </row>
    <row r="230" spans="1:24">
      <c r="A230" s="7" t="s">
        <v>324</v>
      </c>
      <c r="B230" s="16" t="s">
        <v>108</v>
      </c>
      <c r="C230">
        <v>1449450841.3898585</v>
      </c>
      <c r="D230">
        <v>1411053237.0747743</v>
      </c>
      <c r="E230">
        <v>1665185522.5225227</v>
      </c>
      <c r="F230">
        <v>1824097036.9369369</v>
      </c>
      <c r="G230">
        <v>243</v>
      </c>
      <c r="H230">
        <v>379</v>
      </c>
      <c r="I230">
        <v>27</v>
      </c>
      <c r="J230">
        <v>45</v>
      </c>
      <c r="K230">
        <v>1</v>
      </c>
      <c r="M230">
        <v>473</v>
      </c>
      <c r="N230">
        <v>623</v>
      </c>
      <c r="O230">
        <v>596176666.66666663</v>
      </c>
      <c r="P230">
        <v>568704954.95495498</v>
      </c>
      <c r="Q230">
        <v>660</v>
      </c>
      <c r="R230">
        <v>2540</v>
      </c>
      <c r="S230">
        <v>331654103.6036036</v>
      </c>
      <c r="T230">
        <v>702201630.63063061</v>
      </c>
      <c r="U230">
        <v>108646666.66666666</v>
      </c>
      <c r="V230">
        <v>122005225.22522521</v>
      </c>
      <c r="W230">
        <v>21774</v>
      </c>
      <c r="X230">
        <v>21804</v>
      </c>
    </row>
    <row r="231" spans="1:24">
      <c r="A231" s="7" t="s">
        <v>325</v>
      </c>
      <c r="B231" s="16" t="s">
        <v>224</v>
      </c>
      <c r="C231">
        <v>220620404.30115449</v>
      </c>
      <c r="D231">
        <v>197144133.29207036</v>
      </c>
      <c r="E231">
        <v>550090.09009008901</v>
      </c>
      <c r="F231">
        <v>595495.49549549597</v>
      </c>
      <c r="G231">
        <v>52</v>
      </c>
      <c r="H231">
        <v>28</v>
      </c>
      <c r="I231">
        <v>4</v>
      </c>
      <c r="J231">
        <v>1</v>
      </c>
      <c r="M231">
        <v>56</v>
      </c>
      <c r="N231">
        <v>33</v>
      </c>
      <c r="O231">
        <v>19620360.360360362</v>
      </c>
      <c r="P231">
        <v>17805945.945945945</v>
      </c>
      <c r="Q231">
        <v>19</v>
      </c>
      <c r="S231">
        <v>43507810.810810804</v>
      </c>
      <c r="T231">
        <v>41657729.729729727</v>
      </c>
      <c r="U231">
        <v>17433513.513513513</v>
      </c>
      <c r="V231">
        <v>16480630.630630629</v>
      </c>
      <c r="W231">
        <v>4390</v>
      </c>
      <c r="X231">
        <v>4301</v>
      </c>
    </row>
    <row r="232" spans="1:24">
      <c r="A232" s="7" t="s">
        <v>4</v>
      </c>
      <c r="B232" s="16" t="s">
        <v>158</v>
      </c>
      <c r="C232">
        <v>170763442.34676895</v>
      </c>
      <c r="D232">
        <v>170374764.60037044</v>
      </c>
      <c r="E232">
        <v>1253153.1531531529</v>
      </c>
      <c r="F232">
        <v>2141441.4414414442</v>
      </c>
      <c r="G232">
        <v>15</v>
      </c>
      <c r="H232">
        <v>14</v>
      </c>
      <c r="I232">
        <v>11</v>
      </c>
      <c r="J232">
        <v>8</v>
      </c>
      <c r="M232">
        <v>16</v>
      </c>
      <c r="N232">
        <v>18</v>
      </c>
      <c r="O232">
        <v>29386036.036036037</v>
      </c>
      <c r="P232">
        <v>27266666.666666668</v>
      </c>
      <c r="Q232">
        <v>95</v>
      </c>
      <c r="R232">
        <v>49</v>
      </c>
      <c r="S232">
        <v>63171801.801801801</v>
      </c>
      <c r="T232">
        <v>59920972.972972974</v>
      </c>
      <c r="U232">
        <v>30330900.900900904</v>
      </c>
      <c r="V232">
        <v>34012432.432432435</v>
      </c>
      <c r="W232">
        <v>3486</v>
      </c>
      <c r="X232">
        <v>3593</v>
      </c>
    </row>
    <row r="233" spans="1:24">
      <c r="A233" s="7" t="s">
        <v>34</v>
      </c>
      <c r="B233" s="16" t="s">
        <v>193</v>
      </c>
      <c r="E233">
        <v>197436396.3963964</v>
      </c>
      <c r="F233">
        <v>307826576.57657659</v>
      </c>
    </row>
    <row r="234" spans="1:24">
      <c r="A234" s="7" t="s">
        <v>326</v>
      </c>
      <c r="B234" s="16" t="s">
        <v>108</v>
      </c>
      <c r="C234">
        <v>791023346.02488494</v>
      </c>
      <c r="D234">
        <v>791543412.61032283</v>
      </c>
      <c r="E234">
        <v>19051847.747747753</v>
      </c>
      <c r="F234">
        <v>10753984.684684692</v>
      </c>
      <c r="G234">
        <v>312</v>
      </c>
      <c r="H234">
        <v>256</v>
      </c>
      <c r="I234">
        <v>38</v>
      </c>
      <c r="J234">
        <v>35</v>
      </c>
      <c r="M234">
        <v>596</v>
      </c>
      <c r="N234">
        <v>629</v>
      </c>
      <c r="O234">
        <v>608845486.48648655</v>
      </c>
      <c r="P234">
        <v>559217138.73873878</v>
      </c>
      <c r="Q234">
        <v>1306</v>
      </c>
      <c r="R234">
        <v>1597</v>
      </c>
      <c r="S234">
        <v>233823693.6936937</v>
      </c>
      <c r="T234">
        <v>245834443.6936937</v>
      </c>
      <c r="U234">
        <v>122108918.91891891</v>
      </c>
      <c r="V234">
        <v>105884774.77477479</v>
      </c>
      <c r="W234">
        <v>19768</v>
      </c>
      <c r="X234">
        <v>19199</v>
      </c>
    </row>
    <row r="235" spans="1:24">
      <c r="A235" s="7" t="s">
        <v>327</v>
      </c>
      <c r="B235" s="16" t="s">
        <v>78</v>
      </c>
      <c r="C235">
        <v>82325410.599639058</v>
      </c>
      <c r="D235">
        <v>83564800.881376743</v>
      </c>
      <c r="E235">
        <v>156756.75675675701</v>
      </c>
      <c r="F235">
        <v>547747.74774774897</v>
      </c>
      <c r="G235">
        <v>38</v>
      </c>
      <c r="H235">
        <v>27</v>
      </c>
      <c r="I235">
        <v>3</v>
      </c>
      <c r="J235">
        <v>6</v>
      </c>
      <c r="M235">
        <v>38</v>
      </c>
      <c r="N235">
        <v>36</v>
      </c>
      <c r="O235">
        <v>6580180.1801801799</v>
      </c>
      <c r="P235">
        <v>5592792.7927927943</v>
      </c>
      <c r="Q235">
        <v>43</v>
      </c>
      <c r="R235">
        <v>15</v>
      </c>
      <c r="S235">
        <v>25422252.252252251</v>
      </c>
      <c r="T235">
        <v>27060495.495495494</v>
      </c>
      <c r="U235">
        <v>6842972.9729729732</v>
      </c>
      <c r="V235">
        <v>5997207.2072072066</v>
      </c>
      <c r="W235">
        <v>1963</v>
      </c>
      <c r="X235">
        <v>2119</v>
      </c>
    </row>
    <row r="236" spans="1:24">
      <c r="A236" s="7" t="s">
        <v>328</v>
      </c>
      <c r="B236" s="16" t="s">
        <v>121</v>
      </c>
      <c r="C236">
        <v>234376032.66767153</v>
      </c>
      <c r="D236">
        <v>213259780.74325851</v>
      </c>
      <c r="E236">
        <v>457657.65765765699</v>
      </c>
      <c r="F236">
        <v>1015990.990990991</v>
      </c>
      <c r="G236">
        <v>82</v>
      </c>
      <c r="H236">
        <v>68</v>
      </c>
      <c r="I236">
        <v>8</v>
      </c>
      <c r="J236">
        <v>7</v>
      </c>
      <c r="M236">
        <v>92</v>
      </c>
      <c r="N236">
        <v>76</v>
      </c>
      <c r="O236">
        <v>13163063.063063065</v>
      </c>
      <c r="P236">
        <v>19202702.702702705</v>
      </c>
      <c r="Q236">
        <v>78</v>
      </c>
      <c r="R236">
        <v>198</v>
      </c>
      <c r="S236">
        <v>33038926.126126129</v>
      </c>
      <c r="T236">
        <v>33587908.108108111</v>
      </c>
      <c r="U236">
        <v>10707387.387387387</v>
      </c>
      <c r="V236">
        <v>14547927.927927928</v>
      </c>
      <c r="W236">
        <v>4057</v>
      </c>
      <c r="X236">
        <v>4097</v>
      </c>
    </row>
    <row r="237" spans="1:24">
      <c r="A237" s="7" t="s">
        <v>329</v>
      </c>
      <c r="B237" s="16" t="s">
        <v>330</v>
      </c>
      <c r="C237">
        <v>538427625.75442827</v>
      </c>
      <c r="D237">
        <v>518434845.2523666</v>
      </c>
      <c r="E237">
        <v>3479954.9549549562</v>
      </c>
      <c r="F237">
        <v>6849774.7747747768</v>
      </c>
      <c r="G237">
        <v>193</v>
      </c>
      <c r="H237">
        <v>192</v>
      </c>
      <c r="I237">
        <v>20</v>
      </c>
      <c r="J237">
        <v>22</v>
      </c>
      <c r="K237">
        <v>12</v>
      </c>
      <c r="M237">
        <v>299</v>
      </c>
      <c r="N237">
        <v>289</v>
      </c>
      <c r="O237">
        <v>110220450.45045045</v>
      </c>
      <c r="P237">
        <v>69143603.603603601</v>
      </c>
      <c r="Q237">
        <v>444</v>
      </c>
      <c r="R237">
        <v>122</v>
      </c>
      <c r="S237">
        <v>114018054.05405405</v>
      </c>
      <c r="T237">
        <v>122048912.16216215</v>
      </c>
      <c r="U237">
        <v>42932655.855855852</v>
      </c>
      <c r="V237">
        <v>65141531.531531528</v>
      </c>
      <c r="W237">
        <v>14463</v>
      </c>
      <c r="X237">
        <v>13752</v>
      </c>
    </row>
    <row r="238" spans="1:24">
      <c r="A238" s="7" t="s">
        <v>331</v>
      </c>
      <c r="B238" s="16" t="s">
        <v>290</v>
      </c>
      <c r="C238">
        <v>781851131.5804888</v>
      </c>
      <c r="D238">
        <v>761503193.72901952</v>
      </c>
      <c r="E238">
        <v>1554054.0540540579</v>
      </c>
      <c r="F238">
        <v>4219369.3693693718</v>
      </c>
      <c r="G238">
        <v>243</v>
      </c>
      <c r="H238">
        <v>260</v>
      </c>
      <c r="I238">
        <v>36</v>
      </c>
      <c r="J238">
        <v>32</v>
      </c>
      <c r="K238">
        <v>7</v>
      </c>
      <c r="M238">
        <v>294</v>
      </c>
      <c r="N238">
        <v>402</v>
      </c>
      <c r="O238">
        <v>84128828.828828827</v>
      </c>
      <c r="P238">
        <v>85374774.774774775</v>
      </c>
      <c r="Q238">
        <v>413</v>
      </c>
      <c r="R238">
        <v>243</v>
      </c>
      <c r="S238">
        <v>146554819.81981981</v>
      </c>
      <c r="T238">
        <v>138521007.2072072</v>
      </c>
      <c r="U238">
        <v>78169322.522522524</v>
      </c>
      <c r="V238">
        <v>70817567.567567572</v>
      </c>
      <c r="W238">
        <v>17102</v>
      </c>
      <c r="X238">
        <v>17619</v>
      </c>
    </row>
    <row r="239" spans="1:24">
      <c r="A239" s="7" t="s">
        <v>332</v>
      </c>
      <c r="B239" s="16" t="s">
        <v>290</v>
      </c>
      <c r="C239">
        <v>578397208.2534734</v>
      </c>
      <c r="D239">
        <v>580189025.67022812</v>
      </c>
      <c r="E239">
        <v>3048198.1981982039</v>
      </c>
      <c r="F239">
        <v>6237837.8378378469</v>
      </c>
      <c r="G239">
        <v>178</v>
      </c>
      <c r="H239">
        <v>158</v>
      </c>
      <c r="I239">
        <v>22</v>
      </c>
      <c r="J239">
        <v>29</v>
      </c>
      <c r="K239">
        <v>3</v>
      </c>
      <c r="M239">
        <v>205</v>
      </c>
      <c r="N239">
        <v>225</v>
      </c>
      <c r="O239">
        <v>74240990.990990996</v>
      </c>
      <c r="P239">
        <v>80720720.720720723</v>
      </c>
      <c r="Q239">
        <v>426</v>
      </c>
      <c r="R239">
        <v>175</v>
      </c>
      <c r="S239">
        <v>146494540.54054055</v>
      </c>
      <c r="T239">
        <v>155158864.86486486</v>
      </c>
      <c r="U239">
        <v>77184774.77477479</v>
      </c>
      <c r="V239">
        <v>80362702.702702701</v>
      </c>
      <c r="W239">
        <v>14510</v>
      </c>
      <c r="X239">
        <v>14779</v>
      </c>
    </row>
    <row r="240" spans="1:24">
      <c r="A240" s="7" t="s">
        <v>333</v>
      </c>
      <c r="B240" s="16" t="s">
        <v>60</v>
      </c>
      <c r="C240">
        <v>80432599.436630934</v>
      </c>
      <c r="D240">
        <v>79488108.343319938</v>
      </c>
      <c r="E240">
        <v>1128603.603603604</v>
      </c>
      <c r="F240">
        <v>2338738.7387387408</v>
      </c>
      <c r="G240">
        <v>36</v>
      </c>
      <c r="H240">
        <v>82</v>
      </c>
      <c r="I240">
        <v>3</v>
      </c>
      <c r="J240">
        <v>6</v>
      </c>
      <c r="M240">
        <v>72</v>
      </c>
      <c r="N240">
        <v>120</v>
      </c>
      <c r="O240">
        <v>21045045.045045044</v>
      </c>
      <c r="P240">
        <v>33181981.981981985</v>
      </c>
      <c r="Q240">
        <v>55</v>
      </c>
      <c r="R240">
        <v>144</v>
      </c>
      <c r="S240">
        <v>28108513.513513513</v>
      </c>
      <c r="T240">
        <v>28304261.261261258</v>
      </c>
      <c r="U240">
        <v>19853603.603603605</v>
      </c>
      <c r="V240">
        <v>31308558.558558557</v>
      </c>
      <c r="W240">
        <v>2016</v>
      </c>
      <c r="X240">
        <v>1974</v>
      </c>
    </row>
    <row r="241" spans="1:24">
      <c r="A241" s="7" t="s">
        <v>334</v>
      </c>
      <c r="B241" s="16" t="s">
        <v>60</v>
      </c>
      <c r="C241">
        <v>11208320.202175954</v>
      </c>
      <c r="D241">
        <v>15619409.238356913</v>
      </c>
      <c r="E241">
        <v>127927.927927928</v>
      </c>
      <c r="F241">
        <v>243243.24324324299</v>
      </c>
      <c r="G241">
        <v>7</v>
      </c>
      <c r="H241">
        <v>5</v>
      </c>
      <c r="I241">
        <v>1</v>
      </c>
      <c r="J241">
        <v>4</v>
      </c>
      <c r="M241">
        <v>10</v>
      </c>
      <c r="N241">
        <v>8</v>
      </c>
      <c r="O241">
        <v>841441.44144144095</v>
      </c>
      <c r="P241">
        <v>631981.98198198201</v>
      </c>
      <c r="Q241">
        <v>13</v>
      </c>
      <c r="R241">
        <v>12</v>
      </c>
      <c r="S241">
        <v>7323288.2882882887</v>
      </c>
      <c r="T241">
        <v>8483918.9189189188</v>
      </c>
      <c r="U241">
        <v>671171.17117117101</v>
      </c>
      <c r="V241">
        <v>850720.72072072094</v>
      </c>
      <c r="W241">
        <v>968</v>
      </c>
      <c r="X241">
        <v>967</v>
      </c>
    </row>
    <row r="242" spans="1:24">
      <c r="A242" s="7" t="s">
        <v>335</v>
      </c>
      <c r="B242" s="16" t="s">
        <v>121</v>
      </c>
      <c r="C242">
        <v>64283.588395362996</v>
      </c>
      <c r="D242">
        <v>1710430.8430452959</v>
      </c>
      <c r="N242">
        <v>1</v>
      </c>
      <c r="P242">
        <v>3448218.9189189188</v>
      </c>
      <c r="S242">
        <v>34234.234234233998</v>
      </c>
      <c r="T242">
        <v>97747.747747747999</v>
      </c>
      <c r="X242">
        <v>151</v>
      </c>
    </row>
    <row r="243" spans="1:24">
      <c r="A243" s="7" t="s">
        <v>336</v>
      </c>
      <c r="B243" s="16" t="s">
        <v>121</v>
      </c>
      <c r="C243">
        <v>2909481.5864352519</v>
      </c>
      <c r="D243">
        <v>2809593.8533169641</v>
      </c>
      <c r="G243">
        <v>2</v>
      </c>
      <c r="H243">
        <v>2</v>
      </c>
      <c r="M243">
        <v>3</v>
      </c>
      <c r="N243">
        <v>2</v>
      </c>
      <c r="S243">
        <v>643063.06306306296</v>
      </c>
      <c r="T243">
        <v>537882.88288288296</v>
      </c>
      <c r="W243">
        <v>93</v>
      </c>
      <c r="X243">
        <v>91</v>
      </c>
    </row>
    <row r="244" spans="1:24">
      <c r="A244" s="7" t="s">
        <v>337</v>
      </c>
      <c r="B244" s="16" t="s">
        <v>121</v>
      </c>
      <c r="C244">
        <v>2453366.8120051408</v>
      </c>
      <c r="D244">
        <v>2249091.7196209072</v>
      </c>
      <c r="G244">
        <v>2</v>
      </c>
      <c r="H244">
        <v>1</v>
      </c>
      <c r="M244">
        <v>2</v>
      </c>
      <c r="N244">
        <v>1</v>
      </c>
      <c r="S244">
        <v>99774.774774774996</v>
      </c>
      <c r="T244">
        <v>18918.918918919</v>
      </c>
      <c r="W244">
        <v>150</v>
      </c>
      <c r="X244">
        <v>139</v>
      </c>
    </row>
    <row r="245" spans="1:24">
      <c r="A245" s="7" t="s">
        <v>338</v>
      </c>
      <c r="B245" s="16" t="s">
        <v>140</v>
      </c>
      <c r="C245">
        <v>890440943.83959138</v>
      </c>
      <c r="D245">
        <v>867702763.92927909</v>
      </c>
      <c r="E245">
        <v>75723783.783783793</v>
      </c>
      <c r="F245">
        <v>113440090.0900901</v>
      </c>
      <c r="G245">
        <v>236</v>
      </c>
      <c r="H245">
        <v>295</v>
      </c>
      <c r="I245">
        <v>32</v>
      </c>
      <c r="J245">
        <v>29</v>
      </c>
      <c r="K245">
        <v>1</v>
      </c>
      <c r="M245">
        <v>260</v>
      </c>
      <c r="N245">
        <v>338</v>
      </c>
      <c r="O245">
        <v>97405638.738738731</v>
      </c>
      <c r="P245">
        <v>84025045.045045033</v>
      </c>
      <c r="Q245">
        <v>333</v>
      </c>
      <c r="R245">
        <v>169</v>
      </c>
      <c r="S245">
        <v>174376025.22522521</v>
      </c>
      <c r="T245">
        <v>175864286.48648649</v>
      </c>
      <c r="U245">
        <v>78000720.720720723</v>
      </c>
      <c r="V245">
        <v>74585495.495495483</v>
      </c>
      <c r="W245">
        <v>16298</v>
      </c>
      <c r="X245">
        <v>16202</v>
      </c>
    </row>
    <row r="246" spans="1:24">
      <c r="A246" s="7" t="s">
        <v>339</v>
      </c>
      <c r="B246" s="16" t="s">
        <v>121</v>
      </c>
      <c r="C246">
        <v>146025559.59125367</v>
      </c>
      <c r="D246">
        <v>133198083.12694407</v>
      </c>
      <c r="E246">
        <v>3603.603603604</v>
      </c>
      <c r="G246">
        <v>86</v>
      </c>
      <c r="H246">
        <v>46</v>
      </c>
      <c r="I246">
        <v>0</v>
      </c>
      <c r="J246">
        <v>1</v>
      </c>
      <c r="M246">
        <v>90</v>
      </c>
      <c r="N246">
        <v>48</v>
      </c>
      <c r="O246">
        <v>165765.765765766</v>
      </c>
      <c r="Q246">
        <v>18</v>
      </c>
      <c r="S246">
        <v>10073324.324324325</v>
      </c>
      <c r="T246">
        <v>8844369.3693693709</v>
      </c>
      <c r="U246">
        <v>162162.16216216201</v>
      </c>
      <c r="W246">
        <v>2473</v>
      </c>
      <c r="X246">
        <v>1496</v>
      </c>
    </row>
    <row r="247" spans="1:24">
      <c r="A247" s="7" t="s">
        <v>340</v>
      </c>
      <c r="B247" s="16" t="s">
        <v>140</v>
      </c>
      <c r="C247">
        <v>445110649.65493035</v>
      </c>
      <c r="D247">
        <v>460558378.84002978</v>
      </c>
      <c r="E247">
        <v>660135.13513513806</v>
      </c>
      <c r="F247">
        <v>2626576.5765765789</v>
      </c>
      <c r="G247">
        <v>62</v>
      </c>
      <c r="H247">
        <v>88</v>
      </c>
      <c r="I247">
        <v>10</v>
      </c>
      <c r="J247">
        <v>10</v>
      </c>
      <c r="K247">
        <v>5</v>
      </c>
      <c r="M247">
        <v>91</v>
      </c>
      <c r="N247">
        <v>122</v>
      </c>
      <c r="O247">
        <v>80689189.189189181</v>
      </c>
      <c r="P247">
        <v>80659639.639639646</v>
      </c>
      <c r="Q247">
        <v>66</v>
      </c>
      <c r="R247">
        <v>149</v>
      </c>
      <c r="S247">
        <v>123921099.0990991</v>
      </c>
      <c r="T247">
        <v>138101721.17117116</v>
      </c>
      <c r="U247">
        <v>71973423.423423424</v>
      </c>
      <c r="V247">
        <v>76407207.207207218</v>
      </c>
      <c r="W247">
        <v>8597</v>
      </c>
      <c r="X247">
        <v>9531</v>
      </c>
    </row>
    <row r="248" spans="1:24">
      <c r="A248" s="7" t="s">
        <v>341</v>
      </c>
      <c r="B248" s="16" t="s">
        <v>134</v>
      </c>
      <c r="C248">
        <v>58170604.593563624</v>
      </c>
      <c r="D248">
        <v>51626550.093585536</v>
      </c>
      <c r="E248">
        <v>5405.4054054059998</v>
      </c>
      <c r="F248">
        <v>54054.054054054002</v>
      </c>
      <c r="G248">
        <v>21</v>
      </c>
      <c r="H248">
        <v>13</v>
      </c>
      <c r="I248">
        <v>2</v>
      </c>
      <c r="J248">
        <v>1</v>
      </c>
      <c r="M248">
        <v>23</v>
      </c>
      <c r="N248">
        <v>13</v>
      </c>
      <c r="O248">
        <v>2212612.6126126121</v>
      </c>
      <c r="P248">
        <v>1765765.7657657659</v>
      </c>
      <c r="Q248">
        <v>25</v>
      </c>
      <c r="S248">
        <v>5238243.2432432435</v>
      </c>
      <c r="T248">
        <v>5027936.9369369373</v>
      </c>
      <c r="U248">
        <v>1835045.045045045</v>
      </c>
      <c r="V248">
        <v>1333243.2432432431</v>
      </c>
      <c r="W248">
        <v>1271</v>
      </c>
      <c r="X248">
        <v>1300</v>
      </c>
    </row>
    <row r="249" spans="1:24">
      <c r="A249" s="7" t="s">
        <v>342</v>
      </c>
      <c r="B249" s="16" t="s">
        <v>121</v>
      </c>
      <c r="C249">
        <v>2704314.764542588</v>
      </c>
      <c r="D249">
        <v>2118707.0489401049</v>
      </c>
      <c r="G249">
        <v>6</v>
      </c>
      <c r="H249">
        <v>10</v>
      </c>
      <c r="M249">
        <v>7</v>
      </c>
      <c r="N249">
        <v>14</v>
      </c>
      <c r="S249">
        <v>1176846.8468468471</v>
      </c>
      <c r="T249">
        <v>967297.29729729705</v>
      </c>
      <c r="W249">
        <v>396</v>
      </c>
      <c r="X249">
        <v>390</v>
      </c>
    </row>
    <row r="250" spans="1:24">
      <c r="A250" s="7" t="s">
        <v>5</v>
      </c>
      <c r="B250" s="16" t="s">
        <v>158</v>
      </c>
      <c r="C250">
        <v>177001810.43610489</v>
      </c>
      <c r="D250">
        <v>179738906.83033916</v>
      </c>
      <c r="E250">
        <v>1963513.5135135141</v>
      </c>
      <c r="F250">
        <v>872072.072072073</v>
      </c>
      <c r="G250">
        <v>15</v>
      </c>
      <c r="H250">
        <v>31</v>
      </c>
      <c r="I250">
        <v>5</v>
      </c>
      <c r="J250">
        <v>2</v>
      </c>
      <c r="K250">
        <v>2</v>
      </c>
      <c r="M250">
        <v>16</v>
      </c>
      <c r="N250">
        <v>32</v>
      </c>
      <c r="O250">
        <v>15195225.225225225</v>
      </c>
      <c r="P250">
        <v>13428828.828828828</v>
      </c>
      <c r="Q250">
        <v>86</v>
      </c>
      <c r="R250">
        <v>27</v>
      </c>
      <c r="S250">
        <v>77047972.972972974</v>
      </c>
      <c r="T250">
        <v>76750216.216216221</v>
      </c>
      <c r="U250">
        <v>13397207.207207208</v>
      </c>
      <c r="V250">
        <v>12499099.0990991</v>
      </c>
      <c r="W250">
        <v>3103</v>
      </c>
      <c r="X250">
        <v>3043</v>
      </c>
    </row>
    <row r="251" spans="1:24">
      <c r="A251" s="7" t="s">
        <v>343</v>
      </c>
      <c r="B251" s="16" t="s">
        <v>304</v>
      </c>
      <c r="C251">
        <v>17163540.994629148</v>
      </c>
      <c r="D251">
        <v>18889170.98399343</v>
      </c>
      <c r="E251">
        <v>1801.801801802</v>
      </c>
      <c r="F251">
        <v>900900.90090090095</v>
      </c>
      <c r="G251">
        <v>29</v>
      </c>
      <c r="H251">
        <v>13</v>
      </c>
      <c r="I251">
        <v>0</v>
      </c>
      <c r="M251">
        <v>33</v>
      </c>
      <c r="N251">
        <v>18</v>
      </c>
      <c r="O251">
        <v>452252.25225225202</v>
      </c>
      <c r="P251">
        <v>1351351.351351351</v>
      </c>
      <c r="S251">
        <v>4101441.441441441</v>
      </c>
      <c r="T251">
        <v>3040279.2792792791</v>
      </c>
      <c r="U251">
        <v>402612.61261261202</v>
      </c>
      <c r="V251">
        <v>256216.21621621601</v>
      </c>
      <c r="W251">
        <v>573</v>
      </c>
      <c r="X251">
        <v>517</v>
      </c>
    </row>
    <row r="252" spans="1:24">
      <c r="A252" s="7" t="s">
        <v>344</v>
      </c>
      <c r="B252" s="16" t="s">
        <v>105</v>
      </c>
      <c r="C252">
        <v>369107615.51274663</v>
      </c>
      <c r="D252">
        <v>363665445.25471896</v>
      </c>
      <c r="E252">
        <v>288063.063063065</v>
      </c>
      <c r="F252">
        <v>1870720.7207207221</v>
      </c>
      <c r="G252">
        <v>100</v>
      </c>
      <c r="H252">
        <v>62</v>
      </c>
      <c r="I252">
        <v>13</v>
      </c>
      <c r="J252">
        <v>7</v>
      </c>
      <c r="K252">
        <v>1</v>
      </c>
      <c r="M252">
        <v>140</v>
      </c>
      <c r="N252">
        <v>125</v>
      </c>
      <c r="O252">
        <v>59380540.540540539</v>
      </c>
      <c r="P252">
        <v>47907567.567567565</v>
      </c>
      <c r="Q252">
        <v>141</v>
      </c>
      <c r="R252">
        <v>328</v>
      </c>
      <c r="S252">
        <v>89988504.504504517</v>
      </c>
      <c r="T252">
        <v>89833225.225225225</v>
      </c>
      <c r="U252">
        <v>58582972.972972974</v>
      </c>
      <c r="V252">
        <v>46448018.018018022</v>
      </c>
      <c r="W252">
        <v>5927</v>
      </c>
      <c r="X252">
        <v>5720</v>
      </c>
    </row>
    <row r="253" spans="1:24">
      <c r="A253" s="7" t="s">
        <v>345</v>
      </c>
      <c r="B253" s="16" t="s">
        <v>87</v>
      </c>
      <c r="C253">
        <v>108674760.28056313</v>
      </c>
      <c r="D253">
        <v>107251955.35844168</v>
      </c>
      <c r="E253">
        <v>340540.540540541</v>
      </c>
      <c r="F253">
        <v>775675.67567567504</v>
      </c>
      <c r="G253">
        <v>60</v>
      </c>
      <c r="H253">
        <v>50</v>
      </c>
      <c r="I253">
        <v>7</v>
      </c>
      <c r="J253">
        <v>6</v>
      </c>
      <c r="K253">
        <v>1</v>
      </c>
      <c r="M253">
        <v>70</v>
      </c>
      <c r="N253">
        <v>53</v>
      </c>
      <c r="O253">
        <v>25768468.468468469</v>
      </c>
      <c r="P253">
        <v>30576576.576576576</v>
      </c>
      <c r="Q253">
        <v>37</v>
      </c>
      <c r="R253">
        <v>106</v>
      </c>
      <c r="S253">
        <v>27202229.729729727</v>
      </c>
      <c r="T253">
        <v>28206100</v>
      </c>
      <c r="U253">
        <v>17896576.576576576</v>
      </c>
      <c r="V253">
        <v>21080536.936936937</v>
      </c>
      <c r="W253">
        <v>2206</v>
      </c>
      <c r="X253">
        <v>2128</v>
      </c>
    </row>
    <row r="254" spans="1:24">
      <c r="A254" s="7" t="s">
        <v>346</v>
      </c>
      <c r="B254" s="16" t="s">
        <v>87</v>
      </c>
      <c r="C254">
        <v>339616159.84301168</v>
      </c>
      <c r="D254">
        <v>301014838.31787491</v>
      </c>
      <c r="E254">
        <v>61358699.0990991</v>
      </c>
      <c r="F254">
        <v>96562796.396396399</v>
      </c>
      <c r="G254">
        <v>264</v>
      </c>
      <c r="H254">
        <v>182</v>
      </c>
      <c r="I254">
        <v>15</v>
      </c>
      <c r="J254">
        <v>20</v>
      </c>
      <c r="K254">
        <v>1</v>
      </c>
      <c r="M254">
        <v>292</v>
      </c>
      <c r="N254">
        <v>214</v>
      </c>
      <c r="O254">
        <v>47754054.054054059</v>
      </c>
      <c r="P254">
        <v>28330630.630630631</v>
      </c>
      <c r="Q254">
        <v>142</v>
      </c>
      <c r="R254">
        <v>149</v>
      </c>
      <c r="S254">
        <v>53611561.261261262</v>
      </c>
      <c r="T254">
        <v>50538151.351351351</v>
      </c>
      <c r="U254">
        <v>21606126.126126129</v>
      </c>
      <c r="V254">
        <v>21883243.243243244</v>
      </c>
      <c r="W254">
        <v>6819</v>
      </c>
      <c r="X254">
        <v>6404</v>
      </c>
    </row>
    <row r="255" spans="1:24">
      <c r="A255" s="7" t="s">
        <v>347</v>
      </c>
      <c r="B255" s="16" t="s">
        <v>87</v>
      </c>
      <c r="C255">
        <v>7949109.0459914608</v>
      </c>
      <c r="D255">
        <v>9132048.8126150109</v>
      </c>
      <c r="F255">
        <v>3603603.6036036038</v>
      </c>
      <c r="G255">
        <v>6</v>
      </c>
      <c r="H255">
        <v>17</v>
      </c>
      <c r="M255">
        <v>10</v>
      </c>
      <c r="N255">
        <v>22</v>
      </c>
      <c r="O255">
        <v>193243.24324324299</v>
      </c>
      <c r="S255">
        <v>3787207.207207208</v>
      </c>
      <c r="T255">
        <v>3765486.486486488</v>
      </c>
      <c r="W255">
        <v>744</v>
      </c>
      <c r="X255">
        <v>881</v>
      </c>
    </row>
    <row r="256" spans="1:24">
      <c r="A256" s="7" t="s">
        <v>348</v>
      </c>
      <c r="B256" s="16" t="s">
        <v>87</v>
      </c>
      <c r="C256">
        <v>4291599.2508061072</v>
      </c>
      <c r="D256">
        <v>4130825.037811358</v>
      </c>
      <c r="G256">
        <v>2</v>
      </c>
      <c r="H256">
        <v>3</v>
      </c>
      <c r="M256">
        <v>2</v>
      </c>
      <c r="N256">
        <v>3</v>
      </c>
      <c r="S256">
        <v>857072.07207207195</v>
      </c>
      <c r="T256">
        <v>1434639.63963964</v>
      </c>
      <c r="W256">
        <v>371</v>
      </c>
      <c r="X256">
        <v>191</v>
      </c>
    </row>
    <row r="257" spans="1:24">
      <c r="A257" s="7" t="s">
        <v>349</v>
      </c>
      <c r="B257" s="16" t="s">
        <v>87</v>
      </c>
      <c r="C257">
        <v>3499853.7731316709</v>
      </c>
      <c r="D257">
        <v>3421256.156824044</v>
      </c>
      <c r="G257">
        <v>1</v>
      </c>
      <c r="H257">
        <v>6</v>
      </c>
      <c r="M257">
        <v>2</v>
      </c>
      <c r="N257">
        <v>12</v>
      </c>
      <c r="S257">
        <v>1272162.1621621631</v>
      </c>
      <c r="T257">
        <v>1991450.4504504499</v>
      </c>
      <c r="W257">
        <v>630</v>
      </c>
      <c r="X257">
        <v>531</v>
      </c>
    </row>
    <row r="258" spans="1:24">
      <c r="A258" s="7" t="s">
        <v>350</v>
      </c>
      <c r="B258" s="16" t="s">
        <v>87</v>
      </c>
      <c r="C258">
        <v>91260749.913614929</v>
      </c>
      <c r="D258">
        <v>99613733.81651549</v>
      </c>
      <c r="E258">
        <v>11711.711711712</v>
      </c>
      <c r="F258">
        <v>160360.36036036201</v>
      </c>
      <c r="G258">
        <v>83</v>
      </c>
      <c r="H258">
        <v>77</v>
      </c>
      <c r="I258">
        <v>3</v>
      </c>
      <c r="J258">
        <v>3</v>
      </c>
      <c r="M258">
        <v>89</v>
      </c>
      <c r="N258">
        <v>85</v>
      </c>
      <c r="O258">
        <v>6778378.3783783792</v>
      </c>
      <c r="P258">
        <v>7884684.6846846836</v>
      </c>
      <c r="Q258">
        <v>23</v>
      </c>
      <c r="R258">
        <v>55</v>
      </c>
      <c r="S258">
        <v>17458153.153153151</v>
      </c>
      <c r="T258">
        <v>19163265.765765764</v>
      </c>
      <c r="U258">
        <v>6005225.225225226</v>
      </c>
      <c r="V258">
        <v>5803783.7837837832</v>
      </c>
      <c r="W258">
        <v>2213</v>
      </c>
      <c r="X258">
        <v>2047</v>
      </c>
    </row>
    <row r="259" spans="1:24">
      <c r="A259" s="7" t="s">
        <v>351</v>
      </c>
      <c r="B259" s="16" t="s">
        <v>50</v>
      </c>
      <c r="C259">
        <v>253266135.89647904</v>
      </c>
      <c r="D259">
        <v>265036045.33086905</v>
      </c>
      <c r="E259">
        <v>404054.05405405699</v>
      </c>
      <c r="F259">
        <v>3260360.3603603621</v>
      </c>
      <c r="G259">
        <v>35</v>
      </c>
      <c r="H259">
        <v>59</v>
      </c>
      <c r="I259">
        <v>13</v>
      </c>
      <c r="J259">
        <v>12</v>
      </c>
      <c r="M259">
        <v>39</v>
      </c>
      <c r="N259">
        <v>76</v>
      </c>
      <c r="O259">
        <v>39957207.20720721</v>
      </c>
      <c r="P259">
        <v>43840180.180180185</v>
      </c>
      <c r="Q259">
        <v>78</v>
      </c>
      <c r="R259">
        <v>293</v>
      </c>
      <c r="S259">
        <v>101365630.63063063</v>
      </c>
      <c r="T259">
        <v>104514220.72072072</v>
      </c>
      <c r="U259">
        <v>40122612.612612613</v>
      </c>
      <c r="V259">
        <v>40444954.954954952</v>
      </c>
      <c r="W259">
        <v>3996</v>
      </c>
      <c r="X259">
        <v>5440</v>
      </c>
    </row>
    <row r="260" spans="1:24">
      <c r="A260" s="7" t="s">
        <v>352</v>
      </c>
      <c r="B260" s="16" t="s">
        <v>123</v>
      </c>
      <c r="C260">
        <v>1144613.082193367</v>
      </c>
      <c r="D260">
        <v>1596156.6150403351</v>
      </c>
      <c r="H260">
        <v>1</v>
      </c>
      <c r="M260">
        <v>1</v>
      </c>
      <c r="N260">
        <v>1</v>
      </c>
      <c r="S260">
        <v>438783.78378378402</v>
      </c>
      <c r="T260">
        <v>562252.25225225196</v>
      </c>
      <c r="X260">
        <v>89</v>
      </c>
    </row>
    <row r="261" spans="1:24">
      <c r="A261" s="7" t="s">
        <v>353</v>
      </c>
      <c r="B261" s="16" t="s">
        <v>354</v>
      </c>
      <c r="C261">
        <v>489793690.58838874</v>
      </c>
      <c r="D261">
        <v>463243181.12657201</v>
      </c>
      <c r="E261">
        <v>132161563.96396397</v>
      </c>
      <c r="F261">
        <v>152339639.63963965</v>
      </c>
      <c r="G261">
        <v>210</v>
      </c>
      <c r="H261">
        <v>377</v>
      </c>
      <c r="I261">
        <v>38</v>
      </c>
      <c r="J261">
        <v>15</v>
      </c>
      <c r="M261">
        <v>258</v>
      </c>
      <c r="N261">
        <v>555</v>
      </c>
      <c r="O261">
        <v>195322837.83783782</v>
      </c>
      <c r="P261">
        <v>281457837.83783782</v>
      </c>
      <c r="Q261">
        <v>375</v>
      </c>
      <c r="R261">
        <v>451</v>
      </c>
      <c r="S261">
        <v>285771664.86486489</v>
      </c>
      <c r="T261">
        <v>276705486.48648649</v>
      </c>
      <c r="U261">
        <v>174471351.35135135</v>
      </c>
      <c r="V261">
        <v>288055045.04504508</v>
      </c>
      <c r="W261">
        <v>10028</v>
      </c>
      <c r="X261">
        <v>9629</v>
      </c>
    </row>
    <row r="262" spans="1:24">
      <c r="A262" s="7" t="s">
        <v>355</v>
      </c>
      <c r="B262" s="16" t="s">
        <v>48</v>
      </c>
      <c r="C262">
        <v>310495652.3561039</v>
      </c>
      <c r="D262">
        <v>317589475.58253056</v>
      </c>
      <c r="E262">
        <v>149122156.75675678</v>
      </c>
      <c r="F262">
        <v>169949221.62162164</v>
      </c>
      <c r="G262">
        <v>63</v>
      </c>
      <c r="H262">
        <v>30</v>
      </c>
      <c r="I262">
        <v>8</v>
      </c>
      <c r="J262">
        <v>6</v>
      </c>
      <c r="M262">
        <v>67</v>
      </c>
      <c r="N262">
        <v>31</v>
      </c>
      <c r="O262">
        <v>9593873.8738738727</v>
      </c>
      <c r="P262">
        <v>15503474.774774775</v>
      </c>
      <c r="R262">
        <v>35</v>
      </c>
      <c r="S262">
        <v>23671558.558558561</v>
      </c>
      <c r="T262">
        <v>24504810.810810812</v>
      </c>
      <c r="U262">
        <v>1074864.8648648621</v>
      </c>
      <c r="V262">
        <v>1849909.9099099089</v>
      </c>
      <c r="W262">
        <v>5466</v>
      </c>
      <c r="X262">
        <v>5554</v>
      </c>
    </row>
    <row r="263" spans="1:24">
      <c r="A263" s="7" t="s">
        <v>356</v>
      </c>
      <c r="B263" s="16" t="s">
        <v>123</v>
      </c>
      <c r="C263">
        <v>361860385.58903682</v>
      </c>
      <c r="D263">
        <v>340158093.30061543</v>
      </c>
      <c r="E263">
        <v>70270.270270270994</v>
      </c>
      <c r="F263">
        <v>180180.18018018099</v>
      </c>
      <c r="G263">
        <v>86</v>
      </c>
      <c r="H263">
        <v>77</v>
      </c>
      <c r="I263">
        <v>3</v>
      </c>
      <c r="J263">
        <v>4</v>
      </c>
      <c r="M263">
        <v>87</v>
      </c>
      <c r="N263">
        <v>82</v>
      </c>
      <c r="O263">
        <v>11575495.495495494</v>
      </c>
      <c r="P263">
        <v>9871441.4414414391</v>
      </c>
      <c r="Q263">
        <v>29</v>
      </c>
      <c r="R263">
        <v>16</v>
      </c>
      <c r="S263">
        <v>77540484.684684694</v>
      </c>
      <c r="T263">
        <v>74629567.567567572</v>
      </c>
      <c r="U263">
        <v>10960900.9009009</v>
      </c>
      <c r="V263">
        <v>8914054.0540540535</v>
      </c>
      <c r="W263">
        <v>5966</v>
      </c>
      <c r="X263">
        <v>5888</v>
      </c>
    </row>
    <row r="264" spans="1:24">
      <c r="A264" s="7" t="s">
        <v>357</v>
      </c>
      <c r="B264" s="16" t="s">
        <v>62</v>
      </c>
      <c r="C264">
        <v>195159177.7555126</v>
      </c>
      <c r="D264">
        <v>189119094.15360996</v>
      </c>
      <c r="E264">
        <v>298262974.77477479</v>
      </c>
      <c r="F264">
        <v>481207907.2072072</v>
      </c>
      <c r="G264">
        <v>37</v>
      </c>
      <c r="H264">
        <v>34</v>
      </c>
      <c r="I264">
        <v>2</v>
      </c>
      <c r="J264">
        <v>10</v>
      </c>
      <c r="M264">
        <v>42</v>
      </c>
      <c r="N264">
        <v>39</v>
      </c>
      <c r="O264">
        <v>59275317.117117122</v>
      </c>
      <c r="P264">
        <v>89974409.009009004</v>
      </c>
      <c r="Q264">
        <v>21</v>
      </c>
      <c r="R264">
        <v>148</v>
      </c>
      <c r="S264">
        <v>52750585.585585587</v>
      </c>
      <c r="T264">
        <v>53240963.963963971</v>
      </c>
      <c r="U264">
        <v>17213873.873873875</v>
      </c>
      <c r="V264">
        <v>32350630.630630627</v>
      </c>
      <c r="W264">
        <v>3930</v>
      </c>
      <c r="X264">
        <v>3782</v>
      </c>
    </row>
    <row r="265" spans="1:24">
      <c r="A265" s="7" t="s">
        <v>358</v>
      </c>
      <c r="B265" s="16" t="s">
        <v>315</v>
      </c>
      <c r="C265">
        <v>11687531.310328804</v>
      </c>
      <c r="D265">
        <v>5704111.4475466534</v>
      </c>
      <c r="E265">
        <v>40697522.522522517</v>
      </c>
      <c r="F265">
        <v>64909909.909909911</v>
      </c>
      <c r="G265">
        <v>16</v>
      </c>
      <c r="H265">
        <v>10</v>
      </c>
      <c r="M265">
        <v>16</v>
      </c>
      <c r="N265">
        <v>11</v>
      </c>
      <c r="S265">
        <v>6418738.7387387389</v>
      </c>
      <c r="T265">
        <v>2316846.8468468469</v>
      </c>
      <c r="W265">
        <v>662</v>
      </c>
      <c r="X265">
        <v>2</v>
      </c>
    </row>
    <row r="266" spans="1:24">
      <c r="A266" s="7" t="s">
        <v>359</v>
      </c>
      <c r="B266" s="16" t="s">
        <v>315</v>
      </c>
      <c r="C266">
        <v>217734921.64105716</v>
      </c>
      <c r="D266">
        <v>190306863.60616851</v>
      </c>
      <c r="E266">
        <v>87387.387387387993</v>
      </c>
      <c r="F266">
        <v>1341441.4414414419</v>
      </c>
      <c r="G266">
        <v>52</v>
      </c>
      <c r="H266">
        <v>46</v>
      </c>
      <c r="I266">
        <v>15</v>
      </c>
      <c r="J266">
        <v>8</v>
      </c>
      <c r="M266">
        <v>54</v>
      </c>
      <c r="N266">
        <v>54</v>
      </c>
      <c r="O266">
        <v>40120540.540540539</v>
      </c>
      <c r="P266">
        <v>36004864.864864863</v>
      </c>
      <c r="Q266">
        <v>82</v>
      </c>
      <c r="S266">
        <v>78443378.378378391</v>
      </c>
      <c r="T266">
        <v>69901297.297297299</v>
      </c>
      <c r="U266">
        <v>44672072.072072074</v>
      </c>
      <c r="V266">
        <v>37977117.117117122</v>
      </c>
      <c r="W266">
        <v>3109</v>
      </c>
      <c r="X266">
        <v>3125</v>
      </c>
    </row>
    <row r="267" spans="1:24">
      <c r="A267" s="7" t="s">
        <v>360</v>
      </c>
      <c r="B267" s="16" t="s">
        <v>92</v>
      </c>
      <c r="C267">
        <v>358837407.22653735</v>
      </c>
      <c r="D267">
        <v>348380228.72342426</v>
      </c>
      <c r="E267">
        <v>2325270.2702702712</v>
      </c>
      <c r="F267">
        <v>7339639.6396396402</v>
      </c>
      <c r="G267">
        <v>137</v>
      </c>
      <c r="H267">
        <v>78</v>
      </c>
      <c r="I267">
        <v>6</v>
      </c>
      <c r="J267">
        <v>10</v>
      </c>
      <c r="M267">
        <v>187</v>
      </c>
      <c r="N267">
        <v>235</v>
      </c>
      <c r="O267">
        <v>36874684.684684686</v>
      </c>
      <c r="P267">
        <v>77544504.504504517</v>
      </c>
      <c r="Q267">
        <v>79</v>
      </c>
      <c r="R267">
        <v>272</v>
      </c>
      <c r="S267">
        <v>104240081.08108109</v>
      </c>
      <c r="T267">
        <v>104295772.97297297</v>
      </c>
      <c r="U267">
        <v>36651621.621621624</v>
      </c>
      <c r="V267">
        <v>73745989.189189181</v>
      </c>
      <c r="W267">
        <v>7150</v>
      </c>
      <c r="X267">
        <v>6683</v>
      </c>
    </row>
    <row r="268" spans="1:24">
      <c r="A268" s="7" t="s">
        <v>361</v>
      </c>
      <c r="B268" s="16" t="s">
        <v>58</v>
      </c>
      <c r="C268">
        <v>721664264.71488953</v>
      </c>
      <c r="D268">
        <v>683925331.62034643</v>
      </c>
      <c r="E268">
        <v>2349549.5495495521</v>
      </c>
      <c r="F268">
        <v>1544144.144144146</v>
      </c>
      <c r="G268">
        <v>114</v>
      </c>
      <c r="H268">
        <v>113</v>
      </c>
      <c r="I268">
        <v>20</v>
      </c>
      <c r="J268">
        <v>20</v>
      </c>
      <c r="M268">
        <v>124</v>
      </c>
      <c r="N268">
        <v>127</v>
      </c>
      <c r="O268">
        <v>39675675.675675683</v>
      </c>
      <c r="P268">
        <v>30513513.513513517</v>
      </c>
      <c r="Q268">
        <v>595</v>
      </c>
      <c r="R268">
        <v>53</v>
      </c>
      <c r="S268">
        <v>109376342.34234233</v>
      </c>
      <c r="T268">
        <v>109564909.9099099</v>
      </c>
      <c r="U268">
        <v>33118198.198198199</v>
      </c>
      <c r="V268">
        <v>28405495.495495494</v>
      </c>
      <c r="W268">
        <v>12888</v>
      </c>
      <c r="X268">
        <v>12719</v>
      </c>
    </row>
    <row r="269" spans="1:24">
      <c r="A269" s="7" t="s">
        <v>678</v>
      </c>
      <c r="B269" s="16" t="s">
        <v>143</v>
      </c>
      <c r="E269">
        <v>138589162.16216215</v>
      </c>
      <c r="F269">
        <v>104212384.68468469</v>
      </c>
      <c r="O269">
        <v>14864864.864864863</v>
      </c>
      <c r="P269">
        <v>7207207.2072072066</v>
      </c>
    </row>
    <row r="270" spans="1:24">
      <c r="A270" s="7" t="s">
        <v>362</v>
      </c>
      <c r="B270" s="16" t="s">
        <v>48</v>
      </c>
      <c r="C270">
        <v>241640234.47732416</v>
      </c>
      <c r="D270">
        <v>242413953.67620394</v>
      </c>
      <c r="E270">
        <v>221621.62162162201</v>
      </c>
      <c r="F270">
        <v>466666.66666666599</v>
      </c>
      <c r="G270">
        <v>21</v>
      </c>
      <c r="H270">
        <v>8</v>
      </c>
      <c r="I270">
        <v>9</v>
      </c>
      <c r="J270">
        <v>4</v>
      </c>
      <c r="M270">
        <v>24</v>
      </c>
      <c r="N270">
        <v>27</v>
      </c>
      <c r="O270">
        <v>14981801.801801803</v>
      </c>
      <c r="P270">
        <v>30860540.540540535</v>
      </c>
      <c r="R270">
        <v>12</v>
      </c>
      <c r="S270">
        <v>41707918.918918923</v>
      </c>
      <c r="T270">
        <v>39809801.801801801</v>
      </c>
      <c r="U270">
        <v>17157297.297297295</v>
      </c>
      <c r="V270">
        <v>27814774.774774775</v>
      </c>
      <c r="W270">
        <v>3304</v>
      </c>
      <c r="X270">
        <v>3747</v>
      </c>
    </row>
    <row r="271" spans="1:24">
      <c r="A271" s="7" t="s">
        <v>363</v>
      </c>
      <c r="B271" s="16" t="s">
        <v>52</v>
      </c>
      <c r="C271">
        <v>98848759.999294385</v>
      </c>
      <c r="D271">
        <v>102917066.76605836</v>
      </c>
      <c r="E271">
        <v>365405.40540540603</v>
      </c>
      <c r="F271">
        <v>272072.072072073</v>
      </c>
      <c r="G271">
        <v>17</v>
      </c>
      <c r="H271">
        <v>64</v>
      </c>
      <c r="I271">
        <v>4</v>
      </c>
      <c r="J271">
        <v>5</v>
      </c>
      <c r="M271">
        <v>21</v>
      </c>
      <c r="N271">
        <v>74</v>
      </c>
      <c r="O271">
        <v>7087927.9279279271</v>
      </c>
      <c r="P271">
        <v>2281081.0810810798</v>
      </c>
      <c r="Q271">
        <v>82</v>
      </c>
      <c r="R271">
        <v>65</v>
      </c>
      <c r="S271">
        <v>48293288.288288288</v>
      </c>
      <c r="T271">
        <v>50435810.810810804</v>
      </c>
      <c r="U271">
        <v>6564054.0540540526</v>
      </c>
      <c r="V271">
        <v>2492072.072072071</v>
      </c>
      <c r="W271">
        <v>2454</v>
      </c>
      <c r="X271">
        <v>2407</v>
      </c>
    </row>
    <row r="272" spans="1:24">
      <c r="A272" s="7" t="s">
        <v>364</v>
      </c>
      <c r="B272" s="16" t="s">
        <v>52</v>
      </c>
      <c r="C272">
        <v>79763760.630358532</v>
      </c>
      <c r="D272">
        <v>79043068.847783595</v>
      </c>
      <c r="E272">
        <v>3140315.315315316</v>
      </c>
      <c r="F272">
        <v>2707207.2072072099</v>
      </c>
      <c r="G272">
        <v>58</v>
      </c>
      <c r="H272">
        <v>90</v>
      </c>
      <c r="I272">
        <v>3</v>
      </c>
      <c r="J272">
        <v>9</v>
      </c>
      <c r="M272">
        <v>104</v>
      </c>
      <c r="N272">
        <v>209</v>
      </c>
      <c r="O272">
        <v>17197747.747747745</v>
      </c>
      <c r="P272">
        <v>7644144.1441441439</v>
      </c>
      <c r="Q272">
        <v>216</v>
      </c>
      <c r="R272">
        <v>467</v>
      </c>
      <c r="S272">
        <v>45742009.009009011</v>
      </c>
      <c r="T272">
        <v>44024351.351351351</v>
      </c>
      <c r="U272">
        <v>16713513.513513513</v>
      </c>
      <c r="V272">
        <v>12596396.396396397</v>
      </c>
      <c r="W272">
        <v>2343</v>
      </c>
      <c r="X272">
        <v>2370</v>
      </c>
    </row>
    <row r="273" spans="1:24">
      <c r="A273" s="7" t="s">
        <v>365</v>
      </c>
      <c r="B273" s="16" t="s">
        <v>52</v>
      </c>
      <c r="C273">
        <v>862795774.33881688</v>
      </c>
      <c r="D273">
        <v>896356430.91190147</v>
      </c>
      <c r="E273">
        <v>482122314.41441441</v>
      </c>
      <c r="F273">
        <v>493983879.27927929</v>
      </c>
      <c r="G273">
        <v>214</v>
      </c>
      <c r="H273">
        <v>292</v>
      </c>
      <c r="I273">
        <v>28</v>
      </c>
      <c r="J273">
        <v>64</v>
      </c>
      <c r="K273">
        <v>2</v>
      </c>
      <c r="M273">
        <v>405</v>
      </c>
      <c r="N273">
        <v>511</v>
      </c>
      <c r="O273">
        <v>88492972.972972974</v>
      </c>
      <c r="P273">
        <v>51203610.810810819</v>
      </c>
      <c r="Q273">
        <v>1212</v>
      </c>
      <c r="R273">
        <v>4598</v>
      </c>
      <c r="S273">
        <v>311112319.81981987</v>
      </c>
      <c r="T273">
        <v>330598026.12612617</v>
      </c>
      <c r="U273">
        <v>82431261.261261269</v>
      </c>
      <c r="V273">
        <v>72411531.531531543</v>
      </c>
      <c r="W273">
        <v>20705</v>
      </c>
      <c r="X273">
        <v>21309</v>
      </c>
    </row>
    <row r="274" spans="1:24">
      <c r="A274" s="7" t="s">
        <v>366</v>
      </c>
      <c r="B274" s="16" t="s">
        <v>293</v>
      </c>
      <c r="C274">
        <v>568112593.26464903</v>
      </c>
      <c r="D274">
        <v>517233458.57808113</v>
      </c>
      <c r="E274">
        <v>168594948.64864868</v>
      </c>
      <c r="F274">
        <v>100537369.36936936</v>
      </c>
      <c r="G274">
        <v>180</v>
      </c>
      <c r="H274">
        <v>140</v>
      </c>
      <c r="I274">
        <v>23</v>
      </c>
      <c r="J274">
        <v>23</v>
      </c>
      <c r="K274">
        <v>2</v>
      </c>
      <c r="M274">
        <v>206</v>
      </c>
      <c r="N274">
        <v>376</v>
      </c>
      <c r="O274">
        <v>78380090.090090081</v>
      </c>
      <c r="P274">
        <v>63456396.396396399</v>
      </c>
      <c r="Q274">
        <v>397</v>
      </c>
      <c r="R274">
        <v>53</v>
      </c>
      <c r="S274">
        <v>177257700.9009009</v>
      </c>
      <c r="T274">
        <v>169351768.46846849</v>
      </c>
      <c r="U274">
        <v>65312972.972972967</v>
      </c>
      <c r="V274">
        <v>57018198.198198192</v>
      </c>
      <c r="W274">
        <v>11403</v>
      </c>
      <c r="X274">
        <v>11209</v>
      </c>
    </row>
    <row r="275" spans="1:24">
      <c r="A275" s="7" t="s">
        <v>367</v>
      </c>
      <c r="B275" s="16" t="s">
        <v>368</v>
      </c>
      <c r="C275">
        <v>238683061.79966354</v>
      </c>
      <c r="D275">
        <v>218179315.10490829</v>
      </c>
      <c r="E275">
        <v>53084759.459459461</v>
      </c>
      <c r="F275">
        <v>35542574.774774775</v>
      </c>
      <c r="G275">
        <v>41</v>
      </c>
      <c r="H275">
        <v>50</v>
      </c>
      <c r="I275">
        <v>8</v>
      </c>
      <c r="J275">
        <v>9</v>
      </c>
      <c r="K275">
        <v>1</v>
      </c>
      <c r="M275">
        <v>45</v>
      </c>
      <c r="N275">
        <v>67</v>
      </c>
      <c r="O275">
        <v>36070900.900900893</v>
      </c>
      <c r="P275">
        <v>65860990.990990989</v>
      </c>
      <c r="Q275">
        <v>374</v>
      </c>
      <c r="R275">
        <v>70</v>
      </c>
      <c r="S275">
        <v>97563529.729729727</v>
      </c>
      <c r="T275">
        <v>93431522.522522524</v>
      </c>
      <c r="U275">
        <v>34100810.810810804</v>
      </c>
      <c r="V275">
        <v>65224144.144144148</v>
      </c>
      <c r="W275">
        <v>3997</v>
      </c>
      <c r="X275">
        <v>4118</v>
      </c>
    </row>
    <row r="276" spans="1:24">
      <c r="A276" s="7" t="s">
        <v>369</v>
      </c>
      <c r="B276" s="16" t="s">
        <v>70</v>
      </c>
      <c r="C276">
        <v>63265016.595800564</v>
      </c>
      <c r="D276">
        <v>63599294.395793661</v>
      </c>
      <c r="E276">
        <v>1217792.792792792</v>
      </c>
      <c r="F276">
        <v>2105405.4054054078</v>
      </c>
      <c r="G276">
        <v>22</v>
      </c>
      <c r="H276">
        <v>41</v>
      </c>
      <c r="I276">
        <v>2</v>
      </c>
      <c r="J276">
        <v>7</v>
      </c>
      <c r="M276">
        <v>23</v>
      </c>
      <c r="N276">
        <v>50</v>
      </c>
      <c r="O276">
        <v>11357207.207207208</v>
      </c>
      <c r="P276">
        <v>14038738.738738736</v>
      </c>
      <c r="Q276">
        <v>12</v>
      </c>
      <c r="R276">
        <v>48</v>
      </c>
      <c r="S276">
        <v>19973558.558558561</v>
      </c>
      <c r="T276">
        <v>21559963.963963963</v>
      </c>
      <c r="U276">
        <v>11785225.225225225</v>
      </c>
      <c r="V276">
        <v>13389909.909909911</v>
      </c>
      <c r="W276">
        <v>1195</v>
      </c>
      <c r="X276">
        <v>1169</v>
      </c>
    </row>
    <row r="277" spans="1:24">
      <c r="A277" s="7" t="s">
        <v>370</v>
      </c>
      <c r="B277" s="16" t="s">
        <v>50</v>
      </c>
      <c r="C277">
        <v>126557399.77899194</v>
      </c>
      <c r="D277">
        <v>132959613.33495493</v>
      </c>
      <c r="E277">
        <v>759459.45945945894</v>
      </c>
      <c r="F277">
        <v>1195495.4954954979</v>
      </c>
      <c r="G277">
        <v>25</v>
      </c>
      <c r="H277">
        <v>30</v>
      </c>
      <c r="I277">
        <v>2</v>
      </c>
      <c r="J277">
        <v>7</v>
      </c>
      <c r="M277">
        <v>27</v>
      </c>
      <c r="N277">
        <v>34</v>
      </c>
      <c r="O277">
        <v>15273873.873873876</v>
      </c>
      <c r="P277">
        <v>10178558.558558557</v>
      </c>
      <c r="Q277">
        <v>13</v>
      </c>
      <c r="R277">
        <v>9</v>
      </c>
      <c r="S277">
        <v>58224450.45045045</v>
      </c>
      <c r="T277">
        <v>60634648.648648649</v>
      </c>
      <c r="U277">
        <v>13381171.17117117</v>
      </c>
      <c r="V277">
        <v>9771261.2612612601</v>
      </c>
      <c r="W277">
        <v>2756</v>
      </c>
      <c r="X277">
        <v>2718</v>
      </c>
    </row>
    <row r="278" spans="1:24">
      <c r="A278" s="7" t="s">
        <v>371</v>
      </c>
      <c r="B278" s="16" t="s">
        <v>121</v>
      </c>
      <c r="C278">
        <v>139271294.49597928</v>
      </c>
      <c r="D278">
        <v>131035457.804822</v>
      </c>
      <c r="E278">
        <v>136036.036036037</v>
      </c>
      <c r="F278">
        <v>931531.53153153195</v>
      </c>
      <c r="G278">
        <v>49</v>
      </c>
      <c r="H278">
        <v>52</v>
      </c>
      <c r="I278">
        <v>7</v>
      </c>
      <c r="J278">
        <v>5</v>
      </c>
      <c r="M278">
        <v>55</v>
      </c>
      <c r="N278">
        <v>68</v>
      </c>
      <c r="O278">
        <v>3280180.1801801808</v>
      </c>
      <c r="P278">
        <v>6315315.3153153146</v>
      </c>
      <c r="Q278">
        <v>40</v>
      </c>
      <c r="R278">
        <v>18</v>
      </c>
      <c r="S278">
        <v>12661306.306306304</v>
      </c>
      <c r="T278">
        <v>13595801.801801803</v>
      </c>
      <c r="U278">
        <v>1977297.297297298</v>
      </c>
      <c r="V278">
        <v>4690720.7207207195</v>
      </c>
      <c r="W278">
        <v>2860</v>
      </c>
      <c r="X278">
        <v>2767</v>
      </c>
    </row>
    <row r="279" spans="1:24">
      <c r="A279" s="7" t="s">
        <v>372</v>
      </c>
      <c r="B279" s="16" t="s">
        <v>373</v>
      </c>
      <c r="C279">
        <v>347201515.13192952</v>
      </c>
      <c r="D279">
        <v>297696277.8924107</v>
      </c>
      <c r="E279">
        <v>66193976.576576576</v>
      </c>
      <c r="F279">
        <v>32361932.432432435</v>
      </c>
      <c r="G279">
        <v>448</v>
      </c>
      <c r="H279">
        <v>44</v>
      </c>
      <c r="I279">
        <v>21</v>
      </c>
      <c r="J279">
        <v>6</v>
      </c>
      <c r="K279">
        <v>1</v>
      </c>
      <c r="M279">
        <v>477</v>
      </c>
      <c r="N279">
        <v>49</v>
      </c>
      <c r="O279">
        <v>61489729.729729727</v>
      </c>
      <c r="P279">
        <v>63225945.945945941</v>
      </c>
      <c r="Q279">
        <v>34</v>
      </c>
      <c r="R279">
        <v>41</v>
      </c>
      <c r="S279">
        <v>138766200.9009009</v>
      </c>
      <c r="T279">
        <v>113315927.92792793</v>
      </c>
      <c r="U279">
        <v>63076619.819819823</v>
      </c>
      <c r="V279">
        <v>55104864.864864863</v>
      </c>
      <c r="W279">
        <v>10414</v>
      </c>
      <c r="X279">
        <v>9867</v>
      </c>
    </row>
    <row r="280" spans="1:24">
      <c r="A280" s="7" t="s">
        <v>374</v>
      </c>
      <c r="B280" s="16" t="s">
        <v>66</v>
      </c>
      <c r="C280">
        <v>221655366.00032818</v>
      </c>
      <c r="D280">
        <v>222293446.52059814</v>
      </c>
      <c r="E280">
        <v>1597747.747747747</v>
      </c>
      <c r="F280">
        <v>9791891.8918918967</v>
      </c>
      <c r="G280">
        <v>95</v>
      </c>
      <c r="H280">
        <v>82</v>
      </c>
      <c r="I280">
        <v>11</v>
      </c>
      <c r="J280">
        <v>14</v>
      </c>
      <c r="M280">
        <v>112</v>
      </c>
      <c r="N280">
        <v>112</v>
      </c>
      <c r="O280">
        <v>37160090.090090096</v>
      </c>
      <c r="P280">
        <v>184509909.90990993</v>
      </c>
      <c r="Q280">
        <v>478</v>
      </c>
      <c r="R280">
        <v>1197</v>
      </c>
      <c r="S280">
        <v>80066441.441441447</v>
      </c>
      <c r="T280">
        <v>82047270.270270273</v>
      </c>
      <c r="U280">
        <v>34849909.909909911</v>
      </c>
      <c r="V280">
        <v>153262072.07207206</v>
      </c>
      <c r="W280">
        <v>7137</v>
      </c>
      <c r="X280">
        <v>7184</v>
      </c>
    </row>
    <row r="281" spans="1:24">
      <c r="A281" s="7" t="s">
        <v>375</v>
      </c>
      <c r="B281" s="16" t="s">
        <v>354</v>
      </c>
      <c r="C281">
        <v>348334248.6771872</v>
      </c>
      <c r="D281">
        <v>331907758.70950729</v>
      </c>
      <c r="E281">
        <v>1721396.396396396</v>
      </c>
      <c r="F281">
        <v>2697297.2972972998</v>
      </c>
      <c r="G281">
        <v>507</v>
      </c>
      <c r="H281">
        <v>413</v>
      </c>
      <c r="I281">
        <v>8</v>
      </c>
      <c r="J281">
        <v>7</v>
      </c>
      <c r="M281">
        <v>524</v>
      </c>
      <c r="N281">
        <v>489</v>
      </c>
      <c r="O281">
        <v>61551891.891891889</v>
      </c>
      <c r="P281">
        <v>68707117.117117122</v>
      </c>
      <c r="Q281">
        <v>205</v>
      </c>
      <c r="R281">
        <v>310</v>
      </c>
      <c r="S281">
        <v>207301207.2072072</v>
      </c>
      <c r="T281">
        <v>205483081.08108109</v>
      </c>
      <c r="U281">
        <v>64591801.801801808</v>
      </c>
      <c r="V281">
        <v>74952702.702702701</v>
      </c>
      <c r="W281">
        <v>7036</v>
      </c>
      <c r="X281">
        <v>6748</v>
      </c>
    </row>
    <row r="282" spans="1:24">
      <c r="A282" s="7" t="s">
        <v>376</v>
      </c>
      <c r="B282" s="16" t="s">
        <v>66</v>
      </c>
      <c r="C282">
        <v>118548919.96715</v>
      </c>
      <c r="D282">
        <v>128749775.65095015</v>
      </c>
      <c r="E282">
        <v>45045.045045047002</v>
      </c>
      <c r="F282">
        <v>1187387.3873873879</v>
      </c>
      <c r="G282">
        <v>48</v>
      </c>
      <c r="H282">
        <v>55</v>
      </c>
      <c r="I282">
        <v>5</v>
      </c>
      <c r="J282">
        <v>5</v>
      </c>
      <c r="M282">
        <v>62</v>
      </c>
      <c r="N282">
        <v>69</v>
      </c>
      <c r="O282">
        <v>10092252.252252251</v>
      </c>
      <c r="P282">
        <v>12990990.990990991</v>
      </c>
      <c r="Q282">
        <v>135</v>
      </c>
      <c r="R282">
        <v>99</v>
      </c>
      <c r="S282">
        <v>52927493.693693697</v>
      </c>
      <c r="T282">
        <v>60731851.351351351</v>
      </c>
      <c r="U282">
        <v>15343693.693693692</v>
      </c>
      <c r="V282">
        <v>14328828.828828827</v>
      </c>
      <c r="W282">
        <v>4633</v>
      </c>
      <c r="X282">
        <v>5068</v>
      </c>
    </row>
    <row r="283" spans="1:24">
      <c r="A283" s="7" t="s">
        <v>377</v>
      </c>
      <c r="B283" s="16" t="s">
        <v>260</v>
      </c>
      <c r="C283">
        <v>114128695.59012806</v>
      </c>
      <c r="D283">
        <v>106127029.59756064</v>
      </c>
      <c r="E283">
        <v>183783.78378378399</v>
      </c>
      <c r="F283">
        <v>13513.513513514001</v>
      </c>
      <c r="G283">
        <v>6</v>
      </c>
      <c r="H283">
        <v>9</v>
      </c>
      <c r="I283">
        <v>1</v>
      </c>
      <c r="J283">
        <v>0</v>
      </c>
      <c r="M283">
        <v>6</v>
      </c>
      <c r="N283">
        <v>9</v>
      </c>
      <c r="O283">
        <v>3607207.2072072071</v>
      </c>
      <c r="P283">
        <v>6454954.9549549539</v>
      </c>
      <c r="Q283">
        <v>4</v>
      </c>
      <c r="R283">
        <v>1</v>
      </c>
      <c r="S283">
        <v>17832432.432432432</v>
      </c>
      <c r="T283">
        <v>17733171.171171173</v>
      </c>
      <c r="U283">
        <v>7615945.9459459456</v>
      </c>
      <c r="V283">
        <v>3066306.3063063058</v>
      </c>
      <c r="W283">
        <v>1634</v>
      </c>
      <c r="X283">
        <v>1630</v>
      </c>
    </row>
    <row r="284" spans="1:24">
      <c r="A284" s="7" t="s">
        <v>378</v>
      </c>
      <c r="B284" s="16" t="s">
        <v>354</v>
      </c>
      <c r="C284">
        <v>287435056.17523044</v>
      </c>
      <c r="D284">
        <v>279222056.29633898</v>
      </c>
      <c r="E284">
        <v>196282195.4954955</v>
      </c>
      <c r="F284">
        <v>247495254.05405405</v>
      </c>
      <c r="G284">
        <v>51</v>
      </c>
      <c r="H284">
        <v>56</v>
      </c>
      <c r="I284">
        <v>4</v>
      </c>
      <c r="J284">
        <v>8</v>
      </c>
      <c r="M284">
        <v>53</v>
      </c>
      <c r="N284">
        <v>62</v>
      </c>
      <c r="O284">
        <v>65067387.387387387</v>
      </c>
      <c r="P284">
        <v>52059369.369369373</v>
      </c>
      <c r="Q284">
        <v>145</v>
      </c>
      <c r="R284">
        <v>43</v>
      </c>
      <c r="S284">
        <v>149234324.32432431</v>
      </c>
      <c r="T284">
        <v>155462663.06306309</v>
      </c>
      <c r="U284">
        <v>64784504.504504502</v>
      </c>
      <c r="V284">
        <v>51893243.243243247</v>
      </c>
      <c r="W284">
        <v>4652</v>
      </c>
      <c r="X284">
        <v>4760</v>
      </c>
    </row>
    <row r="285" spans="1:24">
      <c r="A285" s="7" t="s">
        <v>379</v>
      </c>
      <c r="B285" s="16" t="s">
        <v>87</v>
      </c>
      <c r="C285">
        <v>5886511.6547153946</v>
      </c>
      <c r="D285">
        <v>7378645.3028361574</v>
      </c>
      <c r="H285">
        <v>1</v>
      </c>
      <c r="N285">
        <v>3</v>
      </c>
      <c r="S285">
        <v>211036.03603603601</v>
      </c>
      <c r="T285">
        <v>403513.51351351402</v>
      </c>
      <c r="W285">
        <v>192</v>
      </c>
      <c r="X285">
        <v>141</v>
      </c>
    </row>
    <row r="286" spans="1:24">
      <c r="A286" s="7" t="s">
        <v>380</v>
      </c>
      <c r="B286" s="16" t="s">
        <v>87</v>
      </c>
      <c r="C286">
        <v>24438706.435786072</v>
      </c>
      <c r="D286">
        <v>10925156.210444326</v>
      </c>
      <c r="E286">
        <v>22522.522522522999</v>
      </c>
      <c r="G286">
        <v>183</v>
      </c>
      <c r="H286">
        <v>20</v>
      </c>
      <c r="I286">
        <v>1</v>
      </c>
      <c r="M286">
        <v>187</v>
      </c>
      <c r="N286">
        <v>22</v>
      </c>
      <c r="O286">
        <v>90090.090090090001</v>
      </c>
      <c r="Q286">
        <v>3</v>
      </c>
      <c r="S286">
        <v>4330855.8558558561</v>
      </c>
      <c r="T286">
        <v>1334063.063063063</v>
      </c>
      <c r="U286">
        <v>86036.036036036006</v>
      </c>
      <c r="W286">
        <v>544</v>
      </c>
      <c r="X286">
        <v>360</v>
      </c>
    </row>
    <row r="287" spans="1:24">
      <c r="A287" s="7" t="s">
        <v>381</v>
      </c>
      <c r="B287" s="16" t="s">
        <v>80</v>
      </c>
      <c r="C287">
        <v>1914767570.1361468</v>
      </c>
      <c r="D287">
        <v>1870339661.5036552</v>
      </c>
      <c r="E287">
        <v>1403750882.8828828</v>
      </c>
      <c r="F287">
        <v>1037620836.0360361</v>
      </c>
      <c r="G287">
        <v>581</v>
      </c>
      <c r="H287">
        <v>682</v>
      </c>
      <c r="I287">
        <v>66</v>
      </c>
      <c r="J287">
        <v>65</v>
      </c>
      <c r="K287">
        <v>1</v>
      </c>
      <c r="M287">
        <v>669</v>
      </c>
      <c r="N287">
        <v>875</v>
      </c>
      <c r="O287">
        <v>249711711.7117117</v>
      </c>
      <c r="P287">
        <v>296499549.54954958</v>
      </c>
      <c r="Q287">
        <v>994</v>
      </c>
      <c r="R287">
        <v>705</v>
      </c>
      <c r="S287">
        <v>467361672.07207209</v>
      </c>
      <c r="T287">
        <v>486230878.82882881</v>
      </c>
      <c r="U287">
        <v>215055135.13513514</v>
      </c>
      <c r="V287">
        <v>261316576.57657659</v>
      </c>
      <c r="W287">
        <v>36550</v>
      </c>
      <c r="X287">
        <v>36315</v>
      </c>
    </row>
    <row r="288" spans="1:24">
      <c r="A288" s="7" t="s">
        <v>382</v>
      </c>
      <c r="B288" s="16" t="s">
        <v>80</v>
      </c>
      <c r="C288">
        <v>513839172.03099674</v>
      </c>
      <c r="D288">
        <v>513075561.59654278</v>
      </c>
      <c r="E288">
        <v>3635135.1351351351</v>
      </c>
      <c r="F288">
        <v>6287612.6126126163</v>
      </c>
      <c r="G288">
        <v>144</v>
      </c>
      <c r="H288">
        <v>153</v>
      </c>
      <c r="I288">
        <v>16</v>
      </c>
      <c r="J288">
        <v>22</v>
      </c>
      <c r="K288">
        <v>1</v>
      </c>
      <c r="M288">
        <v>163</v>
      </c>
      <c r="N288">
        <v>216</v>
      </c>
      <c r="O288">
        <v>102555585.58558558</v>
      </c>
      <c r="P288">
        <v>100238738.73873873</v>
      </c>
      <c r="Q288">
        <v>238</v>
      </c>
      <c r="R288">
        <v>193</v>
      </c>
      <c r="S288">
        <v>214452003.6036036</v>
      </c>
      <c r="T288">
        <v>212974276.12612611</v>
      </c>
      <c r="U288">
        <v>94495045.045045033</v>
      </c>
      <c r="V288">
        <v>88326706.306306303</v>
      </c>
      <c r="W288">
        <v>10101</v>
      </c>
      <c r="X288">
        <v>10195</v>
      </c>
    </row>
    <row r="289" spans="1:24">
      <c r="A289" s="7" t="s">
        <v>383</v>
      </c>
      <c r="B289" s="16" t="s">
        <v>80</v>
      </c>
      <c r="C289">
        <v>716961386.90450037</v>
      </c>
      <c r="D289">
        <v>644842672.01982093</v>
      </c>
      <c r="E289">
        <v>69594.594594594993</v>
      </c>
      <c r="F289">
        <v>749168.46846847096</v>
      </c>
      <c r="G289">
        <v>168</v>
      </c>
      <c r="H289">
        <v>89</v>
      </c>
      <c r="I289">
        <v>2</v>
      </c>
      <c r="J289">
        <v>3</v>
      </c>
      <c r="M289">
        <v>182</v>
      </c>
      <c r="N289">
        <v>106</v>
      </c>
      <c r="O289">
        <v>29821441.441441439</v>
      </c>
      <c r="P289">
        <v>52813112.612612605</v>
      </c>
      <c r="Q289">
        <v>33</v>
      </c>
      <c r="R289">
        <v>15</v>
      </c>
      <c r="S289">
        <v>133398147.74774775</v>
      </c>
      <c r="T289">
        <v>131008558.55855855</v>
      </c>
      <c r="U289">
        <v>29088918.918918919</v>
      </c>
      <c r="V289">
        <v>51837117.117117122</v>
      </c>
      <c r="W289">
        <v>10034</v>
      </c>
      <c r="X289">
        <v>9545</v>
      </c>
    </row>
    <row r="290" spans="1:24">
      <c r="A290" s="7" t="s">
        <v>384</v>
      </c>
      <c r="B290" s="16" t="s">
        <v>68</v>
      </c>
      <c r="C290">
        <v>284260304.90462291</v>
      </c>
      <c r="D290">
        <v>281245157.57639998</v>
      </c>
      <c r="E290">
        <v>17073288.288288288</v>
      </c>
      <c r="F290">
        <v>36313513.513513513</v>
      </c>
      <c r="G290">
        <v>85</v>
      </c>
      <c r="H290">
        <v>57</v>
      </c>
      <c r="I290">
        <v>4</v>
      </c>
      <c r="J290">
        <v>3</v>
      </c>
      <c r="M290">
        <v>94</v>
      </c>
      <c r="N290">
        <v>65</v>
      </c>
      <c r="O290">
        <v>18386936.936936937</v>
      </c>
      <c r="P290">
        <v>13392792.792792792</v>
      </c>
      <c r="Q290">
        <v>78</v>
      </c>
      <c r="R290">
        <v>49</v>
      </c>
      <c r="S290">
        <v>38547144.144144148</v>
      </c>
      <c r="T290">
        <v>40273441.441441439</v>
      </c>
      <c r="U290">
        <v>13484504.504504507</v>
      </c>
      <c r="V290">
        <v>9742432.4324324317</v>
      </c>
      <c r="W290">
        <v>5129</v>
      </c>
      <c r="X290">
        <v>4947</v>
      </c>
    </row>
    <row r="291" spans="1:24">
      <c r="A291" s="7" t="s">
        <v>385</v>
      </c>
      <c r="B291" s="16" t="s">
        <v>167</v>
      </c>
      <c r="C291">
        <v>102701154.56506318</v>
      </c>
      <c r="D291">
        <v>96607280.577378958</v>
      </c>
      <c r="E291">
        <v>25225.225225227001</v>
      </c>
      <c r="F291">
        <v>1709909.9099099119</v>
      </c>
      <c r="G291">
        <v>46</v>
      </c>
      <c r="H291">
        <v>34</v>
      </c>
      <c r="I291">
        <v>5</v>
      </c>
      <c r="J291">
        <v>7</v>
      </c>
      <c r="M291">
        <v>51</v>
      </c>
      <c r="N291">
        <v>43</v>
      </c>
      <c r="O291">
        <v>26715123.423423424</v>
      </c>
      <c r="P291">
        <v>23089254.954954956</v>
      </c>
      <c r="Q291">
        <v>45</v>
      </c>
      <c r="R291">
        <v>17</v>
      </c>
      <c r="S291">
        <v>41506890.090090089</v>
      </c>
      <c r="T291">
        <v>40968846.846846849</v>
      </c>
      <c r="U291">
        <v>20222432.432432432</v>
      </c>
      <c r="V291">
        <v>21713423.423423424</v>
      </c>
      <c r="W291">
        <v>2468</v>
      </c>
      <c r="X291">
        <v>2400</v>
      </c>
    </row>
    <row r="292" spans="1:24">
      <c r="A292" s="7" t="s">
        <v>386</v>
      </c>
      <c r="B292" s="16" t="s">
        <v>94</v>
      </c>
      <c r="C292">
        <v>567673936.51357603</v>
      </c>
      <c r="D292">
        <v>559247213.30811787</v>
      </c>
      <c r="E292">
        <v>60122522.522522517</v>
      </c>
      <c r="F292">
        <v>57114864.864864863</v>
      </c>
      <c r="G292">
        <v>132</v>
      </c>
      <c r="H292">
        <v>124</v>
      </c>
      <c r="I292">
        <v>6</v>
      </c>
      <c r="J292">
        <v>8</v>
      </c>
      <c r="K292">
        <v>2</v>
      </c>
      <c r="M292">
        <v>148</v>
      </c>
      <c r="N292">
        <v>133</v>
      </c>
      <c r="O292">
        <v>27114864.864864863</v>
      </c>
      <c r="P292">
        <v>29302252.252252251</v>
      </c>
      <c r="Q292">
        <v>43</v>
      </c>
      <c r="R292">
        <v>144</v>
      </c>
      <c r="S292">
        <v>59192293.693693697</v>
      </c>
      <c r="T292">
        <v>66736666.666666672</v>
      </c>
      <c r="U292">
        <v>14136666.666666666</v>
      </c>
      <c r="V292">
        <v>16607027.027027028</v>
      </c>
      <c r="W292">
        <v>8409</v>
      </c>
      <c r="X292">
        <v>8291</v>
      </c>
    </row>
    <row r="293" spans="1:24">
      <c r="A293" s="7" t="s">
        <v>387</v>
      </c>
      <c r="B293" s="16" t="s">
        <v>214</v>
      </c>
      <c r="C293">
        <v>100929194.55556963</v>
      </c>
      <c r="D293">
        <v>103558698.52367197</v>
      </c>
      <c r="E293">
        <v>17117.117117116999</v>
      </c>
      <c r="F293">
        <v>1144144.1441441439</v>
      </c>
      <c r="G293">
        <v>34</v>
      </c>
      <c r="H293">
        <v>39</v>
      </c>
      <c r="I293">
        <v>0</v>
      </c>
      <c r="J293">
        <v>1</v>
      </c>
      <c r="M293">
        <v>34</v>
      </c>
      <c r="N293">
        <v>46</v>
      </c>
      <c r="O293">
        <v>107207.207207207</v>
      </c>
      <c r="P293">
        <v>2945945.945945946</v>
      </c>
      <c r="S293">
        <v>46740180.180180177</v>
      </c>
      <c r="T293">
        <v>49311378.378378376</v>
      </c>
      <c r="U293">
        <v>89639.639639639994</v>
      </c>
      <c r="V293">
        <v>2116666.666666667</v>
      </c>
      <c r="W293">
        <v>2366</v>
      </c>
      <c r="X293">
        <v>2331</v>
      </c>
    </row>
    <row r="294" spans="1:24">
      <c r="A294" s="7" t="s">
        <v>388</v>
      </c>
      <c r="B294" s="16" t="s">
        <v>117</v>
      </c>
      <c r="C294">
        <v>43359644.950066045</v>
      </c>
      <c r="D294">
        <v>41239663.039200768</v>
      </c>
      <c r="E294">
        <v>54054.054054056003</v>
      </c>
      <c r="F294">
        <v>569369.36936936795</v>
      </c>
      <c r="G294">
        <v>31</v>
      </c>
      <c r="H294">
        <v>26</v>
      </c>
      <c r="I294">
        <v>6</v>
      </c>
      <c r="J294">
        <v>8</v>
      </c>
      <c r="M294">
        <v>38</v>
      </c>
      <c r="N294">
        <v>35</v>
      </c>
      <c r="O294">
        <v>5430038.738738738</v>
      </c>
      <c r="P294">
        <v>9803718.9189189207</v>
      </c>
      <c r="Q294">
        <v>30</v>
      </c>
      <c r="S294">
        <v>20266756.756756756</v>
      </c>
      <c r="T294">
        <v>19309918.918918919</v>
      </c>
      <c r="U294">
        <v>2916576.5765765752</v>
      </c>
      <c r="V294">
        <v>7644684.6846846854</v>
      </c>
      <c r="W294">
        <v>1903</v>
      </c>
      <c r="X294">
        <v>1825</v>
      </c>
    </row>
    <row r="295" spans="1:24">
      <c r="A295" s="7" t="s">
        <v>389</v>
      </c>
      <c r="B295" s="16" t="s">
        <v>315</v>
      </c>
      <c r="C295">
        <v>187841102.13159183</v>
      </c>
      <c r="D295">
        <v>179514137.16025352</v>
      </c>
      <c r="E295">
        <v>120728756.75675675</v>
      </c>
      <c r="F295">
        <v>102462034.23423424</v>
      </c>
      <c r="G295">
        <v>27</v>
      </c>
      <c r="H295">
        <v>18</v>
      </c>
      <c r="I295">
        <v>0</v>
      </c>
      <c r="J295">
        <v>1</v>
      </c>
      <c r="M295">
        <v>30</v>
      </c>
      <c r="N295">
        <v>19</v>
      </c>
      <c r="O295">
        <v>47711261.261261262</v>
      </c>
      <c r="P295">
        <v>8369819.8198198192</v>
      </c>
      <c r="S295">
        <v>37835360.360360362</v>
      </c>
      <c r="T295">
        <v>37148612.612612613</v>
      </c>
      <c r="U295">
        <v>8227117.1171171172</v>
      </c>
      <c r="V295">
        <v>7562252.2522522518</v>
      </c>
      <c r="W295">
        <v>2759</v>
      </c>
      <c r="X295">
        <v>2524</v>
      </c>
    </row>
    <row r="296" spans="1:24">
      <c r="A296" s="7" t="s">
        <v>390</v>
      </c>
      <c r="B296" s="16" t="s">
        <v>224</v>
      </c>
      <c r="C296">
        <v>99617457.69456777</v>
      </c>
      <c r="D296">
        <v>77903916.223421127</v>
      </c>
      <c r="G296">
        <v>115</v>
      </c>
      <c r="H296">
        <v>8</v>
      </c>
      <c r="M296">
        <v>118</v>
      </c>
      <c r="N296">
        <v>8</v>
      </c>
      <c r="S296">
        <v>19587198.198198199</v>
      </c>
      <c r="T296">
        <v>14818918.918918921</v>
      </c>
      <c r="W296">
        <v>1640</v>
      </c>
      <c r="X296">
        <v>1553</v>
      </c>
    </row>
    <row r="297" spans="1:24">
      <c r="A297" s="7" t="s">
        <v>6</v>
      </c>
      <c r="B297" s="16" t="s">
        <v>193</v>
      </c>
      <c r="C297">
        <v>668044096.30967736</v>
      </c>
      <c r="D297">
        <v>653228210.32408774</v>
      </c>
      <c r="E297">
        <v>6604054.054054047</v>
      </c>
      <c r="F297">
        <v>6634709.0090090176</v>
      </c>
      <c r="G297">
        <v>501</v>
      </c>
      <c r="H297">
        <v>387</v>
      </c>
      <c r="I297">
        <v>25</v>
      </c>
      <c r="J297">
        <v>17</v>
      </c>
      <c r="K297">
        <v>2</v>
      </c>
      <c r="M297">
        <v>1057</v>
      </c>
      <c r="N297">
        <v>786</v>
      </c>
      <c r="O297">
        <v>272186486.48648649</v>
      </c>
      <c r="P297">
        <v>226579400</v>
      </c>
      <c r="Q297">
        <v>593</v>
      </c>
      <c r="R297">
        <v>819</v>
      </c>
      <c r="S297">
        <v>445697522.52252251</v>
      </c>
      <c r="T297">
        <v>443005612.61261261</v>
      </c>
      <c r="U297">
        <v>249222342.34234235</v>
      </c>
      <c r="V297">
        <v>199225405.4054054</v>
      </c>
      <c r="W297">
        <v>13765</v>
      </c>
      <c r="X297">
        <v>13247</v>
      </c>
    </row>
    <row r="298" spans="1:24">
      <c r="A298" s="7" t="s">
        <v>391</v>
      </c>
      <c r="B298" s="16" t="s">
        <v>121</v>
      </c>
      <c r="C298">
        <v>24604994.84966144</v>
      </c>
      <c r="D298">
        <v>28937281.755858075</v>
      </c>
      <c r="E298">
        <v>9009.0090090089998</v>
      </c>
      <c r="G298">
        <v>17</v>
      </c>
      <c r="H298">
        <v>10</v>
      </c>
      <c r="M298">
        <v>18</v>
      </c>
      <c r="N298">
        <v>11</v>
      </c>
      <c r="O298">
        <v>90090.090090090001</v>
      </c>
      <c r="Q298">
        <v>9</v>
      </c>
      <c r="S298">
        <v>1381531.5315315321</v>
      </c>
      <c r="T298">
        <v>1470945.945945946</v>
      </c>
      <c r="U298">
        <v>81081.081081081007</v>
      </c>
      <c r="W298">
        <v>561</v>
      </c>
      <c r="X298">
        <v>514</v>
      </c>
    </row>
    <row r="299" spans="1:24">
      <c r="A299" s="7" t="s">
        <v>392</v>
      </c>
      <c r="B299" s="16" t="s">
        <v>134</v>
      </c>
      <c r="C299">
        <v>89761128.030173838</v>
      </c>
      <c r="D299">
        <v>85958471.492444918</v>
      </c>
      <c r="E299">
        <v>3603.603603604</v>
      </c>
      <c r="F299">
        <v>67567.567567567996</v>
      </c>
      <c r="G299">
        <v>32</v>
      </c>
      <c r="H299">
        <v>23</v>
      </c>
      <c r="I299">
        <v>1</v>
      </c>
      <c r="J299">
        <v>1</v>
      </c>
      <c r="M299">
        <v>37</v>
      </c>
      <c r="N299">
        <v>29</v>
      </c>
      <c r="O299">
        <v>9436036.0360360369</v>
      </c>
      <c r="P299">
        <v>5671171.1711711707</v>
      </c>
      <c r="Q299">
        <v>72</v>
      </c>
      <c r="R299">
        <v>5</v>
      </c>
      <c r="S299">
        <v>18476331.531531531</v>
      </c>
      <c r="T299">
        <v>16930259.459459461</v>
      </c>
      <c r="U299">
        <v>2998558.558558559</v>
      </c>
      <c r="V299">
        <v>1839279.27927928</v>
      </c>
      <c r="W299">
        <v>3440</v>
      </c>
      <c r="X299">
        <v>3504</v>
      </c>
    </row>
    <row r="300" spans="1:24">
      <c r="A300" s="7" t="s">
        <v>393</v>
      </c>
      <c r="B300" s="16" t="s">
        <v>58</v>
      </c>
      <c r="C300">
        <v>440257978.589683</v>
      </c>
      <c r="D300">
        <v>422210790.35108769</v>
      </c>
      <c r="E300">
        <v>32154729.729729731</v>
      </c>
      <c r="F300">
        <v>12420495.4954955</v>
      </c>
      <c r="G300">
        <v>246</v>
      </c>
      <c r="H300">
        <v>121</v>
      </c>
      <c r="I300">
        <v>20</v>
      </c>
      <c r="J300">
        <v>27</v>
      </c>
      <c r="K300">
        <v>4</v>
      </c>
      <c r="M300">
        <v>264</v>
      </c>
      <c r="N300">
        <v>190</v>
      </c>
      <c r="O300">
        <v>57278828.828828827</v>
      </c>
      <c r="P300">
        <v>43784684.684684686</v>
      </c>
      <c r="Q300">
        <v>326</v>
      </c>
      <c r="R300">
        <v>68</v>
      </c>
      <c r="S300">
        <v>69371682.882882878</v>
      </c>
      <c r="T300">
        <v>68221972.972972974</v>
      </c>
      <c r="U300">
        <v>50173243.243243247</v>
      </c>
      <c r="V300">
        <v>41000360.360360369</v>
      </c>
      <c r="W300">
        <v>8974</v>
      </c>
      <c r="X300">
        <v>8962</v>
      </c>
    </row>
    <row r="301" spans="1:24">
      <c r="A301" s="7" t="s">
        <v>394</v>
      </c>
      <c r="B301" s="16" t="s">
        <v>134</v>
      </c>
      <c r="C301">
        <v>156448036.82691669</v>
      </c>
      <c r="D301">
        <v>146335100.15081879</v>
      </c>
      <c r="E301">
        <v>47972.972972973999</v>
      </c>
      <c r="F301">
        <v>998198.19819819904</v>
      </c>
      <c r="G301">
        <v>27</v>
      </c>
      <c r="H301">
        <v>26</v>
      </c>
      <c r="I301">
        <v>6</v>
      </c>
      <c r="J301">
        <v>7</v>
      </c>
      <c r="M301">
        <v>29</v>
      </c>
      <c r="N301">
        <v>31</v>
      </c>
      <c r="O301">
        <v>15931531.531531531</v>
      </c>
      <c r="P301">
        <v>22993693.693693694</v>
      </c>
      <c r="Q301">
        <v>185</v>
      </c>
      <c r="R301">
        <v>224</v>
      </c>
      <c r="S301">
        <v>27974863.063063063</v>
      </c>
      <c r="T301">
        <v>27201279.27927928</v>
      </c>
      <c r="U301">
        <v>10696126.126126127</v>
      </c>
      <c r="V301">
        <v>14939369.369369367</v>
      </c>
      <c r="W301">
        <v>3864</v>
      </c>
      <c r="X301">
        <v>3857</v>
      </c>
    </row>
    <row r="302" spans="1:24">
      <c r="A302" s="7" t="s">
        <v>395</v>
      </c>
      <c r="B302" s="16" t="s">
        <v>54</v>
      </c>
      <c r="C302">
        <v>64907195.246630833</v>
      </c>
      <c r="D302">
        <v>61464296.652425215</v>
      </c>
      <c r="E302">
        <v>274774.77477477503</v>
      </c>
      <c r="F302">
        <v>55855.855855856003</v>
      </c>
      <c r="G302">
        <v>10</v>
      </c>
      <c r="H302">
        <v>18</v>
      </c>
      <c r="I302">
        <v>1</v>
      </c>
      <c r="J302">
        <v>2</v>
      </c>
      <c r="M302">
        <v>12</v>
      </c>
      <c r="N302">
        <v>19</v>
      </c>
      <c r="O302">
        <v>3860360.3603603598</v>
      </c>
      <c r="P302">
        <v>3010810.8108108109</v>
      </c>
      <c r="Q302">
        <v>24</v>
      </c>
      <c r="R302">
        <v>7</v>
      </c>
      <c r="S302">
        <v>10774009.009009007</v>
      </c>
      <c r="T302">
        <v>10152009.009009007</v>
      </c>
      <c r="U302">
        <v>3664054.054054053</v>
      </c>
      <c r="V302">
        <v>3239459.4594594589</v>
      </c>
      <c r="W302">
        <v>1538</v>
      </c>
      <c r="X302">
        <v>1590</v>
      </c>
    </row>
    <row r="303" spans="1:24">
      <c r="A303" s="7" t="s">
        <v>396</v>
      </c>
      <c r="B303" s="16" t="s">
        <v>397</v>
      </c>
      <c r="C303">
        <v>448333157.98543537</v>
      </c>
      <c r="D303">
        <v>433755082.49886829</v>
      </c>
      <c r="E303">
        <v>69023153.153153151</v>
      </c>
      <c r="F303">
        <v>87676576.576576576</v>
      </c>
      <c r="G303">
        <v>225</v>
      </c>
      <c r="H303">
        <v>176</v>
      </c>
      <c r="I303">
        <v>12</v>
      </c>
      <c r="J303">
        <v>19</v>
      </c>
      <c r="M303">
        <v>298</v>
      </c>
      <c r="N303">
        <v>349</v>
      </c>
      <c r="O303">
        <v>52185720.720720723</v>
      </c>
      <c r="P303">
        <v>46305405.40540541</v>
      </c>
      <c r="Q303">
        <v>178</v>
      </c>
      <c r="R303">
        <v>426</v>
      </c>
      <c r="S303">
        <v>85170511.711711705</v>
      </c>
      <c r="T303">
        <v>86331059.459459454</v>
      </c>
      <c r="U303">
        <v>43570945.945945941</v>
      </c>
      <c r="V303">
        <v>44980270.270270273</v>
      </c>
      <c r="W303">
        <v>9567</v>
      </c>
      <c r="X303">
        <v>14732</v>
      </c>
    </row>
    <row r="304" spans="1:24">
      <c r="A304" s="7" t="s">
        <v>398</v>
      </c>
      <c r="B304" s="16" t="s">
        <v>399</v>
      </c>
      <c r="C304">
        <v>511924897.87732559</v>
      </c>
      <c r="D304">
        <v>470318666.52292836</v>
      </c>
      <c r="E304">
        <v>822072.07207207405</v>
      </c>
      <c r="F304">
        <v>6046621.6216216227</v>
      </c>
      <c r="G304">
        <v>138</v>
      </c>
      <c r="H304">
        <v>98</v>
      </c>
      <c r="I304">
        <v>19</v>
      </c>
      <c r="J304">
        <v>18</v>
      </c>
      <c r="K304">
        <v>1</v>
      </c>
      <c r="M304">
        <v>155</v>
      </c>
      <c r="N304">
        <v>114</v>
      </c>
      <c r="O304">
        <v>124235045.04504503</v>
      </c>
      <c r="P304">
        <v>47146846.846846849</v>
      </c>
      <c r="Q304">
        <v>674</v>
      </c>
      <c r="R304">
        <v>336</v>
      </c>
      <c r="S304">
        <v>91962673.873873875</v>
      </c>
      <c r="T304">
        <v>86543234.234234229</v>
      </c>
      <c r="U304">
        <v>120016666.66666667</v>
      </c>
      <c r="V304">
        <v>46754414.414414413</v>
      </c>
      <c r="W304">
        <v>11380</v>
      </c>
      <c r="X304">
        <v>11393</v>
      </c>
    </row>
    <row r="305" spans="1:24">
      <c r="A305" s="7" t="s">
        <v>400</v>
      </c>
      <c r="B305" s="16" t="s">
        <v>140</v>
      </c>
      <c r="C305">
        <v>161184649.1620557</v>
      </c>
      <c r="D305">
        <v>152207098.10218844</v>
      </c>
      <c r="E305">
        <v>706306.30630630697</v>
      </c>
      <c r="F305">
        <v>2198198.1981982002</v>
      </c>
      <c r="G305">
        <v>43</v>
      </c>
      <c r="H305">
        <v>46</v>
      </c>
      <c r="I305">
        <v>5</v>
      </c>
      <c r="J305">
        <v>8</v>
      </c>
      <c r="M305">
        <v>49</v>
      </c>
      <c r="N305">
        <v>48</v>
      </c>
      <c r="O305">
        <v>39389189.189189196</v>
      </c>
      <c r="P305">
        <v>33787567.567567565</v>
      </c>
      <c r="Q305">
        <v>21</v>
      </c>
      <c r="R305">
        <v>13</v>
      </c>
      <c r="S305">
        <v>48030720.720720723</v>
      </c>
      <c r="T305">
        <v>48574657.657657653</v>
      </c>
      <c r="U305">
        <v>30670990.990990993</v>
      </c>
      <c r="V305">
        <v>32230360.360360362</v>
      </c>
      <c r="W305">
        <v>3380</v>
      </c>
      <c r="X305">
        <v>3194</v>
      </c>
    </row>
    <row r="306" spans="1:24">
      <c r="A306" s="7" t="s">
        <v>401</v>
      </c>
      <c r="B306" s="16" t="s">
        <v>121</v>
      </c>
      <c r="C306">
        <v>47564187.742224529</v>
      </c>
      <c r="D306">
        <v>41597076.999842711</v>
      </c>
      <c r="E306">
        <v>2702.7027027029999</v>
      </c>
      <c r="F306">
        <v>414414.41441441502</v>
      </c>
      <c r="G306">
        <v>29</v>
      </c>
      <c r="H306">
        <v>16</v>
      </c>
      <c r="I306">
        <v>0</v>
      </c>
      <c r="J306">
        <v>1</v>
      </c>
      <c r="M306">
        <v>33</v>
      </c>
      <c r="N306">
        <v>22</v>
      </c>
      <c r="O306">
        <v>56756.756756757</v>
      </c>
      <c r="P306">
        <v>2216216.2162162168</v>
      </c>
      <c r="Q306">
        <v>7</v>
      </c>
      <c r="R306">
        <v>2</v>
      </c>
      <c r="S306">
        <v>3445090.0900900899</v>
      </c>
      <c r="T306">
        <v>3991993.2432432431</v>
      </c>
      <c r="U306">
        <v>1390180.1801801799</v>
      </c>
      <c r="V306">
        <v>985495.49549549504</v>
      </c>
      <c r="W306">
        <v>1047</v>
      </c>
      <c r="X306">
        <v>1067</v>
      </c>
    </row>
    <row r="307" spans="1:24">
      <c r="A307" s="7" t="s">
        <v>402</v>
      </c>
      <c r="B307" s="16" t="s">
        <v>290</v>
      </c>
      <c r="C307">
        <v>89193146.340579957</v>
      </c>
      <c r="D307">
        <v>64998950.688457496</v>
      </c>
      <c r="E307">
        <v>73873.873873874996</v>
      </c>
      <c r="F307">
        <v>425675.67567567702</v>
      </c>
      <c r="G307">
        <v>58</v>
      </c>
      <c r="H307">
        <v>16</v>
      </c>
      <c r="I307">
        <v>5</v>
      </c>
      <c r="J307">
        <v>2</v>
      </c>
      <c r="K307">
        <v>1</v>
      </c>
      <c r="M307">
        <v>62</v>
      </c>
      <c r="N307">
        <v>18</v>
      </c>
      <c r="O307">
        <v>4938738.7387387389</v>
      </c>
      <c r="P307">
        <v>3331531.5315315332</v>
      </c>
      <c r="Q307">
        <v>63</v>
      </c>
      <c r="R307">
        <v>48</v>
      </c>
      <c r="S307">
        <v>11132072.072072072</v>
      </c>
      <c r="T307">
        <v>8806072.072072072</v>
      </c>
      <c r="U307">
        <v>4792702.702702703</v>
      </c>
      <c r="V307">
        <v>3517657.6576576568</v>
      </c>
      <c r="W307">
        <v>1729</v>
      </c>
      <c r="X307">
        <v>1640</v>
      </c>
    </row>
    <row r="308" spans="1:24">
      <c r="A308" s="7" t="s">
        <v>403</v>
      </c>
      <c r="B308" s="16" t="s">
        <v>121</v>
      </c>
      <c r="C308">
        <v>77764933.003267333</v>
      </c>
      <c r="D308">
        <v>73688127.57682097</v>
      </c>
      <c r="E308">
        <v>14414414.414414413</v>
      </c>
      <c r="F308">
        <v>5461036.036036036</v>
      </c>
      <c r="G308">
        <v>12</v>
      </c>
      <c r="H308">
        <v>11</v>
      </c>
      <c r="I308">
        <v>0</v>
      </c>
      <c r="J308">
        <v>0</v>
      </c>
      <c r="M308">
        <v>13</v>
      </c>
      <c r="N308">
        <v>14</v>
      </c>
      <c r="O308">
        <v>162162.16216216201</v>
      </c>
      <c r="P308">
        <v>58558.558558559002</v>
      </c>
      <c r="Q308">
        <v>20</v>
      </c>
      <c r="S308">
        <v>6209234.2342342343</v>
      </c>
      <c r="T308">
        <v>5543279.2792792786</v>
      </c>
      <c r="U308">
        <v>198198.19819819799</v>
      </c>
      <c r="W308">
        <v>1063</v>
      </c>
      <c r="X308">
        <v>1026</v>
      </c>
    </row>
    <row r="309" spans="1:24">
      <c r="A309" s="7" t="s">
        <v>404</v>
      </c>
      <c r="B309" s="16" t="s">
        <v>368</v>
      </c>
      <c r="C309">
        <v>187188491.44235525</v>
      </c>
      <c r="D309">
        <v>160564990.75451136</v>
      </c>
      <c r="E309">
        <v>52820977.477477483</v>
      </c>
      <c r="F309">
        <v>55786936.936936937</v>
      </c>
      <c r="G309">
        <v>51</v>
      </c>
      <c r="H309">
        <v>100</v>
      </c>
      <c r="I309">
        <v>8</v>
      </c>
      <c r="J309">
        <v>12</v>
      </c>
      <c r="K309">
        <v>1</v>
      </c>
      <c r="M309">
        <v>57</v>
      </c>
      <c r="N309">
        <v>167</v>
      </c>
      <c r="O309">
        <v>37601801.801801801</v>
      </c>
      <c r="P309">
        <v>30317117.117117114</v>
      </c>
      <c r="Q309">
        <v>426</v>
      </c>
      <c r="R309">
        <v>140</v>
      </c>
      <c r="S309">
        <v>57455923.423423424</v>
      </c>
      <c r="T309">
        <v>58871103.603603601</v>
      </c>
      <c r="U309">
        <v>32929639.639639638</v>
      </c>
      <c r="V309">
        <v>27669279.27927928</v>
      </c>
      <c r="W309">
        <v>4349</v>
      </c>
      <c r="X309">
        <v>3939</v>
      </c>
    </row>
    <row r="310" spans="1:24">
      <c r="A310" s="7" t="s">
        <v>405</v>
      </c>
      <c r="B310" s="16" t="s">
        <v>140</v>
      </c>
      <c r="C310">
        <v>76340150.818321362</v>
      </c>
      <c r="D310">
        <v>78958870.223627895</v>
      </c>
      <c r="E310">
        <v>16666.666666666999</v>
      </c>
      <c r="F310">
        <v>242117.11711711599</v>
      </c>
      <c r="G310">
        <v>5</v>
      </c>
      <c r="H310">
        <v>17</v>
      </c>
      <c r="I310">
        <v>0</v>
      </c>
      <c r="J310">
        <v>1</v>
      </c>
      <c r="M310">
        <v>6</v>
      </c>
      <c r="N310">
        <v>20</v>
      </c>
      <c r="O310">
        <v>11110360.36036036</v>
      </c>
      <c r="P310">
        <v>8982342.3423423432</v>
      </c>
      <c r="Q310">
        <v>15</v>
      </c>
      <c r="R310">
        <v>16</v>
      </c>
      <c r="S310">
        <v>20530495.495495494</v>
      </c>
      <c r="T310">
        <v>21853097.297297295</v>
      </c>
      <c r="U310">
        <v>10713243.243243244</v>
      </c>
      <c r="V310">
        <v>10835045.045045044</v>
      </c>
      <c r="W310">
        <v>1509</v>
      </c>
      <c r="X310">
        <v>1388</v>
      </c>
    </row>
    <row r="311" spans="1:24">
      <c r="A311" s="7" t="s">
        <v>406</v>
      </c>
      <c r="B311" s="16" t="s">
        <v>54</v>
      </c>
      <c r="C311">
        <v>114511375.42762728</v>
      </c>
      <c r="D311">
        <v>109529814.5946046</v>
      </c>
      <c r="E311">
        <v>681216.21621621703</v>
      </c>
      <c r="F311">
        <v>2184684.6846846859</v>
      </c>
      <c r="G311">
        <v>6</v>
      </c>
      <c r="H311">
        <v>74</v>
      </c>
      <c r="I311">
        <v>11</v>
      </c>
      <c r="J311">
        <v>8</v>
      </c>
      <c r="M311">
        <v>29</v>
      </c>
      <c r="N311">
        <v>192</v>
      </c>
      <c r="O311">
        <v>7734414.4144144142</v>
      </c>
      <c r="P311">
        <v>9973333.333333334</v>
      </c>
      <c r="Q311">
        <v>85</v>
      </c>
      <c r="R311">
        <v>38</v>
      </c>
      <c r="S311">
        <v>24469864.864864863</v>
      </c>
      <c r="T311">
        <v>25284855.855855856</v>
      </c>
      <c r="U311">
        <v>7975315.3153153146</v>
      </c>
      <c r="V311">
        <v>11056576.576576576</v>
      </c>
      <c r="W311">
        <v>2049</v>
      </c>
      <c r="X311">
        <v>2226</v>
      </c>
    </row>
    <row r="312" spans="1:24">
      <c r="A312" s="7" t="s">
        <v>407</v>
      </c>
      <c r="B312" s="16" t="s">
        <v>134</v>
      </c>
      <c r="C312">
        <v>46300160.789133929</v>
      </c>
      <c r="D312">
        <v>49267595.711857155</v>
      </c>
      <c r="E312">
        <v>21621.621621621998</v>
      </c>
      <c r="F312">
        <v>27027.027027027001</v>
      </c>
      <c r="G312">
        <v>12</v>
      </c>
      <c r="H312">
        <v>6</v>
      </c>
      <c r="I312">
        <v>2</v>
      </c>
      <c r="J312">
        <v>1</v>
      </c>
      <c r="M312">
        <v>13</v>
      </c>
      <c r="N312">
        <v>6</v>
      </c>
      <c r="O312">
        <v>2102702.702702703</v>
      </c>
      <c r="P312">
        <v>1594594.5945945941</v>
      </c>
      <c r="Q312">
        <v>1</v>
      </c>
      <c r="S312">
        <v>5205765.7657657657</v>
      </c>
      <c r="T312">
        <v>4626504.5045045037</v>
      </c>
      <c r="U312">
        <v>1846126.126126125</v>
      </c>
      <c r="V312">
        <v>1308918.9189189179</v>
      </c>
      <c r="W312">
        <v>1004</v>
      </c>
      <c r="X312">
        <v>925</v>
      </c>
    </row>
    <row r="313" spans="1:24">
      <c r="A313" s="7" t="s">
        <v>408</v>
      </c>
      <c r="B313" s="16" t="s">
        <v>290</v>
      </c>
      <c r="C313">
        <v>31295182.804346424</v>
      </c>
      <c r="D313">
        <v>27138112.722078227</v>
      </c>
      <c r="E313">
        <v>164151909.90990993</v>
      </c>
      <c r="F313">
        <v>172606768.46846849</v>
      </c>
      <c r="G313">
        <v>20</v>
      </c>
      <c r="H313">
        <v>9</v>
      </c>
      <c r="I313">
        <v>3</v>
      </c>
      <c r="J313">
        <v>3</v>
      </c>
      <c r="M313">
        <v>23</v>
      </c>
      <c r="N313">
        <v>10</v>
      </c>
      <c r="O313">
        <v>26169489.189189192</v>
      </c>
      <c r="P313">
        <v>26814002.702702705</v>
      </c>
      <c r="Q313">
        <v>18</v>
      </c>
      <c r="R313">
        <v>46</v>
      </c>
      <c r="S313">
        <v>6534315.3153153146</v>
      </c>
      <c r="T313">
        <v>5268873.8738738736</v>
      </c>
      <c r="U313">
        <v>2739369.369369369</v>
      </c>
      <c r="V313">
        <v>3008018.0180180171</v>
      </c>
      <c r="W313">
        <v>857</v>
      </c>
      <c r="X313">
        <v>835</v>
      </c>
    </row>
    <row r="314" spans="1:24">
      <c r="A314" s="7" t="s">
        <v>409</v>
      </c>
      <c r="B314" s="16" t="s">
        <v>178</v>
      </c>
      <c r="C314">
        <v>530242693.11917531</v>
      </c>
      <c r="D314">
        <v>493344368.41527683</v>
      </c>
      <c r="E314">
        <v>2736261.2612612629</v>
      </c>
      <c r="F314">
        <v>2454954.9549549581</v>
      </c>
      <c r="G314">
        <v>158</v>
      </c>
      <c r="H314">
        <v>106</v>
      </c>
      <c r="I314">
        <v>5</v>
      </c>
      <c r="J314">
        <v>8</v>
      </c>
      <c r="M314">
        <v>182</v>
      </c>
      <c r="N314">
        <v>319</v>
      </c>
      <c r="O314">
        <v>52969459.459459454</v>
      </c>
      <c r="P314">
        <v>53617198.198198199</v>
      </c>
      <c r="Q314">
        <v>26</v>
      </c>
      <c r="R314">
        <v>54</v>
      </c>
      <c r="S314">
        <v>169140034.23423424</v>
      </c>
      <c r="T314">
        <v>170733662.16216218</v>
      </c>
      <c r="U314">
        <v>45261981.981981985</v>
      </c>
      <c r="V314">
        <v>49830000</v>
      </c>
      <c r="W314">
        <v>9508</v>
      </c>
      <c r="X314">
        <v>11757</v>
      </c>
    </row>
    <row r="315" spans="1:24">
      <c r="A315" s="7" t="s">
        <v>666</v>
      </c>
      <c r="B315" s="16" t="s">
        <v>87</v>
      </c>
      <c r="W315">
        <v>1</v>
      </c>
    </row>
    <row r="316" spans="1:24">
      <c r="A316" s="7" t="s">
        <v>410</v>
      </c>
      <c r="B316" s="16" t="s">
        <v>54</v>
      </c>
      <c r="C316">
        <v>907586260.1241653</v>
      </c>
      <c r="D316">
        <v>897677514.02109611</v>
      </c>
      <c r="E316">
        <v>215851101.80180183</v>
      </c>
      <c r="F316">
        <v>117772700.90090092</v>
      </c>
      <c r="G316">
        <v>235</v>
      </c>
      <c r="H316">
        <v>299</v>
      </c>
      <c r="I316">
        <v>51</v>
      </c>
      <c r="J316">
        <v>49</v>
      </c>
      <c r="K316">
        <v>4</v>
      </c>
      <c r="M316">
        <v>302</v>
      </c>
      <c r="N316">
        <v>425</v>
      </c>
      <c r="O316">
        <v>66721441.441441439</v>
      </c>
      <c r="P316">
        <v>66742792.79279279</v>
      </c>
      <c r="Q316">
        <v>620</v>
      </c>
      <c r="R316">
        <v>273</v>
      </c>
      <c r="S316">
        <v>178777953.15315315</v>
      </c>
      <c r="T316">
        <v>184894945.94594595</v>
      </c>
      <c r="U316">
        <v>60337430.630630627</v>
      </c>
      <c r="V316">
        <v>60329729.729729727</v>
      </c>
      <c r="W316">
        <v>19454</v>
      </c>
      <c r="X316">
        <v>18491</v>
      </c>
    </row>
    <row r="317" spans="1:24">
      <c r="A317" s="7" t="s">
        <v>411</v>
      </c>
      <c r="B317" s="16" t="s">
        <v>224</v>
      </c>
      <c r="C317">
        <v>548981620.71572089</v>
      </c>
      <c r="D317">
        <v>459914661.53055996</v>
      </c>
      <c r="E317">
        <v>915675.67567567795</v>
      </c>
      <c r="F317">
        <v>1902702.7027027069</v>
      </c>
      <c r="G317">
        <v>181</v>
      </c>
      <c r="H317">
        <v>173</v>
      </c>
      <c r="I317">
        <v>9</v>
      </c>
      <c r="J317">
        <v>6</v>
      </c>
      <c r="M317">
        <v>207</v>
      </c>
      <c r="N317">
        <v>194</v>
      </c>
      <c r="O317">
        <v>64747927.927927926</v>
      </c>
      <c r="P317">
        <v>49717837.837837838</v>
      </c>
      <c r="Q317">
        <v>132</v>
      </c>
      <c r="R317">
        <v>182</v>
      </c>
      <c r="S317">
        <v>143955597.2972973</v>
      </c>
      <c r="T317">
        <v>131879744.14414415</v>
      </c>
      <c r="U317">
        <v>62649279.279279277</v>
      </c>
      <c r="V317">
        <v>53597160.360360362</v>
      </c>
      <c r="W317">
        <v>13444</v>
      </c>
      <c r="X317">
        <v>13417</v>
      </c>
    </row>
    <row r="318" spans="1:24">
      <c r="A318" s="7" t="s">
        <v>412</v>
      </c>
      <c r="B318" s="16" t="s">
        <v>413</v>
      </c>
      <c r="C318">
        <v>177127871.31554946</v>
      </c>
      <c r="D318">
        <v>180927431.47714043</v>
      </c>
      <c r="E318">
        <v>143243.24324324401</v>
      </c>
      <c r="F318">
        <v>571621.62162162503</v>
      </c>
      <c r="G318">
        <v>63</v>
      </c>
      <c r="H318">
        <v>12</v>
      </c>
      <c r="I318">
        <v>1</v>
      </c>
      <c r="J318">
        <v>4</v>
      </c>
      <c r="M318">
        <v>70</v>
      </c>
      <c r="N318">
        <v>18</v>
      </c>
      <c r="O318">
        <v>4990090.0900900904</v>
      </c>
      <c r="P318">
        <v>3590090.0900900932</v>
      </c>
      <c r="Q318">
        <v>32</v>
      </c>
      <c r="R318">
        <v>39</v>
      </c>
      <c r="S318">
        <v>77694054.054054052</v>
      </c>
      <c r="T318">
        <v>73542819.819819823</v>
      </c>
      <c r="U318">
        <v>4150090.090090089</v>
      </c>
      <c r="V318">
        <v>3846486.4864864862</v>
      </c>
      <c r="W318">
        <v>3931</v>
      </c>
      <c r="X318">
        <v>3998</v>
      </c>
    </row>
    <row r="319" spans="1:24">
      <c r="A319" s="7" t="s">
        <v>414</v>
      </c>
      <c r="B319" s="16" t="s">
        <v>214</v>
      </c>
      <c r="C319">
        <v>1079418341.6246824</v>
      </c>
      <c r="D319">
        <v>1168305121.6635499</v>
      </c>
      <c r="E319">
        <v>546855572.97297299</v>
      </c>
      <c r="F319">
        <v>612863493.69369364</v>
      </c>
      <c r="G319">
        <v>490</v>
      </c>
      <c r="H319">
        <v>1004</v>
      </c>
      <c r="I319">
        <v>26</v>
      </c>
      <c r="J319">
        <v>26</v>
      </c>
      <c r="M319">
        <v>570</v>
      </c>
      <c r="N319">
        <v>1280</v>
      </c>
      <c r="O319">
        <v>154069288.2882883</v>
      </c>
      <c r="P319">
        <v>159326981.98198199</v>
      </c>
      <c r="Q319">
        <v>500</v>
      </c>
      <c r="R319">
        <v>430</v>
      </c>
      <c r="S319">
        <v>461184311.7117117</v>
      </c>
      <c r="T319">
        <v>525570687.38738739</v>
      </c>
      <c r="U319">
        <v>144102522.52252254</v>
      </c>
      <c r="V319">
        <v>153887117.11711711</v>
      </c>
      <c r="W319">
        <v>24080</v>
      </c>
      <c r="X319">
        <v>24122</v>
      </c>
    </row>
    <row r="320" spans="1:24">
      <c r="A320" s="7" t="s">
        <v>415</v>
      </c>
      <c r="B320" s="16" t="s">
        <v>413</v>
      </c>
      <c r="C320">
        <v>103202917.54336043</v>
      </c>
      <c r="D320">
        <v>100665149.46907468</v>
      </c>
      <c r="E320">
        <v>316216.21621621598</v>
      </c>
      <c r="F320">
        <v>749099.09909909999</v>
      </c>
      <c r="G320">
        <v>35</v>
      </c>
      <c r="H320">
        <v>28</v>
      </c>
      <c r="I320">
        <v>3</v>
      </c>
      <c r="J320">
        <v>3</v>
      </c>
      <c r="M320">
        <v>38</v>
      </c>
      <c r="N320">
        <v>34</v>
      </c>
      <c r="O320">
        <v>23244675.675675675</v>
      </c>
      <c r="P320">
        <v>17921839.639639638</v>
      </c>
      <c r="Q320">
        <v>57</v>
      </c>
      <c r="R320">
        <v>32</v>
      </c>
      <c r="S320">
        <v>33537117.117117114</v>
      </c>
      <c r="T320">
        <v>37619479.729729727</v>
      </c>
      <c r="U320">
        <v>15174234.234234234</v>
      </c>
      <c r="V320">
        <v>13858378.378378378</v>
      </c>
      <c r="W320">
        <v>2975</v>
      </c>
      <c r="X320">
        <v>2957</v>
      </c>
    </row>
    <row r="321" spans="1:24">
      <c r="A321" s="7" t="s">
        <v>416</v>
      </c>
      <c r="B321" s="16" t="s">
        <v>236</v>
      </c>
      <c r="C321">
        <v>771921297.89150548</v>
      </c>
      <c r="D321">
        <v>726329960.31448615</v>
      </c>
      <c r="E321">
        <v>640090.09009009204</v>
      </c>
      <c r="F321">
        <v>2960360.360360363</v>
      </c>
      <c r="G321">
        <v>272</v>
      </c>
      <c r="H321">
        <v>148</v>
      </c>
      <c r="I321">
        <v>18</v>
      </c>
      <c r="J321">
        <v>19</v>
      </c>
      <c r="K321">
        <v>4</v>
      </c>
      <c r="M321">
        <v>314</v>
      </c>
      <c r="N321">
        <v>372</v>
      </c>
      <c r="O321">
        <v>118220900.9009009</v>
      </c>
      <c r="P321">
        <v>95386756.756756753</v>
      </c>
      <c r="Q321">
        <v>189</v>
      </c>
      <c r="R321">
        <v>75</v>
      </c>
      <c r="S321">
        <v>179391414.41441441</v>
      </c>
      <c r="T321">
        <v>169629108.1081081</v>
      </c>
      <c r="U321">
        <v>104121891.89189188</v>
      </c>
      <c r="V321">
        <v>90390270.270270273</v>
      </c>
      <c r="W321">
        <v>10908</v>
      </c>
      <c r="X321">
        <v>10684</v>
      </c>
    </row>
    <row r="322" spans="1:24">
      <c r="A322" s="7" t="s">
        <v>417</v>
      </c>
      <c r="B322" s="16" t="s">
        <v>117</v>
      </c>
      <c r="C322">
        <v>739808901.71642971</v>
      </c>
      <c r="D322">
        <v>703209878.89373946</v>
      </c>
      <c r="E322">
        <v>825207230.63063061</v>
      </c>
      <c r="F322">
        <v>646110597.29729724</v>
      </c>
      <c r="G322">
        <v>572</v>
      </c>
      <c r="H322">
        <v>527</v>
      </c>
      <c r="I322">
        <v>60</v>
      </c>
      <c r="J322">
        <v>59</v>
      </c>
      <c r="K322">
        <v>11</v>
      </c>
      <c r="M322">
        <v>799</v>
      </c>
      <c r="N322">
        <v>887</v>
      </c>
      <c r="O322">
        <v>150237365.76576576</v>
      </c>
      <c r="P322">
        <v>163998347.74774775</v>
      </c>
      <c r="Q322">
        <v>548</v>
      </c>
      <c r="R322">
        <v>352</v>
      </c>
      <c r="S322">
        <v>321053774.77477479</v>
      </c>
      <c r="T322">
        <v>322111597.2972973</v>
      </c>
      <c r="U322">
        <v>149314414.41441441</v>
      </c>
      <c r="V322">
        <v>164409909.90990993</v>
      </c>
      <c r="W322">
        <v>17750</v>
      </c>
      <c r="X322">
        <v>17043</v>
      </c>
    </row>
    <row r="323" spans="1:24">
      <c r="A323" s="7" t="s">
        <v>418</v>
      </c>
      <c r="B323" s="16" t="s">
        <v>147</v>
      </c>
      <c r="C323">
        <v>19527407.110045139</v>
      </c>
      <c r="D323">
        <v>16864854.284065157</v>
      </c>
      <c r="E323">
        <v>109654683.78378378</v>
      </c>
      <c r="F323">
        <v>316094264.86486489</v>
      </c>
      <c r="G323">
        <v>5</v>
      </c>
      <c r="H323">
        <v>3</v>
      </c>
      <c r="M323">
        <v>5</v>
      </c>
      <c r="N323">
        <v>3</v>
      </c>
      <c r="S323">
        <v>6798243.2432432417</v>
      </c>
      <c r="T323">
        <v>5959765.7657657657</v>
      </c>
      <c r="W323">
        <v>495</v>
      </c>
      <c r="X323">
        <v>474</v>
      </c>
    </row>
    <row r="324" spans="1:24">
      <c r="A324" s="7" t="s">
        <v>419</v>
      </c>
      <c r="B324" s="16" t="s">
        <v>304</v>
      </c>
      <c r="C324">
        <v>151317450.46158046</v>
      </c>
      <c r="D324">
        <v>153065812.16339943</v>
      </c>
      <c r="E324">
        <v>102652354.95495497</v>
      </c>
      <c r="F324">
        <v>113732789.18918918</v>
      </c>
      <c r="G324">
        <v>76</v>
      </c>
      <c r="H324">
        <v>90</v>
      </c>
      <c r="I324">
        <v>17</v>
      </c>
      <c r="J324">
        <v>32</v>
      </c>
      <c r="M324">
        <v>85</v>
      </c>
      <c r="N324">
        <v>125</v>
      </c>
      <c r="O324">
        <v>57972072.072072074</v>
      </c>
      <c r="P324">
        <v>27925225.225225229</v>
      </c>
      <c r="Q324">
        <v>230</v>
      </c>
      <c r="R324">
        <v>169</v>
      </c>
      <c r="S324">
        <v>31244054.054054052</v>
      </c>
      <c r="T324">
        <v>34242173.873873875</v>
      </c>
      <c r="U324">
        <v>32024504.504504506</v>
      </c>
      <c r="V324">
        <v>25040450.450450446</v>
      </c>
      <c r="W324">
        <v>2495</v>
      </c>
      <c r="X324">
        <v>2387</v>
      </c>
    </row>
    <row r="325" spans="1:24">
      <c r="A325" s="7" t="s">
        <v>420</v>
      </c>
      <c r="B325" s="16" t="s">
        <v>304</v>
      </c>
      <c r="C325">
        <v>179081441.17952788</v>
      </c>
      <c r="D325">
        <v>173402714.72716621</v>
      </c>
      <c r="E325">
        <v>1656531.5315315339</v>
      </c>
      <c r="F325">
        <v>7062837.8378378367</v>
      </c>
      <c r="G325">
        <v>181</v>
      </c>
      <c r="H325">
        <v>117</v>
      </c>
      <c r="I325">
        <v>13</v>
      </c>
      <c r="J325">
        <v>52</v>
      </c>
      <c r="K325">
        <v>11</v>
      </c>
      <c r="M325">
        <v>218</v>
      </c>
      <c r="N325">
        <v>911</v>
      </c>
      <c r="O325">
        <v>25106306.306306303</v>
      </c>
      <c r="P325">
        <v>33715315.315315314</v>
      </c>
      <c r="Q325">
        <v>542</v>
      </c>
      <c r="R325">
        <v>303</v>
      </c>
      <c r="S325">
        <v>41235196.396396399</v>
      </c>
      <c r="T325">
        <v>55890403.603603601</v>
      </c>
      <c r="U325">
        <v>30526306.306306303</v>
      </c>
      <c r="V325">
        <v>25005765.765765764</v>
      </c>
      <c r="W325">
        <v>3027</v>
      </c>
      <c r="X325">
        <v>2993</v>
      </c>
    </row>
    <row r="326" spans="1:24">
      <c r="A326" s="7" t="s">
        <v>421</v>
      </c>
      <c r="B326" s="16" t="s">
        <v>121</v>
      </c>
      <c r="C326">
        <v>13013758.232353728</v>
      </c>
      <c r="D326">
        <v>7116311.4630535217</v>
      </c>
      <c r="E326">
        <v>12612.612612613</v>
      </c>
      <c r="F326">
        <v>42342.342342342999</v>
      </c>
      <c r="G326">
        <v>2</v>
      </c>
      <c r="H326">
        <v>4</v>
      </c>
      <c r="I326">
        <v>0</v>
      </c>
      <c r="J326">
        <v>0</v>
      </c>
      <c r="M326">
        <v>3</v>
      </c>
      <c r="N326">
        <v>4</v>
      </c>
      <c r="O326">
        <v>1418018.018018018</v>
      </c>
      <c r="P326">
        <v>42342.342342342999</v>
      </c>
      <c r="Q326">
        <v>26</v>
      </c>
      <c r="S326">
        <v>1463783.7837837839</v>
      </c>
      <c r="T326">
        <v>740801.80180180201</v>
      </c>
      <c r="U326">
        <v>1412612.612612613</v>
      </c>
      <c r="V326">
        <v>169369.369369369</v>
      </c>
      <c r="W326">
        <v>366</v>
      </c>
      <c r="X326">
        <v>333</v>
      </c>
    </row>
    <row r="327" spans="1:24">
      <c r="A327" s="7" t="s">
        <v>422</v>
      </c>
      <c r="B327" s="16" t="s">
        <v>60</v>
      </c>
      <c r="C327">
        <v>89327715.341173351</v>
      </c>
      <c r="D327">
        <v>90168807.028705388</v>
      </c>
      <c r="E327">
        <v>36312612.612612613</v>
      </c>
      <c r="F327">
        <v>30396396.396396395</v>
      </c>
      <c r="G327">
        <v>41</v>
      </c>
      <c r="H327">
        <v>40</v>
      </c>
      <c r="I327">
        <v>4</v>
      </c>
      <c r="J327">
        <v>8</v>
      </c>
      <c r="M327">
        <v>43</v>
      </c>
      <c r="N327">
        <v>49</v>
      </c>
      <c r="O327">
        <v>19886486.486486483</v>
      </c>
      <c r="P327">
        <v>22380180.180180181</v>
      </c>
      <c r="Q327">
        <v>82</v>
      </c>
      <c r="R327">
        <v>38</v>
      </c>
      <c r="S327">
        <v>29478783.783783782</v>
      </c>
      <c r="T327">
        <v>31986180.180180181</v>
      </c>
      <c r="U327">
        <v>15373783.783783784</v>
      </c>
      <c r="V327">
        <v>22619729.729729727</v>
      </c>
      <c r="W327">
        <v>2056</v>
      </c>
      <c r="X327">
        <v>2955</v>
      </c>
    </row>
    <row r="328" spans="1:24">
      <c r="A328" s="7" t="s">
        <v>423</v>
      </c>
      <c r="B328" s="16" t="s">
        <v>181</v>
      </c>
      <c r="C328">
        <v>925156102.31859958</v>
      </c>
      <c r="D328">
        <v>887504154.76226175</v>
      </c>
      <c r="E328">
        <v>2793693.6936936979</v>
      </c>
      <c r="F328">
        <v>9729729.7297297399</v>
      </c>
      <c r="G328">
        <v>586</v>
      </c>
      <c r="H328">
        <v>331</v>
      </c>
      <c r="I328">
        <v>63</v>
      </c>
      <c r="J328">
        <v>47</v>
      </c>
      <c r="K328">
        <v>17</v>
      </c>
      <c r="M328">
        <v>708</v>
      </c>
      <c r="N328">
        <v>428</v>
      </c>
      <c r="O328">
        <v>103156666.66666666</v>
      </c>
      <c r="P328">
        <v>135318468.46846846</v>
      </c>
      <c r="Q328">
        <v>983</v>
      </c>
      <c r="R328">
        <v>1377</v>
      </c>
      <c r="S328">
        <v>254677036.03603604</v>
      </c>
      <c r="T328">
        <v>257518690.09009007</v>
      </c>
      <c r="U328">
        <v>108171801.8018018</v>
      </c>
      <c r="V328">
        <v>132350540.54054053</v>
      </c>
      <c r="W328">
        <v>22256</v>
      </c>
      <c r="X328">
        <v>21728</v>
      </c>
    </row>
    <row r="329" spans="1:24">
      <c r="A329" s="7" t="s">
        <v>424</v>
      </c>
      <c r="B329" s="16" t="s">
        <v>76</v>
      </c>
      <c r="C329">
        <v>39173687.994634673</v>
      </c>
      <c r="D329">
        <v>28186866.476407688</v>
      </c>
      <c r="E329">
        <v>3603.603603604</v>
      </c>
      <c r="F329">
        <v>54054.054054054999</v>
      </c>
      <c r="G329">
        <v>8</v>
      </c>
      <c r="H329">
        <v>6</v>
      </c>
      <c r="I329">
        <v>2</v>
      </c>
      <c r="J329">
        <v>1</v>
      </c>
      <c r="M329">
        <v>8</v>
      </c>
      <c r="N329">
        <v>7</v>
      </c>
      <c r="O329">
        <v>3580180.1801801799</v>
      </c>
      <c r="P329">
        <v>1972972.972972973</v>
      </c>
      <c r="Q329">
        <v>9</v>
      </c>
      <c r="R329">
        <v>4</v>
      </c>
      <c r="S329">
        <v>3221207.2072072071</v>
      </c>
      <c r="T329">
        <v>2658486.4864864862</v>
      </c>
      <c r="U329">
        <v>3217477.4774774769</v>
      </c>
      <c r="V329">
        <v>2157567.5675675669</v>
      </c>
      <c r="W329">
        <v>933</v>
      </c>
      <c r="X329">
        <v>918</v>
      </c>
    </row>
    <row r="330" spans="1:24">
      <c r="A330" s="7" t="s">
        <v>425</v>
      </c>
      <c r="B330" s="16" t="s">
        <v>76</v>
      </c>
      <c r="C330">
        <v>107601566.53695515</v>
      </c>
      <c r="D330">
        <v>102667151.79632473</v>
      </c>
      <c r="E330">
        <v>147747.747747749</v>
      </c>
      <c r="F330">
        <v>145045.04504504599</v>
      </c>
      <c r="G330">
        <v>32</v>
      </c>
      <c r="H330">
        <v>22</v>
      </c>
      <c r="I330">
        <v>1</v>
      </c>
      <c r="J330">
        <v>2</v>
      </c>
      <c r="M330">
        <v>38</v>
      </c>
      <c r="N330">
        <v>24</v>
      </c>
      <c r="O330">
        <v>12556756.75675676</v>
      </c>
      <c r="P330">
        <v>12230720.72072072</v>
      </c>
      <c r="Q330">
        <v>20</v>
      </c>
      <c r="R330">
        <v>30</v>
      </c>
      <c r="S330">
        <v>24120360.360360362</v>
      </c>
      <c r="T330">
        <v>22370738.738738734</v>
      </c>
      <c r="U330">
        <v>8957027.0270270258</v>
      </c>
      <c r="V330">
        <v>9189279.2792792786</v>
      </c>
      <c r="W330">
        <v>1448</v>
      </c>
      <c r="X330">
        <v>1439</v>
      </c>
    </row>
    <row r="331" spans="1:24">
      <c r="A331" s="7" t="s">
        <v>426</v>
      </c>
      <c r="B331" s="16" t="s">
        <v>330</v>
      </c>
      <c r="C331">
        <v>510660439.24011856</v>
      </c>
      <c r="D331">
        <v>541723652.46265602</v>
      </c>
      <c r="E331">
        <v>1468873.8738738771</v>
      </c>
      <c r="F331">
        <v>4251126.1261261301</v>
      </c>
      <c r="G331">
        <v>179</v>
      </c>
      <c r="H331">
        <v>182</v>
      </c>
      <c r="I331">
        <v>20</v>
      </c>
      <c r="J331">
        <v>22</v>
      </c>
      <c r="K331">
        <v>1</v>
      </c>
      <c r="M331">
        <v>209</v>
      </c>
      <c r="N331">
        <v>225</v>
      </c>
      <c r="O331">
        <v>16335405.405405404</v>
      </c>
      <c r="P331">
        <v>29721981.981981985</v>
      </c>
      <c r="Q331">
        <v>68</v>
      </c>
      <c r="R331">
        <v>150</v>
      </c>
      <c r="S331">
        <v>87065493.693693697</v>
      </c>
      <c r="T331">
        <v>147990813.06306309</v>
      </c>
      <c r="U331">
        <v>17583153.153153151</v>
      </c>
      <c r="V331">
        <v>25949009.009009004</v>
      </c>
      <c r="W331">
        <v>11524</v>
      </c>
      <c r="X331">
        <v>11987</v>
      </c>
    </row>
    <row r="332" spans="1:24">
      <c r="A332" s="7" t="s">
        <v>427</v>
      </c>
      <c r="B332" s="16" t="s">
        <v>241</v>
      </c>
      <c r="C332">
        <v>137197940.99569598</v>
      </c>
      <c r="D332">
        <v>137727743.93138558</v>
      </c>
      <c r="E332">
        <v>1528828.8288288291</v>
      </c>
      <c r="F332">
        <v>926126.12612612697</v>
      </c>
      <c r="G332">
        <v>61</v>
      </c>
      <c r="H332">
        <v>48</v>
      </c>
      <c r="I332">
        <v>3</v>
      </c>
      <c r="J332">
        <v>4</v>
      </c>
      <c r="K332">
        <v>1</v>
      </c>
      <c r="M332">
        <v>70</v>
      </c>
      <c r="N332">
        <v>56</v>
      </c>
      <c r="O332">
        <v>26414054.054054052</v>
      </c>
      <c r="P332">
        <v>16630900.9009009</v>
      </c>
      <c r="Q332">
        <v>60</v>
      </c>
      <c r="R332">
        <v>61</v>
      </c>
      <c r="S332">
        <v>52826855.855855852</v>
      </c>
      <c r="T332">
        <v>53220846.846846849</v>
      </c>
      <c r="U332">
        <v>25785855.855855856</v>
      </c>
      <c r="V332">
        <v>16395585.585585581</v>
      </c>
      <c r="W332">
        <v>5312</v>
      </c>
      <c r="X332">
        <v>5344</v>
      </c>
    </row>
    <row r="333" spans="1:24">
      <c r="A333" s="7" t="s">
        <v>428</v>
      </c>
      <c r="B333" s="16" t="s">
        <v>283</v>
      </c>
      <c r="C333">
        <v>56602203.885651559</v>
      </c>
      <c r="D333">
        <v>57566256.157074042</v>
      </c>
      <c r="E333">
        <v>52477.477477478002</v>
      </c>
      <c r="F333">
        <v>569369.36936937098</v>
      </c>
      <c r="G333">
        <v>19</v>
      </c>
      <c r="H333">
        <v>8</v>
      </c>
      <c r="I333">
        <v>2</v>
      </c>
      <c r="J333">
        <v>4</v>
      </c>
      <c r="M333">
        <v>20</v>
      </c>
      <c r="N333">
        <v>37</v>
      </c>
      <c r="O333">
        <v>4206306.3063063072</v>
      </c>
      <c r="P333">
        <v>25194234.234234232</v>
      </c>
      <c r="R333">
        <v>48</v>
      </c>
      <c r="S333">
        <v>9765225.2252252232</v>
      </c>
      <c r="T333">
        <v>10951828.828828828</v>
      </c>
      <c r="U333">
        <v>3165225.2252252251</v>
      </c>
      <c r="V333">
        <v>26908738.738738742</v>
      </c>
      <c r="W333">
        <v>1229</v>
      </c>
      <c r="X333">
        <v>1208</v>
      </c>
    </row>
    <row r="334" spans="1:24">
      <c r="A334" s="7" t="s">
        <v>429</v>
      </c>
      <c r="B334" s="16" t="s">
        <v>283</v>
      </c>
      <c r="C334">
        <v>18594696.513890903</v>
      </c>
      <c r="D334">
        <v>18250124.408157103</v>
      </c>
      <c r="E334">
        <v>10810.810810810999</v>
      </c>
      <c r="F334">
        <v>207207.20720720699</v>
      </c>
      <c r="G334">
        <v>1</v>
      </c>
      <c r="M334">
        <v>2</v>
      </c>
      <c r="O334">
        <v>371171.17117117101</v>
      </c>
      <c r="P334">
        <v>3090090.090090089</v>
      </c>
      <c r="S334">
        <v>1856711.711711711</v>
      </c>
      <c r="T334">
        <v>1331117.1171171169</v>
      </c>
      <c r="U334">
        <v>356756.75675675698</v>
      </c>
      <c r="V334">
        <v>2885855.8558558552</v>
      </c>
      <c r="W334">
        <v>615</v>
      </c>
      <c r="X334">
        <v>496</v>
      </c>
    </row>
    <row r="335" spans="1:24">
      <c r="A335" s="7" t="s">
        <v>430</v>
      </c>
      <c r="B335" s="16" t="s">
        <v>283</v>
      </c>
      <c r="C335">
        <v>33981040.63335897</v>
      </c>
      <c r="D335">
        <v>38772962.283089869</v>
      </c>
      <c r="E335">
        <v>121417818.91891891</v>
      </c>
      <c r="F335">
        <v>214858250.45045045</v>
      </c>
      <c r="G335">
        <v>5</v>
      </c>
      <c r="H335">
        <v>5</v>
      </c>
      <c r="I335">
        <v>0</v>
      </c>
      <c r="J335">
        <v>1</v>
      </c>
      <c r="M335">
        <v>5</v>
      </c>
      <c r="N335">
        <v>5</v>
      </c>
      <c r="O335">
        <v>15537981.981981982</v>
      </c>
      <c r="P335">
        <v>18975109.009009007</v>
      </c>
      <c r="R335">
        <v>4</v>
      </c>
      <c r="S335">
        <v>2500585.5855855858</v>
      </c>
      <c r="T335">
        <v>3469279.2792792791</v>
      </c>
      <c r="V335">
        <v>173423.423423423</v>
      </c>
      <c r="W335">
        <v>815</v>
      </c>
      <c r="X335">
        <v>745</v>
      </c>
    </row>
    <row r="336" spans="1:24">
      <c r="A336" s="7" t="s">
        <v>431</v>
      </c>
      <c r="B336" s="16" t="s">
        <v>78</v>
      </c>
      <c r="C336">
        <v>230916498.48300874</v>
      </c>
      <c r="D336">
        <v>230377682.92820913</v>
      </c>
      <c r="E336">
        <v>1763963.9639639659</v>
      </c>
      <c r="F336">
        <v>3038738.7387387422</v>
      </c>
      <c r="G336">
        <v>50</v>
      </c>
      <c r="H336">
        <v>192</v>
      </c>
      <c r="I336">
        <v>3</v>
      </c>
      <c r="J336">
        <v>15</v>
      </c>
      <c r="M336">
        <v>58</v>
      </c>
      <c r="N336">
        <v>311</v>
      </c>
      <c r="O336">
        <v>19705405.405405402</v>
      </c>
      <c r="P336">
        <v>22881081.081081085</v>
      </c>
      <c r="Q336">
        <v>96</v>
      </c>
      <c r="R336">
        <v>406</v>
      </c>
      <c r="S336">
        <v>98641828.828828827</v>
      </c>
      <c r="T336">
        <v>102298153.15315315</v>
      </c>
      <c r="U336">
        <v>20680630.630630631</v>
      </c>
      <c r="V336">
        <v>23905315.315315317</v>
      </c>
      <c r="W336">
        <v>6337</v>
      </c>
      <c r="X336">
        <v>6572</v>
      </c>
    </row>
    <row r="337" spans="1:24">
      <c r="A337" s="7" t="s">
        <v>432</v>
      </c>
      <c r="B337" s="16" t="s">
        <v>105</v>
      </c>
      <c r="C337">
        <v>209496876.69259635</v>
      </c>
      <c r="D337">
        <v>208423659.33550897</v>
      </c>
      <c r="E337">
        <v>122522.522522523</v>
      </c>
      <c r="F337">
        <v>539639.63963963895</v>
      </c>
      <c r="G337">
        <v>55</v>
      </c>
      <c r="H337">
        <v>21</v>
      </c>
      <c r="I337">
        <v>4</v>
      </c>
      <c r="J337">
        <v>2</v>
      </c>
      <c r="M337">
        <v>83</v>
      </c>
      <c r="N337">
        <v>32</v>
      </c>
      <c r="O337">
        <v>26332072.072072074</v>
      </c>
      <c r="P337">
        <v>24244819.819819819</v>
      </c>
      <c r="Q337">
        <v>81</v>
      </c>
      <c r="R337">
        <v>98</v>
      </c>
      <c r="S337">
        <v>48579176.576576576</v>
      </c>
      <c r="T337">
        <v>49634837.837837838</v>
      </c>
      <c r="U337">
        <v>24931801.801801801</v>
      </c>
      <c r="V337">
        <v>25885990.990990993</v>
      </c>
      <c r="W337">
        <v>3906</v>
      </c>
      <c r="X337">
        <v>3656</v>
      </c>
    </row>
    <row r="338" spans="1:24">
      <c r="A338" s="7" t="s">
        <v>433</v>
      </c>
      <c r="B338" s="16" t="s">
        <v>72</v>
      </c>
      <c r="C338">
        <v>1159591427.7900417</v>
      </c>
      <c r="D338">
        <v>1114138182.803185</v>
      </c>
      <c r="E338">
        <v>3054504.5045045149</v>
      </c>
      <c r="F338">
        <v>6996846.8468468618</v>
      </c>
      <c r="G338">
        <v>308</v>
      </c>
      <c r="H338">
        <v>306</v>
      </c>
      <c r="I338">
        <v>70</v>
      </c>
      <c r="J338">
        <v>74</v>
      </c>
      <c r="K338">
        <v>1</v>
      </c>
      <c r="M338">
        <v>422</v>
      </c>
      <c r="N338">
        <v>459</v>
      </c>
      <c r="O338">
        <v>168050000</v>
      </c>
      <c r="P338">
        <v>164600450.45045045</v>
      </c>
      <c r="Q338">
        <v>266</v>
      </c>
      <c r="R338">
        <v>730</v>
      </c>
      <c r="S338">
        <v>240662868.46846849</v>
      </c>
      <c r="T338">
        <v>234616277.02702704</v>
      </c>
      <c r="U338">
        <v>128038104.5045045</v>
      </c>
      <c r="V338">
        <v>122202882.88288288</v>
      </c>
      <c r="W338">
        <v>18237</v>
      </c>
      <c r="X338">
        <v>18370</v>
      </c>
    </row>
    <row r="339" spans="1:24">
      <c r="A339" s="7" t="s">
        <v>434</v>
      </c>
      <c r="B339" s="16" t="s">
        <v>72</v>
      </c>
      <c r="C339">
        <v>803598934.66133189</v>
      </c>
      <c r="D339">
        <v>763087291.539855</v>
      </c>
      <c r="E339">
        <v>3168468.468468471</v>
      </c>
      <c r="F339">
        <v>4484909.9099099189</v>
      </c>
      <c r="G339">
        <v>165</v>
      </c>
      <c r="H339">
        <v>168</v>
      </c>
      <c r="I339">
        <v>17</v>
      </c>
      <c r="J339">
        <v>22</v>
      </c>
      <c r="K339">
        <v>3</v>
      </c>
      <c r="M339">
        <v>180</v>
      </c>
      <c r="N339">
        <v>212</v>
      </c>
      <c r="O339">
        <v>92026936.936936945</v>
      </c>
      <c r="P339">
        <v>84842342.342342332</v>
      </c>
      <c r="Q339">
        <v>211</v>
      </c>
      <c r="R339">
        <v>112</v>
      </c>
      <c r="S339">
        <v>143571716.21621621</v>
      </c>
      <c r="T339">
        <v>143839162.16216215</v>
      </c>
      <c r="U339">
        <v>69230270.270270273</v>
      </c>
      <c r="V339">
        <v>62299819.819819823</v>
      </c>
      <c r="W339">
        <v>13608</v>
      </c>
      <c r="X339">
        <v>13468</v>
      </c>
    </row>
    <row r="340" spans="1:24">
      <c r="A340" s="7" t="s">
        <v>435</v>
      </c>
      <c r="B340" s="16" t="s">
        <v>94</v>
      </c>
      <c r="C340">
        <v>60484259.190535732</v>
      </c>
      <c r="D340">
        <v>53775314.350348912</v>
      </c>
      <c r="E340">
        <v>900.900900901</v>
      </c>
      <c r="F340">
        <v>13513.513513514001</v>
      </c>
      <c r="G340">
        <v>12</v>
      </c>
      <c r="H340">
        <v>3</v>
      </c>
      <c r="I340">
        <v>0</v>
      </c>
      <c r="J340">
        <v>0</v>
      </c>
      <c r="M340">
        <v>13</v>
      </c>
      <c r="N340">
        <v>3</v>
      </c>
      <c r="O340">
        <v>991891.89189189195</v>
      </c>
      <c r="P340">
        <v>554054.05405405397</v>
      </c>
      <c r="S340">
        <v>13868333.333333332</v>
      </c>
      <c r="T340">
        <v>13255873.873873875</v>
      </c>
      <c r="U340">
        <v>361351.35135135101</v>
      </c>
      <c r="V340">
        <v>381801.80180180201</v>
      </c>
      <c r="W340">
        <v>903</v>
      </c>
      <c r="X340">
        <v>880</v>
      </c>
    </row>
    <row r="341" spans="1:24">
      <c r="A341" s="7" t="s">
        <v>436</v>
      </c>
      <c r="B341" s="16" t="s">
        <v>89</v>
      </c>
      <c r="C341">
        <v>273731229.42597044</v>
      </c>
      <c r="D341">
        <v>279108067.6902895</v>
      </c>
      <c r="E341">
        <v>3052207.2072072099</v>
      </c>
      <c r="F341">
        <v>3713513.5135135208</v>
      </c>
      <c r="G341">
        <v>64</v>
      </c>
      <c r="H341">
        <v>77</v>
      </c>
      <c r="I341">
        <v>14</v>
      </c>
      <c r="J341">
        <v>25</v>
      </c>
      <c r="K341">
        <v>1</v>
      </c>
      <c r="M341">
        <v>65</v>
      </c>
      <c r="N341">
        <v>90</v>
      </c>
      <c r="O341">
        <v>38335225.225225225</v>
      </c>
      <c r="P341">
        <v>36734054.054054059</v>
      </c>
      <c r="Q341">
        <v>220</v>
      </c>
      <c r="R341">
        <v>135</v>
      </c>
      <c r="S341">
        <v>118557342.34234233</v>
      </c>
      <c r="T341">
        <v>127449454.95495497</v>
      </c>
      <c r="U341">
        <v>36149639.639639638</v>
      </c>
      <c r="V341">
        <v>37534504.504504502</v>
      </c>
      <c r="W341">
        <v>5001</v>
      </c>
      <c r="X341">
        <v>6704</v>
      </c>
    </row>
    <row r="342" spans="1:24">
      <c r="A342" s="7" t="s">
        <v>437</v>
      </c>
      <c r="B342" s="16" t="s">
        <v>70</v>
      </c>
      <c r="C342">
        <v>9311351.6525916364</v>
      </c>
      <c r="D342">
        <v>8713717.0345311277</v>
      </c>
      <c r="G342">
        <v>18</v>
      </c>
      <c r="H342">
        <v>6</v>
      </c>
      <c r="M342">
        <v>18</v>
      </c>
      <c r="N342">
        <v>8</v>
      </c>
      <c r="S342">
        <v>5474864.8648648653</v>
      </c>
      <c r="T342">
        <v>5918189.1891891891</v>
      </c>
      <c r="W342">
        <v>1163</v>
      </c>
      <c r="X342">
        <v>1140</v>
      </c>
    </row>
    <row r="343" spans="1:24">
      <c r="A343" s="7" t="s">
        <v>438</v>
      </c>
      <c r="B343" s="16" t="s">
        <v>195</v>
      </c>
      <c r="C343">
        <v>1364908411.2843137</v>
      </c>
      <c r="D343">
        <v>1323772709.9518187</v>
      </c>
      <c r="E343">
        <v>210456618.91891891</v>
      </c>
      <c r="F343">
        <v>182214674.77477479</v>
      </c>
      <c r="G343">
        <v>386</v>
      </c>
      <c r="H343">
        <v>352</v>
      </c>
      <c r="I343">
        <v>26</v>
      </c>
      <c r="J343">
        <v>22</v>
      </c>
      <c r="M343">
        <v>432</v>
      </c>
      <c r="N343">
        <v>433</v>
      </c>
      <c r="O343">
        <v>117358558.55855855</v>
      </c>
      <c r="P343">
        <v>132329909.90990992</v>
      </c>
      <c r="Q343">
        <v>303</v>
      </c>
      <c r="R343">
        <v>314</v>
      </c>
      <c r="S343">
        <v>214995097.29729727</v>
      </c>
      <c r="T343">
        <v>228699333.33333334</v>
      </c>
      <c r="U343">
        <v>106771981.98198198</v>
      </c>
      <c r="V343">
        <v>108248108.10810812</v>
      </c>
      <c r="W343">
        <v>20827</v>
      </c>
      <c r="X343">
        <v>20537</v>
      </c>
    </row>
    <row r="344" spans="1:24">
      <c r="A344" s="7" t="s">
        <v>439</v>
      </c>
      <c r="B344" s="16" t="s">
        <v>178</v>
      </c>
      <c r="C344">
        <v>668310752.37240183</v>
      </c>
      <c r="D344">
        <v>666713236.15088701</v>
      </c>
      <c r="E344">
        <v>699369.36936937005</v>
      </c>
      <c r="F344">
        <v>4356756.7567567592</v>
      </c>
      <c r="G344">
        <v>167</v>
      </c>
      <c r="H344">
        <v>164</v>
      </c>
      <c r="I344">
        <v>11</v>
      </c>
      <c r="J344">
        <v>46</v>
      </c>
      <c r="K344">
        <v>1</v>
      </c>
      <c r="M344">
        <v>188</v>
      </c>
      <c r="N344">
        <v>222</v>
      </c>
      <c r="O344">
        <v>123789150.45045045</v>
      </c>
      <c r="P344">
        <v>114515080.18018018</v>
      </c>
      <c r="Q344">
        <v>337</v>
      </c>
      <c r="R344">
        <v>244</v>
      </c>
      <c r="S344">
        <v>258668909.90990993</v>
      </c>
      <c r="T344">
        <v>267467572.07207206</v>
      </c>
      <c r="U344">
        <v>106968198.19819821</v>
      </c>
      <c r="V344">
        <v>104464819.81981982</v>
      </c>
      <c r="W344">
        <v>14411</v>
      </c>
      <c r="X344">
        <v>13804</v>
      </c>
    </row>
    <row r="345" spans="1:24">
      <c r="A345" s="7" t="s">
        <v>440</v>
      </c>
      <c r="B345" s="16" t="s">
        <v>78</v>
      </c>
      <c r="C345">
        <v>281333683.6529876</v>
      </c>
      <c r="D345">
        <v>282211942.28654385</v>
      </c>
      <c r="E345">
        <v>2195225.225225226</v>
      </c>
      <c r="F345">
        <v>3695495.4954954982</v>
      </c>
      <c r="G345">
        <v>58</v>
      </c>
      <c r="H345">
        <v>59</v>
      </c>
      <c r="I345">
        <v>6</v>
      </c>
      <c r="J345">
        <v>11</v>
      </c>
      <c r="K345">
        <v>1</v>
      </c>
      <c r="M345">
        <v>69</v>
      </c>
      <c r="N345">
        <v>131</v>
      </c>
      <c r="O345">
        <v>22454684.684684679</v>
      </c>
      <c r="P345">
        <v>26236036.036036037</v>
      </c>
      <c r="Q345">
        <v>104</v>
      </c>
      <c r="R345">
        <v>136</v>
      </c>
      <c r="S345">
        <v>56056288.288288288</v>
      </c>
      <c r="T345">
        <v>57365360.360360362</v>
      </c>
      <c r="U345">
        <v>26456846.846846849</v>
      </c>
      <c r="V345">
        <v>26846936.936936937</v>
      </c>
      <c r="W345">
        <v>5016</v>
      </c>
      <c r="X345">
        <v>5271</v>
      </c>
    </row>
    <row r="346" spans="1:24">
      <c r="A346" s="7" t="s">
        <v>441</v>
      </c>
      <c r="B346" s="16" t="s">
        <v>78</v>
      </c>
      <c r="C346">
        <v>129199119.87620337</v>
      </c>
      <c r="D346">
        <v>119221130.5605807</v>
      </c>
      <c r="E346">
        <v>344144.144144146</v>
      </c>
      <c r="F346">
        <v>2107207.2072072099</v>
      </c>
      <c r="G346">
        <v>32</v>
      </c>
      <c r="H346">
        <v>30</v>
      </c>
      <c r="I346">
        <v>4</v>
      </c>
      <c r="J346">
        <v>11</v>
      </c>
      <c r="M346">
        <v>34</v>
      </c>
      <c r="N346">
        <v>42</v>
      </c>
      <c r="O346">
        <v>15561171.171171172</v>
      </c>
      <c r="P346">
        <v>26776306.306306303</v>
      </c>
      <c r="Q346">
        <v>64</v>
      </c>
      <c r="R346">
        <v>61</v>
      </c>
      <c r="S346">
        <v>26050252.252252251</v>
      </c>
      <c r="T346">
        <v>25861306.306306306</v>
      </c>
      <c r="U346">
        <v>20148828.828828827</v>
      </c>
      <c r="V346">
        <v>24767747.747747749</v>
      </c>
      <c r="W346">
        <v>2317</v>
      </c>
      <c r="X346">
        <v>2281</v>
      </c>
    </row>
    <row r="347" spans="1:24">
      <c r="A347" s="7" t="s">
        <v>442</v>
      </c>
      <c r="B347" s="16" t="s">
        <v>123</v>
      </c>
      <c r="C347">
        <v>1971335.938496409</v>
      </c>
      <c r="D347">
        <v>1854914.554980584</v>
      </c>
      <c r="G347">
        <v>2</v>
      </c>
      <c r="M347">
        <v>3</v>
      </c>
      <c r="S347">
        <v>980990.99099099101</v>
      </c>
      <c r="T347">
        <v>715450.45045044995</v>
      </c>
      <c r="W347">
        <v>417</v>
      </c>
      <c r="X347">
        <v>1</v>
      </c>
    </row>
    <row r="348" spans="1:24">
      <c r="A348" s="7" t="s">
        <v>443</v>
      </c>
      <c r="B348" s="16" t="s">
        <v>140</v>
      </c>
      <c r="C348">
        <v>281037148.17004806</v>
      </c>
      <c r="D348">
        <v>287487434.26318014</v>
      </c>
      <c r="E348">
        <v>1925000</v>
      </c>
      <c r="F348">
        <v>2431981.981981982</v>
      </c>
      <c r="G348">
        <v>24</v>
      </c>
      <c r="H348">
        <v>47</v>
      </c>
      <c r="I348">
        <v>2</v>
      </c>
      <c r="J348">
        <v>8</v>
      </c>
      <c r="K348">
        <v>1</v>
      </c>
      <c r="M348">
        <v>32</v>
      </c>
      <c r="N348">
        <v>96</v>
      </c>
      <c r="O348">
        <v>32771621.62162162</v>
      </c>
      <c r="P348">
        <v>33379639.639639638</v>
      </c>
      <c r="Q348">
        <v>218</v>
      </c>
      <c r="R348">
        <v>98</v>
      </c>
      <c r="S348">
        <v>70826621.621621624</v>
      </c>
      <c r="T348">
        <v>79289099.0990991</v>
      </c>
      <c r="U348">
        <v>29930900.9009009</v>
      </c>
      <c r="V348">
        <v>26939549.54954955</v>
      </c>
      <c r="W348">
        <v>5729</v>
      </c>
      <c r="X348">
        <v>5746</v>
      </c>
    </row>
    <row r="349" spans="1:24">
      <c r="A349" s="7" t="s">
        <v>444</v>
      </c>
      <c r="B349" s="16" t="s">
        <v>76</v>
      </c>
      <c r="C349">
        <v>31537791.922568455</v>
      </c>
      <c r="D349">
        <v>32166421.577979896</v>
      </c>
      <c r="E349">
        <v>175675.675675676</v>
      </c>
      <c r="F349">
        <v>254054.054054054</v>
      </c>
      <c r="G349">
        <v>10</v>
      </c>
      <c r="H349">
        <v>5</v>
      </c>
      <c r="I349">
        <v>1</v>
      </c>
      <c r="J349">
        <v>2</v>
      </c>
      <c r="M349">
        <v>11</v>
      </c>
      <c r="N349">
        <v>7</v>
      </c>
      <c r="O349">
        <v>9130630.6306306329</v>
      </c>
      <c r="P349">
        <v>5258558.558558559</v>
      </c>
      <c r="Q349">
        <v>12</v>
      </c>
      <c r="R349">
        <v>72</v>
      </c>
      <c r="S349">
        <v>6884144.1441441439</v>
      </c>
      <c r="T349">
        <v>7115243.2432432426</v>
      </c>
      <c r="U349">
        <v>6211621.6216216208</v>
      </c>
      <c r="V349">
        <v>4782522.5225225221</v>
      </c>
      <c r="W349">
        <v>607</v>
      </c>
      <c r="X349">
        <v>578</v>
      </c>
    </row>
    <row r="350" spans="1:24">
      <c r="A350" s="7" t="s">
        <v>445</v>
      </c>
      <c r="B350" s="16" t="s">
        <v>89</v>
      </c>
      <c r="C350">
        <v>882962165.47392547</v>
      </c>
      <c r="D350">
        <v>886233715.42845368</v>
      </c>
      <c r="E350">
        <v>421360036.03603601</v>
      </c>
      <c r="F350">
        <v>413574319.81981987</v>
      </c>
      <c r="G350">
        <v>529</v>
      </c>
      <c r="H350">
        <v>376</v>
      </c>
      <c r="I350">
        <v>41</v>
      </c>
      <c r="J350">
        <v>81</v>
      </c>
      <c r="K350">
        <v>5</v>
      </c>
      <c r="M350">
        <v>598</v>
      </c>
      <c r="N350">
        <v>1189</v>
      </c>
      <c r="O350">
        <v>96723513.513513505</v>
      </c>
      <c r="P350">
        <v>281638108.1081081</v>
      </c>
      <c r="Q350">
        <v>648</v>
      </c>
      <c r="R350">
        <v>864</v>
      </c>
      <c r="S350">
        <v>274928720.72072071</v>
      </c>
      <c r="T350">
        <v>294518016.21621621</v>
      </c>
      <c r="U350">
        <v>98112792.792792797</v>
      </c>
      <c r="V350">
        <v>171993243.24324322</v>
      </c>
      <c r="W350">
        <v>16549</v>
      </c>
      <c r="X350">
        <v>16503</v>
      </c>
    </row>
    <row r="351" spans="1:24">
      <c r="A351" s="7" t="s">
        <v>446</v>
      </c>
      <c r="B351" s="16" t="s">
        <v>48</v>
      </c>
      <c r="C351">
        <v>93172631.693523392</v>
      </c>
      <c r="D351">
        <v>87375265.540432587</v>
      </c>
      <c r="E351">
        <v>1103603.6036036049</v>
      </c>
      <c r="F351">
        <v>2136036.036036036</v>
      </c>
      <c r="G351">
        <v>11</v>
      </c>
      <c r="H351">
        <v>7</v>
      </c>
      <c r="I351">
        <v>2</v>
      </c>
      <c r="J351">
        <v>2</v>
      </c>
      <c r="M351">
        <v>12</v>
      </c>
      <c r="N351">
        <v>15</v>
      </c>
      <c r="O351">
        <v>10154054.054054054</v>
      </c>
      <c r="P351">
        <v>20366126.126126129</v>
      </c>
      <c r="R351">
        <v>6</v>
      </c>
      <c r="S351">
        <v>32310225.225225225</v>
      </c>
      <c r="T351">
        <v>30170522.522522524</v>
      </c>
      <c r="U351">
        <v>10395945.945945946</v>
      </c>
      <c r="V351">
        <v>20394144.144144144</v>
      </c>
      <c r="W351">
        <v>1089</v>
      </c>
      <c r="X351">
        <v>1094</v>
      </c>
    </row>
    <row r="352" spans="1:24">
      <c r="A352" s="7" t="s">
        <v>447</v>
      </c>
      <c r="B352" s="16" t="s">
        <v>448</v>
      </c>
      <c r="C352">
        <v>179235151.79853857</v>
      </c>
      <c r="D352">
        <v>177536886.37614739</v>
      </c>
      <c r="E352">
        <v>1134909.909909911</v>
      </c>
      <c r="F352">
        <v>3843243.2432432431</v>
      </c>
      <c r="G352">
        <v>566</v>
      </c>
      <c r="H352">
        <v>92</v>
      </c>
      <c r="I352">
        <v>9</v>
      </c>
      <c r="J352">
        <v>11</v>
      </c>
      <c r="M352">
        <v>587</v>
      </c>
      <c r="N352">
        <v>195</v>
      </c>
      <c r="O352">
        <v>31571396.396396395</v>
      </c>
      <c r="P352">
        <v>15074594.594594596</v>
      </c>
      <c r="Q352">
        <v>482</v>
      </c>
      <c r="R352">
        <v>19</v>
      </c>
      <c r="S352">
        <v>70543783.783783779</v>
      </c>
      <c r="T352">
        <v>71422702.702702701</v>
      </c>
      <c r="U352">
        <v>27685720.72072072</v>
      </c>
      <c r="V352">
        <v>16209369.369369373</v>
      </c>
      <c r="W352">
        <v>5560</v>
      </c>
      <c r="X352">
        <v>5574</v>
      </c>
    </row>
    <row r="353" spans="1:24">
      <c r="A353" s="7" t="s">
        <v>449</v>
      </c>
      <c r="B353" s="16" t="s">
        <v>76</v>
      </c>
      <c r="C353">
        <v>45778350.318691224</v>
      </c>
      <c r="D353">
        <v>41634230.876009934</v>
      </c>
      <c r="E353">
        <v>159459.45945946101</v>
      </c>
      <c r="F353">
        <v>558558.55855855998</v>
      </c>
      <c r="G353">
        <v>17</v>
      </c>
      <c r="H353">
        <v>24</v>
      </c>
      <c r="I353">
        <v>2</v>
      </c>
      <c r="J353">
        <v>6</v>
      </c>
      <c r="M353">
        <v>20</v>
      </c>
      <c r="N353">
        <v>28</v>
      </c>
      <c r="O353">
        <v>11127027.027027028</v>
      </c>
      <c r="P353">
        <v>10530000</v>
      </c>
      <c r="Q353">
        <v>26</v>
      </c>
      <c r="R353">
        <v>13</v>
      </c>
      <c r="S353">
        <v>16498468.468468469</v>
      </c>
      <c r="T353">
        <v>15036709.90990991</v>
      </c>
      <c r="U353">
        <v>8785135.1351351347</v>
      </c>
      <c r="V353">
        <v>9237387.3873873856</v>
      </c>
      <c r="W353">
        <v>1872</v>
      </c>
      <c r="X353">
        <v>1890</v>
      </c>
    </row>
    <row r="354" spans="1:24">
      <c r="A354" s="7" t="s">
        <v>450</v>
      </c>
      <c r="B354" s="16" t="s">
        <v>83</v>
      </c>
      <c r="C354">
        <v>1591716078.1027639</v>
      </c>
      <c r="D354">
        <v>1576112277.5432529</v>
      </c>
      <c r="E354">
        <v>707656939.63963974</v>
      </c>
      <c r="F354">
        <v>635771588.28828824</v>
      </c>
      <c r="G354">
        <v>372</v>
      </c>
      <c r="H354">
        <v>614</v>
      </c>
      <c r="I354">
        <v>35</v>
      </c>
      <c r="J354">
        <v>43</v>
      </c>
      <c r="K354">
        <v>8</v>
      </c>
      <c r="M354">
        <v>531</v>
      </c>
      <c r="N354">
        <v>776</v>
      </c>
      <c r="O354">
        <v>184572702.70270273</v>
      </c>
      <c r="P354">
        <v>196503603.6036036</v>
      </c>
      <c r="Q354">
        <v>339</v>
      </c>
      <c r="R354">
        <v>683</v>
      </c>
      <c r="S354">
        <v>342588702.7027027</v>
      </c>
      <c r="T354">
        <v>343596182.43243247</v>
      </c>
      <c r="U354">
        <v>169299369.36936939</v>
      </c>
      <c r="V354">
        <v>184391486.48648649</v>
      </c>
      <c r="W354">
        <v>31464</v>
      </c>
      <c r="X354">
        <v>31304</v>
      </c>
    </row>
    <row r="355" spans="1:24">
      <c r="A355" s="7" t="s">
        <v>451</v>
      </c>
      <c r="B355" s="16" t="s">
        <v>70</v>
      </c>
      <c r="C355">
        <v>112606915.78068039</v>
      </c>
      <c r="D355">
        <v>104547938.47251175</v>
      </c>
      <c r="E355">
        <v>601126.12612612604</v>
      </c>
      <c r="F355">
        <v>466666.66666666599</v>
      </c>
      <c r="G355">
        <v>23</v>
      </c>
      <c r="H355">
        <v>22</v>
      </c>
      <c r="I355">
        <v>1</v>
      </c>
      <c r="J355">
        <v>1</v>
      </c>
      <c r="M355">
        <v>23</v>
      </c>
      <c r="N355">
        <v>28</v>
      </c>
      <c r="O355">
        <v>2897297.297297297</v>
      </c>
      <c r="P355">
        <v>2850450.4504504511</v>
      </c>
      <c r="R355">
        <v>21</v>
      </c>
      <c r="S355">
        <v>67866081.081081077</v>
      </c>
      <c r="T355">
        <v>64989945.945945941</v>
      </c>
      <c r="U355">
        <v>3338558.558558559</v>
      </c>
      <c r="V355">
        <v>2915945.945945946</v>
      </c>
      <c r="W355">
        <v>2854</v>
      </c>
      <c r="X355">
        <v>2845</v>
      </c>
    </row>
    <row r="356" spans="1:24">
      <c r="A356" s="7" t="s">
        <v>452</v>
      </c>
      <c r="B356" s="16" t="s">
        <v>167</v>
      </c>
      <c r="C356">
        <v>129516269.97084352</v>
      </c>
      <c r="D356">
        <v>125405020.58389468</v>
      </c>
      <c r="E356">
        <v>39639.639639640001</v>
      </c>
      <c r="F356">
        <v>1396396.396396396</v>
      </c>
      <c r="G356">
        <v>13</v>
      </c>
      <c r="H356">
        <v>3</v>
      </c>
      <c r="I356">
        <v>1</v>
      </c>
      <c r="J356">
        <v>0</v>
      </c>
      <c r="K356">
        <v>1</v>
      </c>
      <c r="M356">
        <v>16</v>
      </c>
      <c r="N356">
        <v>4</v>
      </c>
      <c r="O356">
        <v>15650990.990990991</v>
      </c>
      <c r="P356">
        <v>5104954.9549549548</v>
      </c>
      <c r="Q356">
        <v>314</v>
      </c>
      <c r="S356">
        <v>22996801.801801801</v>
      </c>
      <c r="T356">
        <v>24122396.396396395</v>
      </c>
      <c r="U356">
        <v>16455225.225225223</v>
      </c>
      <c r="V356">
        <v>6253333.333333333</v>
      </c>
      <c r="W356">
        <v>2646</v>
      </c>
      <c r="X356">
        <v>2673</v>
      </c>
    </row>
    <row r="357" spans="1:24">
      <c r="A357" s="7" t="s">
        <v>453</v>
      </c>
      <c r="B357" s="16" t="s">
        <v>121</v>
      </c>
      <c r="C357">
        <v>7999560.5157091105</v>
      </c>
      <c r="D357">
        <v>5053364.2760536261</v>
      </c>
      <c r="E357">
        <v>15315.315315315</v>
      </c>
      <c r="F357">
        <v>34234.234234233998</v>
      </c>
      <c r="G357">
        <v>4</v>
      </c>
      <c r="H357">
        <v>2</v>
      </c>
      <c r="I357">
        <v>1</v>
      </c>
      <c r="J357">
        <v>0</v>
      </c>
      <c r="M357">
        <v>4</v>
      </c>
      <c r="N357">
        <v>2</v>
      </c>
      <c r="O357">
        <v>159459.459459459</v>
      </c>
      <c r="P357">
        <v>36036.036036035999</v>
      </c>
      <c r="Q357">
        <v>16</v>
      </c>
      <c r="S357">
        <v>661522.52252252295</v>
      </c>
      <c r="T357">
        <v>483873.87387387402</v>
      </c>
      <c r="U357">
        <v>144144.144144144</v>
      </c>
      <c r="W357">
        <v>145</v>
      </c>
      <c r="X357">
        <v>112</v>
      </c>
    </row>
    <row r="358" spans="1:24">
      <c r="A358" s="7" t="s">
        <v>454</v>
      </c>
      <c r="B358" s="16" t="s">
        <v>224</v>
      </c>
      <c r="C358">
        <v>48086010.930015773</v>
      </c>
      <c r="D358">
        <v>42735203.006953947</v>
      </c>
      <c r="G358">
        <v>2</v>
      </c>
      <c r="H358">
        <v>1</v>
      </c>
      <c r="M358">
        <v>2</v>
      </c>
      <c r="N358">
        <v>2</v>
      </c>
      <c r="R358">
        <v>10</v>
      </c>
      <c r="S358">
        <v>8998243.2432432435</v>
      </c>
      <c r="T358">
        <v>8161657.6576576577</v>
      </c>
      <c r="U358">
        <v>212612.61261261301</v>
      </c>
      <c r="V358">
        <v>168648.64864864899</v>
      </c>
      <c r="W358">
        <v>1311</v>
      </c>
      <c r="X358">
        <v>1675</v>
      </c>
    </row>
    <row r="359" spans="1:24">
      <c r="A359" s="7" t="s">
        <v>455</v>
      </c>
      <c r="B359" s="16" t="s">
        <v>94</v>
      </c>
      <c r="C359">
        <v>51143796.840859555</v>
      </c>
      <c r="D359">
        <v>65903520.240367472</v>
      </c>
      <c r="E359">
        <v>215315.31531531599</v>
      </c>
      <c r="F359">
        <v>554054.05405405501</v>
      </c>
      <c r="G359">
        <v>20</v>
      </c>
      <c r="H359">
        <v>18</v>
      </c>
      <c r="I359">
        <v>4</v>
      </c>
      <c r="J359">
        <v>4</v>
      </c>
      <c r="M359">
        <v>22</v>
      </c>
      <c r="N359">
        <v>21</v>
      </c>
      <c r="O359">
        <v>8400900.9009009004</v>
      </c>
      <c r="P359">
        <v>27213963.963963963</v>
      </c>
      <c r="Q359">
        <v>70</v>
      </c>
      <c r="R359">
        <v>214</v>
      </c>
      <c r="S359">
        <v>10997432.432432432</v>
      </c>
      <c r="T359">
        <v>15346319.819819819</v>
      </c>
      <c r="U359">
        <v>8911081.0810810793</v>
      </c>
      <c r="V359">
        <v>27740090.090090089</v>
      </c>
      <c r="W359">
        <v>1927</v>
      </c>
      <c r="X359">
        <v>1852</v>
      </c>
    </row>
    <row r="360" spans="1:24">
      <c r="A360" s="7" t="s">
        <v>456</v>
      </c>
      <c r="B360" s="16" t="s">
        <v>60</v>
      </c>
      <c r="C360">
        <v>12663449.571727186</v>
      </c>
      <c r="D360">
        <v>9199676.5539033711</v>
      </c>
      <c r="E360">
        <v>300900.900900901</v>
      </c>
      <c r="F360">
        <v>172072.07207207201</v>
      </c>
      <c r="G360">
        <v>8</v>
      </c>
      <c r="H360">
        <v>5</v>
      </c>
      <c r="I360">
        <v>2</v>
      </c>
      <c r="J360">
        <v>1</v>
      </c>
      <c r="M360">
        <v>9</v>
      </c>
      <c r="N360">
        <v>6</v>
      </c>
      <c r="O360">
        <v>2553153.1531531531</v>
      </c>
      <c r="P360">
        <v>1208108.1081081091</v>
      </c>
      <c r="R360">
        <v>15</v>
      </c>
      <c r="S360">
        <v>7516486.4864864871</v>
      </c>
      <c r="T360">
        <v>4090441.441441441</v>
      </c>
      <c r="U360">
        <v>1558018.0180180171</v>
      </c>
      <c r="V360">
        <v>731441.44144144095</v>
      </c>
      <c r="W360">
        <v>704</v>
      </c>
      <c r="X360">
        <v>601</v>
      </c>
    </row>
    <row r="361" spans="1:24">
      <c r="A361" s="7" t="s">
        <v>457</v>
      </c>
      <c r="B361" s="16" t="s">
        <v>214</v>
      </c>
      <c r="C361">
        <v>160285360.10572726</v>
      </c>
      <c r="D361">
        <v>174267649.97423425</v>
      </c>
      <c r="F361">
        <v>410810.810810811</v>
      </c>
      <c r="G361">
        <v>31</v>
      </c>
      <c r="H361">
        <v>26</v>
      </c>
      <c r="J361">
        <v>1</v>
      </c>
      <c r="M361">
        <v>33</v>
      </c>
      <c r="N361">
        <v>41</v>
      </c>
      <c r="O361">
        <v>450450.45045045001</v>
      </c>
      <c r="P361">
        <v>951351.35135135101</v>
      </c>
      <c r="R361">
        <v>7</v>
      </c>
      <c r="S361">
        <v>82776036.036036029</v>
      </c>
      <c r="T361">
        <v>89697801.801801801</v>
      </c>
      <c r="U361">
        <v>432432.43243243202</v>
      </c>
      <c r="V361">
        <v>1759909.9099099101</v>
      </c>
      <c r="W361">
        <v>2981</v>
      </c>
      <c r="X361">
        <v>2930</v>
      </c>
    </row>
    <row r="362" spans="1:24">
      <c r="A362" s="7" t="s">
        <v>458</v>
      </c>
      <c r="B362" s="16" t="s">
        <v>459</v>
      </c>
      <c r="C362">
        <v>718434589.69639206</v>
      </c>
      <c r="D362">
        <v>680217437.62032008</v>
      </c>
      <c r="E362">
        <v>2460855.855855858</v>
      </c>
      <c r="F362">
        <v>17237837.837837853</v>
      </c>
      <c r="G362">
        <v>352</v>
      </c>
      <c r="H362">
        <v>360</v>
      </c>
      <c r="I362">
        <v>35</v>
      </c>
      <c r="J362">
        <v>44</v>
      </c>
      <c r="K362">
        <v>2</v>
      </c>
      <c r="M362">
        <v>442</v>
      </c>
      <c r="N362">
        <v>582</v>
      </c>
      <c r="O362">
        <v>81043153.153153151</v>
      </c>
      <c r="P362">
        <v>250872747.74774775</v>
      </c>
      <c r="Q362">
        <v>886</v>
      </c>
      <c r="R362">
        <v>982</v>
      </c>
      <c r="S362">
        <v>233274423.42342341</v>
      </c>
      <c r="T362">
        <v>242151777.02702704</v>
      </c>
      <c r="U362">
        <v>77276936.936936945</v>
      </c>
      <c r="V362">
        <v>174162477.47747746</v>
      </c>
      <c r="W362">
        <v>25370</v>
      </c>
      <c r="X362">
        <v>25400</v>
      </c>
    </row>
    <row r="363" spans="1:24">
      <c r="A363" s="7" t="s">
        <v>460</v>
      </c>
      <c r="B363" s="16" t="s">
        <v>459</v>
      </c>
      <c r="C363">
        <v>2285529556.2390428</v>
      </c>
      <c r="D363">
        <v>2263025949.6119385</v>
      </c>
      <c r="E363">
        <v>7343423.4234234281</v>
      </c>
      <c r="F363">
        <v>15183783.783783788</v>
      </c>
      <c r="G363">
        <v>646</v>
      </c>
      <c r="H363">
        <v>482</v>
      </c>
      <c r="I363">
        <v>22</v>
      </c>
      <c r="J363">
        <v>33</v>
      </c>
      <c r="K363">
        <v>2</v>
      </c>
      <c r="M363">
        <v>781</v>
      </c>
      <c r="N363">
        <v>817</v>
      </c>
      <c r="O363">
        <v>89269369.369369373</v>
      </c>
      <c r="P363">
        <v>116997432.43243241</v>
      </c>
      <c r="Q363">
        <v>573</v>
      </c>
      <c r="R363">
        <v>766</v>
      </c>
      <c r="S363">
        <v>1404294187.3873873</v>
      </c>
      <c r="T363">
        <v>1440918122.0720723</v>
      </c>
      <c r="U363">
        <v>84925900.9009009</v>
      </c>
      <c r="V363">
        <v>110239594.5945946</v>
      </c>
      <c r="W363">
        <v>31958</v>
      </c>
      <c r="X363">
        <v>30651</v>
      </c>
    </row>
    <row r="364" spans="1:24">
      <c r="A364" s="7" t="s">
        <v>461</v>
      </c>
      <c r="B364" s="16" t="s">
        <v>459</v>
      </c>
      <c r="C364">
        <v>1059678417.3428433</v>
      </c>
      <c r="D364">
        <v>1077059138.6240556</v>
      </c>
      <c r="E364">
        <v>22732224.324324328</v>
      </c>
      <c r="F364">
        <v>27714802.702702705</v>
      </c>
      <c r="G364">
        <v>495</v>
      </c>
      <c r="H364">
        <v>332</v>
      </c>
      <c r="I364">
        <v>21</v>
      </c>
      <c r="J364">
        <v>26</v>
      </c>
      <c r="K364">
        <v>6</v>
      </c>
      <c r="M364">
        <v>634</v>
      </c>
      <c r="N364">
        <v>589</v>
      </c>
      <c r="O364">
        <v>934860947.74774766</v>
      </c>
      <c r="P364">
        <v>893734857.65765762</v>
      </c>
      <c r="Q364">
        <v>663</v>
      </c>
      <c r="R364">
        <v>1621</v>
      </c>
      <c r="S364">
        <v>278159103.6036036</v>
      </c>
      <c r="T364">
        <v>299980518.01801807</v>
      </c>
      <c r="U364">
        <v>899327387.38738739</v>
      </c>
      <c r="V364">
        <v>886793108.10810816</v>
      </c>
      <c r="W364">
        <v>24486</v>
      </c>
      <c r="X364">
        <v>23785</v>
      </c>
    </row>
    <row r="365" spans="1:24">
      <c r="A365" s="7" t="s">
        <v>462</v>
      </c>
      <c r="B365" s="16" t="s">
        <v>459</v>
      </c>
      <c r="C365">
        <v>812948821.18048</v>
      </c>
      <c r="D365">
        <v>783289022.33723259</v>
      </c>
      <c r="E365">
        <v>212607342.34234235</v>
      </c>
      <c r="F365">
        <v>391700180.18018013</v>
      </c>
      <c r="G365">
        <v>274</v>
      </c>
      <c r="H365">
        <v>282</v>
      </c>
      <c r="I365">
        <v>24</v>
      </c>
      <c r="J365">
        <v>21</v>
      </c>
      <c r="K365">
        <v>1</v>
      </c>
      <c r="M365">
        <v>343</v>
      </c>
      <c r="N365">
        <v>375</v>
      </c>
      <c r="O365">
        <v>60707567.567567565</v>
      </c>
      <c r="P365">
        <v>146460270.27027026</v>
      </c>
      <c r="Q365">
        <v>460</v>
      </c>
      <c r="R365">
        <v>514</v>
      </c>
      <c r="S365">
        <v>181383401.8018018</v>
      </c>
      <c r="T365">
        <v>177265207.2072072</v>
      </c>
      <c r="U365">
        <v>53301351.351351351</v>
      </c>
      <c r="V365">
        <v>81854954.954954937</v>
      </c>
      <c r="W365">
        <v>19928</v>
      </c>
      <c r="X365">
        <v>20308</v>
      </c>
    </row>
    <row r="366" spans="1:24">
      <c r="A366" s="7" t="s">
        <v>463</v>
      </c>
      <c r="B366" s="16" t="s">
        <v>459</v>
      </c>
      <c r="C366">
        <v>757757766.32286429</v>
      </c>
      <c r="D366">
        <v>756356368.17132819</v>
      </c>
      <c r="E366">
        <v>1942342.3423423481</v>
      </c>
      <c r="F366">
        <v>14082207.207207212</v>
      </c>
      <c r="G366">
        <v>465</v>
      </c>
      <c r="H366">
        <v>751</v>
      </c>
      <c r="I366">
        <v>34</v>
      </c>
      <c r="J366">
        <v>46</v>
      </c>
      <c r="M366">
        <v>532</v>
      </c>
      <c r="N366">
        <v>1098</v>
      </c>
      <c r="O366">
        <v>56942972.972972974</v>
      </c>
      <c r="P366">
        <v>170356036.03603604</v>
      </c>
      <c r="Q366">
        <v>489</v>
      </c>
      <c r="R366">
        <v>979</v>
      </c>
      <c r="S366">
        <v>285422972.97297299</v>
      </c>
      <c r="T366">
        <v>303746295.04504508</v>
      </c>
      <c r="U366">
        <v>54604774.774774775</v>
      </c>
      <c r="V366">
        <v>145574504.5045045</v>
      </c>
      <c r="W366">
        <v>26709</v>
      </c>
      <c r="X366">
        <v>21541</v>
      </c>
    </row>
    <row r="367" spans="1:24">
      <c r="A367" s="7" t="s">
        <v>464</v>
      </c>
      <c r="B367" s="16" t="s">
        <v>459</v>
      </c>
      <c r="C367">
        <v>849421295.68581307</v>
      </c>
      <c r="D367">
        <v>874830658.63398695</v>
      </c>
      <c r="E367">
        <v>1563930904.5045047</v>
      </c>
      <c r="F367">
        <v>1969639199.0990992</v>
      </c>
      <c r="G367">
        <v>433</v>
      </c>
      <c r="H367">
        <v>318</v>
      </c>
      <c r="I367">
        <v>42</v>
      </c>
      <c r="J367">
        <v>43</v>
      </c>
      <c r="M367">
        <v>505</v>
      </c>
      <c r="N367">
        <v>417</v>
      </c>
      <c r="O367">
        <v>129313333.33333333</v>
      </c>
      <c r="P367">
        <v>123163192.7927928</v>
      </c>
      <c r="Q367">
        <v>1435</v>
      </c>
      <c r="R367">
        <v>1127</v>
      </c>
      <c r="S367">
        <v>373879115.31531531</v>
      </c>
      <c r="T367">
        <v>376907752.7027027</v>
      </c>
      <c r="U367">
        <v>119548378.37837839</v>
      </c>
      <c r="V367">
        <v>119137657.65765767</v>
      </c>
      <c r="W367">
        <v>28014</v>
      </c>
      <c r="X367">
        <v>29404</v>
      </c>
    </row>
    <row r="368" spans="1:24">
      <c r="A368" s="7" t="s">
        <v>465</v>
      </c>
      <c r="B368" s="16" t="s">
        <v>54</v>
      </c>
      <c r="C368">
        <v>60427298.919064879</v>
      </c>
      <c r="D368">
        <v>57026067.495359726</v>
      </c>
      <c r="E368">
        <v>219144.14414414499</v>
      </c>
      <c r="F368">
        <v>850450.45045044995</v>
      </c>
      <c r="G368">
        <v>7</v>
      </c>
      <c r="H368">
        <v>14</v>
      </c>
      <c r="I368">
        <v>1</v>
      </c>
      <c r="J368">
        <v>3</v>
      </c>
      <c r="M368">
        <v>7</v>
      </c>
      <c r="N368">
        <v>26</v>
      </c>
      <c r="O368">
        <v>5358558.5585585581</v>
      </c>
      <c r="P368">
        <v>5934054.0540540554</v>
      </c>
      <c r="Q368">
        <v>55</v>
      </c>
      <c r="R368">
        <v>23</v>
      </c>
      <c r="S368">
        <v>12686126.126126125</v>
      </c>
      <c r="T368">
        <v>12127873.873873875</v>
      </c>
      <c r="U368">
        <v>5621891.8918918921</v>
      </c>
      <c r="V368">
        <v>5624774.774774774</v>
      </c>
      <c r="W368">
        <v>1297</v>
      </c>
      <c r="X368">
        <v>1252</v>
      </c>
    </row>
    <row r="369" spans="1:24">
      <c r="A369" s="7" t="s">
        <v>466</v>
      </c>
      <c r="B369" s="16" t="s">
        <v>87</v>
      </c>
      <c r="C369">
        <v>2451047.4749336629</v>
      </c>
      <c r="D369">
        <v>2172836.3313401109</v>
      </c>
      <c r="S369">
        <v>373873.87387387402</v>
      </c>
      <c r="T369">
        <v>351351.35135135101</v>
      </c>
      <c r="W369">
        <v>84</v>
      </c>
      <c r="X369">
        <v>95</v>
      </c>
    </row>
    <row r="370" spans="1:24">
      <c r="A370" s="7" t="s">
        <v>467</v>
      </c>
      <c r="B370" s="16" t="s">
        <v>143</v>
      </c>
      <c r="C370">
        <v>278482436.96728092</v>
      </c>
      <c r="D370">
        <v>269565207.98843122</v>
      </c>
      <c r="E370">
        <v>71171.171171170994</v>
      </c>
      <c r="F370">
        <v>266666.66666666802</v>
      </c>
      <c r="G370">
        <v>80</v>
      </c>
      <c r="H370">
        <v>55</v>
      </c>
      <c r="I370">
        <v>2</v>
      </c>
      <c r="J370">
        <v>3</v>
      </c>
      <c r="M370">
        <v>85</v>
      </c>
      <c r="N370">
        <v>80</v>
      </c>
      <c r="O370">
        <v>15174774.774774775</v>
      </c>
      <c r="P370">
        <v>15843243.243243244</v>
      </c>
      <c r="Q370">
        <v>48</v>
      </c>
      <c r="R370">
        <v>37</v>
      </c>
      <c r="S370">
        <v>43246457.657657653</v>
      </c>
      <c r="T370">
        <v>42398933.333333336</v>
      </c>
      <c r="U370">
        <v>14683783.783783784</v>
      </c>
      <c r="V370">
        <v>12035045.045045044</v>
      </c>
      <c r="W370">
        <v>5007</v>
      </c>
      <c r="X370">
        <v>4966</v>
      </c>
    </row>
    <row r="371" spans="1:24">
      <c r="A371" s="7" t="s">
        <v>468</v>
      </c>
      <c r="B371" s="16" t="s">
        <v>80</v>
      </c>
      <c r="C371">
        <v>241992977.16803238</v>
      </c>
      <c r="D371">
        <v>234425082.3963933</v>
      </c>
      <c r="E371">
        <v>241216.216216217</v>
      </c>
      <c r="F371">
        <v>85135.135135138</v>
      </c>
      <c r="G371">
        <v>42</v>
      </c>
      <c r="H371">
        <v>38</v>
      </c>
      <c r="I371">
        <v>2</v>
      </c>
      <c r="J371">
        <v>0</v>
      </c>
      <c r="M371">
        <v>46</v>
      </c>
      <c r="N371">
        <v>43</v>
      </c>
      <c r="O371">
        <v>9614324.3243243247</v>
      </c>
      <c r="P371">
        <v>6056306.3063063063</v>
      </c>
      <c r="Q371">
        <v>35</v>
      </c>
      <c r="R371">
        <v>33</v>
      </c>
      <c r="S371">
        <v>92185827.027027026</v>
      </c>
      <c r="T371">
        <v>89167756.756756753</v>
      </c>
      <c r="U371">
        <v>8073513.5135135129</v>
      </c>
      <c r="V371">
        <v>5494414.4144144142</v>
      </c>
      <c r="W371">
        <v>4867</v>
      </c>
      <c r="X371">
        <v>4876</v>
      </c>
    </row>
    <row r="372" spans="1:24">
      <c r="A372" s="7" t="s">
        <v>469</v>
      </c>
      <c r="B372" s="16" t="s">
        <v>470</v>
      </c>
      <c r="C372">
        <v>273697787.55689251</v>
      </c>
      <c r="D372">
        <v>279947387.33481389</v>
      </c>
      <c r="E372">
        <v>1193423.423423423</v>
      </c>
      <c r="F372">
        <v>2010810.8108108109</v>
      </c>
      <c r="G372">
        <v>52</v>
      </c>
      <c r="H372">
        <v>28</v>
      </c>
      <c r="I372">
        <v>1</v>
      </c>
      <c r="J372">
        <v>2</v>
      </c>
      <c r="M372">
        <v>57</v>
      </c>
      <c r="N372">
        <v>31</v>
      </c>
      <c r="O372">
        <v>10401351.351351352</v>
      </c>
      <c r="P372">
        <v>23866216.216216218</v>
      </c>
      <c r="Q372">
        <v>15</v>
      </c>
      <c r="R372">
        <v>46</v>
      </c>
      <c r="S372">
        <v>83727261.261261269</v>
      </c>
      <c r="T372">
        <v>87958277.477477476</v>
      </c>
      <c r="U372">
        <v>10823063.063063068</v>
      </c>
      <c r="V372">
        <v>24858061.261261258</v>
      </c>
      <c r="W372">
        <v>5277</v>
      </c>
      <c r="X372">
        <v>5363</v>
      </c>
    </row>
    <row r="373" spans="1:24">
      <c r="A373" s="7" t="s">
        <v>471</v>
      </c>
      <c r="B373" s="16" t="s">
        <v>470</v>
      </c>
      <c r="C373">
        <v>25763014.07813726</v>
      </c>
      <c r="D373">
        <v>23356308.402119573</v>
      </c>
      <c r="E373">
        <v>162162.16216216201</v>
      </c>
      <c r="F373">
        <v>207207.20720720699</v>
      </c>
      <c r="G373">
        <v>6</v>
      </c>
      <c r="H373">
        <v>1</v>
      </c>
      <c r="I373">
        <v>0</v>
      </c>
      <c r="J373">
        <v>1</v>
      </c>
      <c r="M373">
        <v>6</v>
      </c>
      <c r="N373">
        <v>2</v>
      </c>
      <c r="O373">
        <v>209729.72972973</v>
      </c>
      <c r="P373">
        <v>2765765.7657657661</v>
      </c>
      <c r="Q373">
        <v>3</v>
      </c>
      <c r="R373">
        <v>2</v>
      </c>
      <c r="S373">
        <v>2093333.333333333</v>
      </c>
      <c r="T373">
        <v>2159324.3243243238</v>
      </c>
      <c r="U373">
        <v>178648.64864864899</v>
      </c>
      <c r="V373">
        <v>2895135.1351351351</v>
      </c>
      <c r="W373">
        <v>594</v>
      </c>
      <c r="X373">
        <v>598</v>
      </c>
    </row>
    <row r="374" spans="1:24">
      <c r="A374" s="7" t="s">
        <v>472</v>
      </c>
      <c r="B374" s="16" t="s">
        <v>470</v>
      </c>
      <c r="C374">
        <v>3328521.9587061289</v>
      </c>
      <c r="D374">
        <v>2830216.0637432332</v>
      </c>
      <c r="E374">
        <v>1801.801801802</v>
      </c>
      <c r="F374">
        <v>375675.67567567597</v>
      </c>
      <c r="J374">
        <v>1</v>
      </c>
      <c r="N374">
        <v>1</v>
      </c>
      <c r="O374">
        <v>96936.936936936996</v>
      </c>
      <c r="P374">
        <v>2925225.225225226</v>
      </c>
      <c r="Q374">
        <v>3</v>
      </c>
      <c r="S374">
        <v>516441.44144144101</v>
      </c>
      <c r="T374">
        <v>623243.24324324296</v>
      </c>
      <c r="U374">
        <v>232072.072072073</v>
      </c>
      <c r="V374">
        <v>2703603.6036036038</v>
      </c>
      <c r="W374">
        <v>392</v>
      </c>
      <c r="X374">
        <v>334</v>
      </c>
    </row>
    <row r="375" spans="1:24">
      <c r="A375" s="7" t="s">
        <v>473</v>
      </c>
      <c r="B375" s="16" t="s">
        <v>470</v>
      </c>
      <c r="C375">
        <v>93793284.446181267</v>
      </c>
      <c r="D375">
        <v>98839812.74756065</v>
      </c>
      <c r="E375">
        <v>372072.07207207201</v>
      </c>
      <c r="F375">
        <v>550450.450450451</v>
      </c>
      <c r="G375">
        <v>18</v>
      </c>
      <c r="H375">
        <v>14</v>
      </c>
      <c r="I375">
        <v>2</v>
      </c>
      <c r="J375">
        <v>1</v>
      </c>
      <c r="M375">
        <v>20</v>
      </c>
      <c r="N375">
        <v>15</v>
      </c>
      <c r="O375">
        <v>746486.48648648604</v>
      </c>
      <c r="P375">
        <v>26057207.207207207</v>
      </c>
      <c r="Q375">
        <v>3</v>
      </c>
      <c r="R375">
        <v>4</v>
      </c>
      <c r="S375">
        <v>13300664.864864863</v>
      </c>
      <c r="T375">
        <v>13730306.306306308</v>
      </c>
      <c r="U375">
        <v>7489279.2792792786</v>
      </c>
      <c r="V375">
        <v>20398828.828828827</v>
      </c>
      <c r="W375">
        <v>2341</v>
      </c>
      <c r="X375">
        <v>2178</v>
      </c>
    </row>
    <row r="376" spans="1:24">
      <c r="A376" s="7" t="s">
        <v>474</v>
      </c>
      <c r="B376" s="16" t="s">
        <v>470</v>
      </c>
      <c r="C376">
        <v>134112998.75573568</v>
      </c>
      <c r="D376">
        <v>138676679.20686531</v>
      </c>
      <c r="E376">
        <v>352792.79279279301</v>
      </c>
      <c r="F376">
        <v>1087387.3873873891</v>
      </c>
      <c r="G376">
        <v>23</v>
      </c>
      <c r="H376">
        <v>28</v>
      </c>
      <c r="I376">
        <v>2</v>
      </c>
      <c r="J376">
        <v>3</v>
      </c>
      <c r="M376">
        <v>26</v>
      </c>
      <c r="N376">
        <v>34</v>
      </c>
      <c r="O376">
        <v>4703783.7837837851</v>
      </c>
      <c r="P376">
        <v>10980270.270270269</v>
      </c>
      <c r="Q376">
        <v>6</v>
      </c>
      <c r="R376">
        <v>19</v>
      </c>
      <c r="S376">
        <v>30830270.270270273</v>
      </c>
      <c r="T376">
        <v>30540423.423423424</v>
      </c>
      <c r="U376">
        <v>4117117.1171171181</v>
      </c>
      <c r="V376">
        <v>11250540.540540542</v>
      </c>
      <c r="W376">
        <v>2395</v>
      </c>
      <c r="X376">
        <v>2288</v>
      </c>
    </row>
    <row r="377" spans="1:24">
      <c r="A377" s="7" t="s">
        <v>475</v>
      </c>
      <c r="B377" s="16" t="s">
        <v>470</v>
      </c>
      <c r="C377">
        <v>52127359.42668695</v>
      </c>
      <c r="D377">
        <v>51259846.128439821</v>
      </c>
      <c r="E377">
        <v>9009.0090090089998</v>
      </c>
      <c r="F377">
        <v>345045.04504504602</v>
      </c>
      <c r="G377">
        <v>11</v>
      </c>
      <c r="H377">
        <v>6</v>
      </c>
      <c r="I377">
        <v>2</v>
      </c>
      <c r="J377">
        <v>5</v>
      </c>
      <c r="M377">
        <v>11</v>
      </c>
      <c r="N377">
        <v>6</v>
      </c>
      <c r="O377">
        <v>3899459.4594594608</v>
      </c>
      <c r="P377">
        <v>7444144.1441441448</v>
      </c>
      <c r="S377">
        <v>11569819.819819819</v>
      </c>
      <c r="T377">
        <v>10657403.603603603</v>
      </c>
      <c r="U377">
        <v>3785675.6756756762</v>
      </c>
      <c r="V377">
        <v>6528198.1981981983</v>
      </c>
      <c r="W377">
        <v>1394</v>
      </c>
      <c r="X377">
        <v>1388</v>
      </c>
    </row>
    <row r="378" spans="1:24">
      <c r="A378" s="7" t="s">
        <v>476</v>
      </c>
      <c r="B378" s="16" t="s">
        <v>470</v>
      </c>
      <c r="C378">
        <v>517563305.29879969</v>
      </c>
      <c r="D378">
        <v>527570319.27436101</v>
      </c>
      <c r="E378">
        <v>117569835.13513513</v>
      </c>
      <c r="F378">
        <v>300965919.81981987</v>
      </c>
      <c r="G378">
        <v>192</v>
      </c>
      <c r="H378">
        <v>197</v>
      </c>
      <c r="I378">
        <v>34</v>
      </c>
      <c r="J378">
        <v>53</v>
      </c>
      <c r="M378">
        <v>261</v>
      </c>
      <c r="N378">
        <v>384</v>
      </c>
      <c r="O378">
        <v>121989703.6036036</v>
      </c>
      <c r="P378">
        <v>167148073.87387386</v>
      </c>
      <c r="Q378">
        <v>279</v>
      </c>
      <c r="R378">
        <v>299</v>
      </c>
      <c r="S378">
        <v>128712911.7117117</v>
      </c>
      <c r="T378">
        <v>139036124.32432431</v>
      </c>
      <c r="U378">
        <v>94275855.855855852</v>
      </c>
      <c r="V378">
        <v>142081801.8018018</v>
      </c>
      <c r="W378">
        <v>15883</v>
      </c>
      <c r="X378">
        <v>16021</v>
      </c>
    </row>
    <row r="379" spans="1:24">
      <c r="A379" s="7" t="s">
        <v>477</v>
      </c>
      <c r="B379" s="16" t="s">
        <v>260</v>
      </c>
      <c r="C379">
        <v>652543359.63609195</v>
      </c>
      <c r="D379">
        <v>633558803.31513631</v>
      </c>
      <c r="E379">
        <v>1107297.297297298</v>
      </c>
      <c r="F379">
        <v>2455180.1801801799</v>
      </c>
      <c r="G379">
        <v>120</v>
      </c>
      <c r="H379">
        <v>131</v>
      </c>
      <c r="I379">
        <v>1</v>
      </c>
      <c r="J379">
        <v>6</v>
      </c>
      <c r="M379">
        <v>125</v>
      </c>
      <c r="N379">
        <v>148</v>
      </c>
      <c r="O379">
        <v>86269459.459459454</v>
      </c>
      <c r="P379">
        <v>78320720.720720723</v>
      </c>
      <c r="Q379">
        <v>150</v>
      </c>
      <c r="R379">
        <v>31</v>
      </c>
      <c r="S379">
        <v>164245396.3963964</v>
      </c>
      <c r="T379">
        <v>168277454.95495495</v>
      </c>
      <c r="U379">
        <v>82519819.819819823</v>
      </c>
      <c r="V379">
        <v>77255045.045045033</v>
      </c>
      <c r="W379">
        <v>11803</v>
      </c>
      <c r="X379">
        <v>10748</v>
      </c>
    </row>
    <row r="380" spans="1:24">
      <c r="A380" s="7" t="s">
        <v>478</v>
      </c>
      <c r="B380" s="16" t="s">
        <v>479</v>
      </c>
      <c r="C380">
        <v>52400046.037823007</v>
      </c>
      <c r="D380">
        <v>45399859.373591006</v>
      </c>
      <c r="E380">
        <v>534234.23423423397</v>
      </c>
      <c r="F380">
        <v>667567.56756756897</v>
      </c>
      <c r="G380">
        <v>16</v>
      </c>
      <c r="H380">
        <v>12</v>
      </c>
      <c r="I380">
        <v>1</v>
      </c>
      <c r="J380">
        <v>3</v>
      </c>
      <c r="M380">
        <v>16</v>
      </c>
      <c r="N380">
        <v>15</v>
      </c>
      <c r="O380">
        <v>26830630.630630631</v>
      </c>
      <c r="P380">
        <v>16450900.900900902</v>
      </c>
      <c r="R380">
        <v>10</v>
      </c>
      <c r="S380">
        <v>11957252.252252253</v>
      </c>
      <c r="T380">
        <v>10900855.855855856</v>
      </c>
      <c r="U380">
        <v>27016666.666666668</v>
      </c>
      <c r="V380">
        <v>16370270.270270269</v>
      </c>
      <c r="W380">
        <v>861</v>
      </c>
      <c r="X380">
        <v>812</v>
      </c>
    </row>
    <row r="381" spans="1:24">
      <c r="A381" s="7" t="s">
        <v>480</v>
      </c>
      <c r="B381" s="16" t="s">
        <v>123</v>
      </c>
      <c r="C381">
        <v>344274591.25900847</v>
      </c>
      <c r="D381">
        <v>335971516.18404388</v>
      </c>
      <c r="E381">
        <v>1699549.5495495501</v>
      </c>
      <c r="F381">
        <v>2088288.2882882899</v>
      </c>
      <c r="G381">
        <v>69</v>
      </c>
      <c r="H381">
        <v>68</v>
      </c>
      <c r="I381">
        <v>4</v>
      </c>
      <c r="J381">
        <v>4</v>
      </c>
      <c r="M381">
        <v>78</v>
      </c>
      <c r="N381">
        <v>77</v>
      </c>
      <c r="O381">
        <v>19520630.630630631</v>
      </c>
      <c r="P381">
        <v>13636486.486486487</v>
      </c>
      <c r="Q381">
        <v>53</v>
      </c>
      <c r="R381">
        <v>26</v>
      </c>
      <c r="S381">
        <v>128331702.7027027</v>
      </c>
      <c r="T381">
        <v>126551509.009009</v>
      </c>
      <c r="U381">
        <v>19053873.873873875</v>
      </c>
      <c r="V381">
        <v>12492792.792792792</v>
      </c>
      <c r="W381">
        <v>5551</v>
      </c>
      <c r="X381">
        <v>5632</v>
      </c>
    </row>
    <row r="382" spans="1:24">
      <c r="A382" s="7" t="s">
        <v>481</v>
      </c>
      <c r="B382" s="16" t="s">
        <v>470</v>
      </c>
      <c r="C382">
        <v>28075089.778473035</v>
      </c>
      <c r="D382">
        <v>26521300.617331572</v>
      </c>
      <c r="E382">
        <v>26576.576576577001</v>
      </c>
      <c r="F382">
        <v>94594.594594594993</v>
      </c>
      <c r="G382">
        <v>7</v>
      </c>
      <c r="H382">
        <v>3</v>
      </c>
      <c r="I382">
        <v>2</v>
      </c>
      <c r="J382">
        <v>2</v>
      </c>
      <c r="M382">
        <v>7</v>
      </c>
      <c r="N382">
        <v>4</v>
      </c>
      <c r="O382">
        <v>485135.13513513602</v>
      </c>
      <c r="P382">
        <v>1445945.945945946</v>
      </c>
      <c r="S382">
        <v>3815756.7567567569</v>
      </c>
      <c r="T382">
        <v>3686297.297297297</v>
      </c>
      <c r="U382">
        <v>994324.32432432403</v>
      </c>
      <c r="V382">
        <v>873873.87387387303</v>
      </c>
      <c r="W382">
        <v>634</v>
      </c>
      <c r="X382">
        <v>586</v>
      </c>
    </row>
    <row r="383" spans="1:24">
      <c r="A383" s="7" t="s">
        <v>482</v>
      </c>
      <c r="B383" s="16" t="s">
        <v>167</v>
      </c>
      <c r="C383">
        <v>287805361.65176332</v>
      </c>
      <c r="D383">
        <v>274827993.87633157</v>
      </c>
      <c r="E383">
        <v>381981.98198198201</v>
      </c>
      <c r="F383">
        <v>2708108.1081081098</v>
      </c>
      <c r="G383">
        <v>176</v>
      </c>
      <c r="H383">
        <v>204</v>
      </c>
      <c r="I383">
        <v>15</v>
      </c>
      <c r="J383">
        <v>9</v>
      </c>
      <c r="M383">
        <v>217</v>
      </c>
      <c r="N383">
        <v>314</v>
      </c>
      <c r="O383">
        <v>18543398.198198196</v>
      </c>
      <c r="P383">
        <v>22436072.97297297</v>
      </c>
      <c r="Q383">
        <v>46</v>
      </c>
      <c r="R383">
        <v>59</v>
      </c>
      <c r="S383">
        <v>111603239.63963965</v>
      </c>
      <c r="T383">
        <v>114618054.05405405</v>
      </c>
      <c r="U383">
        <v>19266756.756756753</v>
      </c>
      <c r="V383">
        <v>21738558.558558557</v>
      </c>
      <c r="W383">
        <v>9089</v>
      </c>
      <c r="X383">
        <v>8424</v>
      </c>
    </row>
    <row r="384" spans="1:24">
      <c r="A384" s="7" t="s">
        <v>483</v>
      </c>
      <c r="B384" s="16" t="s">
        <v>167</v>
      </c>
      <c r="C384">
        <v>281186997.41556442</v>
      </c>
      <c r="D384">
        <v>315796557.24787343</v>
      </c>
      <c r="E384">
        <v>504162776.57657659</v>
      </c>
      <c r="F384">
        <v>477448992.7927928</v>
      </c>
      <c r="G384">
        <v>349</v>
      </c>
      <c r="H384">
        <v>409</v>
      </c>
      <c r="I384">
        <v>13</v>
      </c>
      <c r="J384">
        <v>14</v>
      </c>
      <c r="M384">
        <v>465</v>
      </c>
      <c r="N384">
        <v>1297</v>
      </c>
      <c r="O384">
        <v>59543969.369369365</v>
      </c>
      <c r="P384">
        <v>51029054.954954959</v>
      </c>
      <c r="Q384">
        <v>412</v>
      </c>
      <c r="R384">
        <v>39</v>
      </c>
      <c r="S384">
        <v>109598646.84684685</v>
      </c>
      <c r="T384">
        <v>121652552.25225225</v>
      </c>
      <c r="U384">
        <v>56552205.40540541</v>
      </c>
      <c r="V384">
        <v>47391124.324324325</v>
      </c>
      <c r="W384">
        <v>8888</v>
      </c>
      <c r="X384">
        <v>9386</v>
      </c>
    </row>
    <row r="385" spans="1:24">
      <c r="A385" s="7" t="s">
        <v>679</v>
      </c>
      <c r="B385" s="16" t="s">
        <v>181</v>
      </c>
      <c r="E385">
        <v>186528828.82882884</v>
      </c>
      <c r="F385">
        <v>65472972.972972974</v>
      </c>
      <c r="O385">
        <v>14943513.513513515</v>
      </c>
      <c r="P385">
        <v>1806756.7567567569</v>
      </c>
    </row>
    <row r="386" spans="1:24">
      <c r="A386" s="7" t="s">
        <v>484</v>
      </c>
      <c r="B386" s="16" t="s">
        <v>50</v>
      </c>
      <c r="C386">
        <v>194815349.75181687</v>
      </c>
      <c r="D386">
        <v>186803079.66892883</v>
      </c>
      <c r="E386">
        <v>1095135.135135137</v>
      </c>
      <c r="F386">
        <v>2904504.504504506</v>
      </c>
      <c r="G386">
        <v>76</v>
      </c>
      <c r="H386">
        <v>50</v>
      </c>
      <c r="I386">
        <v>9</v>
      </c>
      <c r="J386">
        <v>9</v>
      </c>
      <c r="M386">
        <v>79</v>
      </c>
      <c r="N386">
        <v>58</v>
      </c>
      <c r="O386">
        <v>51487927.927927926</v>
      </c>
      <c r="P386">
        <v>32370630.630630627</v>
      </c>
      <c r="Q386">
        <v>161</v>
      </c>
      <c r="R386">
        <v>54</v>
      </c>
      <c r="S386">
        <v>86620900.9009009</v>
      </c>
      <c r="T386">
        <v>84346772.972972974</v>
      </c>
      <c r="U386">
        <v>51155135.135135137</v>
      </c>
      <c r="V386">
        <v>32976216.216216218</v>
      </c>
      <c r="W386">
        <v>3709</v>
      </c>
      <c r="X386">
        <v>3718</v>
      </c>
    </row>
    <row r="387" spans="1:24">
      <c r="A387" s="7" t="s">
        <v>485</v>
      </c>
      <c r="B387" s="16" t="s">
        <v>134</v>
      </c>
      <c r="C387">
        <v>264591327.76038045</v>
      </c>
      <c r="D387">
        <v>249864306.53191754</v>
      </c>
      <c r="E387">
        <v>890990.99099099205</v>
      </c>
      <c r="F387">
        <v>1912612.612612613</v>
      </c>
      <c r="G387">
        <v>60</v>
      </c>
      <c r="H387">
        <v>41</v>
      </c>
      <c r="I387">
        <v>10</v>
      </c>
      <c r="J387">
        <v>5</v>
      </c>
      <c r="M387">
        <v>67</v>
      </c>
      <c r="N387">
        <v>61</v>
      </c>
      <c r="O387">
        <v>51278378.378378376</v>
      </c>
      <c r="P387">
        <v>38704504.504504502</v>
      </c>
      <c r="Q387">
        <v>129</v>
      </c>
      <c r="R387">
        <v>250</v>
      </c>
      <c r="S387">
        <v>50500765.765765771</v>
      </c>
      <c r="T387">
        <v>48718070.270270273</v>
      </c>
      <c r="U387">
        <v>27028918.918918919</v>
      </c>
      <c r="V387">
        <v>26147657.657657657</v>
      </c>
      <c r="W387">
        <v>4631</v>
      </c>
      <c r="X387">
        <v>4542</v>
      </c>
    </row>
    <row r="388" spans="1:24">
      <c r="A388" s="7" t="s">
        <v>486</v>
      </c>
      <c r="B388" s="16" t="s">
        <v>76</v>
      </c>
      <c r="C388">
        <v>65772964.511767298</v>
      </c>
      <c r="D388">
        <v>53233368.02933576</v>
      </c>
      <c r="E388">
        <v>1963063.0630630639</v>
      </c>
      <c r="F388">
        <v>1220720.7207207209</v>
      </c>
      <c r="G388">
        <v>17</v>
      </c>
      <c r="H388">
        <v>17</v>
      </c>
      <c r="I388">
        <v>2</v>
      </c>
      <c r="J388">
        <v>2</v>
      </c>
      <c r="M388">
        <v>19</v>
      </c>
      <c r="N388">
        <v>17</v>
      </c>
      <c r="O388">
        <v>24625225.225225225</v>
      </c>
      <c r="P388">
        <v>13296486.486486487</v>
      </c>
      <c r="Q388">
        <v>17</v>
      </c>
      <c r="R388">
        <v>38</v>
      </c>
      <c r="S388">
        <v>25152175.675675675</v>
      </c>
      <c r="T388">
        <v>21241870.270270273</v>
      </c>
      <c r="U388">
        <v>23377837.837837838</v>
      </c>
      <c r="V388">
        <v>11252068.468468469</v>
      </c>
      <c r="W388">
        <v>1471</v>
      </c>
      <c r="X388">
        <v>1588</v>
      </c>
    </row>
    <row r="389" spans="1:24">
      <c r="A389" s="7" t="s">
        <v>487</v>
      </c>
      <c r="B389" s="16" t="s">
        <v>307</v>
      </c>
      <c r="C389">
        <v>413519737.84997064</v>
      </c>
      <c r="D389">
        <v>431290707.09126961</v>
      </c>
      <c r="E389">
        <v>1125225.2252252251</v>
      </c>
      <c r="F389">
        <v>4752252.2522522556</v>
      </c>
      <c r="G389">
        <v>173</v>
      </c>
      <c r="H389">
        <v>104</v>
      </c>
      <c r="I389">
        <v>4</v>
      </c>
      <c r="J389">
        <v>9</v>
      </c>
      <c r="M389">
        <v>190</v>
      </c>
      <c r="N389">
        <v>200</v>
      </c>
      <c r="O389">
        <v>65856981.981981985</v>
      </c>
      <c r="P389">
        <v>105559729.72972973</v>
      </c>
      <c r="Q389">
        <v>199</v>
      </c>
      <c r="R389">
        <v>359</v>
      </c>
      <c r="S389">
        <v>170118628.82882884</v>
      </c>
      <c r="T389">
        <v>184091783.78378376</v>
      </c>
      <c r="U389">
        <v>62585585.585585587</v>
      </c>
      <c r="V389">
        <v>97263783.783783779</v>
      </c>
      <c r="W389">
        <v>11412</v>
      </c>
      <c r="X389">
        <v>11104</v>
      </c>
    </row>
    <row r="390" spans="1:24">
      <c r="A390" s="7" t="s">
        <v>680</v>
      </c>
      <c r="B390" s="16" t="s">
        <v>181</v>
      </c>
      <c r="O390">
        <v>864864.86486486497</v>
      </c>
      <c r="P390">
        <v>1019819.81981982</v>
      </c>
    </row>
    <row r="391" spans="1:24">
      <c r="A391" s="7" t="s">
        <v>488</v>
      </c>
      <c r="B391" s="16" t="s">
        <v>315</v>
      </c>
      <c r="C391">
        <v>116558613.29684117</v>
      </c>
      <c r="D391">
        <v>97314731.596750334</v>
      </c>
      <c r="E391">
        <v>621621.62162162201</v>
      </c>
      <c r="F391">
        <v>1367567.5675675671</v>
      </c>
      <c r="G391">
        <v>26</v>
      </c>
      <c r="H391">
        <v>8</v>
      </c>
      <c r="I391">
        <v>6</v>
      </c>
      <c r="J391">
        <v>3</v>
      </c>
      <c r="M391">
        <v>27</v>
      </c>
      <c r="N391">
        <v>9</v>
      </c>
      <c r="O391">
        <v>82237117.117117122</v>
      </c>
      <c r="P391">
        <v>47217927.927927926</v>
      </c>
      <c r="Q391">
        <v>70</v>
      </c>
      <c r="S391">
        <v>49195522.522522517</v>
      </c>
      <c r="T391">
        <v>42076117.117117122</v>
      </c>
      <c r="U391">
        <v>78847747.747747749</v>
      </c>
      <c r="V391">
        <v>40571891.891891889</v>
      </c>
      <c r="W391">
        <v>1714</v>
      </c>
      <c r="X391">
        <v>1577</v>
      </c>
    </row>
    <row r="392" spans="1:24">
      <c r="A392" s="7" t="s">
        <v>489</v>
      </c>
      <c r="B392" s="16" t="s">
        <v>181</v>
      </c>
      <c r="C392">
        <v>240789304.93939784</v>
      </c>
      <c r="D392">
        <v>226554784.0481163</v>
      </c>
      <c r="E392">
        <v>77477.477477480003</v>
      </c>
      <c r="F392">
        <v>1354504.5045045051</v>
      </c>
      <c r="G392">
        <v>121</v>
      </c>
      <c r="H392">
        <v>118</v>
      </c>
      <c r="I392">
        <v>11</v>
      </c>
      <c r="J392">
        <v>9</v>
      </c>
      <c r="M392">
        <v>130</v>
      </c>
      <c r="N392">
        <v>160</v>
      </c>
      <c r="O392">
        <v>22666936.936936941</v>
      </c>
      <c r="P392">
        <v>22962702.702702705</v>
      </c>
      <c r="Q392">
        <v>155</v>
      </c>
      <c r="R392">
        <v>254</v>
      </c>
      <c r="S392">
        <v>64277594.59459459</v>
      </c>
      <c r="T392">
        <v>66902459.459459454</v>
      </c>
      <c r="U392">
        <v>22701531.531531535</v>
      </c>
      <c r="V392">
        <v>22647477.477477476</v>
      </c>
      <c r="W392">
        <v>6673</v>
      </c>
      <c r="X392">
        <v>6597</v>
      </c>
    </row>
    <row r="393" spans="1:24">
      <c r="A393" s="7" t="s">
        <v>490</v>
      </c>
      <c r="B393" s="16" t="s">
        <v>220</v>
      </c>
      <c r="C393">
        <v>139453430.49172843</v>
      </c>
      <c r="D393">
        <v>132014479.67388479</v>
      </c>
      <c r="E393">
        <v>9009.0090090089998</v>
      </c>
      <c r="F393">
        <v>101801.80180180199</v>
      </c>
      <c r="G393">
        <v>48</v>
      </c>
      <c r="H393">
        <v>47</v>
      </c>
      <c r="I393">
        <v>1</v>
      </c>
      <c r="J393">
        <v>2</v>
      </c>
      <c r="M393">
        <v>58</v>
      </c>
      <c r="N393">
        <v>56</v>
      </c>
      <c r="O393">
        <v>4826306.3063063081</v>
      </c>
      <c r="P393">
        <v>2431891.8918918921</v>
      </c>
      <c r="Q393">
        <v>40</v>
      </c>
      <c r="S393">
        <v>35533522.522522517</v>
      </c>
      <c r="T393">
        <v>32884655.855855856</v>
      </c>
      <c r="U393">
        <v>3529459.4594594608</v>
      </c>
      <c r="V393">
        <v>1653063.063063063</v>
      </c>
      <c r="W393">
        <v>3980</v>
      </c>
      <c r="X393">
        <v>3993</v>
      </c>
    </row>
    <row r="394" spans="1:24">
      <c r="A394" s="7" t="s">
        <v>491</v>
      </c>
      <c r="B394" s="16" t="s">
        <v>220</v>
      </c>
      <c r="C394">
        <v>35721961.043489739</v>
      </c>
      <c r="D394">
        <v>44994004.809951313</v>
      </c>
      <c r="E394">
        <v>84480180.180180177</v>
      </c>
      <c r="F394">
        <v>92898198.198198199</v>
      </c>
      <c r="G394">
        <v>30</v>
      </c>
      <c r="H394">
        <v>23</v>
      </c>
      <c r="I394">
        <v>3</v>
      </c>
      <c r="J394">
        <v>1</v>
      </c>
      <c r="M394">
        <v>38</v>
      </c>
      <c r="N394">
        <v>26</v>
      </c>
      <c r="O394">
        <v>89407567.567567572</v>
      </c>
      <c r="P394">
        <v>23013513.513513517</v>
      </c>
      <c r="Q394">
        <v>40</v>
      </c>
      <c r="R394">
        <v>16</v>
      </c>
      <c r="S394">
        <v>11881081.081081079</v>
      </c>
      <c r="T394">
        <v>13393909.90990991</v>
      </c>
      <c r="U394">
        <v>9339459.4594594575</v>
      </c>
      <c r="V394">
        <v>15420810.810810812</v>
      </c>
      <c r="W394">
        <v>1244</v>
      </c>
      <c r="X394">
        <v>1183</v>
      </c>
    </row>
    <row r="395" spans="1:24">
      <c r="A395" s="7" t="s">
        <v>492</v>
      </c>
      <c r="B395" s="16" t="s">
        <v>60</v>
      </c>
      <c r="C395">
        <v>165904356.80130765</v>
      </c>
      <c r="D395">
        <v>149738201.00824448</v>
      </c>
      <c r="E395">
        <v>1177477.4774774809</v>
      </c>
      <c r="F395">
        <v>2854954.9549549608</v>
      </c>
      <c r="G395">
        <v>39</v>
      </c>
      <c r="H395">
        <v>38</v>
      </c>
      <c r="I395">
        <v>9</v>
      </c>
      <c r="J395">
        <v>21</v>
      </c>
      <c r="M395">
        <v>41</v>
      </c>
      <c r="N395">
        <v>84</v>
      </c>
      <c r="O395">
        <v>40182882.882882878</v>
      </c>
      <c r="P395">
        <v>29985315.315315314</v>
      </c>
      <c r="Q395">
        <v>173</v>
      </c>
      <c r="R395">
        <v>82</v>
      </c>
      <c r="S395">
        <v>71279639.639639646</v>
      </c>
      <c r="T395">
        <v>67477927.927927926</v>
      </c>
      <c r="U395">
        <v>35607027.027027026</v>
      </c>
      <c r="V395">
        <v>28772882.882882878</v>
      </c>
      <c r="W395">
        <v>3667</v>
      </c>
      <c r="X395">
        <v>3702</v>
      </c>
    </row>
    <row r="396" spans="1:24">
      <c r="A396" s="7" t="s">
        <v>493</v>
      </c>
      <c r="B396" s="16" t="s">
        <v>448</v>
      </c>
      <c r="C396">
        <v>200436927.72698003</v>
      </c>
      <c r="D396">
        <v>183021501.10785541</v>
      </c>
      <c r="E396">
        <v>113513.513513514</v>
      </c>
      <c r="F396">
        <v>308108.10810811102</v>
      </c>
      <c r="G396">
        <v>109</v>
      </c>
      <c r="H396">
        <v>111</v>
      </c>
      <c r="I396">
        <v>9</v>
      </c>
      <c r="J396">
        <v>2</v>
      </c>
      <c r="M396">
        <v>116</v>
      </c>
      <c r="N396">
        <v>198</v>
      </c>
      <c r="O396">
        <v>51164189.189189181</v>
      </c>
      <c r="P396">
        <v>13420720.72072072</v>
      </c>
      <c r="Q396">
        <v>84</v>
      </c>
      <c r="R396">
        <v>1</v>
      </c>
      <c r="S396">
        <v>72219090.090090096</v>
      </c>
      <c r="T396">
        <v>65994513.513513513</v>
      </c>
      <c r="U396">
        <v>51195540.540540546</v>
      </c>
      <c r="V396">
        <v>13875765.765765768</v>
      </c>
      <c r="W396">
        <v>4840</v>
      </c>
      <c r="X396">
        <v>5031</v>
      </c>
    </row>
    <row r="397" spans="1:24">
      <c r="A397" s="7" t="s">
        <v>7</v>
      </c>
      <c r="B397" s="16" t="s">
        <v>193</v>
      </c>
      <c r="C397">
        <v>145443916.15429062</v>
      </c>
      <c r="D397">
        <v>155084137.39225855</v>
      </c>
      <c r="E397">
        <v>40090.090090090001</v>
      </c>
      <c r="F397">
        <v>403603.603603606</v>
      </c>
      <c r="G397">
        <v>38</v>
      </c>
      <c r="H397">
        <v>39</v>
      </c>
      <c r="I397">
        <v>14</v>
      </c>
      <c r="J397">
        <v>3</v>
      </c>
      <c r="M397">
        <v>40</v>
      </c>
      <c r="N397">
        <v>53</v>
      </c>
      <c r="O397">
        <v>46487837.837837838</v>
      </c>
      <c r="P397">
        <v>28275225.225225225</v>
      </c>
      <c r="Q397">
        <v>252</v>
      </c>
      <c r="R397">
        <v>154</v>
      </c>
      <c r="S397">
        <v>99505657.657657668</v>
      </c>
      <c r="T397">
        <v>108355234.23423424</v>
      </c>
      <c r="U397">
        <v>43550360.360360362</v>
      </c>
      <c r="V397">
        <v>29408918.918918919</v>
      </c>
      <c r="W397">
        <v>4765</v>
      </c>
      <c r="X397">
        <v>5497</v>
      </c>
    </row>
    <row r="398" spans="1:24">
      <c r="A398" s="7" t="s">
        <v>494</v>
      </c>
      <c r="B398" s="16" t="s">
        <v>330</v>
      </c>
      <c r="C398">
        <v>180688915.25648856</v>
      </c>
      <c r="D398">
        <v>176350745.03100529</v>
      </c>
      <c r="E398">
        <v>98198.198198198006</v>
      </c>
      <c r="F398">
        <v>307207.20720720699</v>
      </c>
      <c r="G398">
        <v>83</v>
      </c>
      <c r="H398">
        <v>83</v>
      </c>
      <c r="I398">
        <v>4</v>
      </c>
      <c r="J398">
        <v>3</v>
      </c>
      <c r="M398">
        <v>98</v>
      </c>
      <c r="N398">
        <v>150</v>
      </c>
      <c r="O398">
        <v>10333963.963963963</v>
      </c>
      <c r="P398">
        <v>8597297.2972972989</v>
      </c>
      <c r="Q398">
        <v>124</v>
      </c>
      <c r="R398">
        <v>50</v>
      </c>
      <c r="S398">
        <v>46945369.369369365</v>
      </c>
      <c r="T398">
        <v>43661297.297297299</v>
      </c>
      <c r="U398">
        <v>8548828.8288288284</v>
      </c>
      <c r="V398">
        <v>8142342.3423423423</v>
      </c>
      <c r="W398">
        <v>5743</v>
      </c>
      <c r="X398">
        <v>6195</v>
      </c>
    </row>
    <row r="399" spans="1:24">
      <c r="A399" s="7" t="s">
        <v>495</v>
      </c>
      <c r="B399" s="16" t="s">
        <v>330</v>
      </c>
      <c r="C399">
        <v>314127394.41130739</v>
      </c>
      <c r="D399">
        <v>298419679.41493356</v>
      </c>
      <c r="E399">
        <v>120720.720720721</v>
      </c>
      <c r="F399">
        <v>2151126.1261261292</v>
      </c>
      <c r="G399">
        <v>110</v>
      </c>
      <c r="H399">
        <v>132</v>
      </c>
      <c r="I399">
        <v>7</v>
      </c>
      <c r="J399">
        <v>10</v>
      </c>
      <c r="M399">
        <v>129</v>
      </c>
      <c r="N399">
        <v>163</v>
      </c>
      <c r="O399">
        <v>10004594.594594596</v>
      </c>
      <c r="P399">
        <v>10620540.540540544</v>
      </c>
      <c r="Q399">
        <v>173</v>
      </c>
      <c r="R399">
        <v>61</v>
      </c>
      <c r="S399">
        <v>64648990.990990989</v>
      </c>
      <c r="T399">
        <v>69478833.333333343</v>
      </c>
      <c r="U399">
        <v>9246846.8468468431</v>
      </c>
      <c r="V399">
        <v>10312972.972972972</v>
      </c>
      <c r="W399">
        <v>7470</v>
      </c>
      <c r="X399">
        <v>6753</v>
      </c>
    </row>
    <row r="400" spans="1:24">
      <c r="A400" s="7" t="s">
        <v>496</v>
      </c>
      <c r="B400" s="16" t="s">
        <v>330</v>
      </c>
      <c r="C400">
        <v>315353513.17309803</v>
      </c>
      <c r="D400">
        <v>300266065.20635939</v>
      </c>
      <c r="E400">
        <v>1204279.2792792821</v>
      </c>
      <c r="F400">
        <v>4308783.7837837851</v>
      </c>
      <c r="G400">
        <v>150</v>
      </c>
      <c r="H400">
        <v>143</v>
      </c>
      <c r="I400">
        <v>19</v>
      </c>
      <c r="J400">
        <v>17</v>
      </c>
      <c r="K400">
        <v>1</v>
      </c>
      <c r="M400">
        <v>178</v>
      </c>
      <c r="N400">
        <v>199</v>
      </c>
      <c r="O400">
        <v>96935315.315315306</v>
      </c>
      <c r="P400">
        <v>38929549.54954955</v>
      </c>
      <c r="Q400">
        <v>229</v>
      </c>
      <c r="R400">
        <v>81</v>
      </c>
      <c r="S400">
        <v>67435297.297297299</v>
      </c>
      <c r="T400">
        <v>67812045.045045033</v>
      </c>
      <c r="U400">
        <v>96256216.216216207</v>
      </c>
      <c r="V400">
        <v>40084144.144144148</v>
      </c>
      <c r="W400">
        <v>8461</v>
      </c>
      <c r="X400">
        <v>8210</v>
      </c>
    </row>
    <row r="401" spans="1:24">
      <c r="A401" s="7" t="s">
        <v>497</v>
      </c>
      <c r="B401" s="16" t="s">
        <v>330</v>
      </c>
      <c r="C401">
        <v>1375147646.9994655</v>
      </c>
      <c r="D401">
        <v>1211996563.2708783</v>
      </c>
      <c r="E401">
        <v>913011596.3963964</v>
      </c>
      <c r="F401">
        <v>1013979298.1981982</v>
      </c>
      <c r="G401">
        <v>683</v>
      </c>
      <c r="H401">
        <v>660</v>
      </c>
      <c r="I401">
        <v>40</v>
      </c>
      <c r="J401">
        <v>46</v>
      </c>
      <c r="K401">
        <v>50</v>
      </c>
      <c r="M401">
        <v>1431</v>
      </c>
      <c r="N401">
        <v>1567</v>
      </c>
      <c r="O401">
        <v>344626396.3963964</v>
      </c>
      <c r="P401">
        <v>428317312.61261261</v>
      </c>
      <c r="Q401">
        <v>751</v>
      </c>
      <c r="R401">
        <v>235</v>
      </c>
      <c r="S401">
        <v>389235457.65765768</v>
      </c>
      <c r="T401">
        <v>289980054.05405408</v>
      </c>
      <c r="U401">
        <v>167690630.63063061</v>
      </c>
      <c r="V401">
        <v>191986576.57657659</v>
      </c>
      <c r="W401">
        <v>30880</v>
      </c>
      <c r="X401">
        <v>27936</v>
      </c>
    </row>
    <row r="402" spans="1:24">
      <c r="A402" s="7" t="s">
        <v>498</v>
      </c>
      <c r="B402" s="16" t="s">
        <v>330</v>
      </c>
      <c r="C402">
        <v>1012247812.8507645</v>
      </c>
      <c r="D402">
        <v>936603791.77692485</v>
      </c>
      <c r="E402">
        <v>2034864.864864869</v>
      </c>
      <c r="F402">
        <v>8454054.0540540628</v>
      </c>
      <c r="G402">
        <v>327</v>
      </c>
      <c r="H402">
        <v>345</v>
      </c>
      <c r="I402">
        <v>40</v>
      </c>
      <c r="J402">
        <v>32</v>
      </c>
      <c r="K402">
        <v>1</v>
      </c>
      <c r="M402">
        <v>393</v>
      </c>
      <c r="N402">
        <v>508</v>
      </c>
      <c r="O402">
        <v>188770540.54054055</v>
      </c>
      <c r="P402">
        <v>209500900.9009009</v>
      </c>
      <c r="Q402">
        <v>771</v>
      </c>
      <c r="R402">
        <v>227</v>
      </c>
      <c r="S402">
        <v>257736036.03603604</v>
      </c>
      <c r="T402">
        <v>242985272.52252254</v>
      </c>
      <c r="U402">
        <v>183630540.54054055</v>
      </c>
      <c r="V402">
        <v>203037837.83783782</v>
      </c>
      <c r="W402">
        <v>27159</v>
      </c>
      <c r="X402">
        <v>27042</v>
      </c>
    </row>
    <row r="403" spans="1:24">
      <c r="A403" s="7" t="s">
        <v>499</v>
      </c>
      <c r="B403" s="16" t="s">
        <v>143</v>
      </c>
      <c r="C403">
        <v>419519829.61729497</v>
      </c>
      <c r="D403">
        <v>390767949.12595028</v>
      </c>
      <c r="E403">
        <v>293468.46846847102</v>
      </c>
      <c r="F403">
        <v>2261486.486486488</v>
      </c>
      <c r="G403">
        <v>259</v>
      </c>
      <c r="H403">
        <v>112</v>
      </c>
      <c r="I403">
        <v>19</v>
      </c>
      <c r="J403">
        <v>17</v>
      </c>
      <c r="K403">
        <v>1</v>
      </c>
      <c r="M403">
        <v>282</v>
      </c>
      <c r="N403">
        <v>246</v>
      </c>
      <c r="O403">
        <v>33865585.585585587</v>
      </c>
      <c r="P403">
        <v>36577477.477477483</v>
      </c>
      <c r="Q403">
        <v>193</v>
      </c>
      <c r="R403">
        <v>139</v>
      </c>
      <c r="S403">
        <v>60682636.036036029</v>
      </c>
      <c r="T403">
        <v>60849052.252252258</v>
      </c>
      <c r="U403">
        <v>22999729.729729727</v>
      </c>
      <c r="V403">
        <v>23802252.252252251</v>
      </c>
      <c r="W403">
        <v>8921</v>
      </c>
      <c r="X403">
        <v>8185</v>
      </c>
    </row>
    <row r="404" spans="1:24">
      <c r="A404" s="7" t="s">
        <v>500</v>
      </c>
      <c r="B404" s="16" t="s">
        <v>220</v>
      </c>
      <c r="C404">
        <v>479394007.11384773</v>
      </c>
      <c r="D404">
        <v>465932139.22740489</v>
      </c>
      <c r="E404">
        <v>1465315.3153153199</v>
      </c>
      <c r="F404">
        <v>4873198.1981982021</v>
      </c>
      <c r="G404">
        <v>211</v>
      </c>
      <c r="H404">
        <v>204</v>
      </c>
      <c r="I404">
        <v>31</v>
      </c>
      <c r="J404">
        <v>15</v>
      </c>
      <c r="K404">
        <v>2</v>
      </c>
      <c r="M404">
        <v>256</v>
      </c>
      <c r="N404">
        <v>256</v>
      </c>
      <c r="O404">
        <v>98911711.711711705</v>
      </c>
      <c r="P404">
        <v>169968558.55855855</v>
      </c>
      <c r="Q404">
        <v>752</v>
      </c>
      <c r="R404">
        <v>149</v>
      </c>
      <c r="S404">
        <v>142482927.92792791</v>
      </c>
      <c r="T404">
        <v>143444454.95495495</v>
      </c>
      <c r="U404">
        <v>103703333.33333333</v>
      </c>
      <c r="V404">
        <v>171639459.45945945</v>
      </c>
      <c r="W404">
        <v>12566</v>
      </c>
      <c r="X404">
        <v>12333</v>
      </c>
    </row>
    <row r="405" spans="1:24">
      <c r="A405" s="7" t="s">
        <v>501</v>
      </c>
      <c r="B405" s="16" t="s">
        <v>397</v>
      </c>
      <c r="C405">
        <v>1275047547.0631986</v>
      </c>
      <c r="D405">
        <v>1307008727.1029365</v>
      </c>
      <c r="E405">
        <v>338203660.36036038</v>
      </c>
      <c r="F405">
        <v>123872746.84684685</v>
      </c>
      <c r="G405">
        <v>430</v>
      </c>
      <c r="H405">
        <v>407</v>
      </c>
      <c r="I405">
        <v>29</v>
      </c>
      <c r="J405">
        <v>59</v>
      </c>
      <c r="M405">
        <v>524</v>
      </c>
      <c r="N405">
        <v>530</v>
      </c>
      <c r="O405">
        <v>165130135.13513514</v>
      </c>
      <c r="P405">
        <v>144067342.34234235</v>
      </c>
      <c r="Q405">
        <v>853</v>
      </c>
      <c r="R405">
        <v>446</v>
      </c>
      <c r="S405">
        <v>269844275.67567569</v>
      </c>
      <c r="T405">
        <v>279843025.22522521</v>
      </c>
      <c r="U405">
        <v>150185090.09009007</v>
      </c>
      <c r="V405">
        <v>132832387.38738739</v>
      </c>
      <c r="W405">
        <v>26715</v>
      </c>
      <c r="X405">
        <v>26585</v>
      </c>
    </row>
    <row r="406" spans="1:24">
      <c r="A406" s="7" t="s">
        <v>502</v>
      </c>
      <c r="B406" s="16" t="s">
        <v>70</v>
      </c>
      <c r="C406">
        <v>19750700.686757337</v>
      </c>
      <c r="D406">
        <v>20139926.909577943</v>
      </c>
      <c r="E406">
        <v>77927.927927928002</v>
      </c>
      <c r="F406">
        <v>239639.63963963999</v>
      </c>
      <c r="G406">
        <v>8</v>
      </c>
      <c r="H406">
        <v>9</v>
      </c>
      <c r="I406">
        <v>0</v>
      </c>
      <c r="J406">
        <v>1</v>
      </c>
      <c r="M406">
        <v>9</v>
      </c>
      <c r="N406">
        <v>10</v>
      </c>
      <c r="O406">
        <v>820720.72072072094</v>
      </c>
      <c r="P406">
        <v>969369.36936937005</v>
      </c>
      <c r="Q406">
        <v>1</v>
      </c>
      <c r="R406">
        <v>51</v>
      </c>
      <c r="S406">
        <v>14569864.864864863</v>
      </c>
      <c r="T406">
        <v>14412738.73873874</v>
      </c>
      <c r="U406">
        <v>2287837.8378378372</v>
      </c>
      <c r="V406">
        <v>777297.29729729705</v>
      </c>
      <c r="W406">
        <v>697</v>
      </c>
      <c r="X406">
        <v>714</v>
      </c>
    </row>
    <row r="407" spans="1:24">
      <c r="A407" s="7" t="s">
        <v>503</v>
      </c>
      <c r="B407" s="16" t="s">
        <v>330</v>
      </c>
      <c r="C407">
        <v>549511582.88265073</v>
      </c>
      <c r="D407">
        <v>553221985.90574503</v>
      </c>
      <c r="E407">
        <v>2024324.3243243259</v>
      </c>
      <c r="F407">
        <v>4660135.1351351356</v>
      </c>
      <c r="G407">
        <v>201</v>
      </c>
      <c r="H407">
        <v>184</v>
      </c>
      <c r="I407">
        <v>12</v>
      </c>
      <c r="J407">
        <v>21</v>
      </c>
      <c r="M407">
        <v>268</v>
      </c>
      <c r="N407">
        <v>266</v>
      </c>
      <c r="O407">
        <v>50933873.873873875</v>
      </c>
      <c r="P407">
        <v>60756576.576576568</v>
      </c>
      <c r="Q407">
        <v>364</v>
      </c>
      <c r="R407">
        <v>196</v>
      </c>
      <c r="S407">
        <v>148457627.02702704</v>
      </c>
      <c r="T407">
        <v>166428930.18018019</v>
      </c>
      <c r="U407">
        <v>49506036.036036029</v>
      </c>
      <c r="V407">
        <v>62156846.846846849</v>
      </c>
      <c r="W407">
        <v>15920</v>
      </c>
      <c r="X407">
        <v>16138</v>
      </c>
    </row>
    <row r="408" spans="1:24">
      <c r="A408" s="7" t="s">
        <v>504</v>
      </c>
      <c r="B408" s="16" t="s">
        <v>283</v>
      </c>
      <c r="C408">
        <v>175980360.0159561</v>
      </c>
      <c r="D408">
        <v>167560416.41727975</v>
      </c>
      <c r="E408">
        <v>302702.70270270301</v>
      </c>
      <c r="F408">
        <v>296396.39639639598</v>
      </c>
      <c r="G408">
        <v>61</v>
      </c>
      <c r="H408">
        <v>29</v>
      </c>
      <c r="I408">
        <v>2</v>
      </c>
      <c r="J408">
        <v>2</v>
      </c>
      <c r="M408">
        <v>65</v>
      </c>
      <c r="N408">
        <v>31</v>
      </c>
      <c r="O408">
        <v>8982882.8828828838</v>
      </c>
      <c r="P408">
        <v>14548648.648648648</v>
      </c>
      <c r="Q408">
        <v>50</v>
      </c>
      <c r="R408">
        <v>3</v>
      </c>
      <c r="S408">
        <v>32378603.603603605</v>
      </c>
      <c r="T408">
        <v>29727729.729729727</v>
      </c>
      <c r="U408">
        <v>11033783.783783784</v>
      </c>
      <c r="V408">
        <v>12802522.522522524</v>
      </c>
      <c r="W408">
        <v>3236</v>
      </c>
      <c r="X408">
        <v>3015</v>
      </c>
    </row>
    <row r="409" spans="1:24">
      <c r="A409" s="7" t="s">
        <v>505</v>
      </c>
      <c r="B409" s="16" t="s">
        <v>260</v>
      </c>
      <c r="C409">
        <v>102139539.37682866</v>
      </c>
      <c r="D409">
        <v>103355834.66532743</v>
      </c>
      <c r="E409">
        <v>26135135.135135137</v>
      </c>
      <c r="F409">
        <v>66947747.747747742</v>
      </c>
      <c r="G409">
        <v>3</v>
      </c>
      <c r="H409">
        <v>4</v>
      </c>
      <c r="I409">
        <v>1</v>
      </c>
      <c r="J409">
        <v>1</v>
      </c>
      <c r="K409">
        <v>1</v>
      </c>
      <c r="M409">
        <v>4</v>
      </c>
      <c r="N409">
        <v>5</v>
      </c>
      <c r="O409">
        <v>11897072.072072072</v>
      </c>
      <c r="P409">
        <v>3770720.7207207209</v>
      </c>
      <c r="R409">
        <v>3</v>
      </c>
      <c r="S409">
        <v>23209909.909909911</v>
      </c>
      <c r="T409">
        <v>23176423.423423424</v>
      </c>
      <c r="U409">
        <v>1203603.603603604</v>
      </c>
      <c r="V409">
        <v>1362162.1621621619</v>
      </c>
      <c r="W409">
        <v>2164</v>
      </c>
      <c r="X409">
        <v>2075</v>
      </c>
    </row>
    <row r="410" spans="1:24">
      <c r="A410" s="7" t="s">
        <v>506</v>
      </c>
      <c r="B410" s="16" t="s">
        <v>236</v>
      </c>
      <c r="C410">
        <v>273433991.25088423</v>
      </c>
      <c r="D410">
        <v>255262349.69369054</v>
      </c>
      <c r="E410">
        <v>414954.95495495701</v>
      </c>
      <c r="F410">
        <v>1229279.27927928</v>
      </c>
      <c r="G410">
        <v>84</v>
      </c>
      <c r="H410">
        <v>34</v>
      </c>
      <c r="I410">
        <v>11</v>
      </c>
      <c r="J410">
        <v>15</v>
      </c>
      <c r="M410">
        <v>118</v>
      </c>
      <c r="N410">
        <v>210</v>
      </c>
      <c r="O410">
        <v>48281621.621621624</v>
      </c>
      <c r="P410">
        <v>52227567.567567565</v>
      </c>
      <c r="Q410">
        <v>63</v>
      </c>
      <c r="R410">
        <v>46</v>
      </c>
      <c r="S410">
        <v>61195644.144144148</v>
      </c>
      <c r="T410">
        <v>57857522.522522517</v>
      </c>
      <c r="U410">
        <v>47276756.75675676</v>
      </c>
      <c r="V410">
        <v>50558288.288288288</v>
      </c>
      <c r="W410">
        <v>4567</v>
      </c>
      <c r="X410">
        <v>4452</v>
      </c>
    </row>
    <row r="411" spans="1:24">
      <c r="A411" s="7" t="s">
        <v>507</v>
      </c>
      <c r="B411" s="16" t="s">
        <v>134</v>
      </c>
      <c r="C411">
        <v>42685529.802674018</v>
      </c>
      <c r="D411">
        <v>28796957.033725973</v>
      </c>
      <c r="G411">
        <v>1</v>
      </c>
      <c r="H411">
        <v>1</v>
      </c>
      <c r="I411">
        <v>0</v>
      </c>
      <c r="M411">
        <v>1</v>
      </c>
      <c r="N411">
        <v>2</v>
      </c>
      <c r="O411">
        <v>45045.045045045001</v>
      </c>
      <c r="Q411">
        <v>5</v>
      </c>
      <c r="S411">
        <v>7131441.441441441</v>
      </c>
      <c r="T411">
        <v>5043639.6396396402</v>
      </c>
      <c r="U411">
        <v>45045.045045045001</v>
      </c>
      <c r="W411">
        <v>1303</v>
      </c>
      <c r="X411">
        <v>1204</v>
      </c>
    </row>
    <row r="412" spans="1:24">
      <c r="A412" s="7" t="s">
        <v>508</v>
      </c>
      <c r="B412" s="16" t="s">
        <v>397</v>
      </c>
      <c r="C412">
        <v>274065652.94122833</v>
      </c>
      <c r="D412">
        <v>265722643.08362019</v>
      </c>
      <c r="E412">
        <v>216666.66666666701</v>
      </c>
      <c r="F412">
        <v>1143243.243243244</v>
      </c>
      <c r="G412">
        <v>61</v>
      </c>
      <c r="H412">
        <v>47</v>
      </c>
      <c r="I412">
        <v>3</v>
      </c>
      <c r="J412">
        <v>9</v>
      </c>
      <c r="M412">
        <v>68</v>
      </c>
      <c r="N412">
        <v>74</v>
      </c>
      <c r="O412">
        <v>25046621.621621624</v>
      </c>
      <c r="P412">
        <v>28686936.936936937</v>
      </c>
      <c r="Q412">
        <v>51</v>
      </c>
      <c r="R412">
        <v>219</v>
      </c>
      <c r="S412">
        <v>38752387.387387387</v>
      </c>
      <c r="T412">
        <v>40989018.018018015</v>
      </c>
      <c r="U412">
        <v>21117612.612612613</v>
      </c>
      <c r="V412">
        <v>27221981.981981985</v>
      </c>
      <c r="W412">
        <v>4503</v>
      </c>
      <c r="X412">
        <v>4397</v>
      </c>
    </row>
    <row r="413" spans="1:24">
      <c r="A413" s="7" t="s">
        <v>509</v>
      </c>
      <c r="B413" s="16" t="s">
        <v>134</v>
      </c>
      <c r="C413">
        <v>298431793.69849241</v>
      </c>
      <c r="D413">
        <v>295242624.60357171</v>
      </c>
      <c r="E413">
        <v>1486261.261261262</v>
      </c>
      <c r="F413">
        <v>1568468.468468471</v>
      </c>
      <c r="G413">
        <v>81</v>
      </c>
      <c r="H413">
        <v>66</v>
      </c>
      <c r="I413">
        <v>17</v>
      </c>
      <c r="J413">
        <v>11</v>
      </c>
      <c r="K413">
        <v>2</v>
      </c>
      <c r="M413">
        <v>84</v>
      </c>
      <c r="N413">
        <v>81</v>
      </c>
      <c r="O413">
        <v>38520720.720720723</v>
      </c>
      <c r="P413">
        <v>28221621.62162162</v>
      </c>
      <c r="Q413">
        <v>288</v>
      </c>
      <c r="R413">
        <v>23</v>
      </c>
      <c r="S413">
        <v>54391363.063063063</v>
      </c>
      <c r="T413">
        <v>48472529.279279277</v>
      </c>
      <c r="U413">
        <v>26186306.306306303</v>
      </c>
      <c r="V413">
        <v>22998828.828828823</v>
      </c>
      <c r="W413">
        <v>5463</v>
      </c>
      <c r="X413">
        <v>5520</v>
      </c>
    </row>
    <row r="414" spans="1:24">
      <c r="A414" s="7" t="s">
        <v>510</v>
      </c>
      <c r="B414" s="16" t="s">
        <v>134</v>
      </c>
      <c r="C414">
        <v>819253038.49497545</v>
      </c>
      <c r="D414">
        <v>810779993.63440001</v>
      </c>
      <c r="E414">
        <v>2086441.4414414479</v>
      </c>
      <c r="F414">
        <v>5024324.3243243322</v>
      </c>
      <c r="G414">
        <v>313</v>
      </c>
      <c r="H414">
        <v>150</v>
      </c>
      <c r="I414">
        <v>33</v>
      </c>
      <c r="J414">
        <v>28</v>
      </c>
      <c r="K414">
        <v>10</v>
      </c>
      <c r="M414">
        <v>362</v>
      </c>
      <c r="N414">
        <v>239</v>
      </c>
      <c r="O414">
        <v>64039009.009009011</v>
      </c>
      <c r="P414">
        <v>63557657.657657653</v>
      </c>
      <c r="Q414">
        <v>490</v>
      </c>
      <c r="R414">
        <v>732</v>
      </c>
      <c r="S414">
        <v>100108144.14414415</v>
      </c>
      <c r="T414">
        <v>86025981.981981978</v>
      </c>
      <c r="U414">
        <v>58185765.765765756</v>
      </c>
      <c r="V414">
        <v>59299729.729729727</v>
      </c>
      <c r="W414">
        <v>16577</v>
      </c>
      <c r="X414">
        <v>16399</v>
      </c>
    </row>
    <row r="415" spans="1:24">
      <c r="A415" s="7" t="s">
        <v>8</v>
      </c>
      <c r="B415" s="16" t="s">
        <v>158</v>
      </c>
      <c r="C415">
        <v>216853928.81526959</v>
      </c>
      <c r="D415">
        <v>214264834.88582492</v>
      </c>
      <c r="E415">
        <v>2212612.6126126158</v>
      </c>
      <c r="F415">
        <v>4509009.0090090111</v>
      </c>
      <c r="G415">
        <v>23</v>
      </c>
      <c r="H415">
        <v>19</v>
      </c>
      <c r="I415">
        <v>9</v>
      </c>
      <c r="J415">
        <v>8</v>
      </c>
      <c r="M415">
        <v>25</v>
      </c>
      <c r="N415">
        <v>22</v>
      </c>
      <c r="O415">
        <v>29147297.297297295</v>
      </c>
      <c r="P415">
        <v>42172072.072072074</v>
      </c>
      <c r="Q415">
        <v>96</v>
      </c>
      <c r="R415">
        <v>51</v>
      </c>
      <c r="S415">
        <v>63721657.657657653</v>
      </c>
      <c r="T415">
        <v>63078126.126126125</v>
      </c>
      <c r="U415">
        <v>28885855.855855856</v>
      </c>
      <c r="V415">
        <v>38611261.261261255</v>
      </c>
      <c r="W415">
        <v>3777</v>
      </c>
      <c r="X415">
        <v>3669</v>
      </c>
    </row>
    <row r="416" spans="1:24">
      <c r="A416" s="7" t="s">
        <v>511</v>
      </c>
      <c r="B416" s="16" t="s">
        <v>134</v>
      </c>
      <c r="C416">
        <v>139226369.27854767</v>
      </c>
      <c r="D416">
        <v>156556660.43625069</v>
      </c>
      <c r="E416">
        <v>280180.18018018</v>
      </c>
      <c r="F416">
        <v>563063.06306306296</v>
      </c>
      <c r="G416">
        <v>51</v>
      </c>
      <c r="H416">
        <v>12</v>
      </c>
      <c r="I416">
        <v>4</v>
      </c>
      <c r="J416">
        <v>3</v>
      </c>
      <c r="M416">
        <v>100</v>
      </c>
      <c r="N416">
        <v>14</v>
      </c>
      <c r="O416">
        <v>3298198.1981981988</v>
      </c>
      <c r="P416">
        <v>5968468.4684684686</v>
      </c>
      <c r="Q416">
        <v>30</v>
      </c>
      <c r="S416">
        <v>19515216.216216218</v>
      </c>
      <c r="T416">
        <v>21610738.738738742</v>
      </c>
      <c r="U416">
        <v>4024504.5045045041</v>
      </c>
      <c r="V416">
        <v>4595855.8558558561</v>
      </c>
      <c r="W416">
        <v>3905</v>
      </c>
      <c r="X416">
        <v>3910</v>
      </c>
    </row>
    <row r="417" spans="1:24">
      <c r="A417" s="7" t="s">
        <v>512</v>
      </c>
      <c r="B417" s="16" t="s">
        <v>62</v>
      </c>
      <c r="C417">
        <v>699258586.00119662</v>
      </c>
      <c r="D417">
        <v>679065887.25478888</v>
      </c>
      <c r="E417">
        <v>3636936.9369369391</v>
      </c>
      <c r="F417">
        <v>4536036.0360360416</v>
      </c>
      <c r="G417">
        <v>158</v>
      </c>
      <c r="H417">
        <v>155</v>
      </c>
      <c r="I417">
        <v>4</v>
      </c>
      <c r="J417">
        <v>27</v>
      </c>
      <c r="M417">
        <v>175</v>
      </c>
      <c r="N417">
        <v>275</v>
      </c>
      <c r="O417">
        <v>28061261.261261258</v>
      </c>
      <c r="P417">
        <v>105999369.36936937</v>
      </c>
      <c r="Q417">
        <v>75</v>
      </c>
      <c r="R417">
        <v>203</v>
      </c>
      <c r="S417">
        <v>133500522.52252252</v>
      </c>
      <c r="T417">
        <v>141707802.7027027</v>
      </c>
      <c r="U417">
        <v>27630270.270270273</v>
      </c>
      <c r="V417">
        <v>104447027.02702703</v>
      </c>
      <c r="W417">
        <v>14565</v>
      </c>
      <c r="X417">
        <v>14249</v>
      </c>
    </row>
    <row r="418" spans="1:24">
      <c r="A418" s="7" t="s">
        <v>513</v>
      </c>
      <c r="B418" s="16" t="s">
        <v>117</v>
      </c>
      <c r="C418">
        <v>79622310.669803172</v>
      </c>
      <c r="D418">
        <v>71297478.94007878</v>
      </c>
      <c r="E418">
        <v>15315.315315317001</v>
      </c>
      <c r="F418">
        <v>294594.59459459502</v>
      </c>
      <c r="G418">
        <v>88</v>
      </c>
      <c r="H418">
        <v>31</v>
      </c>
      <c r="I418">
        <v>4</v>
      </c>
      <c r="J418">
        <v>3</v>
      </c>
      <c r="M418">
        <v>89</v>
      </c>
      <c r="N418">
        <v>31</v>
      </c>
      <c r="O418">
        <v>4763243.2432432426</v>
      </c>
      <c r="P418">
        <v>3739009.0090090092</v>
      </c>
      <c r="Q418">
        <v>83</v>
      </c>
      <c r="R418">
        <v>2</v>
      </c>
      <c r="S418">
        <v>37764549.54954955</v>
      </c>
      <c r="T418">
        <v>30401459.459459461</v>
      </c>
      <c r="U418">
        <v>4257387.3873873856</v>
      </c>
      <c r="V418">
        <v>2975315.3153153169</v>
      </c>
      <c r="W418">
        <v>2042</v>
      </c>
      <c r="X418">
        <v>2085</v>
      </c>
    </row>
    <row r="419" spans="1:24">
      <c r="A419" s="7" t="s">
        <v>514</v>
      </c>
      <c r="B419" s="16" t="s">
        <v>304</v>
      </c>
      <c r="C419">
        <v>134897419.2730507</v>
      </c>
      <c r="D419">
        <v>127299986.89131136</v>
      </c>
      <c r="E419">
        <v>298198.19819819799</v>
      </c>
      <c r="F419">
        <v>1590090.0900900899</v>
      </c>
      <c r="G419">
        <v>52</v>
      </c>
      <c r="H419">
        <v>73</v>
      </c>
      <c r="I419">
        <v>6</v>
      </c>
      <c r="J419">
        <v>12</v>
      </c>
      <c r="M419">
        <v>54</v>
      </c>
      <c r="N419">
        <v>76</v>
      </c>
      <c r="O419">
        <v>3676576.576576577</v>
      </c>
      <c r="P419">
        <v>10125675.675675675</v>
      </c>
      <c r="Q419">
        <v>92</v>
      </c>
      <c r="R419">
        <v>15</v>
      </c>
      <c r="S419">
        <v>12399279.27927928</v>
      </c>
      <c r="T419">
        <v>12970855.855855856</v>
      </c>
      <c r="U419">
        <v>4936576.5765765766</v>
      </c>
      <c r="V419">
        <v>10360450.450450452</v>
      </c>
      <c r="W419">
        <v>1496</v>
      </c>
      <c r="X419">
        <v>1485</v>
      </c>
    </row>
    <row r="420" spans="1:24">
      <c r="A420" s="7" t="s">
        <v>515</v>
      </c>
      <c r="B420" s="16" t="s">
        <v>304</v>
      </c>
      <c r="C420">
        <v>39318047.926911861</v>
      </c>
      <c r="D420">
        <v>35039373.430105127</v>
      </c>
      <c r="E420">
        <v>9204864.8648648635</v>
      </c>
      <c r="F420">
        <v>7469369.369369369</v>
      </c>
      <c r="G420">
        <v>12</v>
      </c>
      <c r="H420">
        <v>9</v>
      </c>
      <c r="I420">
        <v>3</v>
      </c>
      <c r="J420">
        <v>7</v>
      </c>
      <c r="M420">
        <v>12</v>
      </c>
      <c r="N420">
        <v>9</v>
      </c>
      <c r="O420">
        <v>4745405.405405404</v>
      </c>
      <c r="P420">
        <v>4358108.1081081079</v>
      </c>
      <c r="Q420">
        <v>10</v>
      </c>
      <c r="R420">
        <v>28</v>
      </c>
      <c r="S420">
        <v>5854909.9099099096</v>
      </c>
      <c r="T420">
        <v>5270324.3243243229</v>
      </c>
      <c r="U420">
        <v>4692072.072072072</v>
      </c>
      <c r="V420">
        <v>3170540.5405405401</v>
      </c>
      <c r="W420">
        <v>598</v>
      </c>
      <c r="X420">
        <v>601</v>
      </c>
    </row>
    <row r="421" spans="1:24">
      <c r="A421" s="7" t="s">
        <v>516</v>
      </c>
      <c r="B421" s="16" t="s">
        <v>304</v>
      </c>
      <c r="C421">
        <v>72362932.865539715</v>
      </c>
      <c r="D421">
        <v>75372898.838685423</v>
      </c>
      <c r="E421">
        <v>23963.963963964001</v>
      </c>
      <c r="F421">
        <v>746846.846846845</v>
      </c>
      <c r="G421">
        <v>33</v>
      </c>
      <c r="H421">
        <v>35</v>
      </c>
      <c r="I421">
        <v>2</v>
      </c>
      <c r="J421">
        <v>14</v>
      </c>
      <c r="M421">
        <v>36</v>
      </c>
      <c r="N421">
        <v>43</v>
      </c>
      <c r="O421">
        <v>5591531.5315315304</v>
      </c>
      <c r="P421">
        <v>4051351.3513513501</v>
      </c>
      <c r="Q421">
        <v>60</v>
      </c>
      <c r="R421">
        <v>25</v>
      </c>
      <c r="S421">
        <v>10276306.306306304</v>
      </c>
      <c r="T421">
        <v>11470144.144144144</v>
      </c>
      <c r="U421">
        <v>4981621.6216216208</v>
      </c>
      <c r="V421">
        <v>3704864.8648648639</v>
      </c>
      <c r="W421">
        <v>1102</v>
      </c>
      <c r="X421">
        <v>2644</v>
      </c>
    </row>
    <row r="422" spans="1:24">
      <c r="A422" s="7" t="s">
        <v>517</v>
      </c>
      <c r="B422" s="16" t="s">
        <v>304</v>
      </c>
      <c r="C422">
        <v>61396755.201944061</v>
      </c>
      <c r="D422">
        <v>58944191.309116773</v>
      </c>
      <c r="E422">
        <v>155855.855855856</v>
      </c>
      <c r="F422">
        <v>94594.594594594993</v>
      </c>
      <c r="G422">
        <v>20</v>
      </c>
      <c r="H422">
        <v>22</v>
      </c>
      <c r="I422">
        <v>3</v>
      </c>
      <c r="J422">
        <v>4</v>
      </c>
      <c r="M422">
        <v>21</v>
      </c>
      <c r="N422">
        <v>24</v>
      </c>
      <c r="O422">
        <v>2245945.945945946</v>
      </c>
      <c r="P422">
        <v>1445945.945945946</v>
      </c>
      <c r="Q422">
        <v>4</v>
      </c>
      <c r="R422">
        <v>5</v>
      </c>
      <c r="S422">
        <v>8017297.297297297</v>
      </c>
      <c r="T422">
        <v>7567333.333333333</v>
      </c>
      <c r="U422">
        <v>1889009.0090090081</v>
      </c>
      <c r="V422">
        <v>1112522.5225225219</v>
      </c>
      <c r="W422">
        <v>928</v>
      </c>
      <c r="X422">
        <v>750</v>
      </c>
    </row>
    <row r="423" spans="1:24">
      <c r="A423" s="7" t="s">
        <v>518</v>
      </c>
      <c r="B423" s="16" t="s">
        <v>448</v>
      </c>
      <c r="C423">
        <v>63452364.759892128</v>
      </c>
      <c r="D423">
        <v>60859725.356320225</v>
      </c>
      <c r="E423">
        <v>262162.162162163</v>
      </c>
      <c r="F423">
        <v>347747.74774774798</v>
      </c>
      <c r="G423">
        <v>36</v>
      </c>
      <c r="H423">
        <v>14</v>
      </c>
      <c r="I423">
        <v>3</v>
      </c>
      <c r="M423">
        <v>46</v>
      </c>
      <c r="N423">
        <v>16</v>
      </c>
      <c r="O423">
        <v>4313963.9639639631</v>
      </c>
      <c r="P423">
        <v>4161711.7117117122</v>
      </c>
      <c r="Q423">
        <v>20</v>
      </c>
      <c r="S423">
        <v>22402954.954954956</v>
      </c>
      <c r="T423">
        <v>20882650.9009009</v>
      </c>
      <c r="U423">
        <v>4228378.3783783773</v>
      </c>
      <c r="V423">
        <v>4552342.3423423423</v>
      </c>
      <c r="W423">
        <v>1649</v>
      </c>
      <c r="X423">
        <v>1819</v>
      </c>
    </row>
    <row r="424" spans="1:24">
      <c r="A424" s="7" t="s">
        <v>519</v>
      </c>
      <c r="B424" s="16" t="s">
        <v>85</v>
      </c>
      <c r="C424">
        <v>187011812.74955702</v>
      </c>
      <c r="D424">
        <v>187845696.61993831</v>
      </c>
      <c r="E424">
        <v>227027.027027028</v>
      </c>
      <c r="F424">
        <v>1414414.4144144149</v>
      </c>
      <c r="G424">
        <v>48</v>
      </c>
      <c r="H424">
        <v>25</v>
      </c>
      <c r="I424">
        <v>6</v>
      </c>
      <c r="J424">
        <v>7</v>
      </c>
      <c r="K424">
        <v>1</v>
      </c>
      <c r="M424">
        <v>55</v>
      </c>
      <c r="N424">
        <v>36</v>
      </c>
      <c r="O424">
        <v>27335135.135135137</v>
      </c>
      <c r="P424">
        <v>38559909.909909911</v>
      </c>
      <c r="Q424">
        <v>49</v>
      </c>
      <c r="R424">
        <v>48</v>
      </c>
      <c r="S424">
        <v>45533108.108108111</v>
      </c>
      <c r="T424">
        <v>46549882.882882878</v>
      </c>
      <c r="U424">
        <v>19018918.918918919</v>
      </c>
      <c r="V424">
        <v>33434097.297297299</v>
      </c>
      <c r="W424">
        <v>3914</v>
      </c>
      <c r="X424">
        <v>4027</v>
      </c>
    </row>
    <row r="425" spans="1:24">
      <c r="A425" s="7" t="s">
        <v>520</v>
      </c>
      <c r="B425" s="16" t="s">
        <v>304</v>
      </c>
      <c r="C425">
        <v>94415336.512892306</v>
      </c>
      <c r="D425">
        <v>96649093.704580009</v>
      </c>
      <c r="E425">
        <v>372072.07207207201</v>
      </c>
      <c r="F425">
        <v>44144.144144143997</v>
      </c>
      <c r="G425">
        <v>44</v>
      </c>
      <c r="H425">
        <v>12</v>
      </c>
      <c r="I425">
        <v>2</v>
      </c>
      <c r="J425">
        <v>5</v>
      </c>
      <c r="M425">
        <v>45</v>
      </c>
      <c r="N425">
        <v>13</v>
      </c>
      <c r="O425">
        <v>7786486.4864864862</v>
      </c>
      <c r="P425">
        <v>5756756.7567567565</v>
      </c>
      <c r="Q425">
        <v>18</v>
      </c>
      <c r="R425">
        <v>8</v>
      </c>
      <c r="S425">
        <v>16235765.765765766</v>
      </c>
      <c r="T425">
        <v>16472761.261261262</v>
      </c>
      <c r="U425">
        <v>3626306.3063063058</v>
      </c>
      <c r="V425">
        <v>2988198.1981981979</v>
      </c>
      <c r="W425">
        <v>1520</v>
      </c>
      <c r="X425">
        <v>1347</v>
      </c>
    </row>
    <row r="426" spans="1:24">
      <c r="A426" s="7" t="s">
        <v>521</v>
      </c>
      <c r="B426" s="16" t="s">
        <v>399</v>
      </c>
      <c r="C426">
        <v>677304298.96249199</v>
      </c>
      <c r="D426">
        <v>660299808.3245281</v>
      </c>
      <c r="E426">
        <v>247437592.7927928</v>
      </c>
      <c r="F426">
        <v>163099826.12612614</v>
      </c>
      <c r="G426">
        <v>344</v>
      </c>
      <c r="H426">
        <v>151</v>
      </c>
      <c r="I426">
        <v>42</v>
      </c>
      <c r="J426">
        <v>44</v>
      </c>
      <c r="K426">
        <v>6</v>
      </c>
      <c r="M426">
        <v>397</v>
      </c>
      <c r="N426">
        <v>640</v>
      </c>
      <c r="O426">
        <v>144006621.62162161</v>
      </c>
      <c r="P426">
        <v>123681306.3063063</v>
      </c>
      <c r="Q426">
        <v>568</v>
      </c>
      <c r="R426">
        <v>981</v>
      </c>
      <c r="S426">
        <v>166535801.8018018</v>
      </c>
      <c r="T426">
        <v>169360468.46846849</v>
      </c>
      <c r="U426">
        <v>119480630.63063063</v>
      </c>
      <c r="V426">
        <v>103248918.91891892</v>
      </c>
      <c r="W426">
        <v>13618</v>
      </c>
      <c r="X426">
        <v>13842</v>
      </c>
    </row>
    <row r="427" spans="1:24">
      <c r="A427" s="7" t="s">
        <v>522</v>
      </c>
      <c r="B427" s="16" t="s">
        <v>143</v>
      </c>
      <c r="C427">
        <v>191444917.14716864</v>
      </c>
      <c r="D427">
        <v>185259082.86196199</v>
      </c>
      <c r="E427">
        <v>292792.792792794</v>
      </c>
      <c r="F427">
        <v>303603.60360360402</v>
      </c>
      <c r="G427">
        <v>37</v>
      </c>
      <c r="H427">
        <v>53</v>
      </c>
      <c r="I427">
        <v>6</v>
      </c>
      <c r="J427">
        <v>2</v>
      </c>
      <c r="M427">
        <v>44</v>
      </c>
      <c r="N427">
        <v>57</v>
      </c>
      <c r="O427">
        <v>12671171.171171172</v>
      </c>
      <c r="P427">
        <v>11564864.864864865</v>
      </c>
      <c r="Q427">
        <v>18</v>
      </c>
      <c r="S427">
        <v>22445846.846846849</v>
      </c>
      <c r="T427">
        <v>23898693.693693697</v>
      </c>
      <c r="U427">
        <v>10550090.090090092</v>
      </c>
      <c r="V427">
        <v>10597387.387387387</v>
      </c>
      <c r="W427">
        <v>2936</v>
      </c>
      <c r="X427">
        <v>2966</v>
      </c>
    </row>
    <row r="428" spans="1:24">
      <c r="A428" s="7" t="s">
        <v>523</v>
      </c>
      <c r="B428" s="16" t="s">
        <v>66</v>
      </c>
      <c r="C428">
        <v>127293881.71781656</v>
      </c>
      <c r="D428">
        <v>130443991.61194342</v>
      </c>
      <c r="E428">
        <v>66306.306306307</v>
      </c>
      <c r="F428">
        <v>3072072.0720720738</v>
      </c>
      <c r="G428">
        <v>36</v>
      </c>
      <c r="H428">
        <v>30</v>
      </c>
      <c r="I428">
        <v>3</v>
      </c>
      <c r="J428">
        <v>4</v>
      </c>
      <c r="K428">
        <v>1</v>
      </c>
      <c r="M428">
        <v>41</v>
      </c>
      <c r="N428">
        <v>34</v>
      </c>
      <c r="O428">
        <v>13665675.675675675</v>
      </c>
      <c r="P428">
        <v>59897297.297297299</v>
      </c>
      <c r="Q428">
        <v>158</v>
      </c>
      <c r="R428">
        <v>12</v>
      </c>
      <c r="S428">
        <v>59873666.666666664</v>
      </c>
      <c r="T428">
        <v>62560945.945945941</v>
      </c>
      <c r="U428">
        <v>13600000</v>
      </c>
      <c r="V428">
        <v>49959909.909909911</v>
      </c>
      <c r="W428">
        <v>3592</v>
      </c>
      <c r="X428">
        <v>3915</v>
      </c>
    </row>
    <row r="429" spans="1:24">
      <c r="A429" s="7" t="s">
        <v>524</v>
      </c>
      <c r="B429" s="16" t="s">
        <v>220</v>
      </c>
      <c r="C429">
        <v>181618509.57031035</v>
      </c>
      <c r="D429">
        <v>167635770.36934853</v>
      </c>
      <c r="E429">
        <v>618018.01801801904</v>
      </c>
      <c r="F429">
        <v>693693.69369369303</v>
      </c>
      <c r="G429">
        <v>66</v>
      </c>
      <c r="H429">
        <v>59</v>
      </c>
      <c r="I429">
        <v>4</v>
      </c>
      <c r="J429">
        <v>2</v>
      </c>
      <c r="M429">
        <v>72</v>
      </c>
      <c r="N429">
        <v>67</v>
      </c>
      <c r="O429">
        <v>10788288.288288288</v>
      </c>
      <c r="P429">
        <v>11513513.513513513</v>
      </c>
      <c r="R429">
        <v>7</v>
      </c>
      <c r="S429">
        <v>44020747.747747742</v>
      </c>
      <c r="T429">
        <v>41865990.990990989</v>
      </c>
      <c r="U429">
        <v>9245585.5855855849</v>
      </c>
      <c r="V429">
        <v>8836486.4864864852</v>
      </c>
      <c r="W429">
        <v>4386</v>
      </c>
      <c r="X429">
        <v>4399</v>
      </c>
    </row>
    <row r="430" spans="1:24">
      <c r="A430" s="7" t="s">
        <v>525</v>
      </c>
      <c r="B430" s="16" t="s">
        <v>413</v>
      </c>
      <c r="C430">
        <v>1927901846.3415844</v>
      </c>
      <c r="D430">
        <v>1849030771.4568493</v>
      </c>
      <c r="E430">
        <v>897003142.34234238</v>
      </c>
      <c r="F430">
        <v>557870010.8108108</v>
      </c>
      <c r="G430">
        <v>412</v>
      </c>
      <c r="H430">
        <v>313</v>
      </c>
      <c r="I430">
        <v>26</v>
      </c>
      <c r="J430">
        <v>62</v>
      </c>
      <c r="M430">
        <v>696</v>
      </c>
      <c r="N430">
        <v>1242</v>
      </c>
      <c r="O430">
        <v>156429695.4954955</v>
      </c>
      <c r="P430">
        <v>145223279.27927929</v>
      </c>
      <c r="Q430">
        <v>1323</v>
      </c>
      <c r="R430">
        <v>774</v>
      </c>
      <c r="S430">
        <v>544440243.24324322</v>
      </c>
      <c r="T430">
        <v>543589968.46846843</v>
      </c>
      <c r="U430">
        <v>148477250.45045042</v>
      </c>
      <c r="V430">
        <v>157309639.63963965</v>
      </c>
      <c r="W430">
        <v>32544</v>
      </c>
      <c r="X430">
        <v>32643</v>
      </c>
    </row>
    <row r="431" spans="1:24">
      <c r="A431" s="7" t="s">
        <v>526</v>
      </c>
      <c r="B431" s="16" t="s">
        <v>413</v>
      </c>
      <c r="C431">
        <v>226909066.55791649</v>
      </c>
      <c r="D431">
        <v>205885826.83554178</v>
      </c>
      <c r="E431">
        <v>18371171.171171173</v>
      </c>
      <c r="F431">
        <v>3998423.4234234239</v>
      </c>
      <c r="G431">
        <v>31</v>
      </c>
      <c r="H431">
        <v>35</v>
      </c>
      <c r="I431">
        <v>1</v>
      </c>
      <c r="J431">
        <v>3</v>
      </c>
      <c r="M431">
        <v>34</v>
      </c>
      <c r="N431">
        <v>42</v>
      </c>
      <c r="O431">
        <v>14405675.675675675</v>
      </c>
      <c r="P431">
        <v>14191759.459459459</v>
      </c>
      <c r="Q431">
        <v>42</v>
      </c>
      <c r="R431">
        <v>30</v>
      </c>
      <c r="S431">
        <v>64545261.261261262</v>
      </c>
      <c r="T431">
        <v>64073405.40540541</v>
      </c>
      <c r="U431">
        <v>10111261.26126126</v>
      </c>
      <c r="V431">
        <v>9960990.9909909908</v>
      </c>
      <c r="W431">
        <v>4669</v>
      </c>
      <c r="X431">
        <v>4612</v>
      </c>
    </row>
    <row r="432" spans="1:24">
      <c r="A432" s="7" t="s">
        <v>661</v>
      </c>
      <c r="B432" s="16" t="s">
        <v>189</v>
      </c>
      <c r="C432">
        <v>3762479.3712841361</v>
      </c>
      <c r="D432">
        <v>720705.06629078998</v>
      </c>
      <c r="G432">
        <v>7</v>
      </c>
      <c r="H432">
        <v>1</v>
      </c>
      <c r="M432">
        <v>7</v>
      </c>
      <c r="N432">
        <v>1</v>
      </c>
      <c r="S432">
        <v>1237837.8378378381</v>
      </c>
      <c r="T432">
        <v>507432.43243243202</v>
      </c>
      <c r="W432">
        <v>126</v>
      </c>
      <c r="X432">
        <v>113</v>
      </c>
    </row>
    <row r="433" spans="1:24">
      <c r="A433" s="7" t="s">
        <v>527</v>
      </c>
      <c r="B433" s="16" t="s">
        <v>147</v>
      </c>
      <c r="C433">
        <v>446185496.5858537</v>
      </c>
      <c r="D433">
        <v>429318953.55454969</v>
      </c>
      <c r="E433">
        <v>78084009.009009004</v>
      </c>
      <c r="F433">
        <v>94095720.720720723</v>
      </c>
      <c r="G433">
        <v>75</v>
      </c>
      <c r="H433">
        <v>132</v>
      </c>
      <c r="I433">
        <v>10</v>
      </c>
      <c r="J433">
        <v>10</v>
      </c>
      <c r="M433">
        <v>89</v>
      </c>
      <c r="N433">
        <v>476</v>
      </c>
      <c r="O433">
        <v>47624324.324324325</v>
      </c>
      <c r="P433">
        <v>121931303.60360362</v>
      </c>
      <c r="Q433">
        <v>242</v>
      </c>
      <c r="R433">
        <v>409</v>
      </c>
      <c r="S433">
        <v>139299720.72072071</v>
      </c>
      <c r="T433">
        <v>155158187.38738739</v>
      </c>
      <c r="U433">
        <v>34545585.585585587</v>
      </c>
      <c r="V433">
        <v>108894594.5945946</v>
      </c>
      <c r="W433">
        <v>10052</v>
      </c>
      <c r="X433">
        <v>9795</v>
      </c>
    </row>
    <row r="434" spans="1:24">
      <c r="A434" s="7" t="s">
        <v>528</v>
      </c>
      <c r="B434" s="16" t="s">
        <v>121</v>
      </c>
      <c r="C434">
        <v>48622782.24753122</v>
      </c>
      <c r="D434">
        <v>47876518.462798484</v>
      </c>
      <c r="E434">
        <v>150225.22522522599</v>
      </c>
      <c r="F434">
        <v>461261.26126126101</v>
      </c>
      <c r="G434">
        <v>27</v>
      </c>
      <c r="H434">
        <v>24</v>
      </c>
      <c r="I434">
        <v>4</v>
      </c>
      <c r="J434">
        <v>3</v>
      </c>
      <c r="M434">
        <v>28</v>
      </c>
      <c r="N434">
        <v>28</v>
      </c>
      <c r="O434">
        <v>2794594.594594595</v>
      </c>
      <c r="P434">
        <v>5321621.6216216218</v>
      </c>
      <c r="Q434">
        <v>13</v>
      </c>
      <c r="R434">
        <v>7</v>
      </c>
      <c r="S434">
        <v>5311531.5315315323</v>
      </c>
      <c r="T434">
        <v>6298436.9369369373</v>
      </c>
      <c r="U434">
        <v>2341531.5315315318</v>
      </c>
      <c r="V434">
        <v>4359279.2792792777</v>
      </c>
      <c r="W434">
        <v>994</v>
      </c>
      <c r="X434">
        <v>990</v>
      </c>
    </row>
    <row r="435" spans="1:24">
      <c r="A435" s="7" t="s">
        <v>529</v>
      </c>
      <c r="B435" s="16" t="s">
        <v>448</v>
      </c>
      <c r="C435">
        <v>114666331.85664812</v>
      </c>
      <c r="D435">
        <v>86381839.657464415</v>
      </c>
      <c r="E435">
        <v>910090.09009009099</v>
      </c>
      <c r="F435">
        <v>415315.31531531701</v>
      </c>
      <c r="G435">
        <v>45</v>
      </c>
      <c r="H435">
        <v>77</v>
      </c>
      <c r="I435">
        <v>1</v>
      </c>
      <c r="J435">
        <v>0</v>
      </c>
      <c r="M435">
        <v>46</v>
      </c>
      <c r="N435">
        <v>148</v>
      </c>
      <c r="O435">
        <v>12116666.666666668</v>
      </c>
      <c r="P435">
        <v>4254054.0540540526</v>
      </c>
      <c r="Q435">
        <v>59</v>
      </c>
      <c r="S435">
        <v>53087594.59459459</v>
      </c>
      <c r="T435">
        <v>42255290.540540546</v>
      </c>
      <c r="U435">
        <v>10593603.603603605</v>
      </c>
      <c r="V435">
        <v>4109639.639639637</v>
      </c>
      <c r="W435">
        <v>2317</v>
      </c>
      <c r="X435">
        <v>2866</v>
      </c>
    </row>
    <row r="436" spans="1:24">
      <c r="A436" s="7" t="s">
        <v>530</v>
      </c>
      <c r="B436" s="16" t="s">
        <v>448</v>
      </c>
      <c r="C436">
        <v>202469872.79734343</v>
      </c>
      <c r="D436">
        <v>202130594.93753839</v>
      </c>
      <c r="E436">
        <v>98198.198198198006</v>
      </c>
      <c r="F436">
        <v>1258558.55855856</v>
      </c>
      <c r="G436">
        <v>193</v>
      </c>
      <c r="H436">
        <v>120</v>
      </c>
      <c r="I436">
        <v>9</v>
      </c>
      <c r="J436">
        <v>8</v>
      </c>
      <c r="M436">
        <v>216</v>
      </c>
      <c r="N436">
        <v>219</v>
      </c>
      <c r="O436">
        <v>51379009.009009011</v>
      </c>
      <c r="P436">
        <v>8404054.0540540554</v>
      </c>
      <c r="Q436">
        <v>240</v>
      </c>
      <c r="R436">
        <v>33</v>
      </c>
      <c r="S436">
        <v>95079369.369369373</v>
      </c>
      <c r="T436">
        <v>96611954.954954967</v>
      </c>
      <c r="U436">
        <v>51732342.342342347</v>
      </c>
      <c r="V436">
        <v>9260810.8108108118</v>
      </c>
      <c r="W436">
        <v>4945</v>
      </c>
      <c r="X436">
        <v>5341</v>
      </c>
    </row>
    <row r="437" spans="1:24">
      <c r="A437" s="7" t="s">
        <v>531</v>
      </c>
      <c r="B437" s="16" t="s">
        <v>123</v>
      </c>
      <c r="C437">
        <v>524373053.85729116</v>
      </c>
      <c r="D437">
        <v>532984756.37161386</v>
      </c>
      <c r="E437">
        <v>156297601.8018018</v>
      </c>
      <c r="F437">
        <v>244861350.45045045</v>
      </c>
      <c r="G437">
        <v>159</v>
      </c>
      <c r="H437">
        <v>326</v>
      </c>
      <c r="I437">
        <v>39</v>
      </c>
      <c r="J437">
        <v>41</v>
      </c>
      <c r="K437">
        <v>7</v>
      </c>
      <c r="M437">
        <v>236</v>
      </c>
      <c r="N437">
        <v>801</v>
      </c>
      <c r="O437">
        <v>149743783.78378376</v>
      </c>
      <c r="P437">
        <v>192830900.9009009</v>
      </c>
      <c r="Q437">
        <v>1578</v>
      </c>
      <c r="R437">
        <v>2784</v>
      </c>
      <c r="S437">
        <v>180425199.0990991</v>
      </c>
      <c r="T437">
        <v>189227309.00900903</v>
      </c>
      <c r="U437">
        <v>157744684.68468466</v>
      </c>
      <c r="V437">
        <v>190371981.98198199</v>
      </c>
      <c r="W437">
        <v>11220</v>
      </c>
      <c r="X437">
        <v>11210</v>
      </c>
    </row>
    <row r="438" spans="1:24">
      <c r="A438" s="7" t="s">
        <v>532</v>
      </c>
      <c r="B438" s="16" t="s">
        <v>85</v>
      </c>
      <c r="C438">
        <v>167200901.92333138</v>
      </c>
      <c r="D438">
        <v>153946300.13816884</v>
      </c>
      <c r="E438">
        <v>342818868.46846849</v>
      </c>
      <c r="F438">
        <v>386687145.04504508</v>
      </c>
      <c r="G438">
        <v>14</v>
      </c>
      <c r="H438">
        <v>17</v>
      </c>
      <c r="I438">
        <v>6</v>
      </c>
      <c r="J438">
        <v>3</v>
      </c>
      <c r="M438">
        <v>15</v>
      </c>
      <c r="N438">
        <v>52</v>
      </c>
      <c r="O438">
        <v>30986486.486486487</v>
      </c>
      <c r="P438">
        <v>54702342.342342347</v>
      </c>
      <c r="Q438">
        <v>27</v>
      </c>
      <c r="R438">
        <v>24</v>
      </c>
      <c r="S438">
        <v>38042837.837837838</v>
      </c>
      <c r="T438">
        <v>33639459.459459461</v>
      </c>
      <c r="U438">
        <v>24884054.054054055</v>
      </c>
      <c r="V438">
        <v>17972432.432432435</v>
      </c>
      <c r="W438">
        <v>3793</v>
      </c>
      <c r="X438">
        <v>3535</v>
      </c>
    </row>
    <row r="439" spans="1:24">
      <c r="A439" s="7" t="s">
        <v>9</v>
      </c>
      <c r="B439" s="16" t="s">
        <v>158</v>
      </c>
      <c r="C439">
        <v>434771736.18643367</v>
      </c>
      <c r="D439">
        <v>417055903.46021897</v>
      </c>
      <c r="E439">
        <v>7288876.5765765822</v>
      </c>
      <c r="F439">
        <v>11229372.97297298</v>
      </c>
      <c r="G439">
        <v>92</v>
      </c>
      <c r="H439">
        <v>64</v>
      </c>
      <c r="I439">
        <v>22</v>
      </c>
      <c r="J439">
        <v>18</v>
      </c>
      <c r="K439">
        <v>4</v>
      </c>
      <c r="M439">
        <v>109</v>
      </c>
      <c r="N439">
        <v>73</v>
      </c>
      <c r="O439">
        <v>670454473.87387395</v>
      </c>
      <c r="P439">
        <v>582118329.72972977</v>
      </c>
      <c r="Q439">
        <v>315</v>
      </c>
      <c r="R439">
        <v>148</v>
      </c>
      <c r="S439">
        <v>156197639.63963965</v>
      </c>
      <c r="T439">
        <v>152327081.08108109</v>
      </c>
      <c r="U439">
        <v>564034864.86486495</v>
      </c>
      <c r="V439">
        <v>501525405.4054054</v>
      </c>
      <c r="W439">
        <v>6993</v>
      </c>
      <c r="X439">
        <v>7240</v>
      </c>
    </row>
    <row r="440" spans="1:24">
      <c r="A440" s="7" t="s">
        <v>533</v>
      </c>
      <c r="B440" s="16" t="s">
        <v>94</v>
      </c>
      <c r="C440">
        <v>419564887.59680194</v>
      </c>
      <c r="D440">
        <v>399920503.20811933</v>
      </c>
      <c r="E440">
        <v>278378.37837837997</v>
      </c>
      <c r="F440">
        <v>1345045.0450450501</v>
      </c>
      <c r="G440">
        <v>73</v>
      </c>
      <c r="H440">
        <v>83</v>
      </c>
      <c r="I440">
        <v>12</v>
      </c>
      <c r="J440">
        <v>11</v>
      </c>
      <c r="K440">
        <v>1</v>
      </c>
      <c r="M440">
        <v>79</v>
      </c>
      <c r="N440">
        <v>93</v>
      </c>
      <c r="O440">
        <v>35372972.972972974</v>
      </c>
      <c r="P440">
        <v>34880180.180180177</v>
      </c>
      <c r="Q440">
        <v>98</v>
      </c>
      <c r="R440">
        <v>321</v>
      </c>
      <c r="S440">
        <v>48287068.468468465</v>
      </c>
      <c r="T440">
        <v>53894675.675675683</v>
      </c>
      <c r="U440">
        <v>24382252.252252251</v>
      </c>
      <c r="V440">
        <v>22835225.225225225</v>
      </c>
      <c r="W440">
        <v>6354</v>
      </c>
      <c r="X440">
        <v>6367</v>
      </c>
    </row>
    <row r="441" spans="1:24">
      <c r="A441" s="7" t="s">
        <v>534</v>
      </c>
      <c r="B441" s="16" t="s">
        <v>304</v>
      </c>
      <c r="C441">
        <v>10570055.355217688</v>
      </c>
      <c r="D441">
        <v>10874279.986648072</v>
      </c>
      <c r="G441">
        <v>7</v>
      </c>
      <c r="H441">
        <v>4</v>
      </c>
      <c r="M441">
        <v>7</v>
      </c>
      <c r="N441">
        <v>4</v>
      </c>
      <c r="S441">
        <v>1006891.891891892</v>
      </c>
      <c r="T441">
        <v>1981711.7117117119</v>
      </c>
      <c r="W441">
        <v>247</v>
      </c>
      <c r="X441">
        <v>406</v>
      </c>
    </row>
    <row r="442" spans="1:24">
      <c r="A442" s="7" t="s">
        <v>535</v>
      </c>
      <c r="B442" s="16" t="s">
        <v>304</v>
      </c>
      <c r="C442">
        <v>170957097.83847553</v>
      </c>
      <c r="D442">
        <v>163893332.06262103</v>
      </c>
      <c r="E442">
        <v>1049549.5495495501</v>
      </c>
      <c r="F442">
        <v>708108.10810810805</v>
      </c>
      <c r="G442">
        <v>49</v>
      </c>
      <c r="H442">
        <v>15</v>
      </c>
      <c r="I442">
        <v>6</v>
      </c>
      <c r="J442">
        <v>7</v>
      </c>
      <c r="M442">
        <v>55</v>
      </c>
      <c r="N442">
        <v>23</v>
      </c>
      <c r="O442">
        <v>10923423.423423424</v>
      </c>
      <c r="P442">
        <v>13183783.783783784</v>
      </c>
      <c r="Q442">
        <v>74</v>
      </c>
      <c r="R442">
        <v>16</v>
      </c>
      <c r="S442">
        <v>14723378.378378378</v>
      </c>
      <c r="T442">
        <v>14638513.513513515</v>
      </c>
      <c r="U442">
        <v>6414144.1441441448</v>
      </c>
      <c r="V442">
        <v>5409279.2792792786</v>
      </c>
      <c r="W442">
        <v>2807</v>
      </c>
      <c r="X442">
        <v>2673</v>
      </c>
    </row>
    <row r="443" spans="1:24">
      <c r="A443" s="7" t="s">
        <v>536</v>
      </c>
      <c r="B443" s="16" t="s">
        <v>85</v>
      </c>
      <c r="C443">
        <v>145566219.5230692</v>
      </c>
      <c r="D443">
        <v>144544615.5796853</v>
      </c>
      <c r="E443">
        <v>212392454.95495495</v>
      </c>
      <c r="F443">
        <v>136875675.67567569</v>
      </c>
      <c r="G443">
        <v>172</v>
      </c>
      <c r="H443">
        <v>58</v>
      </c>
      <c r="I443">
        <v>6</v>
      </c>
      <c r="J443">
        <v>6</v>
      </c>
      <c r="M443">
        <v>189</v>
      </c>
      <c r="N443">
        <v>70</v>
      </c>
      <c r="O443">
        <v>47715315.315315314</v>
      </c>
      <c r="P443">
        <v>54635045.045045048</v>
      </c>
      <c r="Q443">
        <v>66</v>
      </c>
      <c r="R443">
        <v>58</v>
      </c>
      <c r="S443">
        <v>65215315.315315314</v>
      </c>
      <c r="T443">
        <v>66043234.234234229</v>
      </c>
      <c r="U443">
        <v>42236036.036036029</v>
      </c>
      <c r="V443">
        <v>41770360.360360362</v>
      </c>
      <c r="W443">
        <v>3219</v>
      </c>
      <c r="X443">
        <v>2953</v>
      </c>
    </row>
    <row r="444" spans="1:24">
      <c r="A444" s="7" t="s">
        <v>537</v>
      </c>
      <c r="B444" s="16" t="s">
        <v>448</v>
      </c>
      <c r="C444">
        <v>205183282.79982293</v>
      </c>
      <c r="D444">
        <v>200278737.52750593</v>
      </c>
      <c r="E444">
        <v>164864.86486486701</v>
      </c>
      <c r="F444">
        <v>1913513.5135135159</v>
      </c>
      <c r="G444">
        <v>389</v>
      </c>
      <c r="H444">
        <v>101</v>
      </c>
      <c r="I444">
        <v>4</v>
      </c>
      <c r="J444">
        <v>6</v>
      </c>
      <c r="M444">
        <v>397</v>
      </c>
      <c r="N444">
        <v>256</v>
      </c>
      <c r="O444">
        <v>15015630.630630629</v>
      </c>
      <c r="P444">
        <v>15556936.936936935</v>
      </c>
      <c r="Q444">
        <v>85</v>
      </c>
      <c r="R444">
        <v>16</v>
      </c>
      <c r="S444">
        <v>59376900.9009009</v>
      </c>
      <c r="T444">
        <v>56864736.936936937</v>
      </c>
      <c r="U444">
        <v>15315855.855855856</v>
      </c>
      <c r="V444">
        <v>16361261.26126126</v>
      </c>
      <c r="W444">
        <v>5150</v>
      </c>
      <c r="X444">
        <v>5032</v>
      </c>
    </row>
    <row r="445" spans="1:24">
      <c r="A445" s="7" t="s">
        <v>538</v>
      </c>
      <c r="B445" s="16" t="s">
        <v>117</v>
      </c>
      <c r="C445">
        <v>459404257.05245942</v>
      </c>
      <c r="D445">
        <v>460226323.67845786</v>
      </c>
      <c r="E445">
        <v>1861306.306306313</v>
      </c>
      <c r="F445">
        <v>10063063.063063066</v>
      </c>
      <c r="G445">
        <v>205</v>
      </c>
      <c r="H445">
        <v>135</v>
      </c>
      <c r="I445">
        <v>38</v>
      </c>
      <c r="J445">
        <v>39</v>
      </c>
      <c r="K445">
        <v>1</v>
      </c>
      <c r="M445">
        <v>258</v>
      </c>
      <c r="N445">
        <v>191</v>
      </c>
      <c r="O445">
        <v>84413011.711711705</v>
      </c>
      <c r="P445">
        <v>99442071.171171173</v>
      </c>
      <c r="Q445">
        <v>289</v>
      </c>
      <c r="R445">
        <v>111</v>
      </c>
      <c r="S445">
        <v>244295495.4954955</v>
      </c>
      <c r="T445">
        <v>263265459.45945945</v>
      </c>
      <c r="U445">
        <v>83175135.135135129</v>
      </c>
      <c r="V445">
        <v>92032252.252252251</v>
      </c>
      <c r="W445">
        <v>11027</v>
      </c>
      <c r="X445">
        <v>11216</v>
      </c>
    </row>
    <row r="446" spans="1:24">
      <c r="A446" s="7" t="s">
        <v>539</v>
      </c>
      <c r="B446" s="16" t="s">
        <v>83</v>
      </c>
      <c r="C446">
        <v>1433539791.0890257</v>
      </c>
      <c r="D446">
        <v>1410603602.8573198</v>
      </c>
      <c r="E446">
        <v>2370945.9459459488</v>
      </c>
      <c r="F446">
        <v>7370347.74774775</v>
      </c>
      <c r="G446">
        <v>236</v>
      </c>
      <c r="H446">
        <v>287</v>
      </c>
      <c r="I446">
        <v>20</v>
      </c>
      <c r="J446">
        <v>23</v>
      </c>
      <c r="K446">
        <v>1</v>
      </c>
      <c r="M446">
        <v>259</v>
      </c>
      <c r="N446">
        <v>331</v>
      </c>
      <c r="O446">
        <v>77195045.045045033</v>
      </c>
      <c r="P446">
        <v>88738369.369369373</v>
      </c>
      <c r="Q446">
        <v>257</v>
      </c>
      <c r="R446">
        <v>414</v>
      </c>
      <c r="S446">
        <v>146619187.38738739</v>
      </c>
      <c r="T446">
        <v>153745354.5045045</v>
      </c>
      <c r="U446">
        <v>70694367.567567572</v>
      </c>
      <c r="V446">
        <v>77757610.810810819</v>
      </c>
      <c r="W446">
        <v>22306</v>
      </c>
      <c r="X446">
        <v>21400</v>
      </c>
    </row>
    <row r="447" spans="1:24">
      <c r="A447" s="7" t="s">
        <v>540</v>
      </c>
      <c r="B447" s="16" t="s">
        <v>315</v>
      </c>
      <c r="C447">
        <v>169737373.21508938</v>
      </c>
      <c r="D447">
        <v>173629659.41938409</v>
      </c>
      <c r="E447">
        <v>3655045.0450450452</v>
      </c>
      <c r="F447">
        <v>2419144.144144143</v>
      </c>
      <c r="G447">
        <v>24</v>
      </c>
      <c r="H447">
        <v>24</v>
      </c>
      <c r="I447">
        <v>1</v>
      </c>
      <c r="J447">
        <v>1</v>
      </c>
      <c r="M447">
        <v>25</v>
      </c>
      <c r="N447">
        <v>41</v>
      </c>
      <c r="O447">
        <v>14261261.26126126</v>
      </c>
      <c r="P447">
        <v>13007657.657657657</v>
      </c>
      <c r="R447">
        <v>51</v>
      </c>
      <c r="S447">
        <v>30551259.459459461</v>
      </c>
      <c r="T447">
        <v>33347747.747747749</v>
      </c>
      <c r="U447">
        <v>13860133.333333332</v>
      </c>
      <c r="V447">
        <v>10909369.369369367</v>
      </c>
      <c r="W447">
        <v>2593</v>
      </c>
      <c r="X447">
        <v>2426</v>
      </c>
    </row>
    <row r="448" spans="1:24">
      <c r="A448" s="7" t="s">
        <v>541</v>
      </c>
      <c r="B448" s="16" t="s">
        <v>169</v>
      </c>
      <c r="C448">
        <v>1251782436.6713207</v>
      </c>
      <c r="D448">
        <v>1199893663.1135979</v>
      </c>
      <c r="E448">
        <v>1767117.1171171169</v>
      </c>
      <c r="F448">
        <v>2883783.7837837879</v>
      </c>
      <c r="G448">
        <v>150</v>
      </c>
      <c r="H448">
        <v>121</v>
      </c>
      <c r="I448">
        <v>7</v>
      </c>
      <c r="J448">
        <v>7</v>
      </c>
      <c r="K448">
        <v>2</v>
      </c>
      <c r="M448">
        <v>182</v>
      </c>
      <c r="N448">
        <v>223</v>
      </c>
      <c r="O448">
        <v>57328079.279279277</v>
      </c>
      <c r="P448">
        <v>72558445.945945948</v>
      </c>
      <c r="Q448">
        <v>350</v>
      </c>
      <c r="R448">
        <v>160</v>
      </c>
      <c r="S448">
        <v>443576000</v>
      </c>
      <c r="T448">
        <v>444797565.31531531</v>
      </c>
      <c r="U448">
        <v>53893153.153153151</v>
      </c>
      <c r="V448">
        <v>71232522.522522524</v>
      </c>
      <c r="W448">
        <v>21546</v>
      </c>
      <c r="X448">
        <v>21911</v>
      </c>
    </row>
    <row r="449" spans="1:24">
      <c r="A449" s="7" t="s">
        <v>542</v>
      </c>
      <c r="B449" s="16" t="s">
        <v>479</v>
      </c>
      <c r="C449">
        <v>385719159.9153676</v>
      </c>
      <c r="D449">
        <v>372141501.79921401</v>
      </c>
      <c r="E449">
        <v>123390862.16216215</v>
      </c>
      <c r="F449">
        <v>136286752.25225225</v>
      </c>
      <c r="G449">
        <v>33</v>
      </c>
      <c r="H449">
        <v>40</v>
      </c>
      <c r="I449">
        <v>0</v>
      </c>
      <c r="J449">
        <v>0</v>
      </c>
      <c r="M449">
        <v>38</v>
      </c>
      <c r="N449">
        <v>43</v>
      </c>
      <c r="O449">
        <v>19214884.684684679</v>
      </c>
      <c r="P449">
        <v>7621536.0360360341</v>
      </c>
      <c r="Q449">
        <v>3</v>
      </c>
      <c r="R449">
        <v>80</v>
      </c>
      <c r="S449">
        <v>49222063.063063063</v>
      </c>
      <c r="T449">
        <v>48359648.648648649</v>
      </c>
      <c r="U449">
        <v>8658108.1081081033</v>
      </c>
      <c r="V449">
        <v>2472252.2522522509</v>
      </c>
      <c r="W449">
        <v>5521</v>
      </c>
      <c r="X449">
        <v>5353</v>
      </c>
    </row>
    <row r="450" spans="1:24">
      <c r="A450" s="7" t="s">
        <v>543</v>
      </c>
      <c r="B450" s="16" t="s">
        <v>80</v>
      </c>
      <c r="C450">
        <v>106653192.68196793</v>
      </c>
      <c r="D450">
        <v>90214843.088244125</v>
      </c>
      <c r="E450">
        <v>170270.27027027</v>
      </c>
      <c r="F450">
        <v>669819.81981981802</v>
      </c>
      <c r="G450">
        <v>29</v>
      </c>
      <c r="H450">
        <v>28</v>
      </c>
      <c r="I450">
        <v>3</v>
      </c>
      <c r="J450">
        <v>4</v>
      </c>
      <c r="M450">
        <v>30</v>
      </c>
      <c r="N450">
        <v>35</v>
      </c>
      <c r="O450">
        <v>12786486.486486487</v>
      </c>
      <c r="P450">
        <v>26328378.378378376</v>
      </c>
      <c r="Q450">
        <v>30</v>
      </c>
      <c r="R450">
        <v>54</v>
      </c>
      <c r="S450">
        <v>37105081.081081077</v>
      </c>
      <c r="T450">
        <v>33618693.693693697</v>
      </c>
      <c r="U450">
        <v>9806846.8468468487</v>
      </c>
      <c r="V450">
        <v>24896306.306306303</v>
      </c>
      <c r="W450">
        <v>2306</v>
      </c>
      <c r="X450">
        <v>2381</v>
      </c>
    </row>
    <row r="451" spans="1:24">
      <c r="A451" s="7" t="s">
        <v>544</v>
      </c>
      <c r="B451" s="16" t="s">
        <v>169</v>
      </c>
      <c r="C451">
        <v>127441023.82704373</v>
      </c>
      <c r="D451">
        <v>97033666.433752939</v>
      </c>
      <c r="E451">
        <v>135135.135135135</v>
      </c>
      <c r="F451">
        <v>277477.47747747699</v>
      </c>
      <c r="G451">
        <v>31</v>
      </c>
      <c r="H451">
        <v>14</v>
      </c>
      <c r="J451">
        <v>0</v>
      </c>
      <c r="M451">
        <v>32</v>
      </c>
      <c r="N451">
        <v>15</v>
      </c>
      <c r="O451">
        <v>3738738.738738738</v>
      </c>
      <c r="P451">
        <v>1178378.378378378</v>
      </c>
      <c r="S451">
        <v>50698592.79279279</v>
      </c>
      <c r="T451">
        <v>40810214.414414413</v>
      </c>
      <c r="U451">
        <v>2966846.8468468469</v>
      </c>
      <c r="V451">
        <v>792432.43243243196</v>
      </c>
      <c r="W451">
        <v>2573</v>
      </c>
      <c r="X451">
        <v>2431</v>
      </c>
    </row>
    <row r="452" spans="1:24">
      <c r="A452" s="7" t="s">
        <v>545</v>
      </c>
      <c r="B452" s="16" t="s">
        <v>224</v>
      </c>
      <c r="C452">
        <v>24542.626081306</v>
      </c>
      <c r="D452">
        <v>9827.3572880310003</v>
      </c>
      <c r="S452">
        <v>10585.585585586001</v>
      </c>
    </row>
    <row r="453" spans="1:24">
      <c r="A453" s="7" t="s">
        <v>546</v>
      </c>
      <c r="B453" s="16" t="s">
        <v>136</v>
      </c>
      <c r="C453">
        <v>245335105.62922457</v>
      </c>
      <c r="D453">
        <v>236126659.62365699</v>
      </c>
      <c r="E453">
        <v>476126.12612612703</v>
      </c>
      <c r="F453">
        <v>901801.80180180504</v>
      </c>
      <c r="G453">
        <v>96</v>
      </c>
      <c r="H453">
        <v>75</v>
      </c>
      <c r="I453">
        <v>7</v>
      </c>
      <c r="J453">
        <v>7</v>
      </c>
      <c r="M453">
        <v>103</v>
      </c>
      <c r="N453">
        <v>85</v>
      </c>
      <c r="O453">
        <v>53895135.135135137</v>
      </c>
      <c r="P453">
        <v>48976576.576576576</v>
      </c>
      <c r="Q453">
        <v>56</v>
      </c>
      <c r="R453">
        <v>62</v>
      </c>
      <c r="S453">
        <v>80378279.279279277</v>
      </c>
      <c r="T453">
        <v>77900511.711711705</v>
      </c>
      <c r="U453">
        <v>47551081.081081077</v>
      </c>
      <c r="V453">
        <v>42085315.315315314</v>
      </c>
      <c r="W453">
        <v>4495</v>
      </c>
      <c r="X453">
        <v>4411</v>
      </c>
    </row>
    <row r="454" spans="1:24">
      <c r="A454" s="7" t="s">
        <v>547</v>
      </c>
      <c r="B454" s="16" t="s">
        <v>136</v>
      </c>
      <c r="C454">
        <v>455810963.12693131</v>
      </c>
      <c r="D454">
        <v>448068178.81079465</v>
      </c>
      <c r="E454">
        <v>296541131.53153151</v>
      </c>
      <c r="F454">
        <v>227483764.86486486</v>
      </c>
      <c r="G454">
        <v>291</v>
      </c>
      <c r="H454">
        <v>210</v>
      </c>
      <c r="I454">
        <v>20</v>
      </c>
      <c r="J454">
        <v>19</v>
      </c>
      <c r="K454">
        <v>2</v>
      </c>
      <c r="M454">
        <v>321</v>
      </c>
      <c r="N454">
        <v>248</v>
      </c>
      <c r="O454">
        <v>111369819.81981981</v>
      </c>
      <c r="P454">
        <v>111025225.22522523</v>
      </c>
      <c r="Q454">
        <v>325</v>
      </c>
      <c r="R454">
        <v>145</v>
      </c>
      <c r="S454">
        <v>149261344.14414412</v>
      </c>
      <c r="T454">
        <v>148350993.6936937</v>
      </c>
      <c r="U454">
        <v>101338781.98198198</v>
      </c>
      <c r="V454">
        <v>94379855.855855852</v>
      </c>
      <c r="W454">
        <v>12688</v>
      </c>
      <c r="X454">
        <v>12801</v>
      </c>
    </row>
    <row r="455" spans="1:24">
      <c r="A455" s="7" t="s">
        <v>548</v>
      </c>
      <c r="B455" s="16" t="s">
        <v>136</v>
      </c>
      <c r="C455">
        <v>516251436.13944256</v>
      </c>
      <c r="D455">
        <v>499365562.79169947</v>
      </c>
      <c r="E455">
        <v>1639639.6396396391</v>
      </c>
      <c r="F455">
        <v>3793693.6936936951</v>
      </c>
      <c r="G455">
        <v>151</v>
      </c>
      <c r="H455">
        <v>71</v>
      </c>
      <c r="I455">
        <v>6</v>
      </c>
      <c r="J455">
        <v>3</v>
      </c>
      <c r="M455">
        <v>161</v>
      </c>
      <c r="N455">
        <v>82</v>
      </c>
      <c r="O455">
        <v>21459909.909909911</v>
      </c>
      <c r="P455">
        <v>19199099.0990991</v>
      </c>
      <c r="Q455">
        <v>73</v>
      </c>
      <c r="R455">
        <v>28</v>
      </c>
      <c r="S455">
        <v>80641252.252252251</v>
      </c>
      <c r="T455">
        <v>81239800</v>
      </c>
      <c r="U455">
        <v>19362612.612612616</v>
      </c>
      <c r="V455">
        <v>18269369.369369369</v>
      </c>
      <c r="W455">
        <v>8221</v>
      </c>
      <c r="X455">
        <v>8731</v>
      </c>
    </row>
    <row r="456" spans="1:24">
      <c r="A456" s="7" t="s">
        <v>549</v>
      </c>
      <c r="B456" s="16" t="s">
        <v>136</v>
      </c>
      <c r="C456">
        <v>243369385.55122611</v>
      </c>
      <c r="D456">
        <v>209522691.39624915</v>
      </c>
      <c r="E456">
        <v>349549.54954954999</v>
      </c>
      <c r="F456">
        <v>591891.891891893</v>
      </c>
      <c r="G456">
        <v>58</v>
      </c>
      <c r="H456">
        <v>39</v>
      </c>
      <c r="I456">
        <v>6</v>
      </c>
      <c r="J456">
        <v>3</v>
      </c>
      <c r="M456">
        <v>62</v>
      </c>
      <c r="N456">
        <v>43</v>
      </c>
      <c r="O456">
        <v>22018198.198198199</v>
      </c>
      <c r="P456">
        <v>15357657.657657657</v>
      </c>
      <c r="Q456">
        <v>18</v>
      </c>
      <c r="R456">
        <v>15</v>
      </c>
      <c r="S456">
        <v>42105133.333333336</v>
      </c>
      <c r="T456">
        <v>35549072.072072074</v>
      </c>
      <c r="U456">
        <v>17168601.801801804</v>
      </c>
      <c r="V456">
        <v>13713153.153153151</v>
      </c>
      <c r="W456">
        <v>3722</v>
      </c>
      <c r="X456">
        <v>3763</v>
      </c>
    </row>
    <row r="457" spans="1:24">
      <c r="A457" s="7" t="s">
        <v>550</v>
      </c>
      <c r="B457" s="16" t="s">
        <v>87</v>
      </c>
      <c r="C457">
        <v>98699308.506689236</v>
      </c>
      <c r="D457">
        <v>85226872.352667108</v>
      </c>
      <c r="E457">
        <v>911711.71171171195</v>
      </c>
      <c r="F457">
        <v>133333.33333333299</v>
      </c>
      <c r="G457">
        <v>61</v>
      </c>
      <c r="H457">
        <v>33</v>
      </c>
      <c r="I457">
        <v>2</v>
      </c>
      <c r="J457">
        <v>2</v>
      </c>
      <c r="M457">
        <v>65</v>
      </c>
      <c r="N457">
        <v>40</v>
      </c>
      <c r="O457">
        <v>5754054.0540540544</v>
      </c>
      <c r="P457">
        <v>6400000</v>
      </c>
      <c r="Q457">
        <v>9</v>
      </c>
      <c r="R457">
        <v>21</v>
      </c>
      <c r="S457">
        <v>17033538.738738742</v>
      </c>
      <c r="T457">
        <v>13445549.54954955</v>
      </c>
      <c r="U457">
        <v>5248108.1081081079</v>
      </c>
      <c r="V457">
        <v>5194864.8648648653</v>
      </c>
      <c r="W457">
        <v>1469</v>
      </c>
      <c r="X457">
        <v>1379</v>
      </c>
    </row>
    <row r="458" spans="1:24">
      <c r="A458" s="7" t="s">
        <v>551</v>
      </c>
      <c r="B458" s="16" t="s">
        <v>87</v>
      </c>
      <c r="C458">
        <v>143186572.44440368</v>
      </c>
      <c r="D458">
        <v>130516268.18191655</v>
      </c>
      <c r="E458">
        <v>50450.450450450997</v>
      </c>
      <c r="F458">
        <v>490990.990990992</v>
      </c>
      <c r="G458">
        <v>136</v>
      </c>
      <c r="H458">
        <v>75</v>
      </c>
      <c r="I458">
        <v>4</v>
      </c>
      <c r="J458">
        <v>3</v>
      </c>
      <c r="K458">
        <v>1</v>
      </c>
      <c r="M458">
        <v>149</v>
      </c>
      <c r="N458">
        <v>90</v>
      </c>
      <c r="O458">
        <v>14708108.108108109</v>
      </c>
      <c r="P458">
        <v>11406306.306306306</v>
      </c>
      <c r="Q458">
        <v>6</v>
      </c>
      <c r="R458">
        <v>13</v>
      </c>
      <c r="S458">
        <v>20498513.513513513</v>
      </c>
      <c r="T458">
        <v>19865349.549549554</v>
      </c>
      <c r="U458">
        <v>9802342.3423423432</v>
      </c>
      <c r="V458">
        <v>8212522.5225225221</v>
      </c>
      <c r="W458">
        <v>2702</v>
      </c>
      <c r="X458">
        <v>2496</v>
      </c>
    </row>
    <row r="459" spans="1:24">
      <c r="A459" s="7" t="s">
        <v>552</v>
      </c>
      <c r="B459" s="16" t="s">
        <v>66</v>
      </c>
      <c r="C459">
        <v>265796075.31376413</v>
      </c>
      <c r="D459">
        <v>261408683.93927908</v>
      </c>
      <c r="E459">
        <v>137533513.51351351</v>
      </c>
      <c r="F459">
        <v>281136936.93693691</v>
      </c>
      <c r="G459">
        <v>191</v>
      </c>
      <c r="H459">
        <v>80</v>
      </c>
      <c r="I459">
        <v>11</v>
      </c>
      <c r="J459">
        <v>8</v>
      </c>
      <c r="K459">
        <v>1</v>
      </c>
      <c r="M459">
        <v>210</v>
      </c>
      <c r="N459">
        <v>183</v>
      </c>
      <c r="O459">
        <v>75191351.351351351</v>
      </c>
      <c r="P459">
        <v>210194144.14414412</v>
      </c>
      <c r="Q459">
        <v>514</v>
      </c>
      <c r="R459">
        <v>220</v>
      </c>
      <c r="S459">
        <v>111773072.07207207</v>
      </c>
      <c r="T459">
        <v>111939074.32432432</v>
      </c>
      <c r="U459">
        <v>51299819.819819815</v>
      </c>
      <c r="V459">
        <v>166309549.54954955</v>
      </c>
      <c r="W459">
        <v>8873</v>
      </c>
      <c r="X459">
        <v>9403</v>
      </c>
    </row>
    <row r="460" spans="1:24">
      <c r="A460" s="7" t="s">
        <v>35</v>
      </c>
      <c r="B460" s="16" t="s">
        <v>158</v>
      </c>
      <c r="E460">
        <v>3378378.3783783782</v>
      </c>
      <c r="F460">
        <v>91959459.459459454</v>
      </c>
      <c r="O460">
        <v>43509909.909909911</v>
      </c>
      <c r="P460">
        <v>20856756.756756756</v>
      </c>
    </row>
    <row r="461" spans="1:24">
      <c r="A461" s="7" t="s">
        <v>553</v>
      </c>
      <c r="B461" s="16" t="s">
        <v>554</v>
      </c>
      <c r="C461">
        <v>557586674.8471663</v>
      </c>
      <c r="D461">
        <v>520874372.90251094</v>
      </c>
      <c r="E461">
        <v>743243.24324324203</v>
      </c>
      <c r="F461">
        <v>7295945.9459459502</v>
      </c>
      <c r="G461">
        <v>269</v>
      </c>
      <c r="H461">
        <v>98</v>
      </c>
      <c r="I461">
        <v>16</v>
      </c>
      <c r="J461">
        <v>17</v>
      </c>
      <c r="K461">
        <v>1</v>
      </c>
      <c r="M461">
        <v>353</v>
      </c>
      <c r="N461">
        <v>126</v>
      </c>
      <c r="O461">
        <v>53656036.036036037</v>
      </c>
      <c r="P461">
        <v>177757657.65765765</v>
      </c>
      <c r="Q461">
        <v>125</v>
      </c>
      <c r="R461">
        <v>340</v>
      </c>
      <c r="S461">
        <v>147418135.13513514</v>
      </c>
      <c r="T461">
        <v>142144207.2072072</v>
      </c>
      <c r="U461">
        <v>50749459.459459454</v>
      </c>
      <c r="V461">
        <v>171987477.47747746</v>
      </c>
      <c r="W461">
        <v>9271</v>
      </c>
      <c r="X461">
        <v>9187</v>
      </c>
    </row>
    <row r="462" spans="1:24">
      <c r="A462" s="7" t="s">
        <v>555</v>
      </c>
      <c r="B462" s="16" t="s">
        <v>554</v>
      </c>
      <c r="C462">
        <v>89592624.341176122</v>
      </c>
      <c r="D462">
        <v>80759244.01761058</v>
      </c>
      <c r="E462">
        <v>77187709.909909904</v>
      </c>
      <c r="F462">
        <v>169529997.2972973</v>
      </c>
      <c r="G462">
        <v>51</v>
      </c>
      <c r="H462">
        <v>33</v>
      </c>
      <c r="I462">
        <v>3</v>
      </c>
      <c r="J462">
        <v>3</v>
      </c>
      <c r="M462">
        <v>52</v>
      </c>
      <c r="N462">
        <v>34</v>
      </c>
      <c r="O462">
        <v>12917387.387387387</v>
      </c>
      <c r="P462">
        <v>22977477.47747748</v>
      </c>
      <c r="Q462">
        <v>20</v>
      </c>
      <c r="R462">
        <v>23</v>
      </c>
      <c r="S462">
        <v>32801036.036036037</v>
      </c>
      <c r="T462">
        <v>28994765.765765768</v>
      </c>
      <c r="U462">
        <v>8828828.8288288284</v>
      </c>
      <c r="V462">
        <v>11064594.594594596</v>
      </c>
      <c r="W462">
        <v>1656</v>
      </c>
      <c r="X462">
        <v>1524</v>
      </c>
    </row>
    <row r="463" spans="1:24">
      <c r="A463" s="7" t="s">
        <v>556</v>
      </c>
      <c r="B463" s="16" t="s">
        <v>121</v>
      </c>
      <c r="C463">
        <v>63496337.242050819</v>
      </c>
      <c r="D463">
        <v>59062341.693445779</v>
      </c>
      <c r="E463">
        <v>180180.18018018</v>
      </c>
      <c r="F463">
        <v>180180.18018018</v>
      </c>
      <c r="G463">
        <v>52</v>
      </c>
      <c r="H463">
        <v>28</v>
      </c>
      <c r="I463">
        <v>1</v>
      </c>
      <c r="M463">
        <v>55</v>
      </c>
      <c r="N463">
        <v>34</v>
      </c>
      <c r="O463">
        <v>270270.27027027</v>
      </c>
      <c r="P463">
        <v>180180.18018018</v>
      </c>
      <c r="Q463">
        <v>10</v>
      </c>
      <c r="S463">
        <v>5859414.4144144151</v>
      </c>
      <c r="T463">
        <v>5339495.4954954963</v>
      </c>
      <c r="U463">
        <v>361981.98198198201</v>
      </c>
      <c r="V463">
        <v>118918.91891891899</v>
      </c>
      <c r="W463">
        <v>1473</v>
      </c>
      <c r="X463">
        <v>1331</v>
      </c>
    </row>
    <row r="464" spans="1:24">
      <c r="A464" s="7" t="s">
        <v>557</v>
      </c>
      <c r="B464" s="16" t="s">
        <v>70</v>
      </c>
      <c r="C464">
        <v>480408828.66676193</v>
      </c>
      <c r="D464">
        <v>476511033.71857524</v>
      </c>
      <c r="E464">
        <v>2739144.144144143</v>
      </c>
      <c r="F464">
        <v>4956756.7567567648</v>
      </c>
      <c r="G464">
        <v>124</v>
      </c>
      <c r="H464">
        <v>101</v>
      </c>
      <c r="I464">
        <v>9</v>
      </c>
      <c r="J464">
        <v>23</v>
      </c>
      <c r="M464">
        <v>135</v>
      </c>
      <c r="N464">
        <v>132</v>
      </c>
      <c r="O464">
        <v>53460090.090090096</v>
      </c>
      <c r="P464">
        <v>61375675.675675683</v>
      </c>
      <c r="Q464">
        <v>24</v>
      </c>
      <c r="R464">
        <v>276</v>
      </c>
      <c r="S464">
        <v>196611828.82882884</v>
      </c>
      <c r="T464">
        <v>202285117.11711711</v>
      </c>
      <c r="U464">
        <v>59725045.045045048</v>
      </c>
      <c r="V464">
        <v>59074324.324324317</v>
      </c>
      <c r="W464">
        <v>10326</v>
      </c>
      <c r="X464">
        <v>10047</v>
      </c>
    </row>
    <row r="465" spans="1:24">
      <c r="A465" s="7" t="s">
        <v>558</v>
      </c>
      <c r="B465" s="16" t="s">
        <v>62</v>
      </c>
      <c r="C465">
        <v>863627034.49678874</v>
      </c>
      <c r="D465">
        <v>861666483.67799938</v>
      </c>
      <c r="E465">
        <v>6045945.9459459549</v>
      </c>
      <c r="F465">
        <v>14143243.243243247</v>
      </c>
      <c r="G465">
        <v>345</v>
      </c>
      <c r="H465">
        <v>345</v>
      </c>
      <c r="I465">
        <v>30</v>
      </c>
      <c r="J465">
        <v>22</v>
      </c>
      <c r="K465">
        <v>10</v>
      </c>
      <c r="M465">
        <v>441</v>
      </c>
      <c r="N465">
        <v>555</v>
      </c>
      <c r="O465">
        <v>68520450.45045045</v>
      </c>
      <c r="P465">
        <v>132564324.32432432</v>
      </c>
      <c r="Q465">
        <v>203</v>
      </c>
      <c r="R465">
        <v>307</v>
      </c>
      <c r="S465">
        <v>203513718.91891891</v>
      </c>
      <c r="T465">
        <v>200510945.94594595</v>
      </c>
      <c r="U465">
        <v>64479819.819819815</v>
      </c>
      <c r="V465">
        <v>126821531.53153151</v>
      </c>
      <c r="W465">
        <v>18142</v>
      </c>
      <c r="X465">
        <v>17838</v>
      </c>
    </row>
    <row r="466" spans="1:24">
      <c r="A466" s="7" t="s">
        <v>559</v>
      </c>
      <c r="B466" s="16" t="s">
        <v>479</v>
      </c>
      <c r="C466">
        <v>460342465.11610317</v>
      </c>
      <c r="D466">
        <v>403698218.73098046</v>
      </c>
      <c r="E466">
        <v>41779504.504504502</v>
      </c>
      <c r="F466">
        <v>44682882.882882878</v>
      </c>
      <c r="G466">
        <v>223</v>
      </c>
      <c r="H466">
        <v>153</v>
      </c>
      <c r="I466">
        <v>21</v>
      </c>
      <c r="J466">
        <v>24</v>
      </c>
      <c r="K466">
        <v>2</v>
      </c>
      <c r="M466">
        <v>237</v>
      </c>
      <c r="N466">
        <v>187</v>
      </c>
      <c r="O466">
        <v>48615630.630630635</v>
      </c>
      <c r="P466">
        <v>67146621.621621624</v>
      </c>
      <c r="Q466">
        <v>20</v>
      </c>
      <c r="R466">
        <v>116</v>
      </c>
      <c r="S466">
        <v>131220781.98198198</v>
      </c>
      <c r="T466">
        <v>124391682.88288288</v>
      </c>
      <c r="U466">
        <v>45406126.126126125</v>
      </c>
      <c r="V466">
        <v>54796306.306306303</v>
      </c>
      <c r="W466">
        <v>8041</v>
      </c>
      <c r="X466">
        <v>7855</v>
      </c>
    </row>
    <row r="467" spans="1:24">
      <c r="A467" s="7" t="s">
        <v>560</v>
      </c>
      <c r="B467" s="16" t="s">
        <v>236</v>
      </c>
      <c r="C467">
        <v>70630602.312121317</v>
      </c>
      <c r="D467">
        <v>70935046.024249062</v>
      </c>
      <c r="E467">
        <v>97710993.693693697</v>
      </c>
      <c r="F467">
        <v>157023459.45945945</v>
      </c>
      <c r="G467">
        <v>31</v>
      </c>
      <c r="H467">
        <v>23</v>
      </c>
      <c r="I467">
        <v>3</v>
      </c>
      <c r="J467">
        <v>2</v>
      </c>
      <c r="M467">
        <v>33</v>
      </c>
      <c r="N467">
        <v>60</v>
      </c>
      <c r="O467">
        <v>28024774.774774775</v>
      </c>
      <c r="P467">
        <v>30393873.873873871</v>
      </c>
      <c r="Q467">
        <v>3</v>
      </c>
      <c r="R467">
        <v>20</v>
      </c>
      <c r="S467">
        <v>26970405.40540541</v>
      </c>
      <c r="T467">
        <v>26796594.594594598</v>
      </c>
      <c r="U467">
        <v>5850810.8108108109</v>
      </c>
      <c r="V467">
        <v>5402612.6126126107</v>
      </c>
      <c r="W467">
        <v>2160</v>
      </c>
      <c r="X467">
        <v>2153</v>
      </c>
    </row>
    <row r="468" spans="1:24">
      <c r="A468" s="7" t="s">
        <v>561</v>
      </c>
      <c r="B468" s="16" t="s">
        <v>60</v>
      </c>
      <c r="C468">
        <v>66889480.015251108</v>
      </c>
      <c r="D468">
        <v>66342444.910432957</v>
      </c>
      <c r="E468">
        <v>765315.31531531701</v>
      </c>
      <c r="F468">
        <v>2888288.2882882869</v>
      </c>
      <c r="G468">
        <v>22</v>
      </c>
      <c r="H468">
        <v>24</v>
      </c>
      <c r="I468">
        <v>3</v>
      </c>
      <c r="J468">
        <v>7</v>
      </c>
      <c r="M468">
        <v>24</v>
      </c>
      <c r="N468">
        <v>41</v>
      </c>
      <c r="O468">
        <v>14486036.036036033</v>
      </c>
      <c r="P468">
        <v>19013513.513513517</v>
      </c>
      <c r="Q468">
        <v>58</v>
      </c>
      <c r="R468">
        <v>88</v>
      </c>
      <c r="S468">
        <v>23128468.468468469</v>
      </c>
      <c r="T468">
        <v>23508792.792792793</v>
      </c>
      <c r="U468">
        <v>13718738.738738738</v>
      </c>
      <c r="V468">
        <v>17380090.090090092</v>
      </c>
      <c r="W468">
        <v>1225</v>
      </c>
      <c r="X468">
        <v>1320</v>
      </c>
    </row>
    <row r="469" spans="1:24">
      <c r="A469" s="7" t="s">
        <v>562</v>
      </c>
      <c r="B469" s="16" t="s">
        <v>563</v>
      </c>
      <c r="C469">
        <v>374466802.71479404</v>
      </c>
      <c r="D469">
        <v>376535268.82334381</v>
      </c>
      <c r="E469">
        <v>675543305.4054054</v>
      </c>
      <c r="F469">
        <v>746744676.57657659</v>
      </c>
      <c r="G469">
        <v>397</v>
      </c>
      <c r="H469">
        <v>448</v>
      </c>
      <c r="I469">
        <v>22</v>
      </c>
      <c r="J469">
        <v>27</v>
      </c>
      <c r="K469">
        <v>4</v>
      </c>
      <c r="M469">
        <v>606</v>
      </c>
      <c r="N469">
        <v>1007</v>
      </c>
      <c r="O469">
        <v>663342576.57657647</v>
      </c>
      <c r="P469">
        <v>687761457.65765762</v>
      </c>
      <c r="Q469">
        <v>357</v>
      </c>
      <c r="R469">
        <v>121</v>
      </c>
      <c r="S469">
        <v>152113693.6936937</v>
      </c>
      <c r="T469">
        <v>160599513.51351351</v>
      </c>
      <c r="U469">
        <v>678214282.88288283</v>
      </c>
      <c r="V469">
        <v>513893158.55855858</v>
      </c>
      <c r="W469">
        <v>8694</v>
      </c>
      <c r="X469">
        <v>9213</v>
      </c>
    </row>
    <row r="470" spans="1:24">
      <c r="A470" s="7" t="s">
        <v>564</v>
      </c>
      <c r="B470" s="16" t="s">
        <v>563</v>
      </c>
      <c r="C470">
        <v>512610916.08498877</v>
      </c>
      <c r="D470">
        <v>510706796.24263668</v>
      </c>
      <c r="E470">
        <v>1653513.513513518</v>
      </c>
      <c r="F470">
        <v>6297297.2972973008</v>
      </c>
      <c r="G470">
        <v>181</v>
      </c>
      <c r="H470">
        <v>150</v>
      </c>
      <c r="I470">
        <v>28</v>
      </c>
      <c r="J470">
        <v>21</v>
      </c>
      <c r="K470">
        <v>1</v>
      </c>
      <c r="M470">
        <v>223</v>
      </c>
      <c r="N470">
        <v>170</v>
      </c>
      <c r="O470">
        <v>57968558.558558561</v>
      </c>
      <c r="P470">
        <v>50750542.342342347</v>
      </c>
      <c r="Q470">
        <v>653</v>
      </c>
      <c r="R470">
        <v>236</v>
      </c>
      <c r="S470">
        <v>209705675.67567569</v>
      </c>
      <c r="T470">
        <v>211083108.1081081</v>
      </c>
      <c r="U470">
        <v>67580450.45045045</v>
      </c>
      <c r="V470">
        <v>54856846.846846849</v>
      </c>
      <c r="W470">
        <v>11872</v>
      </c>
      <c r="X470">
        <v>11923</v>
      </c>
    </row>
    <row r="471" spans="1:24">
      <c r="A471" s="7" t="s">
        <v>565</v>
      </c>
      <c r="B471" s="16" t="s">
        <v>563</v>
      </c>
      <c r="C471">
        <v>377080901.00685716</v>
      </c>
      <c r="D471">
        <v>368307673.5778302</v>
      </c>
      <c r="E471">
        <v>2311441.4414414419</v>
      </c>
      <c r="F471">
        <v>5612342.342342346</v>
      </c>
      <c r="G471">
        <v>145</v>
      </c>
      <c r="H471">
        <v>282</v>
      </c>
      <c r="I471">
        <v>25</v>
      </c>
      <c r="J471">
        <v>21</v>
      </c>
      <c r="K471">
        <v>1</v>
      </c>
      <c r="M471">
        <v>328</v>
      </c>
      <c r="N471">
        <v>383</v>
      </c>
      <c r="O471">
        <v>245583333.33333334</v>
      </c>
      <c r="P471">
        <v>41046081.981981985</v>
      </c>
      <c r="Q471">
        <v>391</v>
      </c>
      <c r="R471">
        <v>386</v>
      </c>
      <c r="S471">
        <v>163328864.86486486</v>
      </c>
      <c r="T471">
        <v>163997981.98198199</v>
      </c>
      <c r="U471">
        <v>250238288.2882883</v>
      </c>
      <c r="V471">
        <v>39905585.585585587</v>
      </c>
      <c r="W471">
        <v>12294</v>
      </c>
      <c r="X471">
        <v>11427</v>
      </c>
    </row>
    <row r="472" spans="1:24">
      <c r="A472" s="7" t="s">
        <v>566</v>
      </c>
      <c r="B472" s="16" t="s">
        <v>563</v>
      </c>
      <c r="C472">
        <v>236805364.60990644</v>
      </c>
      <c r="D472">
        <v>242770077.45475638</v>
      </c>
      <c r="E472">
        <v>364864.86486486602</v>
      </c>
      <c r="F472">
        <v>2989189.18918919</v>
      </c>
      <c r="G472">
        <v>41</v>
      </c>
      <c r="H472">
        <v>27</v>
      </c>
      <c r="I472">
        <v>16</v>
      </c>
      <c r="J472">
        <v>15</v>
      </c>
      <c r="M472">
        <v>48</v>
      </c>
      <c r="N472">
        <v>35</v>
      </c>
      <c r="O472">
        <v>36563651.351351351</v>
      </c>
      <c r="P472">
        <v>39429430.630630635</v>
      </c>
      <c r="Q472">
        <v>87</v>
      </c>
      <c r="R472">
        <v>173</v>
      </c>
      <c r="S472">
        <v>134990081.08108109</v>
      </c>
      <c r="T472">
        <v>144368882.88288289</v>
      </c>
      <c r="U472">
        <v>37277162.16216217</v>
      </c>
      <c r="V472">
        <v>37794414.414414413</v>
      </c>
      <c r="W472">
        <v>6516</v>
      </c>
      <c r="X472">
        <v>6525</v>
      </c>
    </row>
    <row r="473" spans="1:24">
      <c r="A473" s="7" t="s">
        <v>567</v>
      </c>
      <c r="B473" s="16" t="s">
        <v>563</v>
      </c>
      <c r="C473">
        <v>142394868.92818993</v>
      </c>
      <c r="D473">
        <v>142365031.20633343</v>
      </c>
      <c r="E473">
        <v>36857207.20720721</v>
      </c>
      <c r="F473">
        <v>53242882.882882878</v>
      </c>
      <c r="G473">
        <v>49</v>
      </c>
      <c r="H473">
        <v>40</v>
      </c>
      <c r="I473">
        <v>18</v>
      </c>
      <c r="J473">
        <v>18</v>
      </c>
      <c r="K473">
        <v>4</v>
      </c>
      <c r="M473">
        <v>56</v>
      </c>
      <c r="N473">
        <v>54</v>
      </c>
      <c r="O473">
        <v>43034279.279279277</v>
      </c>
      <c r="P473">
        <v>44979992.79279279</v>
      </c>
      <c r="Q473">
        <v>429</v>
      </c>
      <c r="R473">
        <v>112</v>
      </c>
      <c r="S473">
        <v>57253738.738738738</v>
      </c>
      <c r="T473">
        <v>58326295.495495498</v>
      </c>
      <c r="U473">
        <v>39705585.585585587</v>
      </c>
      <c r="V473">
        <v>27844369.369369369</v>
      </c>
      <c r="W473">
        <v>4698</v>
      </c>
      <c r="X473">
        <v>4711</v>
      </c>
    </row>
    <row r="474" spans="1:24">
      <c r="A474" s="7" t="s">
        <v>568</v>
      </c>
      <c r="B474" s="16" t="s">
        <v>48</v>
      </c>
      <c r="C474">
        <v>333139398.39490634</v>
      </c>
      <c r="D474">
        <v>314767486.74499959</v>
      </c>
      <c r="E474">
        <v>201351.351351352</v>
      </c>
      <c r="F474">
        <v>1379279.27927928</v>
      </c>
      <c r="G474">
        <v>13</v>
      </c>
      <c r="H474">
        <v>9</v>
      </c>
      <c r="I474">
        <v>3</v>
      </c>
      <c r="J474">
        <v>6</v>
      </c>
      <c r="M474">
        <v>17</v>
      </c>
      <c r="N474">
        <v>60</v>
      </c>
      <c r="O474">
        <v>14615765.765765768</v>
      </c>
      <c r="P474">
        <v>12892792.792792793</v>
      </c>
      <c r="R474">
        <v>32</v>
      </c>
      <c r="S474">
        <v>38464673.873873875</v>
      </c>
      <c r="T474">
        <v>40016282.882882878</v>
      </c>
      <c r="U474">
        <v>17722432.432432432</v>
      </c>
      <c r="V474">
        <v>13923693.693693696</v>
      </c>
      <c r="W474">
        <v>6329</v>
      </c>
      <c r="X474">
        <v>5919</v>
      </c>
    </row>
    <row r="475" spans="1:24">
      <c r="A475" s="7" t="s">
        <v>569</v>
      </c>
      <c r="B475" s="16" t="s">
        <v>169</v>
      </c>
      <c r="C475">
        <v>4606384355.271492</v>
      </c>
      <c r="D475">
        <v>4599680857.3364267</v>
      </c>
      <c r="E475">
        <v>3526926440.5405402</v>
      </c>
      <c r="F475">
        <v>3335483444.1441445</v>
      </c>
      <c r="G475">
        <v>1109</v>
      </c>
      <c r="H475">
        <v>1162</v>
      </c>
      <c r="I475">
        <v>85</v>
      </c>
      <c r="J475">
        <v>71</v>
      </c>
      <c r="K475">
        <v>8</v>
      </c>
      <c r="M475">
        <v>1379</v>
      </c>
      <c r="N475">
        <v>2198</v>
      </c>
      <c r="O475">
        <v>1446882709.0090089</v>
      </c>
      <c r="P475">
        <v>609733342.34234238</v>
      </c>
      <c r="Q475">
        <v>1765</v>
      </c>
      <c r="R475">
        <v>1332</v>
      </c>
      <c r="S475">
        <v>2705953699.0990992</v>
      </c>
      <c r="T475">
        <v>2922839173.8738737</v>
      </c>
      <c r="U475">
        <v>877429502.70270276</v>
      </c>
      <c r="V475">
        <v>577455625.22522521</v>
      </c>
      <c r="W475">
        <v>56949</v>
      </c>
      <c r="X475">
        <v>54258</v>
      </c>
    </row>
    <row r="476" spans="1:24">
      <c r="A476" s="7" t="s">
        <v>570</v>
      </c>
      <c r="B476" s="16" t="s">
        <v>220</v>
      </c>
      <c r="C476">
        <v>310962804.61508119</v>
      </c>
      <c r="D476">
        <v>279680047.33694696</v>
      </c>
      <c r="E476">
        <v>498784161.26126122</v>
      </c>
      <c r="F476">
        <v>424363876.57657659</v>
      </c>
      <c r="G476">
        <v>37</v>
      </c>
      <c r="H476">
        <v>29</v>
      </c>
      <c r="I476">
        <v>6</v>
      </c>
      <c r="J476">
        <v>4</v>
      </c>
      <c r="M476">
        <v>42</v>
      </c>
      <c r="N476">
        <v>32</v>
      </c>
      <c r="O476">
        <v>26774324.324324328</v>
      </c>
      <c r="P476">
        <v>22996126.126126125</v>
      </c>
      <c r="Q476">
        <v>170</v>
      </c>
      <c r="S476">
        <v>50613558.558558561</v>
      </c>
      <c r="T476">
        <v>46313540.540540546</v>
      </c>
      <c r="U476">
        <v>12813693.693693692</v>
      </c>
      <c r="V476">
        <v>11066216.216216214</v>
      </c>
      <c r="W476">
        <v>5226</v>
      </c>
      <c r="X476">
        <v>4300</v>
      </c>
    </row>
    <row r="477" spans="1:24">
      <c r="A477" s="7" t="s">
        <v>571</v>
      </c>
      <c r="B477" s="16" t="s">
        <v>85</v>
      </c>
      <c r="C477">
        <v>346691877.1944595</v>
      </c>
      <c r="D477">
        <v>343100281.7070967</v>
      </c>
      <c r="E477">
        <v>817117.11711711704</v>
      </c>
      <c r="F477">
        <v>554054.05405405595</v>
      </c>
      <c r="G477">
        <v>26</v>
      </c>
      <c r="H477">
        <v>42</v>
      </c>
      <c r="I477">
        <v>2</v>
      </c>
      <c r="J477">
        <v>3</v>
      </c>
      <c r="K477">
        <v>1</v>
      </c>
      <c r="M477">
        <v>28</v>
      </c>
      <c r="N477">
        <v>45</v>
      </c>
      <c r="O477">
        <v>8294594.594594595</v>
      </c>
      <c r="P477">
        <v>31655033.333333336</v>
      </c>
      <c r="Q477">
        <v>190</v>
      </c>
      <c r="R477">
        <v>12</v>
      </c>
      <c r="S477">
        <v>78435210.810810819</v>
      </c>
      <c r="T477">
        <v>78633809.009009004</v>
      </c>
      <c r="U477">
        <v>9572522.5225225203</v>
      </c>
      <c r="V477">
        <v>24301981.981981985</v>
      </c>
      <c r="W477">
        <v>4969</v>
      </c>
      <c r="X477">
        <v>4916</v>
      </c>
    </row>
    <row r="478" spans="1:24">
      <c r="A478" s="7" t="s">
        <v>572</v>
      </c>
      <c r="B478" s="16" t="s">
        <v>479</v>
      </c>
      <c r="C478">
        <v>171156742.74769601</v>
      </c>
      <c r="D478">
        <v>181978037.8680824</v>
      </c>
      <c r="E478">
        <v>2337837.83783784</v>
      </c>
      <c r="F478">
        <v>3168468.468468471</v>
      </c>
      <c r="G478">
        <v>85</v>
      </c>
      <c r="H478">
        <v>106</v>
      </c>
      <c r="I478">
        <v>7</v>
      </c>
      <c r="J478">
        <v>7</v>
      </c>
      <c r="M478">
        <v>164</v>
      </c>
      <c r="N478">
        <v>163</v>
      </c>
      <c r="O478">
        <v>33684504.504504509</v>
      </c>
      <c r="P478">
        <v>32143243.243243247</v>
      </c>
      <c r="Q478">
        <v>12</v>
      </c>
      <c r="R478">
        <v>66</v>
      </c>
      <c r="S478">
        <v>62461216.216216214</v>
      </c>
      <c r="T478">
        <v>75506679.279279277</v>
      </c>
      <c r="U478">
        <v>31855675.675675672</v>
      </c>
      <c r="V478">
        <v>30224414.414414417</v>
      </c>
      <c r="W478">
        <v>5270</v>
      </c>
      <c r="X478">
        <v>5097</v>
      </c>
    </row>
    <row r="479" spans="1:24">
      <c r="A479" s="7" t="s">
        <v>573</v>
      </c>
      <c r="B479" s="16" t="s">
        <v>94</v>
      </c>
      <c r="C479">
        <v>489122486.6935358</v>
      </c>
      <c r="D479">
        <v>466402644.79436302</v>
      </c>
      <c r="E479">
        <v>1814414.4144144161</v>
      </c>
      <c r="F479">
        <v>2989189.18918919</v>
      </c>
      <c r="G479">
        <v>134</v>
      </c>
      <c r="H479">
        <v>87</v>
      </c>
      <c r="I479">
        <v>11</v>
      </c>
      <c r="J479">
        <v>10</v>
      </c>
      <c r="K479">
        <v>1</v>
      </c>
      <c r="M479">
        <v>153</v>
      </c>
      <c r="N479">
        <v>126</v>
      </c>
      <c r="O479">
        <v>492189189.1891892</v>
      </c>
      <c r="P479">
        <v>850723423.42342353</v>
      </c>
      <c r="Q479">
        <v>119</v>
      </c>
      <c r="R479">
        <v>207</v>
      </c>
      <c r="S479">
        <v>107898626.12612613</v>
      </c>
      <c r="T479">
        <v>101704486.93693693</v>
      </c>
      <c r="U479">
        <v>34977297.297297299</v>
      </c>
      <c r="V479">
        <v>37583603.603603609</v>
      </c>
      <c r="W479">
        <v>9559</v>
      </c>
      <c r="X479">
        <v>9320</v>
      </c>
    </row>
    <row r="480" spans="1:24">
      <c r="A480" s="7" t="s">
        <v>574</v>
      </c>
      <c r="B480" s="16" t="s">
        <v>307</v>
      </c>
      <c r="C480">
        <v>1090418520.2027557</v>
      </c>
      <c r="D480">
        <v>1092360614.0354331</v>
      </c>
      <c r="E480">
        <v>13572612.612612613</v>
      </c>
      <c r="F480">
        <v>20636666.666666675</v>
      </c>
      <c r="G480">
        <v>396</v>
      </c>
      <c r="H480">
        <v>411</v>
      </c>
      <c r="I480">
        <v>16</v>
      </c>
      <c r="J480">
        <v>24</v>
      </c>
      <c r="K480">
        <v>1</v>
      </c>
      <c r="M480">
        <v>435</v>
      </c>
      <c r="N480">
        <v>578</v>
      </c>
      <c r="O480">
        <v>1188183558.5585585</v>
      </c>
      <c r="P480">
        <v>1290030315.3153152</v>
      </c>
      <c r="Q480">
        <v>1541</v>
      </c>
      <c r="R480">
        <v>1768</v>
      </c>
      <c r="S480">
        <v>430431378.37837839</v>
      </c>
      <c r="T480">
        <v>443042246.3963964</v>
      </c>
      <c r="U480">
        <v>98721486.486486495</v>
      </c>
      <c r="V480">
        <v>248895000</v>
      </c>
      <c r="W480">
        <v>32761</v>
      </c>
      <c r="X480">
        <v>33144</v>
      </c>
    </row>
    <row r="481" spans="1:24">
      <c r="A481" s="7" t="s">
        <v>10</v>
      </c>
      <c r="B481" s="16" t="s">
        <v>193</v>
      </c>
      <c r="C481">
        <v>185025801.248925</v>
      </c>
      <c r="D481">
        <v>175204946.25290117</v>
      </c>
      <c r="G481">
        <v>13</v>
      </c>
      <c r="H481">
        <v>26</v>
      </c>
      <c r="J481">
        <v>0</v>
      </c>
      <c r="M481">
        <v>13</v>
      </c>
      <c r="N481">
        <v>27</v>
      </c>
      <c r="S481">
        <v>106712747.74774775</v>
      </c>
      <c r="T481">
        <v>104955286.48648648</v>
      </c>
      <c r="V481">
        <v>19639.639639640001</v>
      </c>
      <c r="W481">
        <v>3845</v>
      </c>
      <c r="X481">
        <v>3663</v>
      </c>
    </row>
    <row r="482" spans="1:24">
      <c r="A482" s="7" t="s">
        <v>575</v>
      </c>
      <c r="B482" s="16" t="s">
        <v>87</v>
      </c>
      <c r="C482">
        <v>4196626.762270146</v>
      </c>
      <c r="D482">
        <v>3784058.8096992821</v>
      </c>
      <c r="G482">
        <v>5</v>
      </c>
      <c r="H482">
        <v>18</v>
      </c>
      <c r="M482">
        <v>5</v>
      </c>
      <c r="N482">
        <v>19</v>
      </c>
      <c r="S482">
        <v>1203378.378378378</v>
      </c>
      <c r="T482">
        <v>1307944.1441441439</v>
      </c>
      <c r="W482">
        <v>242</v>
      </c>
      <c r="X482">
        <v>244</v>
      </c>
    </row>
    <row r="483" spans="1:24">
      <c r="A483" s="7" t="s">
        <v>576</v>
      </c>
      <c r="B483" s="16" t="s">
        <v>283</v>
      </c>
      <c r="C483">
        <v>259847836.47176135</v>
      </c>
      <c r="D483">
        <v>237729716.53781611</v>
      </c>
      <c r="E483">
        <v>33773198.198198199</v>
      </c>
      <c r="F483">
        <v>135156756.75675675</v>
      </c>
      <c r="G483">
        <v>61</v>
      </c>
      <c r="H483">
        <v>37</v>
      </c>
      <c r="I483">
        <v>2</v>
      </c>
      <c r="J483">
        <v>0</v>
      </c>
      <c r="M483">
        <v>65</v>
      </c>
      <c r="N483">
        <v>40</v>
      </c>
      <c r="O483">
        <v>34486486.486486487</v>
      </c>
      <c r="P483">
        <v>20245045.045045048</v>
      </c>
      <c r="R483">
        <v>8</v>
      </c>
      <c r="S483">
        <v>35494279.279279277</v>
      </c>
      <c r="T483">
        <v>37791909.909909911</v>
      </c>
      <c r="U483">
        <v>12068558.558558557</v>
      </c>
      <c r="V483">
        <v>19734864.864864863</v>
      </c>
      <c r="W483">
        <v>3659</v>
      </c>
      <c r="X483">
        <v>3484</v>
      </c>
    </row>
    <row r="484" spans="1:24">
      <c r="A484" s="7" t="s">
        <v>577</v>
      </c>
      <c r="B484" s="16" t="s">
        <v>307</v>
      </c>
      <c r="C484">
        <v>1085831182.3007536</v>
      </c>
      <c r="D484">
        <v>1045062132.4338884</v>
      </c>
      <c r="E484">
        <v>174312207.2072072</v>
      </c>
      <c r="F484">
        <v>414626576.57657659</v>
      </c>
      <c r="G484">
        <v>558</v>
      </c>
      <c r="H484">
        <v>397</v>
      </c>
      <c r="I484">
        <v>35</v>
      </c>
      <c r="J484">
        <v>36</v>
      </c>
      <c r="M484">
        <v>663</v>
      </c>
      <c r="N484">
        <v>570</v>
      </c>
      <c r="O484">
        <v>110608153.15315315</v>
      </c>
      <c r="P484">
        <v>135560090.0900901</v>
      </c>
      <c r="Q484">
        <v>1229</v>
      </c>
      <c r="R484">
        <v>1050</v>
      </c>
      <c r="S484">
        <v>419806432.43243247</v>
      </c>
      <c r="T484">
        <v>443305693.6936937</v>
      </c>
      <c r="U484">
        <v>95874864.864864871</v>
      </c>
      <c r="V484">
        <v>117982207.2072072</v>
      </c>
      <c r="W484">
        <v>39210</v>
      </c>
      <c r="X484">
        <v>39284</v>
      </c>
    </row>
    <row r="485" spans="1:24">
      <c r="A485" s="7" t="s">
        <v>578</v>
      </c>
      <c r="B485" s="16" t="s">
        <v>330</v>
      </c>
      <c r="C485">
        <v>1024402458.899346</v>
      </c>
      <c r="D485">
        <v>966406461.82072473</v>
      </c>
      <c r="E485">
        <v>75148198.198198214</v>
      </c>
      <c r="F485">
        <v>420244594.5945946</v>
      </c>
      <c r="G485">
        <v>366</v>
      </c>
      <c r="H485">
        <v>343</v>
      </c>
      <c r="I485">
        <v>35</v>
      </c>
      <c r="J485">
        <v>34</v>
      </c>
      <c r="K485">
        <v>17</v>
      </c>
      <c r="M485">
        <v>457</v>
      </c>
      <c r="N485">
        <v>556</v>
      </c>
      <c r="O485">
        <v>180801891.8918919</v>
      </c>
      <c r="P485">
        <v>169288288.2882883</v>
      </c>
      <c r="Q485">
        <v>775</v>
      </c>
      <c r="R485">
        <v>235</v>
      </c>
      <c r="S485">
        <v>204868360.36036035</v>
      </c>
      <c r="T485">
        <v>210278378.37837836</v>
      </c>
      <c r="U485">
        <v>171267657.65765765</v>
      </c>
      <c r="V485">
        <v>155903333.33333334</v>
      </c>
      <c r="W485">
        <v>27861</v>
      </c>
      <c r="X485">
        <v>28216</v>
      </c>
    </row>
    <row r="486" spans="1:24">
      <c r="A486" s="7" t="s">
        <v>579</v>
      </c>
      <c r="B486" s="16" t="s">
        <v>66</v>
      </c>
      <c r="C486">
        <v>159035603.12850267</v>
      </c>
      <c r="D486">
        <v>151363758.03400838</v>
      </c>
      <c r="E486">
        <v>144594.59459459499</v>
      </c>
      <c r="F486">
        <v>404054.05405405501</v>
      </c>
      <c r="G486">
        <v>32</v>
      </c>
      <c r="H486">
        <v>28</v>
      </c>
      <c r="I486">
        <v>1</v>
      </c>
      <c r="J486">
        <v>1</v>
      </c>
      <c r="M486">
        <v>36</v>
      </c>
      <c r="N486">
        <v>31</v>
      </c>
      <c r="O486">
        <v>3003603.6036036038</v>
      </c>
      <c r="P486">
        <v>4320720.7207207223</v>
      </c>
      <c r="Q486">
        <v>24</v>
      </c>
      <c r="R486">
        <v>15</v>
      </c>
      <c r="S486">
        <v>39050270.270270273</v>
      </c>
      <c r="T486">
        <v>41195400.9009009</v>
      </c>
      <c r="U486">
        <v>2712792.7927927938</v>
      </c>
      <c r="V486">
        <v>3654684.684684685</v>
      </c>
      <c r="W486">
        <v>3317</v>
      </c>
      <c r="X486">
        <v>3496</v>
      </c>
    </row>
    <row r="487" spans="1:24">
      <c r="A487" s="7" t="s">
        <v>580</v>
      </c>
      <c r="B487" s="16" t="s">
        <v>236</v>
      </c>
      <c r="C487">
        <v>89614.526364521007</v>
      </c>
      <c r="D487">
        <v>12011.332970474001</v>
      </c>
      <c r="S487">
        <v>124774.774774775</v>
      </c>
      <c r="W487">
        <v>624</v>
      </c>
    </row>
    <row r="488" spans="1:24">
      <c r="A488" s="7" t="s">
        <v>581</v>
      </c>
      <c r="B488" s="16" t="s">
        <v>62</v>
      </c>
      <c r="C488">
        <v>391110414.79585135</v>
      </c>
      <c r="D488">
        <v>384987225.62024856</v>
      </c>
      <c r="E488">
        <v>1828378.378378385</v>
      </c>
      <c r="F488">
        <v>3879279.2792792888</v>
      </c>
      <c r="G488">
        <v>152</v>
      </c>
      <c r="H488">
        <v>205</v>
      </c>
      <c r="I488">
        <v>18</v>
      </c>
      <c r="J488">
        <v>25</v>
      </c>
      <c r="M488">
        <v>158</v>
      </c>
      <c r="N488">
        <v>270</v>
      </c>
      <c r="O488">
        <v>34035585.585585587</v>
      </c>
      <c r="P488">
        <v>35604324.324324325</v>
      </c>
      <c r="Q488">
        <v>65</v>
      </c>
      <c r="R488">
        <v>186</v>
      </c>
      <c r="S488">
        <v>87921522.522522524</v>
      </c>
      <c r="T488">
        <v>88987729.729729727</v>
      </c>
      <c r="U488">
        <v>32280540.540540539</v>
      </c>
      <c r="V488">
        <v>36215225.225225225</v>
      </c>
      <c r="W488">
        <v>6817</v>
      </c>
      <c r="X488">
        <v>6868</v>
      </c>
    </row>
    <row r="489" spans="1:24">
      <c r="A489" s="7" t="s">
        <v>582</v>
      </c>
      <c r="B489" s="16" t="s">
        <v>48</v>
      </c>
      <c r="C489">
        <v>394351086.83754033</v>
      </c>
      <c r="D489">
        <v>351791995.0938198</v>
      </c>
      <c r="E489">
        <v>2576666.666666666</v>
      </c>
      <c r="F489">
        <v>2134729.7297297302</v>
      </c>
      <c r="G489">
        <v>128</v>
      </c>
      <c r="H489">
        <v>35</v>
      </c>
      <c r="I489">
        <v>3</v>
      </c>
      <c r="J489">
        <v>4</v>
      </c>
      <c r="M489">
        <v>130</v>
      </c>
      <c r="N489">
        <v>59</v>
      </c>
      <c r="O489">
        <v>81949909.909909919</v>
      </c>
      <c r="P489">
        <v>122810900.9009009</v>
      </c>
      <c r="S489">
        <v>57012297.297297299</v>
      </c>
      <c r="T489">
        <v>52209229.729729727</v>
      </c>
      <c r="U489">
        <v>65386846.846846849</v>
      </c>
      <c r="V489">
        <v>120525045.04504503</v>
      </c>
      <c r="W489">
        <v>5672</v>
      </c>
      <c r="X489">
        <v>4591</v>
      </c>
    </row>
    <row r="490" spans="1:24">
      <c r="A490" s="7" t="s">
        <v>583</v>
      </c>
      <c r="B490" s="16" t="s">
        <v>54</v>
      </c>
      <c r="C490">
        <v>70448824.266541466</v>
      </c>
      <c r="D490">
        <v>68909423.127596214</v>
      </c>
      <c r="E490">
        <v>906531.53153153195</v>
      </c>
      <c r="F490">
        <v>689189.18918919202</v>
      </c>
      <c r="G490">
        <v>17</v>
      </c>
      <c r="H490">
        <v>23</v>
      </c>
      <c r="I490">
        <v>7</v>
      </c>
      <c r="J490">
        <v>9</v>
      </c>
      <c r="M490">
        <v>20</v>
      </c>
      <c r="N490">
        <v>62</v>
      </c>
      <c r="O490">
        <v>13384684.684684685</v>
      </c>
      <c r="P490">
        <v>10542882.882882884</v>
      </c>
      <c r="Q490">
        <v>133</v>
      </c>
      <c r="R490">
        <v>59</v>
      </c>
      <c r="S490">
        <v>17708828.828828827</v>
      </c>
      <c r="T490">
        <v>18154605.855855856</v>
      </c>
      <c r="U490">
        <v>12968738.73873874</v>
      </c>
      <c r="V490">
        <v>9558198.1981981974</v>
      </c>
      <c r="W490">
        <v>2055</v>
      </c>
      <c r="X490">
        <v>2028</v>
      </c>
    </row>
    <row r="491" spans="1:24">
      <c r="A491" s="7" t="s">
        <v>584</v>
      </c>
      <c r="B491" s="16" t="s">
        <v>70</v>
      </c>
      <c r="C491">
        <v>182323607.67826104</v>
      </c>
      <c r="D491">
        <v>177625020.51839221</v>
      </c>
      <c r="E491">
        <v>1000000</v>
      </c>
      <c r="F491">
        <v>108108.108108108</v>
      </c>
      <c r="G491">
        <v>30</v>
      </c>
      <c r="H491">
        <v>45</v>
      </c>
      <c r="J491">
        <v>1</v>
      </c>
      <c r="K491">
        <v>2</v>
      </c>
      <c r="M491">
        <v>33</v>
      </c>
      <c r="N491">
        <v>49</v>
      </c>
      <c r="O491">
        <v>2433333.333333334</v>
      </c>
      <c r="P491">
        <v>1596396.3963963981</v>
      </c>
      <c r="Q491">
        <v>11</v>
      </c>
      <c r="R491">
        <v>8</v>
      </c>
      <c r="S491">
        <v>79564954.954954967</v>
      </c>
      <c r="T491">
        <v>81346270.270270273</v>
      </c>
      <c r="U491">
        <v>2432882.8828828828</v>
      </c>
      <c r="V491">
        <v>1812612.6126126139</v>
      </c>
      <c r="W491">
        <v>3689</v>
      </c>
      <c r="X491">
        <v>3524</v>
      </c>
    </row>
    <row r="492" spans="1:24">
      <c r="A492" s="7" t="s">
        <v>585</v>
      </c>
      <c r="B492" s="16" t="s">
        <v>330</v>
      </c>
      <c r="C492">
        <v>707686086.68804467</v>
      </c>
      <c r="D492">
        <v>666906208.48318183</v>
      </c>
      <c r="E492">
        <v>2856081.0810810812</v>
      </c>
      <c r="F492">
        <v>7188288.2882882887</v>
      </c>
      <c r="G492">
        <v>290</v>
      </c>
      <c r="H492">
        <v>265</v>
      </c>
      <c r="I492">
        <v>23</v>
      </c>
      <c r="J492">
        <v>18</v>
      </c>
      <c r="K492">
        <v>11</v>
      </c>
      <c r="M492">
        <v>348</v>
      </c>
      <c r="N492">
        <v>347</v>
      </c>
      <c r="O492">
        <v>44201441.441441439</v>
      </c>
      <c r="P492">
        <v>81180720.720720723</v>
      </c>
      <c r="Q492">
        <v>402</v>
      </c>
      <c r="R492">
        <v>198</v>
      </c>
      <c r="S492">
        <v>170106790.99099097</v>
      </c>
      <c r="T492">
        <v>181654084.68468466</v>
      </c>
      <c r="U492">
        <v>40282612.612612613</v>
      </c>
      <c r="V492">
        <v>75442432.432432428</v>
      </c>
      <c r="W492">
        <v>20786</v>
      </c>
      <c r="X492">
        <v>20398</v>
      </c>
    </row>
    <row r="493" spans="1:24">
      <c r="A493" s="7" t="s">
        <v>586</v>
      </c>
      <c r="B493" s="16" t="s">
        <v>66</v>
      </c>
      <c r="C493">
        <v>309463544.3191641</v>
      </c>
      <c r="D493">
        <v>320050265.17557853</v>
      </c>
      <c r="E493">
        <v>151498383.78378376</v>
      </c>
      <c r="F493">
        <v>712795428.82882881</v>
      </c>
      <c r="G493">
        <v>170</v>
      </c>
      <c r="H493">
        <v>152</v>
      </c>
      <c r="I493">
        <v>12</v>
      </c>
      <c r="J493">
        <v>10</v>
      </c>
      <c r="K493">
        <v>1</v>
      </c>
      <c r="M493">
        <v>404</v>
      </c>
      <c r="N493">
        <v>313</v>
      </c>
      <c r="O493">
        <v>36567297.297297299</v>
      </c>
      <c r="P493">
        <v>77739774.774774775</v>
      </c>
      <c r="Q493">
        <v>386</v>
      </c>
      <c r="R493">
        <v>49</v>
      </c>
      <c r="S493">
        <v>160656864.86486486</v>
      </c>
      <c r="T493">
        <v>157785855.85585588</v>
      </c>
      <c r="U493">
        <v>35774414.414414413</v>
      </c>
      <c r="V493">
        <v>68325540.540540531</v>
      </c>
      <c r="W493">
        <v>10549</v>
      </c>
      <c r="X493">
        <v>10582</v>
      </c>
    </row>
    <row r="494" spans="1:24">
      <c r="A494" s="7" t="s">
        <v>11</v>
      </c>
      <c r="B494" s="16" t="s">
        <v>193</v>
      </c>
      <c r="C494">
        <v>144818735.396229</v>
      </c>
      <c r="D494">
        <v>152762855.55573151</v>
      </c>
      <c r="E494">
        <v>343243.24324324197</v>
      </c>
      <c r="F494">
        <v>586486.48648648802</v>
      </c>
      <c r="G494">
        <v>47</v>
      </c>
      <c r="H494">
        <v>34</v>
      </c>
      <c r="I494">
        <v>6</v>
      </c>
      <c r="J494">
        <v>0</v>
      </c>
      <c r="M494">
        <v>52</v>
      </c>
      <c r="N494">
        <v>41</v>
      </c>
      <c r="O494">
        <v>5127027.0270270258</v>
      </c>
      <c r="P494">
        <v>14505405.405405408</v>
      </c>
      <c r="Q494">
        <v>44</v>
      </c>
      <c r="S494">
        <v>48428648.648648649</v>
      </c>
      <c r="T494">
        <v>51967020.270270273</v>
      </c>
      <c r="U494">
        <v>5575765.7657657648</v>
      </c>
      <c r="V494">
        <v>14765045.045045046</v>
      </c>
      <c r="W494">
        <v>3787</v>
      </c>
      <c r="X494">
        <v>4075</v>
      </c>
    </row>
    <row r="495" spans="1:24">
      <c r="A495" s="7" t="s">
        <v>12</v>
      </c>
      <c r="B495" s="16" t="s">
        <v>193</v>
      </c>
      <c r="C495">
        <v>102190068.74341169</v>
      </c>
      <c r="D495">
        <v>102663804.6574952</v>
      </c>
      <c r="E495">
        <v>66666.666666664998</v>
      </c>
      <c r="F495">
        <v>4344144.1441441448</v>
      </c>
      <c r="G495">
        <v>31</v>
      </c>
      <c r="H495">
        <v>15</v>
      </c>
      <c r="I495">
        <v>8</v>
      </c>
      <c r="J495">
        <v>5</v>
      </c>
      <c r="M495">
        <v>37</v>
      </c>
      <c r="N495">
        <v>17</v>
      </c>
      <c r="O495">
        <v>9518468.4684684686</v>
      </c>
      <c r="P495">
        <v>20650450.45045045</v>
      </c>
      <c r="Q495">
        <v>70</v>
      </c>
      <c r="S495">
        <v>39689360.360360362</v>
      </c>
      <c r="T495">
        <v>41308081.081081077</v>
      </c>
      <c r="U495">
        <v>6039549.549549548</v>
      </c>
      <c r="V495">
        <v>22983063.063063063</v>
      </c>
      <c r="W495">
        <v>2909</v>
      </c>
      <c r="X495">
        <v>2888</v>
      </c>
    </row>
    <row r="496" spans="1:24">
      <c r="A496" s="7" t="s">
        <v>587</v>
      </c>
      <c r="B496" s="16" t="s">
        <v>60</v>
      </c>
      <c r="C496">
        <v>78934602.284842849</v>
      </c>
      <c r="D496">
        <v>81342070.507610917</v>
      </c>
      <c r="E496">
        <v>209009.009009011</v>
      </c>
      <c r="F496">
        <v>625225.22522522602</v>
      </c>
      <c r="G496">
        <v>36</v>
      </c>
      <c r="H496">
        <v>39</v>
      </c>
      <c r="I496">
        <v>5</v>
      </c>
      <c r="J496">
        <v>9</v>
      </c>
      <c r="K496">
        <v>1</v>
      </c>
      <c r="M496">
        <v>46</v>
      </c>
      <c r="N496">
        <v>65</v>
      </c>
      <c r="O496">
        <v>12596396.396396395</v>
      </c>
      <c r="P496">
        <v>13400000</v>
      </c>
      <c r="Q496">
        <v>80</v>
      </c>
      <c r="R496">
        <v>67</v>
      </c>
      <c r="S496">
        <v>31291306.306306303</v>
      </c>
      <c r="T496">
        <v>30171029.27927928</v>
      </c>
      <c r="U496">
        <v>12165855.855855856</v>
      </c>
      <c r="V496">
        <v>13065675.675675675</v>
      </c>
      <c r="W496">
        <v>1877</v>
      </c>
      <c r="X496">
        <v>1792</v>
      </c>
    </row>
    <row r="497" spans="1:24">
      <c r="A497" s="7" t="s">
        <v>588</v>
      </c>
      <c r="B497" s="16" t="s">
        <v>307</v>
      </c>
      <c r="C497">
        <v>2346644575.3633909</v>
      </c>
      <c r="D497">
        <v>2279286335.3613987</v>
      </c>
      <c r="E497">
        <v>1509990073.8738739</v>
      </c>
      <c r="F497">
        <v>1733881845.0450449</v>
      </c>
      <c r="G497">
        <v>1058</v>
      </c>
      <c r="H497">
        <v>1048</v>
      </c>
      <c r="I497">
        <v>84</v>
      </c>
      <c r="J497">
        <v>79</v>
      </c>
      <c r="K497">
        <v>3</v>
      </c>
      <c r="M497">
        <v>1239</v>
      </c>
      <c r="N497">
        <v>1472</v>
      </c>
      <c r="O497">
        <v>235011576.57657659</v>
      </c>
      <c r="P497">
        <v>539211068.46846843</v>
      </c>
      <c r="Q497">
        <v>2255</v>
      </c>
      <c r="R497">
        <v>2698</v>
      </c>
      <c r="S497">
        <v>721763207.2072072</v>
      </c>
      <c r="T497">
        <v>730928680.18018019</v>
      </c>
      <c r="U497">
        <v>234814864.86486486</v>
      </c>
      <c r="V497">
        <v>463078738.73873878</v>
      </c>
      <c r="W497">
        <v>64934</v>
      </c>
      <c r="X497">
        <v>68070</v>
      </c>
    </row>
    <row r="498" spans="1:24">
      <c r="A498" s="7" t="s">
        <v>589</v>
      </c>
      <c r="B498" s="16" t="s">
        <v>52</v>
      </c>
      <c r="C498">
        <v>561706736.22555876</v>
      </c>
      <c r="D498">
        <v>545492878.55914128</v>
      </c>
      <c r="E498">
        <v>14913783.783783788</v>
      </c>
      <c r="F498">
        <v>9809081.9819819834</v>
      </c>
      <c r="G498">
        <v>109</v>
      </c>
      <c r="H498">
        <v>111</v>
      </c>
      <c r="I498">
        <v>14</v>
      </c>
      <c r="J498">
        <v>22</v>
      </c>
      <c r="M498">
        <v>181</v>
      </c>
      <c r="N498">
        <v>282</v>
      </c>
      <c r="O498">
        <v>63036396.396396399</v>
      </c>
      <c r="P498">
        <v>147932558.55855855</v>
      </c>
      <c r="Q498">
        <v>584</v>
      </c>
      <c r="R498">
        <v>1853</v>
      </c>
      <c r="S498">
        <v>222865454.95495495</v>
      </c>
      <c r="T498">
        <v>219774072.07207206</v>
      </c>
      <c r="U498">
        <v>60755675.675675675</v>
      </c>
      <c r="V498">
        <v>159720315.31531534</v>
      </c>
      <c r="W498">
        <v>14389</v>
      </c>
      <c r="X498">
        <v>18891</v>
      </c>
    </row>
    <row r="499" spans="1:24">
      <c r="A499" s="7" t="s">
        <v>590</v>
      </c>
      <c r="B499" s="16" t="s">
        <v>54</v>
      </c>
      <c r="C499">
        <v>45101103.699349746</v>
      </c>
      <c r="D499">
        <v>46854169.633063965</v>
      </c>
      <c r="E499">
        <v>23414189.189189188</v>
      </c>
      <c r="F499">
        <v>52167117.117117122</v>
      </c>
      <c r="G499">
        <v>12</v>
      </c>
      <c r="H499">
        <v>18</v>
      </c>
      <c r="I499">
        <v>2</v>
      </c>
      <c r="J499">
        <v>3</v>
      </c>
      <c r="M499">
        <v>14</v>
      </c>
      <c r="N499">
        <v>25</v>
      </c>
      <c r="O499">
        <v>12700900.9009009</v>
      </c>
      <c r="P499">
        <v>10113063.063063065</v>
      </c>
      <c r="Q499">
        <v>24</v>
      </c>
      <c r="R499">
        <v>16</v>
      </c>
      <c r="S499">
        <v>14854180.180180181</v>
      </c>
      <c r="T499">
        <v>14883972.972972972</v>
      </c>
      <c r="U499">
        <v>7738828.8288288293</v>
      </c>
      <c r="V499">
        <v>8795315.3153153155</v>
      </c>
      <c r="W499">
        <v>1555</v>
      </c>
      <c r="X499">
        <v>1568</v>
      </c>
    </row>
    <row r="500" spans="1:24">
      <c r="A500" s="7" t="s">
        <v>591</v>
      </c>
      <c r="B500" s="16" t="s">
        <v>169</v>
      </c>
      <c r="C500">
        <v>1363051862.4872308</v>
      </c>
      <c r="D500">
        <v>1331445821.2325983</v>
      </c>
      <c r="E500">
        <v>7837117.1171171209</v>
      </c>
      <c r="F500">
        <v>8288963.9639639659</v>
      </c>
      <c r="G500">
        <v>174</v>
      </c>
      <c r="H500">
        <v>97</v>
      </c>
      <c r="I500">
        <v>22</v>
      </c>
      <c r="J500">
        <v>14</v>
      </c>
      <c r="K500">
        <v>3</v>
      </c>
      <c r="M500">
        <v>199</v>
      </c>
      <c r="N500">
        <v>163</v>
      </c>
      <c r="O500">
        <v>199678593.6936937</v>
      </c>
      <c r="P500">
        <v>270212430.63063061</v>
      </c>
      <c r="Q500">
        <v>430</v>
      </c>
      <c r="R500">
        <v>276</v>
      </c>
      <c r="S500">
        <v>457194818.01801807</v>
      </c>
      <c r="T500">
        <v>451024851.35135138</v>
      </c>
      <c r="U500">
        <v>165141351.35135135</v>
      </c>
      <c r="V500">
        <v>241523873.87387386</v>
      </c>
      <c r="W500">
        <v>23705</v>
      </c>
      <c r="X500">
        <v>23488</v>
      </c>
    </row>
    <row r="501" spans="1:24">
      <c r="A501" s="7" t="s">
        <v>592</v>
      </c>
      <c r="B501" s="16" t="s">
        <v>87</v>
      </c>
      <c r="C501">
        <v>7496651.3796612481</v>
      </c>
      <c r="D501">
        <v>6673551.0072394926</v>
      </c>
      <c r="H501">
        <v>2</v>
      </c>
      <c r="M501">
        <v>1</v>
      </c>
      <c r="N501">
        <v>2</v>
      </c>
      <c r="S501">
        <v>1855351.3513513519</v>
      </c>
      <c r="T501">
        <v>1696801.801801801</v>
      </c>
      <c r="W501">
        <v>336</v>
      </c>
      <c r="X501">
        <v>304</v>
      </c>
    </row>
    <row r="502" spans="1:24">
      <c r="A502" s="7" t="s">
        <v>593</v>
      </c>
      <c r="B502" s="16" t="s">
        <v>143</v>
      </c>
      <c r="C502">
        <v>94132297.559544697</v>
      </c>
      <c r="D502">
        <v>93222306.001804963</v>
      </c>
      <c r="E502">
        <v>29729.729729731</v>
      </c>
      <c r="F502">
        <v>259459.45945946101</v>
      </c>
      <c r="G502">
        <v>17</v>
      </c>
      <c r="H502">
        <v>28</v>
      </c>
      <c r="I502">
        <v>4</v>
      </c>
      <c r="J502">
        <v>3</v>
      </c>
      <c r="M502">
        <v>19</v>
      </c>
      <c r="N502">
        <v>30</v>
      </c>
      <c r="O502">
        <v>4336036.036036035</v>
      </c>
      <c r="P502">
        <v>9664864.8648648635</v>
      </c>
      <c r="Q502">
        <v>50</v>
      </c>
      <c r="R502">
        <v>23</v>
      </c>
      <c r="S502">
        <v>8550405.4054054059</v>
      </c>
      <c r="T502">
        <v>9787243.2432432435</v>
      </c>
      <c r="U502">
        <v>4131891.8918918921</v>
      </c>
      <c r="V502">
        <v>5428918.9189189188</v>
      </c>
      <c r="W502">
        <v>1628</v>
      </c>
      <c r="X502">
        <v>1518</v>
      </c>
    </row>
    <row r="503" spans="1:24">
      <c r="A503" s="7" t="s">
        <v>594</v>
      </c>
      <c r="B503" s="16" t="s">
        <v>290</v>
      </c>
      <c r="C503">
        <v>25565022.108971141</v>
      </c>
      <c r="D503">
        <v>25169617.041037902</v>
      </c>
      <c r="E503">
        <v>18696396.396396395</v>
      </c>
      <c r="F503">
        <v>18693693.693693697</v>
      </c>
      <c r="G503">
        <v>3</v>
      </c>
      <c r="H503">
        <v>1</v>
      </c>
      <c r="I503">
        <v>1</v>
      </c>
      <c r="M503">
        <v>3</v>
      </c>
      <c r="N503">
        <v>1</v>
      </c>
      <c r="O503">
        <v>29729.729729729999</v>
      </c>
      <c r="P503">
        <v>27027.027027027001</v>
      </c>
      <c r="S503">
        <v>1007297.297297297</v>
      </c>
      <c r="T503">
        <v>1530225.2252252251</v>
      </c>
      <c r="W503">
        <v>635</v>
      </c>
      <c r="X503">
        <v>654</v>
      </c>
    </row>
    <row r="504" spans="1:24">
      <c r="A504" s="7" t="s">
        <v>595</v>
      </c>
      <c r="B504" s="16" t="s">
        <v>92</v>
      </c>
      <c r="C504">
        <v>34171757.882758014</v>
      </c>
      <c r="D504">
        <v>33124704.546242207</v>
      </c>
      <c r="E504">
        <v>642342.34234234295</v>
      </c>
      <c r="F504">
        <v>1328828.8288288291</v>
      </c>
      <c r="G504">
        <v>11</v>
      </c>
      <c r="H504">
        <v>18</v>
      </c>
      <c r="I504">
        <v>1</v>
      </c>
      <c r="J504">
        <v>2</v>
      </c>
      <c r="M504">
        <v>11</v>
      </c>
      <c r="N504">
        <v>27</v>
      </c>
      <c r="O504">
        <v>970990.99099099101</v>
      </c>
      <c r="P504">
        <v>4261081.0810810812</v>
      </c>
      <c r="Q504">
        <v>21</v>
      </c>
      <c r="R504">
        <v>14</v>
      </c>
      <c r="S504">
        <v>4900945.9459459456</v>
      </c>
      <c r="T504">
        <v>5889090.0900900904</v>
      </c>
      <c r="U504">
        <v>1038288.2882882881</v>
      </c>
      <c r="V504">
        <v>4041351.351351351</v>
      </c>
      <c r="W504">
        <v>516</v>
      </c>
      <c r="X504">
        <v>930</v>
      </c>
    </row>
    <row r="505" spans="1:24">
      <c r="A505" s="7" t="s">
        <v>596</v>
      </c>
      <c r="B505" s="16" t="s">
        <v>50</v>
      </c>
      <c r="C505">
        <v>122041975.98229803</v>
      </c>
      <c r="D505">
        <v>114054291.02344565</v>
      </c>
      <c r="E505">
        <v>1166666.6666666679</v>
      </c>
      <c r="F505">
        <v>3538513.513513512</v>
      </c>
      <c r="G505">
        <v>15</v>
      </c>
      <c r="H505">
        <v>10</v>
      </c>
      <c r="I505">
        <v>2</v>
      </c>
      <c r="J505">
        <v>7</v>
      </c>
      <c r="M505">
        <v>16</v>
      </c>
      <c r="N505">
        <v>12</v>
      </c>
      <c r="O505">
        <v>23629909.909909911</v>
      </c>
      <c r="P505">
        <v>29864774.774774775</v>
      </c>
      <c r="Q505">
        <v>225</v>
      </c>
      <c r="R505">
        <v>68</v>
      </c>
      <c r="S505">
        <v>25923553.153153151</v>
      </c>
      <c r="T505">
        <v>24125672.072072074</v>
      </c>
      <c r="U505">
        <v>24818108.108108107</v>
      </c>
      <c r="V505">
        <v>27249909.909909911</v>
      </c>
      <c r="W505">
        <v>1596</v>
      </c>
      <c r="X505">
        <v>1719</v>
      </c>
    </row>
    <row r="506" spans="1:24">
      <c r="A506" s="7" t="s">
        <v>597</v>
      </c>
      <c r="B506" s="16" t="s">
        <v>89</v>
      </c>
      <c r="C506">
        <v>170038979.90595555</v>
      </c>
      <c r="D506">
        <v>172773040.78587249</v>
      </c>
      <c r="E506">
        <v>66608558.558558561</v>
      </c>
      <c r="F506">
        <v>136935135.13513514</v>
      </c>
      <c r="G506">
        <v>25</v>
      </c>
      <c r="H506">
        <v>41</v>
      </c>
      <c r="I506">
        <v>1</v>
      </c>
      <c r="J506">
        <v>16</v>
      </c>
      <c r="K506">
        <v>1</v>
      </c>
      <c r="M506">
        <v>28</v>
      </c>
      <c r="N506">
        <v>285</v>
      </c>
      <c r="O506">
        <v>11268468.468468465</v>
      </c>
      <c r="P506">
        <v>14121981.98198198</v>
      </c>
      <c r="Q506">
        <v>144</v>
      </c>
      <c r="R506">
        <v>274</v>
      </c>
      <c r="S506">
        <v>39623007.20720721</v>
      </c>
      <c r="T506">
        <v>43248400.900900893</v>
      </c>
      <c r="U506">
        <v>12350540.540540541</v>
      </c>
      <c r="V506">
        <v>12308828.828828825</v>
      </c>
      <c r="W506">
        <v>3672</v>
      </c>
      <c r="X506">
        <v>3695</v>
      </c>
    </row>
    <row r="507" spans="1:24">
      <c r="A507" s="7" t="s">
        <v>598</v>
      </c>
      <c r="B507" s="16" t="s">
        <v>143</v>
      </c>
      <c r="C507">
        <v>66025050.490206182</v>
      </c>
      <c r="D507">
        <v>66665241.469957992</v>
      </c>
      <c r="E507">
        <v>1254954.9549549541</v>
      </c>
      <c r="F507">
        <v>1302702.7027027039</v>
      </c>
      <c r="G507">
        <v>15</v>
      </c>
      <c r="H507">
        <v>7</v>
      </c>
      <c r="I507">
        <v>4</v>
      </c>
      <c r="J507">
        <v>3</v>
      </c>
      <c r="M507">
        <v>15</v>
      </c>
      <c r="N507">
        <v>9</v>
      </c>
      <c r="O507">
        <v>6668557.6576576577</v>
      </c>
      <c r="P507">
        <v>6825225.225225226</v>
      </c>
      <c r="Q507">
        <v>42</v>
      </c>
      <c r="R507">
        <v>173</v>
      </c>
      <c r="S507">
        <v>4343288.2882882878</v>
      </c>
      <c r="T507">
        <v>6516000</v>
      </c>
      <c r="U507">
        <v>4122432.4324324331</v>
      </c>
      <c r="V507">
        <v>5170810.81081081</v>
      </c>
      <c r="W507">
        <v>1144</v>
      </c>
      <c r="X507">
        <v>2481</v>
      </c>
    </row>
    <row r="508" spans="1:24">
      <c r="A508" s="7" t="s">
        <v>599</v>
      </c>
      <c r="B508" s="16" t="s">
        <v>125</v>
      </c>
      <c r="C508">
        <v>176867850.62462106</v>
      </c>
      <c r="D508">
        <v>173146140.83435893</v>
      </c>
      <c r="E508">
        <v>56051126.126126125</v>
      </c>
      <c r="F508">
        <v>104808108.10810812</v>
      </c>
      <c r="G508">
        <v>15</v>
      </c>
      <c r="H508">
        <v>19</v>
      </c>
      <c r="I508">
        <v>0</v>
      </c>
      <c r="J508">
        <v>1</v>
      </c>
      <c r="M508">
        <v>18</v>
      </c>
      <c r="N508">
        <v>23</v>
      </c>
      <c r="O508">
        <v>51490405.40540541</v>
      </c>
      <c r="P508">
        <v>21216576.576576576</v>
      </c>
      <c r="Q508">
        <v>45</v>
      </c>
      <c r="R508">
        <v>15</v>
      </c>
      <c r="S508">
        <v>66840270.270270273</v>
      </c>
      <c r="T508">
        <v>67131250.45045045</v>
      </c>
      <c r="U508">
        <v>30156036.036036041</v>
      </c>
      <c r="V508">
        <v>18398468.468468469</v>
      </c>
      <c r="W508">
        <v>3199</v>
      </c>
      <c r="X508">
        <v>3409</v>
      </c>
    </row>
    <row r="509" spans="1:24">
      <c r="A509" s="7" t="s">
        <v>600</v>
      </c>
      <c r="B509" s="16" t="s">
        <v>50</v>
      </c>
      <c r="C509">
        <v>418136092.65171421</v>
      </c>
      <c r="D509">
        <v>421232371.24837983</v>
      </c>
      <c r="E509">
        <v>84584662.162162155</v>
      </c>
      <c r="F509">
        <v>305705135.13513517</v>
      </c>
      <c r="G509">
        <v>66</v>
      </c>
      <c r="H509">
        <v>36</v>
      </c>
      <c r="I509">
        <v>9</v>
      </c>
      <c r="J509">
        <v>4</v>
      </c>
      <c r="K509">
        <v>1</v>
      </c>
      <c r="M509">
        <v>70</v>
      </c>
      <c r="N509">
        <v>47</v>
      </c>
      <c r="O509">
        <v>87162027.027027026</v>
      </c>
      <c r="P509">
        <v>66524144.144144148</v>
      </c>
      <c r="Q509">
        <v>184</v>
      </c>
      <c r="R509">
        <v>26</v>
      </c>
      <c r="S509">
        <v>176280702.7027027</v>
      </c>
      <c r="T509">
        <v>178603369.36936939</v>
      </c>
      <c r="U509">
        <v>59068288.288288288</v>
      </c>
      <c r="V509">
        <v>65648918.918918923</v>
      </c>
      <c r="W509">
        <v>7656</v>
      </c>
      <c r="X509">
        <v>7734</v>
      </c>
    </row>
    <row r="510" spans="1:24">
      <c r="A510" s="7" t="s">
        <v>601</v>
      </c>
      <c r="B510" s="16" t="s">
        <v>89</v>
      </c>
      <c r="C510">
        <v>125298212.32469861</v>
      </c>
      <c r="D510">
        <v>122299325.90437675</v>
      </c>
      <c r="E510">
        <v>3609639.6396396412</v>
      </c>
      <c r="F510">
        <v>1209909.909909914</v>
      </c>
      <c r="G510">
        <v>16</v>
      </c>
      <c r="H510">
        <v>10</v>
      </c>
      <c r="I510">
        <v>4</v>
      </c>
      <c r="J510">
        <v>13</v>
      </c>
      <c r="M510">
        <v>17</v>
      </c>
      <c r="N510">
        <v>12</v>
      </c>
      <c r="O510">
        <v>14029189.189189188</v>
      </c>
      <c r="P510">
        <v>28553333.333333336</v>
      </c>
      <c r="Q510">
        <v>92</v>
      </c>
      <c r="R510">
        <v>1402</v>
      </c>
      <c r="S510">
        <v>36817792.79279279</v>
      </c>
      <c r="T510">
        <v>37836054.054054059</v>
      </c>
      <c r="U510">
        <v>10041171.171171168</v>
      </c>
      <c r="V510">
        <v>27755225.225225225</v>
      </c>
      <c r="W510">
        <v>2521</v>
      </c>
      <c r="X510">
        <v>2440</v>
      </c>
    </row>
    <row r="511" spans="1:24">
      <c r="A511" s="7" t="s">
        <v>602</v>
      </c>
      <c r="B511" s="16" t="s">
        <v>87</v>
      </c>
      <c r="C511">
        <v>119061998.66387333</v>
      </c>
      <c r="D511">
        <v>108279343.3620965</v>
      </c>
      <c r="E511">
        <v>582882.88288288296</v>
      </c>
      <c r="F511">
        <v>617117.11711711704</v>
      </c>
      <c r="G511">
        <v>18</v>
      </c>
      <c r="H511">
        <v>13</v>
      </c>
      <c r="I511">
        <v>1</v>
      </c>
      <c r="J511">
        <v>1</v>
      </c>
      <c r="M511">
        <v>19</v>
      </c>
      <c r="N511">
        <v>15</v>
      </c>
      <c r="O511">
        <v>1889189.1891891891</v>
      </c>
      <c r="P511">
        <v>1256756.756756756</v>
      </c>
      <c r="S511">
        <v>8874637.8378378376</v>
      </c>
      <c r="T511">
        <v>8644621.6216216218</v>
      </c>
      <c r="U511">
        <v>1269412.612612613</v>
      </c>
      <c r="V511">
        <v>1450180.1801801799</v>
      </c>
      <c r="W511">
        <v>1250</v>
      </c>
      <c r="X511">
        <v>1214</v>
      </c>
    </row>
    <row r="512" spans="1:24">
      <c r="A512" s="7" t="s">
        <v>603</v>
      </c>
      <c r="B512" s="16" t="s">
        <v>140</v>
      </c>
      <c r="C512">
        <v>865864052.14269292</v>
      </c>
      <c r="D512">
        <v>874617844.06559992</v>
      </c>
      <c r="E512">
        <v>451563437.83783782</v>
      </c>
      <c r="F512">
        <v>455619130.63063067</v>
      </c>
      <c r="G512">
        <v>347</v>
      </c>
      <c r="H512">
        <v>506</v>
      </c>
      <c r="I512">
        <v>23</v>
      </c>
      <c r="J512">
        <v>51</v>
      </c>
      <c r="K512">
        <v>13</v>
      </c>
      <c r="M512">
        <v>466</v>
      </c>
      <c r="N512">
        <v>1018</v>
      </c>
      <c r="O512">
        <v>170656666.66666666</v>
      </c>
      <c r="P512">
        <v>149614144.14414415</v>
      </c>
      <c r="Q512">
        <v>899</v>
      </c>
      <c r="R512">
        <v>414</v>
      </c>
      <c r="S512">
        <v>211031571.17117116</v>
      </c>
      <c r="T512">
        <v>220495956.75675678</v>
      </c>
      <c r="U512">
        <v>160781531.53153151</v>
      </c>
      <c r="V512">
        <v>151731801.8018018</v>
      </c>
      <c r="W512">
        <v>19008</v>
      </c>
      <c r="X512">
        <v>18408</v>
      </c>
    </row>
    <row r="513" spans="1:24">
      <c r="A513" s="7" t="s">
        <v>681</v>
      </c>
      <c r="B513" s="16" t="s">
        <v>214</v>
      </c>
      <c r="E513">
        <v>11486486.486486485</v>
      </c>
      <c r="F513">
        <v>2477477.4774774769</v>
      </c>
      <c r="O513">
        <v>243243.24324324299</v>
      </c>
      <c r="P513">
        <v>1695495.4954954949</v>
      </c>
    </row>
    <row r="514" spans="1:24">
      <c r="A514" s="7" t="s">
        <v>604</v>
      </c>
      <c r="B514" s="16" t="s">
        <v>224</v>
      </c>
      <c r="C514">
        <v>175719834.43459508</v>
      </c>
      <c r="D514">
        <v>150086998.33447328</v>
      </c>
      <c r="E514">
        <v>1818018.018018018</v>
      </c>
      <c r="F514">
        <v>86486.486486485999</v>
      </c>
      <c r="G514">
        <v>30</v>
      </c>
      <c r="H514">
        <v>28</v>
      </c>
      <c r="I514">
        <v>1</v>
      </c>
      <c r="J514">
        <v>1</v>
      </c>
      <c r="M514">
        <v>34</v>
      </c>
      <c r="N514">
        <v>34</v>
      </c>
      <c r="O514">
        <v>5578738.7387387389</v>
      </c>
      <c r="P514">
        <v>5311711.7117117113</v>
      </c>
      <c r="Q514">
        <v>15</v>
      </c>
      <c r="S514">
        <v>57228927.927927926</v>
      </c>
      <c r="T514">
        <v>49278657.657657653</v>
      </c>
      <c r="U514">
        <v>6097747.7477477482</v>
      </c>
      <c r="V514">
        <v>5694234.2342342343</v>
      </c>
      <c r="W514">
        <v>3670</v>
      </c>
      <c r="X514">
        <v>3570</v>
      </c>
    </row>
    <row r="515" spans="1:24">
      <c r="A515" s="7" t="s">
        <v>605</v>
      </c>
      <c r="B515" s="16" t="s">
        <v>224</v>
      </c>
      <c r="C515">
        <v>101667230.50900669</v>
      </c>
      <c r="D515">
        <v>97325990.446320623</v>
      </c>
      <c r="E515">
        <v>12612.612612613</v>
      </c>
      <c r="F515">
        <v>49549.549549549003</v>
      </c>
      <c r="G515">
        <v>37</v>
      </c>
      <c r="H515">
        <v>37</v>
      </c>
      <c r="I515">
        <v>1</v>
      </c>
      <c r="J515">
        <v>0</v>
      </c>
      <c r="M515">
        <v>40</v>
      </c>
      <c r="N515">
        <v>41</v>
      </c>
      <c r="O515">
        <v>6958558.558558559</v>
      </c>
      <c r="P515">
        <v>4554054.0540540544</v>
      </c>
      <c r="Q515">
        <v>10</v>
      </c>
      <c r="R515">
        <v>2</v>
      </c>
      <c r="S515">
        <v>28103963.963963963</v>
      </c>
      <c r="T515">
        <v>29686882.882882886</v>
      </c>
      <c r="U515">
        <v>6088468.4684684677</v>
      </c>
      <c r="V515">
        <v>6042522.5225225231</v>
      </c>
      <c r="W515">
        <v>3256</v>
      </c>
      <c r="X515">
        <v>3083</v>
      </c>
    </row>
    <row r="516" spans="1:24">
      <c r="A516" s="7" t="s">
        <v>606</v>
      </c>
      <c r="B516" s="16" t="s">
        <v>241</v>
      </c>
      <c r="C516">
        <v>90199969.222105116</v>
      </c>
      <c r="D516">
        <v>83066065.482017696</v>
      </c>
      <c r="E516">
        <v>266754069.36936939</v>
      </c>
      <c r="F516">
        <v>319049400.9009009</v>
      </c>
      <c r="G516">
        <v>43</v>
      </c>
      <c r="H516">
        <v>46</v>
      </c>
      <c r="I516">
        <v>2</v>
      </c>
      <c r="J516">
        <v>1</v>
      </c>
      <c r="M516">
        <v>45</v>
      </c>
      <c r="N516">
        <v>55</v>
      </c>
      <c r="O516">
        <v>35426538.738738738</v>
      </c>
      <c r="P516">
        <v>20618468.468468469</v>
      </c>
      <c r="Q516">
        <v>28</v>
      </c>
      <c r="R516">
        <v>17</v>
      </c>
      <c r="S516">
        <v>26080036.036036037</v>
      </c>
      <c r="T516">
        <v>25639828.828828827</v>
      </c>
      <c r="U516">
        <v>7542252.252252249</v>
      </c>
      <c r="V516">
        <v>7229819.8198198173</v>
      </c>
      <c r="W516">
        <v>2316</v>
      </c>
      <c r="X516">
        <v>2395</v>
      </c>
    </row>
    <row r="517" spans="1:24">
      <c r="A517" s="7" t="s">
        <v>607</v>
      </c>
      <c r="B517" s="16" t="s">
        <v>140</v>
      </c>
      <c r="C517">
        <v>25095220.441050656</v>
      </c>
      <c r="D517">
        <v>24909314.245538913</v>
      </c>
      <c r="F517">
        <v>2702.7027027029999</v>
      </c>
      <c r="G517">
        <v>1</v>
      </c>
      <c r="H517">
        <v>4</v>
      </c>
      <c r="M517">
        <v>1</v>
      </c>
      <c r="N517">
        <v>4</v>
      </c>
      <c r="O517">
        <v>587387.38738738699</v>
      </c>
      <c r="P517">
        <v>227927.92792792799</v>
      </c>
      <c r="S517">
        <v>3047792.7927927929</v>
      </c>
      <c r="T517">
        <v>3072153.1531531531</v>
      </c>
      <c r="U517">
        <v>692432.43243243301</v>
      </c>
      <c r="V517">
        <v>532432.43243243301</v>
      </c>
      <c r="W517">
        <v>351</v>
      </c>
      <c r="X517">
        <v>311</v>
      </c>
    </row>
    <row r="518" spans="1:24">
      <c r="A518" s="7" t="s">
        <v>673</v>
      </c>
      <c r="B518" s="16" t="s">
        <v>189</v>
      </c>
      <c r="E518">
        <v>32519899.0990991</v>
      </c>
      <c r="F518">
        <v>29598265.765765768</v>
      </c>
      <c r="O518">
        <v>20063063.063063063</v>
      </c>
      <c r="P518">
        <v>16215536.036036037</v>
      </c>
      <c r="X518">
        <v>1</v>
      </c>
    </row>
    <row r="519" spans="1:24">
      <c r="A519" s="7" t="s">
        <v>608</v>
      </c>
      <c r="B519" s="16" t="s">
        <v>189</v>
      </c>
      <c r="C519">
        <v>101813103.3142558</v>
      </c>
      <c r="D519">
        <v>91732037.563899517</v>
      </c>
      <c r="E519">
        <v>4111486.4864864871</v>
      </c>
      <c r="F519">
        <v>5703603.6036036042</v>
      </c>
      <c r="G519">
        <v>36</v>
      </c>
      <c r="H519">
        <v>53</v>
      </c>
      <c r="I519">
        <v>3</v>
      </c>
      <c r="J519">
        <v>2</v>
      </c>
      <c r="M519">
        <v>37</v>
      </c>
      <c r="N519">
        <v>60</v>
      </c>
      <c r="O519">
        <v>13771171.171171172</v>
      </c>
      <c r="P519">
        <v>12100000</v>
      </c>
      <c r="Q519">
        <v>54</v>
      </c>
      <c r="R519">
        <v>3</v>
      </c>
      <c r="S519">
        <v>20764684.684684683</v>
      </c>
      <c r="T519">
        <v>23454977.47747748</v>
      </c>
      <c r="U519">
        <v>9114414.4144144133</v>
      </c>
      <c r="V519">
        <v>8862342.3423423413</v>
      </c>
      <c r="W519">
        <v>1659</v>
      </c>
      <c r="X519">
        <v>1444</v>
      </c>
    </row>
    <row r="520" spans="1:24">
      <c r="A520" s="7" t="s">
        <v>609</v>
      </c>
      <c r="B520" s="16" t="s">
        <v>189</v>
      </c>
      <c r="C520">
        <v>255115071.29996553</v>
      </c>
      <c r="D520">
        <v>244458204.40223023</v>
      </c>
      <c r="E520">
        <v>21621.621621621998</v>
      </c>
      <c r="F520">
        <v>445945.94594594702</v>
      </c>
      <c r="G520">
        <v>106</v>
      </c>
      <c r="H520">
        <v>75</v>
      </c>
      <c r="I520">
        <v>6</v>
      </c>
      <c r="J520">
        <v>6</v>
      </c>
      <c r="M520">
        <v>117</v>
      </c>
      <c r="N520">
        <v>83</v>
      </c>
      <c r="O520">
        <v>12917117.117117116</v>
      </c>
      <c r="P520">
        <v>14815315.315315315</v>
      </c>
      <c r="Q520">
        <v>43</v>
      </c>
      <c r="R520">
        <v>51</v>
      </c>
      <c r="S520">
        <v>36128198.198198199</v>
      </c>
      <c r="T520">
        <v>35244936.936936937</v>
      </c>
      <c r="U520">
        <v>9401531.5315315314</v>
      </c>
      <c r="V520">
        <v>7847927.9279279271</v>
      </c>
      <c r="W520">
        <v>4080</v>
      </c>
      <c r="X520">
        <v>3849</v>
      </c>
    </row>
    <row r="521" spans="1:24">
      <c r="A521" s="7" t="s">
        <v>610</v>
      </c>
      <c r="B521" s="16" t="s">
        <v>189</v>
      </c>
      <c r="C521">
        <v>113487834.39281349</v>
      </c>
      <c r="D521">
        <v>106853519.58971305</v>
      </c>
      <c r="E521">
        <v>410135.13513513602</v>
      </c>
      <c r="F521">
        <v>727702.70270270505</v>
      </c>
      <c r="G521">
        <v>29</v>
      </c>
      <c r="H521">
        <v>17</v>
      </c>
      <c r="I521">
        <v>4</v>
      </c>
      <c r="J521">
        <v>2</v>
      </c>
      <c r="M521">
        <v>29</v>
      </c>
      <c r="N521">
        <v>20</v>
      </c>
      <c r="O521">
        <v>6909009.0090090092</v>
      </c>
      <c r="P521">
        <v>5572072.072072072</v>
      </c>
      <c r="Q521">
        <v>41</v>
      </c>
      <c r="R521">
        <v>190</v>
      </c>
      <c r="S521">
        <v>14086936.936936935</v>
      </c>
      <c r="T521">
        <v>12824315.315315315</v>
      </c>
      <c r="U521">
        <v>5646126.1261261255</v>
      </c>
      <c r="V521">
        <v>5044324.3243243238</v>
      </c>
      <c r="W521">
        <v>1647</v>
      </c>
      <c r="X521">
        <v>1649</v>
      </c>
    </row>
    <row r="522" spans="1:24">
      <c r="A522" s="7" t="s">
        <v>611</v>
      </c>
      <c r="B522" s="16" t="s">
        <v>189</v>
      </c>
      <c r="C522">
        <v>34109455.727580555</v>
      </c>
      <c r="D522">
        <v>40762855.868536696</v>
      </c>
      <c r="E522">
        <v>10810.810810810999</v>
      </c>
      <c r="F522">
        <v>202252.25225225301</v>
      </c>
      <c r="G522">
        <v>24</v>
      </c>
      <c r="H522">
        <v>20</v>
      </c>
      <c r="I522">
        <v>2</v>
      </c>
      <c r="J522">
        <v>2</v>
      </c>
      <c r="M522">
        <v>26</v>
      </c>
      <c r="N522">
        <v>22</v>
      </c>
      <c r="O522">
        <v>2498198.1981981988</v>
      </c>
      <c r="P522">
        <v>4036396.3963963971</v>
      </c>
      <c r="Q522">
        <v>17</v>
      </c>
      <c r="R522">
        <v>3</v>
      </c>
      <c r="S522">
        <v>5900855.8558558561</v>
      </c>
      <c r="T522">
        <v>7253306.3063063063</v>
      </c>
      <c r="U522">
        <v>1545945.945945947</v>
      </c>
      <c r="V522">
        <v>3340000</v>
      </c>
      <c r="W522">
        <v>918</v>
      </c>
      <c r="X522">
        <v>1049</v>
      </c>
    </row>
    <row r="523" spans="1:24">
      <c r="A523" s="7" t="s">
        <v>612</v>
      </c>
      <c r="B523" s="16" t="s">
        <v>143</v>
      </c>
      <c r="C523">
        <v>321894112.01441288</v>
      </c>
      <c r="D523">
        <v>300992755.12058258</v>
      </c>
      <c r="E523">
        <v>440499.09909910097</v>
      </c>
      <c r="F523">
        <v>3556609.0090090092</v>
      </c>
      <c r="G523">
        <v>231</v>
      </c>
      <c r="H523">
        <v>122</v>
      </c>
      <c r="I523">
        <v>19</v>
      </c>
      <c r="J523">
        <v>15</v>
      </c>
      <c r="M523">
        <v>262</v>
      </c>
      <c r="N523">
        <v>525</v>
      </c>
      <c r="O523">
        <v>31380540.540540539</v>
      </c>
      <c r="P523">
        <v>30518018.018018015</v>
      </c>
      <c r="Q523">
        <v>187</v>
      </c>
      <c r="R523">
        <v>166</v>
      </c>
      <c r="S523">
        <v>38156340.540540546</v>
      </c>
      <c r="T523">
        <v>40196274.774774775</v>
      </c>
      <c r="U523">
        <v>30755315.315315314</v>
      </c>
      <c r="V523">
        <v>30414097.297297295</v>
      </c>
      <c r="W523">
        <v>6848</v>
      </c>
      <c r="X523">
        <v>7031</v>
      </c>
    </row>
    <row r="524" spans="1:24">
      <c r="A524" s="7" t="s">
        <v>613</v>
      </c>
      <c r="B524" s="16" t="s">
        <v>189</v>
      </c>
      <c r="C524">
        <v>372459419.82137483</v>
      </c>
      <c r="D524">
        <v>353445448.19340414</v>
      </c>
      <c r="E524">
        <v>600675.67567567795</v>
      </c>
      <c r="F524">
        <v>1875450.450450452</v>
      </c>
      <c r="G524">
        <v>132</v>
      </c>
      <c r="H524">
        <v>126</v>
      </c>
      <c r="I524">
        <v>13</v>
      </c>
      <c r="J524">
        <v>11</v>
      </c>
      <c r="K524">
        <v>1</v>
      </c>
      <c r="M524">
        <v>151</v>
      </c>
      <c r="N524">
        <v>182</v>
      </c>
      <c r="O524">
        <v>8978378.3783783782</v>
      </c>
      <c r="P524">
        <v>13535855.855855856</v>
      </c>
      <c r="Q524">
        <v>91</v>
      </c>
      <c r="R524">
        <v>466</v>
      </c>
      <c r="S524">
        <v>33290138.738738742</v>
      </c>
      <c r="T524">
        <v>34474311.711711712</v>
      </c>
      <c r="U524">
        <v>7419499.0990990987</v>
      </c>
      <c r="V524">
        <v>12285088.28828829</v>
      </c>
      <c r="W524">
        <v>7560</v>
      </c>
      <c r="X524">
        <v>7395</v>
      </c>
    </row>
    <row r="525" spans="1:24">
      <c r="A525" s="7" t="s">
        <v>614</v>
      </c>
      <c r="B525" s="16" t="s">
        <v>54</v>
      </c>
      <c r="C525">
        <v>263968959.58826229</v>
      </c>
      <c r="D525">
        <v>248262470.3497591</v>
      </c>
      <c r="E525">
        <v>3830630.6306306329</v>
      </c>
      <c r="F525">
        <v>4207207.2072072113</v>
      </c>
      <c r="G525">
        <v>79</v>
      </c>
      <c r="H525">
        <v>81</v>
      </c>
      <c r="I525">
        <v>10</v>
      </c>
      <c r="J525">
        <v>15</v>
      </c>
      <c r="M525">
        <v>89</v>
      </c>
      <c r="N525">
        <v>117</v>
      </c>
      <c r="O525">
        <v>41294144.144144148</v>
      </c>
      <c r="P525">
        <v>40009009.009009011</v>
      </c>
      <c r="Q525">
        <v>193</v>
      </c>
      <c r="R525">
        <v>116</v>
      </c>
      <c r="S525">
        <v>76809864.864864871</v>
      </c>
      <c r="T525">
        <v>78902891.891891882</v>
      </c>
      <c r="U525">
        <v>43423693.693693697</v>
      </c>
      <c r="V525">
        <v>38773423.423423424</v>
      </c>
      <c r="W525">
        <v>6612</v>
      </c>
      <c r="X525">
        <v>6453</v>
      </c>
    </row>
    <row r="526" spans="1:24">
      <c r="A526" s="7" t="s">
        <v>615</v>
      </c>
      <c r="B526" s="16" t="s">
        <v>54</v>
      </c>
      <c r="C526">
        <v>137600361.16848341</v>
      </c>
      <c r="D526">
        <v>135002429.02049351</v>
      </c>
      <c r="E526">
        <v>103378.378378379</v>
      </c>
      <c r="F526">
        <v>790090.09009009204</v>
      </c>
      <c r="G526">
        <v>11</v>
      </c>
      <c r="H526">
        <v>14</v>
      </c>
      <c r="I526">
        <v>0</v>
      </c>
      <c r="J526">
        <v>5</v>
      </c>
      <c r="M526">
        <v>13</v>
      </c>
      <c r="N526">
        <v>21</v>
      </c>
      <c r="O526">
        <v>7893693.6936936928</v>
      </c>
      <c r="P526">
        <v>6800900.9009009013</v>
      </c>
      <c r="Q526">
        <v>48</v>
      </c>
      <c r="R526">
        <v>33</v>
      </c>
      <c r="S526">
        <v>21902828.828828827</v>
      </c>
      <c r="T526">
        <v>22843801.801801801</v>
      </c>
      <c r="U526">
        <v>6791801.8018018017</v>
      </c>
      <c r="V526">
        <v>5515315.3153153164</v>
      </c>
      <c r="W526">
        <v>2758</v>
      </c>
      <c r="X526">
        <v>2813</v>
      </c>
    </row>
    <row r="527" spans="1:24">
      <c r="A527" s="7" t="s">
        <v>616</v>
      </c>
      <c r="B527" s="16" t="s">
        <v>60</v>
      </c>
      <c r="C527">
        <v>211637890.21447647</v>
      </c>
      <c r="D527">
        <v>207685641.96139935</v>
      </c>
      <c r="E527">
        <v>695495.49549549702</v>
      </c>
      <c r="F527">
        <v>2792792.792792792</v>
      </c>
      <c r="G527">
        <v>38</v>
      </c>
      <c r="H527">
        <v>79</v>
      </c>
      <c r="I527">
        <v>6</v>
      </c>
      <c r="J527">
        <v>23</v>
      </c>
      <c r="M527">
        <v>48</v>
      </c>
      <c r="N527">
        <v>126</v>
      </c>
      <c r="O527">
        <v>29725225.225225225</v>
      </c>
      <c r="P527">
        <v>31250900.9009009</v>
      </c>
      <c r="Q527">
        <v>145</v>
      </c>
      <c r="R527">
        <v>116</v>
      </c>
      <c r="S527">
        <v>64934729.729729727</v>
      </c>
      <c r="T527">
        <v>69001180.180180177</v>
      </c>
      <c r="U527">
        <v>28791351.351351347</v>
      </c>
      <c r="V527">
        <v>31570180.180180177</v>
      </c>
      <c r="W527">
        <v>4361</v>
      </c>
      <c r="X527">
        <v>3839</v>
      </c>
    </row>
    <row r="528" spans="1:24">
      <c r="A528" s="7" t="s">
        <v>617</v>
      </c>
      <c r="B528" s="16" t="s">
        <v>60</v>
      </c>
      <c r="C528">
        <v>231077102.11847785</v>
      </c>
      <c r="D528">
        <v>223383977.91093436</v>
      </c>
      <c r="E528">
        <v>730180.18018018198</v>
      </c>
      <c r="F528">
        <v>1572072.072072075</v>
      </c>
      <c r="G528">
        <v>42</v>
      </c>
      <c r="H528">
        <v>57</v>
      </c>
      <c r="I528">
        <v>7</v>
      </c>
      <c r="J528">
        <v>9</v>
      </c>
      <c r="K528">
        <v>2</v>
      </c>
      <c r="M528">
        <v>47</v>
      </c>
      <c r="N528">
        <v>64</v>
      </c>
      <c r="O528">
        <v>27742342.342342339</v>
      </c>
      <c r="P528">
        <v>26323423.423423428</v>
      </c>
      <c r="Q528">
        <v>124</v>
      </c>
      <c r="R528">
        <v>117</v>
      </c>
      <c r="S528">
        <v>119305855.85585585</v>
      </c>
      <c r="T528">
        <v>117787094.5945946</v>
      </c>
      <c r="U528">
        <v>28957657.657657657</v>
      </c>
      <c r="V528">
        <v>25963693.693693697</v>
      </c>
      <c r="W528">
        <v>5463</v>
      </c>
      <c r="X528">
        <v>5275</v>
      </c>
    </row>
    <row r="529" spans="1:24">
      <c r="A529" s="7" t="s">
        <v>618</v>
      </c>
      <c r="B529" s="16" t="s">
        <v>60</v>
      </c>
      <c r="C529">
        <v>295963677.0540216</v>
      </c>
      <c r="D529">
        <v>282673661.13726181</v>
      </c>
      <c r="E529">
        <v>2464414.4144144151</v>
      </c>
      <c r="F529">
        <v>3445945.9459459512</v>
      </c>
      <c r="G529">
        <v>66</v>
      </c>
      <c r="H529">
        <v>47</v>
      </c>
      <c r="I529">
        <v>6</v>
      </c>
      <c r="J529">
        <v>8</v>
      </c>
      <c r="M529">
        <v>83</v>
      </c>
      <c r="N529">
        <v>58</v>
      </c>
      <c r="O529">
        <v>19814864.864864863</v>
      </c>
      <c r="P529">
        <v>40222522.522522531</v>
      </c>
      <c r="Q529">
        <v>132</v>
      </c>
      <c r="R529">
        <v>112</v>
      </c>
      <c r="S529">
        <v>94892099.0990991</v>
      </c>
      <c r="T529">
        <v>94153158.108108118</v>
      </c>
      <c r="U529">
        <v>19573603.603603605</v>
      </c>
      <c r="V529">
        <v>40368198.198198207</v>
      </c>
      <c r="W529">
        <v>5736</v>
      </c>
      <c r="X529">
        <v>5663</v>
      </c>
    </row>
    <row r="530" spans="1:24">
      <c r="A530" s="7" t="s">
        <v>619</v>
      </c>
      <c r="B530" s="16" t="s">
        <v>620</v>
      </c>
      <c r="C530">
        <v>336792465.10898763</v>
      </c>
      <c r="D530">
        <v>337631307.0364241</v>
      </c>
      <c r="E530">
        <v>2669554.054054054</v>
      </c>
      <c r="F530">
        <v>61952000</v>
      </c>
      <c r="G530">
        <v>133</v>
      </c>
      <c r="H530">
        <v>218</v>
      </c>
      <c r="I530">
        <v>12</v>
      </c>
      <c r="J530">
        <v>13</v>
      </c>
      <c r="K530">
        <v>9</v>
      </c>
      <c r="M530">
        <v>160</v>
      </c>
      <c r="N530">
        <v>401</v>
      </c>
      <c r="O530">
        <v>34378599.0990991</v>
      </c>
      <c r="P530">
        <v>33568845.945945941</v>
      </c>
      <c r="Q530">
        <v>393</v>
      </c>
      <c r="R530">
        <v>66</v>
      </c>
      <c r="S530">
        <v>43035945.945945941</v>
      </c>
      <c r="T530">
        <v>41184234.234234229</v>
      </c>
      <c r="U530">
        <v>34135045.045045041</v>
      </c>
      <c r="V530">
        <v>24486036.036036033</v>
      </c>
      <c r="W530">
        <v>7455</v>
      </c>
      <c r="X530">
        <v>7676</v>
      </c>
    </row>
    <row r="531" spans="1:24">
      <c r="A531" s="7" t="s">
        <v>621</v>
      </c>
      <c r="B531" s="16" t="s">
        <v>620</v>
      </c>
      <c r="C531">
        <v>268146599.49196011</v>
      </c>
      <c r="D531">
        <v>246698364.58419663</v>
      </c>
      <c r="E531">
        <v>101175201.8018018</v>
      </c>
      <c r="F531">
        <v>4254054.0540540544</v>
      </c>
      <c r="G531">
        <v>130</v>
      </c>
      <c r="H531">
        <v>89</v>
      </c>
      <c r="I531">
        <v>8</v>
      </c>
      <c r="J531">
        <v>12</v>
      </c>
      <c r="K531">
        <v>2</v>
      </c>
      <c r="M531">
        <v>149</v>
      </c>
      <c r="N531">
        <v>110</v>
      </c>
      <c r="O531">
        <v>21365045.045045048</v>
      </c>
      <c r="P531">
        <v>22082882.882882886</v>
      </c>
      <c r="Q531">
        <v>85</v>
      </c>
      <c r="R531">
        <v>25</v>
      </c>
      <c r="S531">
        <v>40016175.675675683</v>
      </c>
      <c r="T531">
        <v>40205491.891891897</v>
      </c>
      <c r="U531">
        <v>21630180.180180181</v>
      </c>
      <c r="V531">
        <v>19700270.270270273</v>
      </c>
      <c r="W531">
        <v>6346</v>
      </c>
      <c r="X531">
        <v>5953</v>
      </c>
    </row>
    <row r="532" spans="1:24">
      <c r="A532" s="7" t="s">
        <v>622</v>
      </c>
      <c r="B532" s="16" t="s">
        <v>620</v>
      </c>
      <c r="C532">
        <v>284931509.16762286</v>
      </c>
      <c r="D532">
        <v>258012333.65068915</v>
      </c>
      <c r="E532">
        <v>840540.54054054199</v>
      </c>
      <c r="F532">
        <v>1395945.9459459491</v>
      </c>
      <c r="G532">
        <v>135</v>
      </c>
      <c r="H532">
        <v>97</v>
      </c>
      <c r="I532">
        <v>7</v>
      </c>
      <c r="J532">
        <v>6</v>
      </c>
      <c r="K532">
        <v>2</v>
      </c>
      <c r="M532">
        <v>156</v>
      </c>
      <c r="N532">
        <v>119</v>
      </c>
      <c r="O532">
        <v>32029549.54954955</v>
      </c>
      <c r="P532">
        <v>21174324.324324325</v>
      </c>
      <c r="Q532">
        <v>422</v>
      </c>
      <c r="R532">
        <v>52</v>
      </c>
      <c r="S532">
        <v>38677549.54954955</v>
      </c>
      <c r="T532">
        <v>39876173.873873875</v>
      </c>
      <c r="U532">
        <v>27680536.936936937</v>
      </c>
      <c r="V532">
        <v>14658108.108108109</v>
      </c>
      <c r="W532">
        <v>6003</v>
      </c>
      <c r="X532">
        <v>5854</v>
      </c>
    </row>
    <row r="533" spans="1:24">
      <c r="A533" s="7" t="s">
        <v>623</v>
      </c>
      <c r="B533" s="16" t="s">
        <v>620</v>
      </c>
      <c r="C533">
        <v>201677649.45416188</v>
      </c>
      <c r="D533">
        <v>189390286.37885809</v>
      </c>
      <c r="E533">
        <v>5817342.3423423423</v>
      </c>
      <c r="F533">
        <v>662162.16216216295</v>
      </c>
      <c r="G533">
        <v>107</v>
      </c>
      <c r="H533">
        <v>44</v>
      </c>
      <c r="I533">
        <v>6</v>
      </c>
      <c r="J533">
        <v>5</v>
      </c>
      <c r="K533">
        <v>2</v>
      </c>
      <c r="M533">
        <v>118</v>
      </c>
      <c r="N533">
        <v>58</v>
      </c>
      <c r="O533">
        <v>17689189.189189188</v>
      </c>
      <c r="P533">
        <v>15998198.198198196</v>
      </c>
      <c r="Q533">
        <v>61</v>
      </c>
      <c r="R533">
        <v>10</v>
      </c>
      <c r="S533">
        <v>25417738.738738734</v>
      </c>
      <c r="T533">
        <v>24368319.819819819</v>
      </c>
      <c r="U533">
        <v>17033063.063063063</v>
      </c>
      <c r="V533">
        <v>15783603.603603603</v>
      </c>
      <c r="W533">
        <v>3679</v>
      </c>
      <c r="X533">
        <v>3571</v>
      </c>
    </row>
    <row r="534" spans="1:24">
      <c r="A534" s="7" t="s">
        <v>624</v>
      </c>
      <c r="B534" s="16" t="s">
        <v>260</v>
      </c>
      <c r="C534">
        <v>108708954.85229869</v>
      </c>
      <c r="D534">
        <v>100259081.35520577</v>
      </c>
      <c r="E534">
        <v>18918.918918919</v>
      </c>
      <c r="F534">
        <v>363963.96396396501</v>
      </c>
      <c r="G534">
        <v>12</v>
      </c>
      <c r="H534">
        <v>16</v>
      </c>
      <c r="I534">
        <v>0</v>
      </c>
      <c r="J534">
        <v>2</v>
      </c>
      <c r="M534">
        <v>13</v>
      </c>
      <c r="N534">
        <v>16</v>
      </c>
      <c r="O534">
        <v>15063963.963963963</v>
      </c>
      <c r="P534">
        <v>7275675.6756756771</v>
      </c>
      <c r="R534">
        <v>6</v>
      </c>
      <c r="S534">
        <v>37344981.981981985</v>
      </c>
      <c r="T534">
        <v>32258783.783783782</v>
      </c>
      <c r="U534">
        <v>13277747.747747747</v>
      </c>
      <c r="V534">
        <v>10587747.747747747</v>
      </c>
      <c r="W534">
        <v>2016</v>
      </c>
      <c r="X534">
        <v>2044</v>
      </c>
    </row>
    <row r="535" spans="1:24">
      <c r="A535" s="7" t="s">
        <v>625</v>
      </c>
      <c r="B535" s="16" t="s">
        <v>52</v>
      </c>
      <c r="C535">
        <v>157245584.03445956</v>
      </c>
      <c r="D535">
        <v>154380561.41153923</v>
      </c>
      <c r="E535">
        <v>547927.92792792805</v>
      </c>
      <c r="F535">
        <v>390090.09009009099</v>
      </c>
      <c r="G535">
        <v>53</v>
      </c>
      <c r="H535">
        <v>51</v>
      </c>
      <c r="I535">
        <v>3</v>
      </c>
      <c r="J535">
        <v>6</v>
      </c>
      <c r="M535">
        <v>73</v>
      </c>
      <c r="N535">
        <v>140</v>
      </c>
      <c r="O535">
        <v>5959189.1891891891</v>
      </c>
      <c r="P535">
        <v>5218918.9189189197</v>
      </c>
      <c r="Q535">
        <v>142</v>
      </c>
      <c r="R535">
        <v>26</v>
      </c>
      <c r="S535">
        <v>56032873.873873875</v>
      </c>
      <c r="T535">
        <v>56336198.198198199</v>
      </c>
      <c r="U535">
        <v>6852252.2522522509</v>
      </c>
      <c r="V535">
        <v>3910090.0900900909</v>
      </c>
      <c r="W535">
        <v>4492</v>
      </c>
      <c r="X535">
        <v>4353</v>
      </c>
    </row>
    <row r="536" spans="1:24">
      <c r="A536" s="7" t="s">
        <v>626</v>
      </c>
      <c r="B536" s="16" t="s">
        <v>96</v>
      </c>
      <c r="C536">
        <v>402452952.09964424</v>
      </c>
      <c r="D536">
        <v>396335761.83724916</v>
      </c>
      <c r="E536">
        <v>3635495.4954954982</v>
      </c>
      <c r="F536">
        <v>7145045.045045048</v>
      </c>
      <c r="G536">
        <v>222</v>
      </c>
      <c r="H536">
        <v>177</v>
      </c>
      <c r="I536">
        <v>9</v>
      </c>
      <c r="J536">
        <v>10</v>
      </c>
      <c r="K536">
        <v>1</v>
      </c>
      <c r="M536">
        <v>267</v>
      </c>
      <c r="N536">
        <v>214</v>
      </c>
      <c r="O536">
        <v>62070360.360360362</v>
      </c>
      <c r="P536">
        <v>82560360.360360369</v>
      </c>
      <c r="Q536">
        <v>159</v>
      </c>
      <c r="R536">
        <v>348</v>
      </c>
      <c r="S536">
        <v>127087522.52252252</v>
      </c>
      <c r="T536">
        <v>130002320.27027027</v>
      </c>
      <c r="U536">
        <v>66869909.909909911</v>
      </c>
      <c r="V536">
        <v>72613333.333333328</v>
      </c>
      <c r="W536">
        <v>10846</v>
      </c>
      <c r="X536">
        <v>11153</v>
      </c>
    </row>
    <row r="537" spans="1:24">
      <c r="A537" s="7" t="s">
        <v>627</v>
      </c>
      <c r="B537" s="16" t="s">
        <v>96</v>
      </c>
      <c r="C537">
        <v>708052422.10270274</v>
      </c>
      <c r="D537">
        <v>653005947.27647638</v>
      </c>
      <c r="E537">
        <v>107125165.76576576</v>
      </c>
      <c r="F537">
        <v>144238184.68468466</v>
      </c>
      <c r="G537">
        <v>232</v>
      </c>
      <c r="H537">
        <v>160</v>
      </c>
      <c r="I537">
        <v>10</v>
      </c>
      <c r="J537">
        <v>7</v>
      </c>
      <c r="K537">
        <v>1</v>
      </c>
      <c r="M537">
        <v>289</v>
      </c>
      <c r="N537">
        <v>241</v>
      </c>
      <c r="O537">
        <v>156313312.61261261</v>
      </c>
      <c r="P537">
        <v>216002873.87387389</v>
      </c>
      <c r="Q537">
        <v>142</v>
      </c>
      <c r="R537">
        <v>125</v>
      </c>
      <c r="S537">
        <v>277761945.94594598</v>
      </c>
      <c r="T537">
        <v>265292461.7117117</v>
      </c>
      <c r="U537">
        <v>134126756.75675677</v>
      </c>
      <c r="V537">
        <v>139134234.23423424</v>
      </c>
      <c r="W537">
        <v>13741</v>
      </c>
      <c r="X537">
        <v>13928</v>
      </c>
    </row>
    <row r="538" spans="1:24">
      <c r="A538" s="7" t="s">
        <v>628</v>
      </c>
      <c r="B538" s="16" t="s">
        <v>448</v>
      </c>
      <c r="C538">
        <v>496944539.1898194</v>
      </c>
      <c r="D538">
        <v>477110032.83567995</v>
      </c>
      <c r="E538">
        <v>291119300.9009009</v>
      </c>
      <c r="F538">
        <v>485216032.43243247</v>
      </c>
      <c r="G538">
        <v>228</v>
      </c>
      <c r="H538">
        <v>175</v>
      </c>
      <c r="I538">
        <v>18</v>
      </c>
      <c r="J538">
        <v>18</v>
      </c>
      <c r="K538">
        <v>2</v>
      </c>
      <c r="M538">
        <v>256</v>
      </c>
      <c r="N538">
        <v>222</v>
      </c>
      <c r="O538">
        <v>231617477.47747746</v>
      </c>
      <c r="P538">
        <v>143857972.97297299</v>
      </c>
      <c r="Q538">
        <v>553</v>
      </c>
      <c r="R538">
        <v>1797</v>
      </c>
      <c r="S538">
        <v>143820144.14414415</v>
      </c>
      <c r="T538">
        <v>141836277.47747746</v>
      </c>
      <c r="U538">
        <v>205237207.2072072</v>
      </c>
      <c r="V538">
        <v>136017297.2972973</v>
      </c>
      <c r="W538">
        <v>11444</v>
      </c>
      <c r="X538">
        <v>11295</v>
      </c>
    </row>
    <row r="539" spans="1:24">
      <c r="A539" s="7" t="s">
        <v>629</v>
      </c>
      <c r="B539" s="16" t="s">
        <v>78</v>
      </c>
      <c r="C539">
        <v>22360832.643358391</v>
      </c>
      <c r="D539">
        <v>21151409.983026601</v>
      </c>
      <c r="E539">
        <v>185585.58558558501</v>
      </c>
      <c r="F539">
        <v>327027.02702702698</v>
      </c>
      <c r="G539">
        <v>2</v>
      </c>
      <c r="H539">
        <v>3</v>
      </c>
      <c r="K539">
        <v>1</v>
      </c>
      <c r="M539">
        <v>2</v>
      </c>
      <c r="N539">
        <v>3</v>
      </c>
      <c r="O539">
        <v>780180.18018018</v>
      </c>
      <c r="P539">
        <v>1227927.9279279271</v>
      </c>
      <c r="Q539">
        <v>12</v>
      </c>
      <c r="S539">
        <v>6039729.7297297297</v>
      </c>
      <c r="T539">
        <v>6022369.369369369</v>
      </c>
      <c r="U539">
        <v>856036.03603603598</v>
      </c>
      <c r="V539">
        <v>1232792.7927927929</v>
      </c>
      <c r="W539">
        <v>397</v>
      </c>
      <c r="X539">
        <v>391</v>
      </c>
    </row>
    <row r="540" spans="1:24">
      <c r="A540" s="7" t="s">
        <v>630</v>
      </c>
      <c r="B540" s="16" t="s">
        <v>241</v>
      </c>
      <c r="C540">
        <v>130504523.2611481</v>
      </c>
      <c r="D540">
        <v>125799377.87646766</v>
      </c>
      <c r="E540">
        <v>73153.153153153995</v>
      </c>
      <c r="F540">
        <v>425900.90090090199</v>
      </c>
      <c r="G540">
        <v>67</v>
      </c>
      <c r="H540">
        <v>48</v>
      </c>
      <c r="I540">
        <v>5</v>
      </c>
      <c r="J540">
        <v>3</v>
      </c>
      <c r="M540">
        <v>74</v>
      </c>
      <c r="N540">
        <v>56</v>
      </c>
      <c r="O540">
        <v>26187657.657657657</v>
      </c>
      <c r="P540">
        <v>12680900.9009009</v>
      </c>
      <c r="Q540">
        <v>189</v>
      </c>
      <c r="R540">
        <v>58</v>
      </c>
      <c r="S540">
        <v>30101846.846846849</v>
      </c>
      <c r="T540">
        <v>28581180.180180181</v>
      </c>
      <c r="U540">
        <v>27083693.693693694</v>
      </c>
      <c r="V540">
        <v>12678738.738738738</v>
      </c>
      <c r="W540">
        <v>2632</v>
      </c>
      <c r="X540">
        <v>2648</v>
      </c>
    </row>
    <row r="541" spans="1:24">
      <c r="A541" s="7" t="s">
        <v>631</v>
      </c>
      <c r="B541" s="16" t="s">
        <v>68</v>
      </c>
      <c r="C541">
        <v>580985433.96060777</v>
      </c>
      <c r="D541">
        <v>543649027.0494343</v>
      </c>
      <c r="E541">
        <v>2740315.3153153169</v>
      </c>
      <c r="F541">
        <v>6274549.549549548</v>
      </c>
      <c r="G541">
        <v>229</v>
      </c>
      <c r="H541">
        <v>210</v>
      </c>
      <c r="I541">
        <v>18</v>
      </c>
      <c r="J541">
        <v>15</v>
      </c>
      <c r="M541">
        <v>247</v>
      </c>
      <c r="N541">
        <v>462</v>
      </c>
      <c r="O541">
        <v>59581621.621621624</v>
      </c>
      <c r="P541">
        <v>52468918.918918923</v>
      </c>
      <c r="Q541">
        <v>396</v>
      </c>
      <c r="R541">
        <v>304</v>
      </c>
      <c r="S541">
        <v>96748513.51351352</v>
      </c>
      <c r="T541">
        <v>92793017.117117122</v>
      </c>
      <c r="U541">
        <v>46387117.117117122</v>
      </c>
      <c r="V541">
        <v>43424594.59459459</v>
      </c>
      <c r="W541">
        <v>9015</v>
      </c>
      <c r="X541">
        <v>8873</v>
      </c>
    </row>
    <row r="542" spans="1:24">
      <c r="A542" s="7" t="s">
        <v>632</v>
      </c>
      <c r="B542" s="16" t="s">
        <v>70</v>
      </c>
      <c r="C542">
        <v>4035171.4226448028</v>
      </c>
      <c r="D542">
        <v>4020776.9353873502</v>
      </c>
      <c r="E542">
        <v>266216.21621621598</v>
      </c>
      <c r="F542">
        <v>54054.054054054002</v>
      </c>
      <c r="G542">
        <v>6</v>
      </c>
      <c r="H542">
        <v>2</v>
      </c>
      <c r="J542">
        <v>1</v>
      </c>
      <c r="M542">
        <v>6</v>
      </c>
      <c r="N542">
        <v>2</v>
      </c>
      <c r="O542">
        <v>279279.279279279</v>
      </c>
      <c r="P542">
        <v>54054.054054054002</v>
      </c>
      <c r="R542">
        <v>18</v>
      </c>
      <c r="S542">
        <v>2561621.6216216218</v>
      </c>
      <c r="T542">
        <v>2463018.018018018</v>
      </c>
      <c r="U542">
        <v>252162.16216216201</v>
      </c>
      <c r="V542">
        <v>164864.864864865</v>
      </c>
      <c r="W542">
        <v>188</v>
      </c>
      <c r="X542">
        <v>187</v>
      </c>
    </row>
    <row r="543" spans="1:24">
      <c r="A543" s="7" t="s">
        <v>633</v>
      </c>
      <c r="B543" s="16" t="s">
        <v>60</v>
      </c>
      <c r="C543">
        <v>41750046.736554109</v>
      </c>
      <c r="D543">
        <v>41517724.707873642</v>
      </c>
      <c r="E543">
        <v>139639.63963963999</v>
      </c>
      <c r="F543">
        <v>151351.351351352</v>
      </c>
      <c r="G543">
        <v>8</v>
      </c>
      <c r="H543">
        <v>13</v>
      </c>
      <c r="I543">
        <v>1</v>
      </c>
      <c r="J543">
        <v>3</v>
      </c>
      <c r="M543">
        <v>8</v>
      </c>
      <c r="N543">
        <v>16</v>
      </c>
      <c r="O543">
        <v>1887387.387387387</v>
      </c>
      <c r="P543">
        <v>1772972.972972973</v>
      </c>
      <c r="Q543">
        <v>28</v>
      </c>
      <c r="R543">
        <v>21</v>
      </c>
      <c r="S543">
        <v>15755045.045045044</v>
      </c>
      <c r="T543">
        <v>18296135.135135137</v>
      </c>
      <c r="U543">
        <v>1285585.5855855851</v>
      </c>
      <c r="V543">
        <v>256306.30630630601</v>
      </c>
      <c r="W543">
        <v>1000</v>
      </c>
      <c r="X543">
        <v>1020</v>
      </c>
    </row>
    <row r="544" spans="1:24">
      <c r="A544" s="7" t="s">
        <v>634</v>
      </c>
      <c r="B544" s="16" t="s">
        <v>80</v>
      </c>
      <c r="C544">
        <v>444502911.86376619</v>
      </c>
      <c r="D544">
        <v>425916880.17028618</v>
      </c>
      <c r="E544">
        <v>4054054.054054054</v>
      </c>
      <c r="F544">
        <v>4381531.5315315351</v>
      </c>
      <c r="G544">
        <v>146</v>
      </c>
      <c r="H544">
        <v>61</v>
      </c>
      <c r="I544">
        <v>4</v>
      </c>
      <c r="J544">
        <v>4</v>
      </c>
      <c r="M544">
        <v>163</v>
      </c>
      <c r="N544">
        <v>67</v>
      </c>
      <c r="O544">
        <v>49517477.477477483</v>
      </c>
      <c r="P544">
        <v>48277027.027027026</v>
      </c>
      <c r="Q544">
        <v>14</v>
      </c>
      <c r="R544">
        <v>24</v>
      </c>
      <c r="S544">
        <v>79629765.765765756</v>
      </c>
      <c r="T544">
        <v>87284454.954954967</v>
      </c>
      <c r="U544">
        <v>54132432.432432435</v>
      </c>
      <c r="V544">
        <v>45403513.513513513</v>
      </c>
      <c r="W544">
        <v>6538</v>
      </c>
      <c r="X544">
        <v>5914</v>
      </c>
    </row>
    <row r="545" spans="1:24">
      <c r="A545" s="7" t="s">
        <v>635</v>
      </c>
      <c r="B545" s="16" t="s">
        <v>134</v>
      </c>
      <c r="C545">
        <v>74226787.569783732</v>
      </c>
      <c r="D545">
        <v>77094525.603368297</v>
      </c>
      <c r="E545">
        <v>4504.5045045050001</v>
      </c>
      <c r="F545">
        <v>784684.68468468497</v>
      </c>
      <c r="G545">
        <v>8</v>
      </c>
      <c r="H545">
        <v>18</v>
      </c>
      <c r="I545">
        <v>2</v>
      </c>
      <c r="J545">
        <v>1</v>
      </c>
      <c r="M545">
        <v>9</v>
      </c>
      <c r="N545">
        <v>19</v>
      </c>
      <c r="O545">
        <v>905405.40540540498</v>
      </c>
      <c r="P545">
        <v>8726126.1261261255</v>
      </c>
      <c r="R545">
        <v>251</v>
      </c>
      <c r="S545">
        <v>3716846.8468468478</v>
      </c>
      <c r="T545">
        <v>4281657.6576576577</v>
      </c>
      <c r="U545">
        <v>1016936.936936937</v>
      </c>
      <c r="V545">
        <v>8285315.3153153146</v>
      </c>
      <c r="W545">
        <v>1420</v>
      </c>
      <c r="X545">
        <v>1447</v>
      </c>
    </row>
    <row r="546" spans="1:24">
      <c r="A546" s="7" t="s">
        <v>636</v>
      </c>
      <c r="B546" s="16" t="s">
        <v>479</v>
      </c>
      <c r="C546">
        <v>256544081.33631939</v>
      </c>
      <c r="D546">
        <v>232074107.61752632</v>
      </c>
      <c r="E546">
        <v>570045.04504504602</v>
      </c>
      <c r="F546">
        <v>2202702.7027027081</v>
      </c>
      <c r="G546">
        <v>51</v>
      </c>
      <c r="H546">
        <v>65</v>
      </c>
      <c r="I546">
        <v>4</v>
      </c>
      <c r="J546">
        <v>6</v>
      </c>
      <c r="M546">
        <v>54</v>
      </c>
      <c r="N546">
        <v>87</v>
      </c>
      <c r="O546">
        <v>38969286.486486487</v>
      </c>
      <c r="P546">
        <v>58103089.189189196</v>
      </c>
      <c r="Q546">
        <v>29</v>
      </c>
      <c r="R546">
        <v>191</v>
      </c>
      <c r="S546">
        <v>89305626.126126125</v>
      </c>
      <c r="T546">
        <v>83231027.027027026</v>
      </c>
      <c r="U546">
        <v>45120900.900900893</v>
      </c>
      <c r="V546">
        <v>59448513.513513513</v>
      </c>
      <c r="W546">
        <v>5744</v>
      </c>
      <c r="X546">
        <v>5735</v>
      </c>
    </row>
    <row r="547" spans="1:24">
      <c r="A547" s="7" t="s">
        <v>637</v>
      </c>
      <c r="B547" s="16" t="s">
        <v>143</v>
      </c>
      <c r="C547">
        <v>400712582.27531636</v>
      </c>
      <c r="D547">
        <v>393789792.20833457</v>
      </c>
      <c r="E547">
        <v>2602927.9279279318</v>
      </c>
      <c r="F547">
        <v>3865765.765765768</v>
      </c>
      <c r="G547">
        <v>110</v>
      </c>
      <c r="H547">
        <v>84</v>
      </c>
      <c r="I547">
        <v>28</v>
      </c>
      <c r="J547">
        <v>20</v>
      </c>
      <c r="K547">
        <v>1</v>
      </c>
      <c r="M547">
        <v>134</v>
      </c>
      <c r="N547">
        <v>132</v>
      </c>
      <c r="O547">
        <v>31796396.396396399</v>
      </c>
      <c r="P547">
        <v>27176126.126126125</v>
      </c>
      <c r="Q547">
        <v>308</v>
      </c>
      <c r="R547">
        <v>277</v>
      </c>
      <c r="S547">
        <v>42341387.387387387</v>
      </c>
      <c r="T547">
        <v>50111132.882882878</v>
      </c>
      <c r="U547">
        <v>24770720.72072072</v>
      </c>
      <c r="V547">
        <v>22192702.702702705</v>
      </c>
      <c r="W547">
        <v>9402</v>
      </c>
      <c r="X547">
        <v>9696</v>
      </c>
    </row>
    <row r="548" spans="1:24">
      <c r="A548" s="7" t="s">
        <v>638</v>
      </c>
      <c r="B548" s="16" t="s">
        <v>241</v>
      </c>
      <c r="C548">
        <v>456239602.4556917</v>
      </c>
      <c r="D548">
        <v>432580697.56983566</v>
      </c>
      <c r="E548">
        <v>1211711.711711714</v>
      </c>
      <c r="F548">
        <v>2023423.4234234251</v>
      </c>
      <c r="G548">
        <v>245</v>
      </c>
      <c r="H548">
        <v>223</v>
      </c>
      <c r="I548">
        <v>18</v>
      </c>
      <c r="J548">
        <v>19</v>
      </c>
      <c r="K548">
        <v>2</v>
      </c>
      <c r="M548">
        <v>267</v>
      </c>
      <c r="N548">
        <v>266</v>
      </c>
      <c r="O548">
        <v>38131261.261261262</v>
      </c>
      <c r="P548">
        <v>34699099.0990991</v>
      </c>
      <c r="Q548">
        <v>225</v>
      </c>
      <c r="R548">
        <v>272</v>
      </c>
      <c r="S548">
        <v>149982909.90990993</v>
      </c>
      <c r="T548">
        <v>140610619.81981984</v>
      </c>
      <c r="U548">
        <v>39864774.774774767</v>
      </c>
      <c r="V548">
        <v>29436306.306306306</v>
      </c>
      <c r="W548">
        <v>12546</v>
      </c>
      <c r="X548">
        <v>12628</v>
      </c>
    </row>
    <row r="549" spans="1:24">
      <c r="A549" s="7" t="s">
        <v>639</v>
      </c>
      <c r="B549" s="16" t="s">
        <v>132</v>
      </c>
      <c r="C549">
        <v>190215324.13874561</v>
      </c>
      <c r="D549">
        <v>163845460.36546308</v>
      </c>
      <c r="E549">
        <v>53583628.828828834</v>
      </c>
      <c r="F549">
        <v>44922436.936936937</v>
      </c>
      <c r="G549">
        <v>92</v>
      </c>
      <c r="H549">
        <v>59</v>
      </c>
      <c r="I549">
        <v>2</v>
      </c>
      <c r="J549">
        <v>2</v>
      </c>
      <c r="M549">
        <v>102</v>
      </c>
      <c r="N549">
        <v>81</v>
      </c>
      <c r="O549">
        <v>15628828.828828828</v>
      </c>
      <c r="P549">
        <v>5685585.5855855858</v>
      </c>
      <c r="Q549">
        <v>1</v>
      </c>
      <c r="R549">
        <v>3</v>
      </c>
      <c r="S549">
        <v>66524963.963963971</v>
      </c>
      <c r="T549">
        <v>59534981.981981985</v>
      </c>
      <c r="U549">
        <v>9349639.6396396402</v>
      </c>
      <c r="V549">
        <v>4208198.1981981983</v>
      </c>
      <c r="W549">
        <v>5441</v>
      </c>
      <c r="X549">
        <v>5817</v>
      </c>
    </row>
    <row r="550" spans="1:24">
      <c r="A550" s="7" t="s">
        <v>640</v>
      </c>
      <c r="B550" s="16" t="s">
        <v>134</v>
      </c>
      <c r="C550">
        <v>524455230.03189486</v>
      </c>
      <c r="D550">
        <v>496800573.54958189</v>
      </c>
      <c r="E550">
        <v>1988288.2882882899</v>
      </c>
      <c r="F550">
        <v>1426126.1261261289</v>
      </c>
      <c r="G550">
        <v>126</v>
      </c>
      <c r="H550">
        <v>80</v>
      </c>
      <c r="I550">
        <v>16</v>
      </c>
      <c r="J550">
        <v>16</v>
      </c>
      <c r="M550">
        <v>132</v>
      </c>
      <c r="N550">
        <v>90</v>
      </c>
      <c r="O550">
        <v>39610090.090090096</v>
      </c>
      <c r="P550">
        <v>40860180.180180177</v>
      </c>
      <c r="Q550">
        <v>119</v>
      </c>
      <c r="R550">
        <v>73</v>
      </c>
      <c r="S550">
        <v>64102651.351351351</v>
      </c>
      <c r="T550">
        <v>65889527.927927926</v>
      </c>
      <c r="U550">
        <v>33859009.009009011</v>
      </c>
      <c r="V550">
        <v>32206439.639639638</v>
      </c>
      <c r="W550">
        <v>7633</v>
      </c>
      <c r="X550">
        <v>7442</v>
      </c>
    </row>
    <row r="551" spans="1:24">
      <c r="A551" s="7" t="s">
        <v>641</v>
      </c>
      <c r="B551" s="16" t="s">
        <v>80</v>
      </c>
      <c r="C551">
        <v>260805470.22060937</v>
      </c>
      <c r="D551">
        <v>263301276.82474193</v>
      </c>
      <c r="E551">
        <v>576576.57657657703</v>
      </c>
      <c r="F551">
        <v>1188288.2882882899</v>
      </c>
      <c r="G551">
        <v>46</v>
      </c>
      <c r="H551">
        <v>45</v>
      </c>
      <c r="I551">
        <v>6</v>
      </c>
      <c r="J551">
        <v>2</v>
      </c>
      <c r="K551">
        <v>3</v>
      </c>
      <c r="M551">
        <v>49</v>
      </c>
      <c r="N551">
        <v>64</v>
      </c>
      <c r="O551">
        <v>28385495.495495494</v>
      </c>
      <c r="P551">
        <v>26718918.918918919</v>
      </c>
      <c r="Q551">
        <v>34</v>
      </c>
      <c r="R551">
        <v>18</v>
      </c>
      <c r="S551">
        <v>89384043.243243247</v>
      </c>
      <c r="T551">
        <v>95804182.882882878</v>
      </c>
      <c r="U551">
        <v>28655135.135135137</v>
      </c>
      <c r="V551">
        <v>27255675.675675675</v>
      </c>
      <c r="W551">
        <v>4787</v>
      </c>
      <c r="X551">
        <v>5020</v>
      </c>
    </row>
    <row r="552" spans="1:24">
      <c r="A552" s="7" t="s">
        <v>642</v>
      </c>
      <c r="B552" s="16" t="s">
        <v>169</v>
      </c>
      <c r="C552">
        <v>498079253.02685535</v>
      </c>
      <c r="D552">
        <v>435437354.99038357</v>
      </c>
      <c r="E552">
        <v>1968018.018018018</v>
      </c>
      <c r="F552">
        <v>1813513.5135135141</v>
      </c>
      <c r="G552">
        <v>76</v>
      </c>
      <c r="H552">
        <v>35</v>
      </c>
      <c r="I552">
        <v>0</v>
      </c>
      <c r="J552">
        <v>0</v>
      </c>
      <c r="K552">
        <v>1</v>
      </c>
      <c r="M552">
        <v>79</v>
      </c>
      <c r="N552">
        <v>53</v>
      </c>
      <c r="O552">
        <v>36157207.20720721</v>
      </c>
      <c r="P552">
        <v>39061456.75675676</v>
      </c>
      <c r="Q552">
        <v>15</v>
      </c>
      <c r="R552">
        <v>4</v>
      </c>
      <c r="S552">
        <v>168852135.13513514</v>
      </c>
      <c r="T552">
        <v>156068387.38738739</v>
      </c>
      <c r="U552">
        <v>36740720.720720723</v>
      </c>
      <c r="V552">
        <v>36552072.072072074</v>
      </c>
      <c r="W552">
        <v>8747</v>
      </c>
      <c r="X552">
        <v>9889</v>
      </c>
    </row>
    <row r="553" spans="1:24">
      <c r="A553" s="7" t="s">
        <v>643</v>
      </c>
      <c r="B553" s="16" t="s">
        <v>58</v>
      </c>
      <c r="C553">
        <v>761602017.22838902</v>
      </c>
      <c r="D553">
        <v>742152107.44901121</v>
      </c>
      <c r="E553">
        <v>4399324.3243243247</v>
      </c>
      <c r="F553">
        <v>21528828.828828827</v>
      </c>
      <c r="G553">
        <v>241</v>
      </c>
      <c r="H553">
        <v>194</v>
      </c>
      <c r="I553">
        <v>30</v>
      </c>
      <c r="J553">
        <v>39</v>
      </c>
      <c r="K553">
        <v>1</v>
      </c>
      <c r="M553">
        <v>289</v>
      </c>
      <c r="N553">
        <v>276</v>
      </c>
      <c r="O553">
        <v>88659459.459459454</v>
      </c>
      <c r="P553">
        <v>52090540.540540539</v>
      </c>
      <c r="Q553">
        <v>469</v>
      </c>
      <c r="R553">
        <v>87</v>
      </c>
      <c r="S553">
        <v>151166926.12612614</v>
      </c>
      <c r="T553">
        <v>154872382.88288289</v>
      </c>
      <c r="U553">
        <v>68486756.756756753</v>
      </c>
      <c r="V553">
        <v>53465675.675675675</v>
      </c>
      <c r="W553">
        <v>17513</v>
      </c>
      <c r="X553">
        <v>17370</v>
      </c>
    </row>
    <row r="554" spans="1:24">
      <c r="A554" s="7" t="s">
        <v>644</v>
      </c>
      <c r="B554" s="16" t="s">
        <v>58</v>
      </c>
      <c r="C554">
        <v>956239935.98293936</v>
      </c>
      <c r="D554">
        <v>930217063.91818559</v>
      </c>
      <c r="E554">
        <v>332794131.53153151</v>
      </c>
      <c r="F554">
        <v>15113063.063063065</v>
      </c>
      <c r="G554">
        <v>485</v>
      </c>
      <c r="H554">
        <v>780</v>
      </c>
      <c r="I554">
        <v>43</v>
      </c>
      <c r="J554">
        <v>57</v>
      </c>
      <c r="K554">
        <v>3</v>
      </c>
      <c r="M554">
        <v>552</v>
      </c>
      <c r="N554">
        <v>984</v>
      </c>
      <c r="O554">
        <v>168349099.0990991</v>
      </c>
      <c r="P554">
        <v>154487387.38738739</v>
      </c>
      <c r="Q554">
        <v>1297</v>
      </c>
      <c r="R554">
        <v>203</v>
      </c>
      <c r="S554">
        <v>261850691.8918919</v>
      </c>
      <c r="T554">
        <v>277872797.2972973</v>
      </c>
      <c r="U554">
        <v>151519639.63963965</v>
      </c>
      <c r="V554">
        <v>143125855.85585585</v>
      </c>
      <c r="W554">
        <v>22941</v>
      </c>
      <c r="X554">
        <v>22229</v>
      </c>
    </row>
    <row r="555" spans="1:24">
      <c r="A555" s="7" t="s">
        <v>645</v>
      </c>
      <c r="B555" s="16" t="s">
        <v>307</v>
      </c>
      <c r="C555">
        <v>319016559.9637692</v>
      </c>
      <c r="D555">
        <v>306363539.99838853</v>
      </c>
      <c r="E555">
        <v>2416216.2162162159</v>
      </c>
      <c r="F555">
        <v>1857657.657657658</v>
      </c>
      <c r="G555">
        <v>48</v>
      </c>
      <c r="H555">
        <v>34</v>
      </c>
      <c r="I555">
        <v>1</v>
      </c>
      <c r="J555">
        <v>1</v>
      </c>
      <c r="M555">
        <v>50</v>
      </c>
      <c r="N555">
        <v>47</v>
      </c>
      <c r="O555">
        <v>6028918.9189189179</v>
      </c>
      <c r="P555">
        <v>5545045.0450450452</v>
      </c>
      <c r="Q555">
        <v>38</v>
      </c>
      <c r="R555">
        <v>7</v>
      </c>
      <c r="S555">
        <v>51276036.036036029</v>
      </c>
      <c r="T555">
        <v>51149148.648648649</v>
      </c>
      <c r="U555">
        <v>6163333.3333333321</v>
      </c>
      <c r="V555">
        <v>5486036.036036036</v>
      </c>
      <c r="W555">
        <v>5251</v>
      </c>
      <c r="X555">
        <v>5414</v>
      </c>
    </row>
    <row r="556" spans="1:24">
      <c r="A556" s="7" t="s">
        <v>13</v>
      </c>
      <c r="B556" s="16" t="s">
        <v>158</v>
      </c>
      <c r="C556">
        <v>371443952.54106742</v>
      </c>
      <c r="D556">
        <v>349965381.21002066</v>
      </c>
      <c r="E556">
        <v>1138738.7387387429</v>
      </c>
      <c r="F556">
        <v>3457657.6576576661</v>
      </c>
      <c r="G556">
        <v>213</v>
      </c>
      <c r="H556">
        <v>76</v>
      </c>
      <c r="I556">
        <v>37</v>
      </c>
      <c r="J556">
        <v>11</v>
      </c>
      <c r="K556">
        <v>1</v>
      </c>
      <c r="M556">
        <v>425</v>
      </c>
      <c r="N556">
        <v>309</v>
      </c>
      <c r="O556">
        <v>65212072.072072074</v>
      </c>
      <c r="P556">
        <v>72470000</v>
      </c>
      <c r="Q556">
        <v>365</v>
      </c>
      <c r="R556">
        <v>268</v>
      </c>
      <c r="S556">
        <v>214752752.25225225</v>
      </c>
      <c r="T556">
        <v>202490360.36036035</v>
      </c>
      <c r="U556">
        <v>70728198.198198199</v>
      </c>
      <c r="V556">
        <v>70465809.009009004</v>
      </c>
      <c r="W556">
        <v>7315</v>
      </c>
      <c r="X556">
        <v>7158</v>
      </c>
    </row>
    <row r="557" spans="1:24">
      <c r="A557" s="7" t="s">
        <v>646</v>
      </c>
      <c r="B557" s="16" t="s">
        <v>121</v>
      </c>
      <c r="C557">
        <v>232469886.92926928</v>
      </c>
      <c r="D557">
        <v>237072356.07429659</v>
      </c>
      <c r="E557">
        <v>14639.63963964</v>
      </c>
      <c r="F557">
        <v>163063.06306306299</v>
      </c>
      <c r="G557">
        <v>59</v>
      </c>
      <c r="H557">
        <v>52</v>
      </c>
      <c r="I557">
        <v>1</v>
      </c>
      <c r="J557">
        <v>2</v>
      </c>
      <c r="M557">
        <v>61</v>
      </c>
      <c r="N557">
        <v>59</v>
      </c>
      <c r="O557">
        <v>438738.73873873899</v>
      </c>
      <c r="P557">
        <v>1157657.657657658</v>
      </c>
      <c r="Q557">
        <v>27</v>
      </c>
      <c r="R557">
        <v>7</v>
      </c>
      <c r="S557">
        <v>19257666.666666668</v>
      </c>
      <c r="T557">
        <v>20197993.24324324</v>
      </c>
      <c r="U557">
        <v>761801.80180180201</v>
      </c>
      <c r="V557">
        <v>1008468.468468469</v>
      </c>
      <c r="W557">
        <v>2980</v>
      </c>
      <c r="X557">
        <v>4148</v>
      </c>
    </row>
    <row r="558" spans="1:24">
      <c r="A558" s="7" t="s">
        <v>647</v>
      </c>
      <c r="B558" s="16" t="s">
        <v>315</v>
      </c>
      <c r="C558">
        <v>90964589.530383497</v>
      </c>
      <c r="D558">
        <v>85711463.962442189</v>
      </c>
      <c r="E558">
        <v>463063.06306306302</v>
      </c>
      <c r="F558">
        <v>1326126.1261261259</v>
      </c>
      <c r="G558">
        <v>114</v>
      </c>
      <c r="H558">
        <v>33</v>
      </c>
      <c r="I558">
        <v>6</v>
      </c>
      <c r="J558">
        <v>9</v>
      </c>
      <c r="M558">
        <v>116</v>
      </c>
      <c r="N558">
        <v>43</v>
      </c>
      <c r="O558">
        <v>11009909.909909908</v>
      </c>
      <c r="P558">
        <v>13956756.756756756</v>
      </c>
      <c r="Q558">
        <v>50</v>
      </c>
      <c r="S558">
        <v>23333941.441441439</v>
      </c>
      <c r="T558">
        <v>21853837.837837841</v>
      </c>
      <c r="U558">
        <v>13313873.873873875</v>
      </c>
      <c r="V558">
        <v>15779009.009009009</v>
      </c>
      <c r="W558">
        <v>1529</v>
      </c>
      <c r="X558">
        <v>1276</v>
      </c>
    </row>
    <row r="559" spans="1:24">
      <c r="A559" s="7" t="s">
        <v>648</v>
      </c>
      <c r="B559" s="16" t="s">
        <v>260</v>
      </c>
      <c r="C559">
        <v>233085969.57081524</v>
      </c>
      <c r="D559">
        <v>218471388.40798339</v>
      </c>
      <c r="E559">
        <v>207252.25225225199</v>
      </c>
      <c r="F559">
        <v>1221846.8468468459</v>
      </c>
      <c r="G559">
        <v>57</v>
      </c>
      <c r="H559">
        <v>64</v>
      </c>
      <c r="I559">
        <v>2</v>
      </c>
      <c r="J559">
        <v>2</v>
      </c>
      <c r="M559">
        <v>61</v>
      </c>
      <c r="N559">
        <v>83</v>
      </c>
      <c r="O559">
        <v>40699369.369369365</v>
      </c>
      <c r="P559">
        <v>41431531.531531528</v>
      </c>
      <c r="Q559">
        <v>16</v>
      </c>
      <c r="R559">
        <v>69</v>
      </c>
      <c r="S559">
        <v>74913783.783783779</v>
      </c>
      <c r="T559">
        <v>71617648.648648649</v>
      </c>
      <c r="U559">
        <v>40319099.0990991</v>
      </c>
      <c r="V559">
        <v>41756486.486486487</v>
      </c>
      <c r="W559">
        <v>4174</v>
      </c>
      <c r="X559">
        <v>4099</v>
      </c>
    </row>
    <row r="560" spans="1:24">
      <c r="A560" s="7" t="s">
        <v>649</v>
      </c>
      <c r="B560" s="16" t="s">
        <v>224</v>
      </c>
      <c r="C560">
        <v>241984095.12345871</v>
      </c>
      <c r="D560">
        <v>209754534.98186654</v>
      </c>
      <c r="E560">
        <v>90540.540540540998</v>
      </c>
      <c r="F560">
        <v>1628603.6036036061</v>
      </c>
      <c r="G560">
        <v>57</v>
      </c>
      <c r="H560">
        <v>55</v>
      </c>
      <c r="I560">
        <v>10</v>
      </c>
      <c r="J560">
        <v>7</v>
      </c>
      <c r="M560">
        <v>66</v>
      </c>
      <c r="N560">
        <v>70</v>
      </c>
      <c r="O560">
        <v>22748558.558558561</v>
      </c>
      <c r="P560">
        <v>19299459.459459461</v>
      </c>
      <c r="Q560">
        <v>119</v>
      </c>
      <c r="R560">
        <v>131</v>
      </c>
      <c r="S560">
        <v>50032909.909909911</v>
      </c>
      <c r="T560">
        <v>49480036.036036029</v>
      </c>
      <c r="U560">
        <v>23728198.198198199</v>
      </c>
      <c r="V560">
        <v>19235045.045045048</v>
      </c>
      <c r="W560">
        <v>5482</v>
      </c>
      <c r="X560">
        <v>5580</v>
      </c>
    </row>
    <row r="561" spans="1:24">
      <c r="A561" s="7" t="s">
        <v>650</v>
      </c>
      <c r="B561" s="16" t="s">
        <v>224</v>
      </c>
      <c r="C561">
        <v>197204915.35881555</v>
      </c>
      <c r="D561">
        <v>169268910.06479925</v>
      </c>
      <c r="E561">
        <v>27927.927927928002</v>
      </c>
      <c r="F561">
        <v>63963.963963964998</v>
      </c>
      <c r="G561">
        <v>35</v>
      </c>
      <c r="H561">
        <v>29</v>
      </c>
      <c r="I561">
        <v>2</v>
      </c>
      <c r="J561">
        <v>0</v>
      </c>
      <c r="M561">
        <v>39</v>
      </c>
      <c r="N561">
        <v>38</v>
      </c>
      <c r="O561">
        <v>13496216.216216218</v>
      </c>
      <c r="P561">
        <v>7134234.2342342334</v>
      </c>
      <c r="Q561">
        <v>53</v>
      </c>
      <c r="R561">
        <v>103</v>
      </c>
      <c r="S561">
        <v>25891756.75675676</v>
      </c>
      <c r="T561">
        <v>24400531.531531531</v>
      </c>
      <c r="U561">
        <v>10292702.702702705</v>
      </c>
      <c r="V561">
        <v>7005225.2252252251</v>
      </c>
      <c r="W561">
        <v>3117</v>
      </c>
      <c r="X561">
        <v>3068</v>
      </c>
    </row>
    <row r="562" spans="1:24">
      <c r="A562" s="7" t="s">
        <v>651</v>
      </c>
      <c r="B562" s="16" t="s">
        <v>224</v>
      </c>
      <c r="C562">
        <v>755085150.19266677</v>
      </c>
      <c r="D562">
        <v>654284371.29875314</v>
      </c>
      <c r="E562">
        <v>207546275.67567569</v>
      </c>
      <c r="F562">
        <v>194559698.1981982</v>
      </c>
      <c r="G562">
        <v>272</v>
      </c>
      <c r="H562">
        <v>234</v>
      </c>
      <c r="I562">
        <v>47</v>
      </c>
      <c r="J562">
        <v>35</v>
      </c>
      <c r="K562">
        <v>4</v>
      </c>
      <c r="M562">
        <v>334</v>
      </c>
      <c r="N562">
        <v>407</v>
      </c>
      <c r="O562">
        <v>112356126.12612613</v>
      </c>
      <c r="P562">
        <v>130119459.45945945</v>
      </c>
      <c r="Q562">
        <v>599</v>
      </c>
      <c r="R562">
        <v>915</v>
      </c>
      <c r="S562">
        <v>170324745.94594595</v>
      </c>
      <c r="T562">
        <v>164243990.99099097</v>
      </c>
      <c r="U562">
        <v>95691304.504504517</v>
      </c>
      <c r="V562">
        <v>111867207.2072072</v>
      </c>
      <c r="W562">
        <v>18274</v>
      </c>
      <c r="X562">
        <v>18169</v>
      </c>
    </row>
    <row r="563" spans="1:24">
      <c r="A563" s="7" t="s">
        <v>652</v>
      </c>
      <c r="B563" s="16" t="s">
        <v>224</v>
      </c>
      <c r="C563">
        <v>88206526.4083011</v>
      </c>
      <c r="D563">
        <v>79026113.377390668</v>
      </c>
      <c r="E563">
        <v>137837.83783783799</v>
      </c>
      <c r="F563">
        <v>207207.207207208</v>
      </c>
      <c r="G563">
        <v>27</v>
      </c>
      <c r="H563">
        <v>19</v>
      </c>
      <c r="I563">
        <v>2</v>
      </c>
      <c r="J563">
        <v>1</v>
      </c>
      <c r="M563">
        <v>28</v>
      </c>
      <c r="N563">
        <v>21</v>
      </c>
      <c r="O563">
        <v>2239459.4594594599</v>
      </c>
      <c r="P563">
        <v>1648648.6486486481</v>
      </c>
      <c r="Q563">
        <v>9</v>
      </c>
      <c r="S563">
        <v>13067522.522522524</v>
      </c>
      <c r="T563">
        <v>13041207.207207208</v>
      </c>
      <c r="U563">
        <v>1584864.8648648651</v>
      </c>
      <c r="V563">
        <v>1386936.9369369361</v>
      </c>
      <c r="W563">
        <v>1806</v>
      </c>
      <c r="X563">
        <v>1715</v>
      </c>
    </row>
    <row r="564" spans="1:24">
      <c r="A564" s="7" t="s">
        <v>653</v>
      </c>
      <c r="B564" s="16" t="s">
        <v>96</v>
      </c>
      <c r="C564">
        <v>452318401.18442792</v>
      </c>
      <c r="D564">
        <v>416812378.16600978</v>
      </c>
      <c r="E564">
        <v>15928828.828828832</v>
      </c>
      <c r="F564">
        <v>79647747.747747749</v>
      </c>
      <c r="G564">
        <v>104</v>
      </c>
      <c r="H564">
        <v>172</v>
      </c>
      <c r="I564">
        <v>1</v>
      </c>
      <c r="J564">
        <v>1</v>
      </c>
      <c r="M564">
        <v>118</v>
      </c>
      <c r="N564">
        <v>231</v>
      </c>
      <c r="O564">
        <v>13775945.945945945</v>
      </c>
      <c r="P564">
        <v>12151351.351351352</v>
      </c>
      <c r="Q564">
        <v>51</v>
      </c>
      <c r="R564">
        <v>94</v>
      </c>
      <c r="S564">
        <v>54421882.882882878</v>
      </c>
      <c r="T564">
        <v>56775576.576576576</v>
      </c>
      <c r="U564">
        <v>11836036.036036037</v>
      </c>
      <c r="V564">
        <v>7825315.3153153164</v>
      </c>
      <c r="W564">
        <v>8564</v>
      </c>
      <c r="X564">
        <v>8745</v>
      </c>
    </row>
    <row r="565" spans="1:24">
      <c r="A565" s="7" t="s">
        <v>654</v>
      </c>
      <c r="B565" s="16" t="s">
        <v>66</v>
      </c>
      <c r="C565">
        <v>269321579.64055091</v>
      </c>
      <c r="D565">
        <v>258992321.64110884</v>
      </c>
      <c r="E565">
        <v>3782882.8828828838</v>
      </c>
      <c r="F565">
        <v>8508108.1081081089</v>
      </c>
      <c r="G565">
        <v>104</v>
      </c>
      <c r="H565">
        <v>73</v>
      </c>
      <c r="I565">
        <v>5</v>
      </c>
      <c r="J565">
        <v>5</v>
      </c>
      <c r="M565">
        <v>111</v>
      </c>
      <c r="N565">
        <v>106</v>
      </c>
      <c r="O565">
        <v>32739819.819819819</v>
      </c>
      <c r="P565">
        <v>136674774.77477476</v>
      </c>
      <c r="Q565">
        <v>100</v>
      </c>
      <c r="R565">
        <v>10</v>
      </c>
      <c r="S565">
        <v>171506801.8018018</v>
      </c>
      <c r="T565">
        <v>169093351.35135135</v>
      </c>
      <c r="U565">
        <v>32474954.954954956</v>
      </c>
      <c r="V565">
        <v>119294054.05405407</v>
      </c>
      <c r="W565">
        <v>5503</v>
      </c>
      <c r="X565">
        <v>5660</v>
      </c>
    </row>
    <row r="566" spans="1:24">
      <c r="A566" s="7" t="s">
        <v>655</v>
      </c>
      <c r="B566" s="16" t="s">
        <v>68</v>
      </c>
      <c r="C566">
        <v>463023033.32857704</v>
      </c>
      <c r="D566">
        <v>405945317.39307469</v>
      </c>
      <c r="E566">
        <v>793063.06306306401</v>
      </c>
      <c r="F566">
        <v>1006306.306306307</v>
      </c>
      <c r="G566">
        <v>136</v>
      </c>
      <c r="H566">
        <v>68</v>
      </c>
      <c r="I566">
        <v>8</v>
      </c>
      <c r="J566">
        <v>5</v>
      </c>
      <c r="K566">
        <v>4</v>
      </c>
      <c r="M566">
        <v>151</v>
      </c>
      <c r="N566">
        <v>75</v>
      </c>
      <c r="O566">
        <v>27217657.657657657</v>
      </c>
      <c r="P566">
        <v>16062698.198198197</v>
      </c>
      <c r="Q566">
        <v>62</v>
      </c>
      <c r="R566">
        <v>85</v>
      </c>
      <c r="S566">
        <v>57584608.108108111</v>
      </c>
      <c r="T566">
        <v>55207594.59459459</v>
      </c>
      <c r="U566">
        <v>20665225.225225225</v>
      </c>
      <c r="V566">
        <v>13476306.306306306</v>
      </c>
      <c r="W566">
        <v>7137</v>
      </c>
      <c r="X566">
        <v>6887</v>
      </c>
    </row>
    <row r="567" spans="1:24">
      <c r="A567" s="7" t="s">
        <v>14</v>
      </c>
      <c r="B567" s="16" t="s">
        <v>158</v>
      </c>
      <c r="C567">
        <v>192429625.04478538</v>
      </c>
      <c r="D567">
        <v>178092735.09584966</v>
      </c>
      <c r="E567">
        <v>781086356.75675678</v>
      </c>
      <c r="F567">
        <v>679365130.63063061</v>
      </c>
      <c r="G567">
        <v>19</v>
      </c>
      <c r="H567">
        <v>25</v>
      </c>
      <c r="I567">
        <v>8</v>
      </c>
      <c r="J567">
        <v>7</v>
      </c>
      <c r="M567">
        <v>20</v>
      </c>
      <c r="N567">
        <v>29</v>
      </c>
      <c r="O567">
        <v>55963247.747747742</v>
      </c>
      <c r="P567">
        <v>96633333.333333328</v>
      </c>
      <c r="Q567">
        <v>42</v>
      </c>
      <c r="R567">
        <v>43</v>
      </c>
      <c r="S567">
        <v>64067333.333333336</v>
      </c>
      <c r="T567">
        <v>60276441.441441439</v>
      </c>
      <c r="U567">
        <v>18432972.97297297</v>
      </c>
      <c r="V567">
        <v>39893333.333333336</v>
      </c>
      <c r="W567">
        <v>4069</v>
      </c>
      <c r="X567">
        <v>3889</v>
      </c>
    </row>
    <row r="568" spans="1:24">
      <c r="A568" s="7" t="s">
        <v>656</v>
      </c>
      <c r="B568" s="16" t="s">
        <v>304</v>
      </c>
      <c r="C568">
        <v>172122790.70562565</v>
      </c>
      <c r="D568">
        <v>192744807.42664525</v>
      </c>
      <c r="E568">
        <v>976576.57657657994</v>
      </c>
      <c r="F568">
        <v>704504.50450450205</v>
      </c>
      <c r="G568">
        <v>83</v>
      </c>
      <c r="H568">
        <v>40</v>
      </c>
      <c r="I568">
        <v>8</v>
      </c>
      <c r="J568">
        <v>18</v>
      </c>
      <c r="M568">
        <v>87</v>
      </c>
      <c r="N568">
        <v>283</v>
      </c>
      <c r="O568">
        <v>35390990.990990989</v>
      </c>
      <c r="P568">
        <v>30419819.819819819</v>
      </c>
      <c r="Q568">
        <v>71</v>
      </c>
      <c r="R568">
        <v>55</v>
      </c>
      <c r="S568">
        <v>52860450.45045045</v>
      </c>
      <c r="T568">
        <v>55611797.297297299</v>
      </c>
      <c r="U568">
        <v>30786036.036036037</v>
      </c>
      <c r="V568">
        <v>29044774.774774775</v>
      </c>
      <c r="W568">
        <v>3238</v>
      </c>
      <c r="X568">
        <v>3051</v>
      </c>
    </row>
    <row r="569" spans="1:24">
      <c r="A569" s="7" t="s">
        <v>657</v>
      </c>
      <c r="B569" s="16" t="s">
        <v>48</v>
      </c>
      <c r="C569">
        <v>276140839.0605619</v>
      </c>
      <c r="D569">
        <v>234506782.22110707</v>
      </c>
      <c r="E569">
        <v>2425225.2252252251</v>
      </c>
      <c r="F569">
        <v>1551351.3513513519</v>
      </c>
      <c r="G569">
        <v>47</v>
      </c>
      <c r="H569">
        <v>49</v>
      </c>
      <c r="I569">
        <v>6</v>
      </c>
      <c r="J569">
        <v>5</v>
      </c>
      <c r="M569">
        <v>54</v>
      </c>
      <c r="N569">
        <v>158</v>
      </c>
      <c r="O569">
        <v>31022702.702702705</v>
      </c>
      <c r="P569">
        <v>53141801.801801801</v>
      </c>
      <c r="R569">
        <v>5</v>
      </c>
      <c r="S569">
        <v>82989135.135135129</v>
      </c>
      <c r="T569">
        <v>74986459.459459454</v>
      </c>
      <c r="U569">
        <v>30184594.59459459</v>
      </c>
      <c r="V569">
        <v>50438108.108108111</v>
      </c>
      <c r="W569">
        <v>3443</v>
      </c>
      <c r="X569">
        <v>3687</v>
      </c>
    </row>
    <row r="570" spans="1:24">
      <c r="A570" s="7" t="s">
        <v>658</v>
      </c>
      <c r="B570" s="16" t="s">
        <v>54</v>
      </c>
      <c r="C570">
        <v>76568898.204804853</v>
      </c>
      <c r="D570">
        <v>77530614.95521006</v>
      </c>
      <c r="E570">
        <v>199099.099099099</v>
      </c>
      <c r="F570">
        <v>595495.49549549597</v>
      </c>
      <c r="G570">
        <v>10</v>
      </c>
      <c r="H570">
        <v>1</v>
      </c>
      <c r="I570">
        <v>3</v>
      </c>
      <c r="J570">
        <v>2</v>
      </c>
      <c r="M570">
        <v>10</v>
      </c>
      <c r="N570">
        <v>2</v>
      </c>
      <c r="O570">
        <v>10796396.396396397</v>
      </c>
      <c r="P570">
        <v>6378378.3783783792</v>
      </c>
      <c r="Q570">
        <v>26</v>
      </c>
      <c r="R570">
        <v>15</v>
      </c>
      <c r="S570">
        <v>17320990.990990993</v>
      </c>
      <c r="T570">
        <v>18063378.378378376</v>
      </c>
      <c r="U570">
        <v>9046126.1261261255</v>
      </c>
      <c r="V570">
        <v>5773063.0630630637</v>
      </c>
      <c r="W570">
        <v>1566</v>
      </c>
      <c r="X570">
        <v>1521</v>
      </c>
    </row>
    <row r="571" spans="1:24">
      <c r="A571" s="7" t="s">
        <v>659</v>
      </c>
      <c r="B571" s="16" t="s">
        <v>50</v>
      </c>
      <c r="C571">
        <v>347391102.80854738</v>
      </c>
      <c r="D571">
        <v>340537179.69678855</v>
      </c>
      <c r="E571">
        <v>571801.80180180306</v>
      </c>
      <c r="F571">
        <v>1679279.279279283</v>
      </c>
      <c r="G571">
        <v>63</v>
      </c>
      <c r="H571">
        <v>64</v>
      </c>
      <c r="I571">
        <v>18</v>
      </c>
      <c r="J571">
        <v>9</v>
      </c>
      <c r="M571">
        <v>67</v>
      </c>
      <c r="N571">
        <v>90</v>
      </c>
      <c r="O571">
        <v>75984864.864864871</v>
      </c>
      <c r="P571">
        <v>86525855.855855852</v>
      </c>
      <c r="Q571">
        <v>65</v>
      </c>
      <c r="R571">
        <v>41</v>
      </c>
      <c r="S571">
        <v>173811998.1981982</v>
      </c>
      <c r="T571">
        <v>171298864.86486486</v>
      </c>
      <c r="U571">
        <v>78233917.117117122</v>
      </c>
      <c r="V571">
        <v>80741261.261261269</v>
      </c>
      <c r="W571">
        <v>5875</v>
      </c>
      <c r="X571">
        <v>5820</v>
      </c>
    </row>
    <row r="572" spans="1:24">
      <c r="A572" s="7" t="s">
        <v>660</v>
      </c>
      <c r="B572" s="16" t="s">
        <v>83</v>
      </c>
      <c r="C572">
        <v>398516194.16650575</v>
      </c>
      <c r="D572">
        <v>414757468.53338248</v>
      </c>
      <c r="E572">
        <v>2165405.4054054059</v>
      </c>
      <c r="F572">
        <v>3228620.72072072</v>
      </c>
      <c r="G572">
        <v>116</v>
      </c>
      <c r="H572">
        <v>113</v>
      </c>
      <c r="I572">
        <v>10</v>
      </c>
      <c r="J572">
        <v>11</v>
      </c>
      <c r="K572">
        <v>2</v>
      </c>
      <c r="M572">
        <v>252</v>
      </c>
      <c r="N572">
        <v>134</v>
      </c>
      <c r="O572">
        <v>45278468.468468465</v>
      </c>
      <c r="P572">
        <v>59891353.153153151</v>
      </c>
      <c r="Q572">
        <v>309</v>
      </c>
      <c r="R572">
        <v>90</v>
      </c>
      <c r="S572">
        <v>101786072.07207206</v>
      </c>
      <c r="T572">
        <v>107165225.22522523</v>
      </c>
      <c r="U572">
        <v>41165675.675675683</v>
      </c>
      <c r="V572">
        <v>36548783.783783786</v>
      </c>
      <c r="W572">
        <v>8657</v>
      </c>
      <c r="X572">
        <v>8999</v>
      </c>
    </row>
    <row r="573" spans="1:24">
      <c r="A573" s="12" t="s">
        <v>665</v>
      </c>
      <c r="B573" s="13"/>
      <c r="C573" s="14">
        <v>178504410962.55844</v>
      </c>
      <c r="D573" s="14">
        <v>172259556724.99863</v>
      </c>
      <c r="E573" s="14">
        <v>36575272365.765778</v>
      </c>
      <c r="F573" s="14">
        <v>38669568402.702713</v>
      </c>
      <c r="G573" s="14">
        <v>59915</v>
      </c>
      <c r="H573" s="14">
        <v>54098</v>
      </c>
      <c r="I573" s="14">
        <v>5607</v>
      </c>
      <c r="J573" s="14">
        <v>6429</v>
      </c>
      <c r="K573" s="14">
        <v>637</v>
      </c>
      <c r="L573" s="14"/>
      <c r="M573" s="14">
        <v>76186</v>
      </c>
      <c r="N573" s="14">
        <v>88600</v>
      </c>
      <c r="O573" s="14">
        <v>35288471990.990997</v>
      </c>
      <c r="P573" s="14">
        <v>35837360132.432426</v>
      </c>
      <c r="Q573" s="14">
        <v>97719</v>
      </c>
      <c r="R573" s="14">
        <v>114251</v>
      </c>
      <c r="S573" s="14">
        <v>51483064335.135132</v>
      </c>
      <c r="T573" s="14">
        <v>51685643409.909904</v>
      </c>
      <c r="U573" s="14">
        <v>25744805472.072067</v>
      </c>
      <c r="V573" s="14">
        <v>26768292895.495483</v>
      </c>
      <c r="W573" s="14">
        <v>3722851</v>
      </c>
      <c r="X573" s="14">
        <v>3716379</v>
      </c>
    </row>
    <row r="574" spans="1:24">
      <c r="A574" s="7" t="s">
        <v>659</v>
      </c>
      <c r="B574" s="16" t="s">
        <v>50</v>
      </c>
      <c r="C574">
        <v>331723796.98063087</v>
      </c>
      <c r="D574">
        <v>325757180.96824449</v>
      </c>
      <c r="E574">
        <v>436666.66666666802</v>
      </c>
      <c r="F574">
        <v>1651351.3513513559</v>
      </c>
      <c r="G574">
        <v>61</v>
      </c>
      <c r="H574">
        <v>59</v>
      </c>
      <c r="I574">
        <v>17</v>
      </c>
      <c r="J574">
        <v>8</v>
      </c>
      <c r="M574">
        <v>64</v>
      </c>
      <c r="N574">
        <v>84</v>
      </c>
      <c r="O574">
        <v>75247927.927927941</v>
      </c>
      <c r="P574">
        <v>86497927.927927941</v>
      </c>
      <c r="Q574">
        <v>65</v>
      </c>
      <c r="R574">
        <v>41</v>
      </c>
      <c r="S574">
        <v>165837360.36036035</v>
      </c>
      <c r="T574">
        <v>164119144.14414412</v>
      </c>
      <c r="U574">
        <v>73317207.207207203</v>
      </c>
      <c r="V574">
        <v>78835135.135135129</v>
      </c>
      <c r="W574">
        <v>5879</v>
      </c>
      <c r="X574">
        <v>5886</v>
      </c>
    </row>
    <row r="575" spans="1:24">
      <c r="A575" s="7" t="s">
        <v>660</v>
      </c>
      <c r="B575" s="16" t="s">
        <v>83</v>
      </c>
      <c r="C575">
        <v>382838809.07222694</v>
      </c>
      <c r="D575">
        <v>397807260.50249064</v>
      </c>
      <c r="E575">
        <v>2163603.6036036038</v>
      </c>
      <c r="F575">
        <v>3051143.2432432421</v>
      </c>
      <c r="G575">
        <v>112</v>
      </c>
      <c r="H575">
        <v>110</v>
      </c>
      <c r="I575">
        <v>9</v>
      </c>
      <c r="J575">
        <v>11</v>
      </c>
      <c r="K575">
        <v>2</v>
      </c>
      <c r="M575">
        <v>248</v>
      </c>
      <c r="N575">
        <v>130</v>
      </c>
      <c r="O575">
        <v>43433423.423423424</v>
      </c>
      <c r="P575">
        <v>59704866.666666664</v>
      </c>
      <c r="Q575">
        <v>309</v>
      </c>
      <c r="R575">
        <v>89</v>
      </c>
      <c r="S575">
        <v>97145801.801801801</v>
      </c>
      <c r="T575">
        <v>102423558.55855855</v>
      </c>
      <c r="U575">
        <v>39932522.522522517</v>
      </c>
      <c r="V575">
        <v>35365630.630630635</v>
      </c>
      <c r="W575">
        <v>8695</v>
      </c>
      <c r="X575">
        <v>8689</v>
      </c>
    </row>
    <row r="576" spans="1:24">
      <c r="A576" s="12" t="s">
        <v>665</v>
      </c>
      <c r="B576" s="13"/>
      <c r="C576" s="14">
        <v>170647571392.03604</v>
      </c>
      <c r="D576" s="14">
        <v>165176510778.63831</v>
      </c>
      <c r="E576" s="14">
        <v>32781030644.144142</v>
      </c>
      <c r="F576" s="14">
        <v>38543971790.090103</v>
      </c>
      <c r="G576" s="14">
        <v>56327</v>
      </c>
      <c r="H576" s="14">
        <v>51589</v>
      </c>
      <c r="I576" s="14">
        <v>5351</v>
      </c>
      <c r="J576" s="14">
        <v>6268</v>
      </c>
      <c r="K576" s="14">
        <v>529</v>
      </c>
      <c r="L576" s="14"/>
      <c r="M576" s="14">
        <v>71325</v>
      </c>
      <c r="N576" s="14">
        <v>86024</v>
      </c>
      <c r="O576" s="14">
        <v>33456758997.297302</v>
      </c>
      <c r="P576" s="14">
        <v>35706034837.837807</v>
      </c>
      <c r="Q576" s="14">
        <v>90449</v>
      </c>
      <c r="R576" s="14">
        <v>113108</v>
      </c>
      <c r="S576" s="14">
        <v>49157994558.558563</v>
      </c>
      <c r="T576" s="14">
        <v>49698301227.027039</v>
      </c>
      <c r="U576" s="14">
        <v>23769426241.44146</v>
      </c>
      <c r="V576" s="14">
        <v>26268212502.702713</v>
      </c>
      <c r="W576" s="14">
        <v>3720402</v>
      </c>
      <c r="X576" s="14">
        <v>3717608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2026-09-25T15:39:54Z</dcterms:modified>
</cp:coreProperties>
</file>