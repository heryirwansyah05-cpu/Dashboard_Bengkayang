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D7" i="1"/>
  <c r="D8" i="1"/>
  <c r="E8" i="1" s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E7" i="1" s="1"/>
  <c r="C8" i="1"/>
  <c r="C9" i="1"/>
  <c r="C10" i="1"/>
  <c r="C11" i="1"/>
  <c r="C12" i="1"/>
  <c r="C13" i="1"/>
  <c r="C14" i="1"/>
  <c r="C15" i="1"/>
  <c r="C16" i="1"/>
  <c r="E16" i="1" s="1"/>
  <c r="C17" i="1"/>
  <c r="E17" i="1" s="1"/>
  <c r="C18" i="1"/>
  <c r="E18" i="1" s="1"/>
  <c r="C19" i="1"/>
  <c r="E19" i="1" s="1"/>
  <c r="C20" i="1"/>
  <c r="C21" i="1"/>
  <c r="C22" i="1"/>
  <c r="C6" i="1"/>
  <c r="E21" i="1" l="1"/>
  <c r="E9" i="1"/>
  <c r="E14" i="1"/>
  <c r="E20" i="1"/>
  <c r="E13" i="1"/>
  <c r="E12" i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<sst xmlns="http://schemas.openxmlformats.org/spreadsheetml/2006/main" count="1248" uniqueCount="681">
  <si>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</si>
  <si>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</si>
  <si>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</si>
  <si>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</si>
  <si>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</si>
  <si>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</si>
  <si>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</si>
  <si>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</si>
  <si>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</si>
  <si>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</si>
  <si>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</si>
  <si>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</si>
  <si>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</si>
  <si>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</si>
  <si>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</si>
  <si>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</si>
  <si>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</si>
  <si>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</si>
  <si>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</si>
  <si>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</si>
  <si>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</si>
  <si>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</si>
  <si>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</si>
  <si>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</si>
  <si>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</si>
  <si>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</si>
  <si>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</si>
  <si>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</si>
  <si>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</si>
  <si>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</si>
  <si>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</si>
  <si>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</si>
  <si>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</si>
  <si>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</si>
  <si>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</si>
  <si>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</si>
  <si>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</si>
  <si>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</si>
  <si>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</si>
  <si>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</si>
  <si>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</si>
  <si>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</si>
  <si>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</si>
  <si>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</si>
  <si>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</si>
  <si>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</si>
  <si>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</si>
  <si>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</si>
  <si>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</si>
  <si>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</si>
  <si>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</si>
  <si>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</si>
  <si>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</si>
  <si>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</si>
  <si>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</si>
  <si>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</si>
  <si>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</si>
  <si>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</si>
  <si>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</si>
  <si>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</si>
  <si>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</si>
  <si>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</si>
  <si>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</si>
  <si>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</si>
  <si>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</si>
  <si>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</si>
  <si>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</si>
  <si>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</si>
  <si>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</si>
  <si>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</si>
  <si>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</si>
  <si>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</si>
  <si>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</si>
  <si>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</si>
  <si>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</si>
  <si>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</si>
  <si>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</si>
  <si>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</si>
  <si>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</si>
  <si>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</si>
  <si>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</si>
  <si>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</si>
  <si>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</si>
  <si>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</si>
  <si>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</si>
  <si>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</si>
  <si>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</si>
  <si>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</si>
  <si>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</si>
  <si>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</si>
  <si>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</si>
  <si>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</si>
  <si>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</si>
  <si>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</si>
  <si>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</si>
  <si>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</si>
  <si>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</si>
  <si>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</si>
  <si>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</si>
  <si>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</si>
  <si>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</si>
  <si>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</si>
  <si>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</si>
  <si>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</si>
  <si>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</si>
  <si>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</si>
  <si>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</si>
  <si>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</si>
  <si>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</si>
  <si>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</si>
  <si>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</si>
  <si>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</si>
  <si>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</si>
  <si>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</si>
  <si>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</si>
  <si>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</si>
  <si>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</si>
  <si>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</si>
  <si>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</si>
  <si>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</si>
  <si>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</si>
  <si>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</si>
  <si>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</si>
  <si>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</si>
  <si>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</si>
  <si>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</si>
  <si>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</si>
  <si>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</si>
  <si>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</si>
  <si>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</si>
  <si>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</si>
  <si>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</si>
  <si>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</si>
  <si>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</si>
  <si>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</si>
  <si>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</si>
  <si>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</si>
  <si>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</si>
  <si>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</si>
  <si>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</si>
  <si>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</si>
  <si>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</si>
  <si>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</si>
  <si>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</si>
  <si>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</si>
  <si>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</si>
  <si>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</si>
  <si>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</si>
  <si>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</si>
  <si>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</si>
  <si>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</si>
  <si>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</si>
  <si>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</si>
  <si>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</si>
  <si>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</si>
  <si>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</si>
  <si>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</si>
  <si>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</si>
  <si>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</si>
  <si>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</si>
  <si>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</si>
  <si>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</si>
  <si>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</si>
  <si>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</si>
  <si>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</si>
  <si>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</si>
  <si>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</si>
  <si>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</si>
  <si>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</si>
  <si>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</si>
  <si>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</si>
  <si>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</si>
  <si>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</si>
  <si>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</si>
  <si>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</si>
  <si>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</si>
  <si>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</si>
  <si>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</si>
  <si>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</si>
  <si>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</si>
  <si>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</si>
  <si>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</si>
  <si>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</si>
  <si>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</si>
  <si>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</si>
  <si>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</si>
  <si>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</si>
  <si>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</si>
  <si>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</si>
  <si>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</si>
  <si>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</si>
  <si>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</si>
  <si>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</si>
  <si>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</si>
  <si>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</si>
  <si>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</si>
  <si>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</si>
  <si>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</si>
  <si>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</si>
  <si>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</si>
  <si>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</si>
  <si>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</si>
  <si>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</si>
  <si>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</si>
  <si>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</si>
  <si>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</si>
  <si>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</si>
  <si>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</si>
  <si>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</si>
  <si>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</si>
  <si>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</si>
  <si>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</si>
  <si>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</si>
  <si>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</si>
  <si>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</si>
  <si>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</si>
  <si>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</si>
  <si>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</si>
  <si>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</si>
  <si>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</si>
  <si>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</si>
  <si>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</si>
  <si>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</si>
  <si>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</si>
  <si>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</si>
  <si>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</si>
  <si>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</si>
  <si>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</si>
  <si>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</si>
  <si>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</si>
  <si>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</si>
  <si>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</si>
  <si>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</si>
  <si>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</si>
  <si>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</si>
  <si>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</si>
  <si>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</si>
  <si>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</si>
  <si>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</si>
  <si>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</si>
  <si>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</si>
  <si>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</si>
  <si>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</si>
  <si>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</si>
  <si>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</si>
  <si>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</si>
  <si>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</si>
  <si>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</si>
  <si>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</si>
  <si>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</si>
  <si>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</si>
  <si>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</si>
  <si>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</si>
  <si>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</si>
  <si>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</si>
  <si>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</si>
  <si>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</si>
  <si>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</si>
  <si>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</si>
  <si>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</si>
  <si>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</si>
  <si>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</si>
  <si>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</si>
  <si>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</si>
  <si>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</si>
  <si>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</si>
  <si>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</si>
  <si>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</si>
  <si>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</si>
  <si>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</si>
  <si>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</si>
  <si>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</si>
  <si>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</si>
  <si>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</si>
  <si>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</si>
  <si>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</si>
  <si>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</si>
  <si>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</si>
  <si>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</si>
  <si>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</si>
  <si>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</si>
  <si>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</si>
  <si>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</si>
  <si>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</si>
  <si>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</si>
  <si>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</si>
  <si>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</si>
  <si>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</si>
  <si>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</si>
  <si>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</si>
  <si>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</si>
  <si>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</si>
  <si>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</si>
  <si>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</si>
  <si>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</si>
  <si>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</si>
  <si>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</si>
  <si>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</si>
  <si>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</si>
  <si>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</si>
  <si>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</si>
  <si>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</si>
  <si>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</si>
  <si>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</si>
  <si>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</si>
  <si>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</si>
  <si>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</si>
  <si>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</si>
  <si>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</si>
  <si>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</si>
  <si>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</si>
  <si>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</si>
  <si>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</si>
  <si>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</si>
  <si>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</si>
  <si>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</si>
  <si>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</si>
  <si>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</si>
  <si>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</si>
  <si>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</si>
  <si>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</si>
  <si>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</si>
  <si>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</si>
  <si>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</si>
  <si>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</si>
  <si>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</si>
  <si>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</si>
  <si>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</si>
  <si>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</si>
  <si>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</si>
  <si>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</si>
  <si>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</si>
  <si>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</si>
  <si>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</si>
  <si>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</si>
  <si>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</si>
  <si>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</si>
  <si>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</si>
  <si>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</si>
  <si>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</si>
  <si>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</si>
  <si>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</si>
  <si>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</si>
  <si>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</si>
  <si>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</si>
  <si>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</si>
  <si>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</si>
  <si>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</si>
  <si>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</si>
  <si>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</si>
  <si>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</si>
  <si>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</si>
  <si>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</si>
  <si>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</si>
  <si>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</si>
  <si>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</si>
  <si>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</si>
  <si>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</si>
  <si>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</si>
  <si>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</si>
  <si>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</si>
  <si>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</si>
  <si>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</si>
  <si>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</si>
  <si>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</si>
  <si>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</si>
  <si>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</si>
  <si>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</si>
  <si>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</si>
  <si>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</si>
  <si>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</si>
  <si>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</si>
  <si>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</si>
  <si>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</si>
  <si>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</si>
  <si>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</si>
  <si>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</si>
  <si>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</si>
  <si>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</si>
  <si>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</si>
  <si>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</si>
  <si>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</si>
  <si>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</si>
  <si>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</si>
  <si>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</si>
  <si>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</si>
  <si>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</si>
  <si>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</si>
  <si>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</si>
  <si>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</si>
  <si>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</si>
  <si>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</si>
  <si>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</si>
  <si>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</si>
  <si>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</si>
  <si>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</si>
  <si>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</si>
  <si>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</si>
  <si>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</si>
  <si>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</si>
  <si>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</si>
  <si>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</si>
  <si>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</si>
  <si>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</si>
  <si>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</si>
  <si>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</si>
  <si>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</si>
  <si>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</si>
  <si>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</si>
  <si>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</si>
  <si>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</si>
  <si>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</si>
  <si>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</si>
  <si>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</si>
  <si>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</si>
  <si>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</si>
  <si>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</si>
  <si>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</si>
  <si>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</si>
  <si>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</si>
  <si>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</si>
  <si>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</si>
  <si>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</si>
  <si>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</si>
  <si>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</si>
  <si>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</si>
  <si>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</si>
  <si>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</si>
  <si>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</si>
  <si>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</si>
  <si>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</si>
  <si>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</si>
  <si>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</si>
  <si>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</si>
  <si>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</si>
  <si>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</si>
  <si>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</si>
  <si>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</si>
  <si>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</si>
  <si>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</si>
  <si>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</si>
  <si>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</si>
  <si>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</si>
  <si>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</si>
  <si>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</si>
  <si>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</si>
  <si>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</si>
  <si>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</si>
  <si>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</si>
  <si>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</si>
  <si>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</si>
  <si>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</si>
  <si>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</si>
  <si>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</si>
  <si>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</si>
  <si>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</si>
  <si>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</si>
  <si>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</si>
  <si>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</si>
  <si>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</si>
  <si>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</si>
  <si>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</si>
  <si>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</si>
  <si>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</si>
  <si>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</si>
  <si>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</si>
  <si>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</si>
  <si>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</si>
  <si>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</si>
  <si>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</si>
  <si>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</si>
  <si>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</si>
  <si>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</si>
  <si>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</si>
  <si>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</si>
  <si>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</si>
  <si>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</si>
  <si>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</si>
  <si>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</si>
  <si>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</si>
  <si>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</si>
  <si>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</si>
  <si>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</si>
  <si>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</si>
  <si>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</si>
  <si>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</si>
  <si>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</si>
  <si>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</si>
  <si>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</si>
  <si>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</si>
  <si>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</si>
  <si>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</si>
  <si>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</si>
  <si>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</si>
  <si>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</si>
  <si>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</si>
  <si>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</si>
  <si>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</si>
  <si>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</si>
  <si>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</si>
  <si>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</si>
  <si>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</si>
  <si>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</si>
  <si>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</si>
  <si>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</si>
  <si>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</si>
  <si>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</si>
  <si>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</si>
  <si>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</si>
  <si>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</si>
  <si>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</si>
  <si>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</si>
  <si>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</si>
  <si>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</si>
  <si>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</si>
  <si>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</si>
  <si>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</si>
  <si>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</si>
  <si>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</si>
  <si>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</si>
  <si>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</si>
  <si>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</si>
  <si>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</si>
  <si>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</si>
  <si>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</si>
  <si>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</si>
  <si>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</si>
  <si>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</si>
  <si>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</si>
  <si>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</si>
  <si>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</si>
  <si>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</si>
  <si>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</si>
  <si>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</si>
  <si>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</si>
  <si>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</si>
  <si>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</si>
  <si>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</si>
  <si>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</si>
  <si>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</si>
  <si>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</si>
  <si>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</si>
  <si>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</si>
  <si>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</si>
  <si>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</si>
  <si>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</si>
  <si>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</si>
  <si>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</si>
  <si>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</si>
  <si>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</si>
  <si>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</si>
  <si>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</si>
  <si>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</si>
  <si>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</si>
  <si>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</si>
  <si>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</si>
  <si>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</si>
  <si>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</si>
  <si>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</si>
  <si>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</si>
  <si>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</si>
  <si>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</si>
  <si>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</si>
  <si>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</si>
  <si>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</si>
  <si>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</si>
  <si>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</si>
  <si>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</si>
  <si>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</si>
  <si>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</si>
  <si>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</si>
  <si>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</si>
  <si>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</si>
  <si>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</si>
  <si>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</si>
  <si>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</si>
  <si>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</si>
  <si>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</si>
  <si>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</si>
  <si>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</si>
  <si>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</si>
  <si>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</si>
  <si>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</si>
  <si>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</si>
  <si>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</si>
  <si>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</si>
  <si>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</si>
  <si>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</si>
  <si>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</si>
  <si>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</si>
  <si>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</si>
  <si>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</si>
  <si>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</si>
  <si>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</si>
  <si>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</si>
  <si>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</si>
  <si>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</si>
  <si>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</si>
  <si>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</si>
  <si>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</si>
  <si>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</si>
  <si>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</si>
  <si>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</si>
  <si>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</si>
  <si>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</si>
  <si>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</si>
  <si>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</si>
  <si>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</si>
  <si>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</si>
  <si>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</si>
  <si>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</si>
  <si>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</si>
  <si>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</si>
  <si>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</si>
  <si>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</si>
  <si>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</si>
  <si>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</si>
  <si>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</si>
  <si>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</si>
  <si>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</si>
  <si>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</si>
  <si>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</si>
  <si>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</si>
  <si>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</si>
  <si>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</si>
  <si>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</si>
  <si>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</si>
  <si>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</si>
  <si>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</si>
  <si>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</si>
  <si>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</si>
  <si>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</si>
  <si>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</si>
  <si>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</si>
  <si>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</si>
  <si>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</si>
  <si>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</si>
  <si>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</si>
  <si>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</si>
  <si>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</si>
  <si>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</si>
  <si>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</si>
  <si>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</si>
  <si>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</si>
  <si>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</si>
  <si>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</si>
  <si>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</si>
  <si>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</si>
  <si>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</si>
  <si>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</si>
  <si>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</si>
  <si>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</si>
  <si>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</si>
  <si>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</si>
  <si>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</si>
  <si>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</si>
  <si>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</si>
  <si>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</si>
  <si>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</si>
  <si>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</si>
  <si>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</si>
  <si>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</si>
  <si>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</si>
  <si>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</si>
  <si>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</si>
  <si>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</si>
  <si>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</si>
  <si>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SP SELL IN MTD</t>
  </si>
  <si>
    <t>SP SELL IN LMTD</t>
  </si>
  <si>
    <t>DD</t>
  </si>
  <si>
    <t>RETTAG_3GB</t>
  </si>
  <si>
    <t>SELLIN_3GB</t>
  </si>
  <si>
    <t>AMBALAU|SINTANG</t>
  </si>
  <si>
    <t>BIDUK BIDUK|BERAU</t>
  </si>
  <si>
    <t>BUKIT SANTUAI|KOTAWARINGIN TIMUR</t>
  </si>
  <si>
    <t>DAMANG BATU|GUNUNG MAS</t>
  </si>
  <si>
    <t>HAMPANG|KOTABARU</t>
  </si>
  <si>
    <t>KAHAYAN HULU UTARA|GUNUNG MAS</t>
  </si>
  <si>
    <t>KEPULAUAN KARIMATA|KAYONG UTARA</t>
  </si>
  <si>
    <t>MARATUA|BERAU</t>
  </si>
  <si>
    <t>TANJUNG PALAS BARAT|BULUNGAN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</si>
</sst>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667</v>
      </c>
      <c r="Y5" s="3" t="s">
        <v>668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349026423.6224159</v>
      </c>
      <c r="D6" s="4">
        <f>IFERROR(VLOOKUP(A:A,MASTER!A:D,4,0),0)</f>
        <v>349229899.23312777</v>
      </c>
      <c r="E6" s="8">
        <f>IFERROR(C6/D6-1,0)</f>
        <v>-5.8264086539749904E-4</v>
      </c>
      <c r="F6" s="4">
        <f>IFERROR(VLOOKUP(A6,MASTER!A:E,5,0),0)</f>
        <v>566216.21621621703</v>
      </c>
      <c r="G6" s="4">
        <f>IFERROR(VLOOKUP(A6,MASTER!A:F,6,0),0)</f>
        <v>2499099.099099102</v>
      </c>
      <c r="H6" s="8">
        <f>IFERROR(F6/G6-1,0)</f>
        <v>-0.7734318673395818</v>
      </c>
      <c r="I6" s="4">
        <f>IFERROR(VLOOKUP(A6,MASTER!A:O,15,0),0)</f>
        <v>33702432.432432435</v>
      </c>
      <c r="J6" s="4">
        <f>IFERROR(VLOOKUP(A6,MASTER!A:P,16,0),0)</f>
        <v>41212702.702702701</v>
      </c>
      <c r="K6" s="8">
        <f>IFERROR(I6/J6-1,0)</f>
        <v>-0.18223192796762988</v>
      </c>
      <c r="L6" s="4">
        <f>IFERROR(VLOOKUP(A6,MASTER!A:S,19,0),0)</f>
        <v>164156304.5045045</v>
      </c>
      <c r="M6" s="4">
        <f>IFERROR(VLOOKUP(A6,MASTER!A:T,20,0),0)</f>
        <v>165862117.11711711</v>
      </c>
      <c r="N6" s="8">
        <f>IFERROR(L6/M6-1,0)</f>
        <v>-1.028452212151687E-2</v>
      </c>
      <c r="O6" s="4">
        <f>IFERROR(VLOOKUP(A6,MASTER!A:U,21,0),0)</f>
        <v>35588738.738738738</v>
      </c>
      <c r="P6" s="4">
        <f>IFERROR(VLOOKUP(A6,MASTER!A:V,22,0),0)</f>
        <v>39026036.036036037</v>
      </c>
      <c r="Q6" s="8">
        <f>IFERROR(O6/P6-1,0)</f>
        <v>-8.8077028733416607E-2</v>
      </c>
      <c r="R6" s="4">
        <f>IFERROR(VLOOKUP(A6,MASTER!A:W,23,0),0)</f>
        <v>8441</v>
      </c>
      <c r="S6" s="4">
        <f>IFERROR(VLOOKUP(A6,MASTER!A:X,24,0),0)</f>
        <v>8535</v>
      </c>
      <c r="T6" s="8">
        <f>IFERROR(R6/S6-1,0)</f>
        <v>-1.101347393087293E-2</v>
      </c>
      <c r="U6" s="11">
        <f>IFERROR(VLOOKUP(A6,MASTER!A:M,13,0),0)</f>
        <v>579</v>
      </c>
      <c r="V6" s="11">
        <f>IFERROR(VLOOKUP(A6,MASTER!A:N,14,0),0)</f>
        <v>358</v>
      </c>
      <c r="W6" s="8">
        <f>IFERROR(U6/V6-1,0)</f>
        <v>0.61731843575418988</v>
      </c>
      <c r="X6" s="11">
        <f>IFERROR(VLOOKUP(A6,MASTER!A:Q,17,0),0)</f>
        <v>161</v>
      </c>
      <c r="Y6" s="11">
        <f>IFERROR(VLOOKUP(A6,MASTER!A:R,18,0),0)</f>
        <v>140</v>
      </c>
      <c r="Z6" s="8">
        <f>IFERROR(X6/Y6-1,0)</f>
        <v>0.14999999999999991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42278534.250475556</v>
      </c>
      <c r="D7" s="4">
        <f>IFERROR(VLOOKUP(A:A,MASTER!A:D,4,0),0)</f>
        <v>32956228.664062224</v>
      </c>
      <c r="E7" s="8">
        <f t="shared" ref="E7:E22" si="0">IFERROR(C7/D7-1,0)</f>
        <v>0.28286930769414842</v>
      </c>
      <c r="F7" s="4">
        <f>IFERROR(VLOOKUP(A7,MASTER!A:E,5,0),0)</f>
        <v>57657.657657657001</v>
      </c>
      <c r="G7" s="4">
        <f>IFERROR(VLOOKUP(A7,MASTER!A:F,6,0),0)</f>
        <v>40540.540540542002</v>
      </c>
      <c r="H7" s="8">
        <f t="shared" ref="H7:H22" si="1">IFERROR(F7/G7-1,0)</f>
        <v>0.42222222222215477</v>
      </c>
      <c r="I7" s="4">
        <f>IFERROR(VLOOKUP(A7,MASTER!A:O,15,0),0)</f>
        <v>324324.32432432403</v>
      </c>
      <c r="J7" s="4">
        <f>IFERROR(VLOOKUP(A7,MASTER!A:P,16,0),0)</f>
        <v>40540.540540542002</v>
      </c>
      <c r="K7" s="8">
        <f t="shared" ref="K7:K22" si="2">IFERROR(I7/J7-1,0)</f>
        <v>6.9999999999997042</v>
      </c>
      <c r="L7" s="4">
        <f>IFERROR(VLOOKUP(A7,MASTER!A:S,19,0),0)</f>
        <v>22165495.495495494</v>
      </c>
      <c r="M7" s="4">
        <f>IFERROR(VLOOKUP(A7,MASTER!A:T,20,0),0)</f>
        <v>18337648.648648649</v>
      </c>
      <c r="N7" s="8">
        <f t="shared" ref="N7:N22" si="3">IFERROR(L7/M7-1,0)</f>
        <v>0.20874251220474394</v>
      </c>
      <c r="O7" s="4">
        <f>IFERROR(VLOOKUP(A7,MASTER!A:U,21,0),0)</f>
        <v>266666.66666666698</v>
      </c>
      <c r="P7" s="4">
        <f>IFERROR(VLOOKUP(A7,MASTER!A:V,22,0),0)</f>
        <v>157657.65765765801</v>
      </c>
      <c r="Q7" s="8">
        <f t="shared" ref="Q7:Q22" si="4">IFERROR(O7/P7-1,0)</f>
        <v>0.69142857142856951</v>
      </c>
      <c r="R7" s="4">
        <f>IFERROR(VLOOKUP(A7,MASTER!A:W,23,0),0)</f>
        <v>960</v>
      </c>
      <c r="S7" s="4">
        <f>IFERROR(VLOOKUP(A7,MASTER!A:X,24,0),0)</f>
        <v>1040</v>
      </c>
      <c r="T7" s="8">
        <f t="shared" ref="T7:T22" si="5">IFERROR(R7/S7-1,0)</f>
        <v>-7.6923076923076872E-2</v>
      </c>
      <c r="U7" s="11">
        <f>IFERROR(VLOOKUP(A7,MASTER!A:M,13,0),0)</f>
        <v>10</v>
      </c>
      <c r="V7" s="11">
        <f>IFERROR(VLOOKUP(A7,MASTER!A:N,14,0),0)</f>
        <v>5</v>
      </c>
      <c r="W7" s="8">
        <f t="shared" ref="W7:W22" si="6">IFERROR(U7/V7-1,0)</f>
        <v>1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266170217.10356101</v>
      </c>
      <c r="D8" s="4">
        <f>IFERROR(VLOOKUP(A:A,MASTER!A:D,4,0),0)</f>
        <v>260787269.09674025</v>
      </c>
      <c r="E8" s="8">
        <f t="shared" si="0"/>
        <v>2.0641145656630666E-2</v>
      </c>
      <c r="F8" s="4">
        <f>IFERROR(VLOOKUP(A8,MASTER!A:E,5,0),0)</f>
        <v>6358333.333333334</v>
      </c>
      <c r="G8" s="4">
        <f>IFERROR(VLOOKUP(A8,MASTER!A:F,6,0),0)</f>
        <v>95358558.558558553</v>
      </c>
      <c r="H8" s="8">
        <f t="shared" si="1"/>
        <v>-0.93332183886327558</v>
      </c>
      <c r="I8" s="4">
        <f>IFERROR(VLOOKUP(A8,MASTER!A:O,15,0),0)</f>
        <v>86997072.072072074</v>
      </c>
      <c r="J8" s="4">
        <f>IFERROR(VLOOKUP(A8,MASTER!A:P,16,0),0)</f>
        <v>73585360.360360354</v>
      </c>
      <c r="K8" s="8">
        <f t="shared" si="2"/>
        <v>0.18226059702680297</v>
      </c>
      <c r="L8" s="4">
        <f>IFERROR(VLOOKUP(A8,MASTER!A:S,19,0),0)</f>
        <v>68466891.891891897</v>
      </c>
      <c r="M8" s="4">
        <f>IFERROR(VLOOKUP(A8,MASTER!A:T,20,0),0)</f>
        <v>74411513.51351352</v>
      </c>
      <c r="N8" s="8">
        <f t="shared" si="3"/>
        <v>-7.9888465385696605E-2</v>
      </c>
      <c r="O8" s="4">
        <f>IFERROR(VLOOKUP(A8,MASTER!A:U,21,0),0)</f>
        <v>46754504.504504502</v>
      </c>
      <c r="P8" s="4">
        <f>IFERROR(VLOOKUP(A8,MASTER!A:V,22,0),0)</f>
        <v>47289009.009009011</v>
      </c>
      <c r="Q8" s="8">
        <f t="shared" si="4"/>
        <v>-1.1302933085416966E-2</v>
      </c>
      <c r="R8" s="4">
        <f>IFERROR(VLOOKUP(A8,MASTER!A:W,23,0),0)</f>
        <v>4243</v>
      </c>
      <c r="S8" s="4">
        <f>IFERROR(VLOOKUP(A8,MASTER!A:X,24,0),0)</f>
        <v>3735</v>
      </c>
      <c r="T8" s="8">
        <f t="shared" si="5"/>
        <v>0.13601070950468541</v>
      </c>
      <c r="U8" s="11">
        <f>IFERROR(VLOOKUP(A8,MASTER!A:M,13,0),0)</f>
        <v>42</v>
      </c>
      <c r="V8" s="11">
        <f>IFERROR(VLOOKUP(A8,MASTER!A:N,14,0),0)</f>
        <v>50</v>
      </c>
      <c r="W8" s="8">
        <f t="shared" si="6"/>
        <v>-0.16000000000000003</v>
      </c>
      <c r="X8" s="11">
        <f>IFERROR(VLOOKUP(A8,MASTER!A:Q,17,0),0)</f>
        <v>102</v>
      </c>
      <c r="Y8" s="11">
        <f>IFERROR(VLOOKUP(A8,MASTER!A:R,18,0),0)</f>
        <v>69</v>
      </c>
      <c r="Z8" s="8">
        <f t="shared" si="7"/>
        <v>0.47826086956521729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158806972.36851934</v>
      </c>
      <c r="D9" s="4">
        <f>IFERROR(VLOOKUP(A:A,MASTER!A:D,4,0),0)</f>
        <v>155539178.73144257</v>
      </c>
      <c r="E9" s="8">
        <f t="shared" si="0"/>
        <v>2.1009456676629457E-2</v>
      </c>
      <c r="F9" s="4">
        <f>IFERROR(VLOOKUP(A9,MASTER!A:E,5,0),0)</f>
        <v>1249549.5495495489</v>
      </c>
      <c r="G9" s="4">
        <f>IFERROR(VLOOKUP(A9,MASTER!A:F,6,0),0)</f>
        <v>2141441.4414414442</v>
      </c>
      <c r="H9" s="8">
        <f t="shared" si="1"/>
        <v>-0.41649137568363592</v>
      </c>
      <c r="I9" s="4">
        <f>IFERROR(VLOOKUP(A9,MASTER!A:O,15,0),0)</f>
        <v>28076126.126126129</v>
      </c>
      <c r="J9" s="4">
        <f>IFERROR(VLOOKUP(A9,MASTER!A:P,16,0),0)</f>
        <v>27266666.666666668</v>
      </c>
      <c r="K9" s="8">
        <f t="shared" si="2"/>
        <v>2.9686777241789475E-2</v>
      </c>
      <c r="L9" s="4">
        <f>IFERROR(VLOOKUP(A9,MASTER!A:S,19,0),0)</f>
        <v>58002252.252252258</v>
      </c>
      <c r="M9" s="4">
        <f>IFERROR(VLOOKUP(A9,MASTER!A:T,20,0),0)</f>
        <v>54749675.675675683</v>
      </c>
      <c r="N9" s="8">
        <f t="shared" si="3"/>
        <v>5.9408143270913261E-2</v>
      </c>
      <c r="O9" s="4">
        <f>IFERROR(VLOOKUP(A9,MASTER!A:U,21,0),0)</f>
        <v>27107927.927927926</v>
      </c>
      <c r="P9" s="4">
        <f>IFERROR(VLOOKUP(A9,MASTER!A:V,22,0),0)</f>
        <v>33102162.162162159</v>
      </c>
      <c r="Q9" s="8">
        <f t="shared" si="4"/>
        <v>-0.18108286113968763</v>
      </c>
      <c r="R9" s="4">
        <f>IFERROR(VLOOKUP(A9,MASTER!A:W,23,0),0)</f>
        <v>3632</v>
      </c>
      <c r="S9" s="4">
        <f>IFERROR(VLOOKUP(A9,MASTER!A:X,24,0),0)</f>
        <v>3701</v>
      </c>
      <c r="T9" s="8">
        <f t="shared" si="5"/>
        <v>-1.8643609835179653E-2</v>
      </c>
      <c r="U9" s="11">
        <f>IFERROR(VLOOKUP(A9,MASTER!A:M,13,0),0)</f>
        <v>14</v>
      </c>
      <c r="V9" s="11">
        <f>IFERROR(VLOOKUP(A9,MASTER!A:N,14,0),0)</f>
        <v>16</v>
      </c>
      <c r="W9" s="8">
        <f t="shared" si="6"/>
        <v>-0.125</v>
      </c>
      <c r="X9" s="11">
        <f>IFERROR(VLOOKUP(A9,MASTER!A:Q,17,0),0)</f>
        <v>95</v>
      </c>
      <c r="Y9" s="11">
        <f>IFERROR(VLOOKUP(A9,MASTER!A:R,18,0),0)</f>
        <v>49</v>
      </c>
      <c r="Z9" s="8">
        <f t="shared" si="7"/>
        <v>0.93877551020408156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0</v>
      </c>
      <c r="G10" s="4">
        <f>IFERROR(VLOOKUP(A10,MASTER!A:F,6,0),0)</f>
        <v>0</v>
      </c>
      <c r="H10" s="8">
        <f t="shared" si="1"/>
        <v>0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161055717.46439987</v>
      </c>
      <c r="D11" s="4">
        <f>IFERROR(VLOOKUP(A:A,MASTER!A:D,4,0),0)</f>
        <v>163336930.93777385</v>
      </c>
      <c r="E11" s="8">
        <f t="shared" si="0"/>
        <v>-1.3966305478355312E-2</v>
      </c>
      <c r="F11" s="4">
        <f>IFERROR(VLOOKUP(A11,MASTER!A:E,5,0),0)</f>
        <v>1783333.333333334</v>
      </c>
      <c r="G11" s="4">
        <f>IFERROR(VLOOKUP(A11,MASTER!A:F,6,0),0)</f>
        <v>863963.963963966</v>
      </c>
      <c r="H11" s="8">
        <f t="shared" si="1"/>
        <v>1.0641293013555746</v>
      </c>
      <c r="I11" s="4">
        <f>IFERROR(VLOOKUP(A11,MASTER!A:O,15,0),0)</f>
        <v>12642072.072072072</v>
      </c>
      <c r="J11" s="4">
        <f>IFERROR(VLOOKUP(A11,MASTER!A:P,16,0),0)</f>
        <v>12700000</v>
      </c>
      <c r="K11" s="8">
        <f t="shared" si="2"/>
        <v>-4.5612541675533746E-3</v>
      </c>
      <c r="L11" s="4">
        <f>IFERROR(VLOOKUP(A11,MASTER!A:S,19,0),0)</f>
        <v>69833513.513513505</v>
      </c>
      <c r="M11" s="4">
        <f>IFERROR(VLOOKUP(A11,MASTER!A:T,20,0),0)</f>
        <v>69204900.9009009</v>
      </c>
      <c r="N11" s="8">
        <f t="shared" si="3"/>
        <v>9.0833539883650172E-3</v>
      </c>
      <c r="O11" s="4">
        <f>IFERROR(VLOOKUP(A11,MASTER!A:U,21,0),0)</f>
        <v>11913243.243243244</v>
      </c>
      <c r="P11" s="4">
        <f>IFERROR(VLOOKUP(A11,MASTER!A:V,22,0),0)</f>
        <v>11728468.468468469</v>
      </c>
      <c r="Q11" s="8">
        <f t="shared" si="4"/>
        <v>1.5754382191633498E-2</v>
      </c>
      <c r="R11" s="4">
        <f>IFERROR(VLOOKUP(A11,MASTER!A:W,23,0),0)</f>
        <v>3124</v>
      </c>
      <c r="S11" s="4">
        <f>IFERROR(VLOOKUP(A11,MASTER!A:X,24,0),0)</f>
        <v>3003</v>
      </c>
      <c r="T11" s="8">
        <f t="shared" si="5"/>
        <v>4.0293040293040372E-2</v>
      </c>
      <c r="U11" s="11">
        <f>IFERROR(VLOOKUP(A11,MASTER!A:M,13,0),0)</f>
        <v>15</v>
      </c>
      <c r="V11" s="11">
        <f>IFERROR(VLOOKUP(A11,MASTER!A:N,14,0),0)</f>
        <v>23</v>
      </c>
      <c r="W11" s="8">
        <f t="shared" si="6"/>
        <v>-0.34782608695652173</v>
      </c>
      <c r="X11" s="11">
        <f>IFERROR(VLOOKUP(A11,MASTER!A:Q,17,0),0)</f>
        <v>86</v>
      </c>
      <c r="Y11" s="11">
        <f>IFERROR(VLOOKUP(A11,MASTER!A:R,18,0),0)</f>
        <v>27</v>
      </c>
      <c r="Z11" s="8">
        <f t="shared" si="7"/>
        <v>2.1851851851851851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612577387.72131908</v>
      </c>
      <c r="D12" s="4">
        <f>IFERROR(VLOOKUP(A:A,MASTER!A:D,4,0),0)</f>
        <v>594205850.97272587</v>
      </c>
      <c r="E12" s="8">
        <f t="shared" si="0"/>
        <v>3.0917798467515301E-2</v>
      </c>
      <c r="F12" s="4">
        <f>IFERROR(VLOOKUP(A12,MASTER!A:E,5,0),0)</f>
        <v>6512162.1621621549</v>
      </c>
      <c r="G12" s="4">
        <f>IFERROR(VLOOKUP(A12,MASTER!A:F,6,0),0)</f>
        <v>6331105.4054054143</v>
      </c>
      <c r="H12" s="8">
        <f t="shared" si="1"/>
        <v>2.8597969100649712E-2</v>
      </c>
      <c r="I12" s="4">
        <f>IFERROR(VLOOKUP(A12,MASTER!A:O,15,0),0)</f>
        <v>238423873.87387386</v>
      </c>
      <c r="J12" s="4">
        <f>IFERROR(VLOOKUP(A12,MASTER!A:P,16,0),0)</f>
        <v>226275796.3963964</v>
      </c>
      <c r="K12" s="8">
        <f t="shared" si="2"/>
        <v>5.3687038874436821E-2</v>
      </c>
      <c r="L12" s="4">
        <f>IFERROR(VLOOKUP(A12,MASTER!A:S,19,0),0)</f>
        <v>405509504.5045045</v>
      </c>
      <c r="M12" s="4">
        <f>IFERROR(VLOOKUP(A12,MASTER!A:T,20,0),0)</f>
        <v>402839711.71171176</v>
      </c>
      <c r="N12" s="8">
        <f t="shared" si="3"/>
        <v>6.6274319913706137E-3</v>
      </c>
      <c r="O12" s="4">
        <f>IFERROR(VLOOKUP(A12,MASTER!A:U,21,0),0)</f>
        <v>219654684.68468466</v>
      </c>
      <c r="P12" s="4">
        <f>IFERROR(VLOOKUP(A12,MASTER!A:V,22,0),0)</f>
        <v>191808018.01801801</v>
      </c>
      <c r="Q12" s="8">
        <f t="shared" si="4"/>
        <v>0.1451798884864699</v>
      </c>
      <c r="R12" s="4">
        <f>IFERROR(VLOOKUP(A12,MASTER!A:W,23,0),0)</f>
        <v>13759</v>
      </c>
      <c r="S12" s="4">
        <f>IFERROR(VLOOKUP(A12,MASTER!A:X,24,0),0)</f>
        <v>13025</v>
      </c>
      <c r="T12" s="8">
        <f t="shared" si="5"/>
        <v>5.6353166986564229E-2</v>
      </c>
      <c r="U12" s="11">
        <f>IFERROR(VLOOKUP(A12,MASTER!A:M,13,0),0)</f>
        <v>952</v>
      </c>
      <c r="V12" s="11">
        <f>IFERROR(VLOOKUP(A12,MASTER!A:N,14,0),0)</f>
        <v>780</v>
      </c>
      <c r="W12" s="8">
        <f t="shared" si="6"/>
        <v>0.22051282051282062</v>
      </c>
      <c r="X12" s="11">
        <f>IFERROR(VLOOKUP(A12,MASTER!A:Q,17,0),0)</f>
        <v>503</v>
      </c>
      <c r="Y12" s="11">
        <f>IFERROR(VLOOKUP(A12,MASTER!A:R,18,0),0)</f>
        <v>819</v>
      </c>
      <c r="Z12" s="8">
        <f t="shared" si="7"/>
        <v>-0.3858363858363858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132405180.05907096</v>
      </c>
      <c r="D13" s="4">
        <f>IFERROR(VLOOKUP(A:A,MASTER!A:D,4,0),0)</f>
        <v>141506469.41659075</v>
      </c>
      <c r="E13" s="8">
        <f t="shared" si="0"/>
        <v>-6.4317125535270581E-2</v>
      </c>
      <c r="F13" s="4">
        <f>IFERROR(VLOOKUP(A13,MASTER!A:E,5,0),0)</f>
        <v>40090.090090090001</v>
      </c>
      <c r="G13" s="4">
        <f>IFERROR(VLOOKUP(A13,MASTER!A:F,6,0),0)</f>
        <v>290990.99099099298</v>
      </c>
      <c r="H13" s="8">
        <f t="shared" si="1"/>
        <v>-0.86222910216718396</v>
      </c>
      <c r="I13" s="4">
        <f>IFERROR(VLOOKUP(A13,MASTER!A:O,15,0),0)</f>
        <v>26420270.270270273</v>
      </c>
      <c r="J13" s="4">
        <f>IFERROR(VLOOKUP(A13,MASTER!A:P,16,0),0)</f>
        <v>26045495.495495494</v>
      </c>
      <c r="K13" s="8">
        <f t="shared" si="2"/>
        <v>1.4389235744798778E-2</v>
      </c>
      <c r="L13" s="4">
        <f>IFERROR(VLOOKUP(A13,MASTER!A:S,19,0),0)</f>
        <v>90787684.684684694</v>
      </c>
      <c r="M13" s="4">
        <f>IFERROR(VLOOKUP(A13,MASTER!A:T,20,0),0)</f>
        <v>98993297.297297299</v>
      </c>
      <c r="N13" s="8">
        <f t="shared" si="3"/>
        <v>-8.2890587914952074E-2</v>
      </c>
      <c r="O13" s="4">
        <f>IFERROR(VLOOKUP(A13,MASTER!A:U,21,0),0)</f>
        <v>27869099.099099103</v>
      </c>
      <c r="P13" s="4">
        <f>IFERROR(VLOOKUP(A13,MASTER!A:V,22,0),0)</f>
        <v>26878108.108108107</v>
      </c>
      <c r="Q13" s="8">
        <f t="shared" si="4"/>
        <v>3.6869819371403212E-2</v>
      </c>
      <c r="R13" s="4">
        <f>IFERROR(VLOOKUP(A13,MASTER!A:W,23,0),0)</f>
        <v>4847</v>
      </c>
      <c r="S13" s="4">
        <f>IFERROR(VLOOKUP(A13,MASTER!A:X,24,0),0)</f>
        <v>5025</v>
      </c>
      <c r="T13" s="8">
        <f t="shared" si="5"/>
        <v>-3.5422885572139351E-2</v>
      </c>
      <c r="U13" s="11">
        <f>IFERROR(VLOOKUP(A13,MASTER!A:M,13,0),0)</f>
        <v>38</v>
      </c>
      <c r="V13" s="11">
        <f>IFERROR(VLOOKUP(A13,MASTER!A:N,14,0),0)</f>
        <v>52</v>
      </c>
      <c r="W13" s="8">
        <f t="shared" si="6"/>
        <v>-0.26923076923076927</v>
      </c>
      <c r="X13" s="11">
        <f>IFERROR(VLOOKUP(A13,MASTER!A:Q,17,0),0)</f>
        <v>132</v>
      </c>
      <c r="Y13" s="11">
        <f>IFERROR(VLOOKUP(A13,MASTER!A:R,18,0),0)</f>
        <v>154</v>
      </c>
      <c r="Z13" s="8">
        <f t="shared" si="7"/>
        <v>-0.1428571428571429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198612203.00375479</v>
      </c>
      <c r="D14" s="4">
        <f>IFERROR(VLOOKUP(A:A,MASTER!A:D,4,0),0)</f>
        <v>195335866.95055351</v>
      </c>
      <c r="E14" s="8">
        <f t="shared" si="0"/>
        <v>1.6772833910889684E-2</v>
      </c>
      <c r="F14" s="4">
        <f>IFERROR(VLOOKUP(A14,MASTER!A:E,5,0),0)</f>
        <v>2077477.47747748</v>
      </c>
      <c r="G14" s="4">
        <f>IFERROR(VLOOKUP(A14,MASTER!A:F,6,0),0)</f>
        <v>4070270.2702702731</v>
      </c>
      <c r="H14" s="8">
        <f t="shared" si="1"/>
        <v>-0.48959716688800325</v>
      </c>
      <c r="I14" s="4">
        <f>IFERROR(VLOOKUP(A14,MASTER!A:O,15,0),0)</f>
        <v>28581531.531531528</v>
      </c>
      <c r="J14" s="4">
        <f>IFERROR(VLOOKUP(A14,MASTER!A:P,16,0),0)</f>
        <v>25445945.945945945</v>
      </c>
      <c r="K14" s="8">
        <f t="shared" si="2"/>
        <v>0.12322534961940157</v>
      </c>
      <c r="L14" s="4">
        <f>IFERROR(VLOOKUP(A14,MASTER!A:S,19,0),0)</f>
        <v>57616936.936936937</v>
      </c>
      <c r="M14" s="4">
        <f>IFERROR(VLOOKUP(A14,MASTER!A:T,20,0),0)</f>
        <v>56951009.009009011</v>
      </c>
      <c r="N14" s="8">
        <f t="shared" si="3"/>
        <v>1.1692996129754052E-2</v>
      </c>
      <c r="O14" s="4">
        <f>IFERROR(VLOOKUP(A14,MASTER!A:U,21,0),0)</f>
        <v>27695315.315315314</v>
      </c>
      <c r="P14" s="4">
        <f>IFERROR(VLOOKUP(A14,MASTER!A:V,22,0),0)</f>
        <v>23465945.945945945</v>
      </c>
      <c r="Q14" s="8">
        <f t="shared" si="4"/>
        <v>0.18023434380662806</v>
      </c>
      <c r="R14" s="4">
        <f>IFERROR(VLOOKUP(A14,MASTER!A:W,23,0),0)</f>
        <v>3635</v>
      </c>
      <c r="S14" s="4">
        <f>IFERROR(VLOOKUP(A14,MASTER!A:X,24,0),0)</f>
        <v>3764</v>
      </c>
      <c r="T14" s="8">
        <f t="shared" si="5"/>
        <v>-3.4272051009564319E-2</v>
      </c>
      <c r="U14" s="11">
        <f>IFERROR(VLOOKUP(A14,MASTER!A:M,13,0),0)</f>
        <v>23</v>
      </c>
      <c r="V14" s="11">
        <f>IFERROR(VLOOKUP(A14,MASTER!A:N,14,0),0)</f>
        <v>18</v>
      </c>
      <c r="W14" s="8">
        <f t="shared" si="6"/>
        <v>0.27777777777777768</v>
      </c>
      <c r="X14" s="11">
        <f>IFERROR(VLOOKUP(A14,MASTER!A:Q,17,0),0)</f>
        <v>96</v>
      </c>
      <c r="Y14" s="11">
        <f>IFERROR(VLOOKUP(A14,MASTER!A:R,18,0),0)</f>
        <v>51</v>
      </c>
      <c r="Z14" s="8">
        <f t="shared" si="7"/>
        <v>0.88235294117647056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400418089.14386117</v>
      </c>
      <c r="D15" s="4">
        <f>IFERROR(VLOOKUP(A:A,MASTER!A:D,4,0),0)</f>
        <v>380588415.2435503</v>
      </c>
      <c r="E15" s="8">
        <f t="shared" si="0"/>
        <v>5.2102673402765642E-2</v>
      </c>
      <c r="F15" s="4">
        <f>IFERROR(VLOOKUP(A15,MASTER!A:E,5,0),0)</f>
        <v>7284372.0720720766</v>
      </c>
      <c r="G15" s="4">
        <f>IFERROR(VLOOKUP(A15,MASTER!A:F,6,0),0)</f>
        <v>10358201.801801808</v>
      </c>
      <c r="H15" s="8">
        <f t="shared" si="1"/>
        <v>-0.2967532191924509</v>
      </c>
      <c r="I15" s="4">
        <f>IFERROR(VLOOKUP(A15,MASTER!A:O,15,0),0)</f>
        <v>639920239.63963974</v>
      </c>
      <c r="J15" s="4">
        <f>IFERROR(VLOOKUP(A15,MASTER!A:P,16,0),0)</f>
        <v>493109320.72072071</v>
      </c>
      <c r="K15" s="8">
        <f t="shared" si="2"/>
        <v>0.29772489131688396</v>
      </c>
      <c r="L15" s="4">
        <f>IFERROR(VLOOKUP(A15,MASTER!A:S,19,0),0)</f>
        <v>142946972.97297299</v>
      </c>
      <c r="M15" s="4">
        <f>IFERROR(VLOOKUP(A15,MASTER!A:T,20,0),0)</f>
        <v>137354378.37837839</v>
      </c>
      <c r="N15" s="8">
        <f t="shared" si="3"/>
        <v>4.0716536746927323E-2</v>
      </c>
      <c r="O15" s="4">
        <f>IFERROR(VLOOKUP(A15,MASTER!A:U,21,0),0)</f>
        <v>519319279.27927929</v>
      </c>
      <c r="P15" s="4">
        <f>IFERROR(VLOOKUP(A15,MASTER!A:V,22,0),0)</f>
        <v>431825855.85585588</v>
      </c>
      <c r="Q15" s="8">
        <f t="shared" si="4"/>
        <v>0.20261274825708631</v>
      </c>
      <c r="R15" s="4">
        <f>IFERROR(VLOOKUP(A15,MASTER!A:W,23,0),0)</f>
        <v>7051</v>
      </c>
      <c r="S15" s="4">
        <f>IFERROR(VLOOKUP(A15,MASTER!A:X,24,0),0)</f>
        <v>7114</v>
      </c>
      <c r="T15" s="8">
        <f t="shared" si="5"/>
        <v>-8.8557773404553952E-3</v>
      </c>
      <c r="U15" s="11">
        <f>IFERROR(VLOOKUP(A15,MASTER!A:M,13,0),0)</f>
        <v>85</v>
      </c>
      <c r="V15" s="11">
        <f>IFERROR(VLOOKUP(A15,MASTER!A:N,14,0),0)</f>
        <v>66</v>
      </c>
      <c r="W15" s="8">
        <f t="shared" si="6"/>
        <v>0.28787878787878785</v>
      </c>
      <c r="X15" s="11">
        <f>IFERROR(VLOOKUP(A15,MASTER!A:Q,17,0),0)</f>
        <v>315</v>
      </c>
      <c r="Y15" s="11">
        <f>IFERROR(VLOOKUP(A15,MASTER!A:R,18,0),0)</f>
        <v>140</v>
      </c>
      <c r="Z15" s="8">
        <f t="shared" si="7"/>
        <v>1.25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776951771.17117119</v>
      </c>
      <c r="G16" s="4">
        <f>IFERROR(VLOOKUP(A16,MASTER!A:F,6,0),0)</f>
        <v>628682119.81981981</v>
      </c>
      <c r="H16" s="8">
        <f t="shared" si="1"/>
        <v>0.23584200453139248</v>
      </c>
      <c r="I16" s="4">
        <f>IFERROR(VLOOKUP(A16,MASTER!A:O,15,0),0)</f>
        <v>38624689.189189196</v>
      </c>
      <c r="J16" s="4">
        <f>IFERROR(VLOOKUP(A16,MASTER!A:P,16,0),0)</f>
        <v>43513513.513513513</v>
      </c>
      <c r="K16" s="8">
        <f t="shared" si="2"/>
        <v>-0.11235186335403713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169004699.8603639</v>
      </c>
      <c r="D17" s="4">
        <f>IFERROR(VLOOKUP(A:A,MASTER!A:D,4,0),0)</f>
        <v>159623604.01642072</v>
      </c>
      <c r="E17" s="8">
        <f t="shared" si="0"/>
        <v>5.8770104219537211E-2</v>
      </c>
      <c r="F17" s="4">
        <f>IFERROR(VLOOKUP(A17,MASTER!A:E,5,0),0)</f>
        <v>195260435.13513514</v>
      </c>
      <c r="G17" s="4">
        <f>IFERROR(VLOOKUP(A17,MASTER!A:F,6,0),0)</f>
        <v>305655597.2972973</v>
      </c>
      <c r="H17" s="8">
        <f t="shared" si="1"/>
        <v>-0.36117500591617102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97161171.171171173</v>
      </c>
      <c r="M17" s="4">
        <f>IFERROR(VLOOKUP(A17,MASTER!A:T,20,0),0)</f>
        <v>95201863.06306307</v>
      </c>
      <c r="N17" s="8">
        <f t="shared" si="3"/>
        <v>2.0580564760694031E-2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3901</v>
      </c>
      <c r="S17" s="4">
        <f>IFERROR(VLOOKUP(A17,MASTER!A:X,24,0),0)</f>
        <v>4258</v>
      </c>
      <c r="T17" s="8">
        <f t="shared" si="5"/>
        <v>-8.3842179426961039E-2</v>
      </c>
      <c r="U17" s="11">
        <f>IFERROR(VLOOKUP(A17,MASTER!A:M,13,0),0)</f>
        <v>11</v>
      </c>
      <c r="V17" s="11">
        <f>IFERROR(VLOOKUP(A17,MASTER!A:N,14,0),0)</f>
        <v>24</v>
      </c>
      <c r="W17" s="8">
        <f t="shared" si="6"/>
        <v>-0.54166666666666674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133222835.65473494</v>
      </c>
      <c r="D18" s="4">
        <f>IFERROR(VLOOKUP(A:A,MASTER!A:D,4,0),0)</f>
        <v>138313588.03010055</v>
      </c>
      <c r="E18" s="8">
        <f t="shared" si="0"/>
        <v>-3.680587314572259E-2</v>
      </c>
      <c r="F18" s="4">
        <f>IFERROR(VLOOKUP(A18,MASTER!A:E,5,0),0)</f>
        <v>55793018.018018015</v>
      </c>
      <c r="G18" s="4">
        <f>IFERROR(VLOOKUP(A18,MASTER!A:F,6,0),0)</f>
        <v>22743243.243243247</v>
      </c>
      <c r="H18" s="8">
        <f t="shared" si="1"/>
        <v>1.4531689443454145</v>
      </c>
      <c r="I18" s="4">
        <f>IFERROR(VLOOKUP(A18,MASTER!A:O,15,0),0)</f>
        <v>6764414.4144144142</v>
      </c>
      <c r="J18" s="4">
        <f>IFERROR(VLOOKUP(A18,MASTER!A:P,16,0),0)</f>
        <v>3158108.1081081098</v>
      </c>
      <c r="K18" s="8">
        <f t="shared" si="2"/>
        <v>1.1419198402510329</v>
      </c>
      <c r="L18" s="4">
        <f>IFERROR(VLOOKUP(A18,MASTER!A:S,19,0),0)</f>
        <v>44291171.171171166</v>
      </c>
      <c r="M18" s="4">
        <f>IFERROR(VLOOKUP(A18,MASTER!A:T,20,0),0)</f>
        <v>46601353.603603601</v>
      </c>
      <c r="N18" s="8">
        <f t="shared" si="3"/>
        <v>-4.9573290340085618E-2</v>
      </c>
      <c r="O18" s="4">
        <f>IFERROR(VLOOKUP(A18,MASTER!A:U,21,0),0)</f>
        <v>4355765.7657657629</v>
      </c>
      <c r="P18" s="4">
        <f>IFERROR(VLOOKUP(A18,MASTER!A:V,22,0),0)</f>
        <v>3110090.0900900909</v>
      </c>
      <c r="Q18" s="8">
        <f t="shared" si="4"/>
        <v>0.40052720004634601</v>
      </c>
      <c r="R18" s="4">
        <f>IFERROR(VLOOKUP(A18,MASTER!A:W,23,0),0)</f>
        <v>3905</v>
      </c>
      <c r="S18" s="4">
        <f>IFERROR(VLOOKUP(A18,MASTER!A:X,24,0),0)</f>
        <v>4024</v>
      </c>
      <c r="T18" s="8">
        <f t="shared" si="5"/>
        <v>-2.9572564612326047E-2</v>
      </c>
      <c r="U18" s="11">
        <f>IFERROR(VLOOKUP(A18,MASTER!A:M,13,0),0)</f>
        <v>50</v>
      </c>
      <c r="V18" s="11">
        <f>IFERROR(VLOOKUP(A18,MASTER!A:N,14,0),0)</f>
        <v>39</v>
      </c>
      <c r="W18" s="8">
        <f t="shared" si="6"/>
        <v>0.28205128205128216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93039638.734006941</v>
      </c>
      <c r="D19" s="4">
        <f>IFERROR(VLOOKUP(A:A,MASTER!A:D,4,0),0)</f>
        <v>91048250.349996626</v>
      </c>
      <c r="E19" s="8">
        <f t="shared" si="0"/>
        <v>2.1871791894465531E-2</v>
      </c>
      <c r="F19" s="4">
        <f>IFERROR(VLOOKUP(A19,MASTER!A:E,5,0),0)</f>
        <v>66666.666666664998</v>
      </c>
      <c r="G19" s="4">
        <f>IFERROR(VLOOKUP(A19,MASTER!A:F,6,0),0)</f>
        <v>3771171.1711711721</v>
      </c>
      <c r="H19" s="8">
        <f t="shared" si="1"/>
        <v>-0.98232202580028716</v>
      </c>
      <c r="I19" s="4">
        <f>IFERROR(VLOOKUP(A19,MASTER!A:O,15,0),0)</f>
        <v>7716666.6666666651</v>
      </c>
      <c r="J19" s="4">
        <f>IFERROR(VLOOKUP(A19,MASTER!A:P,16,0),0)</f>
        <v>7374774.7747747749</v>
      </c>
      <c r="K19" s="8">
        <f t="shared" si="2"/>
        <v>4.6359638407036163E-2</v>
      </c>
      <c r="L19" s="4">
        <f>IFERROR(VLOOKUP(A19,MASTER!A:S,19,0),0)</f>
        <v>36432648.648648649</v>
      </c>
      <c r="M19" s="4">
        <f>IFERROR(VLOOKUP(A19,MASTER!A:T,20,0),0)</f>
        <v>36502405.40540541</v>
      </c>
      <c r="N19" s="8">
        <f t="shared" si="3"/>
        <v>-1.9110180817407674E-3</v>
      </c>
      <c r="O19" s="4">
        <f>IFERROR(VLOOKUP(A19,MASTER!A:U,21,0),0)</f>
        <v>5385945.9459459437</v>
      </c>
      <c r="P19" s="4">
        <f>IFERROR(VLOOKUP(A19,MASTER!A:V,22,0),0)</f>
        <v>9979369.3693693671</v>
      </c>
      <c r="Q19" s="8">
        <f t="shared" si="4"/>
        <v>-0.46029195367018449</v>
      </c>
      <c r="R19" s="4">
        <f>IFERROR(VLOOKUP(A19,MASTER!A:W,23,0),0)</f>
        <v>2804</v>
      </c>
      <c r="S19" s="4">
        <f>IFERROR(VLOOKUP(A19,MASTER!A:X,24,0),0)</f>
        <v>2951</v>
      </c>
      <c r="T19" s="8">
        <f t="shared" si="5"/>
        <v>-4.9813622500847199E-2</v>
      </c>
      <c r="U19" s="11">
        <f>IFERROR(VLOOKUP(A19,MASTER!A:M,13,0),0)</f>
        <v>32</v>
      </c>
      <c r="V19" s="11">
        <f>IFERROR(VLOOKUP(A19,MASTER!A:N,14,0),0)</f>
        <v>14</v>
      </c>
      <c r="W19" s="8">
        <f t="shared" si="6"/>
        <v>1.2857142857142856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339726370.49594241</v>
      </c>
      <c r="D21" s="4">
        <f>IFERROR(VLOOKUP(A:A,MASTER!A:D,4,0),0)</f>
        <v>317440208.0109998</v>
      </c>
      <c r="E21" s="8">
        <f t="shared" si="0"/>
        <v>7.0205859001233994E-2</v>
      </c>
      <c r="F21" s="4">
        <f>IFERROR(VLOOKUP(A21,MASTER!A:E,5,0),0)</f>
        <v>1045045.04504505</v>
      </c>
      <c r="G21" s="4">
        <f>IFERROR(VLOOKUP(A21,MASTER!A:F,6,0),0)</f>
        <v>2981981.9819819881</v>
      </c>
      <c r="H21" s="8">
        <f t="shared" si="1"/>
        <v>-0.64954682779456108</v>
      </c>
      <c r="I21" s="4">
        <f>IFERROR(VLOOKUP(A21,MASTER!A:O,15,0),0)</f>
        <v>58542342.342342347</v>
      </c>
      <c r="J21" s="4">
        <f>IFERROR(VLOOKUP(A21,MASTER!A:P,16,0),0)</f>
        <v>66428828.828828834</v>
      </c>
      <c r="K21" s="8">
        <f t="shared" si="2"/>
        <v>-0.1187208419225344</v>
      </c>
      <c r="L21" s="4">
        <f>IFERROR(VLOOKUP(A21,MASTER!A:S,19,0),0)</f>
        <v>197475409.90990993</v>
      </c>
      <c r="M21" s="4">
        <f>IFERROR(VLOOKUP(A21,MASTER!A:T,20,0),0)</f>
        <v>183809162.16216218</v>
      </c>
      <c r="N21" s="8">
        <f t="shared" si="3"/>
        <v>7.4350198798528666E-2</v>
      </c>
      <c r="O21" s="4">
        <f>IFERROR(VLOOKUP(A21,MASTER!A:U,21,0),0)</f>
        <v>64749639.639639638</v>
      </c>
      <c r="P21" s="4">
        <f>IFERROR(VLOOKUP(A21,MASTER!A:V,22,0),0)</f>
        <v>62506529.729729727</v>
      </c>
      <c r="Q21" s="8">
        <f t="shared" si="4"/>
        <v>3.5886009343485181E-2</v>
      </c>
      <c r="R21" s="4">
        <f>IFERROR(VLOOKUP(A21,MASTER!A:W,23,0),0)</f>
        <v>7368</v>
      </c>
      <c r="S21" s="4">
        <f>IFERROR(VLOOKUP(A21,MASTER!A:X,24,0),0)</f>
        <v>6970</v>
      </c>
      <c r="T21" s="8">
        <f t="shared" si="5"/>
        <v>5.7101865136298446E-2</v>
      </c>
      <c r="U21" s="11">
        <f>IFERROR(VLOOKUP(A21,MASTER!A:M,13,0),0)</f>
        <v>419</v>
      </c>
      <c r="V21" s="11">
        <f>IFERROR(VLOOKUP(A21,MASTER!A:N,14,0),0)</f>
        <v>257</v>
      </c>
      <c r="W21" s="8">
        <f t="shared" si="6"/>
        <v>0.63035019455252916</v>
      </c>
      <c r="X21" s="11">
        <f>IFERROR(VLOOKUP(A21,MASTER!A:Q,17,0),0)</f>
        <v>350</v>
      </c>
      <c r="Y21" s="11">
        <f>IFERROR(VLOOKUP(A21,MASTER!A:R,18,0),0)</f>
        <v>259</v>
      </c>
      <c r="Z21" s="8">
        <f t="shared" si="7"/>
        <v>0.35135135135135132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174942387.0773609</v>
      </c>
      <c r="D22" s="4">
        <f>IFERROR(VLOOKUP(A:A,MASTER!A:D,4,0),0)</f>
        <v>161699676.4290278</v>
      </c>
      <c r="E22" s="8">
        <f t="shared" si="0"/>
        <v>8.1896952058191141E-2</v>
      </c>
      <c r="F22" s="4">
        <f>IFERROR(VLOOKUP(A22,MASTER!A:E,5,0),0)</f>
        <v>112612.61261261599</v>
      </c>
      <c r="G22" s="4">
        <f>IFERROR(VLOOKUP(A22,MASTER!A:F,6,0),0)</f>
        <v>881981.98198198504</v>
      </c>
      <c r="H22" s="8">
        <f t="shared" si="1"/>
        <v>-0.87231869254340821</v>
      </c>
      <c r="I22" s="4">
        <f>IFERROR(VLOOKUP(A22,MASTER!A:O,15,0),0)</f>
        <v>15514234.234234234</v>
      </c>
      <c r="J22" s="4">
        <f>IFERROR(VLOOKUP(A22,MASTER!A:P,16,0),0)</f>
        <v>34600000</v>
      </c>
      <c r="K22" s="8">
        <f t="shared" si="2"/>
        <v>-0.55161172733427066</v>
      </c>
      <c r="L22" s="4">
        <f>IFERROR(VLOOKUP(A22,MASTER!A:S,19,0),0)</f>
        <v>57169720.720720723</v>
      </c>
      <c r="M22" s="4">
        <f>IFERROR(VLOOKUP(A22,MASTER!A:T,20,0),0)</f>
        <v>54749819.819819815</v>
      </c>
      <c r="N22" s="8">
        <f t="shared" si="3"/>
        <v>4.4199248670858449E-2</v>
      </c>
      <c r="O22" s="4">
        <f>IFERROR(VLOOKUP(A22,MASTER!A:U,21,0),0)</f>
        <v>17106126.126126125</v>
      </c>
      <c r="P22" s="4">
        <f>IFERROR(VLOOKUP(A22,MASTER!A:V,22,0),0)</f>
        <v>37200000</v>
      </c>
      <c r="Q22" s="8">
        <f t="shared" si="4"/>
        <v>-0.54015789983531914</v>
      </c>
      <c r="R22" s="4">
        <f>IFERROR(VLOOKUP(A22,MASTER!A:W,23,0),0)</f>
        <v>3924</v>
      </c>
      <c r="S22" s="4">
        <f>IFERROR(VLOOKUP(A22,MASTER!A:X,24,0),0)</f>
        <v>3985</v>
      </c>
      <c r="T22" s="8">
        <f t="shared" si="5"/>
        <v>-1.5307402760351363E-2</v>
      </c>
      <c r="U22" s="11">
        <f>IFERROR(VLOOKUP(A22,MASTER!A:M,13,0),0)</f>
        <v>20</v>
      </c>
      <c r="V22" s="11">
        <f>IFERROR(VLOOKUP(A22,MASTER!A:N,14,0),0)</f>
        <v>28</v>
      </c>
      <c r="W22" s="8">
        <f t="shared" si="6"/>
        <v>-0.2857142857142857</v>
      </c>
      <c r="X22" s="11">
        <f>IFERROR(VLOOKUP(A22,MASTER!A:Q,17,0),0)</f>
        <v>42</v>
      </c>
      <c r="Y22" s="11">
        <f>IFERROR(VLOOKUP(A22,MASTER!A:R,18,0),0)</f>
        <v>43</v>
      </c>
      <c r="Z22" s="8">
        <f t="shared" si="7"/>
        <v>-2.3255813953488413E-2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4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X571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669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670</v>
      </c>
      <c r="J2" s="7" t="s">
        <v>670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671</v>
      </c>
      <c r="R2" s="7" t="s">
        <v>671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459635914.74465317</v>
      </c>
      <c r="D4">
        <v>502706745.52274996</v>
      </c>
      <c r="E4">
        <v>10496171.171171172</v>
      </c>
      <c r="F4">
        <v>65121396.396396399</v>
      </c>
      <c r="G4">
        <v>24</v>
      </c>
      <c r="H4">
        <v>57</v>
      </c>
      <c r="I4">
        <v>8</v>
      </c>
      <c r="J4">
        <v>6</v>
      </c>
      <c r="M4">
        <v>56</v>
      </c>
      <c r="N4">
        <v>83</v>
      </c>
      <c r="O4">
        <v>17354324.324324321</v>
      </c>
      <c r="P4">
        <v>34539909.909909911</v>
      </c>
      <c r="R4">
        <v>23</v>
      </c>
      <c r="S4">
        <v>56456756.75675676</v>
      </c>
      <c r="T4">
        <v>62273394.59459459</v>
      </c>
      <c r="U4">
        <v>7650450.4504504493</v>
      </c>
      <c r="V4">
        <v>32210090.090090092</v>
      </c>
      <c r="W4">
        <v>8068</v>
      </c>
      <c r="X4">
        <v>8570</v>
      </c>
    </row>
    <row r="5" spans="1:24">
      <c r="A5" s="7" t="s">
        <v>49</v>
      </c>
      <c r="B5" s="16" t="s">
        <v>50</v>
      </c>
      <c r="C5">
        <v>801492499.83026981</v>
      </c>
      <c r="D5">
        <v>753346830.44322824</v>
      </c>
      <c r="E5">
        <v>5526756.7567567686</v>
      </c>
      <c r="F5">
        <v>10393693.693693705</v>
      </c>
      <c r="G5">
        <v>489</v>
      </c>
      <c r="H5">
        <v>613</v>
      </c>
      <c r="I5">
        <v>39</v>
      </c>
      <c r="J5">
        <v>28</v>
      </c>
      <c r="K5">
        <v>10</v>
      </c>
      <c r="M5">
        <v>571</v>
      </c>
      <c r="N5">
        <v>1098</v>
      </c>
      <c r="O5">
        <v>177014414.41441441</v>
      </c>
      <c r="P5">
        <v>144823963.96396396</v>
      </c>
      <c r="Q5">
        <v>364</v>
      </c>
      <c r="R5">
        <v>762</v>
      </c>
      <c r="S5">
        <v>244835815.31531534</v>
      </c>
      <c r="T5">
        <v>243562711.7117117</v>
      </c>
      <c r="U5">
        <v>173004954.95495495</v>
      </c>
      <c r="V5">
        <v>137293603.6036036</v>
      </c>
      <c r="W5">
        <v>20390</v>
      </c>
      <c r="X5">
        <v>19499</v>
      </c>
    </row>
    <row r="6" spans="1:24">
      <c r="A6" s="7" t="s">
        <v>51</v>
      </c>
      <c r="B6" s="16" t="s">
        <v>52</v>
      </c>
      <c r="C6">
        <v>188414891.77823636</v>
      </c>
      <c r="D6">
        <v>191038091.5395577</v>
      </c>
      <c r="E6">
        <v>1953828.8288288291</v>
      </c>
      <c r="F6">
        <v>4267567.5675675673</v>
      </c>
      <c r="G6">
        <v>34</v>
      </c>
      <c r="H6">
        <v>94</v>
      </c>
      <c r="I6">
        <v>7</v>
      </c>
      <c r="J6">
        <v>11</v>
      </c>
      <c r="M6">
        <v>35</v>
      </c>
      <c r="N6">
        <v>105</v>
      </c>
      <c r="O6">
        <v>52334684.684684679</v>
      </c>
      <c r="P6">
        <v>64603153.153153151</v>
      </c>
      <c r="Q6">
        <v>174</v>
      </c>
      <c r="R6">
        <v>235</v>
      </c>
      <c r="S6">
        <v>66126738.738738738</v>
      </c>
      <c r="T6">
        <v>64084765.765765771</v>
      </c>
      <c r="U6">
        <v>14275945.945945945</v>
      </c>
      <c r="V6">
        <v>53348108.108108111</v>
      </c>
      <c r="W6">
        <v>4473</v>
      </c>
      <c r="X6">
        <v>4466</v>
      </c>
    </row>
    <row r="7" spans="1:24">
      <c r="A7" s="7" t="s">
        <v>672</v>
      </c>
      <c r="B7" s="16" t="s">
        <v>169</v>
      </c>
      <c r="E7">
        <v>68581081.081081077</v>
      </c>
      <c r="F7">
        <v>74887387.387387395</v>
      </c>
      <c r="O7">
        <v>7932432.4324324317</v>
      </c>
      <c r="P7">
        <v>7152522.5225225231</v>
      </c>
    </row>
    <row r="8" spans="1:24">
      <c r="A8" s="7" t="s">
        <v>53</v>
      </c>
      <c r="B8" s="16" t="s">
        <v>54</v>
      </c>
      <c r="C8">
        <v>105872987.90077016</v>
      </c>
      <c r="D8">
        <v>103270134.39872599</v>
      </c>
      <c r="E8">
        <v>1044594.594594596</v>
      </c>
      <c r="F8">
        <v>990990.99099099496</v>
      </c>
      <c r="G8">
        <v>29</v>
      </c>
      <c r="H8">
        <v>24</v>
      </c>
      <c r="I8">
        <v>4</v>
      </c>
      <c r="J8">
        <v>4</v>
      </c>
      <c r="M8">
        <v>34</v>
      </c>
      <c r="N8">
        <v>53</v>
      </c>
      <c r="O8">
        <v>11026126.126126124</v>
      </c>
      <c r="P8">
        <v>9800630.6306306329</v>
      </c>
      <c r="Q8">
        <v>92</v>
      </c>
      <c r="R8">
        <v>92</v>
      </c>
      <c r="S8">
        <v>34812396.396396399</v>
      </c>
      <c r="T8">
        <v>32486560.810810812</v>
      </c>
      <c r="U8">
        <v>12148108.108108109</v>
      </c>
      <c r="V8">
        <v>9845315.3153153174</v>
      </c>
      <c r="W8">
        <v>3707</v>
      </c>
      <c r="X8">
        <v>3659</v>
      </c>
    </row>
    <row r="9" spans="1:24">
      <c r="A9" s="7" t="s">
        <v>55</v>
      </c>
      <c r="B9" s="16" t="s">
        <v>54</v>
      </c>
      <c r="C9">
        <v>173085827.51423928</v>
      </c>
      <c r="D9">
        <v>169653869.1654256</v>
      </c>
      <c r="E9">
        <v>713063.06306306401</v>
      </c>
      <c r="F9">
        <v>3331531.531531536</v>
      </c>
      <c r="G9">
        <v>58</v>
      </c>
      <c r="H9">
        <v>77</v>
      </c>
      <c r="I9">
        <v>8</v>
      </c>
      <c r="J9">
        <v>15</v>
      </c>
      <c r="M9">
        <v>78</v>
      </c>
      <c r="N9">
        <v>167</v>
      </c>
      <c r="O9">
        <v>45157207.207207203</v>
      </c>
      <c r="P9">
        <v>27283513.513513513</v>
      </c>
      <c r="Q9">
        <v>177</v>
      </c>
      <c r="R9">
        <v>131</v>
      </c>
      <c r="S9">
        <v>44813495.495495498</v>
      </c>
      <c r="T9">
        <v>48539873.873873875</v>
      </c>
      <c r="U9">
        <v>41196576.576576576</v>
      </c>
      <c r="V9">
        <v>51121531.531531528</v>
      </c>
      <c r="W9">
        <v>4304</v>
      </c>
      <c r="X9">
        <v>4451</v>
      </c>
    </row>
    <row r="10" spans="1:24">
      <c r="A10" s="7" t="s">
        <v>56</v>
      </c>
      <c r="B10" s="16" t="s">
        <v>54</v>
      </c>
      <c r="C10">
        <v>87297924.961652443</v>
      </c>
      <c r="D10">
        <v>83422427.076378211</v>
      </c>
      <c r="E10">
        <v>687567.56756756897</v>
      </c>
      <c r="F10">
        <v>1330630.630630631</v>
      </c>
      <c r="G10">
        <v>18</v>
      </c>
      <c r="H10">
        <v>22</v>
      </c>
      <c r="I10">
        <v>3</v>
      </c>
      <c r="J10">
        <v>3</v>
      </c>
      <c r="M10">
        <v>20</v>
      </c>
      <c r="N10">
        <v>25</v>
      </c>
      <c r="O10">
        <v>6607387.3873873837</v>
      </c>
      <c r="P10">
        <v>8592432.4324324317</v>
      </c>
      <c r="Q10">
        <v>54</v>
      </c>
      <c r="R10">
        <v>55</v>
      </c>
      <c r="S10">
        <v>26150133.333333332</v>
      </c>
      <c r="T10">
        <v>25343450.450450446</v>
      </c>
      <c r="U10">
        <v>6520810.810810809</v>
      </c>
      <c r="V10">
        <v>7770720.7207207223</v>
      </c>
      <c r="W10">
        <v>1992</v>
      </c>
      <c r="X10">
        <v>2078</v>
      </c>
    </row>
    <row r="11" spans="1:24">
      <c r="A11" s="7" t="s">
        <v>57</v>
      </c>
      <c r="B11" s="16" t="s">
        <v>58</v>
      </c>
      <c r="C11">
        <v>224711722.59542841</v>
      </c>
      <c r="D11">
        <v>225005841.23430109</v>
      </c>
      <c r="E11">
        <v>22961261.261261266</v>
      </c>
      <c r="F11">
        <v>1063063.0630630639</v>
      </c>
      <c r="G11">
        <v>63</v>
      </c>
      <c r="H11">
        <v>79</v>
      </c>
      <c r="I11">
        <v>1</v>
      </c>
      <c r="J11">
        <v>3</v>
      </c>
      <c r="M11">
        <v>72</v>
      </c>
      <c r="N11">
        <v>84</v>
      </c>
      <c r="O11">
        <v>5695495.4954954954</v>
      </c>
      <c r="P11">
        <v>4486486.4864864862</v>
      </c>
      <c r="Q11">
        <v>4</v>
      </c>
      <c r="S11">
        <v>39790000</v>
      </c>
      <c r="T11">
        <v>41432466.666666664</v>
      </c>
      <c r="U11">
        <v>4729099.0990990996</v>
      </c>
      <c r="V11">
        <v>3766486.4864864871</v>
      </c>
      <c r="W11">
        <v>5633</v>
      </c>
      <c r="X11">
        <v>5563</v>
      </c>
    </row>
    <row r="12" spans="1:24">
      <c r="A12" s="7" t="s">
        <v>59</v>
      </c>
      <c r="B12" s="16" t="s">
        <v>60</v>
      </c>
      <c r="C12">
        <v>95444730.54334417</v>
      </c>
      <c r="D12">
        <v>95437149.391886979</v>
      </c>
      <c r="E12">
        <v>205945.94594594699</v>
      </c>
      <c r="F12">
        <v>898198.19819820102</v>
      </c>
      <c r="G12">
        <v>17</v>
      </c>
      <c r="H12">
        <v>42</v>
      </c>
      <c r="I12">
        <v>3</v>
      </c>
      <c r="J12">
        <v>9</v>
      </c>
      <c r="M12">
        <v>19</v>
      </c>
      <c r="N12">
        <v>80</v>
      </c>
      <c r="O12">
        <v>12250990.990990991</v>
      </c>
      <c r="P12">
        <v>15681981.981981982</v>
      </c>
      <c r="Q12">
        <v>87</v>
      </c>
      <c r="R12">
        <v>66</v>
      </c>
      <c r="S12">
        <v>44489630.630630635</v>
      </c>
      <c r="T12">
        <v>45109153.153153151</v>
      </c>
      <c r="U12">
        <v>8979729.7297297288</v>
      </c>
      <c r="V12">
        <v>10932072.072072072</v>
      </c>
      <c r="W12">
        <v>2818</v>
      </c>
      <c r="X12">
        <v>2946</v>
      </c>
    </row>
    <row r="13" spans="1:24">
      <c r="A13" s="7" t="s">
        <v>61</v>
      </c>
      <c r="B13" s="16" t="s">
        <v>62</v>
      </c>
      <c r="C13">
        <v>455877230.13542324</v>
      </c>
      <c r="D13">
        <v>438803013.17641145</v>
      </c>
      <c r="E13">
        <v>82882.882882887003</v>
      </c>
      <c r="F13">
        <v>4554504.504504513</v>
      </c>
      <c r="G13">
        <v>100</v>
      </c>
      <c r="H13">
        <v>52</v>
      </c>
      <c r="I13">
        <v>9</v>
      </c>
      <c r="J13">
        <v>22</v>
      </c>
      <c r="M13">
        <v>112</v>
      </c>
      <c r="N13">
        <v>55</v>
      </c>
      <c r="O13">
        <v>11838198.198198199</v>
      </c>
      <c r="P13">
        <v>67452972.972972974</v>
      </c>
      <c r="Q13">
        <v>65</v>
      </c>
      <c r="R13">
        <v>170</v>
      </c>
      <c r="S13">
        <v>48817432.432432435</v>
      </c>
      <c r="T13">
        <v>46026403.603603601</v>
      </c>
      <c r="U13">
        <v>11126666.666666668</v>
      </c>
      <c r="V13">
        <v>63676036.036036029</v>
      </c>
      <c r="W13">
        <v>8867</v>
      </c>
      <c r="X13">
        <v>8736</v>
      </c>
    </row>
    <row r="14" spans="1:24">
      <c r="A14" s="7" t="s">
        <v>63</v>
      </c>
      <c r="B14" s="16" t="s">
        <v>50</v>
      </c>
      <c r="C14">
        <v>233507869.74345854</v>
      </c>
      <c r="D14">
        <v>234722072.83049235</v>
      </c>
      <c r="E14">
        <v>686486.48648648802</v>
      </c>
      <c r="F14">
        <v>2416216.2162162191</v>
      </c>
      <c r="G14">
        <v>41</v>
      </c>
      <c r="H14">
        <v>75</v>
      </c>
      <c r="I14">
        <v>12</v>
      </c>
      <c r="J14">
        <v>24</v>
      </c>
      <c r="M14">
        <v>47</v>
      </c>
      <c r="N14">
        <v>116</v>
      </c>
      <c r="O14">
        <v>79119557.657657668</v>
      </c>
      <c r="P14">
        <v>55172972.972972974</v>
      </c>
      <c r="Q14">
        <v>84</v>
      </c>
      <c r="R14">
        <v>225</v>
      </c>
      <c r="S14">
        <v>89970873.873873875</v>
      </c>
      <c r="T14">
        <v>90759243.243243247</v>
      </c>
      <c r="U14">
        <v>80572162.162162155</v>
      </c>
      <c r="V14">
        <v>54302522.522522517</v>
      </c>
      <c r="W14">
        <v>5374</v>
      </c>
      <c r="X14">
        <v>5515</v>
      </c>
    </row>
    <row r="15" spans="1:24">
      <c r="A15" s="7" t="s">
        <v>64</v>
      </c>
      <c r="B15" s="16" t="s">
        <v>50</v>
      </c>
      <c r="C15">
        <v>244460841.74904126</v>
      </c>
      <c r="D15">
        <v>238659685.93512136</v>
      </c>
      <c r="E15">
        <v>1824774.7747747749</v>
      </c>
      <c r="F15">
        <v>3427927.927927929</v>
      </c>
      <c r="G15">
        <v>39</v>
      </c>
      <c r="H15">
        <v>56</v>
      </c>
      <c r="I15">
        <v>3</v>
      </c>
      <c r="J15">
        <v>13</v>
      </c>
      <c r="M15">
        <v>43</v>
      </c>
      <c r="N15">
        <v>75</v>
      </c>
      <c r="O15">
        <v>58522424.324324317</v>
      </c>
      <c r="P15">
        <v>24998018.018018015</v>
      </c>
      <c r="Q15">
        <v>232</v>
      </c>
      <c r="R15">
        <v>94</v>
      </c>
      <c r="S15">
        <v>92856954.954954967</v>
      </c>
      <c r="T15">
        <v>91392225.225225225</v>
      </c>
      <c r="U15">
        <v>56578828.828828834</v>
      </c>
      <c r="V15">
        <v>23987567.567567568</v>
      </c>
      <c r="W15">
        <v>5718</v>
      </c>
      <c r="X15">
        <v>5517</v>
      </c>
    </row>
    <row r="16" spans="1:24">
      <c r="A16" s="7" t="s">
        <v>65</v>
      </c>
      <c r="B16" s="16" t="s">
        <v>66</v>
      </c>
      <c r="C16">
        <v>252433496.437738</v>
      </c>
      <c r="D16">
        <v>242531664.36952883</v>
      </c>
      <c r="E16">
        <v>137242882.88288289</v>
      </c>
      <c r="F16">
        <v>275898198.1981982</v>
      </c>
      <c r="G16">
        <v>109</v>
      </c>
      <c r="H16">
        <v>61</v>
      </c>
      <c r="I16">
        <v>13</v>
      </c>
      <c r="J16">
        <v>8</v>
      </c>
      <c r="M16">
        <v>118</v>
      </c>
      <c r="N16">
        <v>78</v>
      </c>
      <c r="O16">
        <v>74706306.306306303</v>
      </c>
      <c r="P16">
        <v>99481171.171171173</v>
      </c>
      <c r="Q16">
        <v>408</v>
      </c>
      <c r="R16">
        <v>12</v>
      </c>
      <c r="S16">
        <v>125374000</v>
      </c>
      <c r="T16">
        <v>123434171.17117117</v>
      </c>
      <c r="U16">
        <v>53040360.360360362</v>
      </c>
      <c r="V16">
        <v>72952522.522522524</v>
      </c>
      <c r="W16">
        <v>5590</v>
      </c>
      <c r="X16">
        <v>5392</v>
      </c>
    </row>
    <row r="17" spans="1:24">
      <c r="A17" s="7" t="s">
        <v>67</v>
      </c>
      <c r="B17" s="16" t="s">
        <v>68</v>
      </c>
      <c r="C17">
        <v>148890492.95515627</v>
      </c>
      <c r="D17">
        <v>140769012.98610932</v>
      </c>
      <c r="E17">
        <v>87903365.765765756</v>
      </c>
      <c r="F17">
        <v>74045307.207207203</v>
      </c>
      <c r="G17">
        <v>64</v>
      </c>
      <c r="H17">
        <v>54</v>
      </c>
      <c r="I17">
        <v>4</v>
      </c>
      <c r="J17">
        <v>4</v>
      </c>
      <c r="M17">
        <v>69</v>
      </c>
      <c r="N17">
        <v>60</v>
      </c>
      <c r="O17">
        <v>20193738.738738734</v>
      </c>
      <c r="P17">
        <v>25318468.468468469</v>
      </c>
      <c r="Q17">
        <v>47</v>
      </c>
      <c r="R17">
        <v>72</v>
      </c>
      <c r="S17">
        <v>39153963.963963971</v>
      </c>
      <c r="T17">
        <v>38720756.75675676</v>
      </c>
      <c r="U17">
        <v>17646846.846846845</v>
      </c>
      <c r="V17">
        <v>18109909.909909911</v>
      </c>
      <c r="W17">
        <v>3443</v>
      </c>
      <c r="X17">
        <v>3880</v>
      </c>
    </row>
    <row r="18" spans="1:24">
      <c r="A18" s="7" t="s">
        <v>69</v>
      </c>
      <c r="B18" s="16" t="s">
        <v>70</v>
      </c>
      <c r="C18">
        <v>10927028.696937572</v>
      </c>
      <c r="D18">
        <v>11004370.076107873</v>
      </c>
      <c r="E18">
        <v>25675.675675676001</v>
      </c>
      <c r="F18">
        <v>116216.216216217</v>
      </c>
      <c r="G18">
        <v>2</v>
      </c>
      <c r="H18">
        <v>3</v>
      </c>
      <c r="I18">
        <v>0</v>
      </c>
      <c r="J18">
        <v>2</v>
      </c>
      <c r="M18">
        <v>3</v>
      </c>
      <c r="N18">
        <v>3</v>
      </c>
      <c r="O18">
        <v>302702.70270270301</v>
      </c>
      <c r="P18">
        <v>404504.50450450502</v>
      </c>
      <c r="Q18">
        <v>2</v>
      </c>
      <c r="R18">
        <v>4</v>
      </c>
      <c r="S18">
        <v>2401261.2612612611</v>
      </c>
      <c r="T18">
        <v>3283436.9369369368</v>
      </c>
      <c r="U18">
        <v>298828.828828828</v>
      </c>
      <c r="V18">
        <v>404054.05405405402</v>
      </c>
      <c r="W18">
        <v>369</v>
      </c>
      <c r="X18">
        <v>355</v>
      </c>
    </row>
    <row r="19" spans="1:24">
      <c r="A19" s="7" t="s">
        <v>71</v>
      </c>
      <c r="B19" s="16" t="s">
        <v>72</v>
      </c>
      <c r="C19">
        <v>1985986438.5661077</v>
      </c>
      <c r="D19">
        <v>1907263440.397083</v>
      </c>
      <c r="E19">
        <v>478833200.9009009</v>
      </c>
      <c r="F19">
        <v>494711514.41441447</v>
      </c>
      <c r="G19">
        <v>608</v>
      </c>
      <c r="H19">
        <v>580</v>
      </c>
      <c r="I19">
        <v>115</v>
      </c>
      <c r="J19">
        <v>116</v>
      </c>
      <c r="K19">
        <v>23</v>
      </c>
      <c r="M19">
        <v>886</v>
      </c>
      <c r="N19">
        <v>881</v>
      </c>
      <c r="O19">
        <v>217911538.73873872</v>
      </c>
      <c r="P19">
        <v>210456313.51351351</v>
      </c>
      <c r="Q19">
        <v>594</v>
      </c>
      <c r="R19">
        <v>1746</v>
      </c>
      <c r="S19">
        <v>380165428.82882881</v>
      </c>
      <c r="T19">
        <v>390178387.38738739</v>
      </c>
      <c r="U19">
        <v>194143783.78378376</v>
      </c>
      <c r="V19">
        <v>179799863.06306309</v>
      </c>
      <c r="W19">
        <v>45764</v>
      </c>
      <c r="X19">
        <v>46850</v>
      </c>
    </row>
    <row r="20" spans="1:24">
      <c r="A20" s="7" t="s">
        <v>73</v>
      </c>
      <c r="B20" s="16" t="s">
        <v>72</v>
      </c>
      <c r="C20">
        <v>201545309.2661128</v>
      </c>
      <c r="D20">
        <v>182334043.08591923</v>
      </c>
      <c r="E20">
        <v>3603.603603604</v>
      </c>
      <c r="F20">
        <v>133333.333333335</v>
      </c>
      <c r="G20">
        <v>45</v>
      </c>
      <c r="H20">
        <v>41</v>
      </c>
      <c r="I20">
        <v>3</v>
      </c>
      <c r="J20">
        <v>1</v>
      </c>
      <c r="M20">
        <v>50</v>
      </c>
      <c r="N20">
        <v>44</v>
      </c>
      <c r="O20">
        <v>3778378.3783783782</v>
      </c>
      <c r="P20">
        <v>5223423.4234234234</v>
      </c>
      <c r="Q20">
        <v>18</v>
      </c>
      <c r="R20">
        <v>20</v>
      </c>
      <c r="S20">
        <v>26139639.639639638</v>
      </c>
      <c r="T20">
        <v>26554657.657657657</v>
      </c>
      <c r="U20">
        <v>3713063.0630630632</v>
      </c>
      <c r="V20">
        <v>5022432.4324324327</v>
      </c>
      <c r="W20">
        <v>3877</v>
      </c>
      <c r="X20">
        <v>3559</v>
      </c>
    </row>
    <row r="21" spans="1:24">
      <c r="A21" s="7" t="s">
        <v>74</v>
      </c>
      <c r="B21" s="16" t="s">
        <v>70</v>
      </c>
      <c r="C21">
        <v>197438058.35527161</v>
      </c>
      <c r="D21">
        <v>193788147.1736086</v>
      </c>
      <c r="E21">
        <v>1464054.0540540561</v>
      </c>
      <c r="F21">
        <v>5478378.3783783838</v>
      </c>
      <c r="G21">
        <v>49</v>
      </c>
      <c r="H21">
        <v>59</v>
      </c>
      <c r="I21">
        <v>6</v>
      </c>
      <c r="J21">
        <v>22</v>
      </c>
      <c r="M21">
        <v>58</v>
      </c>
      <c r="N21">
        <v>79</v>
      </c>
      <c r="O21">
        <v>35216756.75675676</v>
      </c>
      <c r="P21">
        <v>45470270.270270273</v>
      </c>
      <c r="Q21">
        <v>17</v>
      </c>
      <c r="R21">
        <v>272</v>
      </c>
      <c r="S21">
        <v>67991873.873873875</v>
      </c>
      <c r="T21">
        <v>70323990.990990996</v>
      </c>
      <c r="U21">
        <v>47347207.20720721</v>
      </c>
      <c r="V21">
        <v>42482342.342342347</v>
      </c>
      <c r="W21">
        <v>4294</v>
      </c>
      <c r="X21">
        <v>4974</v>
      </c>
    </row>
    <row r="22" spans="1:24">
      <c r="A22" s="7" t="s">
        <v>75</v>
      </c>
      <c r="B22" s="16" t="s">
        <v>76</v>
      </c>
      <c r="C22">
        <v>56729499.942107938</v>
      </c>
      <c r="D22">
        <v>56762375.531137779</v>
      </c>
      <c r="E22">
        <v>79279.279279280003</v>
      </c>
      <c r="F22">
        <v>505405.40540540603</v>
      </c>
      <c r="G22">
        <v>15</v>
      </c>
      <c r="H22">
        <v>17</v>
      </c>
      <c r="I22">
        <v>1</v>
      </c>
      <c r="J22">
        <v>3</v>
      </c>
      <c r="M22">
        <v>15</v>
      </c>
      <c r="N22">
        <v>18</v>
      </c>
      <c r="O22">
        <v>5853153.1531531541</v>
      </c>
      <c r="P22">
        <v>7393153.1531531531</v>
      </c>
      <c r="Q22">
        <v>15</v>
      </c>
      <c r="R22">
        <v>8</v>
      </c>
      <c r="S22">
        <v>14381216.216216216</v>
      </c>
      <c r="T22">
        <v>14359333.333333332</v>
      </c>
      <c r="U22">
        <v>5121081.0810810812</v>
      </c>
      <c r="V22">
        <v>4966306.3063063063</v>
      </c>
      <c r="W22">
        <v>1510</v>
      </c>
      <c r="X22">
        <v>1445</v>
      </c>
    </row>
    <row r="23" spans="1:24">
      <c r="A23" s="7" t="s">
        <v>77</v>
      </c>
      <c r="B23" s="16" t="s">
        <v>78</v>
      </c>
      <c r="C23">
        <v>130517660.82200052</v>
      </c>
      <c r="D23">
        <v>119687188.84809525</v>
      </c>
      <c r="E23">
        <v>605495.49549549399</v>
      </c>
      <c r="F23">
        <v>1773873.873873872</v>
      </c>
      <c r="G23">
        <v>32</v>
      </c>
      <c r="H23">
        <v>24</v>
      </c>
      <c r="I23">
        <v>4</v>
      </c>
      <c r="J23">
        <v>5</v>
      </c>
      <c r="M23">
        <v>34</v>
      </c>
      <c r="N23">
        <v>27</v>
      </c>
      <c r="O23">
        <v>14585675.675675675</v>
      </c>
      <c r="P23">
        <v>14107207.207207208</v>
      </c>
      <c r="Q23">
        <v>94</v>
      </c>
      <c r="R23">
        <v>40</v>
      </c>
      <c r="S23">
        <v>40273630.630630635</v>
      </c>
      <c r="T23">
        <v>38967216.216216214</v>
      </c>
      <c r="U23">
        <v>13460810.810810812</v>
      </c>
      <c r="V23">
        <v>14238288.288288288</v>
      </c>
      <c r="W23">
        <v>2440</v>
      </c>
      <c r="X23">
        <v>2421</v>
      </c>
    </row>
    <row r="24" spans="1:24">
      <c r="A24" s="7" t="s">
        <v>79</v>
      </c>
      <c r="B24" s="16" t="s">
        <v>80</v>
      </c>
      <c r="C24">
        <v>1172395210.8338234</v>
      </c>
      <c r="D24">
        <v>1122205338.8486552</v>
      </c>
      <c r="E24">
        <v>3215990.9909909968</v>
      </c>
      <c r="F24">
        <v>6482882.8828828949</v>
      </c>
      <c r="G24">
        <v>399</v>
      </c>
      <c r="H24">
        <v>829</v>
      </c>
      <c r="I24">
        <v>39</v>
      </c>
      <c r="J24">
        <v>34</v>
      </c>
      <c r="K24">
        <v>4</v>
      </c>
      <c r="M24">
        <v>475</v>
      </c>
      <c r="N24">
        <v>1007</v>
      </c>
      <c r="O24">
        <v>422713783.78378373</v>
      </c>
      <c r="P24">
        <v>163318918.91891891</v>
      </c>
      <c r="Q24">
        <v>234</v>
      </c>
      <c r="R24">
        <v>455</v>
      </c>
      <c r="S24">
        <v>284843923.42342341</v>
      </c>
      <c r="T24">
        <v>293428029.27927929</v>
      </c>
      <c r="U24">
        <v>96815855.855855852</v>
      </c>
      <c r="V24">
        <v>148982432.43243244</v>
      </c>
      <c r="W24">
        <v>25868</v>
      </c>
      <c r="X24">
        <v>28590</v>
      </c>
    </row>
    <row r="25" spans="1:24">
      <c r="A25" s="7" t="s">
        <v>81</v>
      </c>
      <c r="B25" s="16" t="s">
        <v>54</v>
      </c>
      <c r="C25">
        <v>34570924.938933916</v>
      </c>
      <c r="D25">
        <v>35018033.321128227</v>
      </c>
      <c r="E25">
        <v>141441.441441442</v>
      </c>
      <c r="F25">
        <v>423423.42342342599</v>
      </c>
      <c r="G25">
        <v>11</v>
      </c>
      <c r="H25">
        <v>10</v>
      </c>
      <c r="I25">
        <v>0</v>
      </c>
      <c r="J25">
        <v>4</v>
      </c>
      <c r="M25">
        <v>13</v>
      </c>
      <c r="N25">
        <v>17</v>
      </c>
      <c r="O25">
        <v>3087837.8378378358</v>
      </c>
      <c r="P25">
        <v>3101621.6216216232</v>
      </c>
      <c r="Q25">
        <v>40</v>
      </c>
      <c r="R25">
        <v>30</v>
      </c>
      <c r="S25">
        <v>7872072.072072072</v>
      </c>
      <c r="T25">
        <v>8043279.2792792786</v>
      </c>
      <c r="U25">
        <v>3111981.9819819801</v>
      </c>
      <c r="V25">
        <v>2271441.4414414419</v>
      </c>
      <c r="W25">
        <v>1276</v>
      </c>
      <c r="X25">
        <v>1312</v>
      </c>
    </row>
    <row r="26" spans="1:24">
      <c r="A26" s="7" t="s">
        <v>82</v>
      </c>
      <c r="B26" s="16" t="s">
        <v>83</v>
      </c>
      <c r="C26">
        <v>813609968.01182282</v>
      </c>
      <c r="D26">
        <v>804239911.40554357</v>
      </c>
      <c r="E26">
        <v>73704594.594594598</v>
      </c>
      <c r="F26">
        <v>40215540.540540546</v>
      </c>
      <c r="G26">
        <v>146</v>
      </c>
      <c r="H26">
        <v>152</v>
      </c>
      <c r="I26">
        <v>16</v>
      </c>
      <c r="J26">
        <v>24</v>
      </c>
      <c r="K26">
        <v>1</v>
      </c>
      <c r="M26">
        <v>164</v>
      </c>
      <c r="N26">
        <v>193</v>
      </c>
      <c r="O26">
        <v>142836126.12612614</v>
      </c>
      <c r="P26">
        <v>171662612.61261261</v>
      </c>
      <c r="Q26">
        <v>362</v>
      </c>
      <c r="R26">
        <v>508</v>
      </c>
      <c r="S26">
        <v>231137142.34234235</v>
      </c>
      <c r="T26">
        <v>235602455.4054054</v>
      </c>
      <c r="U26">
        <v>125841261.26126127</v>
      </c>
      <c r="V26">
        <v>121408738.73873873</v>
      </c>
      <c r="W26">
        <v>15199</v>
      </c>
      <c r="X26">
        <v>14952</v>
      </c>
    </row>
    <row r="27" spans="1:24">
      <c r="A27" s="7" t="s">
        <v>84</v>
      </c>
      <c r="B27" s="16" t="s">
        <v>85</v>
      </c>
      <c r="C27">
        <v>82044215.719939083</v>
      </c>
      <c r="D27">
        <v>74405587.031562343</v>
      </c>
      <c r="E27">
        <v>298648.64864864998</v>
      </c>
      <c r="F27">
        <v>1456531.5315315321</v>
      </c>
      <c r="G27">
        <v>36</v>
      </c>
      <c r="H27">
        <v>38</v>
      </c>
      <c r="I27">
        <v>12</v>
      </c>
      <c r="J27">
        <v>11</v>
      </c>
      <c r="M27">
        <v>46</v>
      </c>
      <c r="N27">
        <v>49</v>
      </c>
      <c r="O27">
        <v>72488738.738738731</v>
      </c>
      <c r="P27">
        <v>155690540.54054055</v>
      </c>
      <c r="Q27">
        <v>270</v>
      </c>
      <c r="R27">
        <v>289</v>
      </c>
      <c r="S27">
        <v>27866846.846846849</v>
      </c>
      <c r="T27">
        <v>26627819.819819819</v>
      </c>
      <c r="U27">
        <v>56751081.081081077</v>
      </c>
      <c r="V27">
        <v>136406576.57657659</v>
      </c>
      <c r="W27">
        <v>2375</v>
      </c>
      <c r="X27">
        <v>2227</v>
      </c>
    </row>
    <row r="28" spans="1:24">
      <c r="A28" s="7" t="s">
        <v>86</v>
      </c>
      <c r="B28" s="16" t="s">
        <v>87</v>
      </c>
      <c r="C28">
        <v>3350233.4565673741</v>
      </c>
      <c r="D28">
        <v>2862461.2334777559</v>
      </c>
      <c r="G28">
        <v>2</v>
      </c>
      <c r="H28">
        <v>1</v>
      </c>
      <c r="M28">
        <v>3</v>
      </c>
      <c r="N28">
        <v>1</v>
      </c>
      <c r="S28">
        <v>969009.00900900899</v>
      </c>
      <c r="T28">
        <v>1321450.4504504511</v>
      </c>
      <c r="W28">
        <v>152</v>
      </c>
      <c r="X28">
        <v>174</v>
      </c>
    </row>
    <row r="29" spans="1:24">
      <c r="A29" s="7" t="s">
        <v>88</v>
      </c>
      <c r="B29" s="16" t="s">
        <v>89</v>
      </c>
      <c r="C29">
        <v>167198128.64489186</v>
      </c>
      <c r="D29">
        <v>163568652.35587728</v>
      </c>
      <c r="E29">
        <v>552027.02702702896</v>
      </c>
      <c r="F29">
        <v>2948648.6486486532</v>
      </c>
      <c r="G29">
        <v>19</v>
      </c>
      <c r="H29">
        <v>24</v>
      </c>
      <c r="I29">
        <v>15</v>
      </c>
      <c r="J29">
        <v>26</v>
      </c>
      <c r="M29">
        <v>20</v>
      </c>
      <c r="N29">
        <v>27</v>
      </c>
      <c r="O29">
        <v>14341081.081081079</v>
      </c>
      <c r="P29">
        <v>25384324.324324328</v>
      </c>
      <c r="Q29">
        <v>112</v>
      </c>
      <c r="R29">
        <v>105</v>
      </c>
      <c r="S29">
        <v>58594396.396396399</v>
      </c>
      <c r="T29">
        <v>58423252.252252258</v>
      </c>
      <c r="U29">
        <v>12691441.441441439</v>
      </c>
      <c r="V29">
        <v>23456666.666666664</v>
      </c>
      <c r="W29">
        <v>3371</v>
      </c>
      <c r="X29">
        <v>3341</v>
      </c>
    </row>
    <row r="30" spans="1:24">
      <c r="A30" s="7" t="s">
        <v>90</v>
      </c>
      <c r="B30" s="16" t="s">
        <v>60</v>
      </c>
      <c r="C30">
        <v>53041536.86338158</v>
      </c>
      <c r="D30">
        <v>58533991.914036907</v>
      </c>
      <c r="E30">
        <v>62162.162162162997</v>
      </c>
      <c r="F30">
        <v>109009.00900901</v>
      </c>
      <c r="G30">
        <v>26</v>
      </c>
      <c r="H30">
        <v>13</v>
      </c>
      <c r="I30">
        <v>2</v>
      </c>
      <c r="J30">
        <v>1</v>
      </c>
      <c r="M30">
        <v>87</v>
      </c>
      <c r="N30">
        <v>139</v>
      </c>
      <c r="O30">
        <v>5575675.6756756753</v>
      </c>
      <c r="P30">
        <v>4000900.9009009008</v>
      </c>
      <c r="Q30">
        <v>88</v>
      </c>
      <c r="R30">
        <v>36</v>
      </c>
      <c r="S30">
        <v>31301531.531531531</v>
      </c>
      <c r="T30">
        <v>35136396.396396399</v>
      </c>
      <c r="U30">
        <v>5431981.9819819815</v>
      </c>
      <c r="V30">
        <v>3840090.0900900899</v>
      </c>
      <c r="W30">
        <v>1650</v>
      </c>
      <c r="X30">
        <v>1554</v>
      </c>
    </row>
    <row r="31" spans="1:24">
      <c r="A31" s="7" t="s">
        <v>91</v>
      </c>
      <c r="B31" s="16" t="s">
        <v>92</v>
      </c>
      <c r="C31">
        <v>50194776.776649453</v>
      </c>
      <c r="D31">
        <v>48878300.272813767</v>
      </c>
      <c r="E31">
        <v>414189.18918919098</v>
      </c>
      <c r="F31">
        <v>2318018.018018018</v>
      </c>
      <c r="G31">
        <v>18</v>
      </c>
      <c r="H31">
        <v>13</v>
      </c>
      <c r="I31">
        <v>4</v>
      </c>
      <c r="J31">
        <v>2</v>
      </c>
      <c r="M31">
        <v>19</v>
      </c>
      <c r="N31">
        <v>16</v>
      </c>
      <c r="O31">
        <v>1000540.54054054</v>
      </c>
      <c r="P31">
        <v>16535675.675675675</v>
      </c>
      <c r="Q31">
        <v>52</v>
      </c>
      <c r="R31">
        <v>2</v>
      </c>
      <c r="S31">
        <v>16933963.963963963</v>
      </c>
      <c r="T31">
        <v>15618387.387387387</v>
      </c>
      <c r="U31">
        <v>1200540.5405405399</v>
      </c>
      <c r="V31">
        <v>16602342.342342343</v>
      </c>
      <c r="W31">
        <v>1071</v>
      </c>
      <c r="X31">
        <v>1006</v>
      </c>
    </row>
    <row r="32" spans="1:24">
      <c r="A32" s="7" t="s">
        <v>93</v>
      </c>
      <c r="B32" s="16" t="s">
        <v>94</v>
      </c>
      <c r="C32">
        <v>216698526.50933477</v>
      </c>
      <c r="D32">
        <v>212971960.66778636</v>
      </c>
      <c r="E32">
        <v>59442342.342342347</v>
      </c>
      <c r="F32">
        <v>50608108.108108111</v>
      </c>
      <c r="G32">
        <v>54</v>
      </c>
      <c r="H32">
        <v>41</v>
      </c>
      <c r="I32">
        <v>8</v>
      </c>
      <c r="J32">
        <v>6</v>
      </c>
      <c r="M32">
        <v>60</v>
      </c>
      <c r="N32">
        <v>47</v>
      </c>
      <c r="O32">
        <v>33461711.711711712</v>
      </c>
      <c r="P32">
        <v>33827027.027027033</v>
      </c>
      <c r="Q32">
        <v>102</v>
      </c>
      <c r="R32">
        <v>125</v>
      </c>
      <c r="S32">
        <v>31579855.855855856</v>
      </c>
      <c r="T32">
        <v>30438583.783783782</v>
      </c>
      <c r="U32">
        <v>25034864.864864863</v>
      </c>
      <c r="V32">
        <v>21537747.747747749</v>
      </c>
      <c r="W32">
        <v>4500</v>
      </c>
      <c r="X32">
        <v>4502</v>
      </c>
    </row>
    <row r="33" spans="1:24">
      <c r="A33" s="7" t="s">
        <v>95</v>
      </c>
      <c r="B33" s="16" t="s">
        <v>96</v>
      </c>
      <c r="C33">
        <v>227537381.63828281</v>
      </c>
      <c r="D33">
        <v>223822336.24769545</v>
      </c>
      <c r="E33">
        <v>223423.423423423</v>
      </c>
      <c r="F33">
        <v>1514414.414414417</v>
      </c>
      <c r="G33">
        <v>55</v>
      </c>
      <c r="H33">
        <v>48</v>
      </c>
      <c r="I33">
        <v>5</v>
      </c>
      <c r="J33">
        <v>6</v>
      </c>
      <c r="M33">
        <v>61</v>
      </c>
      <c r="N33">
        <v>56</v>
      </c>
      <c r="O33">
        <v>32384954.954954956</v>
      </c>
      <c r="P33">
        <v>46084684.684684686</v>
      </c>
      <c r="Q33">
        <v>190</v>
      </c>
      <c r="R33">
        <v>96</v>
      </c>
      <c r="S33">
        <v>110066297.2972973</v>
      </c>
      <c r="T33">
        <v>112904981.98198198</v>
      </c>
      <c r="U33">
        <v>37653243.243243247</v>
      </c>
      <c r="V33">
        <v>39963963.963963963</v>
      </c>
      <c r="W33">
        <v>6119</v>
      </c>
      <c r="X33">
        <v>5834</v>
      </c>
    </row>
    <row r="34" spans="1:24">
      <c r="A34" s="7" t="s">
        <v>97</v>
      </c>
      <c r="B34" s="16" t="s">
        <v>98</v>
      </c>
      <c r="C34">
        <v>784306983.74071002</v>
      </c>
      <c r="D34">
        <v>775319793.76604462</v>
      </c>
      <c r="E34">
        <v>2615180.1801801841</v>
      </c>
      <c r="F34">
        <v>7958558.5585585628</v>
      </c>
      <c r="G34">
        <v>360</v>
      </c>
      <c r="H34">
        <v>309</v>
      </c>
      <c r="I34">
        <v>32</v>
      </c>
      <c r="J34">
        <v>39</v>
      </c>
      <c r="M34">
        <v>423</v>
      </c>
      <c r="N34">
        <v>426</v>
      </c>
      <c r="O34">
        <v>122649549.54954955</v>
      </c>
      <c r="P34">
        <v>152734684.68468466</v>
      </c>
      <c r="Q34">
        <v>743</v>
      </c>
      <c r="R34">
        <v>1006</v>
      </c>
      <c r="S34">
        <v>205080935.13513514</v>
      </c>
      <c r="T34">
        <v>201403084.23423424</v>
      </c>
      <c r="U34">
        <v>121493963.96396397</v>
      </c>
      <c r="V34">
        <v>100822252.25225225</v>
      </c>
      <c r="W34">
        <v>22684</v>
      </c>
      <c r="X34">
        <v>22278</v>
      </c>
    </row>
    <row r="35" spans="1:24">
      <c r="A35" s="7" t="s">
        <v>99</v>
      </c>
      <c r="B35" s="16" t="s">
        <v>98</v>
      </c>
      <c r="C35">
        <v>1295192098.8312721</v>
      </c>
      <c r="D35">
        <v>1253948033.0866485</v>
      </c>
      <c r="E35">
        <v>989672.07207207999</v>
      </c>
      <c r="F35">
        <v>5206486.4864864899</v>
      </c>
      <c r="G35">
        <v>360</v>
      </c>
      <c r="H35">
        <v>392</v>
      </c>
      <c r="I35">
        <v>30</v>
      </c>
      <c r="J35">
        <v>38</v>
      </c>
      <c r="K35">
        <v>1</v>
      </c>
      <c r="M35">
        <v>472</v>
      </c>
      <c r="N35">
        <v>665</v>
      </c>
      <c r="O35">
        <v>73996531.531531543</v>
      </c>
      <c r="P35">
        <v>74053153.153153151</v>
      </c>
      <c r="Q35">
        <v>413</v>
      </c>
      <c r="R35">
        <v>424</v>
      </c>
      <c r="S35">
        <v>246366887.38738739</v>
      </c>
      <c r="T35">
        <v>243845248.1981982</v>
      </c>
      <c r="U35">
        <v>74797792.792792797</v>
      </c>
      <c r="V35">
        <v>70980180.180180177</v>
      </c>
      <c r="W35">
        <v>27688</v>
      </c>
      <c r="X35">
        <v>28763</v>
      </c>
    </row>
    <row r="36" spans="1:24">
      <c r="A36" s="7" t="s">
        <v>100</v>
      </c>
      <c r="B36" s="16" t="s">
        <v>98</v>
      </c>
      <c r="C36">
        <v>1602153994.9583342</v>
      </c>
      <c r="D36">
        <v>1591825383.5758445</v>
      </c>
      <c r="E36">
        <v>7045675.6756756818</v>
      </c>
      <c r="F36">
        <v>13076576.576576583</v>
      </c>
      <c r="G36">
        <v>317</v>
      </c>
      <c r="H36">
        <v>334</v>
      </c>
      <c r="I36">
        <v>39</v>
      </c>
      <c r="J36">
        <v>71</v>
      </c>
      <c r="K36">
        <v>20</v>
      </c>
      <c r="M36">
        <v>516</v>
      </c>
      <c r="N36">
        <v>881</v>
      </c>
      <c r="O36">
        <v>786707072.07207203</v>
      </c>
      <c r="P36">
        <v>531219054.05405408</v>
      </c>
      <c r="Q36">
        <v>831</v>
      </c>
      <c r="R36">
        <v>691</v>
      </c>
      <c r="S36">
        <v>606092439.63963974</v>
      </c>
      <c r="T36">
        <v>660961984.23423421</v>
      </c>
      <c r="U36">
        <v>596488556.75675678</v>
      </c>
      <c r="V36">
        <v>161454189.1891892</v>
      </c>
      <c r="W36">
        <v>32856</v>
      </c>
      <c r="X36">
        <v>33314</v>
      </c>
    </row>
    <row r="37" spans="1:24">
      <c r="A37" s="7" t="s">
        <v>101</v>
      </c>
      <c r="B37" s="16" t="s">
        <v>98</v>
      </c>
      <c r="C37">
        <v>746153349.58735323</v>
      </c>
      <c r="D37">
        <v>718983468.55828536</v>
      </c>
      <c r="E37">
        <v>1117792.7927927941</v>
      </c>
      <c r="F37">
        <v>3936036.036036036</v>
      </c>
      <c r="G37">
        <v>250</v>
      </c>
      <c r="H37">
        <v>223</v>
      </c>
      <c r="I37">
        <v>22</v>
      </c>
      <c r="J37">
        <v>26</v>
      </c>
      <c r="K37">
        <v>1</v>
      </c>
      <c r="M37">
        <v>318</v>
      </c>
      <c r="N37">
        <v>267</v>
      </c>
      <c r="O37">
        <v>43023603.603603601</v>
      </c>
      <c r="P37">
        <v>58162162.162162162</v>
      </c>
      <c r="Q37">
        <v>70</v>
      </c>
      <c r="R37">
        <v>314</v>
      </c>
      <c r="S37">
        <v>161523367.56756756</v>
      </c>
      <c r="T37">
        <v>159628333.33333334</v>
      </c>
      <c r="U37">
        <v>45499369.369369365</v>
      </c>
      <c r="V37">
        <v>53196846.846846841</v>
      </c>
      <c r="W37">
        <v>21450</v>
      </c>
      <c r="X37">
        <v>21267</v>
      </c>
    </row>
    <row r="38" spans="1:24">
      <c r="A38" s="7" t="s">
        <v>102</v>
      </c>
      <c r="B38" s="16" t="s">
        <v>98</v>
      </c>
      <c r="C38">
        <v>820519733.58313048</v>
      </c>
      <c r="D38">
        <v>814912618.76556671</v>
      </c>
      <c r="E38">
        <v>5206801.8018018054</v>
      </c>
      <c r="F38">
        <v>7390090.0900900923</v>
      </c>
      <c r="G38">
        <v>167</v>
      </c>
      <c r="H38">
        <v>197</v>
      </c>
      <c r="I38">
        <v>25</v>
      </c>
      <c r="J38">
        <v>27</v>
      </c>
      <c r="K38">
        <v>2</v>
      </c>
      <c r="M38">
        <v>264</v>
      </c>
      <c r="N38">
        <v>255</v>
      </c>
      <c r="O38">
        <v>114946576.57657658</v>
      </c>
      <c r="P38">
        <v>124715315.31531531</v>
      </c>
      <c r="Q38">
        <v>468</v>
      </c>
      <c r="R38">
        <v>271</v>
      </c>
      <c r="S38">
        <v>236719664.86486486</v>
      </c>
      <c r="T38">
        <v>239384445.94594595</v>
      </c>
      <c r="U38">
        <v>102300540.54054055</v>
      </c>
      <c r="V38">
        <v>128114954.95495494</v>
      </c>
      <c r="W38">
        <v>25118</v>
      </c>
      <c r="X38">
        <v>24899</v>
      </c>
    </row>
    <row r="39" spans="1:24">
      <c r="A39" s="7" t="s">
        <v>103</v>
      </c>
      <c r="B39" s="16" t="s">
        <v>98</v>
      </c>
      <c r="C39">
        <v>2123326039.9919317</v>
      </c>
      <c r="D39">
        <v>2097588417.8414283</v>
      </c>
      <c r="E39">
        <v>972674311.71171176</v>
      </c>
      <c r="F39">
        <v>986055652.25225234</v>
      </c>
      <c r="G39">
        <v>650</v>
      </c>
      <c r="H39">
        <v>601</v>
      </c>
      <c r="I39">
        <v>62</v>
      </c>
      <c r="J39">
        <v>66</v>
      </c>
      <c r="K39">
        <v>24</v>
      </c>
      <c r="M39">
        <v>830</v>
      </c>
      <c r="N39">
        <v>953</v>
      </c>
      <c r="O39">
        <v>415174774.77477479</v>
      </c>
      <c r="P39">
        <v>245426874.77477479</v>
      </c>
      <c r="Q39">
        <v>1446</v>
      </c>
      <c r="R39">
        <v>746</v>
      </c>
      <c r="S39">
        <v>434096070.27027029</v>
      </c>
      <c r="T39">
        <v>448910890.0900901</v>
      </c>
      <c r="U39">
        <v>210395718.91891891</v>
      </c>
      <c r="V39">
        <v>201001531.53153151</v>
      </c>
      <c r="W39">
        <v>55469</v>
      </c>
      <c r="X39">
        <v>54463</v>
      </c>
    </row>
    <row r="40" spans="1:24">
      <c r="A40" s="7" t="s">
        <v>104</v>
      </c>
      <c r="B40" s="16" t="s">
        <v>105</v>
      </c>
      <c r="C40">
        <v>163604496.90382648</v>
      </c>
      <c r="D40">
        <v>147041999.71889329</v>
      </c>
      <c r="E40">
        <v>371171.17117117101</v>
      </c>
      <c r="F40">
        <v>1245945.9459459451</v>
      </c>
      <c r="G40">
        <v>45</v>
      </c>
      <c r="H40">
        <v>27</v>
      </c>
      <c r="I40">
        <v>1</v>
      </c>
      <c r="J40">
        <v>0</v>
      </c>
      <c r="M40">
        <v>47</v>
      </c>
      <c r="N40">
        <v>30</v>
      </c>
      <c r="O40">
        <v>1213513.5135135129</v>
      </c>
      <c r="P40">
        <v>1696396.396396396</v>
      </c>
      <c r="Q40">
        <v>1</v>
      </c>
      <c r="R40">
        <v>50</v>
      </c>
      <c r="S40">
        <v>32003198.198198199</v>
      </c>
      <c r="T40">
        <v>31875612.612612613</v>
      </c>
      <c r="U40">
        <v>1254414.414414414</v>
      </c>
      <c r="V40">
        <v>1101261.2612612611</v>
      </c>
      <c r="W40">
        <v>2585</v>
      </c>
      <c r="X40">
        <v>2112</v>
      </c>
    </row>
    <row r="41" spans="1:24">
      <c r="A41" s="7" t="s">
        <v>106</v>
      </c>
      <c r="B41" s="16" t="s">
        <v>54</v>
      </c>
      <c r="C41">
        <v>52454710.534214601</v>
      </c>
      <c r="D41">
        <v>49468443.843910374</v>
      </c>
      <c r="E41">
        <v>142342.34234234301</v>
      </c>
      <c r="F41">
        <v>48648.648648649003</v>
      </c>
      <c r="G41">
        <v>46</v>
      </c>
      <c r="H41">
        <v>28</v>
      </c>
      <c r="I41">
        <v>0</v>
      </c>
      <c r="J41">
        <v>0</v>
      </c>
      <c r="M41">
        <v>65</v>
      </c>
      <c r="N41">
        <v>31</v>
      </c>
      <c r="O41">
        <v>2723873.8738738731</v>
      </c>
      <c r="P41">
        <v>1718198.198198199</v>
      </c>
      <c r="Q41">
        <v>27</v>
      </c>
      <c r="R41">
        <v>19</v>
      </c>
      <c r="S41">
        <v>13804774.774774775</v>
      </c>
      <c r="T41">
        <v>12618045.045045044</v>
      </c>
      <c r="U41">
        <v>2771711.7117117122</v>
      </c>
      <c r="V41">
        <v>1599909.9099099101</v>
      </c>
      <c r="W41">
        <v>1422</v>
      </c>
      <c r="X41">
        <v>1341</v>
      </c>
    </row>
    <row r="42" spans="1:24">
      <c r="A42" s="7" t="s">
        <v>107</v>
      </c>
      <c r="B42" s="16" t="s">
        <v>108</v>
      </c>
      <c r="C42">
        <v>433002359.50612271</v>
      </c>
      <c r="D42">
        <v>403655886.96275246</v>
      </c>
      <c r="E42">
        <v>1303783.7837837851</v>
      </c>
      <c r="F42">
        <v>4586486.4864864927</v>
      </c>
      <c r="G42">
        <v>119</v>
      </c>
      <c r="H42">
        <v>117</v>
      </c>
      <c r="I42">
        <v>11</v>
      </c>
      <c r="J42">
        <v>13</v>
      </c>
      <c r="M42">
        <v>142</v>
      </c>
      <c r="N42">
        <v>136</v>
      </c>
      <c r="O42">
        <v>78215045.045045033</v>
      </c>
      <c r="P42">
        <v>58651531.531531535</v>
      </c>
      <c r="Q42">
        <v>327</v>
      </c>
      <c r="R42">
        <v>682</v>
      </c>
      <c r="S42">
        <v>90034590.990990996</v>
      </c>
      <c r="T42">
        <v>89746810.810810819</v>
      </c>
      <c r="U42">
        <v>48307027.027027026</v>
      </c>
      <c r="V42">
        <v>49623333.333333336</v>
      </c>
      <c r="W42">
        <v>10230</v>
      </c>
      <c r="X42">
        <v>9378</v>
      </c>
    </row>
    <row r="43" spans="1:24">
      <c r="A43" s="7" t="s">
        <v>109</v>
      </c>
      <c r="B43" s="16" t="s">
        <v>108</v>
      </c>
      <c r="C43">
        <v>585375700.08145714</v>
      </c>
      <c r="D43">
        <v>573718638.45106339</v>
      </c>
      <c r="E43">
        <v>5416666.6666666698</v>
      </c>
      <c r="F43">
        <v>5874851.3513513552</v>
      </c>
      <c r="G43">
        <v>133</v>
      </c>
      <c r="H43">
        <v>190</v>
      </c>
      <c r="I43">
        <v>13</v>
      </c>
      <c r="J43">
        <v>22</v>
      </c>
      <c r="K43">
        <v>1</v>
      </c>
      <c r="M43">
        <v>250</v>
      </c>
      <c r="N43">
        <v>292</v>
      </c>
      <c r="O43">
        <v>270130630.63063061</v>
      </c>
      <c r="P43">
        <v>41386386.486486487</v>
      </c>
      <c r="Q43">
        <v>495</v>
      </c>
      <c r="R43">
        <v>323</v>
      </c>
      <c r="S43">
        <v>147395698.1981982</v>
      </c>
      <c r="T43">
        <v>166981495.4954955</v>
      </c>
      <c r="U43">
        <v>224085495.4954955</v>
      </c>
      <c r="V43">
        <v>137420270.27027026</v>
      </c>
      <c r="W43">
        <v>13915</v>
      </c>
      <c r="X43">
        <v>13762</v>
      </c>
    </row>
    <row r="44" spans="1:24">
      <c r="A44" s="7" t="s">
        <v>110</v>
      </c>
      <c r="B44" s="16" t="s">
        <v>111</v>
      </c>
      <c r="C44">
        <v>703325287.80615866</v>
      </c>
      <c r="D44">
        <v>654883537.47105265</v>
      </c>
      <c r="E44">
        <v>4800540.5405405425</v>
      </c>
      <c r="F44">
        <v>8242342.342342345</v>
      </c>
      <c r="G44">
        <v>128</v>
      </c>
      <c r="H44">
        <v>229</v>
      </c>
      <c r="I44">
        <v>14</v>
      </c>
      <c r="J44">
        <v>37</v>
      </c>
      <c r="K44">
        <v>1</v>
      </c>
      <c r="M44">
        <v>151</v>
      </c>
      <c r="N44">
        <v>495</v>
      </c>
      <c r="O44">
        <v>56603243.24324324</v>
      </c>
      <c r="P44">
        <v>62319123.423423424</v>
      </c>
      <c r="Q44">
        <v>467</v>
      </c>
      <c r="R44">
        <v>1320</v>
      </c>
      <c r="S44">
        <v>225989162.16216218</v>
      </c>
      <c r="T44">
        <v>231039378.37837836</v>
      </c>
      <c r="U44">
        <v>57012072.072072074</v>
      </c>
      <c r="V44">
        <v>56611261.261261255</v>
      </c>
      <c r="W44">
        <v>20034</v>
      </c>
      <c r="X44">
        <v>20949</v>
      </c>
    </row>
    <row r="45" spans="1:24">
      <c r="A45" s="7" t="s">
        <v>112</v>
      </c>
      <c r="B45" s="16" t="s">
        <v>111</v>
      </c>
      <c r="C45">
        <v>872033813.21028411</v>
      </c>
      <c r="D45">
        <v>851991289.72712958</v>
      </c>
      <c r="E45">
        <v>37712972.972972967</v>
      </c>
      <c r="F45">
        <v>92894504.504504517</v>
      </c>
      <c r="G45">
        <v>165</v>
      </c>
      <c r="H45">
        <v>349</v>
      </c>
      <c r="I45">
        <v>11</v>
      </c>
      <c r="J45">
        <v>51</v>
      </c>
      <c r="K45">
        <v>3</v>
      </c>
      <c r="M45">
        <v>193</v>
      </c>
      <c r="N45">
        <v>615</v>
      </c>
      <c r="O45">
        <v>71053243.243243232</v>
      </c>
      <c r="P45">
        <v>68333075.675675675</v>
      </c>
      <c r="Q45">
        <v>1084</v>
      </c>
      <c r="R45">
        <v>1958</v>
      </c>
      <c r="S45">
        <v>301315198.1981982</v>
      </c>
      <c r="T45">
        <v>317098040.54054052</v>
      </c>
      <c r="U45">
        <v>66663243.24324324</v>
      </c>
      <c r="V45">
        <v>68075315.315315306</v>
      </c>
      <c r="W45">
        <v>27317</v>
      </c>
      <c r="X45">
        <v>27096</v>
      </c>
    </row>
    <row r="46" spans="1:24">
      <c r="A46" s="7" t="s">
        <v>113</v>
      </c>
      <c r="B46" s="16" t="s">
        <v>111</v>
      </c>
      <c r="C46">
        <v>1016413897.5026857</v>
      </c>
      <c r="D46">
        <v>1011825088.5998147</v>
      </c>
      <c r="E46">
        <v>12908018.018018024</v>
      </c>
      <c r="F46">
        <v>6751126.1261261329</v>
      </c>
      <c r="G46">
        <v>202</v>
      </c>
      <c r="H46">
        <v>300</v>
      </c>
      <c r="I46">
        <v>21</v>
      </c>
      <c r="J46">
        <v>44</v>
      </c>
      <c r="K46">
        <v>6</v>
      </c>
      <c r="M46">
        <v>237</v>
      </c>
      <c r="N46">
        <v>561</v>
      </c>
      <c r="O46">
        <v>499023243.24324328</v>
      </c>
      <c r="P46">
        <v>488567763.06306303</v>
      </c>
      <c r="Q46">
        <v>389</v>
      </c>
      <c r="R46">
        <v>1398</v>
      </c>
      <c r="S46">
        <v>611527918.91891897</v>
      </c>
      <c r="T46">
        <v>618491673.87387395</v>
      </c>
      <c r="U46">
        <v>49855045.045045041</v>
      </c>
      <c r="V46">
        <v>34580810.810810804</v>
      </c>
      <c r="W46">
        <v>13754</v>
      </c>
      <c r="X46">
        <v>14245</v>
      </c>
    </row>
    <row r="47" spans="1:24">
      <c r="A47" s="7" t="s">
        <v>114</v>
      </c>
      <c r="B47" s="16" t="s">
        <v>111</v>
      </c>
      <c r="C47">
        <v>680105156.27178991</v>
      </c>
      <c r="D47">
        <v>682907781.63804126</v>
      </c>
      <c r="E47">
        <v>5344144.1441441476</v>
      </c>
      <c r="F47">
        <v>8138513.513513525</v>
      </c>
      <c r="G47">
        <v>854</v>
      </c>
      <c r="H47">
        <v>346</v>
      </c>
      <c r="I47">
        <v>21</v>
      </c>
      <c r="J47">
        <v>59</v>
      </c>
      <c r="K47">
        <v>25</v>
      </c>
      <c r="M47">
        <v>2541</v>
      </c>
      <c r="N47">
        <v>722</v>
      </c>
      <c r="O47">
        <v>64790540.540540539</v>
      </c>
      <c r="P47">
        <v>70169009.009009019</v>
      </c>
      <c r="Q47">
        <v>510</v>
      </c>
      <c r="R47">
        <v>640</v>
      </c>
      <c r="S47">
        <v>213125756.75675678</v>
      </c>
      <c r="T47">
        <v>201633486.48648649</v>
      </c>
      <c r="U47">
        <v>63684954.954954952</v>
      </c>
      <c r="V47">
        <v>60386126.126126125</v>
      </c>
      <c r="W47">
        <v>20640</v>
      </c>
      <c r="X47">
        <v>19476</v>
      </c>
    </row>
    <row r="48" spans="1:24">
      <c r="A48" s="7" t="s">
        <v>115</v>
      </c>
      <c r="B48" s="16" t="s">
        <v>111</v>
      </c>
      <c r="C48">
        <v>927423661.21118879</v>
      </c>
      <c r="D48">
        <v>834625160.23004162</v>
      </c>
      <c r="E48">
        <v>930959781.08108103</v>
      </c>
      <c r="F48">
        <v>1677133681.981982</v>
      </c>
      <c r="G48">
        <v>334</v>
      </c>
      <c r="H48">
        <v>368</v>
      </c>
      <c r="I48">
        <v>34</v>
      </c>
      <c r="J48">
        <v>71</v>
      </c>
      <c r="K48">
        <v>1</v>
      </c>
      <c r="M48">
        <v>405</v>
      </c>
      <c r="N48">
        <v>614</v>
      </c>
      <c r="O48">
        <v>641921788.28828824</v>
      </c>
      <c r="P48">
        <v>733246315.31531537</v>
      </c>
      <c r="Q48">
        <v>623</v>
      </c>
      <c r="R48">
        <v>8037</v>
      </c>
      <c r="S48">
        <v>248056207.2072072</v>
      </c>
      <c r="T48">
        <v>252579638.2882883</v>
      </c>
      <c r="U48">
        <v>146211441.44144145</v>
      </c>
      <c r="V48">
        <v>143585401.8018018</v>
      </c>
      <c r="W48">
        <v>24980</v>
      </c>
      <c r="X48">
        <v>23014</v>
      </c>
    </row>
    <row r="49" spans="1:24">
      <c r="A49" s="7" t="s">
        <v>116</v>
      </c>
      <c r="B49" s="16" t="s">
        <v>54</v>
      </c>
      <c r="C49">
        <v>47524350.225363493</v>
      </c>
      <c r="D49">
        <v>45819127.449082017</v>
      </c>
      <c r="E49">
        <v>803828.82882882794</v>
      </c>
      <c r="F49">
        <v>1104279.2792792791</v>
      </c>
      <c r="G49">
        <v>5</v>
      </c>
      <c r="H49">
        <v>12</v>
      </c>
      <c r="I49">
        <v>2</v>
      </c>
      <c r="J49">
        <v>3</v>
      </c>
      <c r="M49">
        <v>5</v>
      </c>
      <c r="N49">
        <v>12</v>
      </c>
      <c r="O49">
        <v>4845945.9459459446</v>
      </c>
      <c r="P49">
        <v>4523873.8738738727</v>
      </c>
      <c r="Q49">
        <v>31</v>
      </c>
      <c r="R49">
        <v>15</v>
      </c>
      <c r="S49">
        <v>11228549.54954955</v>
      </c>
      <c r="T49">
        <v>11593756.756756756</v>
      </c>
      <c r="U49">
        <v>4553963.963963964</v>
      </c>
      <c r="V49">
        <v>3788378.3783783782</v>
      </c>
      <c r="W49">
        <v>966</v>
      </c>
      <c r="X49">
        <v>1151</v>
      </c>
    </row>
    <row r="50" spans="1:24">
      <c r="A50" s="7" t="s">
        <v>118</v>
      </c>
      <c r="B50" s="16" t="s">
        <v>78</v>
      </c>
      <c r="C50">
        <v>415390884.82022297</v>
      </c>
      <c r="D50">
        <v>390070575.5263105</v>
      </c>
      <c r="E50">
        <v>267016411.7117117</v>
      </c>
      <c r="F50">
        <v>270747636.93693691</v>
      </c>
      <c r="G50">
        <v>154</v>
      </c>
      <c r="H50">
        <v>145</v>
      </c>
      <c r="I50">
        <v>15</v>
      </c>
      <c r="J50">
        <v>24</v>
      </c>
      <c r="K50">
        <v>1</v>
      </c>
      <c r="M50">
        <v>188</v>
      </c>
      <c r="N50">
        <v>185</v>
      </c>
      <c r="O50">
        <v>66515945.945945941</v>
      </c>
      <c r="P50">
        <v>87048198.198198199</v>
      </c>
      <c r="Q50">
        <v>363</v>
      </c>
      <c r="R50">
        <v>1987</v>
      </c>
      <c r="S50">
        <v>156200250.45045045</v>
      </c>
      <c r="T50">
        <v>156038910.36036035</v>
      </c>
      <c r="U50">
        <v>68694818.018018022</v>
      </c>
      <c r="V50">
        <v>84227837.837837845</v>
      </c>
      <c r="W50">
        <v>11580</v>
      </c>
      <c r="X50">
        <v>12404</v>
      </c>
    </row>
    <row r="51" spans="1:24">
      <c r="A51" s="7" t="s">
        <v>119</v>
      </c>
      <c r="B51" s="16" t="s">
        <v>50</v>
      </c>
      <c r="C51">
        <v>130816191.01409635</v>
      </c>
      <c r="D51">
        <v>123780865.88906682</v>
      </c>
      <c r="E51">
        <v>422747.74774774897</v>
      </c>
      <c r="F51">
        <v>2930630.6306306319</v>
      </c>
      <c r="G51">
        <v>62</v>
      </c>
      <c r="H51">
        <v>41</v>
      </c>
      <c r="I51">
        <v>10</v>
      </c>
      <c r="J51">
        <v>10</v>
      </c>
      <c r="M51">
        <v>63</v>
      </c>
      <c r="N51">
        <v>44</v>
      </c>
      <c r="O51">
        <v>88322072.072072074</v>
      </c>
      <c r="P51">
        <v>51330810.810810804</v>
      </c>
      <c r="Q51">
        <v>247</v>
      </c>
      <c r="R51">
        <v>320</v>
      </c>
      <c r="S51">
        <v>46284234.234234229</v>
      </c>
      <c r="T51">
        <v>44961009.009009011</v>
      </c>
      <c r="U51">
        <v>87799729.729729727</v>
      </c>
      <c r="V51">
        <v>47885855.855855852</v>
      </c>
      <c r="W51">
        <v>2511</v>
      </c>
      <c r="X51">
        <v>2390</v>
      </c>
    </row>
    <row r="52" spans="1:24">
      <c r="A52" s="7" t="s">
        <v>120</v>
      </c>
      <c r="B52" s="16" t="s">
        <v>121</v>
      </c>
      <c r="C52">
        <v>463328272.85367429</v>
      </c>
      <c r="D52">
        <v>419363810.41815829</v>
      </c>
      <c r="E52">
        <v>1111936.936936937</v>
      </c>
      <c r="F52">
        <v>3225450.4504504539</v>
      </c>
      <c r="G52">
        <v>183</v>
      </c>
      <c r="H52">
        <v>161</v>
      </c>
      <c r="I52">
        <v>11</v>
      </c>
      <c r="J52">
        <v>13</v>
      </c>
      <c r="M52">
        <v>200</v>
      </c>
      <c r="N52">
        <v>178</v>
      </c>
      <c r="O52">
        <v>18464864.864864863</v>
      </c>
      <c r="P52">
        <v>17836936.936936937</v>
      </c>
      <c r="Q52">
        <v>199</v>
      </c>
      <c r="R52">
        <v>119</v>
      </c>
      <c r="S52">
        <v>32052000</v>
      </c>
      <c r="T52">
        <v>36186572.072072074</v>
      </c>
      <c r="U52">
        <v>17660180.180180181</v>
      </c>
      <c r="V52">
        <v>15474324.324324325</v>
      </c>
      <c r="W52">
        <v>8282</v>
      </c>
      <c r="X52">
        <v>7981</v>
      </c>
    </row>
    <row r="53" spans="1:24">
      <c r="A53" s="7" t="s">
        <v>122</v>
      </c>
      <c r="B53" s="16" t="s">
        <v>123</v>
      </c>
      <c r="C53">
        <v>209231274.73105896</v>
      </c>
      <c r="D53">
        <v>219471405.89003834</v>
      </c>
      <c r="E53">
        <v>348198.19819819799</v>
      </c>
      <c r="F53">
        <v>1034909.909909911</v>
      </c>
      <c r="G53">
        <v>22</v>
      </c>
      <c r="H53">
        <v>30</v>
      </c>
      <c r="I53">
        <v>3</v>
      </c>
      <c r="J53">
        <v>3</v>
      </c>
      <c r="M53">
        <v>27</v>
      </c>
      <c r="N53">
        <v>42</v>
      </c>
      <c r="O53">
        <v>48151981.981981985</v>
      </c>
      <c r="P53">
        <v>38681621.621621616</v>
      </c>
      <c r="Q53">
        <v>54</v>
      </c>
      <c r="R53">
        <v>52</v>
      </c>
      <c r="S53">
        <v>94484185.585585579</v>
      </c>
      <c r="T53">
        <v>99511626.126126125</v>
      </c>
      <c r="U53">
        <v>45820990.990990989</v>
      </c>
      <c r="V53">
        <v>40602792.79279279</v>
      </c>
      <c r="W53">
        <v>4369</v>
      </c>
      <c r="X53">
        <v>4435</v>
      </c>
    </row>
    <row r="54" spans="1:24">
      <c r="A54" s="7" t="s">
        <v>124</v>
      </c>
      <c r="B54" s="16" t="s">
        <v>125</v>
      </c>
      <c r="C54">
        <v>310243310.49753255</v>
      </c>
      <c r="D54">
        <v>290812508.26538163</v>
      </c>
      <c r="E54">
        <v>40731149.54954955</v>
      </c>
      <c r="F54">
        <v>44411365.765765771</v>
      </c>
      <c r="G54">
        <v>53</v>
      </c>
      <c r="H54">
        <v>61</v>
      </c>
      <c r="I54">
        <v>8</v>
      </c>
      <c r="J54">
        <v>7</v>
      </c>
      <c r="M54">
        <v>58</v>
      </c>
      <c r="N54">
        <v>98</v>
      </c>
      <c r="O54">
        <v>71013513.513513505</v>
      </c>
      <c r="P54">
        <v>103884234.23423424</v>
      </c>
      <c r="Q54">
        <v>110</v>
      </c>
      <c r="R54">
        <v>252</v>
      </c>
      <c r="S54">
        <v>91322376.576576576</v>
      </c>
      <c r="T54">
        <v>91194404.504504502</v>
      </c>
      <c r="U54">
        <v>74684864.864864871</v>
      </c>
      <c r="V54">
        <v>103276259.45945945</v>
      </c>
      <c r="W54">
        <v>6408</v>
      </c>
      <c r="X54">
        <v>6375</v>
      </c>
    </row>
    <row r="55" spans="1:24">
      <c r="A55" s="7" t="s">
        <v>126</v>
      </c>
      <c r="B55" s="16" t="s">
        <v>78</v>
      </c>
      <c r="C55">
        <v>198154766.84912056</v>
      </c>
      <c r="D55">
        <v>188335000.81261429</v>
      </c>
      <c r="E55">
        <v>32560090.090090092</v>
      </c>
      <c r="F55">
        <v>66143243.243243247</v>
      </c>
      <c r="G55">
        <v>44</v>
      </c>
      <c r="H55">
        <v>58</v>
      </c>
      <c r="I55">
        <v>5</v>
      </c>
      <c r="J55">
        <v>7</v>
      </c>
      <c r="M55">
        <v>49</v>
      </c>
      <c r="N55">
        <v>72</v>
      </c>
      <c r="O55">
        <v>38046576.576576576</v>
      </c>
      <c r="P55">
        <v>35251351.351351351</v>
      </c>
      <c r="Q55">
        <v>135</v>
      </c>
      <c r="R55">
        <v>122</v>
      </c>
      <c r="S55">
        <v>78440729.729729727</v>
      </c>
      <c r="T55">
        <v>77713495.495495483</v>
      </c>
      <c r="U55">
        <v>38941441.441441439</v>
      </c>
      <c r="V55">
        <v>31707387.387387387</v>
      </c>
      <c r="W55">
        <v>4957</v>
      </c>
      <c r="X55">
        <v>4967</v>
      </c>
    </row>
    <row r="56" spans="1:24">
      <c r="A56" s="7" t="s">
        <v>127</v>
      </c>
      <c r="B56" s="16" t="s">
        <v>78</v>
      </c>
      <c r="C56">
        <v>35725831.854202926</v>
      </c>
      <c r="D56">
        <v>31487468.098522488</v>
      </c>
      <c r="E56">
        <v>13963.963963964999</v>
      </c>
      <c r="F56">
        <v>660360.36036036001</v>
      </c>
      <c r="G56">
        <v>14</v>
      </c>
      <c r="H56">
        <v>12</v>
      </c>
      <c r="I56">
        <v>3</v>
      </c>
      <c r="J56">
        <v>8</v>
      </c>
      <c r="K56">
        <v>1</v>
      </c>
      <c r="M56">
        <v>14</v>
      </c>
      <c r="N56">
        <v>16</v>
      </c>
      <c r="O56">
        <v>7824774.7747747749</v>
      </c>
      <c r="P56">
        <v>11966666.666666668</v>
      </c>
      <c r="Q56">
        <v>18</v>
      </c>
      <c r="R56">
        <v>32</v>
      </c>
      <c r="S56">
        <v>19412702.702702705</v>
      </c>
      <c r="T56">
        <v>18168738.738738742</v>
      </c>
      <c r="U56">
        <v>8551441.441441441</v>
      </c>
      <c r="V56">
        <v>11811441.441441439</v>
      </c>
      <c r="W56">
        <v>1215</v>
      </c>
      <c r="X56">
        <v>1185</v>
      </c>
    </row>
    <row r="57" spans="1:24">
      <c r="A57" s="7" t="s">
        <v>128</v>
      </c>
      <c r="B57" s="16" t="s">
        <v>78</v>
      </c>
      <c r="C57">
        <v>191486338.18834454</v>
      </c>
      <c r="D57">
        <v>180975050.90261337</v>
      </c>
      <c r="E57">
        <v>1217342.3423423429</v>
      </c>
      <c r="F57">
        <v>2054054.0540540579</v>
      </c>
      <c r="G57">
        <v>79</v>
      </c>
      <c r="H57">
        <v>133</v>
      </c>
      <c r="I57">
        <v>6</v>
      </c>
      <c r="J57">
        <v>11</v>
      </c>
      <c r="K57">
        <v>1</v>
      </c>
      <c r="M57">
        <v>89</v>
      </c>
      <c r="N57">
        <v>176</v>
      </c>
      <c r="O57">
        <v>20769369.369369369</v>
      </c>
      <c r="P57">
        <v>22936936.936936937</v>
      </c>
      <c r="Q57">
        <v>88</v>
      </c>
      <c r="R57">
        <v>112</v>
      </c>
      <c r="S57">
        <v>72884333.333333328</v>
      </c>
      <c r="T57">
        <v>71384450.45045045</v>
      </c>
      <c r="U57">
        <v>20994774.774774775</v>
      </c>
      <c r="V57">
        <v>21179279.27927928</v>
      </c>
      <c r="W57">
        <v>5814</v>
      </c>
      <c r="X57">
        <v>5836</v>
      </c>
    </row>
    <row r="58" spans="1:24">
      <c r="A58" s="7" t="s">
        <v>129</v>
      </c>
      <c r="B58" s="16" t="s">
        <v>85</v>
      </c>
      <c r="C58">
        <v>59027957.734116934</v>
      </c>
      <c r="D58">
        <v>53412233.653221399</v>
      </c>
      <c r="E58">
        <v>46846.846846847999</v>
      </c>
      <c r="F58">
        <v>168468.46846847</v>
      </c>
      <c r="G58">
        <v>19</v>
      </c>
      <c r="H58">
        <v>12</v>
      </c>
      <c r="I58">
        <v>4</v>
      </c>
      <c r="J58">
        <v>2</v>
      </c>
      <c r="M58">
        <v>19</v>
      </c>
      <c r="N58">
        <v>14</v>
      </c>
      <c r="O58">
        <v>33920720.720720723</v>
      </c>
      <c r="P58">
        <v>50437117.117117122</v>
      </c>
      <c r="Q58">
        <v>70</v>
      </c>
      <c r="R58">
        <v>36</v>
      </c>
      <c r="S58">
        <v>25575495.495495494</v>
      </c>
      <c r="T58">
        <v>25735927.927927926</v>
      </c>
      <c r="U58">
        <v>24663873.873873871</v>
      </c>
      <c r="V58">
        <v>34275495.495495498</v>
      </c>
      <c r="W58">
        <v>1123</v>
      </c>
      <c r="X58">
        <v>1284</v>
      </c>
    </row>
    <row r="59" spans="1:24">
      <c r="A59" s="7" t="s">
        <v>130</v>
      </c>
      <c r="B59" s="16" t="s">
        <v>89</v>
      </c>
      <c r="C59">
        <v>505637708.70133269</v>
      </c>
      <c r="D59">
        <v>495099520.47852439</v>
      </c>
      <c r="E59">
        <v>2158783.783783786</v>
      </c>
      <c r="F59">
        <v>3540990.9909909959</v>
      </c>
      <c r="G59">
        <v>65</v>
      </c>
      <c r="H59">
        <v>65</v>
      </c>
      <c r="I59">
        <v>10</v>
      </c>
      <c r="J59">
        <v>34</v>
      </c>
      <c r="M59">
        <v>73</v>
      </c>
      <c r="N59">
        <v>92</v>
      </c>
      <c r="O59">
        <v>29379279.27927928</v>
      </c>
      <c r="P59">
        <v>34182792.792792797</v>
      </c>
      <c r="Q59">
        <v>250</v>
      </c>
      <c r="R59">
        <v>389</v>
      </c>
      <c r="S59">
        <v>150490980.18018019</v>
      </c>
      <c r="T59">
        <v>156152971.17117116</v>
      </c>
      <c r="U59">
        <v>29801664.864864863</v>
      </c>
      <c r="V59">
        <v>31663827.027027026</v>
      </c>
      <c r="W59">
        <v>10636</v>
      </c>
      <c r="X59">
        <v>10818</v>
      </c>
    </row>
    <row r="60" spans="1:24">
      <c r="A60" s="7" t="s">
        <v>131</v>
      </c>
      <c r="B60" s="16" t="s">
        <v>132</v>
      </c>
      <c r="C60">
        <v>304315765.62243462</v>
      </c>
      <c r="D60">
        <v>269979326.49514377</v>
      </c>
      <c r="E60">
        <v>187387.38738738801</v>
      </c>
      <c r="F60">
        <v>1245045.0450450471</v>
      </c>
      <c r="G60">
        <v>123</v>
      </c>
      <c r="H60">
        <v>155</v>
      </c>
      <c r="I60">
        <v>5</v>
      </c>
      <c r="J60">
        <v>7</v>
      </c>
      <c r="K60">
        <v>1</v>
      </c>
      <c r="M60">
        <v>132</v>
      </c>
      <c r="N60">
        <v>169</v>
      </c>
      <c r="O60">
        <v>24831531.531531531</v>
      </c>
      <c r="P60">
        <v>28673873.873873875</v>
      </c>
      <c r="Q60">
        <v>27</v>
      </c>
      <c r="R60">
        <v>54</v>
      </c>
      <c r="S60">
        <v>93062909.909909904</v>
      </c>
      <c r="T60">
        <v>85408799.54954955</v>
      </c>
      <c r="U60">
        <v>20026396.396396399</v>
      </c>
      <c r="V60">
        <v>29023963.963963967</v>
      </c>
      <c r="W60">
        <v>7459</v>
      </c>
      <c r="X60">
        <v>7160</v>
      </c>
    </row>
    <row r="61" spans="1:24">
      <c r="A61" s="7" t="s">
        <v>133</v>
      </c>
      <c r="B61" s="16" t="s">
        <v>134</v>
      </c>
      <c r="C61">
        <v>47352764.283855163</v>
      </c>
      <c r="D61">
        <v>27990062.948378202</v>
      </c>
      <c r="G61">
        <v>14</v>
      </c>
      <c r="H61">
        <v>1</v>
      </c>
      <c r="M61">
        <v>17</v>
      </c>
      <c r="N61">
        <v>1</v>
      </c>
      <c r="S61">
        <v>5765126.1261261264</v>
      </c>
      <c r="T61">
        <v>5118322.5225225221</v>
      </c>
      <c r="W61">
        <v>2257</v>
      </c>
      <c r="X61">
        <v>2169</v>
      </c>
    </row>
    <row r="62" spans="1:24">
      <c r="A62" s="7" t="s">
        <v>135</v>
      </c>
      <c r="B62" s="16" t="s">
        <v>136</v>
      </c>
      <c r="C62">
        <v>247747677.99841273</v>
      </c>
      <c r="D62">
        <v>226974346.02274504</v>
      </c>
      <c r="E62">
        <v>461261.261261262</v>
      </c>
      <c r="F62">
        <v>917117.11711711995</v>
      </c>
      <c r="G62">
        <v>83</v>
      </c>
      <c r="H62">
        <v>65</v>
      </c>
      <c r="I62">
        <v>5</v>
      </c>
      <c r="J62">
        <v>4</v>
      </c>
      <c r="M62">
        <v>92</v>
      </c>
      <c r="N62">
        <v>71</v>
      </c>
      <c r="O62">
        <v>22452252.252252251</v>
      </c>
      <c r="P62">
        <v>20466666.666666668</v>
      </c>
      <c r="Q62">
        <v>6</v>
      </c>
      <c r="S62">
        <v>42328009.009009011</v>
      </c>
      <c r="T62">
        <v>34999846.846846849</v>
      </c>
      <c r="U62">
        <v>22828828.828828827</v>
      </c>
      <c r="V62">
        <v>16493783.783783784</v>
      </c>
      <c r="W62">
        <v>3546</v>
      </c>
      <c r="X62">
        <v>3541</v>
      </c>
    </row>
    <row r="63" spans="1:24">
      <c r="A63" s="7" t="s">
        <v>137</v>
      </c>
      <c r="B63" s="16" t="s">
        <v>89</v>
      </c>
      <c r="C63">
        <v>255983062.64747211</v>
      </c>
      <c r="D63">
        <v>241626526.34310466</v>
      </c>
      <c r="E63">
        <v>323648.648648653</v>
      </c>
      <c r="F63">
        <v>2997972.9729729812</v>
      </c>
      <c r="G63">
        <v>29</v>
      </c>
      <c r="H63">
        <v>47</v>
      </c>
      <c r="I63">
        <v>17</v>
      </c>
      <c r="J63">
        <v>29</v>
      </c>
      <c r="K63">
        <v>4</v>
      </c>
      <c r="M63">
        <v>88</v>
      </c>
      <c r="N63">
        <v>211</v>
      </c>
      <c r="O63">
        <v>33813603.603603601</v>
      </c>
      <c r="P63">
        <v>35664054.054054052</v>
      </c>
      <c r="Q63">
        <v>283</v>
      </c>
      <c r="R63">
        <v>311</v>
      </c>
      <c r="S63">
        <v>88512207.207207203</v>
      </c>
      <c r="T63">
        <v>87085232.432432428</v>
      </c>
      <c r="U63">
        <v>34505315.315315314</v>
      </c>
      <c r="V63">
        <v>29791801.801801808</v>
      </c>
      <c r="W63">
        <v>4909</v>
      </c>
      <c r="X63">
        <v>4875</v>
      </c>
    </row>
    <row r="64" spans="1:24">
      <c r="A64" s="7" t="s">
        <v>138</v>
      </c>
      <c r="B64" s="16" t="s">
        <v>78</v>
      </c>
      <c r="C64">
        <v>185901833.39118931</v>
      </c>
      <c r="D64">
        <v>176461178.5305784</v>
      </c>
      <c r="E64">
        <v>2949279.2792792791</v>
      </c>
      <c r="F64">
        <v>4787387.3873873902</v>
      </c>
      <c r="G64">
        <v>71</v>
      </c>
      <c r="H64">
        <v>80</v>
      </c>
      <c r="I64">
        <v>6</v>
      </c>
      <c r="J64">
        <v>16</v>
      </c>
      <c r="K64">
        <v>3</v>
      </c>
      <c r="M64">
        <v>83</v>
      </c>
      <c r="N64">
        <v>97</v>
      </c>
      <c r="O64">
        <v>22133963.963963959</v>
      </c>
      <c r="P64">
        <v>24481081.081081081</v>
      </c>
      <c r="Q64">
        <v>48</v>
      </c>
      <c r="R64">
        <v>96</v>
      </c>
      <c r="S64">
        <v>77177927.927927941</v>
      </c>
      <c r="T64">
        <v>77285380.630630627</v>
      </c>
      <c r="U64">
        <v>21149819.819819819</v>
      </c>
      <c r="V64">
        <v>22156666.666666668</v>
      </c>
      <c r="W64">
        <v>5247</v>
      </c>
      <c r="X64">
        <v>5157</v>
      </c>
    </row>
    <row r="65" spans="1:24">
      <c r="A65" s="7" t="s">
        <v>139</v>
      </c>
      <c r="B65" s="16" t="s">
        <v>140</v>
      </c>
      <c r="C65">
        <v>236943716.17929703</v>
      </c>
      <c r="D65">
        <v>245564026.63583091</v>
      </c>
      <c r="E65">
        <v>76702027.027027026</v>
      </c>
      <c r="F65">
        <v>57486486.486486487</v>
      </c>
      <c r="G65">
        <v>26</v>
      </c>
      <c r="H65">
        <v>21</v>
      </c>
      <c r="I65">
        <v>2</v>
      </c>
      <c r="J65">
        <v>3</v>
      </c>
      <c r="M65">
        <v>27</v>
      </c>
      <c r="N65">
        <v>22</v>
      </c>
      <c r="O65">
        <v>31788963.963963963</v>
      </c>
      <c r="P65">
        <v>24934279.27927928</v>
      </c>
      <c r="Q65">
        <v>199</v>
      </c>
      <c r="R65">
        <v>45</v>
      </c>
      <c r="S65">
        <v>40818108.108108111</v>
      </c>
      <c r="T65">
        <v>44603954.954954959</v>
      </c>
      <c r="U65">
        <v>26085495.495495494</v>
      </c>
      <c r="V65">
        <v>18951441.441441439</v>
      </c>
      <c r="W65">
        <v>4529</v>
      </c>
      <c r="X65">
        <v>4794</v>
      </c>
    </row>
    <row r="66" spans="1:24">
      <c r="A66" s="7" t="s">
        <v>141</v>
      </c>
      <c r="B66" s="16" t="s">
        <v>62</v>
      </c>
      <c r="C66">
        <v>166929386.38546541</v>
      </c>
      <c r="D66">
        <v>163139850.33151656</v>
      </c>
      <c r="E66">
        <v>1411711.711711715</v>
      </c>
      <c r="F66">
        <v>3072862.1621621652</v>
      </c>
      <c r="G66">
        <v>57</v>
      </c>
      <c r="H66">
        <v>75</v>
      </c>
      <c r="I66">
        <v>9</v>
      </c>
      <c r="J66">
        <v>7</v>
      </c>
      <c r="M66">
        <v>69</v>
      </c>
      <c r="N66">
        <v>108</v>
      </c>
      <c r="O66">
        <v>96067657.657657668</v>
      </c>
      <c r="P66">
        <v>92278281.081081077</v>
      </c>
      <c r="Q66">
        <v>35</v>
      </c>
      <c r="R66">
        <v>62</v>
      </c>
      <c r="S66">
        <v>35894000</v>
      </c>
      <c r="T66">
        <v>36272909.909909911</v>
      </c>
      <c r="U66">
        <v>95408108.108108118</v>
      </c>
      <c r="V66">
        <v>93032432.432432428</v>
      </c>
      <c r="W66">
        <v>3974</v>
      </c>
      <c r="X66">
        <v>4687</v>
      </c>
    </row>
    <row r="67" spans="1:24">
      <c r="A67" s="7" t="s">
        <v>142</v>
      </c>
      <c r="B67" s="16" t="s">
        <v>143</v>
      </c>
      <c r="C67">
        <v>1921271.3633888899</v>
      </c>
      <c r="D67">
        <v>1644110.6286432371</v>
      </c>
      <c r="E67">
        <v>18018.018018018</v>
      </c>
      <c r="G67">
        <v>1</v>
      </c>
      <c r="H67">
        <v>1</v>
      </c>
      <c r="M67">
        <v>1</v>
      </c>
      <c r="N67">
        <v>1</v>
      </c>
      <c r="O67">
        <v>18018.018018018</v>
      </c>
      <c r="S67">
        <v>154954.954954955</v>
      </c>
      <c r="T67">
        <v>150090.09009009</v>
      </c>
      <c r="W67">
        <v>138</v>
      </c>
      <c r="X67">
        <v>116</v>
      </c>
    </row>
    <row r="68" spans="1:24">
      <c r="A68" s="7" t="s">
        <v>144</v>
      </c>
      <c r="B68" s="16" t="s">
        <v>140</v>
      </c>
      <c r="C68">
        <v>353544768.41039854</v>
      </c>
      <c r="D68">
        <v>350020682.83562905</v>
      </c>
      <c r="E68">
        <v>388108.10810811003</v>
      </c>
      <c r="F68">
        <v>1827477.4774774781</v>
      </c>
      <c r="G68">
        <v>66</v>
      </c>
      <c r="H68">
        <v>76</v>
      </c>
      <c r="I68">
        <v>9</v>
      </c>
      <c r="J68">
        <v>8</v>
      </c>
      <c r="K68">
        <v>2</v>
      </c>
      <c r="M68">
        <v>76</v>
      </c>
      <c r="N68">
        <v>98</v>
      </c>
      <c r="O68">
        <v>42019639.639639638</v>
      </c>
      <c r="P68">
        <v>38145405.40540541</v>
      </c>
      <c r="Q68">
        <v>193</v>
      </c>
      <c r="R68">
        <v>148</v>
      </c>
      <c r="S68">
        <v>65453108.108108111</v>
      </c>
      <c r="T68">
        <v>64976828.828828834</v>
      </c>
      <c r="U68">
        <v>37845405.40540541</v>
      </c>
      <c r="V68">
        <v>36393693.693693697</v>
      </c>
      <c r="W68">
        <v>7571</v>
      </c>
      <c r="X68">
        <v>7838</v>
      </c>
    </row>
    <row r="69" spans="1:24">
      <c r="A69" s="7" t="s">
        <v>145</v>
      </c>
      <c r="B69" s="16" t="s">
        <v>78</v>
      </c>
      <c r="C69">
        <v>247922032.27308783</v>
      </c>
      <c r="D69">
        <v>247682179.85818541</v>
      </c>
      <c r="E69">
        <v>1573693.693693694</v>
      </c>
      <c r="F69">
        <v>2904504.5045045051</v>
      </c>
      <c r="G69">
        <v>51</v>
      </c>
      <c r="H69">
        <v>82</v>
      </c>
      <c r="I69">
        <v>7</v>
      </c>
      <c r="J69">
        <v>5</v>
      </c>
      <c r="M69">
        <v>61</v>
      </c>
      <c r="N69">
        <v>93</v>
      </c>
      <c r="O69">
        <v>27744864.864864863</v>
      </c>
      <c r="P69">
        <v>22242342.342342343</v>
      </c>
      <c r="Q69">
        <v>82</v>
      </c>
      <c r="R69">
        <v>44</v>
      </c>
      <c r="S69">
        <v>67362477.477477476</v>
      </c>
      <c r="T69">
        <v>71755423.423423424</v>
      </c>
      <c r="U69">
        <v>27168828.828828827</v>
      </c>
      <c r="V69">
        <v>25635045.045045044</v>
      </c>
      <c r="W69">
        <v>6438</v>
      </c>
      <c r="X69">
        <v>6409</v>
      </c>
    </row>
    <row r="70" spans="1:24">
      <c r="A70" s="7" t="s">
        <v>146</v>
      </c>
      <c r="B70" s="16" t="s">
        <v>147</v>
      </c>
      <c r="C70">
        <v>177032199.11865166</v>
      </c>
      <c r="D70">
        <v>162054830.93345362</v>
      </c>
      <c r="E70">
        <v>90090.090090090001</v>
      </c>
      <c r="F70">
        <v>3131531.5315315342</v>
      </c>
      <c r="G70">
        <v>38</v>
      </c>
      <c r="H70">
        <v>32</v>
      </c>
      <c r="I70">
        <v>4</v>
      </c>
      <c r="J70">
        <v>2</v>
      </c>
      <c r="M70">
        <v>42</v>
      </c>
      <c r="N70">
        <v>39</v>
      </c>
      <c r="O70">
        <v>16908468.468468465</v>
      </c>
      <c r="P70">
        <v>46569002.702702701</v>
      </c>
      <c r="Q70">
        <v>63</v>
      </c>
      <c r="R70">
        <v>34</v>
      </c>
      <c r="S70">
        <v>47915801.801801801</v>
      </c>
      <c r="T70">
        <v>52992918.918918923</v>
      </c>
      <c r="U70">
        <v>17166666.666666664</v>
      </c>
      <c r="V70">
        <v>44777117.117117122</v>
      </c>
      <c r="W70">
        <v>3871</v>
      </c>
      <c r="X70">
        <v>3777</v>
      </c>
    </row>
    <row r="71" spans="1:24">
      <c r="A71" s="7" t="s">
        <v>148</v>
      </c>
      <c r="B71" s="16" t="s">
        <v>94</v>
      </c>
      <c r="D71">
        <v>17.531949365999999</v>
      </c>
      <c r="X71">
        <v>9</v>
      </c>
    </row>
    <row r="72" spans="1:24">
      <c r="A72" s="7" t="s">
        <v>149</v>
      </c>
      <c r="B72" s="16" t="s">
        <v>50</v>
      </c>
      <c r="C72">
        <v>139627557.45868197</v>
      </c>
      <c r="D72">
        <v>143606128.64240873</v>
      </c>
      <c r="E72">
        <v>232432.43243243301</v>
      </c>
      <c r="F72">
        <v>289189.189189189</v>
      </c>
      <c r="G72">
        <v>31</v>
      </c>
      <c r="H72">
        <v>33</v>
      </c>
      <c r="I72">
        <v>6</v>
      </c>
      <c r="J72">
        <v>2</v>
      </c>
      <c r="M72">
        <v>38</v>
      </c>
      <c r="N72">
        <v>38</v>
      </c>
      <c r="O72">
        <v>15170630.630630633</v>
      </c>
      <c r="P72">
        <v>9086036.0360360369</v>
      </c>
      <c r="Q72">
        <v>16</v>
      </c>
      <c r="R72">
        <v>13</v>
      </c>
      <c r="S72">
        <v>63398333.333333336</v>
      </c>
      <c r="T72">
        <v>64530540.540540546</v>
      </c>
      <c r="U72">
        <v>15920360.36036036</v>
      </c>
      <c r="V72">
        <v>7883963.9639639622</v>
      </c>
      <c r="W72">
        <v>3527</v>
      </c>
      <c r="X72">
        <v>3487</v>
      </c>
    </row>
    <row r="73" spans="1:24">
      <c r="A73" s="7" t="s">
        <v>150</v>
      </c>
      <c r="B73" s="16" t="s">
        <v>151</v>
      </c>
      <c r="C73">
        <v>43389372.207258999</v>
      </c>
      <c r="D73">
        <v>44896151.651639633</v>
      </c>
      <c r="E73">
        <v>213135992.7927928</v>
      </c>
      <c r="F73">
        <v>570968909.009009</v>
      </c>
      <c r="G73">
        <v>12</v>
      </c>
      <c r="H73">
        <v>9</v>
      </c>
      <c r="I73">
        <v>9</v>
      </c>
      <c r="J73">
        <v>1</v>
      </c>
      <c r="M73">
        <v>14</v>
      </c>
      <c r="N73">
        <v>10</v>
      </c>
      <c r="O73">
        <v>87281891.891891882</v>
      </c>
      <c r="P73">
        <v>77909909.909909904</v>
      </c>
      <c r="Q73">
        <v>27</v>
      </c>
      <c r="R73">
        <v>17</v>
      </c>
      <c r="S73">
        <v>10389144.144144144</v>
      </c>
      <c r="T73">
        <v>12141882.882882884</v>
      </c>
      <c r="U73">
        <v>42494234.234234229</v>
      </c>
      <c r="V73">
        <v>17635045.045045044</v>
      </c>
      <c r="W73">
        <v>673</v>
      </c>
      <c r="X73">
        <v>714</v>
      </c>
    </row>
    <row r="74" spans="1:24">
      <c r="A74" s="7" t="s">
        <v>152</v>
      </c>
      <c r="B74" s="16" t="s">
        <v>151</v>
      </c>
      <c r="C74">
        <v>434583283.43977255</v>
      </c>
      <c r="D74">
        <v>432431354.04952627</v>
      </c>
      <c r="E74">
        <v>1362162.1621621631</v>
      </c>
      <c r="F74">
        <v>7787612.6126126163</v>
      </c>
      <c r="G74">
        <v>161</v>
      </c>
      <c r="H74">
        <v>256</v>
      </c>
      <c r="I74">
        <v>28</v>
      </c>
      <c r="J74">
        <v>22</v>
      </c>
      <c r="M74">
        <v>178</v>
      </c>
      <c r="N74">
        <v>280</v>
      </c>
      <c r="O74">
        <v>512965225.22522521</v>
      </c>
      <c r="P74">
        <v>285671693.6936937</v>
      </c>
      <c r="Q74">
        <v>173</v>
      </c>
      <c r="R74">
        <v>207</v>
      </c>
      <c r="S74">
        <v>149276475.67567569</v>
      </c>
      <c r="T74">
        <v>153181972.97297296</v>
      </c>
      <c r="U74">
        <v>453397246.84684682</v>
      </c>
      <c r="V74">
        <v>235872421.62162164</v>
      </c>
      <c r="W74">
        <v>8092</v>
      </c>
      <c r="X74">
        <v>7983</v>
      </c>
    </row>
    <row r="75" spans="1:24">
      <c r="A75" s="7" t="s">
        <v>153</v>
      </c>
      <c r="B75" s="16" t="s">
        <v>154</v>
      </c>
      <c r="C75">
        <v>394457979.52785385</v>
      </c>
      <c r="D75">
        <v>370316709.14009488</v>
      </c>
      <c r="E75">
        <v>20743243.243243244</v>
      </c>
      <c r="F75">
        <v>128280855.85585585</v>
      </c>
      <c r="G75">
        <v>32</v>
      </c>
      <c r="H75">
        <v>55</v>
      </c>
      <c r="I75">
        <v>1</v>
      </c>
      <c r="J75">
        <v>1</v>
      </c>
      <c r="M75">
        <v>76</v>
      </c>
      <c r="N75">
        <v>63</v>
      </c>
      <c r="O75">
        <v>57930540.540540546</v>
      </c>
      <c r="P75">
        <v>53464864.864864863</v>
      </c>
      <c r="Q75">
        <v>55</v>
      </c>
      <c r="R75">
        <v>88</v>
      </c>
      <c r="S75">
        <v>170320133.33333334</v>
      </c>
      <c r="T75">
        <v>154236009.00900903</v>
      </c>
      <c r="U75">
        <v>46737567.567567565</v>
      </c>
      <c r="V75">
        <v>44219549.54954955</v>
      </c>
      <c r="W75">
        <v>7266</v>
      </c>
      <c r="X75">
        <v>7168</v>
      </c>
    </row>
    <row r="76" spans="1:24">
      <c r="A76" s="7" t="s">
        <v>155</v>
      </c>
      <c r="B76" s="16" t="s">
        <v>154</v>
      </c>
      <c r="C76">
        <v>58535142.532274611</v>
      </c>
      <c r="D76">
        <v>42701151.091584675</v>
      </c>
      <c r="E76">
        <v>136854686.48648649</v>
      </c>
      <c r="F76">
        <v>90917436.036036029</v>
      </c>
      <c r="G76">
        <v>16</v>
      </c>
      <c r="H76">
        <v>10</v>
      </c>
      <c r="I76">
        <v>3</v>
      </c>
      <c r="J76">
        <v>2</v>
      </c>
      <c r="M76">
        <v>19</v>
      </c>
      <c r="N76">
        <v>12</v>
      </c>
      <c r="O76">
        <v>14883783.783783784</v>
      </c>
      <c r="P76">
        <v>22954054.054054055</v>
      </c>
      <c r="Q76">
        <v>1</v>
      </c>
      <c r="R76">
        <v>33</v>
      </c>
      <c r="S76">
        <v>15923963.963963963</v>
      </c>
      <c r="T76">
        <v>10754810.810810812</v>
      </c>
      <c r="U76">
        <v>647747.74774774804</v>
      </c>
      <c r="V76">
        <v>3980090.0900900899</v>
      </c>
      <c r="W76">
        <v>2027</v>
      </c>
      <c r="X76">
        <v>1453</v>
      </c>
    </row>
    <row r="77" spans="1:24">
      <c r="A77" s="7" t="s">
        <v>156</v>
      </c>
      <c r="B77" s="16" t="s">
        <v>154</v>
      </c>
      <c r="C77">
        <v>515050504.30641496</v>
      </c>
      <c r="D77">
        <v>415312427.02929252</v>
      </c>
      <c r="E77">
        <v>4771171.1711711697</v>
      </c>
      <c r="F77">
        <v>4092117.11711712</v>
      </c>
      <c r="G77">
        <v>94</v>
      </c>
      <c r="H77">
        <v>31</v>
      </c>
      <c r="I77">
        <v>10</v>
      </c>
      <c r="J77">
        <v>8</v>
      </c>
      <c r="M77">
        <v>200</v>
      </c>
      <c r="N77">
        <v>130</v>
      </c>
      <c r="O77">
        <v>94470567.567567572</v>
      </c>
      <c r="P77">
        <v>80009459.459459454</v>
      </c>
      <c r="Q77">
        <v>38</v>
      </c>
      <c r="R77">
        <v>183</v>
      </c>
      <c r="S77">
        <v>195435214.41441441</v>
      </c>
      <c r="T77">
        <v>162323063.06306309</v>
      </c>
      <c r="U77">
        <v>91954504.504504517</v>
      </c>
      <c r="V77">
        <v>88114324.324324325</v>
      </c>
      <c r="W77">
        <v>7895</v>
      </c>
      <c r="X77">
        <v>8413</v>
      </c>
    </row>
    <row r="78" spans="1:24">
      <c r="A78" s="7" t="s">
        <v>157</v>
      </c>
      <c r="B78" s="16" t="s">
        <v>134</v>
      </c>
      <c r="C78">
        <v>197461306.13827729</v>
      </c>
      <c r="D78">
        <v>195372970.23878571</v>
      </c>
      <c r="E78">
        <v>463063.06306306401</v>
      </c>
      <c r="F78">
        <v>791891.89189189498</v>
      </c>
      <c r="G78">
        <v>46</v>
      </c>
      <c r="H78">
        <v>37</v>
      </c>
      <c r="I78">
        <v>12</v>
      </c>
      <c r="J78">
        <v>6</v>
      </c>
      <c r="K78">
        <v>1</v>
      </c>
      <c r="M78">
        <v>50</v>
      </c>
      <c r="N78">
        <v>43</v>
      </c>
      <c r="O78">
        <v>21526126.126126129</v>
      </c>
      <c r="P78">
        <v>22539647.747747749</v>
      </c>
      <c r="Q78">
        <v>139</v>
      </c>
      <c r="R78">
        <v>107</v>
      </c>
      <c r="S78">
        <v>17173468.468468469</v>
      </c>
      <c r="T78">
        <v>19791855.855855856</v>
      </c>
      <c r="U78">
        <v>8456396.3963963967</v>
      </c>
      <c r="V78">
        <v>8585225.2252252251</v>
      </c>
      <c r="W78">
        <v>4548</v>
      </c>
      <c r="X78">
        <v>4484</v>
      </c>
    </row>
    <row r="79" spans="1:24">
      <c r="A79" s="7" t="s">
        <v>1</v>
      </c>
      <c r="B79" s="16" t="s">
        <v>158</v>
      </c>
      <c r="C79">
        <v>349026423.6224159</v>
      </c>
      <c r="D79">
        <v>349229899.23312777</v>
      </c>
      <c r="E79">
        <v>566216.21621621703</v>
      </c>
      <c r="F79">
        <v>2499099.099099102</v>
      </c>
      <c r="G79">
        <v>257</v>
      </c>
      <c r="H79">
        <v>93</v>
      </c>
      <c r="I79">
        <v>21</v>
      </c>
      <c r="J79">
        <v>12</v>
      </c>
      <c r="K79">
        <v>2</v>
      </c>
      <c r="M79">
        <v>579</v>
      </c>
      <c r="N79">
        <v>358</v>
      </c>
      <c r="O79">
        <v>33702432.432432435</v>
      </c>
      <c r="P79">
        <v>41212702.702702701</v>
      </c>
      <c r="Q79">
        <v>161</v>
      </c>
      <c r="R79">
        <v>140</v>
      </c>
      <c r="S79">
        <v>164156304.5045045</v>
      </c>
      <c r="T79">
        <v>165862117.11711711</v>
      </c>
      <c r="U79">
        <v>35588738.738738738</v>
      </c>
      <c r="V79">
        <v>39026036.036036037</v>
      </c>
      <c r="W79">
        <v>8441</v>
      </c>
      <c r="X79">
        <v>8535</v>
      </c>
    </row>
    <row r="80" spans="1:24">
      <c r="A80" s="7" t="s">
        <v>159</v>
      </c>
      <c r="B80" s="16" t="s">
        <v>121</v>
      </c>
      <c r="C80">
        <v>15354220.975475268</v>
      </c>
      <c r="D80">
        <v>13076879.535685576</v>
      </c>
      <c r="G80">
        <v>20</v>
      </c>
      <c r="H80">
        <v>5</v>
      </c>
      <c r="M80">
        <v>20</v>
      </c>
      <c r="N80">
        <v>6</v>
      </c>
      <c r="O80">
        <v>972972.97297297302</v>
      </c>
      <c r="Q80">
        <v>8</v>
      </c>
      <c r="S80">
        <v>1681396.396396396</v>
      </c>
      <c r="T80">
        <v>1184729.7297297299</v>
      </c>
      <c r="U80">
        <v>348468.468468468</v>
      </c>
      <c r="V80">
        <v>29729.729729729999</v>
      </c>
      <c r="W80">
        <v>614</v>
      </c>
      <c r="X80">
        <v>502</v>
      </c>
    </row>
    <row r="81" spans="1:24">
      <c r="A81" s="7" t="s">
        <v>160</v>
      </c>
      <c r="B81" s="16" t="s">
        <v>161</v>
      </c>
      <c r="C81">
        <v>179867313.14084113</v>
      </c>
      <c r="D81">
        <v>184705286.29314941</v>
      </c>
      <c r="E81">
        <v>38306351.351351358</v>
      </c>
      <c r="F81">
        <v>70535135.135135144</v>
      </c>
      <c r="G81">
        <v>89</v>
      </c>
      <c r="H81">
        <v>143</v>
      </c>
      <c r="I81">
        <v>34</v>
      </c>
      <c r="J81">
        <v>37</v>
      </c>
      <c r="M81">
        <v>160</v>
      </c>
      <c r="N81">
        <v>218</v>
      </c>
      <c r="O81">
        <v>49972754.954954952</v>
      </c>
      <c r="P81">
        <v>53754710.810810819</v>
      </c>
      <c r="Q81">
        <v>177</v>
      </c>
      <c r="R81">
        <v>215</v>
      </c>
      <c r="S81">
        <v>76581846.846846849</v>
      </c>
      <c r="T81">
        <v>81622468.468468457</v>
      </c>
      <c r="U81">
        <v>52267747.747747742</v>
      </c>
      <c r="V81">
        <v>53072162.16216217</v>
      </c>
      <c r="W81">
        <v>5971</v>
      </c>
      <c r="X81">
        <v>5955</v>
      </c>
    </row>
    <row r="82" spans="1:24">
      <c r="A82" s="7" t="s">
        <v>162</v>
      </c>
      <c r="B82" s="16" t="s">
        <v>76</v>
      </c>
      <c r="C82">
        <v>84737149.322683692</v>
      </c>
      <c r="D82">
        <v>82895423.447449371</v>
      </c>
      <c r="E82">
        <v>191891.89189189201</v>
      </c>
      <c r="F82">
        <v>353153.15315315401</v>
      </c>
      <c r="G82">
        <v>18</v>
      </c>
      <c r="H82">
        <v>39</v>
      </c>
      <c r="I82">
        <v>1</v>
      </c>
      <c r="J82">
        <v>1</v>
      </c>
      <c r="M82">
        <v>20</v>
      </c>
      <c r="N82">
        <v>42</v>
      </c>
      <c r="O82">
        <v>1286486.4864864859</v>
      </c>
      <c r="P82">
        <v>1497297.297297297</v>
      </c>
      <c r="Q82">
        <v>10</v>
      </c>
      <c r="R82">
        <v>9</v>
      </c>
      <c r="S82">
        <v>4966216.2162162159</v>
      </c>
      <c r="T82">
        <v>4610765.7657657657</v>
      </c>
      <c r="U82">
        <v>1323603.6036036031</v>
      </c>
      <c r="V82">
        <v>1240630.630630631</v>
      </c>
      <c r="W82">
        <v>1015</v>
      </c>
      <c r="X82">
        <v>973</v>
      </c>
    </row>
    <row r="83" spans="1:24">
      <c r="A83" s="7" t="s">
        <v>163</v>
      </c>
      <c r="B83" s="16" t="s">
        <v>52</v>
      </c>
      <c r="C83">
        <v>64253698.117216453</v>
      </c>
      <c r="D83">
        <v>64174596.684121609</v>
      </c>
      <c r="E83">
        <v>808783.78378378402</v>
      </c>
      <c r="F83">
        <v>908108.10810810805</v>
      </c>
      <c r="G83">
        <v>9</v>
      </c>
      <c r="H83">
        <v>26</v>
      </c>
      <c r="I83">
        <v>1</v>
      </c>
      <c r="J83">
        <v>2</v>
      </c>
      <c r="M83">
        <v>11</v>
      </c>
      <c r="N83">
        <v>28</v>
      </c>
      <c r="O83">
        <v>1731531.5315315321</v>
      </c>
      <c r="P83">
        <v>1151351.351351351</v>
      </c>
      <c r="Q83">
        <v>1</v>
      </c>
      <c r="R83">
        <v>16</v>
      </c>
      <c r="S83">
        <v>31539729.729729727</v>
      </c>
      <c r="T83">
        <v>31335765.765765764</v>
      </c>
      <c r="U83">
        <v>1475585.5855855851</v>
      </c>
      <c r="V83">
        <v>1331891.8918918921</v>
      </c>
      <c r="W83">
        <v>1481</v>
      </c>
      <c r="X83">
        <v>1591</v>
      </c>
    </row>
    <row r="84" spans="1:24">
      <c r="A84" s="7" t="s">
        <v>164</v>
      </c>
      <c r="B84" s="16" t="s">
        <v>87</v>
      </c>
      <c r="C84">
        <v>55392528.587462798</v>
      </c>
      <c r="D84">
        <v>33306651.177633729</v>
      </c>
      <c r="E84">
        <v>48648.648648649003</v>
      </c>
      <c r="F84">
        <v>54054.054054054002</v>
      </c>
      <c r="G84">
        <v>84</v>
      </c>
      <c r="H84">
        <v>9</v>
      </c>
      <c r="I84">
        <v>1</v>
      </c>
      <c r="J84">
        <v>1</v>
      </c>
      <c r="M84">
        <v>89</v>
      </c>
      <c r="N84">
        <v>11</v>
      </c>
      <c r="O84">
        <v>1913513.5135135129</v>
      </c>
      <c r="P84">
        <v>264864.86486486398</v>
      </c>
      <c r="Q84">
        <v>32</v>
      </c>
      <c r="R84">
        <v>9</v>
      </c>
      <c r="S84">
        <v>5634234.2342342343</v>
      </c>
      <c r="T84">
        <v>3026036.036036036</v>
      </c>
      <c r="U84">
        <v>2334594.594594595</v>
      </c>
      <c r="V84">
        <v>258918.918918918</v>
      </c>
      <c r="W84">
        <v>1242</v>
      </c>
      <c r="X84">
        <v>1158</v>
      </c>
    </row>
    <row r="85" spans="1:24">
      <c r="A85" s="7" t="s">
        <v>165</v>
      </c>
      <c r="B85" s="16" t="s">
        <v>143</v>
      </c>
      <c r="C85">
        <v>10036635.891399669</v>
      </c>
      <c r="D85">
        <v>11280446.9559194</v>
      </c>
      <c r="E85">
        <v>287387.38738738699</v>
      </c>
      <c r="F85">
        <v>121621.62162162201</v>
      </c>
      <c r="G85">
        <v>6</v>
      </c>
      <c r="H85">
        <v>10</v>
      </c>
      <c r="I85">
        <v>3</v>
      </c>
      <c r="J85">
        <v>2</v>
      </c>
      <c r="M85">
        <v>8</v>
      </c>
      <c r="N85">
        <v>10</v>
      </c>
      <c r="O85">
        <v>3098198.1981981979</v>
      </c>
      <c r="P85">
        <v>1445945.945945946</v>
      </c>
      <c r="Q85">
        <v>25</v>
      </c>
      <c r="R85">
        <v>11</v>
      </c>
      <c r="S85">
        <v>1534594.594594595</v>
      </c>
      <c r="T85">
        <v>1392990.990990991</v>
      </c>
      <c r="U85">
        <v>2001891.8918918909</v>
      </c>
      <c r="V85">
        <v>673333.33333333302</v>
      </c>
      <c r="W85">
        <v>324</v>
      </c>
      <c r="X85">
        <v>345</v>
      </c>
    </row>
    <row r="86" spans="1:24">
      <c r="A86" s="7" t="s">
        <v>673</v>
      </c>
      <c r="B86" s="16" t="s">
        <v>143</v>
      </c>
      <c r="F86">
        <v>36846846.846846849</v>
      </c>
      <c r="O86">
        <v>530630.630630631</v>
      </c>
      <c r="P86">
        <v>864864.86486486497</v>
      </c>
    </row>
    <row r="87" spans="1:24">
      <c r="A87" s="7" t="s">
        <v>166</v>
      </c>
      <c r="B87" s="16" t="s">
        <v>167</v>
      </c>
      <c r="C87">
        <v>42479328.644710243</v>
      </c>
      <c r="D87">
        <v>45759664.068164118</v>
      </c>
      <c r="E87">
        <v>13513.513513514001</v>
      </c>
      <c r="F87">
        <v>657657.65765765798</v>
      </c>
      <c r="G87">
        <v>24</v>
      </c>
      <c r="H87">
        <v>11</v>
      </c>
      <c r="I87">
        <v>3</v>
      </c>
      <c r="J87">
        <v>2</v>
      </c>
      <c r="M87">
        <v>26</v>
      </c>
      <c r="N87">
        <v>11</v>
      </c>
      <c r="O87">
        <v>4333863.0630630646</v>
      </c>
      <c r="P87">
        <v>4493243.2432432426</v>
      </c>
      <c r="R87">
        <v>32</v>
      </c>
      <c r="S87">
        <v>20145045.045045044</v>
      </c>
      <c r="T87">
        <v>22187169.369369369</v>
      </c>
      <c r="U87">
        <v>4550990.9909909926</v>
      </c>
      <c r="V87">
        <v>4064774.774774774</v>
      </c>
      <c r="W87">
        <v>1418</v>
      </c>
      <c r="X87">
        <v>1388</v>
      </c>
    </row>
    <row r="88" spans="1:24">
      <c r="A88" s="7" t="s">
        <v>168</v>
      </c>
      <c r="B88" s="16" t="s">
        <v>169</v>
      </c>
      <c r="C88">
        <v>204120173.45487919</v>
      </c>
      <c r="D88">
        <v>210985028.03034157</v>
      </c>
      <c r="E88">
        <v>656306.30630630604</v>
      </c>
      <c r="F88">
        <v>1444144.144144146</v>
      </c>
      <c r="G88">
        <v>50</v>
      </c>
      <c r="H88">
        <v>43</v>
      </c>
      <c r="I88">
        <v>5</v>
      </c>
      <c r="J88">
        <v>3</v>
      </c>
      <c r="K88">
        <v>1</v>
      </c>
      <c r="M88">
        <v>61</v>
      </c>
      <c r="N88">
        <v>49</v>
      </c>
      <c r="O88">
        <v>26485135.135135137</v>
      </c>
      <c r="P88">
        <v>33624573.873873875</v>
      </c>
      <c r="Q88">
        <v>125</v>
      </c>
      <c r="R88">
        <v>28</v>
      </c>
      <c r="S88">
        <v>56949666.666666664</v>
      </c>
      <c r="T88">
        <v>65972425.675675683</v>
      </c>
      <c r="U88">
        <v>25181891.891891893</v>
      </c>
      <c r="V88">
        <v>34779459.459459454</v>
      </c>
      <c r="W88">
        <v>6332</v>
      </c>
      <c r="X88">
        <v>7083</v>
      </c>
    </row>
    <row r="89" spans="1:24">
      <c r="A89" s="7" t="s">
        <v>170</v>
      </c>
      <c r="B89" s="16" t="s">
        <v>54</v>
      </c>
      <c r="C89">
        <v>31005110.779358242</v>
      </c>
      <c r="D89">
        <v>31067493.35052361</v>
      </c>
      <c r="E89">
        <v>43243.243243243996</v>
      </c>
      <c r="F89">
        <v>381081.08108108101</v>
      </c>
      <c r="G89">
        <v>3</v>
      </c>
      <c r="H89">
        <v>2</v>
      </c>
      <c r="I89">
        <v>1</v>
      </c>
      <c r="J89">
        <v>1</v>
      </c>
      <c r="M89">
        <v>5</v>
      </c>
      <c r="N89">
        <v>3</v>
      </c>
      <c r="O89">
        <v>4795495.4954954963</v>
      </c>
      <c r="P89">
        <v>2680630.630630631</v>
      </c>
      <c r="Q89">
        <v>15</v>
      </c>
      <c r="R89">
        <v>6</v>
      </c>
      <c r="S89">
        <v>4936576.5765765766</v>
      </c>
      <c r="T89">
        <v>4996801.8018018017</v>
      </c>
      <c r="U89">
        <v>4485495.4954954954</v>
      </c>
      <c r="V89">
        <v>3123873.8738738731</v>
      </c>
      <c r="W89">
        <v>640</v>
      </c>
      <c r="X89">
        <v>689</v>
      </c>
    </row>
    <row r="90" spans="1:24">
      <c r="A90" s="7" t="s">
        <v>171</v>
      </c>
      <c r="B90" s="16" t="s">
        <v>60</v>
      </c>
      <c r="C90">
        <v>673643879.28047967</v>
      </c>
      <c r="D90">
        <v>652892052.36102068</v>
      </c>
      <c r="E90">
        <v>4059684.6846846859</v>
      </c>
      <c r="F90">
        <v>7587387.3873873902</v>
      </c>
      <c r="G90">
        <v>144</v>
      </c>
      <c r="H90">
        <v>172</v>
      </c>
      <c r="I90">
        <v>24</v>
      </c>
      <c r="J90">
        <v>35</v>
      </c>
      <c r="M90">
        <v>154</v>
      </c>
      <c r="N90">
        <v>198</v>
      </c>
      <c r="O90">
        <v>38163963.963963971</v>
      </c>
      <c r="P90">
        <v>31601801.801801804</v>
      </c>
      <c r="Q90">
        <v>271</v>
      </c>
      <c r="R90">
        <v>153</v>
      </c>
      <c r="S90">
        <v>231601238.73873875</v>
      </c>
      <c r="T90">
        <v>240653756.75675678</v>
      </c>
      <c r="U90">
        <v>39244234.234234229</v>
      </c>
      <c r="V90">
        <v>31084414.414414413</v>
      </c>
      <c r="W90">
        <v>12024</v>
      </c>
      <c r="X90">
        <v>12001</v>
      </c>
    </row>
    <row r="91" spans="1:24">
      <c r="A91" s="7" t="s">
        <v>172</v>
      </c>
      <c r="B91" s="16" t="s">
        <v>121</v>
      </c>
      <c r="C91">
        <v>279455496.83385599</v>
      </c>
      <c r="D91">
        <v>268262790.61182481</v>
      </c>
      <c r="E91">
        <v>1167567.5675675699</v>
      </c>
      <c r="F91">
        <v>1664864.8648648669</v>
      </c>
      <c r="G91">
        <v>185</v>
      </c>
      <c r="H91">
        <v>110</v>
      </c>
      <c r="I91">
        <v>16</v>
      </c>
      <c r="J91">
        <v>13</v>
      </c>
      <c r="M91">
        <v>200</v>
      </c>
      <c r="N91">
        <v>119</v>
      </c>
      <c r="O91">
        <v>20546846.846846845</v>
      </c>
      <c r="P91">
        <v>18527027.027027026</v>
      </c>
      <c r="Q91">
        <v>183</v>
      </c>
      <c r="R91">
        <v>79</v>
      </c>
      <c r="S91">
        <v>39395450.45045045</v>
      </c>
      <c r="T91">
        <v>37434087.837837838</v>
      </c>
      <c r="U91">
        <v>16038288.288288288</v>
      </c>
      <c r="V91">
        <v>12222522.52252252</v>
      </c>
      <c r="W91">
        <v>5969</v>
      </c>
      <c r="X91">
        <v>5750</v>
      </c>
    </row>
    <row r="92" spans="1:24">
      <c r="A92" s="7" t="s">
        <v>173</v>
      </c>
      <c r="B92" s="16" t="s">
        <v>174</v>
      </c>
      <c r="C92">
        <v>202546317.02177113</v>
      </c>
      <c r="D92">
        <v>193618366.16005152</v>
      </c>
      <c r="E92">
        <v>13284909.909909911</v>
      </c>
      <c r="F92">
        <v>20998873.873873871</v>
      </c>
      <c r="G92">
        <v>63</v>
      </c>
      <c r="H92">
        <v>92</v>
      </c>
      <c r="I92">
        <v>16</v>
      </c>
      <c r="J92">
        <v>13</v>
      </c>
      <c r="K92">
        <v>5</v>
      </c>
      <c r="M92">
        <v>74</v>
      </c>
      <c r="N92">
        <v>150</v>
      </c>
      <c r="O92">
        <v>27276981.981981982</v>
      </c>
      <c r="P92">
        <v>26113963.963963959</v>
      </c>
      <c r="Q92">
        <v>389</v>
      </c>
      <c r="R92">
        <v>355</v>
      </c>
      <c r="S92">
        <v>24178441.441441439</v>
      </c>
      <c r="T92">
        <v>23785360.360360362</v>
      </c>
      <c r="U92">
        <v>21332162.162162159</v>
      </c>
      <c r="V92">
        <v>25539639.639639638</v>
      </c>
      <c r="W92">
        <v>4555</v>
      </c>
      <c r="X92">
        <v>4496</v>
      </c>
    </row>
    <row r="93" spans="1:24">
      <c r="A93" s="7" t="s">
        <v>175</v>
      </c>
      <c r="B93" s="16" t="s">
        <v>174</v>
      </c>
      <c r="C93">
        <v>306330863.24260646</v>
      </c>
      <c r="D93">
        <v>303631620.56915331</v>
      </c>
      <c r="E93">
        <v>887387.38738739304</v>
      </c>
      <c r="F93">
        <v>1863738.738738741</v>
      </c>
      <c r="G93">
        <v>127</v>
      </c>
      <c r="H93">
        <v>139</v>
      </c>
      <c r="I93">
        <v>29</v>
      </c>
      <c r="J93">
        <v>14</v>
      </c>
      <c r="K93">
        <v>1</v>
      </c>
      <c r="M93">
        <v>153</v>
      </c>
      <c r="N93">
        <v>173</v>
      </c>
      <c r="O93">
        <v>49180495.495495498</v>
      </c>
      <c r="P93">
        <v>37009009.009009011</v>
      </c>
      <c r="Q93">
        <v>391</v>
      </c>
      <c r="R93">
        <v>177</v>
      </c>
      <c r="S93">
        <v>54457409.009009011</v>
      </c>
      <c r="T93">
        <v>51105504.504504502</v>
      </c>
      <c r="U93">
        <v>44802969.369369365</v>
      </c>
      <c r="V93">
        <v>31315585.585585583</v>
      </c>
      <c r="W93">
        <v>8535</v>
      </c>
      <c r="X93">
        <v>8450</v>
      </c>
    </row>
    <row r="94" spans="1:24">
      <c r="A94" s="7" t="s">
        <v>176</v>
      </c>
      <c r="B94" s="16" t="s">
        <v>174</v>
      </c>
      <c r="C94">
        <v>414372890.14869756</v>
      </c>
      <c r="D94">
        <v>412099087.30950093</v>
      </c>
      <c r="E94">
        <v>118680251.35135137</v>
      </c>
      <c r="F94">
        <v>100308215.31531532</v>
      </c>
      <c r="G94">
        <v>218</v>
      </c>
      <c r="H94">
        <v>205</v>
      </c>
      <c r="I94">
        <v>20</v>
      </c>
      <c r="J94">
        <v>17</v>
      </c>
      <c r="K94">
        <v>4</v>
      </c>
      <c r="M94">
        <v>283</v>
      </c>
      <c r="N94">
        <v>255</v>
      </c>
      <c r="O94">
        <v>65579736.936936937</v>
      </c>
      <c r="P94">
        <v>53120720.720720723</v>
      </c>
      <c r="Q94">
        <v>371</v>
      </c>
      <c r="R94">
        <v>85</v>
      </c>
      <c r="S94">
        <v>70014472.972972974</v>
      </c>
      <c r="T94">
        <v>62526743.243243247</v>
      </c>
      <c r="U94">
        <v>39461891.891891897</v>
      </c>
      <c r="V94">
        <v>33407927.927927926</v>
      </c>
      <c r="W94">
        <v>11555</v>
      </c>
      <c r="X94">
        <v>11969</v>
      </c>
    </row>
    <row r="95" spans="1:24">
      <c r="A95" s="7" t="s">
        <v>177</v>
      </c>
      <c r="B95" s="16" t="s">
        <v>178</v>
      </c>
      <c r="C95">
        <v>149544671.94064236</v>
      </c>
      <c r="D95">
        <v>139238728.89041269</v>
      </c>
      <c r="E95">
        <v>541441.441441442</v>
      </c>
      <c r="F95">
        <v>440540.540540541</v>
      </c>
      <c r="G95">
        <v>52</v>
      </c>
      <c r="H95">
        <v>24</v>
      </c>
      <c r="I95">
        <v>0</v>
      </c>
      <c r="J95">
        <v>4</v>
      </c>
      <c r="M95">
        <v>62</v>
      </c>
      <c r="N95">
        <v>31</v>
      </c>
      <c r="O95">
        <v>6184770.2702702694</v>
      </c>
      <c r="P95">
        <v>9556981.9819819815</v>
      </c>
      <c r="Q95">
        <v>6</v>
      </c>
      <c r="R95">
        <v>12</v>
      </c>
      <c r="S95">
        <v>50952072.072072074</v>
      </c>
      <c r="T95">
        <v>57226926.126126125</v>
      </c>
      <c r="U95">
        <v>4661171.1711711716</v>
      </c>
      <c r="V95">
        <v>9079864.8648648635</v>
      </c>
      <c r="W95">
        <v>3622</v>
      </c>
      <c r="X95">
        <v>3552</v>
      </c>
    </row>
    <row r="96" spans="1:24">
      <c r="A96" s="7" t="s">
        <v>179</v>
      </c>
      <c r="B96" s="16" t="s">
        <v>167</v>
      </c>
      <c r="C96">
        <v>187737666.48331338</v>
      </c>
      <c r="D96">
        <v>163184396.31804538</v>
      </c>
      <c r="E96">
        <v>621621.62162162305</v>
      </c>
      <c r="F96">
        <v>1774549.5495495501</v>
      </c>
      <c r="G96">
        <v>77</v>
      </c>
      <c r="H96">
        <v>28</v>
      </c>
      <c r="I96">
        <v>1</v>
      </c>
      <c r="J96">
        <v>3</v>
      </c>
      <c r="M96">
        <v>86</v>
      </c>
      <c r="N96">
        <v>45</v>
      </c>
      <c r="O96">
        <v>6526036.0360360369</v>
      </c>
      <c r="P96">
        <v>4220720.7207207223</v>
      </c>
      <c r="Q96">
        <v>43</v>
      </c>
      <c r="S96">
        <v>45984234.234234229</v>
      </c>
      <c r="T96">
        <v>41565279.279279277</v>
      </c>
      <c r="U96">
        <v>7848558.5585585609</v>
      </c>
      <c r="V96">
        <v>2434054.0540540572</v>
      </c>
      <c r="W96">
        <v>4817</v>
      </c>
      <c r="X96">
        <v>4427</v>
      </c>
    </row>
    <row r="97" spans="1:24">
      <c r="A97" s="7" t="s">
        <v>180</v>
      </c>
      <c r="B97" s="16" t="s">
        <v>181</v>
      </c>
      <c r="C97">
        <v>141504771.03980562</v>
      </c>
      <c r="D97">
        <v>132849987.8543579</v>
      </c>
      <c r="E97">
        <v>5405.4054054059998</v>
      </c>
      <c r="F97">
        <v>310810.81081081199</v>
      </c>
      <c r="G97">
        <v>19</v>
      </c>
      <c r="H97">
        <v>22</v>
      </c>
      <c r="I97">
        <v>1</v>
      </c>
      <c r="J97">
        <v>1</v>
      </c>
      <c r="M97">
        <v>21</v>
      </c>
      <c r="N97">
        <v>25</v>
      </c>
      <c r="O97">
        <v>8533783.7837837841</v>
      </c>
      <c r="P97">
        <v>7720540.5405405369</v>
      </c>
      <c r="Q97">
        <v>43</v>
      </c>
      <c r="R97">
        <v>54</v>
      </c>
      <c r="S97">
        <v>29555405.40540541</v>
      </c>
      <c r="T97">
        <v>33493831.081081081</v>
      </c>
      <c r="U97">
        <v>10615315.315315314</v>
      </c>
      <c r="V97">
        <v>8494414.4144144095</v>
      </c>
      <c r="W97">
        <v>3055</v>
      </c>
      <c r="X97">
        <v>3035</v>
      </c>
    </row>
    <row r="98" spans="1:24">
      <c r="A98" s="7" t="s">
        <v>674</v>
      </c>
      <c r="B98" s="16" t="s">
        <v>68</v>
      </c>
      <c r="X98">
        <v>1</v>
      </c>
    </row>
    <row r="99" spans="1:24">
      <c r="A99" s="7" t="s">
        <v>182</v>
      </c>
      <c r="B99" s="16" t="s">
        <v>94</v>
      </c>
      <c r="C99">
        <v>122673478.99424748</v>
      </c>
      <c r="D99">
        <v>130345150.54991385</v>
      </c>
      <c r="E99">
        <v>141441.44144144101</v>
      </c>
      <c r="F99">
        <v>40540.540540540998</v>
      </c>
      <c r="G99">
        <v>53</v>
      </c>
      <c r="H99">
        <v>38</v>
      </c>
      <c r="I99">
        <v>0</v>
      </c>
      <c r="J99">
        <v>0</v>
      </c>
      <c r="K99">
        <v>1</v>
      </c>
      <c r="M99">
        <v>64</v>
      </c>
      <c r="N99">
        <v>51</v>
      </c>
      <c r="O99">
        <v>141441.44144144101</v>
      </c>
      <c r="P99">
        <v>4463963.9639639631</v>
      </c>
      <c r="R99">
        <v>17</v>
      </c>
      <c r="S99">
        <v>11259684.684684685</v>
      </c>
      <c r="T99">
        <v>14319990.990990993</v>
      </c>
      <c r="U99">
        <v>992882.88288288296</v>
      </c>
      <c r="V99">
        <v>1590000</v>
      </c>
      <c r="W99">
        <v>3818</v>
      </c>
      <c r="X99">
        <v>3714</v>
      </c>
    </row>
    <row r="100" spans="1:24">
      <c r="A100" s="7" t="s">
        <v>183</v>
      </c>
      <c r="B100" s="16" t="s">
        <v>94</v>
      </c>
      <c r="C100">
        <v>842373556.8621186</v>
      </c>
      <c r="D100">
        <v>796388187.71851861</v>
      </c>
      <c r="E100">
        <v>544574212.61261261</v>
      </c>
      <c r="F100">
        <v>962408359.45945942</v>
      </c>
      <c r="G100">
        <v>195</v>
      </c>
      <c r="H100">
        <v>160</v>
      </c>
      <c r="I100">
        <v>28</v>
      </c>
      <c r="J100">
        <v>23</v>
      </c>
      <c r="K100">
        <v>2</v>
      </c>
      <c r="M100">
        <v>225</v>
      </c>
      <c r="N100">
        <v>198</v>
      </c>
      <c r="O100">
        <v>44172522.522522517</v>
      </c>
      <c r="P100">
        <v>53318468.468468465</v>
      </c>
      <c r="Q100">
        <v>120</v>
      </c>
      <c r="R100">
        <v>523</v>
      </c>
      <c r="S100">
        <v>96403400.9009009</v>
      </c>
      <c r="T100">
        <v>98191132.882882878</v>
      </c>
      <c r="U100">
        <v>39420180.180180177</v>
      </c>
      <c r="V100">
        <v>44294234.234234229</v>
      </c>
      <c r="W100">
        <v>16291</v>
      </c>
      <c r="X100">
        <v>15907</v>
      </c>
    </row>
    <row r="101" spans="1:24">
      <c r="A101" s="7" t="s">
        <v>184</v>
      </c>
      <c r="B101" s="16" t="s">
        <v>89</v>
      </c>
      <c r="C101">
        <v>75087088.055576622</v>
      </c>
      <c r="D101">
        <v>71573401.673559606</v>
      </c>
      <c r="E101">
        <v>66722972.972972974</v>
      </c>
      <c r="F101">
        <v>135087162.16216215</v>
      </c>
      <c r="G101">
        <v>13</v>
      </c>
      <c r="H101">
        <v>18</v>
      </c>
      <c r="I101">
        <v>2</v>
      </c>
      <c r="J101">
        <v>5</v>
      </c>
      <c r="M101">
        <v>15</v>
      </c>
      <c r="N101">
        <v>18</v>
      </c>
      <c r="O101">
        <v>3419369.369369369</v>
      </c>
      <c r="P101">
        <v>3869729.7297297302</v>
      </c>
      <c r="Q101">
        <v>25</v>
      </c>
      <c r="R101">
        <v>45</v>
      </c>
      <c r="S101">
        <v>23684594.594594598</v>
      </c>
      <c r="T101">
        <v>24178720.72072072</v>
      </c>
      <c r="U101">
        <v>2708288.2882882892</v>
      </c>
      <c r="V101">
        <v>3372252.2522522528</v>
      </c>
      <c r="W101">
        <v>1768</v>
      </c>
      <c r="X101">
        <v>1585</v>
      </c>
    </row>
    <row r="102" spans="1:24">
      <c r="A102" s="7" t="s">
        <v>185</v>
      </c>
      <c r="B102" s="16" t="s">
        <v>60</v>
      </c>
      <c r="C102">
        <v>41168784.407209389</v>
      </c>
      <c r="D102">
        <v>42902608.040779054</v>
      </c>
      <c r="E102">
        <v>360360.36036036001</v>
      </c>
      <c r="F102">
        <v>259459.45945946101</v>
      </c>
      <c r="G102">
        <v>5</v>
      </c>
      <c r="H102">
        <v>11</v>
      </c>
      <c r="I102">
        <v>1</v>
      </c>
      <c r="J102">
        <v>3</v>
      </c>
      <c r="M102">
        <v>6</v>
      </c>
      <c r="N102">
        <v>11</v>
      </c>
      <c r="O102">
        <v>2756306.3063063058</v>
      </c>
      <c r="P102">
        <v>1250450.450450452</v>
      </c>
      <c r="Q102">
        <v>13</v>
      </c>
      <c r="S102">
        <v>15077882.882882884</v>
      </c>
      <c r="T102">
        <v>14847497.747747747</v>
      </c>
      <c r="U102">
        <v>2234234.2342342339</v>
      </c>
      <c r="V102">
        <v>892342.34234234295</v>
      </c>
      <c r="W102">
        <v>822</v>
      </c>
      <c r="X102">
        <v>799</v>
      </c>
    </row>
    <row r="103" spans="1:24">
      <c r="A103" s="7" t="s">
        <v>186</v>
      </c>
      <c r="B103" s="16" t="s">
        <v>167</v>
      </c>
      <c r="C103">
        <v>100329717.2160687</v>
      </c>
      <c r="D103">
        <v>107662289.93408974</v>
      </c>
      <c r="E103">
        <v>7207.207207208</v>
      </c>
      <c r="F103">
        <v>1630405.4054054059</v>
      </c>
      <c r="G103">
        <v>20</v>
      </c>
      <c r="H103">
        <v>4</v>
      </c>
      <c r="I103">
        <v>2</v>
      </c>
      <c r="J103">
        <v>5</v>
      </c>
      <c r="M103">
        <v>27</v>
      </c>
      <c r="N103">
        <v>5</v>
      </c>
      <c r="O103">
        <v>268468.468468468</v>
      </c>
      <c r="P103">
        <v>1671171.1711711721</v>
      </c>
      <c r="S103">
        <v>24877252.252252251</v>
      </c>
      <c r="T103">
        <v>28759351.351351351</v>
      </c>
      <c r="U103">
        <v>396396.39639639598</v>
      </c>
      <c r="V103">
        <v>268828.82882882899</v>
      </c>
      <c r="W103">
        <v>2780</v>
      </c>
      <c r="X103">
        <v>2605</v>
      </c>
    </row>
    <row r="104" spans="1:24">
      <c r="A104" s="7" t="s">
        <v>187</v>
      </c>
      <c r="B104" s="16" t="s">
        <v>167</v>
      </c>
      <c r="C104">
        <v>301592755.12095588</v>
      </c>
      <c r="D104">
        <v>282945913.47478533</v>
      </c>
      <c r="E104">
        <v>21621.621621622999</v>
      </c>
      <c r="F104">
        <v>501801.80180180498</v>
      </c>
      <c r="G104">
        <v>92</v>
      </c>
      <c r="H104">
        <v>31</v>
      </c>
      <c r="I104">
        <v>3</v>
      </c>
      <c r="J104">
        <v>7</v>
      </c>
      <c r="M104">
        <v>103</v>
      </c>
      <c r="N104">
        <v>34</v>
      </c>
      <c r="O104">
        <v>8012612.6126126153</v>
      </c>
      <c r="P104">
        <v>10961743.243243244</v>
      </c>
      <c r="Q104">
        <v>30</v>
      </c>
      <c r="R104">
        <v>15</v>
      </c>
      <c r="S104">
        <v>60320279.279279277</v>
      </c>
      <c r="T104">
        <v>57531045.045045041</v>
      </c>
      <c r="U104">
        <v>8098198.1981981955</v>
      </c>
      <c r="V104">
        <v>9123423.4234234281</v>
      </c>
      <c r="W104">
        <v>5855</v>
      </c>
      <c r="X104">
        <v>5945</v>
      </c>
    </row>
    <row r="105" spans="1:24">
      <c r="A105" s="7" t="s">
        <v>188</v>
      </c>
      <c r="B105" s="16" t="s">
        <v>189</v>
      </c>
      <c r="C105">
        <v>132648057.89279562</v>
      </c>
      <c r="D105">
        <v>125606946.15631437</v>
      </c>
      <c r="E105">
        <v>631531.53153153195</v>
      </c>
      <c r="F105">
        <v>270270.27027027</v>
      </c>
      <c r="G105">
        <v>19</v>
      </c>
      <c r="H105">
        <v>22</v>
      </c>
      <c r="I105">
        <v>0</v>
      </c>
      <c r="M105">
        <v>23</v>
      </c>
      <c r="N105">
        <v>22</v>
      </c>
      <c r="O105">
        <v>2613513.5135135138</v>
      </c>
      <c r="P105">
        <v>1621621.621621622</v>
      </c>
      <c r="S105">
        <v>10265720.72072072</v>
      </c>
      <c r="T105">
        <v>9023774.7747747768</v>
      </c>
      <c r="U105">
        <v>2338738.7387387389</v>
      </c>
      <c r="V105">
        <v>1600000</v>
      </c>
      <c r="W105">
        <v>1707</v>
      </c>
      <c r="X105">
        <v>1735</v>
      </c>
    </row>
    <row r="106" spans="1:24">
      <c r="A106" s="7" t="s">
        <v>190</v>
      </c>
      <c r="B106" s="16" t="s">
        <v>134</v>
      </c>
      <c r="C106">
        <v>30377948.998551816</v>
      </c>
      <c r="D106">
        <v>30067473.880426787</v>
      </c>
      <c r="F106">
        <v>13513.513513514001</v>
      </c>
      <c r="G106">
        <v>15</v>
      </c>
      <c r="H106">
        <v>19</v>
      </c>
      <c r="J106">
        <v>0</v>
      </c>
      <c r="M106">
        <v>16</v>
      </c>
      <c r="N106">
        <v>20</v>
      </c>
      <c r="O106">
        <v>45045.045045045001</v>
      </c>
      <c r="P106">
        <v>13513.513513514001</v>
      </c>
      <c r="Q106">
        <v>5</v>
      </c>
      <c r="R106">
        <v>1</v>
      </c>
      <c r="S106">
        <v>3541801.8018018021</v>
      </c>
      <c r="T106">
        <v>2236171.1711711711</v>
      </c>
      <c r="U106">
        <v>45045.045045045001</v>
      </c>
      <c r="V106">
        <v>121621.62162162201</v>
      </c>
      <c r="W106">
        <v>1345</v>
      </c>
      <c r="X106">
        <v>958</v>
      </c>
    </row>
    <row r="107" spans="1:24">
      <c r="A107" s="7" t="s">
        <v>191</v>
      </c>
      <c r="B107" s="16" t="s">
        <v>60</v>
      </c>
      <c r="C107">
        <v>192146950.20518842</v>
      </c>
      <c r="D107">
        <v>179315511.09829631</v>
      </c>
      <c r="E107">
        <v>1330630.630630631</v>
      </c>
      <c r="F107">
        <v>1824099.0990991001</v>
      </c>
      <c r="G107">
        <v>45</v>
      </c>
      <c r="H107">
        <v>27</v>
      </c>
      <c r="I107">
        <v>3</v>
      </c>
      <c r="J107">
        <v>10</v>
      </c>
      <c r="M107">
        <v>63</v>
      </c>
      <c r="N107">
        <v>57</v>
      </c>
      <c r="O107">
        <v>12663963.963963963</v>
      </c>
      <c r="P107">
        <v>15644144.144144146</v>
      </c>
      <c r="Q107">
        <v>71</v>
      </c>
      <c r="R107">
        <v>101</v>
      </c>
      <c r="S107">
        <v>62909351.351351351</v>
      </c>
      <c r="T107">
        <v>58765783.783783786</v>
      </c>
      <c r="U107">
        <v>14154324.324324325</v>
      </c>
      <c r="V107">
        <v>14473693.693693694</v>
      </c>
      <c r="W107">
        <v>3986</v>
      </c>
      <c r="X107">
        <v>3885</v>
      </c>
    </row>
    <row r="108" spans="1:24">
      <c r="A108" s="7" t="s">
        <v>192</v>
      </c>
      <c r="B108" s="16" t="s">
        <v>60</v>
      </c>
      <c r="C108">
        <v>325375585.40123957</v>
      </c>
      <c r="D108">
        <v>308263008.24981451</v>
      </c>
      <c r="E108">
        <v>2351351.3513513519</v>
      </c>
      <c r="F108">
        <v>2599099.0990990992</v>
      </c>
      <c r="G108">
        <v>56</v>
      </c>
      <c r="H108">
        <v>28</v>
      </c>
      <c r="I108">
        <v>3</v>
      </c>
      <c r="J108">
        <v>9</v>
      </c>
      <c r="M108">
        <v>64</v>
      </c>
      <c r="N108">
        <v>36</v>
      </c>
      <c r="O108">
        <v>11968468.468468469</v>
      </c>
      <c r="P108">
        <v>18067567.567567568</v>
      </c>
      <c r="Q108">
        <v>56</v>
      </c>
      <c r="R108">
        <v>51</v>
      </c>
      <c r="S108">
        <v>74952702.702702701</v>
      </c>
      <c r="T108">
        <v>74166504.504504517</v>
      </c>
      <c r="U108">
        <v>12245045.045045044</v>
      </c>
      <c r="V108">
        <v>15465495.495495498</v>
      </c>
      <c r="W108">
        <v>6495</v>
      </c>
      <c r="X108">
        <v>6575</v>
      </c>
    </row>
    <row r="109" spans="1:24">
      <c r="A109" s="7" t="s">
        <v>2</v>
      </c>
      <c r="B109" s="16" t="s">
        <v>193</v>
      </c>
      <c r="C109">
        <v>42278534.250475556</v>
      </c>
      <c r="D109">
        <v>32956228.664062224</v>
      </c>
      <c r="E109">
        <v>57657.657657657001</v>
      </c>
      <c r="F109">
        <v>40540.540540542002</v>
      </c>
      <c r="G109">
        <v>8</v>
      </c>
      <c r="H109">
        <v>4</v>
      </c>
      <c r="I109">
        <v>3</v>
      </c>
      <c r="J109">
        <v>0</v>
      </c>
      <c r="M109">
        <v>10</v>
      </c>
      <c r="N109">
        <v>5</v>
      </c>
      <c r="O109">
        <v>324324.32432432403</v>
      </c>
      <c r="P109">
        <v>40540.540540542002</v>
      </c>
      <c r="Q109">
        <v>6</v>
      </c>
      <c r="S109">
        <v>22165495.495495494</v>
      </c>
      <c r="T109">
        <v>18337648.648648649</v>
      </c>
      <c r="U109">
        <v>266666.66666666698</v>
      </c>
      <c r="V109">
        <v>157657.65765765801</v>
      </c>
      <c r="W109">
        <v>960</v>
      </c>
      <c r="X109">
        <v>1040</v>
      </c>
    </row>
    <row r="110" spans="1:24">
      <c r="A110" s="7" t="s">
        <v>194</v>
      </c>
      <c r="B110" s="16" t="s">
        <v>195</v>
      </c>
      <c r="C110">
        <v>1084031273.428782</v>
      </c>
      <c r="D110">
        <v>1093704647.7207947</v>
      </c>
      <c r="E110">
        <v>31253828.82882883</v>
      </c>
      <c r="F110">
        <v>32676351.351351351</v>
      </c>
      <c r="G110">
        <v>278</v>
      </c>
      <c r="H110">
        <v>289</v>
      </c>
      <c r="I110">
        <v>4</v>
      </c>
      <c r="J110">
        <v>10</v>
      </c>
      <c r="M110">
        <v>312</v>
      </c>
      <c r="N110">
        <v>356</v>
      </c>
      <c r="O110">
        <v>45950000</v>
      </c>
      <c r="P110">
        <v>51532432.432432435</v>
      </c>
      <c r="Q110">
        <v>109</v>
      </c>
      <c r="R110">
        <v>195</v>
      </c>
      <c r="S110">
        <v>194960126.12612611</v>
      </c>
      <c r="T110">
        <v>212056765.76576576</v>
      </c>
      <c r="U110">
        <v>44673423.423423424</v>
      </c>
      <c r="V110">
        <v>44264864.864864863</v>
      </c>
      <c r="W110">
        <v>18424</v>
      </c>
      <c r="X110">
        <v>17510</v>
      </c>
    </row>
    <row r="111" spans="1:24">
      <c r="A111" s="7" t="s">
        <v>196</v>
      </c>
      <c r="B111" s="16" t="s">
        <v>80</v>
      </c>
      <c r="C111">
        <v>332293347.19485921</v>
      </c>
      <c r="D111">
        <v>333634190.19673473</v>
      </c>
      <c r="E111">
        <v>238738.738738741</v>
      </c>
      <c r="F111">
        <v>1640540.5405405399</v>
      </c>
      <c r="G111">
        <v>83</v>
      </c>
      <c r="H111">
        <v>73</v>
      </c>
      <c r="I111">
        <v>15</v>
      </c>
      <c r="J111">
        <v>11</v>
      </c>
      <c r="M111">
        <v>90</v>
      </c>
      <c r="N111">
        <v>84</v>
      </c>
      <c r="O111">
        <v>42530630.630630627</v>
      </c>
      <c r="P111">
        <v>42469369.369369365</v>
      </c>
      <c r="Q111">
        <v>139</v>
      </c>
      <c r="R111">
        <v>300</v>
      </c>
      <c r="S111">
        <v>88082421.621621609</v>
      </c>
      <c r="T111">
        <v>90568396.396396399</v>
      </c>
      <c r="U111">
        <v>42913016.216216214</v>
      </c>
      <c r="V111">
        <v>43354144.144144148</v>
      </c>
      <c r="W111">
        <v>6748</v>
      </c>
      <c r="X111">
        <v>6650</v>
      </c>
    </row>
    <row r="112" spans="1:24">
      <c r="A112" s="7" t="s">
        <v>197</v>
      </c>
      <c r="B112" s="16" t="s">
        <v>108</v>
      </c>
      <c r="C112">
        <v>258239332.09764704</v>
      </c>
      <c r="D112">
        <v>266754671.34810147</v>
      </c>
      <c r="E112">
        <v>1105675.6756756781</v>
      </c>
      <c r="F112">
        <v>2290090.090090089</v>
      </c>
      <c r="G112">
        <v>75</v>
      </c>
      <c r="H112">
        <v>91</v>
      </c>
      <c r="I112">
        <v>3</v>
      </c>
      <c r="J112">
        <v>6</v>
      </c>
      <c r="M112">
        <v>89</v>
      </c>
      <c r="N112">
        <v>106</v>
      </c>
      <c r="O112">
        <v>17612432.432432432</v>
      </c>
      <c r="P112">
        <v>14164864.864864862</v>
      </c>
      <c r="Q112">
        <v>174</v>
      </c>
      <c r="R112">
        <v>73</v>
      </c>
      <c r="S112">
        <v>75946711.711711705</v>
      </c>
      <c r="T112">
        <v>82315720.720720723</v>
      </c>
      <c r="U112">
        <v>17105945.945945945</v>
      </c>
      <c r="V112">
        <v>12896216.216216216</v>
      </c>
      <c r="W112">
        <v>7223</v>
      </c>
      <c r="X112">
        <v>6974</v>
      </c>
    </row>
    <row r="113" spans="1:24">
      <c r="A113" s="7" t="s">
        <v>198</v>
      </c>
      <c r="B113" s="16" t="s">
        <v>92</v>
      </c>
      <c r="C113">
        <v>147296002.96952036</v>
      </c>
      <c r="D113">
        <v>142556338.14243898</v>
      </c>
      <c r="E113">
        <v>3080360.3603603621</v>
      </c>
      <c r="F113">
        <v>4727927.9279279271</v>
      </c>
      <c r="G113">
        <v>29</v>
      </c>
      <c r="H113">
        <v>175</v>
      </c>
      <c r="I113">
        <v>7</v>
      </c>
      <c r="J113">
        <v>4</v>
      </c>
      <c r="M113">
        <v>29</v>
      </c>
      <c r="N113">
        <v>241</v>
      </c>
      <c r="O113">
        <v>18386306.306306306</v>
      </c>
      <c r="P113">
        <v>39242252.252252258</v>
      </c>
      <c r="Q113">
        <v>56</v>
      </c>
      <c r="R113">
        <v>147</v>
      </c>
      <c r="S113">
        <v>37599504.504504502</v>
      </c>
      <c r="T113">
        <v>39488243.24324324</v>
      </c>
      <c r="U113">
        <v>18746126.126126129</v>
      </c>
      <c r="V113">
        <v>38194954.954954959</v>
      </c>
      <c r="W113">
        <v>2731</v>
      </c>
      <c r="X113">
        <v>2774</v>
      </c>
    </row>
    <row r="114" spans="1:24">
      <c r="A114" s="7" t="s">
        <v>199</v>
      </c>
      <c r="B114" s="16" t="s">
        <v>123</v>
      </c>
      <c r="C114">
        <v>144209632.14865658</v>
      </c>
      <c r="D114">
        <v>133515936.94183059</v>
      </c>
      <c r="E114">
        <v>159454954.95495495</v>
      </c>
      <c r="F114">
        <v>156589909.90990993</v>
      </c>
      <c r="G114">
        <v>59</v>
      </c>
      <c r="H114">
        <v>42</v>
      </c>
      <c r="I114">
        <v>2</v>
      </c>
      <c r="J114">
        <v>2</v>
      </c>
      <c r="M114">
        <v>62</v>
      </c>
      <c r="N114">
        <v>46</v>
      </c>
      <c r="O114">
        <v>11531396.396396397</v>
      </c>
      <c r="P114">
        <v>4472837.8378378367</v>
      </c>
      <c r="Q114">
        <v>10</v>
      </c>
      <c r="R114">
        <v>6</v>
      </c>
      <c r="S114">
        <v>29741396.396396395</v>
      </c>
      <c r="T114">
        <v>25101036.036036037</v>
      </c>
      <c r="U114">
        <v>5745405.4054054059</v>
      </c>
      <c r="V114">
        <v>5371441.4414414419</v>
      </c>
      <c r="W114">
        <v>2553</v>
      </c>
      <c r="X114">
        <v>2593</v>
      </c>
    </row>
    <row r="115" spans="1:24">
      <c r="A115" s="7" t="s">
        <v>200</v>
      </c>
      <c r="B115" s="16" t="s">
        <v>60</v>
      </c>
      <c r="C115">
        <v>97226806.873676226</v>
      </c>
      <c r="D115">
        <v>95277780.490833342</v>
      </c>
      <c r="E115">
        <v>53153.153153154002</v>
      </c>
      <c r="F115">
        <v>1584684.6846846859</v>
      </c>
      <c r="G115">
        <v>24</v>
      </c>
      <c r="H115">
        <v>26</v>
      </c>
      <c r="I115">
        <v>2</v>
      </c>
      <c r="J115">
        <v>5</v>
      </c>
      <c r="M115">
        <v>32</v>
      </c>
      <c r="N115">
        <v>27</v>
      </c>
      <c r="O115">
        <v>12197297.297297295</v>
      </c>
      <c r="P115">
        <v>12809909.909909911</v>
      </c>
      <c r="Q115">
        <v>108</v>
      </c>
      <c r="R115">
        <v>95</v>
      </c>
      <c r="S115">
        <v>16176567.567567568</v>
      </c>
      <c r="T115">
        <v>18054608.108108107</v>
      </c>
      <c r="U115">
        <v>8435225.2252252232</v>
      </c>
      <c r="V115">
        <v>6874774.7747747749</v>
      </c>
      <c r="W115">
        <v>3391</v>
      </c>
      <c r="X115">
        <v>3584</v>
      </c>
    </row>
    <row r="116" spans="1:24">
      <c r="A116" s="7" t="s">
        <v>201</v>
      </c>
      <c r="B116" s="16" t="s">
        <v>60</v>
      </c>
      <c r="C116">
        <v>33310878.041312311</v>
      </c>
      <c r="D116">
        <v>31968787.308093481</v>
      </c>
      <c r="E116">
        <v>222702.70270270301</v>
      </c>
      <c r="F116">
        <v>217117.117117118</v>
      </c>
      <c r="G116">
        <v>10</v>
      </c>
      <c r="H116">
        <v>15</v>
      </c>
      <c r="I116">
        <v>2</v>
      </c>
      <c r="J116">
        <v>1</v>
      </c>
      <c r="M116">
        <v>10</v>
      </c>
      <c r="N116">
        <v>16</v>
      </c>
      <c r="O116">
        <v>2186666.666666667</v>
      </c>
      <c r="P116">
        <v>2190090.0900900899</v>
      </c>
      <c r="Q116">
        <v>26</v>
      </c>
      <c r="R116">
        <v>19</v>
      </c>
      <c r="S116">
        <v>6384594.5945945941</v>
      </c>
      <c r="T116">
        <v>5867189.1891891891</v>
      </c>
      <c r="U116">
        <v>1545045.045045045</v>
      </c>
      <c r="V116">
        <v>443243.24324324302</v>
      </c>
      <c r="W116">
        <v>1125</v>
      </c>
      <c r="X116">
        <v>1143</v>
      </c>
    </row>
    <row r="117" spans="1:24">
      <c r="A117" s="7" t="s">
        <v>202</v>
      </c>
      <c r="B117" s="16" t="s">
        <v>121</v>
      </c>
      <c r="C117">
        <v>66131851.88595181</v>
      </c>
      <c r="D117">
        <v>61154366.373136431</v>
      </c>
      <c r="E117">
        <v>123423.423423423</v>
      </c>
      <c r="F117">
        <v>513513.51351351402</v>
      </c>
      <c r="G117">
        <v>40</v>
      </c>
      <c r="H117">
        <v>34</v>
      </c>
      <c r="I117">
        <v>5</v>
      </c>
      <c r="J117">
        <v>6</v>
      </c>
      <c r="M117">
        <v>46</v>
      </c>
      <c r="N117">
        <v>39</v>
      </c>
      <c r="O117">
        <v>321621.62162162102</v>
      </c>
      <c r="P117">
        <v>5317588.2882882878</v>
      </c>
      <c r="Q117">
        <v>3</v>
      </c>
      <c r="R117">
        <v>100</v>
      </c>
      <c r="S117">
        <v>6020720.7207207214</v>
      </c>
      <c r="T117">
        <v>5998045.0450450452</v>
      </c>
      <c r="U117">
        <v>327657.65765765798</v>
      </c>
      <c r="V117">
        <v>1427477.4774774781</v>
      </c>
      <c r="W117">
        <v>1510</v>
      </c>
      <c r="X117">
        <v>1400</v>
      </c>
    </row>
    <row r="118" spans="1:24">
      <c r="A118" s="7" t="s">
        <v>675</v>
      </c>
      <c r="B118" s="16" t="s">
        <v>181</v>
      </c>
      <c r="O118">
        <v>864864.86486486497</v>
      </c>
      <c r="P118">
        <v>992792.79279279301</v>
      </c>
    </row>
    <row r="119" spans="1:24">
      <c r="A119" s="7" t="s">
        <v>203</v>
      </c>
      <c r="B119" s="16" t="s">
        <v>54</v>
      </c>
      <c r="C119">
        <v>103683861.76072891</v>
      </c>
      <c r="D119">
        <v>98133919.026562557</v>
      </c>
      <c r="E119">
        <v>592792.79279279301</v>
      </c>
      <c r="F119">
        <v>362162.162162163</v>
      </c>
      <c r="G119">
        <v>24</v>
      </c>
      <c r="H119">
        <v>23</v>
      </c>
      <c r="I119">
        <v>2</v>
      </c>
      <c r="J119">
        <v>4</v>
      </c>
      <c r="M119">
        <v>27</v>
      </c>
      <c r="N119">
        <v>24</v>
      </c>
      <c r="O119">
        <v>5538738.738738738</v>
      </c>
      <c r="P119">
        <v>5375675.6756756753</v>
      </c>
      <c r="Q119">
        <v>43</v>
      </c>
      <c r="R119">
        <v>40</v>
      </c>
      <c r="S119">
        <v>26458648.648648649</v>
      </c>
      <c r="T119">
        <v>25458594.594594598</v>
      </c>
      <c r="U119">
        <v>5655135.1351351347</v>
      </c>
      <c r="V119">
        <v>5203063.0630630646</v>
      </c>
      <c r="W119">
        <v>3789</v>
      </c>
      <c r="X119">
        <v>3858</v>
      </c>
    </row>
    <row r="120" spans="1:24">
      <c r="A120" s="7" t="s">
        <v>204</v>
      </c>
      <c r="B120" s="16" t="s">
        <v>136</v>
      </c>
      <c r="C120">
        <v>401083874.33686638</v>
      </c>
      <c r="D120">
        <v>356494912.41144532</v>
      </c>
      <c r="E120">
        <v>267117.11711711698</v>
      </c>
      <c r="F120">
        <v>592792.79279279395</v>
      </c>
      <c r="G120">
        <v>94</v>
      </c>
      <c r="H120">
        <v>50</v>
      </c>
      <c r="I120">
        <v>8</v>
      </c>
      <c r="J120">
        <v>9</v>
      </c>
      <c r="M120">
        <v>100</v>
      </c>
      <c r="N120">
        <v>58</v>
      </c>
      <c r="O120">
        <v>39506396.396396399</v>
      </c>
      <c r="P120">
        <v>30556756.756756756</v>
      </c>
      <c r="Q120">
        <v>77</v>
      </c>
      <c r="R120">
        <v>95</v>
      </c>
      <c r="S120">
        <v>65090495.495495498</v>
      </c>
      <c r="T120">
        <v>62902972.972972974</v>
      </c>
      <c r="U120">
        <v>34286846.846846849</v>
      </c>
      <c r="V120">
        <v>25727837.837837838</v>
      </c>
      <c r="W120">
        <v>5920</v>
      </c>
      <c r="X120">
        <v>5813</v>
      </c>
    </row>
    <row r="121" spans="1:24">
      <c r="A121" s="7" t="s">
        <v>205</v>
      </c>
      <c r="B121" s="16" t="s">
        <v>136</v>
      </c>
      <c r="C121">
        <v>188298572.13720295</v>
      </c>
      <c r="D121">
        <v>180029839.9005101</v>
      </c>
      <c r="E121">
        <v>39984684.684684686</v>
      </c>
      <c r="F121">
        <v>13372972.972972974</v>
      </c>
      <c r="G121">
        <v>51</v>
      </c>
      <c r="H121">
        <v>33</v>
      </c>
      <c r="I121">
        <v>5</v>
      </c>
      <c r="J121">
        <v>1</v>
      </c>
      <c r="M121">
        <v>57</v>
      </c>
      <c r="N121">
        <v>38</v>
      </c>
      <c r="O121">
        <v>10180180.180180181</v>
      </c>
      <c r="P121">
        <v>6242342.3423423423</v>
      </c>
      <c r="Q121">
        <v>50</v>
      </c>
      <c r="R121">
        <v>18</v>
      </c>
      <c r="S121">
        <v>33224594.594594598</v>
      </c>
      <c r="T121">
        <v>34001953.153153151</v>
      </c>
      <c r="U121">
        <v>6383243.2432432463</v>
      </c>
      <c r="V121">
        <v>3307657.6576576582</v>
      </c>
      <c r="W121">
        <v>3171</v>
      </c>
      <c r="X121">
        <v>3128</v>
      </c>
    </row>
    <row r="122" spans="1:24">
      <c r="A122" s="7" t="s">
        <v>206</v>
      </c>
      <c r="B122" s="16" t="s">
        <v>169</v>
      </c>
      <c r="C122">
        <v>410990267.7393226</v>
      </c>
      <c r="D122">
        <v>416948086.13434267</v>
      </c>
      <c r="E122">
        <v>340540.540540541</v>
      </c>
      <c r="F122">
        <v>1470270.2702702701</v>
      </c>
      <c r="G122">
        <v>52</v>
      </c>
      <c r="H122">
        <v>18</v>
      </c>
      <c r="I122">
        <v>0</v>
      </c>
      <c r="J122">
        <v>1</v>
      </c>
      <c r="M122">
        <v>53</v>
      </c>
      <c r="N122">
        <v>20</v>
      </c>
      <c r="O122">
        <v>2823089009.0090094</v>
      </c>
      <c r="P122">
        <v>2464081824.3243241</v>
      </c>
      <c r="Q122">
        <v>1506</v>
      </c>
      <c r="R122">
        <v>45</v>
      </c>
      <c r="S122">
        <v>193828594.5945946</v>
      </c>
      <c r="T122">
        <v>197460900.9009009</v>
      </c>
      <c r="U122">
        <v>1115749524.3243244</v>
      </c>
      <c r="V122">
        <v>637542335.13513505</v>
      </c>
      <c r="W122">
        <v>7433</v>
      </c>
      <c r="X122">
        <v>7578</v>
      </c>
    </row>
    <row r="123" spans="1:24">
      <c r="A123" s="7" t="s">
        <v>207</v>
      </c>
      <c r="B123" s="16" t="s">
        <v>161</v>
      </c>
      <c r="C123">
        <v>462108513.35837144</v>
      </c>
      <c r="D123">
        <v>461607128.56120515</v>
      </c>
      <c r="E123">
        <v>80959898.198198214</v>
      </c>
      <c r="F123">
        <v>65696478.378378384</v>
      </c>
      <c r="G123">
        <v>235</v>
      </c>
      <c r="H123">
        <v>327</v>
      </c>
      <c r="I123">
        <v>36</v>
      </c>
      <c r="J123">
        <v>32</v>
      </c>
      <c r="M123">
        <v>299</v>
      </c>
      <c r="N123">
        <v>524</v>
      </c>
      <c r="O123">
        <v>74737169.369369373</v>
      </c>
      <c r="P123">
        <v>65067378.378378384</v>
      </c>
      <c r="Q123">
        <v>186</v>
      </c>
      <c r="R123">
        <v>170</v>
      </c>
      <c r="S123">
        <v>134309306.3063063</v>
      </c>
      <c r="T123">
        <v>134473040.54054055</v>
      </c>
      <c r="U123">
        <v>68504677.477477476</v>
      </c>
      <c r="V123">
        <v>53544720.720720723</v>
      </c>
      <c r="W123">
        <v>12146</v>
      </c>
      <c r="X123">
        <v>11850</v>
      </c>
    </row>
    <row r="124" spans="1:24">
      <c r="A124" s="7" t="s">
        <v>208</v>
      </c>
      <c r="B124" s="16" t="s">
        <v>76</v>
      </c>
      <c r="C124">
        <v>19352428.310503963</v>
      </c>
      <c r="D124">
        <v>13828984.59554898</v>
      </c>
      <c r="G124">
        <v>4</v>
      </c>
      <c r="I124">
        <v>0</v>
      </c>
      <c r="J124">
        <v>0</v>
      </c>
      <c r="M124">
        <v>4</v>
      </c>
      <c r="S124">
        <v>885810.810810811</v>
      </c>
      <c r="T124">
        <v>1014909.9099099101</v>
      </c>
      <c r="W124">
        <v>510</v>
      </c>
      <c r="X124">
        <v>511</v>
      </c>
    </row>
    <row r="125" spans="1:24">
      <c r="A125" s="7" t="s">
        <v>209</v>
      </c>
      <c r="B125" s="16" t="s">
        <v>76</v>
      </c>
      <c r="C125">
        <v>222579759.05577236</v>
      </c>
      <c r="D125">
        <v>203958127.45863542</v>
      </c>
      <c r="E125">
        <v>252702727.92792794</v>
      </c>
      <c r="F125">
        <v>221198168.46846849</v>
      </c>
      <c r="G125">
        <v>73</v>
      </c>
      <c r="H125">
        <v>99</v>
      </c>
      <c r="I125">
        <v>6</v>
      </c>
      <c r="J125">
        <v>14</v>
      </c>
      <c r="K125">
        <v>5</v>
      </c>
      <c r="M125">
        <v>88</v>
      </c>
      <c r="N125">
        <v>173</v>
      </c>
      <c r="O125">
        <v>22400728.82882883</v>
      </c>
      <c r="P125">
        <v>23735495.495495487</v>
      </c>
      <c r="Q125">
        <v>199</v>
      </c>
      <c r="R125">
        <v>216</v>
      </c>
      <c r="S125">
        <v>30091333.333333332</v>
      </c>
      <c r="T125">
        <v>32040567.567567568</v>
      </c>
      <c r="U125">
        <v>23565585.585585587</v>
      </c>
      <c r="V125">
        <v>22291891.891891889</v>
      </c>
      <c r="W125">
        <v>6320</v>
      </c>
      <c r="X125">
        <v>4542</v>
      </c>
    </row>
    <row r="126" spans="1:24">
      <c r="A126" s="7" t="s">
        <v>210</v>
      </c>
      <c r="B126" s="16" t="s">
        <v>76</v>
      </c>
      <c r="C126">
        <v>266323248.8538146</v>
      </c>
      <c r="D126">
        <v>259130583.8106313</v>
      </c>
      <c r="E126">
        <v>1451576.5765765789</v>
      </c>
      <c r="F126">
        <v>3646846.8468468538</v>
      </c>
      <c r="G126">
        <v>129</v>
      </c>
      <c r="H126">
        <v>162</v>
      </c>
      <c r="I126">
        <v>20</v>
      </c>
      <c r="J126">
        <v>16</v>
      </c>
      <c r="K126">
        <v>7</v>
      </c>
      <c r="M126">
        <v>158</v>
      </c>
      <c r="N126">
        <v>243</v>
      </c>
      <c r="O126">
        <v>93099099.0990991</v>
      </c>
      <c r="P126">
        <v>93928648.648648649</v>
      </c>
      <c r="Q126">
        <v>153</v>
      </c>
      <c r="R126">
        <v>553</v>
      </c>
      <c r="S126">
        <v>80571536.93693693</v>
      </c>
      <c r="T126">
        <v>79661840.540540546</v>
      </c>
      <c r="U126">
        <v>66484861.261261262</v>
      </c>
      <c r="V126">
        <v>64234187.387387387</v>
      </c>
      <c r="W126">
        <v>6535</v>
      </c>
      <c r="X126">
        <v>6983</v>
      </c>
    </row>
    <row r="127" spans="1:24">
      <c r="A127" s="7" t="s">
        <v>211</v>
      </c>
      <c r="B127" s="16" t="s">
        <v>76</v>
      </c>
      <c r="C127">
        <v>180975515.2724562</v>
      </c>
      <c r="D127">
        <v>190264069.64921728</v>
      </c>
      <c r="E127">
        <v>1861936.9369369389</v>
      </c>
      <c r="F127">
        <v>2578153.1531531592</v>
      </c>
      <c r="G127">
        <v>75</v>
      </c>
      <c r="H127">
        <v>84</v>
      </c>
      <c r="I127">
        <v>10</v>
      </c>
      <c r="J127">
        <v>16</v>
      </c>
      <c r="M127">
        <v>89</v>
      </c>
      <c r="N127">
        <v>96</v>
      </c>
      <c r="O127">
        <v>16601351.351351352</v>
      </c>
      <c r="P127">
        <v>15945405.405405408</v>
      </c>
      <c r="Q127">
        <v>64</v>
      </c>
      <c r="R127">
        <v>21</v>
      </c>
      <c r="S127">
        <v>26003180.180180181</v>
      </c>
      <c r="T127">
        <v>29275461.711711712</v>
      </c>
      <c r="U127">
        <v>15841081.081081079</v>
      </c>
      <c r="V127">
        <v>14264864.864864863</v>
      </c>
      <c r="W127">
        <v>3961</v>
      </c>
      <c r="X127">
        <v>4002</v>
      </c>
    </row>
    <row r="128" spans="1:24">
      <c r="A128" s="7" t="s">
        <v>212</v>
      </c>
      <c r="B128" s="16" t="s">
        <v>76</v>
      </c>
      <c r="C128">
        <v>73007200.690179303</v>
      </c>
      <c r="D128">
        <v>69274558.252257764</v>
      </c>
      <c r="E128">
        <v>24774.774774775</v>
      </c>
      <c r="F128">
        <v>34234.234234233998</v>
      </c>
      <c r="G128">
        <v>19</v>
      </c>
      <c r="H128">
        <v>12</v>
      </c>
      <c r="I128">
        <v>1</v>
      </c>
      <c r="J128">
        <v>0</v>
      </c>
      <c r="M128">
        <v>20</v>
      </c>
      <c r="N128">
        <v>14</v>
      </c>
      <c r="O128">
        <v>1015765.765765766</v>
      </c>
      <c r="P128">
        <v>1509189.189189187</v>
      </c>
      <c r="Q128">
        <v>5</v>
      </c>
      <c r="R128">
        <v>5</v>
      </c>
      <c r="S128">
        <v>10400405.405405406</v>
      </c>
      <c r="T128">
        <v>10727306.306306304</v>
      </c>
      <c r="U128">
        <v>819549.54954955005</v>
      </c>
      <c r="V128">
        <v>1750270.2702702701</v>
      </c>
      <c r="W128">
        <v>1577</v>
      </c>
      <c r="X128">
        <v>2128</v>
      </c>
    </row>
    <row r="129" spans="1:24">
      <c r="A129" s="7" t="s">
        <v>213</v>
      </c>
      <c r="B129" s="16" t="s">
        <v>214</v>
      </c>
      <c r="C129">
        <v>87024682.75072971</v>
      </c>
      <c r="D129">
        <v>98379270.401811734</v>
      </c>
      <c r="E129">
        <v>213963.96396396399</v>
      </c>
      <c r="F129">
        <v>747747.74774774804</v>
      </c>
      <c r="G129">
        <v>18</v>
      </c>
      <c r="H129">
        <v>33</v>
      </c>
      <c r="I129">
        <v>4</v>
      </c>
      <c r="J129">
        <v>3</v>
      </c>
      <c r="M129">
        <v>20</v>
      </c>
      <c r="N129">
        <v>34</v>
      </c>
      <c r="O129">
        <v>12638468.468468472</v>
      </c>
      <c r="P129">
        <v>13441009.009009007</v>
      </c>
      <c r="Q129">
        <v>23</v>
      </c>
      <c r="R129">
        <v>46</v>
      </c>
      <c r="S129">
        <v>41507477.477477483</v>
      </c>
      <c r="T129">
        <v>44779135.135135137</v>
      </c>
      <c r="U129">
        <v>11312522.522522524</v>
      </c>
      <c r="V129">
        <v>11161711.711711712</v>
      </c>
      <c r="W129">
        <v>2266</v>
      </c>
      <c r="X129">
        <v>2296</v>
      </c>
    </row>
    <row r="130" spans="1:24">
      <c r="A130" s="7" t="s">
        <v>215</v>
      </c>
      <c r="B130" s="16" t="s">
        <v>167</v>
      </c>
      <c r="C130">
        <v>79054382.11072582</v>
      </c>
      <c r="D130">
        <v>107435336.52636588</v>
      </c>
      <c r="E130">
        <v>2035135.1351351361</v>
      </c>
      <c r="F130">
        <v>6617117.1171171181</v>
      </c>
      <c r="G130">
        <v>8</v>
      </c>
      <c r="H130">
        <v>7</v>
      </c>
      <c r="I130">
        <v>1</v>
      </c>
      <c r="J130">
        <v>3</v>
      </c>
      <c r="M130">
        <v>9</v>
      </c>
      <c r="N130">
        <v>7</v>
      </c>
      <c r="O130">
        <v>9002927.927927928</v>
      </c>
      <c r="P130">
        <v>1490990.990990991</v>
      </c>
      <c r="Q130">
        <v>309</v>
      </c>
      <c r="R130">
        <v>19</v>
      </c>
      <c r="S130">
        <v>14523828.828828828</v>
      </c>
      <c r="T130">
        <v>18769729.729729727</v>
      </c>
      <c r="U130">
        <v>9098648.6486486476</v>
      </c>
      <c r="V130">
        <v>81531.531531532004</v>
      </c>
      <c r="W130">
        <v>1871</v>
      </c>
      <c r="X130">
        <v>1835</v>
      </c>
    </row>
    <row r="131" spans="1:24">
      <c r="A131" s="7" t="s">
        <v>216</v>
      </c>
      <c r="B131" s="16" t="s">
        <v>85</v>
      </c>
      <c r="C131">
        <v>19403867.028717391</v>
      </c>
      <c r="D131">
        <v>24821586.907897156</v>
      </c>
      <c r="E131">
        <v>212101126.12612611</v>
      </c>
      <c r="F131">
        <v>136319819.81981984</v>
      </c>
      <c r="G131">
        <v>3</v>
      </c>
      <c r="H131">
        <v>9</v>
      </c>
      <c r="I131">
        <v>3</v>
      </c>
      <c r="J131">
        <v>2</v>
      </c>
      <c r="M131">
        <v>3</v>
      </c>
      <c r="N131">
        <v>11</v>
      </c>
      <c r="O131">
        <v>52568468.468468465</v>
      </c>
      <c r="P131">
        <v>29231531.531531531</v>
      </c>
      <c r="Q131">
        <v>49</v>
      </c>
      <c r="R131">
        <v>112</v>
      </c>
      <c r="S131">
        <v>5954315.3153153146</v>
      </c>
      <c r="T131">
        <v>7597144.1441441439</v>
      </c>
      <c r="U131">
        <v>35834954.954954959</v>
      </c>
      <c r="V131">
        <v>20632162.162162159</v>
      </c>
      <c r="W131">
        <v>619</v>
      </c>
      <c r="X131">
        <v>624</v>
      </c>
    </row>
    <row r="132" spans="1:24">
      <c r="A132" s="7" t="s">
        <v>217</v>
      </c>
      <c r="B132" s="16" t="s">
        <v>85</v>
      </c>
      <c r="C132">
        <v>99295804.930542365</v>
      </c>
      <c r="D132">
        <v>95194639.894600689</v>
      </c>
      <c r="E132">
        <v>319186676.57657659</v>
      </c>
      <c r="F132">
        <v>167234475.67567569</v>
      </c>
      <c r="G132">
        <v>50</v>
      </c>
      <c r="H132">
        <v>34</v>
      </c>
      <c r="I132">
        <v>5</v>
      </c>
      <c r="J132">
        <v>4</v>
      </c>
      <c r="M132">
        <v>61</v>
      </c>
      <c r="N132">
        <v>37</v>
      </c>
      <c r="O132">
        <v>22177477.477477476</v>
      </c>
      <c r="P132">
        <v>56792522.522522531</v>
      </c>
      <c r="Q132">
        <v>52</v>
      </c>
      <c r="R132">
        <v>28</v>
      </c>
      <c r="S132">
        <v>17674189.189189188</v>
      </c>
      <c r="T132">
        <v>18305846.846846849</v>
      </c>
      <c r="U132">
        <v>17862522.522522524</v>
      </c>
      <c r="V132">
        <v>24058828.828828827</v>
      </c>
      <c r="W132">
        <v>2427</v>
      </c>
      <c r="X132">
        <v>2352</v>
      </c>
    </row>
    <row r="133" spans="1:24">
      <c r="A133" s="7" t="s">
        <v>218</v>
      </c>
      <c r="B133" s="16" t="s">
        <v>147</v>
      </c>
      <c r="C133">
        <v>96859833.165702775</v>
      </c>
      <c r="D133">
        <v>92526944.196563974</v>
      </c>
      <c r="E133">
        <v>573873.87387387501</v>
      </c>
      <c r="F133">
        <v>5779279.2792792777</v>
      </c>
      <c r="G133">
        <v>31</v>
      </c>
      <c r="H133">
        <v>67</v>
      </c>
      <c r="I133">
        <v>1</v>
      </c>
      <c r="J133">
        <v>9</v>
      </c>
      <c r="M133">
        <v>33</v>
      </c>
      <c r="N133">
        <v>84</v>
      </c>
      <c r="O133">
        <v>4416756.7567567527</v>
      </c>
      <c r="P133">
        <v>49024981.081081077</v>
      </c>
      <c r="Q133">
        <v>43</v>
      </c>
      <c r="R133">
        <v>292</v>
      </c>
      <c r="S133">
        <v>25710162.162162162</v>
      </c>
      <c r="T133">
        <v>30751459.459459461</v>
      </c>
      <c r="U133">
        <v>6204324.3243243201</v>
      </c>
      <c r="V133">
        <v>50877297.297297299</v>
      </c>
      <c r="W133">
        <v>2532</v>
      </c>
      <c r="X133">
        <v>2477</v>
      </c>
    </row>
    <row r="134" spans="1:24">
      <c r="A134" s="7" t="s">
        <v>219</v>
      </c>
      <c r="B134" s="16" t="s">
        <v>220</v>
      </c>
      <c r="C134">
        <v>188429311.83026779</v>
      </c>
      <c r="D134">
        <v>183128566.08900949</v>
      </c>
      <c r="E134">
        <v>482316120.72072071</v>
      </c>
      <c r="F134">
        <v>426825715.31531531</v>
      </c>
      <c r="G134">
        <v>76</v>
      </c>
      <c r="H134">
        <v>61</v>
      </c>
      <c r="I134">
        <v>6</v>
      </c>
      <c r="J134">
        <v>9</v>
      </c>
      <c r="M134">
        <v>92</v>
      </c>
      <c r="N134">
        <v>74</v>
      </c>
      <c r="O134">
        <v>244015231.53153151</v>
      </c>
      <c r="P134">
        <v>168915861.26126125</v>
      </c>
      <c r="Q134">
        <v>293</v>
      </c>
      <c r="R134">
        <v>70</v>
      </c>
      <c r="S134">
        <v>50761819.819819815</v>
      </c>
      <c r="T134">
        <v>47285921.171171166</v>
      </c>
      <c r="U134">
        <v>344906936.93693697</v>
      </c>
      <c r="V134">
        <v>259196126.12612614</v>
      </c>
      <c r="W134">
        <v>6194</v>
      </c>
      <c r="X134">
        <v>6160</v>
      </c>
    </row>
    <row r="135" spans="1:24">
      <c r="A135" s="7" t="s">
        <v>221</v>
      </c>
      <c r="B135" s="16" t="s">
        <v>52</v>
      </c>
      <c r="C135">
        <v>451251314.67004824</v>
      </c>
      <c r="D135">
        <v>426383063.51670414</v>
      </c>
      <c r="E135">
        <v>39035810.810810819</v>
      </c>
      <c r="F135">
        <v>163932432.43243244</v>
      </c>
      <c r="G135">
        <v>89</v>
      </c>
      <c r="H135">
        <v>98</v>
      </c>
      <c r="I135">
        <v>9</v>
      </c>
      <c r="J135">
        <v>24</v>
      </c>
      <c r="M135">
        <v>121</v>
      </c>
      <c r="N135">
        <v>125</v>
      </c>
      <c r="O135">
        <v>56471891.891891889</v>
      </c>
      <c r="P135">
        <v>35679279.279279277</v>
      </c>
      <c r="Q135">
        <v>285</v>
      </c>
      <c r="R135">
        <v>1033</v>
      </c>
      <c r="S135">
        <v>143763315.31531531</v>
      </c>
      <c r="T135">
        <v>138988162.16216215</v>
      </c>
      <c r="U135">
        <v>26594954.954954959</v>
      </c>
      <c r="V135">
        <v>45578828.828828834</v>
      </c>
      <c r="W135">
        <v>10708</v>
      </c>
      <c r="X135">
        <v>10472</v>
      </c>
    </row>
    <row r="136" spans="1:24">
      <c r="A136" s="7" t="s">
        <v>222</v>
      </c>
      <c r="B136" s="16" t="s">
        <v>76</v>
      </c>
      <c r="C136">
        <v>347621418.00930804</v>
      </c>
      <c r="D136">
        <v>333446379.47355038</v>
      </c>
      <c r="E136">
        <v>139504.50450450499</v>
      </c>
      <c r="F136">
        <v>1023423.423423429</v>
      </c>
      <c r="G136">
        <v>96</v>
      </c>
      <c r="H136">
        <v>90</v>
      </c>
      <c r="I136">
        <v>9</v>
      </c>
      <c r="J136">
        <v>10</v>
      </c>
      <c r="K136">
        <v>5</v>
      </c>
      <c r="M136">
        <v>111</v>
      </c>
      <c r="N136">
        <v>98</v>
      </c>
      <c r="O136">
        <v>23293333.333333332</v>
      </c>
      <c r="P136">
        <v>24377297.297297299</v>
      </c>
      <c r="Q136">
        <v>42</v>
      </c>
      <c r="R136">
        <v>38</v>
      </c>
      <c r="S136">
        <v>64624034.234234229</v>
      </c>
      <c r="T136">
        <v>63687263.963963971</v>
      </c>
      <c r="U136">
        <v>19829909.909909911</v>
      </c>
      <c r="V136">
        <v>18525405.405405402</v>
      </c>
      <c r="W136">
        <v>6633</v>
      </c>
      <c r="X136">
        <v>6965</v>
      </c>
    </row>
    <row r="137" spans="1:24">
      <c r="A137" s="7" t="s">
        <v>223</v>
      </c>
      <c r="B137" s="16" t="s">
        <v>224</v>
      </c>
      <c r="C137">
        <v>35821679.128202617</v>
      </c>
      <c r="D137">
        <v>30257273.773833629</v>
      </c>
      <c r="G137">
        <v>28</v>
      </c>
      <c r="H137">
        <v>2</v>
      </c>
      <c r="M137">
        <v>28</v>
      </c>
      <c r="N137">
        <v>2</v>
      </c>
      <c r="O137">
        <v>400000</v>
      </c>
      <c r="Q137">
        <v>6</v>
      </c>
      <c r="S137">
        <v>8329369.369369369</v>
      </c>
      <c r="T137">
        <v>7373225.2252252251</v>
      </c>
      <c r="U137">
        <v>1331891.8918918921</v>
      </c>
      <c r="V137">
        <v>543243.24324324296</v>
      </c>
      <c r="W137">
        <v>874</v>
      </c>
      <c r="X137">
        <v>825</v>
      </c>
    </row>
    <row r="138" spans="1:24">
      <c r="A138" s="7" t="s">
        <v>225</v>
      </c>
      <c r="B138" s="16" t="s">
        <v>143</v>
      </c>
      <c r="C138">
        <v>282397423.14599109</v>
      </c>
      <c r="D138">
        <v>272169693.27826965</v>
      </c>
      <c r="E138">
        <v>454054.054054056</v>
      </c>
      <c r="F138">
        <v>3537837.83783784</v>
      </c>
      <c r="G138">
        <v>68</v>
      </c>
      <c r="H138">
        <v>124</v>
      </c>
      <c r="I138">
        <v>14</v>
      </c>
      <c r="J138">
        <v>7</v>
      </c>
      <c r="M138">
        <v>78</v>
      </c>
      <c r="N138">
        <v>134</v>
      </c>
      <c r="O138">
        <v>14958738.738738736</v>
      </c>
      <c r="P138">
        <v>16766666.666666668</v>
      </c>
      <c r="Q138">
        <v>160</v>
      </c>
      <c r="R138">
        <v>88</v>
      </c>
      <c r="S138">
        <v>29833522.522522524</v>
      </c>
      <c r="T138">
        <v>35331888.738738738</v>
      </c>
      <c r="U138">
        <v>10821441.441441439</v>
      </c>
      <c r="V138">
        <v>11260720.72072072</v>
      </c>
      <c r="W138">
        <v>5561</v>
      </c>
      <c r="X138">
        <v>5680</v>
      </c>
    </row>
    <row r="139" spans="1:24">
      <c r="A139" s="7" t="s">
        <v>226</v>
      </c>
      <c r="B139" s="16" t="s">
        <v>224</v>
      </c>
      <c r="C139">
        <v>34373107.269437671</v>
      </c>
      <c r="D139">
        <v>31580908.885881007</v>
      </c>
      <c r="E139">
        <v>4504.5045045050001</v>
      </c>
      <c r="F139">
        <v>121621.62162162201</v>
      </c>
      <c r="G139">
        <v>7</v>
      </c>
      <c r="H139">
        <v>11</v>
      </c>
      <c r="I139">
        <v>3</v>
      </c>
      <c r="J139">
        <v>2</v>
      </c>
      <c r="M139">
        <v>8</v>
      </c>
      <c r="N139">
        <v>13</v>
      </c>
      <c r="O139">
        <v>3726306.3063063058</v>
      </c>
      <c r="P139">
        <v>4954054.0540540544</v>
      </c>
      <c r="Q139">
        <v>32</v>
      </c>
      <c r="R139">
        <v>25</v>
      </c>
      <c r="S139">
        <v>7387522.5225225231</v>
      </c>
      <c r="T139">
        <v>8814536.0360360369</v>
      </c>
      <c r="U139">
        <v>3142882.8828828819</v>
      </c>
      <c r="V139">
        <v>4221801.8018018017</v>
      </c>
      <c r="W139">
        <v>797</v>
      </c>
      <c r="X139">
        <v>870</v>
      </c>
    </row>
    <row r="140" spans="1:24">
      <c r="A140" s="7" t="s">
        <v>227</v>
      </c>
      <c r="B140" s="16" t="s">
        <v>78</v>
      </c>
      <c r="C140">
        <v>268841900.5697273</v>
      </c>
      <c r="D140">
        <v>254677545.35114595</v>
      </c>
      <c r="E140">
        <v>1351351.351351354</v>
      </c>
      <c r="F140">
        <v>3063963.9639639668</v>
      </c>
      <c r="G140">
        <v>49</v>
      </c>
      <c r="H140">
        <v>50</v>
      </c>
      <c r="I140">
        <v>5</v>
      </c>
      <c r="J140">
        <v>12</v>
      </c>
      <c r="M140">
        <v>53</v>
      </c>
      <c r="N140">
        <v>55</v>
      </c>
      <c r="O140">
        <v>22519729.729729731</v>
      </c>
      <c r="P140">
        <v>27382252.252252251</v>
      </c>
      <c r="Q140">
        <v>150</v>
      </c>
      <c r="R140">
        <v>86</v>
      </c>
      <c r="S140">
        <v>103479809.009009</v>
      </c>
      <c r="T140">
        <v>101850369.36936937</v>
      </c>
      <c r="U140">
        <v>21183556.75675676</v>
      </c>
      <c r="V140">
        <v>24987387.387387387</v>
      </c>
      <c r="W140">
        <v>4974</v>
      </c>
      <c r="X140">
        <v>5003</v>
      </c>
    </row>
    <row r="141" spans="1:24">
      <c r="A141" s="7" t="s">
        <v>676</v>
      </c>
      <c r="B141" s="16" t="s">
        <v>283</v>
      </c>
      <c r="E141">
        <v>33738063.063063063</v>
      </c>
      <c r="F141">
        <v>72927927.927927941</v>
      </c>
      <c r="O141">
        <v>21188063.063063063</v>
      </c>
      <c r="P141">
        <v>1041441.441441441</v>
      </c>
    </row>
    <row r="142" spans="1:24">
      <c r="A142" s="7" t="s">
        <v>228</v>
      </c>
      <c r="B142" s="16" t="s">
        <v>136</v>
      </c>
      <c r="C142">
        <v>367214528.89421093</v>
      </c>
      <c r="D142">
        <v>341913598.45719671</v>
      </c>
      <c r="E142">
        <v>713738.73873873998</v>
      </c>
      <c r="F142">
        <v>2383333.3333333372</v>
      </c>
      <c r="G142">
        <v>88</v>
      </c>
      <c r="H142">
        <v>82</v>
      </c>
      <c r="I142">
        <v>9</v>
      </c>
      <c r="J142">
        <v>10</v>
      </c>
      <c r="M142">
        <v>99</v>
      </c>
      <c r="N142">
        <v>100</v>
      </c>
      <c r="O142">
        <v>55265135.135135137</v>
      </c>
      <c r="P142">
        <v>39578378.378378376</v>
      </c>
      <c r="Q142">
        <v>118</v>
      </c>
      <c r="R142">
        <v>153</v>
      </c>
      <c r="S142">
        <v>77324264.864864871</v>
      </c>
      <c r="T142">
        <v>80281130.630630627</v>
      </c>
      <c r="U142">
        <v>48186396.396396391</v>
      </c>
      <c r="V142">
        <v>32238468.468468469</v>
      </c>
      <c r="W142">
        <v>7587</v>
      </c>
      <c r="X142">
        <v>7433</v>
      </c>
    </row>
    <row r="143" spans="1:24">
      <c r="A143" s="7" t="s">
        <v>229</v>
      </c>
      <c r="B143" s="16" t="s">
        <v>78</v>
      </c>
      <c r="C143">
        <v>95262037.10588786</v>
      </c>
      <c r="D143">
        <v>96355471.946791068</v>
      </c>
      <c r="E143">
        <v>2802252.2522522518</v>
      </c>
      <c r="F143">
        <v>3040990.9909909908</v>
      </c>
      <c r="G143">
        <v>25</v>
      </c>
      <c r="H143">
        <v>37</v>
      </c>
      <c r="I143">
        <v>1</v>
      </c>
      <c r="J143">
        <v>3</v>
      </c>
      <c r="M143">
        <v>25</v>
      </c>
      <c r="N143">
        <v>46</v>
      </c>
      <c r="O143">
        <v>15414864.864864863</v>
      </c>
      <c r="P143">
        <v>21872972.97297297</v>
      </c>
      <c r="Q143">
        <v>21</v>
      </c>
      <c r="R143">
        <v>19</v>
      </c>
      <c r="S143">
        <v>42299594.59459459</v>
      </c>
      <c r="T143">
        <v>47252430.630630635</v>
      </c>
      <c r="U143">
        <v>15807657.657657661</v>
      </c>
      <c r="V143">
        <v>20191754.954954956</v>
      </c>
      <c r="W143">
        <v>2500</v>
      </c>
      <c r="X143">
        <v>2506</v>
      </c>
    </row>
    <row r="144" spans="1:24">
      <c r="A144" s="7" t="s">
        <v>230</v>
      </c>
      <c r="B144" s="16" t="s">
        <v>54</v>
      </c>
      <c r="C144">
        <v>293475197.17808264</v>
      </c>
      <c r="D144">
        <v>276726771.08785242</v>
      </c>
      <c r="E144">
        <v>623648.64864865004</v>
      </c>
      <c r="F144">
        <v>969369.36936937005</v>
      </c>
      <c r="G144">
        <v>42</v>
      </c>
      <c r="H144">
        <v>30</v>
      </c>
      <c r="I144">
        <v>5</v>
      </c>
      <c r="J144">
        <v>7</v>
      </c>
      <c r="M144">
        <v>50</v>
      </c>
      <c r="N144">
        <v>45</v>
      </c>
      <c r="O144">
        <v>8590990.9909909908</v>
      </c>
      <c r="P144">
        <v>21669369.369369369</v>
      </c>
      <c r="Q144">
        <v>87</v>
      </c>
      <c r="R144">
        <v>2457</v>
      </c>
      <c r="S144">
        <v>66639324.324324317</v>
      </c>
      <c r="T144">
        <v>68720962.162162155</v>
      </c>
      <c r="U144">
        <v>9192972.9729729723</v>
      </c>
      <c r="V144">
        <v>24663153.153153151</v>
      </c>
      <c r="W144">
        <v>6804</v>
      </c>
      <c r="X144">
        <v>6721</v>
      </c>
    </row>
    <row r="145" spans="1:24">
      <c r="A145" s="7" t="s">
        <v>231</v>
      </c>
      <c r="B145" s="16" t="s">
        <v>78</v>
      </c>
      <c r="C145">
        <v>111694789.45192657</v>
      </c>
      <c r="D145">
        <v>106111063.56265646</v>
      </c>
      <c r="E145">
        <v>464864.86486486701</v>
      </c>
      <c r="F145">
        <v>2665765.7657657689</v>
      </c>
      <c r="G145">
        <v>52</v>
      </c>
      <c r="H145">
        <v>51</v>
      </c>
      <c r="I145">
        <v>8</v>
      </c>
      <c r="J145">
        <v>11</v>
      </c>
      <c r="M145">
        <v>58</v>
      </c>
      <c r="N145">
        <v>71</v>
      </c>
      <c r="O145">
        <v>26797477.477477476</v>
      </c>
      <c r="P145">
        <v>26023423.423423424</v>
      </c>
      <c r="Q145">
        <v>36</v>
      </c>
      <c r="R145">
        <v>85</v>
      </c>
      <c r="S145">
        <v>52006036.036036029</v>
      </c>
      <c r="T145">
        <v>50409027.027027026</v>
      </c>
      <c r="U145">
        <v>28475945.945945948</v>
      </c>
      <c r="V145">
        <v>25948738.738738734</v>
      </c>
      <c r="W145">
        <v>3986</v>
      </c>
      <c r="X145">
        <v>3992</v>
      </c>
    </row>
    <row r="146" spans="1:24">
      <c r="A146" s="7" t="s">
        <v>232</v>
      </c>
      <c r="B146" s="16" t="s">
        <v>60</v>
      </c>
      <c r="C146">
        <v>93855271.309315324</v>
      </c>
      <c r="D146">
        <v>96806076.023522377</v>
      </c>
      <c r="G146">
        <v>34</v>
      </c>
      <c r="H146">
        <v>26</v>
      </c>
      <c r="I146">
        <v>0</v>
      </c>
      <c r="M146">
        <v>35</v>
      </c>
      <c r="N146">
        <v>28</v>
      </c>
      <c r="O146">
        <v>81081.081081081007</v>
      </c>
      <c r="Q146">
        <v>3</v>
      </c>
      <c r="S146">
        <v>37430000</v>
      </c>
      <c r="T146">
        <v>40908648.648648649</v>
      </c>
      <c r="U146">
        <v>81081.081081081007</v>
      </c>
      <c r="W146">
        <v>1845</v>
      </c>
      <c r="X146">
        <v>1851</v>
      </c>
    </row>
    <row r="147" spans="1:24">
      <c r="A147" s="7" t="s">
        <v>233</v>
      </c>
      <c r="B147" s="16" t="s">
        <v>54</v>
      </c>
      <c r="C147">
        <v>46844156.572884098</v>
      </c>
      <c r="D147">
        <v>46482946.868513294</v>
      </c>
      <c r="E147">
        <v>573873.87387387396</v>
      </c>
      <c r="F147">
        <v>96396.396396397002</v>
      </c>
      <c r="G147">
        <v>28</v>
      </c>
      <c r="H147">
        <v>32</v>
      </c>
      <c r="I147">
        <v>1</v>
      </c>
      <c r="J147">
        <v>0</v>
      </c>
      <c r="M147">
        <v>46</v>
      </c>
      <c r="N147">
        <v>61</v>
      </c>
      <c r="O147">
        <v>2145945.9459459451</v>
      </c>
      <c r="P147">
        <v>2334504.5045045041</v>
      </c>
      <c r="Q147">
        <v>27</v>
      </c>
      <c r="R147">
        <v>29</v>
      </c>
      <c r="S147">
        <v>10192027.027027028</v>
      </c>
      <c r="T147">
        <v>10124405.405405404</v>
      </c>
      <c r="U147">
        <v>2816486.4864864862</v>
      </c>
      <c r="V147">
        <v>2242432.4324324322</v>
      </c>
      <c r="W147">
        <v>1044</v>
      </c>
      <c r="X147">
        <v>1077</v>
      </c>
    </row>
    <row r="148" spans="1:24">
      <c r="A148" s="7" t="s">
        <v>234</v>
      </c>
      <c r="B148" s="16" t="s">
        <v>167</v>
      </c>
      <c r="C148">
        <v>227604947.9026112</v>
      </c>
      <c r="D148">
        <v>217878781.74165443</v>
      </c>
      <c r="E148">
        <v>29729.729729729999</v>
      </c>
      <c r="F148">
        <v>382882.88288288302</v>
      </c>
      <c r="G148">
        <v>55</v>
      </c>
      <c r="H148">
        <v>16</v>
      </c>
      <c r="I148">
        <v>1</v>
      </c>
      <c r="J148">
        <v>1</v>
      </c>
      <c r="M148">
        <v>64</v>
      </c>
      <c r="N148">
        <v>19</v>
      </c>
      <c r="O148">
        <v>17701801.801801804</v>
      </c>
      <c r="P148">
        <v>17118366.666666668</v>
      </c>
      <c r="Q148">
        <v>11</v>
      </c>
      <c r="R148">
        <v>2</v>
      </c>
      <c r="S148">
        <v>61102243.24324324</v>
      </c>
      <c r="T148">
        <v>61482319.819819823</v>
      </c>
      <c r="U148">
        <v>13008061.261261262</v>
      </c>
      <c r="V148">
        <v>10992072.072072072</v>
      </c>
      <c r="W148">
        <v>4796</v>
      </c>
      <c r="X148">
        <v>8269</v>
      </c>
    </row>
    <row r="149" spans="1:24">
      <c r="A149" s="7" t="s">
        <v>235</v>
      </c>
      <c r="B149" s="16" t="s">
        <v>236</v>
      </c>
      <c r="C149">
        <v>6196.4937303839997</v>
      </c>
      <c r="D149">
        <v>184.33338469700001</v>
      </c>
      <c r="T149">
        <v>9009.0090090089998</v>
      </c>
      <c r="W149">
        <v>31</v>
      </c>
      <c r="X149">
        <v>2</v>
      </c>
    </row>
    <row r="150" spans="1:24">
      <c r="A150" s="7" t="s">
        <v>237</v>
      </c>
      <c r="B150" s="16" t="s">
        <v>105</v>
      </c>
      <c r="C150">
        <v>134818328.27908984</v>
      </c>
      <c r="D150">
        <v>127388409.7764321</v>
      </c>
      <c r="E150">
        <v>267027.02702702698</v>
      </c>
      <c r="F150">
        <v>762162.16216216097</v>
      </c>
      <c r="G150">
        <v>29</v>
      </c>
      <c r="H150">
        <v>17</v>
      </c>
      <c r="I150">
        <v>1</v>
      </c>
      <c r="J150">
        <v>0</v>
      </c>
      <c r="M150">
        <v>34</v>
      </c>
      <c r="N150">
        <v>18</v>
      </c>
      <c r="O150">
        <v>16632162.162162164</v>
      </c>
      <c r="P150">
        <v>20410270.270270273</v>
      </c>
      <c r="Q150">
        <v>6</v>
      </c>
      <c r="R150">
        <v>50</v>
      </c>
      <c r="S150">
        <v>37946972.972972974</v>
      </c>
      <c r="T150">
        <v>37780702.702702701</v>
      </c>
      <c r="U150">
        <v>14535765.765765766</v>
      </c>
      <c r="V150">
        <v>18746216.216216218</v>
      </c>
      <c r="W150">
        <v>1997</v>
      </c>
      <c r="X150">
        <v>1939</v>
      </c>
    </row>
    <row r="151" spans="1:24">
      <c r="A151" s="7" t="s">
        <v>3</v>
      </c>
      <c r="B151" s="16" t="s">
        <v>158</v>
      </c>
      <c r="C151">
        <v>266170217.10356101</v>
      </c>
      <c r="D151">
        <v>260787269.09674025</v>
      </c>
      <c r="E151">
        <v>6358333.333333334</v>
      </c>
      <c r="F151">
        <v>95358558.558558553</v>
      </c>
      <c r="G151">
        <v>39</v>
      </c>
      <c r="H151">
        <v>45</v>
      </c>
      <c r="I151">
        <v>13</v>
      </c>
      <c r="J151">
        <v>11</v>
      </c>
      <c r="M151">
        <v>42</v>
      </c>
      <c r="N151">
        <v>50</v>
      </c>
      <c r="O151">
        <v>86997072.072072074</v>
      </c>
      <c r="P151">
        <v>73585360.360360354</v>
      </c>
      <c r="Q151">
        <v>102</v>
      </c>
      <c r="R151">
        <v>69</v>
      </c>
      <c r="S151">
        <v>68466891.891891897</v>
      </c>
      <c r="T151">
        <v>74411513.51351352</v>
      </c>
      <c r="U151">
        <v>46754504.504504502</v>
      </c>
      <c r="V151">
        <v>47289009.009009011</v>
      </c>
      <c r="W151">
        <v>4243</v>
      </c>
      <c r="X151">
        <v>3735</v>
      </c>
    </row>
    <row r="152" spans="1:24">
      <c r="A152" s="7" t="s">
        <v>238</v>
      </c>
      <c r="B152" s="16" t="s">
        <v>178</v>
      </c>
      <c r="C152">
        <v>234473033.04227227</v>
      </c>
      <c r="D152">
        <v>202955739.77977392</v>
      </c>
      <c r="E152">
        <v>4552252.2522522528</v>
      </c>
      <c r="F152">
        <v>500000.00000000099</v>
      </c>
      <c r="G152">
        <v>49</v>
      </c>
      <c r="H152">
        <v>43</v>
      </c>
      <c r="I152">
        <v>3</v>
      </c>
      <c r="J152">
        <v>4</v>
      </c>
      <c r="M152">
        <v>58</v>
      </c>
      <c r="N152">
        <v>78</v>
      </c>
      <c r="O152">
        <v>24959160.360360362</v>
      </c>
      <c r="P152">
        <v>31175675.675675675</v>
      </c>
      <c r="S152">
        <v>69951324.324324325</v>
      </c>
      <c r="T152">
        <v>64778540.540540546</v>
      </c>
      <c r="U152">
        <v>19521441.441441443</v>
      </c>
      <c r="V152">
        <v>25432252.252252251</v>
      </c>
      <c r="W152">
        <v>5466</v>
      </c>
      <c r="X152">
        <v>5204</v>
      </c>
    </row>
    <row r="153" spans="1:24">
      <c r="A153" s="7" t="s">
        <v>239</v>
      </c>
      <c r="B153" s="16" t="s">
        <v>54</v>
      </c>
      <c r="C153">
        <v>159603520.92698058</v>
      </c>
      <c r="D153">
        <v>143882967.31244218</v>
      </c>
      <c r="E153">
        <v>1772387.387387387</v>
      </c>
      <c r="F153">
        <v>3550450.4504504511</v>
      </c>
      <c r="G153">
        <v>17</v>
      </c>
      <c r="H153">
        <v>25</v>
      </c>
      <c r="I153">
        <v>2</v>
      </c>
      <c r="J153">
        <v>4</v>
      </c>
      <c r="M153">
        <v>20</v>
      </c>
      <c r="N153">
        <v>26</v>
      </c>
      <c r="O153">
        <v>20864504.504504506</v>
      </c>
      <c r="P153">
        <v>19460720.72072072</v>
      </c>
      <c r="Q153">
        <v>63</v>
      </c>
      <c r="R153">
        <v>27</v>
      </c>
      <c r="S153">
        <v>43765618.018018015</v>
      </c>
      <c r="T153">
        <v>40072500.9009009</v>
      </c>
      <c r="U153">
        <v>17346349.54954955</v>
      </c>
      <c r="V153">
        <v>17781167.567567565</v>
      </c>
      <c r="W153">
        <v>3470</v>
      </c>
      <c r="X153">
        <v>3412</v>
      </c>
    </row>
    <row r="154" spans="1:24">
      <c r="A154" s="7" t="s">
        <v>240</v>
      </c>
      <c r="B154" s="16" t="s">
        <v>241</v>
      </c>
      <c r="C154">
        <v>135712021.83104086</v>
      </c>
      <c r="D154">
        <v>124475795.50769646</v>
      </c>
      <c r="E154">
        <v>167567.567567569</v>
      </c>
      <c r="F154">
        <v>816216.21621621796</v>
      </c>
      <c r="G154">
        <v>63</v>
      </c>
      <c r="H154">
        <v>56</v>
      </c>
      <c r="I154">
        <v>6</v>
      </c>
      <c r="J154">
        <v>5</v>
      </c>
      <c r="M154">
        <v>75</v>
      </c>
      <c r="N154">
        <v>66</v>
      </c>
      <c r="O154">
        <v>95557297.297297299</v>
      </c>
      <c r="P154">
        <v>28378558.558558565</v>
      </c>
      <c r="Q154">
        <v>20</v>
      </c>
      <c r="R154">
        <v>23</v>
      </c>
      <c r="S154">
        <v>32266486.486486487</v>
      </c>
      <c r="T154">
        <v>29247790.990990993</v>
      </c>
      <c r="U154">
        <v>97441801.801801801</v>
      </c>
      <c r="V154">
        <v>9371081.0810810849</v>
      </c>
      <c r="W154">
        <v>2983</v>
      </c>
      <c r="X154">
        <v>2804</v>
      </c>
    </row>
    <row r="155" spans="1:24">
      <c r="A155" s="7" t="s">
        <v>242</v>
      </c>
      <c r="B155" s="16" t="s">
        <v>241</v>
      </c>
      <c r="C155">
        <v>343638788.03314489</v>
      </c>
      <c r="D155">
        <v>325052501.50099432</v>
      </c>
      <c r="E155">
        <v>778378.37837837997</v>
      </c>
      <c r="F155">
        <v>2844144.1441441472</v>
      </c>
      <c r="G155">
        <v>173</v>
      </c>
      <c r="H155">
        <v>125</v>
      </c>
      <c r="I155">
        <v>21</v>
      </c>
      <c r="J155">
        <v>16</v>
      </c>
      <c r="K155">
        <v>1</v>
      </c>
      <c r="M155">
        <v>189</v>
      </c>
      <c r="N155">
        <v>140</v>
      </c>
      <c r="O155">
        <v>99376396.396396399</v>
      </c>
      <c r="P155">
        <v>75362612.612612605</v>
      </c>
      <c r="Q155">
        <v>373</v>
      </c>
      <c r="R155">
        <v>102</v>
      </c>
      <c r="S155">
        <v>103505270.27027027</v>
      </c>
      <c r="T155">
        <v>96238117.117117122</v>
      </c>
      <c r="U155">
        <v>95271531.531531543</v>
      </c>
      <c r="V155">
        <v>69660180.180180177</v>
      </c>
      <c r="W155">
        <v>6883</v>
      </c>
      <c r="X155">
        <v>6751</v>
      </c>
    </row>
    <row r="156" spans="1:24">
      <c r="A156" s="7" t="s">
        <v>243</v>
      </c>
      <c r="B156" s="16" t="s">
        <v>50</v>
      </c>
      <c r="C156">
        <v>56524796.743587017</v>
      </c>
      <c r="D156">
        <v>55978854.898622736</v>
      </c>
      <c r="E156">
        <v>3503378.3783783792</v>
      </c>
      <c r="F156">
        <v>1285585.585585586</v>
      </c>
      <c r="G156">
        <v>13</v>
      </c>
      <c r="H156">
        <v>12</v>
      </c>
      <c r="I156">
        <v>6</v>
      </c>
      <c r="J156">
        <v>3</v>
      </c>
      <c r="M156">
        <v>13</v>
      </c>
      <c r="N156">
        <v>12</v>
      </c>
      <c r="O156">
        <v>9089189.1891891882</v>
      </c>
      <c r="P156">
        <v>7080540.5405405406</v>
      </c>
      <c r="Q156">
        <v>9</v>
      </c>
      <c r="R156">
        <v>24</v>
      </c>
      <c r="S156">
        <v>20551306.306306303</v>
      </c>
      <c r="T156">
        <v>18143342.342342343</v>
      </c>
      <c r="U156">
        <v>8362702.702702703</v>
      </c>
      <c r="V156">
        <v>6623063.0630630627</v>
      </c>
      <c r="W156">
        <v>813</v>
      </c>
      <c r="X156">
        <v>1195</v>
      </c>
    </row>
    <row r="157" spans="1:24">
      <c r="A157" s="7" t="s">
        <v>244</v>
      </c>
      <c r="B157" s="16" t="s">
        <v>181</v>
      </c>
      <c r="C157">
        <v>1904500153.3764594</v>
      </c>
      <c r="D157">
        <v>1775248019.985292</v>
      </c>
      <c r="E157">
        <v>295323290.0900901</v>
      </c>
      <c r="F157">
        <v>166760787.38738739</v>
      </c>
      <c r="G157">
        <v>865</v>
      </c>
      <c r="H157">
        <v>775</v>
      </c>
      <c r="I157">
        <v>91</v>
      </c>
      <c r="J157">
        <v>84</v>
      </c>
      <c r="K157">
        <v>16</v>
      </c>
      <c r="M157">
        <v>1027</v>
      </c>
      <c r="N157">
        <v>1314</v>
      </c>
      <c r="O157">
        <v>199851981.98198196</v>
      </c>
      <c r="P157">
        <v>214542432.43243241</v>
      </c>
      <c r="Q157">
        <v>1448</v>
      </c>
      <c r="R157">
        <v>958</v>
      </c>
      <c r="S157">
        <v>379046140.54054052</v>
      </c>
      <c r="T157">
        <v>396668137.83783782</v>
      </c>
      <c r="U157">
        <v>190795045.04504502</v>
      </c>
      <c r="V157">
        <v>209701801.8018018</v>
      </c>
      <c r="W157">
        <v>44096</v>
      </c>
      <c r="X157">
        <v>46271</v>
      </c>
    </row>
    <row r="158" spans="1:24">
      <c r="A158" s="7" t="s">
        <v>245</v>
      </c>
      <c r="B158" s="16" t="s">
        <v>48</v>
      </c>
      <c r="C158">
        <v>83203004.229289412</v>
      </c>
      <c r="D158">
        <v>76266405.846849442</v>
      </c>
      <c r="E158">
        <v>272072.07207207201</v>
      </c>
      <c r="F158">
        <v>1726351.3513513519</v>
      </c>
      <c r="G158">
        <v>7</v>
      </c>
      <c r="H158">
        <v>6</v>
      </c>
      <c r="I158">
        <v>3</v>
      </c>
      <c r="J158">
        <v>7</v>
      </c>
      <c r="M158">
        <v>7</v>
      </c>
      <c r="N158">
        <v>9</v>
      </c>
      <c r="O158">
        <v>9963063.0630630646</v>
      </c>
      <c r="P158">
        <v>20168648.648648649</v>
      </c>
      <c r="R158">
        <v>25</v>
      </c>
      <c r="S158">
        <v>19545396.396396395</v>
      </c>
      <c r="T158">
        <v>17481729.729729731</v>
      </c>
      <c r="U158">
        <v>10143963.963963967</v>
      </c>
      <c r="V158">
        <v>21635765.765765768</v>
      </c>
      <c r="W158">
        <v>1821</v>
      </c>
      <c r="X158">
        <v>1764</v>
      </c>
    </row>
    <row r="159" spans="1:24">
      <c r="A159" s="7" t="s">
        <v>246</v>
      </c>
      <c r="B159" s="16" t="s">
        <v>94</v>
      </c>
      <c r="C159">
        <v>34010502.948121466</v>
      </c>
      <c r="D159">
        <v>21988872.476535566</v>
      </c>
      <c r="G159">
        <v>5</v>
      </c>
      <c r="H159">
        <v>2</v>
      </c>
      <c r="J159">
        <v>0</v>
      </c>
      <c r="M159">
        <v>6</v>
      </c>
      <c r="N159">
        <v>2</v>
      </c>
      <c r="S159">
        <v>6148954.9549549548</v>
      </c>
      <c r="T159">
        <v>4143324.3243243238</v>
      </c>
      <c r="W159">
        <v>706</v>
      </c>
      <c r="X159">
        <v>672</v>
      </c>
    </row>
    <row r="160" spans="1:24">
      <c r="A160" s="7" t="s">
        <v>247</v>
      </c>
      <c r="B160" s="16" t="s">
        <v>117</v>
      </c>
      <c r="C160">
        <v>71538058.412071422</v>
      </c>
      <c r="D160">
        <v>72508865.887188762</v>
      </c>
      <c r="E160">
        <v>715169.36936937098</v>
      </c>
      <c r="F160">
        <v>1077808.1081081079</v>
      </c>
      <c r="G160">
        <v>26</v>
      </c>
      <c r="H160">
        <v>9</v>
      </c>
      <c r="I160">
        <v>7</v>
      </c>
      <c r="J160">
        <v>3</v>
      </c>
      <c r="M160">
        <v>28</v>
      </c>
      <c r="N160">
        <v>12</v>
      </c>
      <c r="O160">
        <v>13741727.927927928</v>
      </c>
      <c r="P160">
        <v>11174436.036036039</v>
      </c>
      <c r="Q160">
        <v>32</v>
      </c>
      <c r="R160">
        <v>43</v>
      </c>
      <c r="S160">
        <v>34068513.513513513</v>
      </c>
      <c r="T160">
        <v>34489261.261261262</v>
      </c>
      <c r="U160">
        <v>14784054.054054052</v>
      </c>
      <c r="V160">
        <v>12661261.261261262</v>
      </c>
      <c r="W160">
        <v>1677</v>
      </c>
      <c r="X160">
        <v>1733</v>
      </c>
    </row>
    <row r="161" spans="1:24">
      <c r="A161" s="7" t="s">
        <v>248</v>
      </c>
      <c r="B161" s="16" t="s">
        <v>121</v>
      </c>
      <c r="C161">
        <v>119481488.77428161</v>
      </c>
      <c r="D161">
        <v>118564241.8786111</v>
      </c>
      <c r="E161">
        <v>38093687.387387395</v>
      </c>
      <c r="F161">
        <v>56425333.333333336</v>
      </c>
      <c r="G161">
        <v>96</v>
      </c>
      <c r="H161">
        <v>78</v>
      </c>
      <c r="I161">
        <v>3</v>
      </c>
      <c r="J161">
        <v>5</v>
      </c>
      <c r="M161">
        <v>107</v>
      </c>
      <c r="N161">
        <v>84</v>
      </c>
      <c r="O161">
        <v>10280305.405405404</v>
      </c>
      <c r="P161">
        <v>17860433.333333336</v>
      </c>
      <c r="Q161">
        <v>177</v>
      </c>
      <c r="R161">
        <v>14</v>
      </c>
      <c r="S161">
        <v>13841000</v>
      </c>
      <c r="T161">
        <v>14224468.468468469</v>
      </c>
      <c r="U161">
        <v>7099549.5495495489</v>
      </c>
      <c r="V161">
        <v>4221531.5315315314</v>
      </c>
      <c r="W161">
        <v>2324</v>
      </c>
      <c r="X161">
        <v>2285</v>
      </c>
    </row>
    <row r="162" spans="1:24">
      <c r="A162" s="7" t="s">
        <v>249</v>
      </c>
      <c r="B162" s="16" t="s">
        <v>76</v>
      </c>
      <c r="C162">
        <v>57453192.85497871</v>
      </c>
      <c r="D162">
        <v>50970180.842478864</v>
      </c>
      <c r="G162">
        <v>10</v>
      </c>
      <c r="H162">
        <v>5</v>
      </c>
      <c r="I162">
        <v>0</v>
      </c>
      <c r="J162">
        <v>0</v>
      </c>
      <c r="M162">
        <v>12</v>
      </c>
      <c r="N162">
        <v>6</v>
      </c>
      <c r="S162">
        <v>6083990.9909909908</v>
      </c>
      <c r="T162">
        <v>5021351.3513513524</v>
      </c>
      <c r="W162">
        <v>1635</v>
      </c>
      <c r="X162">
        <v>1691</v>
      </c>
    </row>
    <row r="163" spans="1:24">
      <c r="A163" s="7" t="s">
        <v>250</v>
      </c>
      <c r="B163" s="16" t="s">
        <v>167</v>
      </c>
      <c r="C163">
        <v>178366852.59172696</v>
      </c>
      <c r="D163">
        <v>165920145.10372299</v>
      </c>
      <c r="G163">
        <v>25</v>
      </c>
      <c r="H163">
        <v>37</v>
      </c>
      <c r="M163">
        <v>32</v>
      </c>
      <c r="N163">
        <v>42</v>
      </c>
      <c r="O163">
        <v>5194594.594594595</v>
      </c>
      <c r="P163">
        <v>1828828.8288288291</v>
      </c>
      <c r="Q163">
        <v>9</v>
      </c>
      <c r="S163">
        <v>32199414.414414417</v>
      </c>
      <c r="T163">
        <v>31835135.135135137</v>
      </c>
      <c r="U163">
        <v>2310180.1801801808</v>
      </c>
      <c r="V163">
        <v>1779099.0990991001</v>
      </c>
      <c r="W163">
        <v>3770</v>
      </c>
      <c r="X163">
        <v>3665</v>
      </c>
    </row>
    <row r="164" spans="1:24">
      <c r="A164" s="7" t="s">
        <v>251</v>
      </c>
      <c r="B164" s="16" t="s">
        <v>89</v>
      </c>
      <c r="C164">
        <v>496768867.445391</v>
      </c>
      <c r="D164">
        <v>489253844.37930661</v>
      </c>
      <c r="E164">
        <v>6543603.6036036108</v>
      </c>
      <c r="F164">
        <v>2304054.0540540572</v>
      </c>
      <c r="G164">
        <v>53</v>
      </c>
      <c r="H164">
        <v>89</v>
      </c>
      <c r="I164">
        <v>21</v>
      </c>
      <c r="J164">
        <v>7</v>
      </c>
      <c r="M164">
        <v>63</v>
      </c>
      <c r="N164">
        <v>102</v>
      </c>
      <c r="O164">
        <v>38233153.153153151</v>
      </c>
      <c r="P164">
        <v>36694504.504504494</v>
      </c>
      <c r="Q164">
        <v>339</v>
      </c>
      <c r="R164">
        <v>268</v>
      </c>
      <c r="S164">
        <v>118170073.87387387</v>
      </c>
      <c r="T164">
        <v>119796306.3063063</v>
      </c>
      <c r="U164">
        <v>41729369.369369365</v>
      </c>
      <c r="V164">
        <v>35711531.531531528</v>
      </c>
      <c r="W164">
        <v>10350</v>
      </c>
      <c r="X164">
        <v>10520</v>
      </c>
    </row>
    <row r="165" spans="1:24">
      <c r="A165" s="7" t="s">
        <v>252</v>
      </c>
      <c r="B165" s="16" t="s">
        <v>78</v>
      </c>
      <c r="C165">
        <v>149251699.65252015</v>
      </c>
      <c r="D165">
        <v>142702864.27297443</v>
      </c>
      <c r="E165">
        <v>424324.32432432403</v>
      </c>
      <c r="F165">
        <v>2170270.2702702712</v>
      </c>
      <c r="G165">
        <v>36</v>
      </c>
      <c r="H165">
        <v>25</v>
      </c>
      <c r="I165">
        <v>4</v>
      </c>
      <c r="J165">
        <v>9</v>
      </c>
      <c r="M165">
        <v>38</v>
      </c>
      <c r="N165">
        <v>26</v>
      </c>
      <c r="O165">
        <v>18127837.837837841</v>
      </c>
      <c r="P165">
        <v>29525675.675675675</v>
      </c>
      <c r="Q165">
        <v>27</v>
      </c>
      <c r="R165">
        <v>71</v>
      </c>
      <c r="S165">
        <v>41520846.846846849</v>
      </c>
      <c r="T165">
        <v>41279153.153153151</v>
      </c>
      <c r="U165">
        <v>16609099.0990991</v>
      </c>
      <c r="V165">
        <v>27371171.171171173</v>
      </c>
      <c r="W165">
        <v>2827</v>
      </c>
      <c r="X165">
        <v>2872</v>
      </c>
    </row>
    <row r="166" spans="1:24">
      <c r="A166" s="7" t="s">
        <v>253</v>
      </c>
      <c r="B166" s="16" t="s">
        <v>105</v>
      </c>
      <c r="C166">
        <v>289260194.76214063</v>
      </c>
      <c r="D166">
        <v>282701181.08842671</v>
      </c>
      <c r="E166">
        <v>29646936.936936937</v>
      </c>
      <c r="F166">
        <v>170873296.39639643</v>
      </c>
      <c r="G166">
        <v>64</v>
      </c>
      <c r="H166">
        <v>97</v>
      </c>
      <c r="I166">
        <v>10</v>
      </c>
      <c r="J166">
        <v>13</v>
      </c>
      <c r="K166">
        <v>1</v>
      </c>
      <c r="M166">
        <v>72</v>
      </c>
      <c r="N166">
        <v>176</v>
      </c>
      <c r="O166">
        <v>43004144.144144148</v>
      </c>
      <c r="P166">
        <v>43614054.054054059</v>
      </c>
      <c r="Q166">
        <v>126</v>
      </c>
      <c r="R166">
        <v>373</v>
      </c>
      <c r="S166">
        <v>83758540.540540546</v>
      </c>
      <c r="T166">
        <v>81718000</v>
      </c>
      <c r="U166">
        <v>40920720.720720731</v>
      </c>
      <c r="V166">
        <v>43698108.108108103</v>
      </c>
      <c r="W166">
        <v>5471</v>
      </c>
      <c r="X166">
        <v>5257</v>
      </c>
    </row>
    <row r="167" spans="1:24">
      <c r="A167" s="7" t="s">
        <v>677</v>
      </c>
      <c r="B167" s="16" t="s">
        <v>181</v>
      </c>
      <c r="E167">
        <v>106058558.55855855</v>
      </c>
      <c r="F167">
        <v>65472972.972972974</v>
      </c>
      <c r="O167">
        <v>13936036.036036037</v>
      </c>
      <c r="P167">
        <v>1599549.5495495501</v>
      </c>
    </row>
    <row r="168" spans="1:24">
      <c r="A168" s="7" t="s">
        <v>254</v>
      </c>
      <c r="B168" s="16" t="s">
        <v>105</v>
      </c>
      <c r="C168">
        <v>187708371.12999925</v>
      </c>
      <c r="D168">
        <v>184092546.60115892</v>
      </c>
      <c r="E168">
        <v>1614414.414414414</v>
      </c>
      <c r="F168">
        <v>1767567.5675675699</v>
      </c>
      <c r="G168">
        <v>23</v>
      </c>
      <c r="H168">
        <v>18</v>
      </c>
      <c r="I168">
        <v>1</v>
      </c>
      <c r="J168">
        <v>1</v>
      </c>
      <c r="M168">
        <v>26</v>
      </c>
      <c r="N168">
        <v>22</v>
      </c>
      <c r="O168">
        <v>12316576.576576574</v>
      </c>
      <c r="P168">
        <v>15238198.198198199</v>
      </c>
      <c r="Q168">
        <v>12</v>
      </c>
      <c r="R168">
        <v>45</v>
      </c>
      <c r="S168">
        <v>55776484.684684686</v>
      </c>
      <c r="T168">
        <v>57311963.963963971</v>
      </c>
      <c r="U168">
        <v>11663243.243243242</v>
      </c>
      <c r="V168">
        <v>13260270.270270268</v>
      </c>
      <c r="W168">
        <v>3767</v>
      </c>
      <c r="X168">
        <v>3931</v>
      </c>
    </row>
    <row r="169" spans="1:24">
      <c r="A169" s="7" t="s">
        <v>255</v>
      </c>
      <c r="B169" s="16" t="s">
        <v>105</v>
      </c>
      <c r="C169">
        <v>155970865.504857</v>
      </c>
      <c r="D169">
        <v>155756765.82838318</v>
      </c>
      <c r="E169">
        <v>1120720.7207207209</v>
      </c>
      <c r="F169">
        <v>121621.62162162201</v>
      </c>
      <c r="G169">
        <v>22</v>
      </c>
      <c r="H169">
        <v>25</v>
      </c>
      <c r="I169">
        <v>0</v>
      </c>
      <c r="J169">
        <v>0</v>
      </c>
      <c r="M169">
        <v>23</v>
      </c>
      <c r="N169">
        <v>29</v>
      </c>
      <c r="O169">
        <v>2156756.7567567569</v>
      </c>
      <c r="P169">
        <v>2373873.8738738741</v>
      </c>
      <c r="Q169">
        <v>1</v>
      </c>
      <c r="S169">
        <v>31989459.459459461</v>
      </c>
      <c r="T169">
        <v>33838754.954954952</v>
      </c>
      <c r="U169">
        <v>2443063.0630630632</v>
      </c>
      <c r="V169">
        <v>2117297.297297297</v>
      </c>
      <c r="W169">
        <v>2085</v>
      </c>
      <c r="X169">
        <v>2375</v>
      </c>
    </row>
    <row r="170" spans="1:24">
      <c r="A170" s="7" t="s">
        <v>256</v>
      </c>
      <c r="B170" s="16" t="s">
        <v>134</v>
      </c>
      <c r="C170">
        <v>247367286.15632221</v>
      </c>
      <c r="D170">
        <v>239061084.51082274</v>
      </c>
      <c r="E170">
        <v>408108.10810810799</v>
      </c>
      <c r="F170">
        <v>756756.75675675704</v>
      </c>
      <c r="G170">
        <v>25</v>
      </c>
      <c r="H170">
        <v>23</v>
      </c>
      <c r="I170">
        <v>1</v>
      </c>
      <c r="J170">
        <v>2</v>
      </c>
      <c r="M170">
        <v>25</v>
      </c>
      <c r="N170">
        <v>23</v>
      </c>
      <c r="O170">
        <v>8651351.3513513505</v>
      </c>
      <c r="P170">
        <v>3378378.3783783782</v>
      </c>
      <c r="Q170">
        <v>185</v>
      </c>
      <c r="S170">
        <v>16706522.522522524</v>
      </c>
      <c r="T170">
        <v>16952414.414414417</v>
      </c>
      <c r="U170">
        <v>6427567.5675675673</v>
      </c>
      <c r="V170">
        <v>4167387.3873873879</v>
      </c>
      <c r="W170">
        <v>4156</v>
      </c>
      <c r="X170">
        <v>4149</v>
      </c>
    </row>
    <row r="171" spans="1:24">
      <c r="A171" s="7" t="s">
        <v>257</v>
      </c>
      <c r="B171" s="16" t="s">
        <v>167</v>
      </c>
      <c r="C171">
        <v>93777545.77482067</v>
      </c>
      <c r="D171">
        <v>82981519.926193237</v>
      </c>
      <c r="E171">
        <v>904504.50450450496</v>
      </c>
      <c r="F171">
        <v>1171171.1711711709</v>
      </c>
      <c r="G171">
        <v>52</v>
      </c>
      <c r="H171">
        <v>19</v>
      </c>
      <c r="I171">
        <v>1</v>
      </c>
      <c r="J171">
        <v>0</v>
      </c>
      <c r="M171">
        <v>58</v>
      </c>
      <c r="N171">
        <v>24</v>
      </c>
      <c r="O171">
        <v>6875225.225225226</v>
      </c>
      <c r="P171">
        <v>4375467.5675675673</v>
      </c>
      <c r="Q171">
        <v>12</v>
      </c>
      <c r="S171">
        <v>33001666.666666668</v>
      </c>
      <c r="T171">
        <v>28663254.954954952</v>
      </c>
      <c r="U171">
        <v>5796396.3963963985</v>
      </c>
      <c r="V171">
        <v>4319909.9099099087</v>
      </c>
      <c r="W171">
        <v>2461</v>
      </c>
      <c r="X171">
        <v>2400</v>
      </c>
    </row>
    <row r="172" spans="1:24">
      <c r="A172" s="7" t="s">
        <v>258</v>
      </c>
      <c r="B172" s="16" t="s">
        <v>60</v>
      </c>
      <c r="C172">
        <v>37294309.087411098</v>
      </c>
      <c r="D172">
        <v>32779612.73061749</v>
      </c>
      <c r="E172">
        <v>15765.765765766</v>
      </c>
      <c r="F172">
        <v>279279.27927927999</v>
      </c>
      <c r="G172">
        <v>17</v>
      </c>
      <c r="H172">
        <v>16</v>
      </c>
      <c r="I172">
        <v>1</v>
      </c>
      <c r="J172">
        <v>5</v>
      </c>
      <c r="K172">
        <v>2</v>
      </c>
      <c r="M172">
        <v>35</v>
      </c>
      <c r="N172">
        <v>22</v>
      </c>
      <c r="O172">
        <v>7547297.297297297</v>
      </c>
      <c r="P172">
        <v>7117117.1171171172</v>
      </c>
      <c r="Q172">
        <v>7</v>
      </c>
      <c r="R172">
        <v>19</v>
      </c>
      <c r="S172">
        <v>13643648.648648648</v>
      </c>
      <c r="T172">
        <v>11514450.45045045</v>
      </c>
      <c r="U172">
        <v>6829819.8198198192</v>
      </c>
      <c r="V172">
        <v>7158468.4684684677</v>
      </c>
      <c r="W172">
        <v>634</v>
      </c>
      <c r="X172">
        <v>638</v>
      </c>
    </row>
    <row r="173" spans="1:24">
      <c r="A173" s="7" t="s">
        <v>259</v>
      </c>
      <c r="B173" s="16" t="s">
        <v>260</v>
      </c>
      <c r="C173">
        <v>18516688.418644529</v>
      </c>
      <c r="D173">
        <v>20260261.297364101</v>
      </c>
      <c r="E173">
        <v>1801801.8018018019</v>
      </c>
      <c r="F173">
        <v>10810.810810810999</v>
      </c>
      <c r="G173">
        <v>10</v>
      </c>
      <c r="H173">
        <v>5</v>
      </c>
      <c r="M173">
        <v>10</v>
      </c>
      <c r="N173">
        <v>6</v>
      </c>
      <c r="O173">
        <v>2702702.702702703</v>
      </c>
      <c r="P173">
        <v>4098648.648648649</v>
      </c>
      <c r="S173">
        <v>3751171.1711711711</v>
      </c>
      <c r="T173">
        <v>3574531.5315315318</v>
      </c>
      <c r="U173">
        <v>4369459.4594594603</v>
      </c>
      <c r="V173">
        <v>1760180.1801801799</v>
      </c>
      <c r="W173">
        <v>541</v>
      </c>
      <c r="X173">
        <v>513</v>
      </c>
    </row>
    <row r="174" spans="1:24">
      <c r="A174" s="7" t="s">
        <v>261</v>
      </c>
      <c r="B174" s="16" t="s">
        <v>60</v>
      </c>
      <c r="C174">
        <v>314223725.24336463</v>
      </c>
      <c r="D174">
        <v>312466735.69004595</v>
      </c>
      <c r="E174">
        <v>148808128.82882884</v>
      </c>
      <c r="F174">
        <v>235247340.54054055</v>
      </c>
      <c r="G174">
        <v>155</v>
      </c>
      <c r="H174">
        <v>238</v>
      </c>
      <c r="I174">
        <v>26</v>
      </c>
      <c r="J174">
        <v>48</v>
      </c>
      <c r="K174">
        <v>12</v>
      </c>
      <c r="M174">
        <v>203</v>
      </c>
      <c r="N174">
        <v>332</v>
      </c>
      <c r="O174">
        <v>58294234.234234229</v>
      </c>
      <c r="P174">
        <v>67028828.828828834</v>
      </c>
      <c r="Q174">
        <v>552</v>
      </c>
      <c r="R174">
        <v>2022</v>
      </c>
      <c r="S174">
        <v>110329171.17117117</v>
      </c>
      <c r="T174">
        <v>115090993.24324325</v>
      </c>
      <c r="U174">
        <v>58093153.153153151</v>
      </c>
      <c r="V174">
        <v>71203063.06306307</v>
      </c>
      <c r="W174">
        <v>6156</v>
      </c>
      <c r="X174">
        <v>6147</v>
      </c>
    </row>
    <row r="175" spans="1:24">
      <c r="A175" s="7" t="s">
        <v>262</v>
      </c>
      <c r="B175" s="16" t="s">
        <v>123</v>
      </c>
      <c r="C175">
        <v>252736418.63316005</v>
      </c>
      <c r="D175">
        <v>242275262.82726505</v>
      </c>
      <c r="E175">
        <v>305855.85585585702</v>
      </c>
      <c r="F175">
        <v>408108.10810810898</v>
      </c>
      <c r="G175">
        <v>38</v>
      </c>
      <c r="H175">
        <v>52</v>
      </c>
      <c r="I175">
        <v>0</v>
      </c>
      <c r="J175">
        <v>2</v>
      </c>
      <c r="K175">
        <v>1</v>
      </c>
      <c r="M175">
        <v>43</v>
      </c>
      <c r="N175">
        <v>85</v>
      </c>
      <c r="O175">
        <v>17163153.153153151</v>
      </c>
      <c r="P175">
        <v>17307027.02702703</v>
      </c>
      <c r="Q175">
        <v>20</v>
      </c>
      <c r="R175">
        <v>34</v>
      </c>
      <c r="S175">
        <v>95083279.279279277</v>
      </c>
      <c r="T175">
        <v>95583081.081081092</v>
      </c>
      <c r="U175">
        <v>16549369.369369367</v>
      </c>
      <c r="V175">
        <v>14912162.162162162</v>
      </c>
      <c r="W175">
        <v>5528</v>
      </c>
      <c r="X175">
        <v>5610</v>
      </c>
    </row>
    <row r="176" spans="1:24">
      <c r="A176" s="7" t="s">
        <v>263</v>
      </c>
      <c r="B176" s="16" t="s">
        <v>123</v>
      </c>
      <c r="C176">
        <v>109314608.67974304</v>
      </c>
      <c r="D176">
        <v>102180988.11360601</v>
      </c>
      <c r="E176">
        <v>403603.60360360402</v>
      </c>
      <c r="F176">
        <v>2928153.1531531541</v>
      </c>
      <c r="G176">
        <v>43</v>
      </c>
      <c r="H176">
        <v>51</v>
      </c>
      <c r="I176">
        <v>5</v>
      </c>
      <c r="J176">
        <v>7</v>
      </c>
      <c r="K176">
        <v>2</v>
      </c>
      <c r="M176">
        <v>50</v>
      </c>
      <c r="N176">
        <v>212</v>
      </c>
      <c r="O176">
        <v>23945315.315315317</v>
      </c>
      <c r="P176">
        <v>27899189.189189188</v>
      </c>
      <c r="Q176">
        <v>136</v>
      </c>
      <c r="R176">
        <v>439</v>
      </c>
      <c r="S176">
        <v>45784000</v>
      </c>
      <c r="T176">
        <v>42349495.495495498</v>
      </c>
      <c r="U176">
        <v>27483693.693693694</v>
      </c>
      <c r="V176">
        <v>25000540.540540542</v>
      </c>
      <c r="W176">
        <v>2404</v>
      </c>
      <c r="X176">
        <v>2301</v>
      </c>
    </row>
    <row r="177" spans="1:24">
      <c r="A177" s="7" t="s">
        <v>264</v>
      </c>
      <c r="B177" s="16" t="s">
        <v>125</v>
      </c>
      <c r="C177">
        <v>256179931.48180044</v>
      </c>
      <c r="D177">
        <v>259733946.00336593</v>
      </c>
      <c r="E177">
        <v>56431306.306306303</v>
      </c>
      <c r="F177">
        <v>106989189.18918918</v>
      </c>
      <c r="G177">
        <v>40</v>
      </c>
      <c r="H177">
        <v>77</v>
      </c>
      <c r="I177">
        <v>4</v>
      </c>
      <c r="J177">
        <v>5</v>
      </c>
      <c r="M177">
        <v>42</v>
      </c>
      <c r="N177">
        <v>78</v>
      </c>
      <c r="O177">
        <v>50284909.909909911</v>
      </c>
      <c r="P177">
        <v>25299324.324324328</v>
      </c>
      <c r="Q177">
        <v>30</v>
      </c>
      <c r="R177">
        <v>7</v>
      </c>
      <c r="S177">
        <v>89114099.0990991</v>
      </c>
      <c r="T177">
        <v>94333509.909909904</v>
      </c>
      <c r="U177">
        <v>23458198.198198199</v>
      </c>
      <c r="V177">
        <v>19388468.468468469</v>
      </c>
      <c r="W177">
        <v>4370</v>
      </c>
      <c r="X177">
        <v>4479</v>
      </c>
    </row>
    <row r="178" spans="1:24">
      <c r="A178" s="7" t="s">
        <v>265</v>
      </c>
      <c r="B178" s="16" t="s">
        <v>123</v>
      </c>
      <c r="C178">
        <v>260229461.7832922</v>
      </c>
      <c r="D178">
        <v>247046322.04860577</v>
      </c>
      <c r="E178">
        <v>336936.93693693698</v>
      </c>
      <c r="F178">
        <v>1796396.396396399</v>
      </c>
      <c r="G178">
        <v>69</v>
      </c>
      <c r="H178">
        <v>35</v>
      </c>
      <c r="I178">
        <v>9</v>
      </c>
      <c r="J178">
        <v>5</v>
      </c>
      <c r="M178">
        <v>76</v>
      </c>
      <c r="N178">
        <v>42</v>
      </c>
      <c r="O178">
        <v>21426306.306306303</v>
      </c>
      <c r="P178">
        <v>25811711.711711712</v>
      </c>
      <c r="Q178">
        <v>42</v>
      </c>
      <c r="R178">
        <v>54</v>
      </c>
      <c r="S178">
        <v>89827162.162162155</v>
      </c>
      <c r="T178">
        <v>86999976.576576576</v>
      </c>
      <c r="U178">
        <v>22467477.47747748</v>
      </c>
      <c r="V178">
        <v>24399189.189189188</v>
      </c>
      <c r="W178">
        <v>4796</v>
      </c>
      <c r="X178">
        <v>4787</v>
      </c>
    </row>
    <row r="179" spans="1:24">
      <c r="A179" s="7" t="s">
        <v>266</v>
      </c>
      <c r="B179" s="16" t="s">
        <v>123</v>
      </c>
      <c r="C179">
        <v>254274477.06164643</v>
      </c>
      <c r="D179">
        <v>259389241.4639335</v>
      </c>
      <c r="E179">
        <v>1717117.117117119</v>
      </c>
      <c r="F179">
        <v>2720270.2702702712</v>
      </c>
      <c r="G179">
        <v>33</v>
      </c>
      <c r="H179">
        <v>54</v>
      </c>
      <c r="I179">
        <v>2</v>
      </c>
      <c r="J179">
        <v>5</v>
      </c>
      <c r="M179">
        <v>35</v>
      </c>
      <c r="N179">
        <v>59</v>
      </c>
      <c r="O179">
        <v>38316036.036036037</v>
      </c>
      <c r="P179">
        <v>30800180.180180181</v>
      </c>
      <c r="Q179">
        <v>149</v>
      </c>
      <c r="R179">
        <v>107</v>
      </c>
      <c r="S179">
        <v>99164045.045045033</v>
      </c>
      <c r="T179">
        <v>105288349.54954955</v>
      </c>
      <c r="U179">
        <v>36378828.828828834</v>
      </c>
      <c r="V179">
        <v>28597387.387387387</v>
      </c>
      <c r="W179">
        <v>5178</v>
      </c>
      <c r="X179">
        <v>5821</v>
      </c>
    </row>
    <row r="180" spans="1:24">
      <c r="A180" s="7" t="s">
        <v>267</v>
      </c>
      <c r="B180" s="16" t="s">
        <v>178</v>
      </c>
      <c r="C180">
        <v>1377778360.5858247</v>
      </c>
      <c r="D180">
        <v>1308354414.6300204</v>
      </c>
      <c r="E180">
        <v>892702360.36036026</v>
      </c>
      <c r="F180">
        <v>987138372.07207203</v>
      </c>
      <c r="G180">
        <v>690</v>
      </c>
      <c r="H180">
        <v>682</v>
      </c>
      <c r="I180">
        <v>45</v>
      </c>
      <c r="J180">
        <v>88</v>
      </c>
      <c r="K180">
        <v>5</v>
      </c>
      <c r="M180">
        <v>920</v>
      </c>
      <c r="N180">
        <v>1209</v>
      </c>
      <c r="O180">
        <v>202794591.8918919</v>
      </c>
      <c r="P180">
        <v>191356960.36036038</v>
      </c>
      <c r="Q180">
        <v>441</v>
      </c>
      <c r="R180">
        <v>1003</v>
      </c>
      <c r="S180">
        <v>390699360.36036038</v>
      </c>
      <c r="T180">
        <v>396761453.15315318</v>
      </c>
      <c r="U180">
        <v>188358918.91891891</v>
      </c>
      <c r="V180">
        <v>172626666.66666669</v>
      </c>
      <c r="W180">
        <v>32881</v>
      </c>
      <c r="X180">
        <v>31686</v>
      </c>
    </row>
    <row r="181" spans="1:24">
      <c r="A181" s="7" t="s">
        <v>268</v>
      </c>
      <c r="B181" s="16" t="s">
        <v>62</v>
      </c>
      <c r="C181">
        <v>204830116.78446573</v>
      </c>
      <c r="D181">
        <v>213482546.15920007</v>
      </c>
      <c r="E181">
        <v>2120810.8108108151</v>
      </c>
      <c r="F181">
        <v>4943243.2432432482</v>
      </c>
      <c r="G181">
        <v>44</v>
      </c>
      <c r="H181">
        <v>65</v>
      </c>
      <c r="I181">
        <v>15</v>
      </c>
      <c r="J181">
        <v>23</v>
      </c>
      <c r="M181">
        <v>47</v>
      </c>
      <c r="N181">
        <v>72</v>
      </c>
      <c r="O181">
        <v>17970180.180180177</v>
      </c>
      <c r="P181">
        <v>72298828.828828827</v>
      </c>
      <c r="Q181">
        <v>23</v>
      </c>
      <c r="R181">
        <v>125</v>
      </c>
      <c r="S181">
        <v>67581846.846846849</v>
      </c>
      <c r="T181">
        <v>70084864.864864871</v>
      </c>
      <c r="U181">
        <v>17494864.864864863</v>
      </c>
      <c r="V181">
        <v>59425135.135135137</v>
      </c>
      <c r="W181">
        <v>4627</v>
      </c>
      <c r="X181">
        <v>4673</v>
      </c>
    </row>
    <row r="182" spans="1:24">
      <c r="A182" s="7" t="s">
        <v>269</v>
      </c>
      <c r="B182" s="16" t="s">
        <v>70</v>
      </c>
      <c r="C182">
        <v>274027334.47885299</v>
      </c>
      <c r="D182">
        <v>276424088.56566501</v>
      </c>
      <c r="E182">
        <v>4409459.4594594575</v>
      </c>
      <c r="F182">
        <v>3427837.8378378418</v>
      </c>
      <c r="G182">
        <v>62</v>
      </c>
      <c r="H182">
        <v>98</v>
      </c>
      <c r="I182">
        <v>4</v>
      </c>
      <c r="J182">
        <v>31</v>
      </c>
      <c r="K182">
        <v>1</v>
      </c>
      <c r="M182">
        <v>66</v>
      </c>
      <c r="N182">
        <v>185</v>
      </c>
      <c r="O182">
        <v>40033108.108108103</v>
      </c>
      <c r="P182">
        <v>23488288.288288292</v>
      </c>
      <c r="Q182">
        <v>103</v>
      </c>
      <c r="R182">
        <v>174</v>
      </c>
      <c r="S182">
        <v>124879666.66666667</v>
      </c>
      <c r="T182">
        <v>126254846.84684685</v>
      </c>
      <c r="U182">
        <v>36559414.414414413</v>
      </c>
      <c r="V182">
        <v>21443513.513513517</v>
      </c>
      <c r="W182">
        <v>6849</v>
      </c>
      <c r="X182">
        <v>6930</v>
      </c>
    </row>
    <row r="183" spans="1:24">
      <c r="A183" s="7" t="s">
        <v>270</v>
      </c>
      <c r="B183" s="16" t="s">
        <v>134</v>
      </c>
      <c r="C183">
        <v>3848852.311730823</v>
      </c>
      <c r="D183">
        <v>4229593.8574376944</v>
      </c>
      <c r="G183">
        <v>2</v>
      </c>
      <c r="M183">
        <v>3</v>
      </c>
      <c r="S183">
        <v>217792.792792792</v>
      </c>
      <c r="T183">
        <v>261801.80180180201</v>
      </c>
      <c r="W183">
        <v>249</v>
      </c>
      <c r="X183">
        <v>230</v>
      </c>
    </row>
    <row r="184" spans="1:24">
      <c r="A184" s="7" t="s">
        <v>271</v>
      </c>
      <c r="B184" s="16" t="s">
        <v>76</v>
      </c>
      <c r="C184">
        <v>132329406.54751839</v>
      </c>
      <c r="D184">
        <v>130478133.78048939</v>
      </c>
      <c r="E184">
        <v>9909.9099099100004</v>
      </c>
      <c r="F184">
        <v>76576.576576577005</v>
      </c>
      <c r="G184">
        <v>32</v>
      </c>
      <c r="H184">
        <v>18</v>
      </c>
      <c r="I184">
        <v>0</v>
      </c>
      <c r="J184">
        <v>0</v>
      </c>
      <c r="M184">
        <v>35</v>
      </c>
      <c r="N184">
        <v>20</v>
      </c>
      <c r="O184">
        <v>100000</v>
      </c>
      <c r="P184">
        <v>166666.66666666701</v>
      </c>
      <c r="S184">
        <v>7741351.3513513505</v>
      </c>
      <c r="T184">
        <v>7903824.3243243238</v>
      </c>
      <c r="U184">
        <v>357657.65765765699</v>
      </c>
      <c r="V184">
        <v>271171.17117117101</v>
      </c>
      <c r="W184">
        <v>2218</v>
      </c>
      <c r="X184">
        <v>2950</v>
      </c>
    </row>
    <row r="185" spans="1:24">
      <c r="A185" s="7" t="s">
        <v>272</v>
      </c>
      <c r="B185" s="16" t="s">
        <v>76</v>
      </c>
      <c r="C185">
        <v>47817085.562628292</v>
      </c>
      <c r="D185">
        <v>44532444.875150032</v>
      </c>
      <c r="E185">
        <v>57207.207207207</v>
      </c>
      <c r="F185">
        <v>150450.450450451</v>
      </c>
      <c r="G185">
        <v>15</v>
      </c>
      <c r="H185">
        <v>4</v>
      </c>
      <c r="I185">
        <v>1</v>
      </c>
      <c r="J185">
        <v>1</v>
      </c>
      <c r="M185">
        <v>17</v>
      </c>
      <c r="N185">
        <v>6</v>
      </c>
      <c r="O185">
        <v>11859009.009009007</v>
      </c>
      <c r="P185">
        <v>10073153.153153151</v>
      </c>
      <c r="Q185">
        <v>24</v>
      </c>
      <c r="R185">
        <v>23</v>
      </c>
      <c r="S185">
        <v>14291756.756756756</v>
      </c>
      <c r="T185">
        <v>11383747.747747747</v>
      </c>
      <c r="U185">
        <v>9868648.6486486476</v>
      </c>
      <c r="V185">
        <v>8629819.8198198192</v>
      </c>
      <c r="W185">
        <v>804</v>
      </c>
      <c r="X185">
        <v>750</v>
      </c>
    </row>
    <row r="186" spans="1:24">
      <c r="A186" s="7" t="s">
        <v>273</v>
      </c>
      <c r="B186" s="16" t="s">
        <v>260</v>
      </c>
      <c r="C186">
        <v>986547324.34932685</v>
      </c>
      <c r="D186">
        <v>926915145.09545195</v>
      </c>
      <c r="E186">
        <v>8796846.8468468506</v>
      </c>
      <c r="F186">
        <v>10403603.603603605</v>
      </c>
      <c r="G186">
        <v>276</v>
      </c>
      <c r="H186">
        <v>265</v>
      </c>
      <c r="I186">
        <v>24</v>
      </c>
      <c r="J186">
        <v>31</v>
      </c>
      <c r="K186">
        <v>1</v>
      </c>
      <c r="M186">
        <v>310</v>
      </c>
      <c r="N186">
        <v>363</v>
      </c>
      <c r="O186">
        <v>158242792.7927928</v>
      </c>
      <c r="P186">
        <v>182284684.68468466</v>
      </c>
      <c r="Q186">
        <v>164</v>
      </c>
      <c r="R186">
        <v>128</v>
      </c>
      <c r="S186">
        <v>280012765.76576579</v>
      </c>
      <c r="T186">
        <v>284049671.17117119</v>
      </c>
      <c r="U186">
        <v>163104234.23423424</v>
      </c>
      <c r="V186">
        <v>159154864.86486486</v>
      </c>
      <c r="W186">
        <v>19934</v>
      </c>
      <c r="X186">
        <v>19037</v>
      </c>
    </row>
    <row r="187" spans="1:24">
      <c r="A187" s="7" t="s">
        <v>274</v>
      </c>
      <c r="B187" s="16" t="s">
        <v>260</v>
      </c>
      <c r="C187">
        <v>229156156.18845266</v>
      </c>
      <c r="D187">
        <v>204609207.35706791</v>
      </c>
      <c r="E187">
        <v>1810810.8108108121</v>
      </c>
      <c r="F187">
        <v>1249099.099099101</v>
      </c>
      <c r="G187">
        <v>24</v>
      </c>
      <c r="H187">
        <v>10</v>
      </c>
      <c r="I187">
        <v>3</v>
      </c>
      <c r="J187">
        <v>2</v>
      </c>
      <c r="M187">
        <v>24</v>
      </c>
      <c r="N187">
        <v>14</v>
      </c>
      <c r="O187">
        <v>9972072.072072072</v>
      </c>
      <c r="P187">
        <v>15165315.315315314</v>
      </c>
      <c r="Q187">
        <v>4</v>
      </c>
      <c r="R187">
        <v>11</v>
      </c>
      <c r="S187">
        <v>41576297.297297299</v>
      </c>
      <c r="T187">
        <v>41415990.990990989</v>
      </c>
      <c r="U187">
        <v>9508108.1081081089</v>
      </c>
      <c r="V187">
        <v>12330900.9009009</v>
      </c>
      <c r="W187">
        <v>3832</v>
      </c>
      <c r="X187">
        <v>3907</v>
      </c>
    </row>
    <row r="188" spans="1:24">
      <c r="A188" s="7" t="s">
        <v>275</v>
      </c>
      <c r="B188" s="16" t="s">
        <v>260</v>
      </c>
      <c r="C188">
        <v>239818606.36612383</v>
      </c>
      <c r="D188">
        <v>228380844.24600175</v>
      </c>
      <c r="E188">
        <v>6406216.2162162159</v>
      </c>
      <c r="F188">
        <v>5682522.5225225231</v>
      </c>
      <c r="G188">
        <v>83</v>
      </c>
      <c r="H188">
        <v>26</v>
      </c>
      <c r="I188">
        <v>5</v>
      </c>
      <c r="J188">
        <v>6</v>
      </c>
      <c r="K188">
        <v>1</v>
      </c>
      <c r="M188">
        <v>86</v>
      </c>
      <c r="N188">
        <v>30</v>
      </c>
      <c r="O188">
        <v>40359909.909909904</v>
      </c>
      <c r="P188">
        <v>46848648.648648649</v>
      </c>
      <c r="Q188">
        <v>300</v>
      </c>
      <c r="R188">
        <v>21</v>
      </c>
      <c r="S188">
        <v>54969954.954954952</v>
      </c>
      <c r="T188">
        <v>51340567.567567565</v>
      </c>
      <c r="U188">
        <v>39295855.855855852</v>
      </c>
      <c r="V188">
        <v>46597567.567567565</v>
      </c>
      <c r="W188">
        <v>6009</v>
      </c>
      <c r="X188">
        <v>5762</v>
      </c>
    </row>
    <row r="189" spans="1:24">
      <c r="A189" s="7" t="s">
        <v>276</v>
      </c>
      <c r="B189" s="16" t="s">
        <v>134</v>
      </c>
      <c r="C189">
        <v>286066800.23081934</v>
      </c>
      <c r="D189">
        <v>287817740.48743212</v>
      </c>
      <c r="E189">
        <v>28828.828828828999</v>
      </c>
      <c r="F189">
        <v>355855.85585585801</v>
      </c>
      <c r="G189">
        <v>45</v>
      </c>
      <c r="H189">
        <v>59</v>
      </c>
      <c r="I189">
        <v>4</v>
      </c>
      <c r="J189">
        <v>5</v>
      </c>
      <c r="M189">
        <v>50</v>
      </c>
      <c r="N189">
        <v>68</v>
      </c>
      <c r="O189">
        <v>12371171.171171172</v>
      </c>
      <c r="P189">
        <v>14319819.819819823</v>
      </c>
      <c r="Q189">
        <v>20</v>
      </c>
      <c r="S189">
        <v>25269801.801801801</v>
      </c>
      <c r="T189">
        <v>24919959.459459461</v>
      </c>
      <c r="U189">
        <v>8116486.4864864852</v>
      </c>
      <c r="V189">
        <v>6694504.5045045037</v>
      </c>
      <c r="W189">
        <v>5284</v>
      </c>
      <c r="X189">
        <v>5266</v>
      </c>
    </row>
    <row r="190" spans="1:24">
      <c r="A190" s="7" t="s">
        <v>277</v>
      </c>
      <c r="B190" s="16" t="s">
        <v>169</v>
      </c>
      <c r="C190">
        <v>221882923.37287542</v>
      </c>
      <c r="D190">
        <v>169863174.69647628</v>
      </c>
      <c r="E190">
        <v>583783.78378378297</v>
      </c>
      <c r="F190">
        <v>1476576.576576577</v>
      </c>
      <c r="G190">
        <v>36</v>
      </c>
      <c r="H190">
        <v>35</v>
      </c>
      <c r="I190">
        <v>1</v>
      </c>
      <c r="J190">
        <v>1</v>
      </c>
      <c r="M190">
        <v>38</v>
      </c>
      <c r="N190">
        <v>48</v>
      </c>
      <c r="O190">
        <v>17867315.315315317</v>
      </c>
      <c r="P190">
        <v>14127477.477477478</v>
      </c>
      <c r="Q190">
        <v>11</v>
      </c>
      <c r="R190">
        <v>14</v>
      </c>
      <c r="S190">
        <v>91409306.306306303</v>
      </c>
      <c r="T190">
        <v>77764943.693693697</v>
      </c>
      <c r="U190">
        <v>15330630.630630629</v>
      </c>
      <c r="V190">
        <v>10667207.207207208</v>
      </c>
      <c r="W190">
        <v>3331</v>
      </c>
      <c r="X190">
        <v>3283</v>
      </c>
    </row>
    <row r="191" spans="1:24">
      <c r="A191" s="7" t="s">
        <v>278</v>
      </c>
      <c r="B191" s="16" t="s">
        <v>169</v>
      </c>
      <c r="C191">
        <v>96881940.377170265</v>
      </c>
      <c r="D191">
        <v>98844686.902559131</v>
      </c>
      <c r="E191">
        <v>900.900900901</v>
      </c>
      <c r="F191">
        <v>3603.603603604</v>
      </c>
      <c r="G191">
        <v>6</v>
      </c>
      <c r="H191">
        <v>18</v>
      </c>
      <c r="M191">
        <v>6</v>
      </c>
      <c r="N191">
        <v>19</v>
      </c>
      <c r="O191">
        <v>5885602.702702703</v>
      </c>
      <c r="P191">
        <v>6973536.036036036</v>
      </c>
      <c r="S191">
        <v>37570828.828828834</v>
      </c>
      <c r="T191">
        <v>43617716.216216214</v>
      </c>
      <c r="U191">
        <v>4164954.9549549548</v>
      </c>
      <c r="V191">
        <v>5092522.5225225231</v>
      </c>
      <c r="W191">
        <v>2079</v>
      </c>
      <c r="X191">
        <v>2066</v>
      </c>
    </row>
    <row r="192" spans="1:24">
      <c r="A192" s="7" t="s">
        <v>279</v>
      </c>
      <c r="B192" s="16" t="s">
        <v>87</v>
      </c>
      <c r="C192">
        <v>2540113.8576832018</v>
      </c>
      <c r="D192">
        <v>2333078.8188567432</v>
      </c>
      <c r="G192">
        <v>4</v>
      </c>
      <c r="H192">
        <v>5</v>
      </c>
      <c r="M192">
        <v>5</v>
      </c>
      <c r="N192">
        <v>5</v>
      </c>
      <c r="S192">
        <v>1340088.2882882881</v>
      </c>
      <c r="T192">
        <v>895549.54954955005</v>
      </c>
      <c r="W192">
        <v>196</v>
      </c>
      <c r="X192">
        <v>201</v>
      </c>
    </row>
    <row r="193" spans="1:24">
      <c r="A193" s="7" t="s">
        <v>280</v>
      </c>
      <c r="B193" s="16" t="s">
        <v>169</v>
      </c>
      <c r="C193">
        <v>170015603.11690187</v>
      </c>
      <c r="D193">
        <v>166666965.90388909</v>
      </c>
      <c r="E193">
        <v>905630.63063062902</v>
      </c>
      <c r="F193">
        <v>844144.14414414496</v>
      </c>
      <c r="G193">
        <v>33</v>
      </c>
      <c r="H193">
        <v>39</v>
      </c>
      <c r="I193">
        <v>5</v>
      </c>
      <c r="J193">
        <v>4</v>
      </c>
      <c r="M193">
        <v>37</v>
      </c>
      <c r="N193">
        <v>41</v>
      </c>
      <c r="O193">
        <v>16914337.837837838</v>
      </c>
      <c r="P193">
        <v>23702522.52252252</v>
      </c>
      <c r="Q193">
        <v>43</v>
      </c>
      <c r="R193">
        <v>95</v>
      </c>
      <c r="S193">
        <v>65935045.045045048</v>
      </c>
      <c r="T193">
        <v>67516378.378378376</v>
      </c>
      <c r="U193">
        <v>17399819.819819819</v>
      </c>
      <c r="V193">
        <v>21038468.468468469</v>
      </c>
      <c r="W193">
        <v>4117</v>
      </c>
      <c r="X193">
        <v>4186</v>
      </c>
    </row>
    <row r="194" spans="1:24">
      <c r="A194" s="7" t="s">
        <v>281</v>
      </c>
      <c r="B194" s="16" t="s">
        <v>54</v>
      </c>
      <c r="C194">
        <v>130432055.08865397</v>
      </c>
      <c r="D194">
        <v>124651194.47268564</v>
      </c>
      <c r="E194">
        <v>590315.31531531701</v>
      </c>
      <c r="F194">
        <v>1548648.6486486499</v>
      </c>
      <c r="G194">
        <v>48</v>
      </c>
      <c r="H194">
        <v>47</v>
      </c>
      <c r="I194">
        <v>6</v>
      </c>
      <c r="J194">
        <v>12</v>
      </c>
      <c r="K194">
        <v>3</v>
      </c>
      <c r="M194">
        <v>56</v>
      </c>
      <c r="N194">
        <v>59</v>
      </c>
      <c r="O194">
        <v>13588738.738738738</v>
      </c>
      <c r="P194">
        <v>14473873.873873873</v>
      </c>
      <c r="Q194">
        <v>103</v>
      </c>
      <c r="R194">
        <v>56</v>
      </c>
      <c r="S194">
        <v>26550972.97297297</v>
      </c>
      <c r="T194">
        <v>27194666.666666668</v>
      </c>
      <c r="U194">
        <v>13282792.792792792</v>
      </c>
      <c r="V194">
        <v>13348108.108108105</v>
      </c>
      <c r="W194">
        <v>3691</v>
      </c>
      <c r="X194">
        <v>3672</v>
      </c>
    </row>
    <row r="195" spans="1:24">
      <c r="A195" s="7" t="s">
        <v>282</v>
      </c>
      <c r="B195" s="16" t="s">
        <v>283</v>
      </c>
      <c r="C195">
        <v>211402502.89455447</v>
      </c>
      <c r="D195">
        <v>170746358.20157781</v>
      </c>
      <c r="E195">
        <v>953603.60360360402</v>
      </c>
      <c r="F195">
        <v>328828.82882882899</v>
      </c>
      <c r="G195">
        <v>94</v>
      </c>
      <c r="H195">
        <v>61</v>
      </c>
      <c r="I195">
        <v>2</v>
      </c>
      <c r="J195">
        <v>2</v>
      </c>
      <c r="M195">
        <v>98</v>
      </c>
      <c r="N195">
        <v>92</v>
      </c>
      <c r="O195">
        <v>6214864.8648648662</v>
      </c>
      <c r="P195">
        <v>8897477.4774774797</v>
      </c>
      <c r="Q195">
        <v>1</v>
      </c>
      <c r="R195">
        <v>1</v>
      </c>
      <c r="S195">
        <v>25839909.909909911</v>
      </c>
      <c r="T195">
        <v>27449495.495495494</v>
      </c>
      <c r="U195">
        <v>7219729.7297297306</v>
      </c>
      <c r="V195">
        <v>9051081.0810810812</v>
      </c>
      <c r="W195">
        <v>3413</v>
      </c>
      <c r="X195">
        <v>3394</v>
      </c>
    </row>
    <row r="196" spans="1:24">
      <c r="A196" s="7" t="s">
        <v>284</v>
      </c>
      <c r="B196" s="16" t="s">
        <v>283</v>
      </c>
      <c r="C196">
        <v>344953642.4595958</v>
      </c>
      <c r="D196">
        <v>356431868.31715298</v>
      </c>
      <c r="E196">
        <v>1457432.4324324341</v>
      </c>
      <c r="F196">
        <v>2753603.6036036089</v>
      </c>
      <c r="G196">
        <v>83</v>
      </c>
      <c r="H196">
        <v>69</v>
      </c>
      <c r="I196">
        <v>8</v>
      </c>
      <c r="J196">
        <v>7</v>
      </c>
      <c r="M196">
        <v>94</v>
      </c>
      <c r="N196">
        <v>113</v>
      </c>
      <c r="O196">
        <v>39706306.306306303</v>
      </c>
      <c r="P196">
        <v>42004504.504504502</v>
      </c>
      <c r="Q196">
        <v>38</v>
      </c>
      <c r="R196">
        <v>98</v>
      </c>
      <c r="S196">
        <v>67733981.981981978</v>
      </c>
      <c r="T196">
        <v>75377585.585585579</v>
      </c>
      <c r="U196">
        <v>33376036.036036037</v>
      </c>
      <c r="V196">
        <v>38478648.648648649</v>
      </c>
      <c r="W196">
        <v>8066</v>
      </c>
      <c r="X196">
        <v>8237</v>
      </c>
    </row>
    <row r="197" spans="1:24">
      <c r="A197" s="7" t="s">
        <v>285</v>
      </c>
      <c r="B197" s="16" t="s">
        <v>283</v>
      </c>
      <c r="C197">
        <v>183167731.20377815</v>
      </c>
      <c r="D197">
        <v>186867109.18205512</v>
      </c>
      <c r="E197">
        <v>1383783.783783786</v>
      </c>
      <c r="F197">
        <v>1708018.0180180189</v>
      </c>
      <c r="G197">
        <v>63</v>
      </c>
      <c r="H197">
        <v>36</v>
      </c>
      <c r="I197">
        <v>11</v>
      </c>
      <c r="J197">
        <v>6</v>
      </c>
      <c r="M197">
        <v>67</v>
      </c>
      <c r="N197">
        <v>64</v>
      </c>
      <c r="O197">
        <v>47909009.009009011</v>
      </c>
      <c r="P197">
        <v>50146126.126126125</v>
      </c>
      <c r="Q197">
        <v>33</v>
      </c>
      <c r="R197">
        <v>76</v>
      </c>
      <c r="S197">
        <v>58416648.648648649</v>
      </c>
      <c r="T197">
        <v>57561567.567567565</v>
      </c>
      <c r="U197">
        <v>41227387.387387395</v>
      </c>
      <c r="V197">
        <v>43797837.837837838</v>
      </c>
      <c r="W197">
        <v>4695</v>
      </c>
      <c r="X197">
        <v>4642</v>
      </c>
    </row>
    <row r="198" spans="1:24">
      <c r="A198" s="7" t="s">
        <v>286</v>
      </c>
      <c r="B198" s="16" t="s">
        <v>283</v>
      </c>
      <c r="C198">
        <v>131760434.47640117</v>
      </c>
      <c r="D198">
        <v>140121264.63668907</v>
      </c>
      <c r="E198">
        <v>72747.747747747999</v>
      </c>
      <c r="F198">
        <v>614414.414414417</v>
      </c>
      <c r="G198">
        <v>20</v>
      </c>
      <c r="H198">
        <v>10</v>
      </c>
      <c r="I198">
        <v>4</v>
      </c>
      <c r="J198">
        <v>2</v>
      </c>
      <c r="M198">
        <v>21</v>
      </c>
      <c r="N198">
        <v>12</v>
      </c>
      <c r="O198">
        <v>5834234.2342342352</v>
      </c>
      <c r="P198">
        <v>31767567.567567568</v>
      </c>
      <c r="Q198">
        <v>67</v>
      </c>
      <c r="R198">
        <v>109</v>
      </c>
      <c r="S198">
        <v>21553729.729729727</v>
      </c>
      <c r="T198">
        <v>26544828.828828827</v>
      </c>
      <c r="U198">
        <v>4854324.3243243238</v>
      </c>
      <c r="V198">
        <v>30651531.531531528</v>
      </c>
      <c r="W198">
        <v>2482</v>
      </c>
      <c r="X198">
        <v>2487</v>
      </c>
    </row>
    <row r="199" spans="1:24">
      <c r="A199" s="7" t="s">
        <v>287</v>
      </c>
      <c r="B199" s="16" t="s">
        <v>283</v>
      </c>
      <c r="C199">
        <v>67020672.545918129</v>
      </c>
      <c r="D199">
        <v>71027987.912241131</v>
      </c>
      <c r="E199">
        <v>80180.180180181007</v>
      </c>
      <c r="F199">
        <v>454054.05405405699</v>
      </c>
      <c r="G199">
        <v>6</v>
      </c>
      <c r="H199">
        <v>1</v>
      </c>
      <c r="I199">
        <v>1</v>
      </c>
      <c r="J199">
        <v>1</v>
      </c>
      <c r="M199">
        <v>6</v>
      </c>
      <c r="N199">
        <v>2</v>
      </c>
      <c r="O199">
        <v>80180.180180181007</v>
      </c>
      <c r="P199">
        <v>12670270.270270269</v>
      </c>
      <c r="R199">
        <v>2</v>
      </c>
      <c r="S199">
        <v>11940810.81081081</v>
      </c>
      <c r="T199">
        <v>12842990.990990993</v>
      </c>
      <c r="V199">
        <v>12282702.702702705</v>
      </c>
      <c r="W199">
        <v>1349</v>
      </c>
      <c r="X199">
        <v>1385</v>
      </c>
    </row>
    <row r="200" spans="1:24">
      <c r="A200" s="7" t="s">
        <v>288</v>
      </c>
      <c r="B200" s="16" t="s">
        <v>283</v>
      </c>
      <c r="C200">
        <v>11450520.256602548</v>
      </c>
      <c r="D200">
        <v>11402287.213295404</v>
      </c>
      <c r="E200">
        <v>5180.1801801800002</v>
      </c>
      <c r="F200">
        <v>370270.27027027</v>
      </c>
      <c r="G200">
        <v>5</v>
      </c>
      <c r="M200">
        <v>5</v>
      </c>
      <c r="O200">
        <v>793693.69369369396</v>
      </c>
      <c r="P200">
        <v>19847747.747747749</v>
      </c>
      <c r="Q200">
        <v>25</v>
      </c>
      <c r="R200">
        <v>98</v>
      </c>
      <c r="S200">
        <v>1809324.324324324</v>
      </c>
      <c r="T200">
        <v>1730549.5495495501</v>
      </c>
      <c r="U200">
        <v>788288.28828828805</v>
      </c>
      <c r="V200">
        <v>19450450.45045045</v>
      </c>
      <c r="W200">
        <v>314</v>
      </c>
      <c r="X200">
        <v>310</v>
      </c>
    </row>
    <row r="201" spans="1:24">
      <c r="A201" s="7" t="s">
        <v>289</v>
      </c>
      <c r="B201" s="16" t="s">
        <v>290</v>
      </c>
      <c r="C201">
        <v>146156217.11682859</v>
      </c>
      <c r="D201">
        <v>144233443.40275481</v>
      </c>
      <c r="E201">
        <v>32432.432432433001</v>
      </c>
      <c r="F201">
        <v>124324.324324325</v>
      </c>
      <c r="G201">
        <v>56</v>
      </c>
      <c r="H201">
        <v>40</v>
      </c>
      <c r="I201">
        <v>2</v>
      </c>
      <c r="J201">
        <v>1</v>
      </c>
      <c r="M201">
        <v>65</v>
      </c>
      <c r="N201">
        <v>43</v>
      </c>
      <c r="O201">
        <v>1518918.91891892</v>
      </c>
      <c r="P201">
        <v>630630.630630631</v>
      </c>
      <c r="Q201">
        <v>10</v>
      </c>
      <c r="R201">
        <v>8</v>
      </c>
      <c r="S201">
        <v>13077156.756756756</v>
      </c>
      <c r="T201">
        <v>13450082.882882884</v>
      </c>
      <c r="U201">
        <v>1469909.909909911</v>
      </c>
      <c r="V201">
        <v>818108.10810810805</v>
      </c>
      <c r="W201">
        <v>4097</v>
      </c>
      <c r="X201">
        <v>4198</v>
      </c>
    </row>
    <row r="202" spans="1:24">
      <c r="A202" s="7" t="s">
        <v>291</v>
      </c>
      <c r="B202" s="16" t="s">
        <v>147</v>
      </c>
      <c r="C202">
        <v>340819353.49191129</v>
      </c>
      <c r="D202">
        <v>338680060.63628805</v>
      </c>
      <c r="E202">
        <v>724324.32432432601</v>
      </c>
      <c r="F202">
        <v>5319099.0990991006</v>
      </c>
      <c r="G202">
        <v>56</v>
      </c>
      <c r="H202">
        <v>87</v>
      </c>
      <c r="I202">
        <v>8</v>
      </c>
      <c r="J202">
        <v>8</v>
      </c>
      <c r="K202">
        <v>2</v>
      </c>
      <c r="M202">
        <v>68</v>
      </c>
      <c r="N202">
        <v>104</v>
      </c>
      <c r="O202">
        <v>50304504.504504502</v>
      </c>
      <c r="P202">
        <v>130450866.66666666</v>
      </c>
      <c r="Q202">
        <v>177</v>
      </c>
      <c r="R202">
        <v>213</v>
      </c>
      <c r="S202">
        <v>115456216.21621622</v>
      </c>
      <c r="T202">
        <v>134225639.63963965</v>
      </c>
      <c r="U202">
        <v>43514594.59459459</v>
      </c>
      <c r="V202">
        <v>124889819.81981982</v>
      </c>
      <c r="W202">
        <v>7534</v>
      </c>
      <c r="X202">
        <v>7543</v>
      </c>
    </row>
    <row r="203" spans="1:24">
      <c r="A203" s="7" t="s">
        <v>292</v>
      </c>
      <c r="B203" s="16" t="s">
        <v>293</v>
      </c>
      <c r="C203">
        <v>173853846.99772322</v>
      </c>
      <c r="D203">
        <v>160602639.11035672</v>
      </c>
      <c r="E203">
        <v>103465582.88288288</v>
      </c>
      <c r="F203">
        <v>97539064.864864871</v>
      </c>
      <c r="G203">
        <v>19</v>
      </c>
      <c r="H203">
        <v>16</v>
      </c>
      <c r="I203">
        <v>15</v>
      </c>
      <c r="J203">
        <v>8</v>
      </c>
      <c r="M203">
        <v>28</v>
      </c>
      <c r="N203">
        <v>22</v>
      </c>
      <c r="O203">
        <v>33962072.072072066</v>
      </c>
      <c r="P203">
        <v>45826666.666666664</v>
      </c>
      <c r="Q203">
        <v>230</v>
      </c>
      <c r="R203">
        <v>50</v>
      </c>
      <c r="S203">
        <v>20914495.495495494</v>
      </c>
      <c r="T203">
        <v>22413045.045045048</v>
      </c>
      <c r="U203">
        <v>26146486.486486487</v>
      </c>
      <c r="V203">
        <v>39969639.639639638</v>
      </c>
      <c r="W203">
        <v>3645</v>
      </c>
      <c r="X203">
        <v>3484</v>
      </c>
    </row>
    <row r="204" spans="1:24">
      <c r="A204" s="7" t="s">
        <v>294</v>
      </c>
      <c r="B204" s="16" t="s">
        <v>290</v>
      </c>
      <c r="C204">
        <v>48546460.817101642</v>
      </c>
      <c r="D204">
        <v>35460029.671235353</v>
      </c>
      <c r="E204">
        <v>571171.17117117206</v>
      </c>
      <c r="F204">
        <v>824324.32432432403</v>
      </c>
      <c r="G204">
        <v>20</v>
      </c>
      <c r="H204">
        <v>8</v>
      </c>
      <c r="I204">
        <v>1</v>
      </c>
      <c r="J204">
        <v>2</v>
      </c>
      <c r="M204">
        <v>22</v>
      </c>
      <c r="N204">
        <v>8</v>
      </c>
      <c r="O204">
        <v>1472072.0720720729</v>
      </c>
      <c r="P204">
        <v>2672072.072072072</v>
      </c>
      <c r="Q204">
        <v>1</v>
      </c>
      <c r="R204">
        <v>8</v>
      </c>
      <c r="S204">
        <v>5183648.6486486495</v>
      </c>
      <c r="T204">
        <v>5180223.4234234244</v>
      </c>
      <c r="U204">
        <v>1835135.1351351361</v>
      </c>
      <c r="V204">
        <v>2127117.1171171181</v>
      </c>
      <c r="W204">
        <v>1178</v>
      </c>
      <c r="X204">
        <v>1247</v>
      </c>
    </row>
    <row r="205" spans="1:24">
      <c r="A205" s="7" t="s">
        <v>678</v>
      </c>
      <c r="B205" s="16" t="s">
        <v>479</v>
      </c>
      <c r="E205">
        <v>103083466.66666667</v>
      </c>
      <c r="F205">
        <v>115965554.95495497</v>
      </c>
      <c r="O205">
        <v>8817484.6846846845</v>
      </c>
      <c r="P205">
        <v>4270184.6846846854</v>
      </c>
    </row>
    <row r="206" spans="1:24">
      <c r="A206" s="7" t="s">
        <v>295</v>
      </c>
      <c r="B206" s="16" t="s">
        <v>52</v>
      </c>
      <c r="C206">
        <v>471540440.2395643</v>
      </c>
      <c r="D206">
        <v>464905913.81623071</v>
      </c>
      <c r="E206">
        <v>4662786.4864864871</v>
      </c>
      <c r="F206">
        <v>6062162.162162167</v>
      </c>
      <c r="G206">
        <v>85</v>
      </c>
      <c r="H206">
        <v>131</v>
      </c>
      <c r="I206">
        <v>11</v>
      </c>
      <c r="J206">
        <v>15</v>
      </c>
      <c r="M206">
        <v>110</v>
      </c>
      <c r="N206">
        <v>188</v>
      </c>
      <c r="O206">
        <v>308511945.04504508</v>
      </c>
      <c r="P206">
        <v>259864684.68468469</v>
      </c>
      <c r="Q206">
        <v>235</v>
      </c>
      <c r="R206">
        <v>550</v>
      </c>
      <c r="S206">
        <v>124787297.2972973</v>
      </c>
      <c r="T206">
        <v>126298450.45045045</v>
      </c>
      <c r="U206">
        <v>295647387.38738739</v>
      </c>
      <c r="V206">
        <v>267048378.37837836</v>
      </c>
      <c r="W206">
        <v>11868</v>
      </c>
      <c r="X206">
        <v>11421</v>
      </c>
    </row>
    <row r="207" spans="1:24">
      <c r="A207" s="7" t="s">
        <v>296</v>
      </c>
      <c r="B207" s="16" t="s">
        <v>169</v>
      </c>
      <c r="C207">
        <v>152504443.26326105</v>
      </c>
      <c r="D207">
        <v>134087969.5733296</v>
      </c>
      <c r="E207">
        <v>1801.801801802</v>
      </c>
      <c r="F207">
        <v>27027.027027028002</v>
      </c>
      <c r="G207">
        <v>19</v>
      </c>
      <c r="H207">
        <v>19</v>
      </c>
      <c r="I207">
        <v>0</v>
      </c>
      <c r="J207">
        <v>0</v>
      </c>
      <c r="K207">
        <v>1</v>
      </c>
      <c r="M207">
        <v>22</v>
      </c>
      <c r="N207">
        <v>26</v>
      </c>
      <c r="O207">
        <v>5722522.5225225221</v>
      </c>
      <c r="P207">
        <v>10567567.567567568</v>
      </c>
      <c r="R207">
        <v>1</v>
      </c>
      <c r="S207">
        <v>31243756.756756756</v>
      </c>
      <c r="T207">
        <v>30540216.216216218</v>
      </c>
      <c r="U207">
        <v>5243513.5135135129</v>
      </c>
      <c r="V207">
        <v>7162882.8828828828</v>
      </c>
      <c r="W207">
        <v>4502</v>
      </c>
      <c r="X207">
        <v>3430</v>
      </c>
    </row>
    <row r="208" spans="1:24">
      <c r="A208" s="7" t="s">
        <v>297</v>
      </c>
      <c r="B208" s="16" t="s">
        <v>169</v>
      </c>
      <c r="C208">
        <v>144222599.00172284</v>
      </c>
      <c r="D208">
        <v>182178380.00958619</v>
      </c>
      <c r="E208">
        <v>900.900900901</v>
      </c>
      <c r="F208">
        <v>694261.261261262</v>
      </c>
      <c r="G208">
        <v>15</v>
      </c>
      <c r="H208">
        <v>30</v>
      </c>
      <c r="J208">
        <v>0</v>
      </c>
      <c r="M208">
        <v>15</v>
      </c>
      <c r="N208">
        <v>45</v>
      </c>
      <c r="O208">
        <v>984725377.47747755</v>
      </c>
      <c r="P208">
        <v>1835042747.7477479</v>
      </c>
      <c r="S208">
        <v>54193279.279279277</v>
      </c>
      <c r="T208">
        <v>64827261.261261262</v>
      </c>
      <c r="U208">
        <v>987843272.07207203</v>
      </c>
      <c r="V208">
        <v>1827098731.5315316</v>
      </c>
      <c r="W208">
        <v>3136</v>
      </c>
      <c r="X208">
        <v>2869</v>
      </c>
    </row>
    <row r="209" spans="1:24">
      <c r="A209" s="7" t="s">
        <v>298</v>
      </c>
      <c r="B209" s="16" t="s">
        <v>89</v>
      </c>
      <c r="C209">
        <v>551360573.80717754</v>
      </c>
      <c r="D209">
        <v>531949424.02972817</v>
      </c>
      <c r="E209">
        <v>1748063.0630630699</v>
      </c>
      <c r="F209">
        <v>7891757.6576576661</v>
      </c>
      <c r="G209">
        <v>87</v>
      </c>
      <c r="H209">
        <v>102</v>
      </c>
      <c r="I209">
        <v>24</v>
      </c>
      <c r="J209">
        <v>36</v>
      </c>
      <c r="K209">
        <v>2</v>
      </c>
      <c r="M209">
        <v>96</v>
      </c>
      <c r="N209">
        <v>204</v>
      </c>
      <c r="O209">
        <v>35109369.369369365</v>
      </c>
      <c r="P209">
        <v>34295258.558558561</v>
      </c>
      <c r="Q209">
        <v>379</v>
      </c>
      <c r="R209">
        <v>248</v>
      </c>
      <c r="S209">
        <v>101191576.57657658</v>
      </c>
      <c r="T209">
        <v>104177801.8018018</v>
      </c>
      <c r="U209">
        <v>35813783.783783786</v>
      </c>
      <c r="V209">
        <v>31094504.504504506</v>
      </c>
      <c r="W209">
        <v>10951</v>
      </c>
      <c r="X209">
        <v>11302</v>
      </c>
    </row>
    <row r="210" spans="1:24">
      <c r="A210" s="7" t="s">
        <v>299</v>
      </c>
      <c r="B210" s="16" t="s">
        <v>134</v>
      </c>
      <c r="C210">
        <v>280087087.36937243</v>
      </c>
      <c r="D210">
        <v>296658111.17798334</v>
      </c>
      <c r="E210">
        <v>1731756.756756766</v>
      </c>
      <c r="F210">
        <v>2029729.729729732</v>
      </c>
      <c r="G210">
        <v>125</v>
      </c>
      <c r="H210">
        <v>69</v>
      </c>
      <c r="I210">
        <v>37</v>
      </c>
      <c r="J210">
        <v>10</v>
      </c>
      <c r="M210">
        <v>205</v>
      </c>
      <c r="N210">
        <v>88</v>
      </c>
      <c r="O210">
        <v>30811711.711711712</v>
      </c>
      <c r="P210">
        <v>21863063.063063063</v>
      </c>
      <c r="Q210">
        <v>282</v>
      </c>
      <c r="R210">
        <v>81</v>
      </c>
      <c r="S210">
        <v>40099304.504504502</v>
      </c>
      <c r="T210">
        <v>35922099.0990991</v>
      </c>
      <c r="U210">
        <v>25998421.621621624</v>
      </c>
      <c r="V210">
        <v>18529459.459459461</v>
      </c>
      <c r="W210">
        <v>7180</v>
      </c>
      <c r="X210">
        <v>7436</v>
      </c>
    </row>
    <row r="211" spans="1:24">
      <c r="A211" s="7" t="s">
        <v>300</v>
      </c>
      <c r="B211" s="16" t="s">
        <v>290</v>
      </c>
      <c r="C211">
        <v>219848463.14971131</v>
      </c>
      <c r="D211">
        <v>200850456.01766583</v>
      </c>
      <c r="E211">
        <v>127418052.25225225</v>
      </c>
      <c r="F211">
        <v>155327328.82882884</v>
      </c>
      <c r="G211">
        <v>100</v>
      </c>
      <c r="H211">
        <v>68</v>
      </c>
      <c r="I211">
        <v>18</v>
      </c>
      <c r="J211">
        <v>17</v>
      </c>
      <c r="M211">
        <v>105</v>
      </c>
      <c r="N211">
        <v>77</v>
      </c>
      <c r="O211">
        <v>43507884.684684686</v>
      </c>
      <c r="P211">
        <v>35688343.243243247</v>
      </c>
      <c r="Q211">
        <v>92</v>
      </c>
      <c r="R211">
        <v>59</v>
      </c>
      <c r="S211">
        <v>29952522.52252252</v>
      </c>
      <c r="T211">
        <v>28174318.018018018</v>
      </c>
      <c r="U211">
        <v>20500360.360360362</v>
      </c>
      <c r="V211">
        <v>14607477.477477476</v>
      </c>
      <c r="W211">
        <v>4425</v>
      </c>
      <c r="X211">
        <v>4329</v>
      </c>
    </row>
    <row r="212" spans="1:24">
      <c r="A212" s="7" t="s">
        <v>301</v>
      </c>
      <c r="B212" s="16" t="s">
        <v>80</v>
      </c>
      <c r="C212">
        <v>321004941.86903656</v>
      </c>
      <c r="D212">
        <v>296349335.95177966</v>
      </c>
      <c r="E212">
        <v>1219369.3693693699</v>
      </c>
      <c r="F212">
        <v>4187162.1621621642</v>
      </c>
      <c r="G212">
        <v>96</v>
      </c>
      <c r="H212">
        <v>53</v>
      </c>
      <c r="I212">
        <v>8</v>
      </c>
      <c r="J212">
        <v>11</v>
      </c>
      <c r="M212">
        <v>105</v>
      </c>
      <c r="N212">
        <v>59</v>
      </c>
      <c r="O212">
        <v>27854684.684684683</v>
      </c>
      <c r="P212">
        <v>47800450.45045045</v>
      </c>
      <c r="Q212">
        <v>113</v>
      </c>
      <c r="R212">
        <v>155</v>
      </c>
      <c r="S212">
        <v>69589779.279279277</v>
      </c>
      <c r="T212">
        <v>62326052.252252251</v>
      </c>
      <c r="U212">
        <v>26452792.792792793</v>
      </c>
      <c r="V212">
        <v>41972792.79279279</v>
      </c>
      <c r="W212">
        <v>5743</v>
      </c>
      <c r="X212">
        <v>5654</v>
      </c>
    </row>
    <row r="213" spans="1:24">
      <c r="A213" s="7" t="s">
        <v>302</v>
      </c>
      <c r="B213" s="16" t="s">
        <v>72</v>
      </c>
      <c r="C213">
        <v>454032487.14867467</v>
      </c>
      <c r="D213">
        <v>452378772.31950277</v>
      </c>
      <c r="E213">
        <v>204504.504504507</v>
      </c>
      <c r="F213">
        <v>1285585.585585587</v>
      </c>
      <c r="G213">
        <v>88</v>
      </c>
      <c r="H213">
        <v>112</v>
      </c>
      <c r="I213">
        <v>16</v>
      </c>
      <c r="J213">
        <v>15</v>
      </c>
      <c r="K213">
        <v>3</v>
      </c>
      <c r="M213">
        <v>90</v>
      </c>
      <c r="N213">
        <v>120</v>
      </c>
      <c r="O213">
        <v>29130990.990990993</v>
      </c>
      <c r="P213">
        <v>26909909.909909911</v>
      </c>
      <c r="Q213">
        <v>68</v>
      </c>
      <c r="R213">
        <v>59</v>
      </c>
      <c r="S213">
        <v>62418594.59459459</v>
      </c>
      <c r="T213">
        <v>67447639.639639646</v>
      </c>
      <c r="U213">
        <v>24812792.792792793</v>
      </c>
      <c r="V213">
        <v>23495585.585585587</v>
      </c>
      <c r="W213">
        <v>8918</v>
      </c>
      <c r="X213">
        <v>9016</v>
      </c>
    </row>
    <row r="214" spans="1:24">
      <c r="A214" s="7" t="s">
        <v>303</v>
      </c>
      <c r="B214" s="16" t="s">
        <v>304</v>
      </c>
      <c r="C214">
        <v>1566616.3492630459</v>
      </c>
      <c r="D214">
        <v>1579582.0554506669</v>
      </c>
      <c r="S214">
        <v>769144.14414414403</v>
      </c>
      <c r="T214">
        <v>651441.44144144095</v>
      </c>
      <c r="W214">
        <v>70</v>
      </c>
      <c r="X214">
        <v>66</v>
      </c>
    </row>
    <row r="215" spans="1:24">
      <c r="A215" s="7" t="s">
        <v>305</v>
      </c>
      <c r="B215" s="16" t="s">
        <v>117</v>
      </c>
      <c r="C215">
        <v>68935849.750619367</v>
      </c>
      <c r="D215">
        <v>58736356.568366103</v>
      </c>
      <c r="E215">
        <v>16216.216216217999</v>
      </c>
      <c r="F215">
        <v>308108.10810810601</v>
      </c>
      <c r="G215">
        <v>13</v>
      </c>
      <c r="H215">
        <v>19</v>
      </c>
      <c r="I215">
        <v>6</v>
      </c>
      <c r="J215">
        <v>7</v>
      </c>
      <c r="M215">
        <v>15</v>
      </c>
      <c r="N215">
        <v>39</v>
      </c>
      <c r="O215">
        <v>3035225.2252252242</v>
      </c>
      <c r="P215">
        <v>3283243.243243244</v>
      </c>
      <c r="Q215">
        <v>33</v>
      </c>
      <c r="R215">
        <v>21</v>
      </c>
      <c r="S215">
        <v>27208153.153153151</v>
      </c>
      <c r="T215">
        <v>25669594.59459459</v>
      </c>
      <c r="U215">
        <v>2843333.3333333302</v>
      </c>
      <c r="V215">
        <v>3097657.6576576568</v>
      </c>
      <c r="W215">
        <v>1820</v>
      </c>
      <c r="X215">
        <v>1771</v>
      </c>
    </row>
    <row r="216" spans="1:24">
      <c r="A216" s="7" t="s">
        <v>306</v>
      </c>
      <c r="B216" s="16" t="s">
        <v>307</v>
      </c>
      <c r="C216">
        <v>76081620.994529009</v>
      </c>
      <c r="D216">
        <v>75485460.29396449</v>
      </c>
      <c r="E216">
        <v>171213738.73873875</v>
      </c>
      <c r="F216">
        <v>405054954.95495492</v>
      </c>
      <c r="G216">
        <v>41</v>
      </c>
      <c r="H216">
        <v>38</v>
      </c>
      <c r="M216">
        <v>45</v>
      </c>
      <c r="N216">
        <v>49</v>
      </c>
      <c r="O216">
        <v>11285495.495495496</v>
      </c>
      <c r="P216">
        <v>2362837.8378378372</v>
      </c>
      <c r="Q216">
        <v>35</v>
      </c>
      <c r="R216">
        <v>24</v>
      </c>
      <c r="S216">
        <v>37849225.225225225</v>
      </c>
      <c r="T216">
        <v>39989594.59459459</v>
      </c>
      <c r="U216">
        <v>1183783.783783783</v>
      </c>
      <c r="V216">
        <v>1092432.432432432</v>
      </c>
      <c r="W216">
        <v>4391</v>
      </c>
      <c r="X216">
        <v>4150</v>
      </c>
    </row>
    <row r="217" spans="1:24">
      <c r="A217" s="7" t="s">
        <v>308</v>
      </c>
      <c r="B217" s="16" t="s">
        <v>140</v>
      </c>
      <c r="C217">
        <v>465615716.09147835</v>
      </c>
      <c r="D217">
        <v>475370785.23572767</v>
      </c>
      <c r="E217">
        <v>824684.68468468601</v>
      </c>
      <c r="F217">
        <v>2188738.7387387459</v>
      </c>
      <c r="G217">
        <v>38</v>
      </c>
      <c r="H217">
        <v>76</v>
      </c>
      <c r="I217">
        <v>9</v>
      </c>
      <c r="J217">
        <v>14</v>
      </c>
      <c r="M217">
        <v>53</v>
      </c>
      <c r="N217">
        <v>92</v>
      </c>
      <c r="O217">
        <v>72565315.315315306</v>
      </c>
      <c r="P217">
        <v>91153603.603603601</v>
      </c>
      <c r="Q217">
        <v>13</v>
      </c>
      <c r="R217">
        <v>171</v>
      </c>
      <c r="S217">
        <v>98814007.207207203</v>
      </c>
      <c r="T217">
        <v>106496500</v>
      </c>
      <c r="U217">
        <v>45716486.486486487</v>
      </c>
      <c r="V217">
        <v>48889459.459459454</v>
      </c>
      <c r="W217">
        <v>7896</v>
      </c>
      <c r="X217">
        <v>8152</v>
      </c>
    </row>
    <row r="218" spans="1:24">
      <c r="A218" s="7" t="s">
        <v>309</v>
      </c>
      <c r="B218" s="16" t="s">
        <v>132</v>
      </c>
      <c r="C218">
        <v>560874676.89409888</v>
      </c>
      <c r="D218">
        <v>468721635.73480195</v>
      </c>
      <c r="E218">
        <v>56378765.765765771</v>
      </c>
      <c r="F218">
        <v>47783486.486486487</v>
      </c>
      <c r="G218">
        <v>173</v>
      </c>
      <c r="H218">
        <v>138</v>
      </c>
      <c r="I218">
        <v>3</v>
      </c>
      <c r="J218">
        <v>3</v>
      </c>
      <c r="M218">
        <v>197</v>
      </c>
      <c r="N218">
        <v>162</v>
      </c>
      <c r="O218">
        <v>39324324.324324317</v>
      </c>
      <c r="P218">
        <v>21658558.558558561</v>
      </c>
      <c r="Q218">
        <v>112</v>
      </c>
      <c r="R218">
        <v>26</v>
      </c>
      <c r="S218">
        <v>148286468.46846849</v>
      </c>
      <c r="T218">
        <v>125110351.35135137</v>
      </c>
      <c r="U218">
        <v>29455225.225225225</v>
      </c>
      <c r="V218">
        <v>15473513.513513517</v>
      </c>
      <c r="W218">
        <v>11967</v>
      </c>
      <c r="X218">
        <v>12671</v>
      </c>
    </row>
    <row r="219" spans="1:24">
      <c r="A219" s="7" t="s">
        <v>310</v>
      </c>
      <c r="B219" s="16" t="s">
        <v>72</v>
      </c>
      <c r="C219">
        <v>810515380.26282239</v>
      </c>
      <c r="D219">
        <v>768813708.34898019</v>
      </c>
      <c r="E219">
        <v>1986801.8018018091</v>
      </c>
      <c r="F219">
        <v>5859684.6846846938</v>
      </c>
      <c r="G219">
        <v>194</v>
      </c>
      <c r="H219">
        <v>181</v>
      </c>
      <c r="I219">
        <v>41</v>
      </c>
      <c r="J219">
        <v>56</v>
      </c>
      <c r="M219">
        <v>227</v>
      </c>
      <c r="N219">
        <v>224</v>
      </c>
      <c r="O219">
        <v>111532162.16216215</v>
      </c>
      <c r="P219">
        <v>109186486.48648648</v>
      </c>
      <c r="Q219">
        <v>187</v>
      </c>
      <c r="R219">
        <v>148</v>
      </c>
      <c r="S219">
        <v>193289718.91891891</v>
      </c>
      <c r="T219">
        <v>193912478.37837836</v>
      </c>
      <c r="U219">
        <v>99456486.48648648</v>
      </c>
      <c r="V219">
        <v>97200223.423423424</v>
      </c>
      <c r="W219">
        <v>16683</v>
      </c>
      <c r="X219">
        <v>16855</v>
      </c>
    </row>
    <row r="220" spans="1:24">
      <c r="A220" s="7" t="s">
        <v>311</v>
      </c>
      <c r="B220" s="16" t="s">
        <v>62</v>
      </c>
      <c r="C220">
        <v>139917251.98446938</v>
      </c>
      <c r="D220">
        <v>133988409.7973998</v>
      </c>
      <c r="E220">
        <v>210810.81081081199</v>
      </c>
      <c r="F220">
        <v>1651351.351351354</v>
      </c>
      <c r="G220">
        <v>22</v>
      </c>
      <c r="H220">
        <v>16</v>
      </c>
      <c r="I220">
        <v>6</v>
      </c>
      <c r="J220">
        <v>5</v>
      </c>
      <c r="M220">
        <v>25</v>
      </c>
      <c r="N220">
        <v>17</v>
      </c>
      <c r="O220">
        <v>22613153.153153151</v>
      </c>
      <c r="P220">
        <v>29286126.126126129</v>
      </c>
      <c r="Q220">
        <v>58</v>
      </c>
      <c r="R220">
        <v>42</v>
      </c>
      <c r="S220">
        <v>37491477.477477483</v>
      </c>
      <c r="T220">
        <v>37200207.20720721</v>
      </c>
      <c r="U220">
        <v>23099099.0990991</v>
      </c>
      <c r="V220">
        <v>24151441.441441443</v>
      </c>
      <c r="W220">
        <v>2303</v>
      </c>
      <c r="X220">
        <v>2251</v>
      </c>
    </row>
    <row r="221" spans="1:24">
      <c r="A221" s="7" t="s">
        <v>312</v>
      </c>
      <c r="B221" s="16" t="s">
        <v>89</v>
      </c>
      <c r="C221">
        <v>45578995.510628939</v>
      </c>
      <c r="D221">
        <v>45691075.59867613</v>
      </c>
      <c r="E221">
        <v>36936.936936938</v>
      </c>
      <c r="F221">
        <v>610810.810810811</v>
      </c>
      <c r="G221">
        <v>9</v>
      </c>
      <c r="H221">
        <v>13</v>
      </c>
      <c r="I221">
        <v>6</v>
      </c>
      <c r="J221">
        <v>10</v>
      </c>
      <c r="M221">
        <v>11</v>
      </c>
      <c r="N221">
        <v>16</v>
      </c>
      <c r="O221">
        <v>3037387.387387387</v>
      </c>
      <c r="P221">
        <v>5919459.4594594594</v>
      </c>
      <c r="Q221">
        <v>52</v>
      </c>
      <c r="R221">
        <v>112</v>
      </c>
      <c r="S221">
        <v>13767027.027027028</v>
      </c>
      <c r="T221">
        <v>15786648.648648648</v>
      </c>
      <c r="U221">
        <v>2409009.0090090069</v>
      </c>
      <c r="V221">
        <v>5896126.1261261273</v>
      </c>
      <c r="W221">
        <v>1132</v>
      </c>
      <c r="X221">
        <v>1239</v>
      </c>
    </row>
    <row r="222" spans="1:24">
      <c r="A222" s="7" t="s">
        <v>313</v>
      </c>
      <c r="B222" s="16" t="s">
        <v>92</v>
      </c>
      <c r="C222">
        <v>21538655.391451504</v>
      </c>
      <c r="D222">
        <v>20567575.424276829</v>
      </c>
      <c r="E222">
        <v>900.900900901</v>
      </c>
      <c r="F222">
        <v>144144.144144144</v>
      </c>
      <c r="G222">
        <v>4</v>
      </c>
      <c r="H222">
        <v>3</v>
      </c>
      <c r="I222">
        <v>0</v>
      </c>
      <c r="M222">
        <v>4</v>
      </c>
      <c r="N222">
        <v>3</v>
      </c>
      <c r="O222">
        <v>27927.927927928002</v>
      </c>
      <c r="P222">
        <v>1360360.36036036</v>
      </c>
      <c r="Q222">
        <v>1</v>
      </c>
      <c r="S222">
        <v>1549864.8648648651</v>
      </c>
      <c r="T222">
        <v>1346891.8918918921</v>
      </c>
      <c r="U222">
        <v>27027.027027027001</v>
      </c>
      <c r="V222">
        <v>1361261.2612612611</v>
      </c>
      <c r="W222">
        <v>501</v>
      </c>
      <c r="X222">
        <v>949</v>
      </c>
    </row>
    <row r="223" spans="1:24">
      <c r="A223" s="7" t="s">
        <v>314</v>
      </c>
      <c r="B223" s="16" t="s">
        <v>315</v>
      </c>
      <c r="C223">
        <v>169484604.62159666</v>
      </c>
      <c r="D223">
        <v>156718120.96004561</v>
      </c>
      <c r="E223">
        <v>642342.34234234202</v>
      </c>
      <c r="F223">
        <v>755405.40540540405</v>
      </c>
      <c r="G223">
        <v>52</v>
      </c>
      <c r="H223">
        <v>32</v>
      </c>
      <c r="I223">
        <v>1</v>
      </c>
      <c r="J223">
        <v>3</v>
      </c>
      <c r="M223">
        <v>56</v>
      </c>
      <c r="N223">
        <v>35</v>
      </c>
      <c r="O223">
        <v>10279729.729729731</v>
      </c>
      <c r="P223">
        <v>21967567.567567568</v>
      </c>
      <c r="S223">
        <v>27174657.657657657</v>
      </c>
      <c r="T223">
        <v>23890899.099099096</v>
      </c>
      <c r="U223">
        <v>9690360.3603603579</v>
      </c>
      <c r="V223">
        <v>21107927.927927926</v>
      </c>
      <c r="W223">
        <v>3479</v>
      </c>
      <c r="X223">
        <v>3314</v>
      </c>
    </row>
    <row r="224" spans="1:24">
      <c r="A224" s="7" t="s">
        <v>316</v>
      </c>
      <c r="B224" s="16" t="s">
        <v>62</v>
      </c>
      <c r="C224">
        <v>260615467.24957117</v>
      </c>
      <c r="D224">
        <v>263550140.77455238</v>
      </c>
      <c r="E224">
        <v>277961580.18018019</v>
      </c>
      <c r="F224">
        <v>481579734.23423421</v>
      </c>
      <c r="G224">
        <v>90</v>
      </c>
      <c r="H224">
        <v>108</v>
      </c>
      <c r="I224">
        <v>13</v>
      </c>
      <c r="J224">
        <v>15</v>
      </c>
      <c r="M224">
        <v>136</v>
      </c>
      <c r="N224">
        <v>175</v>
      </c>
      <c r="O224">
        <v>47785829.729729727</v>
      </c>
      <c r="P224">
        <v>95573368.468468457</v>
      </c>
      <c r="Q224">
        <v>65</v>
      </c>
      <c r="R224">
        <v>169</v>
      </c>
      <c r="S224">
        <v>93267558.558558553</v>
      </c>
      <c r="T224">
        <v>92008090.090090096</v>
      </c>
      <c r="U224">
        <v>17289459.459459458</v>
      </c>
      <c r="V224">
        <v>45799279.279279277</v>
      </c>
      <c r="W224">
        <v>8777</v>
      </c>
      <c r="X224">
        <v>8672</v>
      </c>
    </row>
    <row r="225" spans="1:24">
      <c r="A225" s="7" t="s">
        <v>317</v>
      </c>
      <c r="B225" s="16" t="s">
        <v>62</v>
      </c>
      <c r="C225">
        <v>262564226.54228088</v>
      </c>
      <c r="D225">
        <v>245261895.23685145</v>
      </c>
      <c r="E225">
        <v>876126.12612613</v>
      </c>
      <c r="F225">
        <v>1892792.792792795</v>
      </c>
      <c r="G225">
        <v>106</v>
      </c>
      <c r="H225">
        <v>42</v>
      </c>
      <c r="I225">
        <v>14</v>
      </c>
      <c r="J225">
        <v>10</v>
      </c>
      <c r="M225">
        <v>131</v>
      </c>
      <c r="N225">
        <v>48</v>
      </c>
      <c r="O225">
        <v>23217927.927927926</v>
      </c>
      <c r="P225">
        <v>36681081.081081077</v>
      </c>
      <c r="Q225">
        <v>17</v>
      </c>
      <c r="R225">
        <v>138</v>
      </c>
      <c r="S225">
        <v>87636621.621621609</v>
      </c>
      <c r="T225">
        <v>86593126.126126125</v>
      </c>
      <c r="U225">
        <v>23961351.351351347</v>
      </c>
      <c r="V225">
        <v>34685315.315315314</v>
      </c>
      <c r="W225">
        <v>5571</v>
      </c>
      <c r="X225">
        <v>5462</v>
      </c>
    </row>
    <row r="226" spans="1:24">
      <c r="A226" s="7" t="s">
        <v>318</v>
      </c>
      <c r="B226" s="16" t="s">
        <v>78</v>
      </c>
      <c r="C226">
        <v>272113345.09731549</v>
      </c>
      <c r="D226">
        <v>256098697.59873459</v>
      </c>
      <c r="E226">
        <v>3094459.4594594608</v>
      </c>
      <c r="F226">
        <v>5196396.3963964004</v>
      </c>
      <c r="G226">
        <v>97</v>
      </c>
      <c r="H226">
        <v>103</v>
      </c>
      <c r="I226">
        <v>16</v>
      </c>
      <c r="J226">
        <v>27</v>
      </c>
      <c r="M226">
        <v>111</v>
      </c>
      <c r="N226">
        <v>149</v>
      </c>
      <c r="O226">
        <v>55549909.909909904</v>
      </c>
      <c r="P226">
        <v>65166666.666666672</v>
      </c>
      <c r="Q226">
        <v>172</v>
      </c>
      <c r="R226">
        <v>180</v>
      </c>
      <c r="S226">
        <v>115516756.75675675</v>
      </c>
      <c r="T226">
        <v>112286905.4054054</v>
      </c>
      <c r="U226">
        <v>56179189.189189196</v>
      </c>
      <c r="V226">
        <v>64239639.639639638</v>
      </c>
      <c r="W226">
        <v>8588</v>
      </c>
      <c r="X226">
        <v>8643</v>
      </c>
    </row>
    <row r="227" spans="1:24">
      <c r="A227" s="7" t="s">
        <v>319</v>
      </c>
      <c r="B227" s="16" t="s">
        <v>78</v>
      </c>
      <c r="C227">
        <v>162140828.92975533</v>
      </c>
      <c r="D227">
        <v>153838831.08199042</v>
      </c>
      <c r="E227">
        <v>2585765.7657657671</v>
      </c>
      <c r="F227">
        <v>2851351.3513513529</v>
      </c>
      <c r="G227">
        <v>23</v>
      </c>
      <c r="H227">
        <v>75</v>
      </c>
      <c r="I227">
        <v>0</v>
      </c>
      <c r="J227">
        <v>5</v>
      </c>
      <c r="K227">
        <v>1</v>
      </c>
      <c r="M227">
        <v>33</v>
      </c>
      <c r="N227">
        <v>125</v>
      </c>
      <c r="O227">
        <v>18329009.009009007</v>
      </c>
      <c r="P227">
        <v>14545045.045045044</v>
      </c>
      <c r="Q227">
        <v>149</v>
      </c>
      <c r="R227">
        <v>121</v>
      </c>
      <c r="S227">
        <v>57017045.045045048</v>
      </c>
      <c r="T227">
        <v>58979738.738738738</v>
      </c>
      <c r="U227">
        <v>16915315.315315317</v>
      </c>
      <c r="V227">
        <v>13326126.126126127</v>
      </c>
      <c r="W227">
        <v>5699</v>
      </c>
      <c r="X227">
        <v>5637</v>
      </c>
    </row>
    <row r="228" spans="1:24">
      <c r="A228" s="7" t="s">
        <v>320</v>
      </c>
      <c r="B228" s="16" t="s">
        <v>121</v>
      </c>
      <c r="C228">
        <v>1144908.6091267581</v>
      </c>
      <c r="D228">
        <v>1149796.4597798181</v>
      </c>
      <c r="G228">
        <v>1</v>
      </c>
      <c r="M228">
        <v>3</v>
      </c>
      <c r="S228">
        <v>323873.87387387402</v>
      </c>
      <c r="T228">
        <v>114144.144144144</v>
      </c>
      <c r="W228">
        <v>63</v>
      </c>
      <c r="X228">
        <v>66</v>
      </c>
    </row>
    <row r="229" spans="1:24">
      <c r="A229" s="7" t="s">
        <v>321</v>
      </c>
      <c r="B229" s="16" t="s">
        <v>224</v>
      </c>
      <c r="C229">
        <v>204478083.84740049</v>
      </c>
      <c r="D229">
        <v>176110169.71993893</v>
      </c>
      <c r="E229">
        <v>1801.801801802</v>
      </c>
      <c r="F229">
        <v>55855.855855857</v>
      </c>
      <c r="G229">
        <v>52</v>
      </c>
      <c r="H229">
        <v>45</v>
      </c>
      <c r="I229">
        <v>0</v>
      </c>
      <c r="J229">
        <v>1</v>
      </c>
      <c r="M229">
        <v>56</v>
      </c>
      <c r="N229">
        <v>54</v>
      </c>
      <c r="O229">
        <v>5096936.9369369363</v>
      </c>
      <c r="P229">
        <v>9094774.7747747768</v>
      </c>
      <c r="Q229">
        <v>33</v>
      </c>
      <c r="R229">
        <v>51</v>
      </c>
      <c r="S229">
        <v>74967117.117117122</v>
      </c>
      <c r="T229">
        <v>71618989.189189196</v>
      </c>
      <c r="U229">
        <v>5184414.4144144151</v>
      </c>
      <c r="V229">
        <v>8960360.3603603616</v>
      </c>
      <c r="W229">
        <v>3967</v>
      </c>
      <c r="X229">
        <v>4029</v>
      </c>
    </row>
    <row r="230" spans="1:24">
      <c r="A230" s="7" t="s">
        <v>322</v>
      </c>
      <c r="B230" s="16" t="s">
        <v>224</v>
      </c>
      <c r="C230">
        <v>146444610.03068233</v>
      </c>
      <c r="D230">
        <v>124632839.47972877</v>
      </c>
      <c r="E230">
        <v>302702.702702704</v>
      </c>
      <c r="F230">
        <v>54954.954954956003</v>
      </c>
      <c r="G230">
        <v>21</v>
      </c>
      <c r="H230">
        <v>9</v>
      </c>
      <c r="I230">
        <v>4</v>
      </c>
      <c r="J230">
        <v>0</v>
      </c>
      <c r="M230">
        <v>22</v>
      </c>
      <c r="N230">
        <v>10</v>
      </c>
      <c r="O230">
        <v>17023063.063063063</v>
      </c>
      <c r="P230">
        <v>12778558.558558561</v>
      </c>
      <c r="Q230">
        <v>56</v>
      </c>
      <c r="R230">
        <v>105</v>
      </c>
      <c r="S230">
        <v>40957207.20720721</v>
      </c>
      <c r="T230">
        <v>38245319.819819823</v>
      </c>
      <c r="U230">
        <v>12126486.486486487</v>
      </c>
      <c r="V230">
        <v>9247207.2072072085</v>
      </c>
      <c r="W230">
        <v>2266</v>
      </c>
      <c r="X230">
        <v>2183</v>
      </c>
    </row>
    <row r="231" spans="1:24">
      <c r="A231" s="7" t="s">
        <v>323</v>
      </c>
      <c r="B231" s="16" t="s">
        <v>78</v>
      </c>
      <c r="C231">
        <v>195949243.42598754</v>
      </c>
      <c r="D231">
        <v>192445698.69911972</v>
      </c>
      <c r="E231">
        <v>777027.02702702803</v>
      </c>
      <c r="F231">
        <v>1018018.0180180219</v>
      </c>
      <c r="G231">
        <v>77</v>
      </c>
      <c r="H231">
        <v>122</v>
      </c>
      <c r="I231">
        <v>9</v>
      </c>
      <c r="J231">
        <v>8</v>
      </c>
      <c r="M231">
        <v>89</v>
      </c>
      <c r="N231">
        <v>153</v>
      </c>
      <c r="O231">
        <v>23736486.486486483</v>
      </c>
      <c r="P231">
        <v>20432432.432432435</v>
      </c>
      <c r="Q231">
        <v>183</v>
      </c>
      <c r="R231">
        <v>106</v>
      </c>
      <c r="S231">
        <v>56125472.972972974</v>
      </c>
      <c r="T231">
        <v>57443306.306306303</v>
      </c>
      <c r="U231">
        <v>21086396.396396399</v>
      </c>
      <c r="V231">
        <v>19555765.765765764</v>
      </c>
      <c r="W231">
        <v>4545</v>
      </c>
      <c r="X231">
        <v>5392</v>
      </c>
    </row>
    <row r="232" spans="1:24">
      <c r="A232" s="7" t="s">
        <v>324</v>
      </c>
      <c r="B232" s="16" t="s">
        <v>108</v>
      </c>
      <c r="C232">
        <v>915996646.20722699</v>
      </c>
      <c r="D232">
        <v>1326990705.102694</v>
      </c>
      <c r="E232">
        <v>1604959870.2702701</v>
      </c>
      <c r="F232">
        <v>1906928372.0720723</v>
      </c>
      <c r="G232">
        <v>212</v>
      </c>
      <c r="H232">
        <v>290</v>
      </c>
      <c r="I232">
        <v>26</v>
      </c>
      <c r="J232">
        <v>43</v>
      </c>
      <c r="K232">
        <v>1</v>
      </c>
      <c r="M232">
        <v>326</v>
      </c>
      <c r="N232">
        <v>476</v>
      </c>
      <c r="O232">
        <v>577191981.98198199</v>
      </c>
      <c r="P232">
        <v>557168018.01801801</v>
      </c>
      <c r="Q232">
        <v>570</v>
      </c>
      <c r="R232">
        <v>2524</v>
      </c>
      <c r="S232">
        <v>222023788.2882883</v>
      </c>
      <c r="T232">
        <v>679367630.63063061</v>
      </c>
      <c r="U232">
        <v>84425945.945945933</v>
      </c>
      <c r="V232">
        <v>104310810.81081082</v>
      </c>
      <c r="W232">
        <v>22423</v>
      </c>
      <c r="X232">
        <v>22448</v>
      </c>
    </row>
    <row r="233" spans="1:24">
      <c r="A233" s="7" t="s">
        <v>325</v>
      </c>
      <c r="B233" s="16" t="s">
        <v>224</v>
      </c>
      <c r="C233">
        <v>207332698.75429657</v>
      </c>
      <c r="D233">
        <v>180556543.64099249</v>
      </c>
      <c r="E233">
        <v>545585.58558558498</v>
      </c>
      <c r="F233">
        <v>561261.261261262</v>
      </c>
      <c r="G233">
        <v>51</v>
      </c>
      <c r="H233">
        <v>26</v>
      </c>
      <c r="I233">
        <v>4</v>
      </c>
      <c r="J233">
        <v>1</v>
      </c>
      <c r="M233">
        <v>54</v>
      </c>
      <c r="N233">
        <v>28</v>
      </c>
      <c r="O233">
        <v>17814054.054054052</v>
      </c>
      <c r="P233">
        <v>15969909.909909908</v>
      </c>
      <c r="Q233">
        <v>19</v>
      </c>
      <c r="S233">
        <v>40317900.900900893</v>
      </c>
      <c r="T233">
        <v>37547369.369369365</v>
      </c>
      <c r="U233">
        <v>16083783.783783784</v>
      </c>
      <c r="V233">
        <v>15860270.270270268</v>
      </c>
      <c r="W233">
        <v>4277</v>
      </c>
      <c r="X233">
        <v>4352</v>
      </c>
    </row>
    <row r="234" spans="1:24">
      <c r="A234" s="7" t="s">
        <v>4</v>
      </c>
      <c r="B234" s="16" t="s">
        <v>158</v>
      </c>
      <c r="C234">
        <v>158806972.36851934</v>
      </c>
      <c r="D234">
        <v>155539178.73144257</v>
      </c>
      <c r="E234">
        <v>1249549.5495495489</v>
      </c>
      <c r="F234">
        <v>2141441.4414414442</v>
      </c>
      <c r="G234">
        <v>14</v>
      </c>
      <c r="H234">
        <v>12</v>
      </c>
      <c r="I234">
        <v>11</v>
      </c>
      <c r="J234">
        <v>8</v>
      </c>
      <c r="M234">
        <v>14</v>
      </c>
      <c r="N234">
        <v>16</v>
      </c>
      <c r="O234">
        <v>28076126.126126129</v>
      </c>
      <c r="P234">
        <v>27266666.666666668</v>
      </c>
      <c r="Q234">
        <v>95</v>
      </c>
      <c r="R234">
        <v>49</v>
      </c>
      <c r="S234">
        <v>58002252.252252258</v>
      </c>
      <c r="T234">
        <v>54749675.675675683</v>
      </c>
      <c r="U234">
        <v>27107927.927927926</v>
      </c>
      <c r="V234">
        <v>33102162.162162159</v>
      </c>
      <c r="W234">
        <v>3632</v>
      </c>
      <c r="X234">
        <v>3701</v>
      </c>
    </row>
    <row r="235" spans="1:24">
      <c r="A235" s="7" t="s">
        <v>326</v>
      </c>
      <c r="B235" s="16" t="s">
        <v>108</v>
      </c>
      <c r="C235">
        <v>724573188.74691081</v>
      </c>
      <c r="D235">
        <v>724268424.88396716</v>
      </c>
      <c r="E235">
        <v>19032027.927927934</v>
      </c>
      <c r="F235">
        <v>9545876.5765765794</v>
      </c>
      <c r="G235">
        <v>277</v>
      </c>
      <c r="H235">
        <v>250</v>
      </c>
      <c r="I235">
        <v>34</v>
      </c>
      <c r="J235">
        <v>34</v>
      </c>
      <c r="M235">
        <v>462</v>
      </c>
      <c r="N235">
        <v>604</v>
      </c>
      <c r="O235">
        <v>581173864.86486495</v>
      </c>
      <c r="P235">
        <v>549247228.82882881</v>
      </c>
      <c r="Q235">
        <v>663</v>
      </c>
      <c r="R235">
        <v>1595</v>
      </c>
      <c r="S235">
        <v>212145225.22522521</v>
      </c>
      <c r="T235">
        <v>224870254.5045045</v>
      </c>
      <c r="U235">
        <v>96912972.972972974</v>
      </c>
      <c r="V235">
        <v>92101531.531531543</v>
      </c>
      <c r="W235">
        <v>20031</v>
      </c>
      <c r="X235">
        <v>20547</v>
      </c>
    </row>
    <row r="236" spans="1:24">
      <c r="A236" s="7" t="s">
        <v>327</v>
      </c>
      <c r="B236" s="16" t="s">
        <v>78</v>
      </c>
      <c r="C236">
        <v>75242973.109013036</v>
      </c>
      <c r="D236">
        <v>76195816.923599616</v>
      </c>
      <c r="E236">
        <v>155855.85585585699</v>
      </c>
      <c r="F236">
        <v>536936.93693693797</v>
      </c>
      <c r="G236">
        <v>38</v>
      </c>
      <c r="H236">
        <v>28</v>
      </c>
      <c r="I236">
        <v>3</v>
      </c>
      <c r="J236">
        <v>6</v>
      </c>
      <c r="M236">
        <v>38</v>
      </c>
      <c r="N236">
        <v>33</v>
      </c>
      <c r="O236">
        <v>6399099.0990990987</v>
      </c>
      <c r="P236">
        <v>5581981.9819819834</v>
      </c>
      <c r="Q236">
        <v>43</v>
      </c>
      <c r="R236">
        <v>15</v>
      </c>
      <c r="S236">
        <v>23092342.342342343</v>
      </c>
      <c r="T236">
        <v>24888738.738738742</v>
      </c>
      <c r="U236">
        <v>6129009.0090090092</v>
      </c>
      <c r="V236">
        <v>5554684.6846846836</v>
      </c>
      <c r="W236">
        <v>1920</v>
      </c>
      <c r="X236">
        <v>2007</v>
      </c>
    </row>
    <row r="237" spans="1:24">
      <c r="A237" s="7" t="s">
        <v>328</v>
      </c>
      <c r="B237" s="16" t="s">
        <v>121</v>
      </c>
      <c r="C237">
        <v>213808994.20595765</v>
      </c>
      <c r="D237">
        <v>194761151.30237627</v>
      </c>
      <c r="E237">
        <v>456756.75675675599</v>
      </c>
      <c r="F237">
        <v>907882.88288288203</v>
      </c>
      <c r="G237">
        <v>77</v>
      </c>
      <c r="H237">
        <v>60</v>
      </c>
      <c r="I237">
        <v>8</v>
      </c>
      <c r="J237">
        <v>5</v>
      </c>
      <c r="M237">
        <v>89</v>
      </c>
      <c r="N237">
        <v>68</v>
      </c>
      <c r="O237">
        <v>9738738.7387387399</v>
      </c>
      <c r="P237">
        <v>18824324.324324325</v>
      </c>
      <c r="Q237">
        <v>53</v>
      </c>
      <c r="R237">
        <v>143</v>
      </c>
      <c r="S237">
        <v>30003971.17117117</v>
      </c>
      <c r="T237">
        <v>30469486.486486487</v>
      </c>
      <c r="U237">
        <v>9700090.0900900923</v>
      </c>
      <c r="V237">
        <v>13267657.657657657</v>
      </c>
      <c r="W237">
        <v>4018</v>
      </c>
      <c r="X237">
        <v>3888</v>
      </c>
    </row>
    <row r="238" spans="1:24">
      <c r="A238" s="7" t="s">
        <v>329</v>
      </c>
      <c r="B238" s="16" t="s">
        <v>330</v>
      </c>
      <c r="C238">
        <v>492592478.80932432</v>
      </c>
      <c r="D238">
        <v>473709696.13127923</v>
      </c>
      <c r="E238">
        <v>2979954.9549549562</v>
      </c>
      <c r="F238">
        <v>6462387.3873873902</v>
      </c>
      <c r="G238">
        <v>187</v>
      </c>
      <c r="H238">
        <v>184</v>
      </c>
      <c r="I238">
        <v>19</v>
      </c>
      <c r="J238">
        <v>22</v>
      </c>
      <c r="K238">
        <v>7</v>
      </c>
      <c r="M238">
        <v>236</v>
      </c>
      <c r="N238">
        <v>244</v>
      </c>
      <c r="O238">
        <v>36808378.378378376</v>
      </c>
      <c r="P238">
        <v>66906486.486486487</v>
      </c>
      <c r="Q238">
        <v>443</v>
      </c>
      <c r="R238">
        <v>107</v>
      </c>
      <c r="S238">
        <v>103978414.41441442</v>
      </c>
      <c r="T238">
        <v>108719506.75675675</v>
      </c>
      <c r="U238">
        <v>37354457.657657653</v>
      </c>
      <c r="V238">
        <v>61896486.486486487</v>
      </c>
      <c r="W238">
        <v>14486</v>
      </c>
      <c r="X238">
        <v>13740</v>
      </c>
    </row>
    <row r="239" spans="1:24">
      <c r="A239" s="7" t="s">
        <v>331</v>
      </c>
      <c r="B239" s="16" t="s">
        <v>290</v>
      </c>
      <c r="C239">
        <v>717140185.19569027</v>
      </c>
      <c r="D239">
        <v>697468501.18802774</v>
      </c>
      <c r="E239">
        <v>1367567.5675675711</v>
      </c>
      <c r="F239">
        <v>3968918.9189189202</v>
      </c>
      <c r="G239">
        <v>221</v>
      </c>
      <c r="H239">
        <v>254</v>
      </c>
      <c r="I239">
        <v>33</v>
      </c>
      <c r="J239">
        <v>31</v>
      </c>
      <c r="K239">
        <v>6</v>
      </c>
      <c r="M239">
        <v>253</v>
      </c>
      <c r="N239">
        <v>376</v>
      </c>
      <c r="O239">
        <v>61396396.396396399</v>
      </c>
      <c r="P239">
        <v>77187387.387387395</v>
      </c>
      <c r="Q239">
        <v>222</v>
      </c>
      <c r="R239">
        <v>241</v>
      </c>
      <c r="S239">
        <v>132619729.72972973</v>
      </c>
      <c r="T239">
        <v>126151691.89189188</v>
      </c>
      <c r="U239">
        <v>69160133.333333343</v>
      </c>
      <c r="V239">
        <v>64600540.540540546</v>
      </c>
      <c r="W239">
        <v>17029</v>
      </c>
      <c r="X239">
        <v>17080</v>
      </c>
    </row>
    <row r="240" spans="1:24">
      <c r="A240" s="7" t="s">
        <v>332</v>
      </c>
      <c r="B240" s="16" t="s">
        <v>290</v>
      </c>
      <c r="C240">
        <v>529939798.45410931</v>
      </c>
      <c r="D240">
        <v>529545797.45069045</v>
      </c>
      <c r="E240">
        <v>21594144.144144151</v>
      </c>
      <c r="F240">
        <v>15566666.666666675</v>
      </c>
      <c r="G240">
        <v>163</v>
      </c>
      <c r="H240">
        <v>153</v>
      </c>
      <c r="I240">
        <v>21</v>
      </c>
      <c r="J240">
        <v>29</v>
      </c>
      <c r="K240">
        <v>2</v>
      </c>
      <c r="M240">
        <v>189</v>
      </c>
      <c r="N240">
        <v>213</v>
      </c>
      <c r="O240">
        <v>65322972.972972974</v>
      </c>
      <c r="P240">
        <v>76599099.0990991</v>
      </c>
      <c r="Q240">
        <v>226</v>
      </c>
      <c r="R240">
        <v>175</v>
      </c>
      <c r="S240">
        <v>133438594.5945946</v>
      </c>
      <c r="T240">
        <v>141617153.15315315</v>
      </c>
      <c r="U240">
        <v>67490630.630630627</v>
      </c>
      <c r="V240">
        <v>74444504.504504517</v>
      </c>
      <c r="W240">
        <v>14700</v>
      </c>
      <c r="X240">
        <v>15237</v>
      </c>
    </row>
    <row r="241" spans="1:24">
      <c r="A241" s="7" t="s">
        <v>333</v>
      </c>
      <c r="B241" s="16" t="s">
        <v>60</v>
      </c>
      <c r="C241">
        <v>73393424.147323504</v>
      </c>
      <c r="D241">
        <v>72500633.382860705</v>
      </c>
      <c r="E241">
        <v>1115090.0900900911</v>
      </c>
      <c r="F241">
        <v>2054054.0540540561</v>
      </c>
      <c r="G241">
        <v>33</v>
      </c>
      <c r="H241">
        <v>78</v>
      </c>
      <c r="I241">
        <v>3</v>
      </c>
      <c r="J241">
        <v>5</v>
      </c>
      <c r="M241">
        <v>57</v>
      </c>
      <c r="N241">
        <v>116</v>
      </c>
      <c r="O241">
        <v>20896396.396396395</v>
      </c>
      <c r="P241">
        <v>28392792.792792793</v>
      </c>
      <c r="Q241">
        <v>55</v>
      </c>
      <c r="R241">
        <v>144</v>
      </c>
      <c r="S241">
        <v>25596441.441441439</v>
      </c>
      <c r="T241">
        <v>25604756.756756756</v>
      </c>
      <c r="U241">
        <v>18953603.603603605</v>
      </c>
      <c r="V241">
        <v>25445585.585585583</v>
      </c>
      <c r="W241">
        <v>1968</v>
      </c>
      <c r="X241">
        <v>1976</v>
      </c>
    </row>
    <row r="242" spans="1:24">
      <c r="A242" s="7" t="s">
        <v>334</v>
      </c>
      <c r="B242" s="16" t="s">
        <v>60</v>
      </c>
      <c r="C242">
        <v>10280582.724436563</v>
      </c>
      <c r="D242">
        <v>14332636.407645565</v>
      </c>
      <c r="E242">
        <v>36141441.441441439</v>
      </c>
      <c r="F242">
        <v>29522522.52252252</v>
      </c>
      <c r="G242">
        <v>6</v>
      </c>
      <c r="H242">
        <v>6</v>
      </c>
      <c r="I242">
        <v>1</v>
      </c>
      <c r="J242">
        <v>4</v>
      </c>
      <c r="M242">
        <v>6</v>
      </c>
      <c r="N242">
        <v>8</v>
      </c>
      <c r="O242">
        <v>5117117.1171171172</v>
      </c>
      <c r="P242">
        <v>1118468.4684684679</v>
      </c>
      <c r="Q242">
        <v>13</v>
      </c>
      <c r="R242">
        <v>12</v>
      </c>
      <c r="S242">
        <v>6541576.5765765766</v>
      </c>
      <c r="T242">
        <v>7903693.6936936928</v>
      </c>
      <c r="U242">
        <v>671171.17117117101</v>
      </c>
      <c r="V242">
        <v>850720.72072072094</v>
      </c>
      <c r="W242">
        <v>937</v>
      </c>
      <c r="X242">
        <v>958</v>
      </c>
    </row>
    <row r="243" spans="1:24">
      <c r="A243" s="7" t="s">
        <v>335</v>
      </c>
      <c r="B243" s="16" t="s">
        <v>121</v>
      </c>
      <c r="C243">
        <v>62277.294743115002</v>
      </c>
      <c r="D243">
        <v>1611377.810247374</v>
      </c>
      <c r="H243">
        <v>1</v>
      </c>
      <c r="N243">
        <v>1</v>
      </c>
      <c r="S243">
        <v>34234.234234233998</v>
      </c>
      <c r="T243">
        <v>97747.747747747999</v>
      </c>
      <c r="X243">
        <v>151</v>
      </c>
    </row>
    <row r="244" spans="1:24">
      <c r="A244" s="7" t="s">
        <v>336</v>
      </c>
      <c r="B244" s="16" t="s">
        <v>121</v>
      </c>
      <c r="C244">
        <v>2705907.9074342581</v>
      </c>
      <c r="D244">
        <v>2587369.998506356</v>
      </c>
      <c r="G244">
        <v>2</v>
      </c>
      <c r="H244">
        <v>2</v>
      </c>
      <c r="M244">
        <v>3</v>
      </c>
      <c r="N244">
        <v>2</v>
      </c>
      <c r="S244">
        <v>615135.13513513503</v>
      </c>
      <c r="T244">
        <v>537882.88288288296</v>
      </c>
      <c r="W244">
        <v>107</v>
      </c>
      <c r="X244">
        <v>86</v>
      </c>
    </row>
    <row r="245" spans="1:24">
      <c r="A245" s="7" t="s">
        <v>337</v>
      </c>
      <c r="B245" s="16" t="s">
        <v>121</v>
      </c>
      <c r="C245">
        <v>2258735.3933830382</v>
      </c>
      <c r="D245">
        <v>2077909.2991292989</v>
      </c>
      <c r="E245">
        <v>14414414.414414413</v>
      </c>
      <c r="F245">
        <v>5405405.405405405</v>
      </c>
      <c r="G245">
        <v>2</v>
      </c>
      <c r="H245">
        <v>1</v>
      </c>
      <c r="M245">
        <v>2</v>
      </c>
      <c r="N245">
        <v>1</v>
      </c>
      <c r="S245">
        <v>99774.774774774996</v>
      </c>
      <c r="T245">
        <v>18918.918918919</v>
      </c>
      <c r="W245">
        <v>155</v>
      </c>
      <c r="X245">
        <v>138</v>
      </c>
    </row>
    <row r="246" spans="1:24">
      <c r="A246" s="7" t="s">
        <v>338</v>
      </c>
      <c r="B246" s="16" t="s">
        <v>140</v>
      </c>
      <c r="C246">
        <v>816018016.98693597</v>
      </c>
      <c r="D246">
        <v>793776342.85856056</v>
      </c>
      <c r="E246">
        <v>1064099.099099105</v>
      </c>
      <c r="F246">
        <v>3511711.7117117178</v>
      </c>
      <c r="G246">
        <v>178</v>
      </c>
      <c r="H246">
        <v>287</v>
      </c>
      <c r="I246">
        <v>31</v>
      </c>
      <c r="J246">
        <v>29</v>
      </c>
      <c r="K246">
        <v>1</v>
      </c>
      <c r="M246">
        <v>206</v>
      </c>
      <c r="N246">
        <v>323</v>
      </c>
      <c r="O246">
        <v>88554872.972972974</v>
      </c>
      <c r="P246">
        <v>75967387.387387395</v>
      </c>
      <c r="Q246">
        <v>328</v>
      </c>
      <c r="R246">
        <v>168</v>
      </c>
      <c r="S246">
        <v>158886385.58558559</v>
      </c>
      <c r="T246">
        <v>160280511.7117117</v>
      </c>
      <c r="U246">
        <v>72054684.684684694</v>
      </c>
      <c r="V246">
        <v>69421441.441441447</v>
      </c>
      <c r="W246">
        <v>16119</v>
      </c>
      <c r="X246">
        <v>16171</v>
      </c>
    </row>
    <row r="247" spans="1:24">
      <c r="A247" s="7" t="s">
        <v>339</v>
      </c>
      <c r="B247" s="16" t="s">
        <v>121</v>
      </c>
      <c r="C247">
        <v>133069772.15556572</v>
      </c>
      <c r="D247">
        <v>123313407.91079651</v>
      </c>
      <c r="E247">
        <v>3603.603603604</v>
      </c>
      <c r="G247">
        <v>84</v>
      </c>
      <c r="H247">
        <v>40</v>
      </c>
      <c r="I247">
        <v>0</v>
      </c>
      <c r="J247">
        <v>1</v>
      </c>
      <c r="M247">
        <v>87</v>
      </c>
      <c r="N247">
        <v>42</v>
      </c>
      <c r="O247">
        <v>165765.765765766</v>
      </c>
      <c r="Q247">
        <v>18</v>
      </c>
      <c r="S247">
        <v>9447783.7837837841</v>
      </c>
      <c r="T247">
        <v>8337081.0810810803</v>
      </c>
      <c r="U247">
        <v>162162.16216216201</v>
      </c>
      <c r="W247">
        <v>2461</v>
      </c>
      <c r="X247">
        <v>2503</v>
      </c>
    </row>
    <row r="248" spans="1:24">
      <c r="A248" s="7" t="s">
        <v>340</v>
      </c>
      <c r="B248" s="16" t="s">
        <v>140</v>
      </c>
      <c r="C248">
        <v>408575415.96728921</v>
      </c>
      <c r="D248">
        <v>421398925.47819626</v>
      </c>
      <c r="E248">
        <v>632207.20720720699</v>
      </c>
      <c r="F248">
        <v>2212162.1621621652</v>
      </c>
      <c r="G248">
        <v>56</v>
      </c>
      <c r="H248">
        <v>80</v>
      </c>
      <c r="I248">
        <v>9</v>
      </c>
      <c r="J248">
        <v>10</v>
      </c>
      <c r="K248">
        <v>5</v>
      </c>
      <c r="M248">
        <v>87</v>
      </c>
      <c r="N248">
        <v>110</v>
      </c>
      <c r="O248">
        <v>64504954.954954959</v>
      </c>
      <c r="P248">
        <v>79344324.324324325</v>
      </c>
      <c r="Q248">
        <v>62</v>
      </c>
      <c r="R248">
        <v>145</v>
      </c>
      <c r="S248">
        <v>113349432.43243243</v>
      </c>
      <c r="T248">
        <v>124969153.6036036</v>
      </c>
      <c r="U248">
        <v>65446126.126126125</v>
      </c>
      <c r="V248">
        <v>68830000</v>
      </c>
      <c r="W248">
        <v>8474</v>
      </c>
      <c r="X248">
        <v>8934</v>
      </c>
    </row>
    <row r="249" spans="1:24">
      <c r="A249" s="7" t="s">
        <v>341</v>
      </c>
      <c r="B249" s="16" t="s">
        <v>134</v>
      </c>
      <c r="C249">
        <v>53832864.182722718</v>
      </c>
      <c r="D249">
        <v>47100627.701648198</v>
      </c>
      <c r="E249">
        <v>5405.4054054059998</v>
      </c>
      <c r="F249">
        <v>54054.054054054002</v>
      </c>
      <c r="G249">
        <v>21</v>
      </c>
      <c r="H249">
        <v>11</v>
      </c>
      <c r="I249">
        <v>2</v>
      </c>
      <c r="J249">
        <v>1</v>
      </c>
      <c r="M249">
        <v>23</v>
      </c>
      <c r="N249">
        <v>12</v>
      </c>
      <c r="O249">
        <v>1762162.1621621619</v>
      </c>
      <c r="P249">
        <v>1495495.4954954961</v>
      </c>
      <c r="Q249">
        <v>15</v>
      </c>
      <c r="S249">
        <v>4821531.5315315323</v>
      </c>
      <c r="T249">
        <v>4395324.3243243247</v>
      </c>
      <c r="U249">
        <v>1647117.1171171169</v>
      </c>
      <c r="V249">
        <v>1159819.8198198201</v>
      </c>
      <c r="W249">
        <v>1309</v>
      </c>
      <c r="X249">
        <v>1310</v>
      </c>
    </row>
    <row r="250" spans="1:24">
      <c r="A250" s="7" t="s">
        <v>342</v>
      </c>
      <c r="B250" s="16" t="s">
        <v>121</v>
      </c>
      <c r="C250">
        <v>2476848.4669532762</v>
      </c>
      <c r="D250">
        <v>1870209.1495386481</v>
      </c>
      <c r="G250">
        <v>6</v>
      </c>
      <c r="H250">
        <v>10</v>
      </c>
      <c r="M250">
        <v>7</v>
      </c>
      <c r="N250">
        <v>14</v>
      </c>
      <c r="S250">
        <v>1122342.342342342</v>
      </c>
      <c r="T250">
        <v>918558.55855855905</v>
      </c>
      <c r="W250">
        <v>397</v>
      </c>
      <c r="X250">
        <v>390</v>
      </c>
    </row>
    <row r="251" spans="1:24">
      <c r="A251" s="7" t="s">
        <v>5</v>
      </c>
      <c r="B251" s="16" t="s">
        <v>158</v>
      </c>
      <c r="C251">
        <v>161055717.46439987</v>
      </c>
      <c r="D251">
        <v>163336930.93777385</v>
      </c>
      <c r="E251">
        <v>1783333.333333334</v>
      </c>
      <c r="F251">
        <v>863963.963963966</v>
      </c>
      <c r="G251">
        <v>14</v>
      </c>
      <c r="H251">
        <v>23</v>
      </c>
      <c r="I251">
        <v>5</v>
      </c>
      <c r="J251">
        <v>2</v>
      </c>
      <c r="K251">
        <v>2</v>
      </c>
      <c r="M251">
        <v>15</v>
      </c>
      <c r="N251">
        <v>23</v>
      </c>
      <c r="O251">
        <v>12642072.072072072</v>
      </c>
      <c r="P251">
        <v>12700000</v>
      </c>
      <c r="Q251">
        <v>86</v>
      </c>
      <c r="R251">
        <v>27</v>
      </c>
      <c r="S251">
        <v>69833513.513513505</v>
      </c>
      <c r="T251">
        <v>69204900.9009009</v>
      </c>
      <c r="U251">
        <v>11913243.243243244</v>
      </c>
      <c r="V251">
        <v>11728468.468468469</v>
      </c>
      <c r="W251">
        <v>3124</v>
      </c>
      <c r="X251">
        <v>3003</v>
      </c>
    </row>
    <row r="252" spans="1:24">
      <c r="A252" s="7" t="s">
        <v>343</v>
      </c>
      <c r="B252" s="16" t="s">
        <v>304</v>
      </c>
      <c r="C252">
        <v>15433782.415861834</v>
      </c>
      <c r="D252">
        <v>17173664.402917579</v>
      </c>
      <c r="E252">
        <v>1801.801801802</v>
      </c>
      <c r="F252">
        <v>900900.90090090095</v>
      </c>
      <c r="G252">
        <v>27</v>
      </c>
      <c r="H252">
        <v>10</v>
      </c>
      <c r="I252">
        <v>0</v>
      </c>
      <c r="M252">
        <v>32</v>
      </c>
      <c r="N252">
        <v>14</v>
      </c>
      <c r="O252">
        <v>452252.25225225202</v>
      </c>
      <c r="P252">
        <v>1351351.351351351</v>
      </c>
      <c r="S252">
        <v>3649459.4594594589</v>
      </c>
      <c r="T252">
        <v>2852981.981981982</v>
      </c>
      <c r="U252">
        <v>348828.82882882899</v>
      </c>
      <c r="V252">
        <v>256216.21621621601</v>
      </c>
      <c r="W252">
        <v>564</v>
      </c>
      <c r="X252">
        <v>515</v>
      </c>
    </row>
    <row r="253" spans="1:24">
      <c r="A253" s="7" t="s">
        <v>344</v>
      </c>
      <c r="B253" s="16" t="s">
        <v>105</v>
      </c>
      <c r="C253">
        <v>338373109.23388857</v>
      </c>
      <c r="D253">
        <v>332406564.69220507</v>
      </c>
      <c r="E253">
        <v>48152927.927927926</v>
      </c>
      <c r="F253">
        <v>6988738.7387387417</v>
      </c>
      <c r="G253">
        <v>84</v>
      </c>
      <c r="H253">
        <v>57</v>
      </c>
      <c r="I253">
        <v>9</v>
      </c>
      <c r="J253">
        <v>5</v>
      </c>
      <c r="K253">
        <v>1</v>
      </c>
      <c r="M253">
        <v>90</v>
      </c>
      <c r="N253">
        <v>75</v>
      </c>
      <c r="O253">
        <v>57664954.954954952</v>
      </c>
      <c r="P253">
        <v>43799099.099099107</v>
      </c>
      <c r="Q253">
        <v>112</v>
      </c>
      <c r="R253">
        <v>328</v>
      </c>
      <c r="S253">
        <v>82640261.261261269</v>
      </c>
      <c r="T253">
        <v>81636918.918918908</v>
      </c>
      <c r="U253">
        <v>54295945.945945941</v>
      </c>
      <c r="V253">
        <v>40654414.414414413</v>
      </c>
      <c r="W253">
        <v>5772</v>
      </c>
      <c r="X253">
        <v>5968</v>
      </c>
    </row>
    <row r="254" spans="1:24">
      <c r="A254" s="7" t="s">
        <v>345</v>
      </c>
      <c r="B254" s="16" t="s">
        <v>87</v>
      </c>
      <c r="C254">
        <v>101256887.35207573</v>
      </c>
      <c r="D254">
        <v>98452962.321588784</v>
      </c>
      <c r="E254">
        <v>340540.540540541</v>
      </c>
      <c r="F254">
        <v>751351.35135135101</v>
      </c>
      <c r="G254">
        <v>56</v>
      </c>
      <c r="H254">
        <v>40</v>
      </c>
      <c r="I254">
        <v>7</v>
      </c>
      <c r="J254">
        <v>5</v>
      </c>
      <c r="K254">
        <v>1</v>
      </c>
      <c r="M254">
        <v>62</v>
      </c>
      <c r="N254">
        <v>46</v>
      </c>
      <c r="O254">
        <v>23606306.306306303</v>
      </c>
      <c r="P254">
        <v>24798198.198198199</v>
      </c>
      <c r="Q254">
        <v>37</v>
      </c>
      <c r="R254">
        <v>105</v>
      </c>
      <c r="S254">
        <v>24541148.648648649</v>
      </c>
      <c r="T254">
        <v>25930155.855855856</v>
      </c>
      <c r="U254">
        <v>16151801.801801801</v>
      </c>
      <c r="V254">
        <v>19615809.009009007</v>
      </c>
      <c r="W254">
        <v>2260</v>
      </c>
      <c r="X254">
        <v>2114</v>
      </c>
    </row>
    <row r="255" spans="1:24">
      <c r="A255" s="7" t="s">
        <v>346</v>
      </c>
      <c r="B255" s="16" t="s">
        <v>87</v>
      </c>
      <c r="C255">
        <v>314824844.66943115</v>
      </c>
      <c r="D255">
        <v>275114090.60285825</v>
      </c>
      <c r="E255">
        <v>951576.57657657703</v>
      </c>
      <c r="F255">
        <v>3253153.153153155</v>
      </c>
      <c r="G255">
        <v>252</v>
      </c>
      <c r="H255">
        <v>170</v>
      </c>
      <c r="I255">
        <v>15</v>
      </c>
      <c r="J255">
        <v>20</v>
      </c>
      <c r="K255">
        <v>1</v>
      </c>
      <c r="M255">
        <v>284</v>
      </c>
      <c r="N255">
        <v>199</v>
      </c>
      <c r="O255">
        <v>25263063.063063063</v>
      </c>
      <c r="P255">
        <v>27287387.387387387</v>
      </c>
      <c r="Q255">
        <v>139</v>
      </c>
      <c r="R255">
        <v>186</v>
      </c>
      <c r="S255">
        <v>49693094.59459459</v>
      </c>
      <c r="T255">
        <v>46947439.639639638</v>
      </c>
      <c r="U255">
        <v>20355135.13513514</v>
      </c>
      <c r="V255">
        <v>20539639.639639638</v>
      </c>
      <c r="W255">
        <v>6831</v>
      </c>
      <c r="X255">
        <v>7984</v>
      </c>
    </row>
    <row r="256" spans="1:24">
      <c r="A256" s="7" t="s">
        <v>347</v>
      </c>
      <c r="B256" s="16" t="s">
        <v>87</v>
      </c>
      <c r="C256">
        <v>7322529.998639496</v>
      </c>
      <c r="D256">
        <v>8406545.6486465447</v>
      </c>
      <c r="E256">
        <v>59827013.513513513</v>
      </c>
      <c r="F256">
        <v>51232840.540540546</v>
      </c>
      <c r="G256">
        <v>4</v>
      </c>
      <c r="H256">
        <v>19</v>
      </c>
      <c r="M256">
        <v>8</v>
      </c>
      <c r="N256">
        <v>22</v>
      </c>
      <c r="O256">
        <v>163513.51351351399</v>
      </c>
      <c r="S256">
        <v>3490585.5855855858</v>
      </c>
      <c r="T256">
        <v>3308099.0990991001</v>
      </c>
      <c r="W256">
        <v>731</v>
      </c>
      <c r="X256">
        <v>866</v>
      </c>
    </row>
    <row r="257" spans="1:24">
      <c r="A257" s="7" t="s">
        <v>348</v>
      </c>
      <c r="B257" s="16" t="s">
        <v>87</v>
      </c>
      <c r="C257">
        <v>3742982.897473739</v>
      </c>
      <c r="D257">
        <v>3804210.4868180249</v>
      </c>
      <c r="G257">
        <v>1</v>
      </c>
      <c r="H257">
        <v>2</v>
      </c>
      <c r="M257">
        <v>1</v>
      </c>
      <c r="N257">
        <v>2</v>
      </c>
      <c r="S257">
        <v>750090.09009008994</v>
      </c>
      <c r="T257">
        <v>1300855.8558558561</v>
      </c>
      <c r="W257">
        <v>362</v>
      </c>
      <c r="X257">
        <v>221</v>
      </c>
    </row>
    <row r="258" spans="1:24">
      <c r="A258" s="7" t="s">
        <v>349</v>
      </c>
      <c r="B258" s="16" t="s">
        <v>87</v>
      </c>
      <c r="C258">
        <v>3220588.2010623729</v>
      </c>
      <c r="D258">
        <v>3166064.1387820439</v>
      </c>
      <c r="G258">
        <v>1</v>
      </c>
      <c r="H258">
        <v>6</v>
      </c>
      <c r="M258">
        <v>2</v>
      </c>
      <c r="N258">
        <v>11</v>
      </c>
      <c r="S258">
        <v>1225090.0900900899</v>
      </c>
      <c r="T258">
        <v>1895954.954954955</v>
      </c>
      <c r="W258">
        <v>631</v>
      </c>
      <c r="X258">
        <v>587</v>
      </c>
    </row>
    <row r="259" spans="1:24">
      <c r="A259" s="7" t="s">
        <v>350</v>
      </c>
      <c r="B259" s="16" t="s">
        <v>87</v>
      </c>
      <c r="C259">
        <v>83614262.35724701</v>
      </c>
      <c r="D259">
        <v>91068125.404124752</v>
      </c>
      <c r="E259">
        <v>9009.0090090100002</v>
      </c>
      <c r="F259">
        <v>158558.55855856001</v>
      </c>
      <c r="G259">
        <v>70</v>
      </c>
      <c r="H259">
        <v>73</v>
      </c>
      <c r="I259">
        <v>3</v>
      </c>
      <c r="J259">
        <v>3</v>
      </c>
      <c r="M259">
        <v>77</v>
      </c>
      <c r="N259">
        <v>79</v>
      </c>
      <c r="O259">
        <v>6775675.6756756771</v>
      </c>
      <c r="P259">
        <v>6959459.4594594594</v>
      </c>
      <c r="Q259">
        <v>24</v>
      </c>
      <c r="R259">
        <v>54</v>
      </c>
      <c r="S259">
        <v>16236891.891891891</v>
      </c>
      <c r="T259">
        <v>17939031.531531531</v>
      </c>
      <c r="U259">
        <v>5591441.441441441</v>
      </c>
      <c r="V259">
        <v>5696036.036036036</v>
      </c>
      <c r="W259">
        <v>2221</v>
      </c>
      <c r="X259">
        <v>1983</v>
      </c>
    </row>
    <row r="260" spans="1:24">
      <c r="A260" s="7" t="s">
        <v>351</v>
      </c>
      <c r="B260" s="16" t="s">
        <v>50</v>
      </c>
      <c r="C260">
        <v>231800690.41536632</v>
      </c>
      <c r="D260">
        <v>241652828.68464157</v>
      </c>
      <c r="E260">
        <v>401351.35135135602</v>
      </c>
      <c r="F260">
        <v>2943243.2432432459</v>
      </c>
      <c r="G260">
        <v>32</v>
      </c>
      <c r="H260">
        <v>60</v>
      </c>
      <c r="I260">
        <v>13</v>
      </c>
      <c r="J260">
        <v>12</v>
      </c>
      <c r="M260">
        <v>38</v>
      </c>
      <c r="N260">
        <v>70</v>
      </c>
      <c r="O260">
        <v>37729279.279279277</v>
      </c>
      <c r="P260">
        <v>34514054.054054052</v>
      </c>
      <c r="Q260">
        <v>78</v>
      </c>
      <c r="R260">
        <v>294</v>
      </c>
      <c r="S260">
        <v>92381036.036036029</v>
      </c>
      <c r="T260">
        <v>94543554.054054052</v>
      </c>
      <c r="U260">
        <v>36435225.225225225</v>
      </c>
      <c r="V260">
        <v>30933873.873873871</v>
      </c>
      <c r="W260">
        <v>5535</v>
      </c>
      <c r="X260">
        <v>5261</v>
      </c>
    </row>
    <row r="261" spans="1:24">
      <c r="A261" s="7" t="s">
        <v>352</v>
      </c>
      <c r="B261" s="16" t="s">
        <v>123</v>
      </c>
      <c r="C261">
        <v>1140638.6526014409</v>
      </c>
      <c r="D261">
        <v>1468347.9848932889</v>
      </c>
      <c r="H261">
        <v>1</v>
      </c>
      <c r="M261">
        <v>1</v>
      </c>
      <c r="N261">
        <v>1</v>
      </c>
      <c r="S261">
        <v>438783.78378378402</v>
      </c>
      <c r="T261">
        <v>562252.25225225196</v>
      </c>
      <c r="W261">
        <v>1</v>
      </c>
      <c r="X261">
        <v>99</v>
      </c>
    </row>
    <row r="262" spans="1:24">
      <c r="A262" s="7" t="s">
        <v>353</v>
      </c>
      <c r="B262" s="16" t="s">
        <v>354</v>
      </c>
      <c r="C262">
        <v>450058491.69796801</v>
      </c>
      <c r="D262">
        <v>422852636.29011309</v>
      </c>
      <c r="E262">
        <v>176593454.95495495</v>
      </c>
      <c r="F262">
        <v>251371324.32432431</v>
      </c>
      <c r="G262">
        <v>195</v>
      </c>
      <c r="H262">
        <v>369</v>
      </c>
      <c r="I262">
        <v>37</v>
      </c>
      <c r="J262">
        <v>15</v>
      </c>
      <c r="M262">
        <v>248</v>
      </c>
      <c r="N262">
        <v>548</v>
      </c>
      <c r="O262">
        <v>180361351.35135135</v>
      </c>
      <c r="P262">
        <v>267270000</v>
      </c>
      <c r="Q262">
        <v>375</v>
      </c>
      <c r="R262">
        <v>451</v>
      </c>
      <c r="S262">
        <v>259892475.67567569</v>
      </c>
      <c r="T262">
        <v>253139090.09009007</v>
      </c>
      <c r="U262">
        <v>167179009.009009</v>
      </c>
      <c r="V262">
        <v>276610090.0900901</v>
      </c>
      <c r="W262">
        <v>10139</v>
      </c>
      <c r="X262">
        <v>9664</v>
      </c>
    </row>
    <row r="263" spans="1:24">
      <c r="A263" s="7" t="s">
        <v>355</v>
      </c>
      <c r="B263" s="16" t="s">
        <v>48</v>
      </c>
      <c r="C263">
        <v>284837408.23295462</v>
      </c>
      <c r="D263">
        <v>288792543.97027099</v>
      </c>
      <c r="E263">
        <v>217117.11711711899</v>
      </c>
      <c r="F263">
        <v>909009.00900900899</v>
      </c>
      <c r="G263">
        <v>57</v>
      </c>
      <c r="H263">
        <v>22</v>
      </c>
      <c r="I263">
        <v>7</v>
      </c>
      <c r="J263">
        <v>6</v>
      </c>
      <c r="M263">
        <v>62</v>
      </c>
      <c r="N263">
        <v>25</v>
      </c>
      <c r="O263">
        <v>1758738.7387387371</v>
      </c>
      <c r="P263">
        <v>1654954.9549549541</v>
      </c>
      <c r="R263">
        <v>34</v>
      </c>
      <c r="S263">
        <v>21344126.126126129</v>
      </c>
      <c r="T263">
        <v>22012441.441441439</v>
      </c>
      <c r="U263">
        <v>1013603.603603601</v>
      </c>
      <c r="V263">
        <v>1751621.6216216199</v>
      </c>
      <c r="W263">
        <v>5793</v>
      </c>
      <c r="X263">
        <v>5504</v>
      </c>
    </row>
    <row r="264" spans="1:24">
      <c r="A264" s="7" t="s">
        <v>356</v>
      </c>
      <c r="B264" s="16" t="s">
        <v>123</v>
      </c>
      <c r="C264">
        <v>331664374.52452338</v>
      </c>
      <c r="D264">
        <v>310027913.69950968</v>
      </c>
      <c r="E264">
        <v>69369.369369370004</v>
      </c>
      <c r="F264">
        <v>182882.88288288299</v>
      </c>
      <c r="G264">
        <v>76</v>
      </c>
      <c r="H264">
        <v>75</v>
      </c>
      <c r="I264">
        <v>3</v>
      </c>
      <c r="J264">
        <v>4</v>
      </c>
      <c r="M264">
        <v>79</v>
      </c>
      <c r="N264">
        <v>78</v>
      </c>
      <c r="O264">
        <v>10096036.036036037</v>
      </c>
      <c r="P264">
        <v>13635765.765765764</v>
      </c>
      <c r="Q264">
        <v>23</v>
      </c>
      <c r="R264">
        <v>165</v>
      </c>
      <c r="S264">
        <v>70695124.324324325</v>
      </c>
      <c r="T264">
        <v>68763936.93693693</v>
      </c>
      <c r="U264">
        <v>9571171.1711711716</v>
      </c>
      <c r="V264">
        <v>12775945.945945946</v>
      </c>
      <c r="W264">
        <v>5853</v>
      </c>
      <c r="X264">
        <v>6442</v>
      </c>
    </row>
    <row r="265" spans="1:24">
      <c r="A265" s="7" t="s">
        <v>357</v>
      </c>
      <c r="B265" s="16" t="s">
        <v>62</v>
      </c>
      <c r="C265">
        <v>178891047.41240051</v>
      </c>
      <c r="D265">
        <v>172320330.29934987</v>
      </c>
      <c r="E265">
        <v>682882.88288288203</v>
      </c>
      <c r="F265">
        <v>2157657.6576576591</v>
      </c>
      <c r="G265">
        <v>36</v>
      </c>
      <c r="H265">
        <v>32</v>
      </c>
      <c r="I265">
        <v>2</v>
      </c>
      <c r="J265">
        <v>10</v>
      </c>
      <c r="M265">
        <v>40</v>
      </c>
      <c r="N265">
        <v>36</v>
      </c>
      <c r="O265">
        <v>12680720.720720721</v>
      </c>
      <c r="P265">
        <v>30478558.558558561</v>
      </c>
      <c r="Q265">
        <v>20</v>
      </c>
      <c r="R265">
        <v>109</v>
      </c>
      <c r="S265">
        <v>47718153.153153151</v>
      </c>
      <c r="T265">
        <v>48868306.306306303</v>
      </c>
      <c r="U265">
        <v>15036486.486486485</v>
      </c>
      <c r="V265">
        <v>30710090.090090089</v>
      </c>
      <c r="W265">
        <v>3935</v>
      </c>
      <c r="X265">
        <v>3751</v>
      </c>
    </row>
    <row r="266" spans="1:24">
      <c r="A266" s="7" t="s">
        <v>358</v>
      </c>
      <c r="B266" s="16" t="s">
        <v>315</v>
      </c>
      <c r="C266">
        <v>10278903.379519764</v>
      </c>
      <c r="D266">
        <v>5689675.7762350095</v>
      </c>
      <c r="G266">
        <v>16</v>
      </c>
      <c r="H266">
        <v>10</v>
      </c>
      <c r="M266">
        <v>16</v>
      </c>
      <c r="N266">
        <v>11</v>
      </c>
      <c r="S266">
        <v>5844414.4144144151</v>
      </c>
      <c r="T266">
        <v>2302432.4324324331</v>
      </c>
      <c r="W266">
        <v>691</v>
      </c>
      <c r="X266">
        <v>12</v>
      </c>
    </row>
    <row r="267" spans="1:24">
      <c r="A267" s="7" t="s">
        <v>359</v>
      </c>
      <c r="B267" s="16" t="s">
        <v>315</v>
      </c>
      <c r="C267">
        <v>203526302.36791992</v>
      </c>
      <c r="D267">
        <v>173401288.66391703</v>
      </c>
      <c r="E267">
        <v>86486.486486487003</v>
      </c>
      <c r="F267">
        <v>1034234.2342342359</v>
      </c>
      <c r="G267">
        <v>49</v>
      </c>
      <c r="H267">
        <v>43</v>
      </c>
      <c r="I267">
        <v>10</v>
      </c>
      <c r="J267">
        <v>8</v>
      </c>
      <c r="M267">
        <v>51</v>
      </c>
      <c r="N267">
        <v>49</v>
      </c>
      <c r="O267">
        <v>36353873.873873875</v>
      </c>
      <c r="P267">
        <v>35697657.657657653</v>
      </c>
      <c r="S267">
        <v>73405630.630630627</v>
      </c>
      <c r="T267">
        <v>64049765.765765771</v>
      </c>
      <c r="U267">
        <v>40794054.054054059</v>
      </c>
      <c r="V267">
        <v>35859099.0990991</v>
      </c>
      <c r="W267">
        <v>3041</v>
      </c>
      <c r="X267">
        <v>3118</v>
      </c>
    </row>
    <row r="268" spans="1:24">
      <c r="A268" s="7" t="s">
        <v>360</v>
      </c>
      <c r="B268" s="16" t="s">
        <v>92</v>
      </c>
      <c r="C268">
        <v>326550457.34069681</v>
      </c>
      <c r="D268">
        <v>317935346.41139442</v>
      </c>
      <c r="E268">
        <v>29756801.801801801</v>
      </c>
      <c r="F268">
        <v>67911711.711711705</v>
      </c>
      <c r="G268">
        <v>117</v>
      </c>
      <c r="H268">
        <v>177</v>
      </c>
      <c r="I268">
        <v>6</v>
      </c>
      <c r="J268">
        <v>10</v>
      </c>
      <c r="M268">
        <v>140</v>
      </c>
      <c r="N268">
        <v>233</v>
      </c>
      <c r="O268">
        <v>49585225.225225225</v>
      </c>
      <c r="P268">
        <v>60669369.369369365</v>
      </c>
      <c r="Q268">
        <v>79</v>
      </c>
      <c r="R268">
        <v>272</v>
      </c>
      <c r="S268">
        <v>95669675.675675675</v>
      </c>
      <c r="T268">
        <v>96371547.747747749</v>
      </c>
      <c r="U268">
        <v>34716306.306306303</v>
      </c>
      <c r="V268">
        <v>58011394.59459459</v>
      </c>
      <c r="W268">
        <v>6874</v>
      </c>
      <c r="X268">
        <v>6660</v>
      </c>
    </row>
    <row r="269" spans="1:24">
      <c r="A269" s="7" t="s">
        <v>361</v>
      </c>
      <c r="B269" s="16" t="s">
        <v>58</v>
      </c>
      <c r="C269">
        <v>662036662.12936115</v>
      </c>
      <c r="D269">
        <v>625939351.82254362</v>
      </c>
      <c r="E269">
        <v>2345045.045045048</v>
      </c>
      <c r="F269">
        <v>1466666.6666666691</v>
      </c>
      <c r="G269">
        <v>100</v>
      </c>
      <c r="H269">
        <v>108</v>
      </c>
      <c r="I269">
        <v>20</v>
      </c>
      <c r="J269">
        <v>20</v>
      </c>
      <c r="M269">
        <v>109</v>
      </c>
      <c r="N269">
        <v>120</v>
      </c>
      <c r="O269">
        <v>38563063.063063063</v>
      </c>
      <c r="P269">
        <v>29354954.954954956</v>
      </c>
      <c r="Q269">
        <v>546</v>
      </c>
      <c r="R269">
        <v>33</v>
      </c>
      <c r="S269">
        <v>99696792.792792797</v>
      </c>
      <c r="T269">
        <v>100216301.8018018</v>
      </c>
      <c r="U269">
        <v>29929729.729729731</v>
      </c>
      <c r="V269">
        <v>24547927.927927926</v>
      </c>
      <c r="W269">
        <v>12986</v>
      </c>
      <c r="X269">
        <v>12768</v>
      </c>
    </row>
    <row r="270" spans="1:24">
      <c r="A270" s="7" t="s">
        <v>679</v>
      </c>
      <c r="B270" s="16" t="s">
        <v>143</v>
      </c>
      <c r="E270">
        <v>137630461.26126125</v>
      </c>
      <c r="F270">
        <v>103137300</v>
      </c>
      <c r="O270">
        <v>14864864.864864863</v>
      </c>
      <c r="P270">
        <v>7207207.2072072066</v>
      </c>
    </row>
    <row r="271" spans="1:24">
      <c r="A271" s="7" t="s">
        <v>362</v>
      </c>
      <c r="B271" s="16" t="s">
        <v>48</v>
      </c>
      <c r="C271">
        <v>227315283.28222135</v>
      </c>
      <c r="D271">
        <v>221311700.30507976</v>
      </c>
      <c r="E271">
        <v>220720.720720721</v>
      </c>
      <c r="F271">
        <v>466666.66666666599</v>
      </c>
      <c r="G271">
        <v>15</v>
      </c>
      <c r="H271">
        <v>13</v>
      </c>
      <c r="I271">
        <v>9</v>
      </c>
      <c r="J271">
        <v>4</v>
      </c>
      <c r="M271">
        <v>20</v>
      </c>
      <c r="N271">
        <v>26</v>
      </c>
      <c r="O271">
        <v>14980900.9009009</v>
      </c>
      <c r="P271">
        <v>30860540.540540535</v>
      </c>
      <c r="R271">
        <v>12</v>
      </c>
      <c r="S271">
        <v>39017423.423423424</v>
      </c>
      <c r="T271">
        <v>36293279.279279277</v>
      </c>
      <c r="U271">
        <v>16393243.243243244</v>
      </c>
      <c r="V271">
        <v>27539909.909909908</v>
      </c>
      <c r="W271">
        <v>3399</v>
      </c>
      <c r="X271">
        <v>3682</v>
      </c>
    </row>
    <row r="272" spans="1:24">
      <c r="A272" s="7" t="s">
        <v>363</v>
      </c>
      <c r="B272" s="16" t="s">
        <v>52</v>
      </c>
      <c r="C272">
        <v>90588587.480588555</v>
      </c>
      <c r="D272">
        <v>93891355.78044416</v>
      </c>
      <c r="E272">
        <v>362702.70270270301</v>
      </c>
      <c r="F272">
        <v>263963.96396396501</v>
      </c>
      <c r="G272">
        <v>11</v>
      </c>
      <c r="H272">
        <v>62</v>
      </c>
      <c r="I272">
        <v>3</v>
      </c>
      <c r="J272">
        <v>5</v>
      </c>
      <c r="M272">
        <v>14</v>
      </c>
      <c r="N272">
        <v>68</v>
      </c>
      <c r="O272">
        <v>6878018.0180180157</v>
      </c>
      <c r="P272">
        <v>1966666.666666666</v>
      </c>
      <c r="Q272">
        <v>76</v>
      </c>
      <c r="R272">
        <v>65</v>
      </c>
      <c r="S272">
        <v>44430495.495495498</v>
      </c>
      <c r="T272">
        <v>45877477.477477483</v>
      </c>
      <c r="U272">
        <v>6401891.8918918911</v>
      </c>
      <c r="V272">
        <v>2360990.9909909898</v>
      </c>
      <c r="W272">
        <v>2282</v>
      </c>
      <c r="X272">
        <v>2374</v>
      </c>
    </row>
    <row r="273" spans="1:24">
      <c r="A273" s="7" t="s">
        <v>364</v>
      </c>
      <c r="B273" s="16" t="s">
        <v>52</v>
      </c>
      <c r="C273">
        <v>73290169.578006878</v>
      </c>
      <c r="D273">
        <v>72252395.575033903</v>
      </c>
      <c r="E273">
        <v>2684459.4594594589</v>
      </c>
      <c r="F273">
        <v>2702702.7027027048</v>
      </c>
      <c r="G273">
        <v>48</v>
      </c>
      <c r="H273">
        <v>82</v>
      </c>
      <c r="I273">
        <v>3</v>
      </c>
      <c r="J273">
        <v>9</v>
      </c>
      <c r="M273">
        <v>91</v>
      </c>
      <c r="N273">
        <v>197</v>
      </c>
      <c r="O273">
        <v>14678828.828828828</v>
      </c>
      <c r="P273">
        <v>7603603.6036036033</v>
      </c>
      <c r="Q273">
        <v>195</v>
      </c>
      <c r="R273">
        <v>463</v>
      </c>
      <c r="S273">
        <v>40554081.081081077</v>
      </c>
      <c r="T273">
        <v>40431198.198198199</v>
      </c>
      <c r="U273">
        <v>14500360.36036036</v>
      </c>
      <c r="V273">
        <v>12217477.477477476</v>
      </c>
      <c r="W273">
        <v>2320</v>
      </c>
      <c r="X273">
        <v>2355</v>
      </c>
    </row>
    <row r="274" spans="1:24">
      <c r="A274" s="7" t="s">
        <v>365</v>
      </c>
      <c r="B274" s="16" t="s">
        <v>52</v>
      </c>
      <c r="C274">
        <v>788791482.60068548</v>
      </c>
      <c r="D274">
        <v>819228446.18172932</v>
      </c>
      <c r="E274">
        <v>172877686.48648649</v>
      </c>
      <c r="F274">
        <v>333860389.1891892</v>
      </c>
      <c r="G274">
        <v>188</v>
      </c>
      <c r="H274">
        <v>305</v>
      </c>
      <c r="I274">
        <v>24</v>
      </c>
      <c r="J274">
        <v>60</v>
      </c>
      <c r="M274">
        <v>233</v>
      </c>
      <c r="N274">
        <v>483</v>
      </c>
      <c r="O274">
        <v>78769549.549549535</v>
      </c>
      <c r="P274">
        <v>46131531.531531535</v>
      </c>
      <c r="Q274">
        <v>1136</v>
      </c>
      <c r="R274">
        <v>4568</v>
      </c>
      <c r="S274">
        <v>281146959.45945948</v>
      </c>
      <c r="T274">
        <v>299891530.63063067</v>
      </c>
      <c r="U274">
        <v>75514864.864864871</v>
      </c>
      <c r="V274">
        <v>67419279.279279277</v>
      </c>
      <c r="W274">
        <v>21100</v>
      </c>
      <c r="X274">
        <v>20811</v>
      </c>
    </row>
    <row r="275" spans="1:24">
      <c r="A275" s="7" t="s">
        <v>366</v>
      </c>
      <c r="B275" s="16" t="s">
        <v>293</v>
      </c>
      <c r="C275">
        <v>518259847.36909437</v>
      </c>
      <c r="D275">
        <v>470642101.09497875</v>
      </c>
      <c r="E275">
        <v>890090.09009009704</v>
      </c>
      <c r="F275">
        <v>3478378.3783783759</v>
      </c>
      <c r="G275">
        <v>147</v>
      </c>
      <c r="H275">
        <v>281</v>
      </c>
      <c r="I275">
        <v>22</v>
      </c>
      <c r="J275">
        <v>23</v>
      </c>
      <c r="K275">
        <v>2</v>
      </c>
      <c r="M275">
        <v>172</v>
      </c>
      <c r="N275">
        <v>364</v>
      </c>
      <c r="O275">
        <v>61144144.144144133</v>
      </c>
      <c r="P275">
        <v>49571711.711711712</v>
      </c>
      <c r="Q275">
        <v>397</v>
      </c>
      <c r="R275">
        <v>53</v>
      </c>
      <c r="S275">
        <v>160935854.05405405</v>
      </c>
      <c r="T275">
        <v>155759876.57657659</v>
      </c>
      <c r="U275">
        <v>57403963.963963963</v>
      </c>
      <c r="V275">
        <v>54325585.585585587</v>
      </c>
      <c r="W275">
        <v>11212</v>
      </c>
      <c r="X275">
        <v>10856</v>
      </c>
    </row>
    <row r="276" spans="1:24">
      <c r="A276" s="7" t="s">
        <v>367</v>
      </c>
      <c r="B276" s="16" t="s">
        <v>368</v>
      </c>
      <c r="C276">
        <v>219033312.88402897</v>
      </c>
      <c r="D276">
        <v>198451270.32453814</v>
      </c>
      <c r="E276">
        <v>52461133.333333336</v>
      </c>
      <c r="F276">
        <v>34425218.918918923</v>
      </c>
      <c r="G276">
        <v>37</v>
      </c>
      <c r="H276">
        <v>45</v>
      </c>
      <c r="I276">
        <v>8</v>
      </c>
      <c r="J276">
        <v>9</v>
      </c>
      <c r="K276">
        <v>1</v>
      </c>
      <c r="M276">
        <v>41</v>
      </c>
      <c r="N276">
        <v>61</v>
      </c>
      <c r="O276">
        <v>29619999.999999996</v>
      </c>
      <c r="P276">
        <v>55781171.171171166</v>
      </c>
      <c r="Q276">
        <v>226</v>
      </c>
      <c r="R276">
        <v>70</v>
      </c>
      <c r="S276">
        <v>90095196.396396399</v>
      </c>
      <c r="T276">
        <v>85046297.297297299</v>
      </c>
      <c r="U276">
        <v>27690540.540540535</v>
      </c>
      <c r="V276">
        <v>58432702.702702701</v>
      </c>
      <c r="W276">
        <v>3972</v>
      </c>
      <c r="X276">
        <v>3871</v>
      </c>
    </row>
    <row r="277" spans="1:24">
      <c r="A277" s="7" t="s">
        <v>369</v>
      </c>
      <c r="B277" s="16" t="s">
        <v>70</v>
      </c>
      <c r="C277">
        <v>57486557.344744407</v>
      </c>
      <c r="D277">
        <v>57925434.868792318</v>
      </c>
      <c r="E277">
        <v>1216891.8918918921</v>
      </c>
      <c r="F277">
        <v>2084684.6846846871</v>
      </c>
      <c r="G277">
        <v>17</v>
      </c>
      <c r="H277">
        <v>41</v>
      </c>
      <c r="I277">
        <v>2</v>
      </c>
      <c r="J277">
        <v>7</v>
      </c>
      <c r="M277">
        <v>18</v>
      </c>
      <c r="N277">
        <v>49</v>
      </c>
      <c r="O277">
        <v>10517567.567567568</v>
      </c>
      <c r="P277">
        <v>12900900.9009009</v>
      </c>
      <c r="R277">
        <v>47</v>
      </c>
      <c r="S277">
        <v>18694414.414414417</v>
      </c>
      <c r="T277">
        <v>19801225.225225225</v>
      </c>
      <c r="U277">
        <v>11120360.360360362</v>
      </c>
      <c r="V277">
        <v>12192702.702702705</v>
      </c>
      <c r="W277">
        <v>1187</v>
      </c>
      <c r="X277">
        <v>1196</v>
      </c>
    </row>
    <row r="278" spans="1:24">
      <c r="A278" s="7" t="s">
        <v>370</v>
      </c>
      <c r="B278" s="16" t="s">
        <v>50</v>
      </c>
      <c r="C278">
        <v>115319991.63310157</v>
      </c>
      <c r="D278">
        <v>121275864.64423223</v>
      </c>
      <c r="E278">
        <v>82311936.936936945</v>
      </c>
      <c r="F278">
        <v>301677207.2072072</v>
      </c>
      <c r="G278">
        <v>20</v>
      </c>
      <c r="H278">
        <v>26</v>
      </c>
      <c r="I278">
        <v>2</v>
      </c>
      <c r="J278">
        <v>7</v>
      </c>
      <c r="M278">
        <v>22</v>
      </c>
      <c r="N278">
        <v>29</v>
      </c>
      <c r="O278">
        <v>35802657.657657653</v>
      </c>
      <c r="P278">
        <v>10803783.783783784</v>
      </c>
      <c r="Q278">
        <v>11</v>
      </c>
      <c r="R278">
        <v>9</v>
      </c>
      <c r="S278">
        <v>53770081.081081077</v>
      </c>
      <c r="T278">
        <v>54578612.612612605</v>
      </c>
      <c r="U278">
        <v>9526396.3963963967</v>
      </c>
      <c r="V278">
        <v>8584504.5045045037</v>
      </c>
      <c r="W278">
        <v>2656</v>
      </c>
      <c r="X278">
        <v>2724</v>
      </c>
    </row>
    <row r="279" spans="1:24">
      <c r="A279" s="7" t="s">
        <v>371</v>
      </c>
      <c r="B279" s="16" t="s">
        <v>121</v>
      </c>
      <c r="C279">
        <v>126864290.83539559</v>
      </c>
      <c r="D279">
        <v>119526527.06655417</v>
      </c>
      <c r="E279">
        <v>134234.23423423499</v>
      </c>
      <c r="F279">
        <v>886486.48648648697</v>
      </c>
      <c r="G279">
        <v>45</v>
      </c>
      <c r="H279">
        <v>52</v>
      </c>
      <c r="I279">
        <v>7</v>
      </c>
      <c r="J279">
        <v>5</v>
      </c>
      <c r="M279">
        <v>51</v>
      </c>
      <c r="N279">
        <v>64</v>
      </c>
      <c r="O279">
        <v>3269369.3693693699</v>
      </c>
      <c r="P279">
        <v>6270270.2702702703</v>
      </c>
      <c r="Q279">
        <v>40</v>
      </c>
      <c r="R279">
        <v>33</v>
      </c>
      <c r="S279">
        <v>11552882.882882884</v>
      </c>
      <c r="T279">
        <v>12782522.522522524</v>
      </c>
      <c r="U279">
        <v>1686126.1261261271</v>
      </c>
      <c r="V279">
        <v>4615765.7657657638</v>
      </c>
      <c r="W279">
        <v>2714</v>
      </c>
      <c r="X279">
        <v>2738</v>
      </c>
    </row>
    <row r="280" spans="1:24">
      <c r="A280" s="7" t="s">
        <v>372</v>
      </c>
      <c r="B280" s="16" t="s">
        <v>373</v>
      </c>
      <c r="C280">
        <v>317305396.99681729</v>
      </c>
      <c r="D280">
        <v>271159191.46110016</v>
      </c>
      <c r="E280">
        <v>47986785.585585587</v>
      </c>
      <c r="F280">
        <v>31846547.747747753</v>
      </c>
      <c r="G280">
        <v>433</v>
      </c>
      <c r="H280">
        <v>41</v>
      </c>
      <c r="I280">
        <v>21</v>
      </c>
      <c r="J280">
        <v>6</v>
      </c>
      <c r="K280">
        <v>1</v>
      </c>
      <c r="M280">
        <v>464</v>
      </c>
      <c r="N280">
        <v>46</v>
      </c>
      <c r="O280">
        <v>56274954.954954952</v>
      </c>
      <c r="P280">
        <v>47227927.927927919</v>
      </c>
      <c r="Q280">
        <v>34</v>
      </c>
      <c r="R280">
        <v>41</v>
      </c>
      <c r="S280">
        <v>127635885.58558558</v>
      </c>
      <c r="T280">
        <v>102223792.7927928</v>
      </c>
      <c r="U280">
        <v>57546349.549549542</v>
      </c>
      <c r="V280">
        <v>47825045.045045041</v>
      </c>
      <c r="W280">
        <v>10206</v>
      </c>
      <c r="X280">
        <v>10093</v>
      </c>
    </row>
    <row r="281" spans="1:24">
      <c r="A281" s="7" t="s">
        <v>374</v>
      </c>
      <c r="B281" s="16" t="s">
        <v>66</v>
      </c>
      <c r="C281">
        <v>201838405.37269384</v>
      </c>
      <c r="D281">
        <v>201909294.85737401</v>
      </c>
      <c r="E281">
        <v>1427477.477477479</v>
      </c>
      <c r="F281">
        <v>8323423.4234234281</v>
      </c>
      <c r="G281">
        <v>86</v>
      </c>
      <c r="H281">
        <v>76</v>
      </c>
      <c r="I281">
        <v>11</v>
      </c>
      <c r="J281">
        <v>13</v>
      </c>
      <c r="M281">
        <v>106</v>
      </c>
      <c r="N281">
        <v>94</v>
      </c>
      <c r="O281">
        <v>35746576.576576576</v>
      </c>
      <c r="P281">
        <v>182627027.02702704</v>
      </c>
      <c r="Q281">
        <v>477</v>
      </c>
      <c r="R281">
        <v>1195</v>
      </c>
      <c r="S281">
        <v>72578090.090090096</v>
      </c>
      <c r="T281">
        <v>74126567.567567572</v>
      </c>
      <c r="U281">
        <v>32834954.954954952</v>
      </c>
      <c r="V281">
        <v>126615765.76576577</v>
      </c>
      <c r="W281">
        <v>7385</v>
      </c>
      <c r="X281">
        <v>7041</v>
      </c>
    </row>
    <row r="282" spans="1:24">
      <c r="A282" s="7" t="s">
        <v>375</v>
      </c>
      <c r="B282" s="16" t="s">
        <v>354</v>
      </c>
      <c r="C282">
        <v>319056266.71695137</v>
      </c>
      <c r="D282">
        <v>303362560.90426105</v>
      </c>
      <c r="E282">
        <v>1448423.423423423</v>
      </c>
      <c r="F282">
        <v>2620720.7207207242</v>
      </c>
      <c r="G282">
        <v>500</v>
      </c>
      <c r="H282">
        <v>467</v>
      </c>
      <c r="I282">
        <v>8</v>
      </c>
      <c r="J282">
        <v>7</v>
      </c>
      <c r="M282">
        <v>516</v>
      </c>
      <c r="N282">
        <v>480</v>
      </c>
      <c r="O282">
        <v>55745585.585585587</v>
      </c>
      <c r="P282">
        <v>62104414.414414413</v>
      </c>
      <c r="Q282">
        <v>205</v>
      </c>
      <c r="R282">
        <v>310</v>
      </c>
      <c r="S282">
        <v>189739090.09009007</v>
      </c>
      <c r="T282">
        <v>188194387.38738739</v>
      </c>
      <c r="U282">
        <v>58239729.729729727</v>
      </c>
      <c r="V282">
        <v>66727297.297297299</v>
      </c>
      <c r="W282">
        <v>7114</v>
      </c>
      <c r="X282">
        <v>6935</v>
      </c>
    </row>
    <row r="283" spans="1:24">
      <c r="A283" s="7" t="s">
        <v>376</v>
      </c>
      <c r="B283" s="16" t="s">
        <v>66</v>
      </c>
      <c r="C283">
        <v>109161246.60224776</v>
      </c>
      <c r="D283">
        <v>116774342.40920512</v>
      </c>
      <c r="E283">
        <v>42342.342342344004</v>
      </c>
      <c r="F283">
        <v>1134234.2342342359</v>
      </c>
      <c r="G283">
        <v>42</v>
      </c>
      <c r="H283">
        <v>49</v>
      </c>
      <c r="I283">
        <v>5</v>
      </c>
      <c r="J283">
        <v>5</v>
      </c>
      <c r="M283">
        <v>59</v>
      </c>
      <c r="N283">
        <v>59</v>
      </c>
      <c r="O283">
        <v>9043063.0630630609</v>
      </c>
      <c r="P283">
        <v>9829729.7297297288</v>
      </c>
      <c r="Q283">
        <v>135</v>
      </c>
      <c r="R283">
        <v>98</v>
      </c>
      <c r="S283">
        <v>48889160.360360362</v>
      </c>
      <c r="T283">
        <v>55141229.729729727</v>
      </c>
      <c r="U283">
        <v>14230180.180180175</v>
      </c>
      <c r="V283">
        <v>13176396.396396391</v>
      </c>
      <c r="W283">
        <v>4440</v>
      </c>
      <c r="X283">
        <v>5771</v>
      </c>
    </row>
    <row r="284" spans="1:24">
      <c r="A284" s="7" t="s">
        <v>377</v>
      </c>
      <c r="B284" s="16" t="s">
        <v>260</v>
      </c>
      <c r="C284">
        <v>105098409.99914785</v>
      </c>
      <c r="D284">
        <v>97687756.705427155</v>
      </c>
      <c r="E284">
        <v>183783.78378378399</v>
      </c>
      <c r="F284">
        <v>13513.513513514001</v>
      </c>
      <c r="G284">
        <v>6</v>
      </c>
      <c r="H284">
        <v>8</v>
      </c>
      <c r="I284">
        <v>1</v>
      </c>
      <c r="J284">
        <v>0</v>
      </c>
      <c r="M284">
        <v>6</v>
      </c>
      <c r="N284">
        <v>8</v>
      </c>
      <c r="O284">
        <v>3607207.2072072071</v>
      </c>
      <c r="P284">
        <v>6454954.9549549539</v>
      </c>
      <c r="Q284">
        <v>4</v>
      </c>
      <c r="R284">
        <v>1</v>
      </c>
      <c r="S284">
        <v>16736801.801801803</v>
      </c>
      <c r="T284">
        <v>16275288.288288288</v>
      </c>
      <c r="U284">
        <v>7599729.7297297288</v>
      </c>
      <c r="V284">
        <v>2965405.405405405</v>
      </c>
      <c r="W284">
        <v>1681</v>
      </c>
      <c r="X284">
        <v>1584</v>
      </c>
    </row>
    <row r="285" spans="1:24">
      <c r="A285" s="7" t="s">
        <v>378</v>
      </c>
      <c r="B285" s="16" t="s">
        <v>354</v>
      </c>
      <c r="C285">
        <v>264087888.35252762</v>
      </c>
      <c r="D285">
        <v>253327451.75475281</v>
      </c>
      <c r="E285">
        <v>131802477.47747748</v>
      </c>
      <c r="F285">
        <v>77720720.720720723</v>
      </c>
      <c r="G285">
        <v>49</v>
      </c>
      <c r="H285">
        <v>57</v>
      </c>
      <c r="I285">
        <v>3</v>
      </c>
      <c r="J285">
        <v>8</v>
      </c>
      <c r="M285">
        <v>51</v>
      </c>
      <c r="N285">
        <v>58</v>
      </c>
      <c r="O285">
        <v>66789684.684684679</v>
      </c>
      <c r="P285">
        <v>60762522.522522531</v>
      </c>
      <c r="Q285">
        <v>145</v>
      </c>
      <c r="R285">
        <v>43</v>
      </c>
      <c r="S285">
        <v>135104054.05405405</v>
      </c>
      <c r="T285">
        <v>141753392.7927928</v>
      </c>
      <c r="U285">
        <v>57270450.45045045</v>
      </c>
      <c r="V285">
        <v>50006306.306306303</v>
      </c>
      <c r="W285">
        <v>4839</v>
      </c>
      <c r="X285">
        <v>4754</v>
      </c>
    </row>
    <row r="286" spans="1:24">
      <c r="A286" s="7" t="s">
        <v>379</v>
      </c>
      <c r="B286" s="16" t="s">
        <v>87</v>
      </c>
      <c r="C286">
        <v>5313903.5507748574</v>
      </c>
      <c r="D286">
        <v>6952766.731564261</v>
      </c>
      <c r="H286">
        <v>2</v>
      </c>
      <c r="N286">
        <v>3</v>
      </c>
      <c r="O286">
        <v>135135.135135135</v>
      </c>
      <c r="P286">
        <v>891891.89189189195</v>
      </c>
      <c r="S286">
        <v>177252.25225225199</v>
      </c>
      <c r="T286">
        <v>378513.51351351402</v>
      </c>
      <c r="W286">
        <v>160</v>
      </c>
      <c r="X286">
        <v>142</v>
      </c>
    </row>
    <row r="287" spans="1:24">
      <c r="A287" s="7" t="s">
        <v>380</v>
      </c>
      <c r="B287" s="16" t="s">
        <v>87</v>
      </c>
      <c r="C287">
        <v>22442368.795064688</v>
      </c>
      <c r="D287">
        <v>9877722.8159300089</v>
      </c>
      <c r="E287">
        <v>18918.918918919</v>
      </c>
      <c r="G287">
        <v>177</v>
      </c>
      <c r="H287">
        <v>20</v>
      </c>
      <c r="I287">
        <v>1</v>
      </c>
      <c r="M287">
        <v>179</v>
      </c>
      <c r="N287">
        <v>22</v>
      </c>
      <c r="O287">
        <v>86486.486486485999</v>
      </c>
      <c r="Q287">
        <v>3</v>
      </c>
      <c r="S287">
        <v>4153603.6036036038</v>
      </c>
      <c r="T287">
        <v>1275729.7297297299</v>
      </c>
      <c r="U287">
        <v>79279.279279278999</v>
      </c>
      <c r="W287">
        <v>536</v>
      </c>
      <c r="X287">
        <v>367</v>
      </c>
    </row>
    <row r="288" spans="1:24">
      <c r="A288" s="7" t="s">
        <v>381</v>
      </c>
      <c r="B288" s="16" t="s">
        <v>80</v>
      </c>
      <c r="C288">
        <v>1754161144.1972404</v>
      </c>
      <c r="D288">
        <v>1715464486.7695541</v>
      </c>
      <c r="E288">
        <v>1402394017.1171172</v>
      </c>
      <c r="F288">
        <v>1034810407.2072072</v>
      </c>
      <c r="G288">
        <v>520</v>
      </c>
      <c r="H288">
        <v>643</v>
      </c>
      <c r="I288">
        <v>60</v>
      </c>
      <c r="J288">
        <v>58</v>
      </c>
      <c r="K288">
        <v>1</v>
      </c>
      <c r="M288">
        <v>617</v>
      </c>
      <c r="N288">
        <v>812</v>
      </c>
      <c r="O288">
        <v>212263963.96396396</v>
      </c>
      <c r="P288">
        <v>280846396.3963964</v>
      </c>
      <c r="Q288">
        <v>460</v>
      </c>
      <c r="R288">
        <v>680</v>
      </c>
      <c r="S288">
        <v>427222753.15315318</v>
      </c>
      <c r="T288">
        <v>445405946.3963964</v>
      </c>
      <c r="U288">
        <v>185629639.63963965</v>
      </c>
      <c r="V288">
        <v>239669549.54954955</v>
      </c>
      <c r="W288">
        <v>36379</v>
      </c>
      <c r="X288">
        <v>36393</v>
      </c>
    </row>
    <row r="289" spans="1:24">
      <c r="A289" s="7" t="s">
        <v>382</v>
      </c>
      <c r="B289" s="16" t="s">
        <v>80</v>
      </c>
      <c r="C289">
        <v>467937805.55240571</v>
      </c>
      <c r="D289">
        <v>469835758.15303129</v>
      </c>
      <c r="E289">
        <v>3490090.0900900899</v>
      </c>
      <c r="F289">
        <v>5545270.270270274</v>
      </c>
      <c r="G289">
        <v>130</v>
      </c>
      <c r="H289">
        <v>148</v>
      </c>
      <c r="I289">
        <v>15</v>
      </c>
      <c r="J289">
        <v>15</v>
      </c>
      <c r="K289">
        <v>1</v>
      </c>
      <c r="M289">
        <v>151</v>
      </c>
      <c r="N289">
        <v>204</v>
      </c>
      <c r="O289">
        <v>94560090.090090081</v>
      </c>
      <c r="P289">
        <v>91790990.990990996</v>
      </c>
      <c r="Q289">
        <v>223</v>
      </c>
      <c r="R289">
        <v>189</v>
      </c>
      <c r="S289">
        <v>194111192.7927928</v>
      </c>
      <c r="T289">
        <v>194691384.23423424</v>
      </c>
      <c r="U289">
        <v>86942612.612612605</v>
      </c>
      <c r="V289">
        <v>80030309.909909904</v>
      </c>
      <c r="W289">
        <v>9903</v>
      </c>
      <c r="X289">
        <v>9892</v>
      </c>
    </row>
    <row r="290" spans="1:24">
      <c r="A290" s="7" t="s">
        <v>383</v>
      </c>
      <c r="B290" s="16" t="s">
        <v>80</v>
      </c>
      <c r="C290">
        <v>654229347.81232655</v>
      </c>
      <c r="D290">
        <v>591568436.13719451</v>
      </c>
      <c r="E290">
        <v>67792.792792794004</v>
      </c>
      <c r="F290">
        <v>604123.42342342495</v>
      </c>
      <c r="G290">
        <v>144</v>
      </c>
      <c r="H290">
        <v>81</v>
      </c>
      <c r="I290">
        <v>2</v>
      </c>
      <c r="J290">
        <v>3</v>
      </c>
      <c r="M290">
        <v>159</v>
      </c>
      <c r="N290">
        <v>92</v>
      </c>
      <c r="O290">
        <v>27522342.342342343</v>
      </c>
      <c r="P290">
        <v>42105905.40540541</v>
      </c>
      <c r="Q290">
        <v>33</v>
      </c>
      <c r="R290">
        <v>15</v>
      </c>
      <c r="S290">
        <v>120848958.55855855</v>
      </c>
      <c r="T290">
        <v>119782774.77477477</v>
      </c>
      <c r="U290">
        <v>27390810.810810812</v>
      </c>
      <c r="V290">
        <v>41191621.621621624</v>
      </c>
      <c r="W290">
        <v>10629</v>
      </c>
      <c r="X290">
        <v>8842</v>
      </c>
    </row>
    <row r="291" spans="1:24">
      <c r="A291" s="7" t="s">
        <v>384</v>
      </c>
      <c r="B291" s="16" t="s">
        <v>68</v>
      </c>
      <c r="C291">
        <v>259280898.37001291</v>
      </c>
      <c r="D291">
        <v>261325543.17737514</v>
      </c>
      <c r="E291">
        <v>201891.89189189201</v>
      </c>
      <c r="F291">
        <v>1069369.3693693699</v>
      </c>
      <c r="G291">
        <v>77</v>
      </c>
      <c r="H291">
        <v>56</v>
      </c>
      <c r="I291">
        <v>4</v>
      </c>
      <c r="J291">
        <v>1</v>
      </c>
      <c r="M291">
        <v>87</v>
      </c>
      <c r="N291">
        <v>60</v>
      </c>
      <c r="O291">
        <v>13371531.531531528</v>
      </c>
      <c r="P291">
        <v>10636486.486486487</v>
      </c>
      <c r="Q291">
        <v>78</v>
      </c>
      <c r="R291">
        <v>46</v>
      </c>
      <c r="S291">
        <v>34939891.891891889</v>
      </c>
      <c r="T291">
        <v>37409837.837837838</v>
      </c>
      <c r="U291">
        <v>12442072.072072072</v>
      </c>
      <c r="V291">
        <v>9095405.4054054059</v>
      </c>
      <c r="W291">
        <v>5060</v>
      </c>
      <c r="X291">
        <v>5073</v>
      </c>
    </row>
    <row r="292" spans="1:24">
      <c r="A292" s="7" t="s">
        <v>385</v>
      </c>
      <c r="B292" s="16" t="s">
        <v>167</v>
      </c>
      <c r="C292">
        <v>94017035.326872021</v>
      </c>
      <c r="D292">
        <v>90270507.292112261</v>
      </c>
      <c r="E292">
        <v>25225.225225227001</v>
      </c>
      <c r="F292">
        <v>1700000.0000000021</v>
      </c>
      <c r="G292">
        <v>41</v>
      </c>
      <c r="H292">
        <v>33</v>
      </c>
      <c r="I292">
        <v>5</v>
      </c>
      <c r="J292">
        <v>7</v>
      </c>
      <c r="M292">
        <v>45</v>
      </c>
      <c r="N292">
        <v>40</v>
      </c>
      <c r="O292">
        <v>26715123.423423424</v>
      </c>
      <c r="P292">
        <v>22127993.693693697</v>
      </c>
      <c r="Q292">
        <v>45</v>
      </c>
      <c r="R292">
        <v>17</v>
      </c>
      <c r="S292">
        <v>38144232.432432435</v>
      </c>
      <c r="T292">
        <v>37916909.909909911</v>
      </c>
      <c r="U292">
        <v>20015225.225225229</v>
      </c>
      <c r="V292">
        <v>20441801.801801804</v>
      </c>
      <c r="W292">
        <v>2445</v>
      </c>
      <c r="X292">
        <v>2289</v>
      </c>
    </row>
    <row r="293" spans="1:24">
      <c r="A293" s="7" t="s">
        <v>386</v>
      </c>
      <c r="B293" s="16" t="s">
        <v>94</v>
      </c>
      <c r="C293">
        <v>518604006.25026387</v>
      </c>
      <c r="D293">
        <v>517345514.62090552</v>
      </c>
      <c r="E293">
        <v>1267567.5675675671</v>
      </c>
      <c r="F293">
        <v>707207.20720720803</v>
      </c>
      <c r="G293">
        <v>115</v>
      </c>
      <c r="H293">
        <v>117</v>
      </c>
      <c r="I293">
        <v>5</v>
      </c>
      <c r="J293">
        <v>8</v>
      </c>
      <c r="K293">
        <v>2</v>
      </c>
      <c r="M293">
        <v>127</v>
      </c>
      <c r="N293">
        <v>126</v>
      </c>
      <c r="O293">
        <v>16153153.153153151</v>
      </c>
      <c r="P293">
        <v>19337837.837837841</v>
      </c>
      <c r="Q293">
        <v>33</v>
      </c>
      <c r="R293">
        <v>144</v>
      </c>
      <c r="S293">
        <v>54155897.297297299</v>
      </c>
      <c r="T293">
        <v>62361666.666666664</v>
      </c>
      <c r="U293">
        <v>12477837.837837836</v>
      </c>
      <c r="V293">
        <v>15838198.198198199</v>
      </c>
      <c r="W293">
        <v>8361</v>
      </c>
      <c r="X293">
        <v>8131</v>
      </c>
    </row>
    <row r="294" spans="1:24">
      <c r="A294" s="7" t="s">
        <v>387</v>
      </c>
      <c r="B294" s="16" t="s">
        <v>214</v>
      </c>
      <c r="C294">
        <v>91752264.154170513</v>
      </c>
      <c r="D294">
        <v>94342010.339300707</v>
      </c>
      <c r="E294">
        <v>11503603.603603603</v>
      </c>
      <c r="F294">
        <v>3609909.9099099101</v>
      </c>
      <c r="G294">
        <v>33</v>
      </c>
      <c r="H294">
        <v>40</v>
      </c>
      <c r="I294">
        <v>0</v>
      </c>
      <c r="J294">
        <v>1</v>
      </c>
      <c r="M294">
        <v>33</v>
      </c>
      <c r="N294">
        <v>43</v>
      </c>
      <c r="O294">
        <v>350450.45045045001</v>
      </c>
      <c r="P294">
        <v>3278378.3783783782</v>
      </c>
      <c r="S294">
        <v>42386981.981981985</v>
      </c>
      <c r="T294">
        <v>45039630.630630635</v>
      </c>
      <c r="U294">
        <v>22072.072072071998</v>
      </c>
      <c r="V294">
        <v>1981531.5315315309</v>
      </c>
      <c r="W294">
        <v>2356</v>
      </c>
      <c r="X294">
        <v>2271</v>
      </c>
    </row>
    <row r="295" spans="1:24">
      <c r="A295" s="7" t="s">
        <v>388</v>
      </c>
      <c r="B295" s="16" t="s">
        <v>117</v>
      </c>
      <c r="C295">
        <v>39695342.965031728</v>
      </c>
      <c r="D295">
        <v>37605199.592048593</v>
      </c>
      <c r="E295">
        <v>16381081.081081085</v>
      </c>
      <c r="F295">
        <v>5160360.3603603588</v>
      </c>
      <c r="G295">
        <v>27</v>
      </c>
      <c r="H295">
        <v>25</v>
      </c>
      <c r="I295">
        <v>6</v>
      </c>
      <c r="J295">
        <v>8</v>
      </c>
      <c r="M295">
        <v>34</v>
      </c>
      <c r="N295">
        <v>35</v>
      </c>
      <c r="O295">
        <v>8231164.8648648644</v>
      </c>
      <c r="P295">
        <v>11344709.909909911</v>
      </c>
      <c r="S295">
        <v>18521081.081081081</v>
      </c>
      <c r="T295">
        <v>17824468.468468469</v>
      </c>
      <c r="U295">
        <v>1988198.198198196</v>
      </c>
      <c r="V295">
        <v>6982792.7927927924</v>
      </c>
      <c r="W295">
        <v>1917</v>
      </c>
      <c r="X295">
        <v>1566</v>
      </c>
    </row>
    <row r="296" spans="1:24">
      <c r="A296" s="7" t="s">
        <v>389</v>
      </c>
      <c r="B296" s="16" t="s">
        <v>315</v>
      </c>
      <c r="C296">
        <v>171840510.74461767</v>
      </c>
      <c r="D296">
        <v>164214241.54560661</v>
      </c>
      <c r="E296">
        <v>43588963.963963971</v>
      </c>
      <c r="F296">
        <v>65290990.990990989</v>
      </c>
      <c r="G296">
        <v>25</v>
      </c>
      <c r="H296">
        <v>17</v>
      </c>
      <c r="I296">
        <v>0</v>
      </c>
      <c r="J296">
        <v>1</v>
      </c>
      <c r="M296">
        <v>28</v>
      </c>
      <c r="N296">
        <v>18</v>
      </c>
      <c r="O296">
        <v>9873423.4234234244</v>
      </c>
      <c r="P296">
        <v>7408108.1081081079</v>
      </c>
      <c r="S296">
        <v>34006441.441441439</v>
      </c>
      <c r="T296">
        <v>34048792.79279279</v>
      </c>
      <c r="U296">
        <v>7744234.2342342343</v>
      </c>
      <c r="V296">
        <v>7083873.8738738736</v>
      </c>
      <c r="W296">
        <v>2741</v>
      </c>
      <c r="X296">
        <v>2570</v>
      </c>
    </row>
    <row r="297" spans="1:24">
      <c r="A297" s="7" t="s">
        <v>390</v>
      </c>
      <c r="B297" s="16" t="s">
        <v>224</v>
      </c>
      <c r="C297">
        <v>90237798.474258497</v>
      </c>
      <c r="D297">
        <v>71001528.383070439</v>
      </c>
      <c r="G297">
        <v>101</v>
      </c>
      <c r="H297">
        <v>7</v>
      </c>
      <c r="M297">
        <v>104</v>
      </c>
      <c r="N297">
        <v>7</v>
      </c>
      <c r="S297">
        <v>17975666.666666668</v>
      </c>
      <c r="T297">
        <v>13279414.414414413</v>
      </c>
      <c r="W297">
        <v>1550</v>
      </c>
      <c r="X297">
        <v>1437</v>
      </c>
    </row>
    <row r="298" spans="1:24">
      <c r="A298" s="7" t="s">
        <v>6</v>
      </c>
      <c r="B298" s="16" t="s">
        <v>193</v>
      </c>
      <c r="C298">
        <v>612577387.72131908</v>
      </c>
      <c r="D298">
        <v>594205850.97272587</v>
      </c>
      <c r="E298">
        <v>6512162.1621621549</v>
      </c>
      <c r="F298">
        <v>6331105.4054054143</v>
      </c>
      <c r="G298">
        <v>428</v>
      </c>
      <c r="H298">
        <v>331</v>
      </c>
      <c r="I298">
        <v>25</v>
      </c>
      <c r="J298">
        <v>16</v>
      </c>
      <c r="K298">
        <v>2</v>
      </c>
      <c r="M298">
        <v>952</v>
      </c>
      <c r="N298">
        <v>780</v>
      </c>
      <c r="O298">
        <v>238423873.87387386</v>
      </c>
      <c r="P298">
        <v>226275796.3963964</v>
      </c>
      <c r="Q298">
        <v>503</v>
      </c>
      <c r="R298">
        <v>819</v>
      </c>
      <c r="S298">
        <v>405509504.5045045</v>
      </c>
      <c r="T298">
        <v>402839711.71171176</v>
      </c>
      <c r="U298">
        <v>219654684.68468466</v>
      </c>
      <c r="V298">
        <v>191808018.01801801</v>
      </c>
      <c r="W298">
        <v>13759</v>
      </c>
      <c r="X298">
        <v>13025</v>
      </c>
    </row>
    <row r="299" spans="1:24">
      <c r="A299" s="7" t="s">
        <v>391</v>
      </c>
      <c r="B299" s="16" t="s">
        <v>121</v>
      </c>
      <c r="C299">
        <v>22019801.541644622</v>
      </c>
      <c r="D299">
        <v>26655373.105859913</v>
      </c>
      <c r="E299">
        <v>9009.0090090089998</v>
      </c>
      <c r="G299">
        <v>16</v>
      </c>
      <c r="H299">
        <v>9</v>
      </c>
      <c r="M299">
        <v>17</v>
      </c>
      <c r="N299">
        <v>10</v>
      </c>
      <c r="O299">
        <v>90090.090090090001</v>
      </c>
      <c r="Q299">
        <v>9</v>
      </c>
      <c r="S299">
        <v>1319369.369369369</v>
      </c>
      <c r="T299">
        <v>1406306.306306306</v>
      </c>
      <c r="U299">
        <v>81081.081081081007</v>
      </c>
      <c r="W299">
        <v>562</v>
      </c>
      <c r="X299">
        <v>515</v>
      </c>
    </row>
    <row r="300" spans="1:24">
      <c r="A300" s="7" t="s">
        <v>392</v>
      </c>
      <c r="B300" s="16" t="s">
        <v>134</v>
      </c>
      <c r="C300">
        <v>82873277.402582034</v>
      </c>
      <c r="D300">
        <v>78577685.894850895</v>
      </c>
      <c r="E300">
        <v>3603.603603604</v>
      </c>
      <c r="F300">
        <v>67567.567567567996</v>
      </c>
      <c r="G300">
        <v>27</v>
      </c>
      <c r="H300">
        <v>23</v>
      </c>
      <c r="I300">
        <v>1</v>
      </c>
      <c r="J300">
        <v>1</v>
      </c>
      <c r="M300">
        <v>32</v>
      </c>
      <c r="N300">
        <v>27</v>
      </c>
      <c r="O300">
        <v>8354954.9549549539</v>
      </c>
      <c r="P300">
        <v>5490990.9909909898</v>
      </c>
      <c r="Q300">
        <v>93</v>
      </c>
      <c r="R300">
        <v>5</v>
      </c>
      <c r="S300">
        <v>16451061.261261262</v>
      </c>
      <c r="T300">
        <v>15518277.477477476</v>
      </c>
      <c r="U300">
        <v>2953513.5135135138</v>
      </c>
      <c r="V300">
        <v>1680990.9909909919</v>
      </c>
      <c r="W300">
        <v>3429</v>
      </c>
      <c r="X300">
        <v>3469</v>
      </c>
    </row>
    <row r="301" spans="1:24">
      <c r="A301" s="7" t="s">
        <v>393</v>
      </c>
      <c r="B301" s="16" t="s">
        <v>58</v>
      </c>
      <c r="C301">
        <v>404786143.70580161</v>
      </c>
      <c r="D301">
        <v>387141796.21032572</v>
      </c>
      <c r="E301">
        <v>10274549.549549554</v>
      </c>
      <c r="F301">
        <v>25297072.072072078</v>
      </c>
      <c r="G301">
        <v>225</v>
      </c>
      <c r="H301">
        <v>129</v>
      </c>
      <c r="I301">
        <v>20</v>
      </c>
      <c r="J301">
        <v>20</v>
      </c>
      <c r="K301">
        <v>3</v>
      </c>
      <c r="M301">
        <v>249</v>
      </c>
      <c r="N301">
        <v>163</v>
      </c>
      <c r="O301">
        <v>54096846.846846849</v>
      </c>
      <c r="P301">
        <v>39994594.59459459</v>
      </c>
      <c r="Q301">
        <v>280</v>
      </c>
      <c r="R301">
        <v>48</v>
      </c>
      <c r="S301">
        <v>63638036.036036037</v>
      </c>
      <c r="T301">
        <v>62254279.279279277</v>
      </c>
      <c r="U301">
        <v>45625135.135135137</v>
      </c>
      <c r="V301">
        <v>37197207.20720721</v>
      </c>
      <c r="W301">
        <v>8897</v>
      </c>
      <c r="X301">
        <v>9027</v>
      </c>
    </row>
    <row r="302" spans="1:24">
      <c r="A302" s="7" t="s">
        <v>394</v>
      </c>
      <c r="B302" s="16" t="s">
        <v>134</v>
      </c>
      <c r="C302">
        <v>144612648.33271438</v>
      </c>
      <c r="D302">
        <v>133968117.91752332</v>
      </c>
      <c r="E302">
        <v>47972.972972973999</v>
      </c>
      <c r="F302">
        <v>658558.55855855905</v>
      </c>
      <c r="G302">
        <v>26</v>
      </c>
      <c r="H302">
        <v>25</v>
      </c>
      <c r="I302">
        <v>6</v>
      </c>
      <c r="J302">
        <v>6</v>
      </c>
      <c r="M302">
        <v>28</v>
      </c>
      <c r="N302">
        <v>29</v>
      </c>
      <c r="O302">
        <v>14895495.495495496</v>
      </c>
      <c r="P302">
        <v>18554954.954954952</v>
      </c>
      <c r="Q302">
        <v>185</v>
      </c>
      <c r="R302">
        <v>55</v>
      </c>
      <c r="S302">
        <v>25864412.612612613</v>
      </c>
      <c r="T302">
        <v>24819360.360360362</v>
      </c>
      <c r="U302">
        <v>10319189.189189188</v>
      </c>
      <c r="V302">
        <v>11887837.837837838</v>
      </c>
      <c r="W302">
        <v>3809</v>
      </c>
      <c r="X302">
        <v>3858</v>
      </c>
    </row>
    <row r="303" spans="1:24">
      <c r="A303" s="7" t="s">
        <v>395</v>
      </c>
      <c r="B303" s="16" t="s">
        <v>54</v>
      </c>
      <c r="C303">
        <v>59667813.609837197</v>
      </c>
      <c r="D303">
        <v>55958916.20859424</v>
      </c>
      <c r="E303">
        <v>274774.77477477503</v>
      </c>
      <c r="F303">
        <v>55855.855855856003</v>
      </c>
      <c r="G303">
        <v>9</v>
      </c>
      <c r="H303">
        <v>17</v>
      </c>
      <c r="I303">
        <v>1</v>
      </c>
      <c r="J303">
        <v>2</v>
      </c>
      <c r="M303">
        <v>11</v>
      </c>
      <c r="N303">
        <v>19</v>
      </c>
      <c r="O303">
        <v>3635135.1351351351</v>
      </c>
      <c r="P303">
        <v>2776576.576576577</v>
      </c>
      <c r="Q303">
        <v>24</v>
      </c>
      <c r="R303">
        <v>7</v>
      </c>
      <c r="S303">
        <v>9814369.3693693671</v>
      </c>
      <c r="T303">
        <v>9403180.1801801808</v>
      </c>
      <c r="U303">
        <v>3599189.1891891882</v>
      </c>
      <c r="V303">
        <v>3087117.1171171172</v>
      </c>
      <c r="W303">
        <v>1636</v>
      </c>
      <c r="X303">
        <v>1618</v>
      </c>
    </row>
    <row r="304" spans="1:24">
      <c r="A304" s="7" t="s">
        <v>396</v>
      </c>
      <c r="B304" s="16" t="s">
        <v>397</v>
      </c>
      <c r="C304">
        <v>409705974.53740686</v>
      </c>
      <c r="D304">
        <v>396976713.92782521</v>
      </c>
      <c r="E304">
        <v>2368873.8738738731</v>
      </c>
      <c r="F304">
        <v>2936036.036036036</v>
      </c>
      <c r="G304">
        <v>197</v>
      </c>
      <c r="H304">
        <v>169</v>
      </c>
      <c r="I304">
        <v>11</v>
      </c>
      <c r="J304">
        <v>19</v>
      </c>
      <c r="M304">
        <v>236</v>
      </c>
      <c r="N304">
        <v>337</v>
      </c>
      <c r="O304">
        <v>39976351.351351351</v>
      </c>
      <c r="P304">
        <v>43893693.693693697</v>
      </c>
      <c r="Q304">
        <v>178</v>
      </c>
      <c r="R304">
        <v>426</v>
      </c>
      <c r="S304">
        <v>77955106.306306303</v>
      </c>
      <c r="T304">
        <v>78573807.207207203</v>
      </c>
      <c r="U304">
        <v>40539774.774774775</v>
      </c>
      <c r="V304">
        <v>41617837.83783783</v>
      </c>
      <c r="W304">
        <v>9396</v>
      </c>
      <c r="X304">
        <v>9414</v>
      </c>
    </row>
    <row r="305" spans="1:24">
      <c r="A305" s="7" t="s">
        <v>398</v>
      </c>
      <c r="B305" s="16" t="s">
        <v>399</v>
      </c>
      <c r="C305">
        <v>470824742.25688326</v>
      </c>
      <c r="D305">
        <v>429818454.79269087</v>
      </c>
      <c r="E305">
        <v>819369.36936937098</v>
      </c>
      <c r="F305">
        <v>5952027.0270270286</v>
      </c>
      <c r="G305">
        <v>132</v>
      </c>
      <c r="H305">
        <v>91</v>
      </c>
      <c r="I305">
        <v>18</v>
      </c>
      <c r="J305">
        <v>18</v>
      </c>
      <c r="K305">
        <v>1</v>
      </c>
      <c r="M305">
        <v>149</v>
      </c>
      <c r="N305">
        <v>104</v>
      </c>
      <c r="O305">
        <v>117895225.22522523</v>
      </c>
      <c r="P305">
        <v>47025225.225225225</v>
      </c>
      <c r="Q305">
        <v>300</v>
      </c>
      <c r="R305">
        <v>344</v>
      </c>
      <c r="S305">
        <v>84348124.324324325</v>
      </c>
      <c r="T305">
        <v>79122648.648648649</v>
      </c>
      <c r="U305">
        <v>112555405.4054054</v>
      </c>
      <c r="V305">
        <v>44500720.720720723</v>
      </c>
      <c r="W305">
        <v>11411</v>
      </c>
      <c r="X305">
        <v>11662</v>
      </c>
    </row>
    <row r="306" spans="1:24">
      <c r="A306" s="7" t="s">
        <v>400</v>
      </c>
      <c r="B306" s="16" t="s">
        <v>140</v>
      </c>
      <c r="C306">
        <v>147929177.07588246</v>
      </c>
      <c r="D306">
        <v>139459220.40143764</v>
      </c>
      <c r="E306">
        <v>705405.40540540603</v>
      </c>
      <c r="F306">
        <v>1888288.2882882899</v>
      </c>
      <c r="G306">
        <v>42</v>
      </c>
      <c r="H306">
        <v>43</v>
      </c>
      <c r="I306">
        <v>5</v>
      </c>
      <c r="J306">
        <v>8</v>
      </c>
      <c r="M306">
        <v>48</v>
      </c>
      <c r="N306">
        <v>44</v>
      </c>
      <c r="O306">
        <v>29745045.045045044</v>
      </c>
      <c r="P306">
        <v>29756936.936936937</v>
      </c>
      <c r="Q306">
        <v>21</v>
      </c>
      <c r="R306">
        <v>13</v>
      </c>
      <c r="S306">
        <v>44195990.990990989</v>
      </c>
      <c r="T306">
        <v>44509387.387387387</v>
      </c>
      <c r="U306">
        <v>25035675.675675675</v>
      </c>
      <c r="V306">
        <v>27105585.585585583</v>
      </c>
      <c r="W306">
        <v>3316</v>
      </c>
      <c r="X306">
        <v>3377</v>
      </c>
    </row>
    <row r="307" spans="1:24">
      <c r="A307" s="7" t="s">
        <v>401</v>
      </c>
      <c r="B307" s="16" t="s">
        <v>121</v>
      </c>
      <c r="C307">
        <v>43271718.375911102</v>
      </c>
      <c r="D307">
        <v>37603893.067376323</v>
      </c>
      <c r="E307">
        <v>2702.7027027029999</v>
      </c>
      <c r="F307">
        <v>400900.900900901</v>
      </c>
      <c r="G307">
        <v>26</v>
      </c>
      <c r="H307">
        <v>15</v>
      </c>
      <c r="I307">
        <v>0</v>
      </c>
      <c r="J307">
        <v>1</v>
      </c>
      <c r="M307">
        <v>31</v>
      </c>
      <c r="N307">
        <v>21</v>
      </c>
      <c r="O307">
        <v>56756.756756757</v>
      </c>
      <c r="P307">
        <v>2202702.702702703</v>
      </c>
      <c r="Q307">
        <v>7</v>
      </c>
      <c r="R307">
        <v>2</v>
      </c>
      <c r="S307">
        <v>3220090.0900900899</v>
      </c>
      <c r="T307">
        <v>3767488.7387387389</v>
      </c>
      <c r="U307">
        <v>1312252.2522522521</v>
      </c>
      <c r="V307">
        <v>985495.49549549504</v>
      </c>
      <c r="W307">
        <v>1090</v>
      </c>
      <c r="X307">
        <v>1060</v>
      </c>
    </row>
    <row r="308" spans="1:24">
      <c r="A308" s="7" t="s">
        <v>402</v>
      </c>
      <c r="B308" s="16" t="s">
        <v>290</v>
      </c>
      <c r="C308">
        <v>81474114.901566237</v>
      </c>
      <c r="D308">
        <v>59384437.275081694</v>
      </c>
      <c r="E308">
        <v>73873.873873874996</v>
      </c>
      <c r="F308">
        <v>398648.64864864998</v>
      </c>
      <c r="G308">
        <v>55</v>
      </c>
      <c r="H308">
        <v>10</v>
      </c>
      <c r="I308">
        <v>5</v>
      </c>
      <c r="J308">
        <v>2</v>
      </c>
      <c r="M308">
        <v>58</v>
      </c>
      <c r="N308">
        <v>14</v>
      </c>
      <c r="O308">
        <v>4758558.558558559</v>
      </c>
      <c r="P308">
        <v>2124324.3243243238</v>
      </c>
      <c r="Q308">
        <v>120</v>
      </c>
      <c r="R308">
        <v>48</v>
      </c>
      <c r="S308">
        <v>10193738.738738738</v>
      </c>
      <c r="T308">
        <v>7919225.2252252251</v>
      </c>
      <c r="U308">
        <v>4596756.7567567574</v>
      </c>
      <c r="V308">
        <v>2933333.3333333321</v>
      </c>
      <c r="W308">
        <v>1755</v>
      </c>
      <c r="X308">
        <v>1691</v>
      </c>
    </row>
    <row r="309" spans="1:24">
      <c r="A309" s="7" t="s">
        <v>403</v>
      </c>
      <c r="B309" s="16" t="s">
        <v>121</v>
      </c>
      <c r="C309">
        <v>71444719.335386142</v>
      </c>
      <c r="D309">
        <v>67842392.173602089</v>
      </c>
      <c r="F309">
        <v>55630.630630631</v>
      </c>
      <c r="G309">
        <v>11</v>
      </c>
      <c r="H309">
        <v>12</v>
      </c>
      <c r="I309">
        <v>0</v>
      </c>
      <c r="J309">
        <v>0</v>
      </c>
      <c r="M309">
        <v>11</v>
      </c>
      <c r="N309">
        <v>13</v>
      </c>
      <c r="O309">
        <v>162162.16216216201</v>
      </c>
      <c r="P309">
        <v>58558.558558559002</v>
      </c>
      <c r="Q309">
        <v>20</v>
      </c>
      <c r="S309">
        <v>5582702.702702703</v>
      </c>
      <c r="T309">
        <v>5309315.3153153146</v>
      </c>
      <c r="U309">
        <v>198198.19819819799</v>
      </c>
      <c r="W309">
        <v>1087</v>
      </c>
      <c r="X309">
        <v>999</v>
      </c>
    </row>
    <row r="310" spans="1:24">
      <c r="A310" s="7" t="s">
        <v>404</v>
      </c>
      <c r="B310" s="16" t="s">
        <v>368</v>
      </c>
      <c r="C310">
        <v>172430918.87025759</v>
      </c>
      <c r="D310">
        <v>147956858.44129115</v>
      </c>
      <c r="E310">
        <v>52802927.927927926</v>
      </c>
      <c r="F310">
        <v>55767117.117117122</v>
      </c>
      <c r="G310">
        <v>42</v>
      </c>
      <c r="H310">
        <v>106</v>
      </c>
      <c r="I310">
        <v>7</v>
      </c>
      <c r="J310">
        <v>12</v>
      </c>
      <c r="K310">
        <v>1</v>
      </c>
      <c r="M310">
        <v>49</v>
      </c>
      <c r="N310">
        <v>164</v>
      </c>
      <c r="O310">
        <v>12209909.909909908</v>
      </c>
      <c r="P310">
        <v>29578828.82882883</v>
      </c>
      <c r="Q310">
        <v>162</v>
      </c>
      <c r="R310">
        <v>140</v>
      </c>
      <c r="S310">
        <v>52515427.927927926</v>
      </c>
      <c r="T310">
        <v>54217657.657657653</v>
      </c>
      <c r="U310">
        <v>8669279.2792792767</v>
      </c>
      <c r="V310">
        <v>26725585.585585583</v>
      </c>
      <c r="W310">
        <v>4323</v>
      </c>
      <c r="X310">
        <v>4750</v>
      </c>
    </row>
    <row r="311" spans="1:24">
      <c r="A311" s="7" t="s">
        <v>405</v>
      </c>
      <c r="B311" s="16" t="s">
        <v>140</v>
      </c>
      <c r="C311">
        <v>70174836.781764179</v>
      </c>
      <c r="D311">
        <v>72099356.674899325</v>
      </c>
      <c r="E311">
        <v>13963.963963964001</v>
      </c>
      <c r="F311">
        <v>233108.108108107</v>
      </c>
      <c r="G311">
        <v>3</v>
      </c>
      <c r="H311">
        <v>17</v>
      </c>
      <c r="I311">
        <v>0</v>
      </c>
      <c r="J311">
        <v>1</v>
      </c>
      <c r="M311">
        <v>4</v>
      </c>
      <c r="N311">
        <v>19</v>
      </c>
      <c r="O311">
        <v>11089639.63963964</v>
      </c>
      <c r="P311">
        <v>8973333.333333334</v>
      </c>
      <c r="Q311">
        <v>15</v>
      </c>
      <c r="R311">
        <v>16</v>
      </c>
      <c r="S311">
        <v>18706891.891891893</v>
      </c>
      <c r="T311">
        <v>20113772.97297297</v>
      </c>
      <c r="U311">
        <v>10364594.594594596</v>
      </c>
      <c r="V311">
        <v>10188648.648648648</v>
      </c>
      <c r="W311">
        <v>1469</v>
      </c>
      <c r="X311">
        <v>1443</v>
      </c>
    </row>
    <row r="312" spans="1:24">
      <c r="A312" s="7" t="s">
        <v>406</v>
      </c>
      <c r="B312" s="16" t="s">
        <v>54</v>
      </c>
      <c r="C312">
        <v>105300242.053192</v>
      </c>
      <c r="D312">
        <v>99908455.575989813</v>
      </c>
      <c r="E312">
        <v>666801.80180180201</v>
      </c>
      <c r="F312">
        <v>2018918.9189189209</v>
      </c>
      <c r="G312">
        <v>4</v>
      </c>
      <c r="H312">
        <v>110</v>
      </c>
      <c r="I312">
        <v>1</v>
      </c>
      <c r="J312">
        <v>8</v>
      </c>
      <c r="M312">
        <v>4</v>
      </c>
      <c r="N312">
        <v>191</v>
      </c>
      <c r="O312">
        <v>7143423.4234234206</v>
      </c>
      <c r="P312">
        <v>9618378.3783783801</v>
      </c>
      <c r="Q312">
        <v>83</v>
      </c>
      <c r="R312">
        <v>32</v>
      </c>
      <c r="S312">
        <v>21871036.036036037</v>
      </c>
      <c r="T312">
        <v>22927693.693693694</v>
      </c>
      <c r="U312">
        <v>6991621.6216216218</v>
      </c>
      <c r="V312">
        <v>10415765.765765764</v>
      </c>
      <c r="W312">
        <v>2186</v>
      </c>
      <c r="X312">
        <v>2140</v>
      </c>
    </row>
    <row r="313" spans="1:24">
      <c r="A313" s="7" t="s">
        <v>407</v>
      </c>
      <c r="B313" s="16" t="s">
        <v>134</v>
      </c>
      <c r="C313">
        <v>42816745.730282567</v>
      </c>
      <c r="D313">
        <v>45429871.765827432</v>
      </c>
      <c r="E313">
        <v>220397947.74774775</v>
      </c>
      <c r="F313">
        <v>242591909.00900903</v>
      </c>
      <c r="G313">
        <v>11</v>
      </c>
      <c r="H313">
        <v>6</v>
      </c>
      <c r="I313">
        <v>2</v>
      </c>
      <c r="J313">
        <v>1</v>
      </c>
      <c r="M313">
        <v>12</v>
      </c>
      <c r="N313">
        <v>6</v>
      </c>
      <c r="O313">
        <v>27687387.387387387</v>
      </c>
      <c r="P313">
        <v>37270270.270270273</v>
      </c>
      <c r="Q313">
        <v>4</v>
      </c>
      <c r="S313">
        <v>4983063.0630630627</v>
      </c>
      <c r="T313">
        <v>4094792.7927927929</v>
      </c>
      <c r="U313">
        <v>1737477.4774774781</v>
      </c>
      <c r="V313">
        <v>1141531.5315315309</v>
      </c>
      <c r="W313">
        <v>1004</v>
      </c>
      <c r="X313">
        <v>901</v>
      </c>
    </row>
    <row r="314" spans="1:24">
      <c r="A314" s="7" t="s">
        <v>408</v>
      </c>
      <c r="B314" s="16" t="s">
        <v>290</v>
      </c>
      <c r="C314">
        <v>28999635.796405125</v>
      </c>
      <c r="D314">
        <v>24816219.81352764</v>
      </c>
      <c r="E314">
        <v>113513.513513513</v>
      </c>
      <c r="F314">
        <v>361261.261261262</v>
      </c>
      <c r="G314">
        <v>19</v>
      </c>
      <c r="H314">
        <v>8</v>
      </c>
      <c r="I314">
        <v>3</v>
      </c>
      <c r="J314">
        <v>3</v>
      </c>
      <c r="M314">
        <v>22</v>
      </c>
      <c r="N314">
        <v>9</v>
      </c>
      <c r="O314">
        <v>4419819.8198198192</v>
      </c>
      <c r="P314">
        <v>5111711.7117117122</v>
      </c>
      <c r="Q314">
        <v>10</v>
      </c>
      <c r="R314">
        <v>46</v>
      </c>
      <c r="S314">
        <v>6098369.369369369</v>
      </c>
      <c r="T314">
        <v>4810630.630630631</v>
      </c>
      <c r="U314">
        <v>2327837.8378378381</v>
      </c>
      <c r="V314">
        <v>2924864.8648648639</v>
      </c>
      <c r="W314">
        <v>886</v>
      </c>
      <c r="X314">
        <v>867</v>
      </c>
    </row>
    <row r="315" spans="1:24">
      <c r="A315" s="7" t="s">
        <v>409</v>
      </c>
      <c r="B315" s="16" t="s">
        <v>178</v>
      </c>
      <c r="C315">
        <v>489114263.40481651</v>
      </c>
      <c r="D315">
        <v>451598199.32591313</v>
      </c>
      <c r="E315">
        <v>2735360.3603603621</v>
      </c>
      <c r="F315">
        <v>1903603.603603607</v>
      </c>
      <c r="G315">
        <v>146</v>
      </c>
      <c r="H315">
        <v>135</v>
      </c>
      <c r="I315">
        <v>5</v>
      </c>
      <c r="J315">
        <v>7</v>
      </c>
      <c r="M315">
        <v>173</v>
      </c>
      <c r="N315">
        <v>274</v>
      </c>
      <c r="O315">
        <v>41450000</v>
      </c>
      <c r="P315">
        <v>49579360.360360362</v>
      </c>
      <c r="Q315">
        <v>11</v>
      </c>
      <c r="R315">
        <v>54</v>
      </c>
      <c r="S315">
        <v>155614268.46846849</v>
      </c>
      <c r="T315">
        <v>155985824.32432431</v>
      </c>
      <c r="U315">
        <v>39494774.774774775</v>
      </c>
      <c r="V315">
        <v>45740720.720720723</v>
      </c>
      <c r="W315">
        <v>9593</v>
      </c>
      <c r="X315">
        <v>10078</v>
      </c>
    </row>
    <row r="316" spans="1:24">
      <c r="A316" s="7" t="s">
        <v>666</v>
      </c>
      <c r="B316" s="16" t="s">
        <v>87</v>
      </c>
      <c r="W316">
        <v>1</v>
      </c>
    </row>
    <row r="317" spans="1:24">
      <c r="A317" s="7" t="s">
        <v>410</v>
      </c>
      <c r="B317" s="16" t="s">
        <v>54</v>
      </c>
      <c r="C317">
        <v>825928625.80476928</v>
      </c>
      <c r="D317">
        <v>821340282.1798656</v>
      </c>
      <c r="E317">
        <v>63735893.693693697</v>
      </c>
      <c r="F317">
        <v>115411301.8018018</v>
      </c>
      <c r="G317">
        <v>174</v>
      </c>
      <c r="H317">
        <v>295</v>
      </c>
      <c r="I317">
        <v>24</v>
      </c>
      <c r="J317">
        <v>35</v>
      </c>
      <c r="K317">
        <v>4</v>
      </c>
      <c r="M317">
        <v>205</v>
      </c>
      <c r="N317">
        <v>375</v>
      </c>
      <c r="O317">
        <v>59162882.882882878</v>
      </c>
      <c r="P317">
        <v>62279729.729729727</v>
      </c>
      <c r="Q317">
        <v>488</v>
      </c>
      <c r="R317">
        <v>261</v>
      </c>
      <c r="S317">
        <v>159541151.35135135</v>
      </c>
      <c r="T317">
        <v>170381387.38738739</v>
      </c>
      <c r="U317">
        <v>53877160.360360354</v>
      </c>
      <c r="V317">
        <v>54794594.594594598</v>
      </c>
      <c r="W317">
        <v>19441</v>
      </c>
      <c r="X317">
        <v>19023</v>
      </c>
    </row>
    <row r="318" spans="1:24">
      <c r="A318" s="7" t="s">
        <v>411</v>
      </c>
      <c r="B318" s="16" t="s">
        <v>224</v>
      </c>
      <c r="C318">
        <v>502546842.1303075</v>
      </c>
      <c r="D318">
        <v>421854100.43538499</v>
      </c>
      <c r="E318">
        <v>910270.27027027204</v>
      </c>
      <c r="F318">
        <v>1786486.486486491</v>
      </c>
      <c r="G318">
        <v>159</v>
      </c>
      <c r="H318">
        <v>155</v>
      </c>
      <c r="I318">
        <v>9</v>
      </c>
      <c r="J318">
        <v>6</v>
      </c>
      <c r="M318">
        <v>188</v>
      </c>
      <c r="N318">
        <v>176</v>
      </c>
      <c r="O318">
        <v>55303423.423423424</v>
      </c>
      <c r="P318">
        <v>43167747.747747742</v>
      </c>
      <c r="Q318">
        <v>122</v>
      </c>
      <c r="R318">
        <v>182</v>
      </c>
      <c r="S318">
        <v>131634110.81081082</v>
      </c>
      <c r="T318">
        <v>121426185.58558558</v>
      </c>
      <c r="U318">
        <v>51337387.387387395</v>
      </c>
      <c r="V318">
        <v>49960854.054054059</v>
      </c>
      <c r="W318">
        <v>13617</v>
      </c>
      <c r="X318">
        <v>13536</v>
      </c>
    </row>
    <row r="319" spans="1:24">
      <c r="A319" s="7" t="s">
        <v>412</v>
      </c>
      <c r="B319" s="16" t="s">
        <v>413</v>
      </c>
      <c r="C319">
        <v>162038984.47733286</v>
      </c>
      <c r="D319">
        <v>165906379.02111673</v>
      </c>
      <c r="E319">
        <v>133333.33333333401</v>
      </c>
      <c r="F319">
        <v>544594.59459459805</v>
      </c>
      <c r="G319">
        <v>55</v>
      </c>
      <c r="H319">
        <v>14</v>
      </c>
      <c r="I319">
        <v>1</v>
      </c>
      <c r="J319">
        <v>4</v>
      </c>
      <c r="M319">
        <v>65</v>
      </c>
      <c r="N319">
        <v>15</v>
      </c>
      <c r="O319">
        <v>4043243.2432432421</v>
      </c>
      <c r="P319">
        <v>3563063.0630630669</v>
      </c>
      <c r="Q319">
        <v>14</v>
      </c>
      <c r="R319">
        <v>39</v>
      </c>
      <c r="S319">
        <v>70795270.270270273</v>
      </c>
      <c r="T319">
        <v>67550387.38738738</v>
      </c>
      <c r="U319">
        <v>3476216.2162162149</v>
      </c>
      <c r="V319">
        <v>3351981.9819819811</v>
      </c>
      <c r="W319">
        <v>3956</v>
      </c>
      <c r="X319">
        <v>4140</v>
      </c>
    </row>
    <row r="320" spans="1:24">
      <c r="A320" s="7" t="s">
        <v>414</v>
      </c>
      <c r="B320" s="16" t="s">
        <v>214</v>
      </c>
      <c r="C320">
        <v>993946672.25040281</v>
      </c>
      <c r="D320">
        <v>1070323975.9173762</v>
      </c>
      <c r="E320">
        <v>546591738.73873878</v>
      </c>
      <c r="F320">
        <v>612203948.64864874</v>
      </c>
      <c r="G320">
        <v>454</v>
      </c>
      <c r="H320">
        <v>1133</v>
      </c>
      <c r="I320">
        <v>23</v>
      </c>
      <c r="J320">
        <v>26</v>
      </c>
      <c r="M320">
        <v>530</v>
      </c>
      <c r="N320">
        <v>1242</v>
      </c>
      <c r="O320">
        <v>129188747.74774776</v>
      </c>
      <c r="P320">
        <v>154887522.52252254</v>
      </c>
      <c r="Q320">
        <v>340</v>
      </c>
      <c r="R320">
        <v>411</v>
      </c>
      <c r="S320">
        <v>424331609.009009</v>
      </c>
      <c r="T320">
        <v>481613029.72972971</v>
      </c>
      <c r="U320">
        <v>124407567.56756757</v>
      </c>
      <c r="V320">
        <v>138385495.4954955</v>
      </c>
      <c r="W320">
        <v>23858</v>
      </c>
      <c r="X320">
        <v>23824</v>
      </c>
    </row>
    <row r="321" spans="1:24">
      <c r="A321" s="7" t="s">
        <v>415</v>
      </c>
      <c r="B321" s="16" t="s">
        <v>413</v>
      </c>
      <c r="C321">
        <v>94762880.777194455</v>
      </c>
      <c r="D321">
        <v>91878096.372708499</v>
      </c>
      <c r="E321">
        <v>18662162.162162162</v>
      </c>
      <c r="F321">
        <v>3746396.396396399</v>
      </c>
      <c r="G321">
        <v>26</v>
      </c>
      <c r="H321">
        <v>27</v>
      </c>
      <c r="I321">
        <v>2</v>
      </c>
      <c r="J321">
        <v>3</v>
      </c>
      <c r="M321">
        <v>28</v>
      </c>
      <c r="N321">
        <v>33</v>
      </c>
      <c r="O321">
        <v>18775531.531531531</v>
      </c>
      <c r="P321">
        <v>17567785.585585587</v>
      </c>
      <c r="Q321">
        <v>3</v>
      </c>
      <c r="R321">
        <v>32</v>
      </c>
      <c r="S321">
        <v>30808198.198198199</v>
      </c>
      <c r="T321">
        <v>34687236.486486487</v>
      </c>
      <c r="U321">
        <v>12815945.945945946</v>
      </c>
      <c r="V321">
        <v>12813603.603603603</v>
      </c>
      <c r="W321">
        <v>2981</v>
      </c>
      <c r="X321">
        <v>2916</v>
      </c>
    </row>
    <row r="322" spans="1:24">
      <c r="A322" s="7" t="s">
        <v>416</v>
      </c>
      <c r="B322" s="16" t="s">
        <v>236</v>
      </c>
      <c r="C322">
        <v>708823220.73679173</v>
      </c>
      <c r="D322">
        <v>661524864.30792522</v>
      </c>
      <c r="E322">
        <v>66555983.783783786</v>
      </c>
      <c r="F322">
        <v>32390657.657657661</v>
      </c>
      <c r="G322">
        <v>259</v>
      </c>
      <c r="H322">
        <v>248</v>
      </c>
      <c r="I322">
        <v>16</v>
      </c>
      <c r="J322">
        <v>19</v>
      </c>
      <c r="K322">
        <v>4</v>
      </c>
      <c r="M322">
        <v>302</v>
      </c>
      <c r="N322">
        <v>363</v>
      </c>
      <c r="O322">
        <v>128106846.84684685</v>
      </c>
      <c r="P322">
        <v>102467117.11711712</v>
      </c>
      <c r="Q322">
        <v>140</v>
      </c>
      <c r="R322">
        <v>75</v>
      </c>
      <c r="S322">
        <v>162580792.7927928</v>
      </c>
      <c r="T322">
        <v>154465558.55855855</v>
      </c>
      <c r="U322">
        <v>90251801.801801801</v>
      </c>
      <c r="V322">
        <v>78271531.531531543</v>
      </c>
      <c r="W322">
        <v>10854</v>
      </c>
      <c r="X322">
        <v>10639</v>
      </c>
    </row>
    <row r="323" spans="1:24">
      <c r="A323" s="7" t="s">
        <v>417</v>
      </c>
      <c r="B323" s="16" t="s">
        <v>117</v>
      </c>
      <c r="C323">
        <v>676475175.70776927</v>
      </c>
      <c r="D323">
        <v>643629770.00612438</v>
      </c>
      <c r="E323">
        <v>824888155.85585582</v>
      </c>
      <c r="F323">
        <v>644821183.78378379</v>
      </c>
      <c r="G323">
        <v>517</v>
      </c>
      <c r="H323">
        <v>479</v>
      </c>
      <c r="I323">
        <v>58</v>
      </c>
      <c r="J323">
        <v>56</v>
      </c>
      <c r="K323">
        <v>7</v>
      </c>
      <c r="M323">
        <v>779</v>
      </c>
      <c r="N323">
        <v>798</v>
      </c>
      <c r="O323">
        <v>137813581.98198199</v>
      </c>
      <c r="P323">
        <v>147561230.63063061</v>
      </c>
      <c r="Q323">
        <v>515</v>
      </c>
      <c r="R323">
        <v>347</v>
      </c>
      <c r="S323">
        <v>295023009.009009</v>
      </c>
      <c r="T323">
        <v>291945696.3963964</v>
      </c>
      <c r="U323">
        <v>136544144.14414415</v>
      </c>
      <c r="V323">
        <v>146167657.65765765</v>
      </c>
      <c r="W323">
        <v>17906</v>
      </c>
      <c r="X323">
        <v>17195</v>
      </c>
    </row>
    <row r="324" spans="1:24">
      <c r="A324" s="7" t="s">
        <v>418</v>
      </c>
      <c r="B324" s="16" t="s">
        <v>147</v>
      </c>
      <c r="C324">
        <v>18025007.000462376</v>
      </c>
      <c r="D324">
        <v>15339578.933184836</v>
      </c>
      <c r="E324">
        <v>75449774.774774775</v>
      </c>
      <c r="F324">
        <v>86196396.396396399</v>
      </c>
      <c r="G324">
        <v>4</v>
      </c>
      <c r="H324">
        <v>3</v>
      </c>
      <c r="M324">
        <v>4</v>
      </c>
      <c r="N324">
        <v>3</v>
      </c>
      <c r="O324">
        <v>7396621.6216216218</v>
      </c>
      <c r="P324">
        <v>9470720.7207207195</v>
      </c>
      <c r="S324">
        <v>6085765.7657657648</v>
      </c>
      <c r="T324">
        <v>5569270.2702702703</v>
      </c>
      <c r="W324">
        <v>496</v>
      </c>
      <c r="X324">
        <v>807</v>
      </c>
    </row>
    <row r="325" spans="1:24">
      <c r="A325" s="7" t="s">
        <v>419</v>
      </c>
      <c r="B325" s="16" t="s">
        <v>304</v>
      </c>
      <c r="C325">
        <v>139497664.91637176</v>
      </c>
      <c r="D325">
        <v>139606884.8277199</v>
      </c>
      <c r="E325">
        <v>958108.10810811096</v>
      </c>
      <c r="F325">
        <v>4111936.9369369359</v>
      </c>
      <c r="G325">
        <v>68</v>
      </c>
      <c r="H325">
        <v>98</v>
      </c>
      <c r="I325">
        <v>15</v>
      </c>
      <c r="J325">
        <v>32</v>
      </c>
      <c r="M325">
        <v>79</v>
      </c>
      <c r="N325">
        <v>112</v>
      </c>
      <c r="O325">
        <v>24660360.360360354</v>
      </c>
      <c r="P325">
        <v>26169369.369369369</v>
      </c>
      <c r="Q325">
        <v>208</v>
      </c>
      <c r="R325">
        <v>146</v>
      </c>
      <c r="S325">
        <v>27864909.909909911</v>
      </c>
      <c r="T325">
        <v>30697394.594594598</v>
      </c>
      <c r="U325">
        <v>29525135.135135137</v>
      </c>
      <c r="V325">
        <v>22796036.036036041</v>
      </c>
      <c r="W325">
        <v>2394</v>
      </c>
      <c r="X325">
        <v>2342</v>
      </c>
    </row>
    <row r="326" spans="1:24">
      <c r="A326" s="7" t="s">
        <v>420</v>
      </c>
      <c r="B326" s="16" t="s">
        <v>304</v>
      </c>
      <c r="C326">
        <v>164973950.18788305</v>
      </c>
      <c r="D326">
        <v>159434302.14234579</v>
      </c>
      <c r="E326">
        <v>1517792.7927927941</v>
      </c>
      <c r="F326">
        <v>6373648.6486486467</v>
      </c>
      <c r="G326">
        <v>173</v>
      </c>
      <c r="H326">
        <v>585</v>
      </c>
      <c r="I326">
        <v>12</v>
      </c>
      <c r="J326">
        <v>52</v>
      </c>
      <c r="K326">
        <v>10</v>
      </c>
      <c r="M326">
        <v>211</v>
      </c>
      <c r="N326">
        <v>908</v>
      </c>
      <c r="O326">
        <v>23192792.79279279</v>
      </c>
      <c r="P326">
        <v>32226126.126126125</v>
      </c>
      <c r="Q326">
        <v>524</v>
      </c>
      <c r="R326">
        <v>294</v>
      </c>
      <c r="S326">
        <v>37690872.072072074</v>
      </c>
      <c r="T326">
        <v>53262709.909909911</v>
      </c>
      <c r="U326">
        <v>28521621.62162162</v>
      </c>
      <c r="V326">
        <v>23661081.081081081</v>
      </c>
      <c r="W326">
        <v>3089</v>
      </c>
      <c r="X326">
        <v>3171</v>
      </c>
    </row>
    <row r="327" spans="1:24">
      <c r="A327" s="7" t="s">
        <v>421</v>
      </c>
      <c r="B327" s="16" t="s">
        <v>121</v>
      </c>
      <c r="C327">
        <v>11980696.314642252</v>
      </c>
      <c r="D327">
        <v>6126079.1088718176</v>
      </c>
      <c r="E327">
        <v>12612.612612613</v>
      </c>
      <c r="F327">
        <v>42342.342342342999</v>
      </c>
      <c r="G327">
        <v>2</v>
      </c>
      <c r="H327">
        <v>3</v>
      </c>
      <c r="I327">
        <v>0</v>
      </c>
      <c r="J327">
        <v>0</v>
      </c>
      <c r="M327">
        <v>3</v>
      </c>
      <c r="N327">
        <v>3</v>
      </c>
      <c r="O327">
        <v>1418018.018018018</v>
      </c>
      <c r="P327">
        <v>42342.342342342999</v>
      </c>
      <c r="Q327">
        <v>21</v>
      </c>
      <c r="S327">
        <v>1391486.4864864859</v>
      </c>
      <c r="T327">
        <v>594720.72072072094</v>
      </c>
      <c r="U327">
        <v>1412612.612612613</v>
      </c>
      <c r="V327">
        <v>169369.369369369</v>
      </c>
      <c r="W327">
        <v>366</v>
      </c>
      <c r="X327">
        <v>346</v>
      </c>
    </row>
    <row r="328" spans="1:24">
      <c r="A328" s="7" t="s">
        <v>422</v>
      </c>
      <c r="B328" s="16" t="s">
        <v>60</v>
      </c>
      <c r="C328">
        <v>81874123.991025627</v>
      </c>
      <c r="D328">
        <v>82144343.260531843</v>
      </c>
      <c r="E328">
        <v>291891.89189189201</v>
      </c>
      <c r="F328">
        <v>911711.711711713</v>
      </c>
      <c r="G328">
        <v>37</v>
      </c>
      <c r="H328">
        <v>43</v>
      </c>
      <c r="I328">
        <v>4</v>
      </c>
      <c r="J328">
        <v>8</v>
      </c>
      <c r="M328">
        <v>39</v>
      </c>
      <c r="N328">
        <v>46</v>
      </c>
      <c r="O328">
        <v>11596396.396396397</v>
      </c>
      <c r="P328">
        <v>15517117.11711712</v>
      </c>
      <c r="Q328">
        <v>66</v>
      </c>
      <c r="R328">
        <v>38</v>
      </c>
      <c r="S328">
        <v>27295495.495495494</v>
      </c>
      <c r="T328">
        <v>28554468.468468469</v>
      </c>
      <c r="U328">
        <v>14686576.576576576</v>
      </c>
      <c r="V328">
        <v>14919639.63963964</v>
      </c>
      <c r="W328">
        <v>2076</v>
      </c>
      <c r="X328">
        <v>2070</v>
      </c>
    </row>
    <row r="329" spans="1:24">
      <c r="A329" s="7" t="s">
        <v>423</v>
      </c>
      <c r="B329" s="16" t="s">
        <v>181</v>
      </c>
      <c r="C329">
        <v>846869903.29760861</v>
      </c>
      <c r="D329">
        <v>813721187.91805577</v>
      </c>
      <c r="E329">
        <v>2592792.792792799</v>
      </c>
      <c r="F329">
        <v>8257657.6576576652</v>
      </c>
      <c r="G329">
        <v>548</v>
      </c>
      <c r="H329">
        <v>310</v>
      </c>
      <c r="I329">
        <v>57</v>
      </c>
      <c r="J329">
        <v>46</v>
      </c>
      <c r="K329">
        <v>14</v>
      </c>
      <c r="M329">
        <v>661</v>
      </c>
      <c r="N329">
        <v>408</v>
      </c>
      <c r="O329">
        <v>91968378.378378361</v>
      </c>
      <c r="P329">
        <v>121411711.71171169</v>
      </c>
      <c r="Q329">
        <v>972</v>
      </c>
      <c r="R329">
        <v>1363</v>
      </c>
      <c r="S329">
        <v>232101954.95495495</v>
      </c>
      <c r="T329">
        <v>236746437.83783782</v>
      </c>
      <c r="U329">
        <v>98093153.153153151</v>
      </c>
      <c r="V329">
        <v>117892702.7027027</v>
      </c>
      <c r="W329">
        <v>22327</v>
      </c>
      <c r="X329">
        <v>21994</v>
      </c>
    </row>
    <row r="330" spans="1:24">
      <c r="A330" s="7" t="s">
        <v>424</v>
      </c>
      <c r="B330" s="16" t="s">
        <v>76</v>
      </c>
      <c r="C330">
        <v>36139867.137950696</v>
      </c>
      <c r="D330">
        <v>25641945.428397428</v>
      </c>
      <c r="E330">
        <v>3603.603603604</v>
      </c>
      <c r="F330">
        <v>54054.054054054999</v>
      </c>
      <c r="G330">
        <v>8</v>
      </c>
      <c r="H330">
        <v>4</v>
      </c>
      <c r="I330">
        <v>2</v>
      </c>
      <c r="J330">
        <v>1</v>
      </c>
      <c r="M330">
        <v>8</v>
      </c>
      <c r="N330">
        <v>5</v>
      </c>
      <c r="O330">
        <v>3066666.666666667</v>
      </c>
      <c r="P330">
        <v>1972972.972972973</v>
      </c>
      <c r="R330">
        <v>4</v>
      </c>
      <c r="S330">
        <v>3038324.3243243238</v>
      </c>
      <c r="T330">
        <v>2473216.2162162159</v>
      </c>
      <c r="U330">
        <v>2804864.8648648639</v>
      </c>
      <c r="V330">
        <v>2050090.090090089</v>
      </c>
      <c r="W330">
        <v>928</v>
      </c>
      <c r="X330">
        <v>911</v>
      </c>
    </row>
    <row r="331" spans="1:24">
      <c r="A331" s="7" t="s">
        <v>425</v>
      </c>
      <c r="B331" s="16" t="s">
        <v>76</v>
      </c>
      <c r="C331">
        <v>98429657.049675018</v>
      </c>
      <c r="D331">
        <v>94512361.09524551</v>
      </c>
      <c r="E331">
        <v>145945.94594594699</v>
      </c>
      <c r="F331">
        <v>145045.04504504599</v>
      </c>
      <c r="G331">
        <v>28</v>
      </c>
      <c r="H331">
        <v>21</v>
      </c>
      <c r="I331">
        <v>1</v>
      </c>
      <c r="J331">
        <v>2</v>
      </c>
      <c r="M331">
        <v>32</v>
      </c>
      <c r="N331">
        <v>22</v>
      </c>
      <c r="O331">
        <v>10532432.432432434</v>
      </c>
      <c r="P331">
        <v>10428918.918918919</v>
      </c>
      <c r="Q331">
        <v>20</v>
      </c>
      <c r="R331">
        <v>30</v>
      </c>
      <c r="S331">
        <v>22060225.225225225</v>
      </c>
      <c r="T331">
        <v>20972720.72072072</v>
      </c>
      <c r="U331">
        <v>7775495.4954954963</v>
      </c>
      <c r="V331">
        <v>8915225.2252252232</v>
      </c>
      <c r="W331">
        <v>1423</v>
      </c>
      <c r="X331">
        <v>1452</v>
      </c>
    </row>
    <row r="332" spans="1:24">
      <c r="A332" s="7" t="s">
        <v>426</v>
      </c>
      <c r="B332" s="16" t="s">
        <v>330</v>
      </c>
      <c r="C332">
        <v>467738994.06629187</v>
      </c>
      <c r="D332">
        <v>497858338.68221879</v>
      </c>
      <c r="E332">
        <v>1466171.1711711739</v>
      </c>
      <c r="F332">
        <v>4006981.9819819862</v>
      </c>
      <c r="G332">
        <v>159</v>
      </c>
      <c r="H332">
        <v>185</v>
      </c>
      <c r="I332">
        <v>20</v>
      </c>
      <c r="J332">
        <v>22</v>
      </c>
      <c r="K332">
        <v>1</v>
      </c>
      <c r="M332">
        <v>188</v>
      </c>
      <c r="N332">
        <v>213</v>
      </c>
      <c r="O332">
        <v>14116486.486486483</v>
      </c>
      <c r="P332">
        <v>27093333.333333336</v>
      </c>
      <c r="Q332">
        <v>68</v>
      </c>
      <c r="R332">
        <v>150</v>
      </c>
      <c r="S332">
        <v>79430953.153153151</v>
      </c>
      <c r="T332">
        <v>117536993.24324325</v>
      </c>
      <c r="U332">
        <v>16232882.882882882</v>
      </c>
      <c r="V332">
        <v>22680540.540540535</v>
      </c>
      <c r="W332">
        <v>11530</v>
      </c>
      <c r="X332">
        <v>11989</v>
      </c>
    </row>
    <row r="333" spans="1:24">
      <c r="A333" s="7" t="s">
        <v>427</v>
      </c>
      <c r="B333" s="16" t="s">
        <v>241</v>
      </c>
      <c r="C333">
        <v>124660038.69251958</v>
      </c>
      <c r="D333">
        <v>125072844.5438666</v>
      </c>
      <c r="E333">
        <v>1256756.7567567581</v>
      </c>
      <c r="F333">
        <v>820720.72072072199</v>
      </c>
      <c r="G333">
        <v>55</v>
      </c>
      <c r="H333">
        <v>45</v>
      </c>
      <c r="I333">
        <v>3</v>
      </c>
      <c r="J333">
        <v>4</v>
      </c>
      <c r="K333">
        <v>1</v>
      </c>
      <c r="M333">
        <v>65</v>
      </c>
      <c r="N333">
        <v>48</v>
      </c>
      <c r="O333">
        <v>22019909.909909911</v>
      </c>
      <c r="P333">
        <v>16338108.108108105</v>
      </c>
      <c r="R333">
        <v>61</v>
      </c>
      <c r="S333">
        <v>47949288.288288288</v>
      </c>
      <c r="T333">
        <v>47840981.981981985</v>
      </c>
      <c r="U333">
        <v>21567837.837837841</v>
      </c>
      <c r="V333">
        <v>14683243.243243238</v>
      </c>
      <c r="W333">
        <v>5305</v>
      </c>
      <c r="X333">
        <v>5240</v>
      </c>
    </row>
    <row r="334" spans="1:24">
      <c r="A334" s="7" t="s">
        <v>428</v>
      </c>
      <c r="B334" s="16" t="s">
        <v>283</v>
      </c>
      <c r="C334">
        <v>53117729.797485515</v>
      </c>
      <c r="D334">
        <v>52923605.501255646</v>
      </c>
      <c r="E334">
        <v>52477.477477478002</v>
      </c>
      <c r="F334">
        <v>555855.85585585702</v>
      </c>
      <c r="G334">
        <v>19</v>
      </c>
      <c r="H334">
        <v>6</v>
      </c>
      <c r="I334">
        <v>2</v>
      </c>
      <c r="J334">
        <v>3</v>
      </c>
      <c r="M334">
        <v>20</v>
      </c>
      <c r="N334">
        <v>35</v>
      </c>
      <c r="O334">
        <v>2224324.3243243252</v>
      </c>
      <c r="P334">
        <v>25180720.72072072</v>
      </c>
      <c r="R334">
        <v>48</v>
      </c>
      <c r="S334">
        <v>9032477.477477476</v>
      </c>
      <c r="T334">
        <v>10049306.306306306</v>
      </c>
      <c r="U334">
        <v>2960720.72072072</v>
      </c>
      <c r="V334">
        <v>26639819.819819823</v>
      </c>
      <c r="W334">
        <v>1277</v>
      </c>
      <c r="X334">
        <v>1220</v>
      </c>
    </row>
    <row r="335" spans="1:24">
      <c r="A335" s="7" t="s">
        <v>429</v>
      </c>
      <c r="B335" s="16" t="s">
        <v>283</v>
      </c>
      <c r="C335">
        <v>16967078.066126533</v>
      </c>
      <c r="D335">
        <v>16836934.507070586</v>
      </c>
      <c r="E335">
        <v>10810.810810810999</v>
      </c>
      <c r="F335">
        <v>207207.20720720699</v>
      </c>
      <c r="G335">
        <v>1</v>
      </c>
      <c r="M335">
        <v>2</v>
      </c>
      <c r="O335">
        <v>190990.99099099101</v>
      </c>
      <c r="P335">
        <v>3090090.090090089</v>
      </c>
      <c r="S335">
        <v>1647702.702702703</v>
      </c>
      <c r="T335">
        <v>1173864.8648648651</v>
      </c>
      <c r="U335">
        <v>163513.51351351399</v>
      </c>
      <c r="V335">
        <v>2885855.8558558552</v>
      </c>
      <c r="W335">
        <v>492</v>
      </c>
      <c r="X335">
        <v>502</v>
      </c>
    </row>
    <row r="336" spans="1:24">
      <c r="A336" s="7" t="s">
        <v>430</v>
      </c>
      <c r="B336" s="16" t="s">
        <v>283</v>
      </c>
      <c r="C336">
        <v>31064708.498024408</v>
      </c>
      <c r="D336">
        <v>35941067.174495302</v>
      </c>
      <c r="E336">
        <v>120365704.50450452</v>
      </c>
      <c r="F336">
        <v>213842077.47747746</v>
      </c>
      <c r="G336">
        <v>5</v>
      </c>
      <c r="H336">
        <v>5</v>
      </c>
      <c r="I336">
        <v>0</v>
      </c>
      <c r="J336">
        <v>1</v>
      </c>
      <c r="M336">
        <v>5</v>
      </c>
      <c r="N336">
        <v>5</v>
      </c>
      <c r="O336">
        <v>8261981.9819819815</v>
      </c>
      <c r="P336">
        <v>18975109.009009007</v>
      </c>
      <c r="R336">
        <v>4</v>
      </c>
      <c r="S336">
        <v>2394954.9549549548</v>
      </c>
      <c r="T336">
        <v>3053063.0630630632</v>
      </c>
      <c r="V336">
        <v>173423.423423423</v>
      </c>
      <c r="W336">
        <v>819</v>
      </c>
      <c r="X336">
        <v>746</v>
      </c>
    </row>
    <row r="337" spans="1:24">
      <c r="A337" s="7" t="s">
        <v>431</v>
      </c>
      <c r="B337" s="16" t="s">
        <v>78</v>
      </c>
      <c r="C337">
        <v>211665496.10890234</v>
      </c>
      <c r="D337">
        <v>209708163.19925922</v>
      </c>
      <c r="E337">
        <v>1627027.0270270291</v>
      </c>
      <c r="F337">
        <v>2557657.6576576619</v>
      </c>
      <c r="G337">
        <v>45</v>
      </c>
      <c r="H337">
        <v>181</v>
      </c>
      <c r="I337">
        <v>3</v>
      </c>
      <c r="J337">
        <v>15</v>
      </c>
      <c r="M337">
        <v>49</v>
      </c>
      <c r="N337">
        <v>296</v>
      </c>
      <c r="O337">
        <v>17757657.657657657</v>
      </c>
      <c r="P337">
        <v>21589189.189189192</v>
      </c>
      <c r="Q337">
        <v>96</v>
      </c>
      <c r="R337">
        <v>406</v>
      </c>
      <c r="S337">
        <v>90063495.495495483</v>
      </c>
      <c r="T337">
        <v>92225990.990990996</v>
      </c>
      <c r="U337">
        <v>19611261.261261266</v>
      </c>
      <c r="V337">
        <v>21412432.432432432</v>
      </c>
      <c r="W337">
        <v>6357</v>
      </c>
      <c r="X337">
        <v>6384</v>
      </c>
    </row>
    <row r="338" spans="1:24">
      <c r="A338" s="7" t="s">
        <v>432</v>
      </c>
      <c r="B338" s="16" t="s">
        <v>105</v>
      </c>
      <c r="C338">
        <v>190151850.57683924</v>
      </c>
      <c r="D338">
        <v>190645393.48798281</v>
      </c>
      <c r="E338">
        <v>84684.684684684995</v>
      </c>
      <c r="F338">
        <v>510810.81081081199</v>
      </c>
      <c r="G338">
        <v>36</v>
      </c>
      <c r="H338">
        <v>21</v>
      </c>
      <c r="I338">
        <v>4</v>
      </c>
      <c r="J338">
        <v>2</v>
      </c>
      <c r="M338">
        <v>40</v>
      </c>
      <c r="N338">
        <v>24</v>
      </c>
      <c r="O338">
        <v>19625765.765765764</v>
      </c>
      <c r="P338">
        <v>24215990.990990993</v>
      </c>
      <c r="Q338">
        <v>32</v>
      </c>
      <c r="R338">
        <v>98</v>
      </c>
      <c r="S338">
        <v>43904627.027027026</v>
      </c>
      <c r="T338">
        <v>45076414.414414413</v>
      </c>
      <c r="U338">
        <v>19358558.558558561</v>
      </c>
      <c r="V338">
        <v>24564459.459459461</v>
      </c>
      <c r="W338">
        <v>3734</v>
      </c>
      <c r="X338">
        <v>3730</v>
      </c>
    </row>
    <row r="339" spans="1:24">
      <c r="A339" s="7" t="s">
        <v>433</v>
      </c>
      <c r="B339" s="16" t="s">
        <v>72</v>
      </c>
      <c r="C339">
        <v>1059297464.9844937</v>
      </c>
      <c r="D339">
        <v>1023485475.2745795</v>
      </c>
      <c r="E339">
        <v>2884234.2342342441</v>
      </c>
      <c r="F339">
        <v>6513063.0630630804</v>
      </c>
      <c r="G339">
        <v>278</v>
      </c>
      <c r="H339">
        <v>293</v>
      </c>
      <c r="I339">
        <v>65</v>
      </c>
      <c r="J339">
        <v>73</v>
      </c>
      <c r="K339">
        <v>1</v>
      </c>
      <c r="M339">
        <v>378</v>
      </c>
      <c r="N339">
        <v>428</v>
      </c>
      <c r="O339">
        <v>147888738.73873875</v>
      </c>
      <c r="P339">
        <v>152085135.13513514</v>
      </c>
      <c r="Q339">
        <v>229</v>
      </c>
      <c r="R339">
        <v>729</v>
      </c>
      <c r="S339">
        <v>218162372.97297296</v>
      </c>
      <c r="T339">
        <v>215845349.0990991</v>
      </c>
      <c r="U339">
        <v>116387744.14414415</v>
      </c>
      <c r="V339">
        <v>113110270.27027027</v>
      </c>
      <c r="W339">
        <v>18256</v>
      </c>
      <c r="X339">
        <v>18321</v>
      </c>
    </row>
    <row r="340" spans="1:24">
      <c r="A340" s="7" t="s">
        <v>434</v>
      </c>
      <c r="B340" s="16" t="s">
        <v>72</v>
      </c>
      <c r="C340">
        <v>736450225.49291432</v>
      </c>
      <c r="D340">
        <v>702428610.44635606</v>
      </c>
      <c r="E340">
        <v>59175675.675675683</v>
      </c>
      <c r="F340">
        <v>45333918.91891893</v>
      </c>
      <c r="G340">
        <v>152</v>
      </c>
      <c r="H340">
        <v>161</v>
      </c>
      <c r="I340">
        <v>16</v>
      </c>
      <c r="J340">
        <v>19</v>
      </c>
      <c r="K340">
        <v>1</v>
      </c>
      <c r="M340">
        <v>166</v>
      </c>
      <c r="N340">
        <v>197</v>
      </c>
      <c r="O340">
        <v>92546801.801801801</v>
      </c>
      <c r="P340">
        <v>87102252.252252251</v>
      </c>
      <c r="Q340">
        <v>206</v>
      </c>
      <c r="R340">
        <v>113</v>
      </c>
      <c r="S340">
        <v>129498337.83783785</v>
      </c>
      <c r="T340">
        <v>132468090.0900901</v>
      </c>
      <c r="U340">
        <v>62958108.108108103</v>
      </c>
      <c r="V340">
        <v>57467657.657657661</v>
      </c>
      <c r="W340">
        <v>13478</v>
      </c>
      <c r="X340">
        <v>13397</v>
      </c>
    </row>
    <row r="341" spans="1:24">
      <c r="A341" s="7" t="s">
        <v>435</v>
      </c>
      <c r="B341" s="16" t="s">
        <v>94</v>
      </c>
      <c r="C341">
        <v>54911652.550216183</v>
      </c>
      <c r="D341">
        <v>49614773.755615078</v>
      </c>
      <c r="E341">
        <v>900.900900901</v>
      </c>
      <c r="F341">
        <v>13513.513513514001</v>
      </c>
      <c r="G341">
        <v>9</v>
      </c>
      <c r="H341">
        <v>3</v>
      </c>
      <c r="I341">
        <v>0</v>
      </c>
      <c r="J341">
        <v>0</v>
      </c>
      <c r="M341">
        <v>9</v>
      </c>
      <c r="N341">
        <v>3</v>
      </c>
      <c r="O341">
        <v>991891.89189189195</v>
      </c>
      <c r="P341">
        <v>554054.05405405397</v>
      </c>
      <c r="S341">
        <v>12950180.180180181</v>
      </c>
      <c r="T341">
        <v>11999747.747747747</v>
      </c>
      <c r="U341">
        <v>361351.35135135101</v>
      </c>
      <c r="V341">
        <v>381801.80180180201</v>
      </c>
      <c r="W341">
        <v>886</v>
      </c>
      <c r="X341">
        <v>880</v>
      </c>
    </row>
    <row r="342" spans="1:24">
      <c r="A342" s="7" t="s">
        <v>436</v>
      </c>
      <c r="B342" s="16" t="s">
        <v>89</v>
      </c>
      <c r="C342">
        <v>253772870.91070458</v>
      </c>
      <c r="D342">
        <v>256719485.76654774</v>
      </c>
      <c r="E342">
        <v>2914369.3693693718</v>
      </c>
      <c r="F342">
        <v>3601801.80180181</v>
      </c>
      <c r="G342">
        <v>60</v>
      </c>
      <c r="H342">
        <v>72</v>
      </c>
      <c r="I342">
        <v>14</v>
      </c>
      <c r="J342">
        <v>24</v>
      </c>
      <c r="K342">
        <v>1</v>
      </c>
      <c r="M342">
        <v>63</v>
      </c>
      <c r="N342">
        <v>82</v>
      </c>
      <c r="O342">
        <v>36217297.297297299</v>
      </c>
      <c r="P342">
        <v>36352072.072072074</v>
      </c>
      <c r="Q342">
        <v>220</v>
      </c>
      <c r="R342">
        <v>135</v>
      </c>
      <c r="S342">
        <v>108835720.72072072</v>
      </c>
      <c r="T342">
        <v>115449860.36036037</v>
      </c>
      <c r="U342">
        <v>31632252.252252251</v>
      </c>
      <c r="V342">
        <v>35568288.288288295</v>
      </c>
      <c r="W342">
        <v>5357</v>
      </c>
      <c r="X342">
        <v>5353</v>
      </c>
    </row>
    <row r="343" spans="1:24">
      <c r="A343" s="7" t="s">
        <v>437</v>
      </c>
      <c r="B343" s="16" t="s">
        <v>70</v>
      </c>
      <c r="C343">
        <v>8604970.2620097287</v>
      </c>
      <c r="D343">
        <v>7950470.3420287194</v>
      </c>
      <c r="G343">
        <v>18</v>
      </c>
      <c r="H343">
        <v>5</v>
      </c>
      <c r="M343">
        <v>18</v>
      </c>
      <c r="N343">
        <v>5</v>
      </c>
      <c r="S343">
        <v>5066036.0360360369</v>
      </c>
      <c r="T343">
        <v>5224540.5405405397</v>
      </c>
      <c r="W343">
        <v>1303</v>
      </c>
      <c r="X343">
        <v>2193</v>
      </c>
    </row>
    <row r="344" spans="1:24">
      <c r="A344" s="7" t="s">
        <v>438</v>
      </c>
      <c r="B344" s="16" t="s">
        <v>195</v>
      </c>
      <c r="C344">
        <v>1248453236.498934</v>
      </c>
      <c r="D344">
        <v>1213897701.5032959</v>
      </c>
      <c r="E344">
        <v>162657327.92792794</v>
      </c>
      <c r="F344">
        <v>181274154.95495495</v>
      </c>
      <c r="G344">
        <v>349</v>
      </c>
      <c r="H344">
        <v>330</v>
      </c>
      <c r="I344">
        <v>26</v>
      </c>
      <c r="J344">
        <v>20</v>
      </c>
      <c r="M344">
        <v>392</v>
      </c>
      <c r="N344">
        <v>401</v>
      </c>
      <c r="O344">
        <v>108212612.61261261</v>
      </c>
      <c r="P344">
        <v>125796576.57657658</v>
      </c>
      <c r="Q344">
        <v>278</v>
      </c>
      <c r="R344">
        <v>305</v>
      </c>
      <c r="S344">
        <v>195500459.45945945</v>
      </c>
      <c r="T344">
        <v>209576126.12612611</v>
      </c>
      <c r="U344">
        <v>96453873.873873875</v>
      </c>
      <c r="V344">
        <v>99595945.945945948</v>
      </c>
      <c r="W344">
        <v>20704</v>
      </c>
      <c r="X344">
        <v>20498</v>
      </c>
    </row>
    <row r="345" spans="1:24">
      <c r="A345" s="7" t="s">
        <v>439</v>
      </c>
      <c r="B345" s="16" t="s">
        <v>178</v>
      </c>
      <c r="C345">
        <v>612866075.80562973</v>
      </c>
      <c r="D345">
        <v>612159180.3783468</v>
      </c>
      <c r="E345">
        <v>1364234.2342342359</v>
      </c>
      <c r="F345">
        <v>9445045.045045048</v>
      </c>
      <c r="G345">
        <v>157</v>
      </c>
      <c r="H345">
        <v>148</v>
      </c>
      <c r="I345">
        <v>9</v>
      </c>
      <c r="J345">
        <v>46</v>
      </c>
      <c r="K345">
        <v>1</v>
      </c>
      <c r="M345">
        <v>176</v>
      </c>
      <c r="N345">
        <v>221</v>
      </c>
      <c r="O345">
        <v>110808790.0900901</v>
      </c>
      <c r="P345">
        <v>115723909.009009</v>
      </c>
      <c r="Q345">
        <v>211</v>
      </c>
      <c r="R345">
        <v>244</v>
      </c>
      <c r="S345">
        <v>236045756.75675678</v>
      </c>
      <c r="T345">
        <v>245847481.98198199</v>
      </c>
      <c r="U345">
        <v>95034414.414414421</v>
      </c>
      <c r="V345">
        <v>95723288.288288295</v>
      </c>
      <c r="W345">
        <v>14502</v>
      </c>
      <c r="X345">
        <v>14412</v>
      </c>
    </row>
    <row r="346" spans="1:24">
      <c r="A346" s="7" t="s">
        <v>440</v>
      </c>
      <c r="B346" s="16" t="s">
        <v>78</v>
      </c>
      <c r="C346">
        <v>256773667.02336329</v>
      </c>
      <c r="D346">
        <v>259094284.47099102</v>
      </c>
      <c r="E346">
        <v>2013243.243243244</v>
      </c>
      <c r="F346">
        <v>3437837.83783784</v>
      </c>
      <c r="G346">
        <v>51</v>
      </c>
      <c r="H346">
        <v>56</v>
      </c>
      <c r="I346">
        <v>6</v>
      </c>
      <c r="J346">
        <v>9</v>
      </c>
      <c r="K346">
        <v>1</v>
      </c>
      <c r="M346">
        <v>63</v>
      </c>
      <c r="N346">
        <v>111</v>
      </c>
      <c r="O346">
        <v>21551981.981981982</v>
      </c>
      <c r="P346">
        <v>25419819.819819819</v>
      </c>
      <c r="Q346">
        <v>104</v>
      </c>
      <c r="R346">
        <v>134</v>
      </c>
      <c r="S346">
        <v>51548954.954954952</v>
      </c>
      <c r="T346">
        <v>52557792.79279279</v>
      </c>
      <c r="U346">
        <v>23761621.62162162</v>
      </c>
      <c r="V346">
        <v>24762342.342342339</v>
      </c>
      <c r="W346">
        <v>5050</v>
      </c>
      <c r="X346">
        <v>4685</v>
      </c>
    </row>
    <row r="347" spans="1:24">
      <c r="A347" s="7" t="s">
        <v>441</v>
      </c>
      <c r="B347" s="16" t="s">
        <v>78</v>
      </c>
      <c r="C347">
        <v>117688913.05770509</v>
      </c>
      <c r="D347">
        <v>108703424.24215569</v>
      </c>
      <c r="E347">
        <v>340540.54054054298</v>
      </c>
      <c r="F347">
        <v>1718918.91891892</v>
      </c>
      <c r="G347">
        <v>29</v>
      </c>
      <c r="H347">
        <v>29</v>
      </c>
      <c r="I347">
        <v>4</v>
      </c>
      <c r="J347">
        <v>6</v>
      </c>
      <c r="M347">
        <v>31</v>
      </c>
      <c r="N347">
        <v>40</v>
      </c>
      <c r="O347">
        <v>14836846.846846849</v>
      </c>
      <c r="P347">
        <v>18675495.495495494</v>
      </c>
      <c r="Q347">
        <v>64</v>
      </c>
      <c r="R347">
        <v>40</v>
      </c>
      <c r="S347">
        <v>23935027.02702703</v>
      </c>
      <c r="T347">
        <v>23637306.306306306</v>
      </c>
      <c r="U347">
        <v>19402432.432432435</v>
      </c>
      <c r="V347">
        <v>20182342.342342339</v>
      </c>
      <c r="W347">
        <v>2425</v>
      </c>
      <c r="X347">
        <v>2350</v>
      </c>
    </row>
    <row r="348" spans="1:24">
      <c r="A348" s="7" t="s">
        <v>442</v>
      </c>
      <c r="B348" s="16" t="s">
        <v>123</v>
      </c>
      <c r="C348">
        <v>1766680.5136102301</v>
      </c>
      <c r="D348">
        <v>1852824.9747605179</v>
      </c>
      <c r="G348">
        <v>2</v>
      </c>
      <c r="M348">
        <v>3</v>
      </c>
      <c r="S348">
        <v>744504.50450450496</v>
      </c>
      <c r="T348">
        <v>715450.45045044995</v>
      </c>
      <c r="W348">
        <v>397</v>
      </c>
      <c r="X348">
        <v>156</v>
      </c>
    </row>
    <row r="349" spans="1:24">
      <c r="A349" s="7" t="s">
        <v>443</v>
      </c>
      <c r="B349" s="16" t="s">
        <v>140</v>
      </c>
      <c r="C349">
        <v>257113284.05053324</v>
      </c>
      <c r="D349">
        <v>263823988.25254744</v>
      </c>
      <c r="E349">
        <v>1925000</v>
      </c>
      <c r="F349">
        <v>1793243.2432432431</v>
      </c>
      <c r="G349">
        <v>21</v>
      </c>
      <c r="H349">
        <v>44</v>
      </c>
      <c r="I349">
        <v>2</v>
      </c>
      <c r="J349">
        <v>7</v>
      </c>
      <c r="K349">
        <v>1</v>
      </c>
      <c r="M349">
        <v>29</v>
      </c>
      <c r="N349">
        <v>52</v>
      </c>
      <c r="O349">
        <v>25122972.97297297</v>
      </c>
      <c r="P349">
        <v>27194954.954954956</v>
      </c>
      <c r="Q349">
        <v>18</v>
      </c>
      <c r="R349">
        <v>80</v>
      </c>
      <c r="S349">
        <v>63837747.747747742</v>
      </c>
      <c r="T349">
        <v>72212747.747747749</v>
      </c>
      <c r="U349">
        <v>22600630.630630631</v>
      </c>
      <c r="V349">
        <v>24048468.468468469</v>
      </c>
      <c r="W349">
        <v>5786</v>
      </c>
      <c r="X349">
        <v>5795</v>
      </c>
    </row>
    <row r="350" spans="1:24">
      <c r="A350" s="7" t="s">
        <v>444</v>
      </c>
      <c r="B350" s="16" t="s">
        <v>76</v>
      </c>
      <c r="C350">
        <v>28692522.150311805</v>
      </c>
      <c r="D350">
        <v>29352197.35435383</v>
      </c>
      <c r="E350">
        <v>175675.675675676</v>
      </c>
      <c r="F350">
        <v>254054.054054054</v>
      </c>
      <c r="G350">
        <v>8</v>
      </c>
      <c r="H350">
        <v>4</v>
      </c>
      <c r="I350">
        <v>1</v>
      </c>
      <c r="J350">
        <v>1</v>
      </c>
      <c r="M350">
        <v>9</v>
      </c>
      <c r="N350">
        <v>6</v>
      </c>
      <c r="O350">
        <v>8184684.6846846864</v>
      </c>
      <c r="P350">
        <v>5258558.558558559</v>
      </c>
      <c r="Q350">
        <v>12</v>
      </c>
      <c r="R350">
        <v>72</v>
      </c>
      <c r="S350">
        <v>6343288.2882882878</v>
      </c>
      <c r="T350">
        <v>6562270.2702702703</v>
      </c>
      <c r="U350">
        <v>6109819.8198198201</v>
      </c>
      <c r="V350">
        <v>4658108.1081081079</v>
      </c>
      <c r="W350">
        <v>582</v>
      </c>
      <c r="X350">
        <v>587</v>
      </c>
    </row>
    <row r="351" spans="1:24">
      <c r="A351" s="7" t="s">
        <v>445</v>
      </c>
      <c r="B351" s="16" t="s">
        <v>89</v>
      </c>
      <c r="C351">
        <v>808311285.03242755</v>
      </c>
      <c r="D351">
        <v>810287139.08992219</v>
      </c>
      <c r="E351">
        <v>100580521.62162164</v>
      </c>
      <c r="F351">
        <v>411864538.73873878</v>
      </c>
      <c r="G351">
        <v>518</v>
      </c>
      <c r="H351">
        <v>315</v>
      </c>
      <c r="I351">
        <v>39</v>
      </c>
      <c r="J351">
        <v>79</v>
      </c>
      <c r="K351">
        <v>4</v>
      </c>
      <c r="M351">
        <v>588</v>
      </c>
      <c r="N351">
        <v>1067</v>
      </c>
      <c r="O351">
        <v>87024054.054054052</v>
      </c>
      <c r="P351">
        <v>269142432.43243247</v>
      </c>
      <c r="Q351">
        <v>649</v>
      </c>
      <c r="R351">
        <v>811</v>
      </c>
      <c r="S351">
        <v>249893864.86486486</v>
      </c>
      <c r="T351">
        <v>267278250.45045045</v>
      </c>
      <c r="U351">
        <v>89889729.729729727</v>
      </c>
      <c r="V351">
        <v>158952972.97297296</v>
      </c>
      <c r="W351">
        <v>16374</v>
      </c>
      <c r="X351">
        <v>16260</v>
      </c>
    </row>
    <row r="352" spans="1:24">
      <c r="A352" s="7" t="s">
        <v>446</v>
      </c>
      <c r="B352" s="16" t="s">
        <v>48</v>
      </c>
      <c r="C352">
        <v>85159590.449471444</v>
      </c>
      <c r="D352">
        <v>79971574.987250686</v>
      </c>
      <c r="E352">
        <v>1019819.819819821</v>
      </c>
      <c r="F352">
        <v>2136036.036036036</v>
      </c>
      <c r="G352">
        <v>10</v>
      </c>
      <c r="H352">
        <v>9</v>
      </c>
      <c r="I352">
        <v>2</v>
      </c>
      <c r="J352">
        <v>2</v>
      </c>
      <c r="M352">
        <v>10</v>
      </c>
      <c r="N352">
        <v>13</v>
      </c>
      <c r="O352">
        <v>9978378.3783783782</v>
      </c>
      <c r="P352">
        <v>20000720.72072072</v>
      </c>
      <c r="R352">
        <v>6</v>
      </c>
      <c r="S352">
        <v>29109369.369369369</v>
      </c>
      <c r="T352">
        <v>27457414.414414417</v>
      </c>
      <c r="U352">
        <v>10096306.306306306</v>
      </c>
      <c r="V352">
        <v>20102162.162162162</v>
      </c>
      <c r="W352">
        <v>1098</v>
      </c>
      <c r="X352">
        <v>1078</v>
      </c>
    </row>
    <row r="353" spans="1:24">
      <c r="A353" s="7" t="s">
        <v>447</v>
      </c>
      <c r="B353" s="16" t="s">
        <v>448</v>
      </c>
      <c r="C353">
        <v>163630125.94766703</v>
      </c>
      <c r="D353">
        <v>160777884.14183423</v>
      </c>
      <c r="E353">
        <v>1000675.675675676</v>
      </c>
      <c r="F353">
        <v>3513513.5135135138</v>
      </c>
      <c r="G353">
        <v>555</v>
      </c>
      <c r="H353">
        <v>149</v>
      </c>
      <c r="I353">
        <v>9</v>
      </c>
      <c r="J353">
        <v>10</v>
      </c>
      <c r="M353">
        <v>574</v>
      </c>
      <c r="N353">
        <v>189</v>
      </c>
      <c r="O353">
        <v>30241891.891891893</v>
      </c>
      <c r="P353">
        <v>11591711.711711712</v>
      </c>
      <c r="Q353">
        <v>482</v>
      </c>
      <c r="R353">
        <v>19</v>
      </c>
      <c r="S353">
        <v>64386261.261261262</v>
      </c>
      <c r="T353">
        <v>65152711.711711712</v>
      </c>
      <c r="U353">
        <v>26673423.423423421</v>
      </c>
      <c r="V353">
        <v>13024864.864864867</v>
      </c>
      <c r="W353">
        <v>5399</v>
      </c>
      <c r="X353">
        <v>5574</v>
      </c>
    </row>
    <row r="354" spans="1:24">
      <c r="A354" s="7" t="s">
        <v>449</v>
      </c>
      <c r="B354" s="16" t="s">
        <v>76</v>
      </c>
      <c r="C354">
        <v>41789400.610710174</v>
      </c>
      <c r="D354">
        <v>38317004.68312908</v>
      </c>
      <c r="E354">
        <v>21621.621621622999</v>
      </c>
      <c r="F354">
        <v>541441.44144144305</v>
      </c>
      <c r="G354">
        <v>15</v>
      </c>
      <c r="H354">
        <v>22</v>
      </c>
      <c r="I354">
        <v>1</v>
      </c>
      <c r="J354">
        <v>6</v>
      </c>
      <c r="M354">
        <v>18</v>
      </c>
      <c r="N354">
        <v>25</v>
      </c>
      <c r="O354">
        <v>10718918.918918921</v>
      </c>
      <c r="P354">
        <v>10512882.882882884</v>
      </c>
      <c r="Q354">
        <v>26</v>
      </c>
      <c r="R354">
        <v>13</v>
      </c>
      <c r="S354">
        <v>14911171.171171172</v>
      </c>
      <c r="T354">
        <v>13858736.936936935</v>
      </c>
      <c r="U354">
        <v>7646576.5765765766</v>
      </c>
      <c r="V354">
        <v>8572702.7027027011</v>
      </c>
      <c r="W354">
        <v>1698</v>
      </c>
      <c r="X354">
        <v>1874</v>
      </c>
    </row>
    <row r="355" spans="1:24">
      <c r="A355" s="7" t="s">
        <v>450</v>
      </c>
      <c r="B355" s="16" t="s">
        <v>83</v>
      </c>
      <c r="C355">
        <v>1456917720.3574769</v>
      </c>
      <c r="D355">
        <v>1442090961.530349</v>
      </c>
      <c r="E355">
        <v>636873690.09009016</v>
      </c>
      <c r="F355">
        <v>566565230.63063061</v>
      </c>
      <c r="G355">
        <v>326</v>
      </c>
      <c r="H355">
        <v>442</v>
      </c>
      <c r="I355">
        <v>30</v>
      </c>
      <c r="J355">
        <v>39</v>
      </c>
      <c r="K355">
        <v>7</v>
      </c>
      <c r="M355">
        <v>434</v>
      </c>
      <c r="N355">
        <v>589</v>
      </c>
      <c r="O355">
        <v>158219099.0990991</v>
      </c>
      <c r="P355">
        <v>181430855.85585588</v>
      </c>
      <c r="Q355">
        <v>322</v>
      </c>
      <c r="R355">
        <v>671</v>
      </c>
      <c r="S355">
        <v>311354378.37837839</v>
      </c>
      <c r="T355">
        <v>315037759.009009</v>
      </c>
      <c r="U355">
        <v>149624234.23423424</v>
      </c>
      <c r="V355">
        <v>169029864.86486486</v>
      </c>
      <c r="W355">
        <v>31353</v>
      </c>
      <c r="X355">
        <v>31435</v>
      </c>
    </row>
    <row r="356" spans="1:24">
      <c r="A356" s="7" t="s">
        <v>451</v>
      </c>
      <c r="B356" s="16" t="s">
        <v>70</v>
      </c>
      <c r="C356">
        <v>102721342.87620318</v>
      </c>
      <c r="D356">
        <v>95029472.119217932</v>
      </c>
      <c r="E356">
        <v>601126.12612612604</v>
      </c>
      <c r="F356">
        <v>438738.73873873998</v>
      </c>
      <c r="G356">
        <v>23</v>
      </c>
      <c r="H356">
        <v>22</v>
      </c>
      <c r="I356">
        <v>1</v>
      </c>
      <c r="J356">
        <v>1</v>
      </c>
      <c r="M356">
        <v>23</v>
      </c>
      <c r="N356">
        <v>23</v>
      </c>
      <c r="O356">
        <v>2023423.4234234239</v>
      </c>
      <c r="P356">
        <v>2541441.4414414428</v>
      </c>
      <c r="R356">
        <v>16</v>
      </c>
      <c r="S356">
        <v>61704009.009009011</v>
      </c>
      <c r="T356">
        <v>58837513.513513513</v>
      </c>
      <c r="U356">
        <v>3042882.8828828838</v>
      </c>
      <c r="V356">
        <v>2396936.9369369368</v>
      </c>
      <c r="W356">
        <v>2965</v>
      </c>
      <c r="X356">
        <v>2815</v>
      </c>
    </row>
    <row r="357" spans="1:24">
      <c r="A357" s="7" t="s">
        <v>452</v>
      </c>
      <c r="B357" s="16" t="s">
        <v>167</v>
      </c>
      <c r="C357">
        <v>118905291.94738676</v>
      </c>
      <c r="D357">
        <v>115239672.6389381</v>
      </c>
      <c r="E357">
        <v>39639.639639640001</v>
      </c>
      <c r="F357">
        <v>1396396.396396396</v>
      </c>
      <c r="G357">
        <v>11</v>
      </c>
      <c r="H357">
        <v>4</v>
      </c>
      <c r="I357">
        <v>1</v>
      </c>
      <c r="J357">
        <v>0</v>
      </c>
      <c r="K357">
        <v>1</v>
      </c>
      <c r="M357">
        <v>14</v>
      </c>
      <c r="N357">
        <v>4</v>
      </c>
      <c r="O357">
        <v>14551441.441441439</v>
      </c>
      <c r="P357">
        <v>4488738.7387387399</v>
      </c>
      <c r="Q357">
        <v>314</v>
      </c>
      <c r="S357">
        <v>20973693.693693694</v>
      </c>
      <c r="T357">
        <v>22113792.792792793</v>
      </c>
      <c r="U357">
        <v>15952432.432432432</v>
      </c>
      <c r="V357">
        <v>5427567.5675675692</v>
      </c>
      <c r="W357">
        <v>2742</v>
      </c>
      <c r="X357">
        <v>2689</v>
      </c>
    </row>
    <row r="358" spans="1:24">
      <c r="A358" s="7" t="s">
        <v>453</v>
      </c>
      <c r="B358" s="16" t="s">
        <v>121</v>
      </c>
      <c r="C358">
        <v>7270838.4437867356</v>
      </c>
      <c r="D358">
        <v>4685784.4643802783</v>
      </c>
      <c r="E358">
        <v>14414.414414413999</v>
      </c>
      <c r="F358">
        <v>34234.234234233998</v>
      </c>
      <c r="G358">
        <v>4</v>
      </c>
      <c r="H358">
        <v>2</v>
      </c>
      <c r="I358">
        <v>1</v>
      </c>
      <c r="J358">
        <v>0</v>
      </c>
      <c r="M358">
        <v>4</v>
      </c>
      <c r="N358">
        <v>2</v>
      </c>
      <c r="O358">
        <v>158558.558558558</v>
      </c>
      <c r="P358">
        <v>36036.036036035999</v>
      </c>
      <c r="Q358">
        <v>16</v>
      </c>
      <c r="S358">
        <v>608594.59459459502</v>
      </c>
      <c r="T358">
        <v>420360.36036036001</v>
      </c>
      <c r="U358">
        <v>144144.144144144</v>
      </c>
      <c r="W358">
        <v>121</v>
      </c>
      <c r="X358">
        <v>130</v>
      </c>
    </row>
    <row r="359" spans="1:24">
      <c r="A359" s="7" t="s">
        <v>454</v>
      </c>
      <c r="B359" s="16" t="s">
        <v>224</v>
      </c>
      <c r="C359">
        <v>43976107.420735873</v>
      </c>
      <c r="D359">
        <v>39070932.331495531</v>
      </c>
      <c r="G359">
        <v>1</v>
      </c>
      <c r="M359">
        <v>1</v>
      </c>
      <c r="N359">
        <v>2</v>
      </c>
      <c r="R359">
        <v>10</v>
      </c>
      <c r="S359">
        <v>7504954.9549549548</v>
      </c>
      <c r="T359">
        <v>7463234.2342342343</v>
      </c>
      <c r="U359">
        <v>191441.44144144101</v>
      </c>
      <c r="V359">
        <v>168648.64864864899</v>
      </c>
      <c r="W359">
        <v>1308</v>
      </c>
      <c r="X359">
        <v>1248</v>
      </c>
    </row>
    <row r="360" spans="1:24">
      <c r="A360" s="7" t="s">
        <v>455</v>
      </c>
      <c r="B360" s="16" t="s">
        <v>94</v>
      </c>
      <c r="C360">
        <v>47311435.74454587</v>
      </c>
      <c r="D360">
        <v>62129485.589426875</v>
      </c>
      <c r="E360">
        <v>212612.61261261301</v>
      </c>
      <c r="F360">
        <v>531531.53153153195</v>
      </c>
      <c r="G360">
        <v>18</v>
      </c>
      <c r="H360">
        <v>17</v>
      </c>
      <c r="I360">
        <v>4</v>
      </c>
      <c r="J360">
        <v>2</v>
      </c>
      <c r="M360">
        <v>21</v>
      </c>
      <c r="N360">
        <v>20</v>
      </c>
      <c r="O360">
        <v>8209009.0090090083</v>
      </c>
      <c r="P360">
        <v>19954954.954954956</v>
      </c>
      <c r="Q360">
        <v>63</v>
      </c>
      <c r="R360">
        <v>198</v>
      </c>
      <c r="S360">
        <v>9853693.6936936919</v>
      </c>
      <c r="T360">
        <v>14088941.441441439</v>
      </c>
      <c r="U360">
        <v>8137297.2972972961</v>
      </c>
      <c r="V360">
        <v>19335585.585585583</v>
      </c>
      <c r="W360">
        <v>1855</v>
      </c>
      <c r="X360">
        <v>2034</v>
      </c>
    </row>
    <row r="361" spans="1:24">
      <c r="A361" s="7" t="s">
        <v>456</v>
      </c>
      <c r="B361" s="16" t="s">
        <v>60</v>
      </c>
      <c r="C361">
        <v>11636602.177977644</v>
      </c>
      <c r="D361">
        <v>8558108.9030928351</v>
      </c>
      <c r="E361">
        <v>300000</v>
      </c>
      <c r="F361">
        <v>171171.17117117101</v>
      </c>
      <c r="G361">
        <v>6</v>
      </c>
      <c r="H361">
        <v>5</v>
      </c>
      <c r="I361">
        <v>2</v>
      </c>
      <c r="J361">
        <v>1</v>
      </c>
      <c r="M361">
        <v>8</v>
      </c>
      <c r="N361">
        <v>6</v>
      </c>
      <c r="O361">
        <v>2552252.2522522518</v>
      </c>
      <c r="P361">
        <v>1207207.207207208</v>
      </c>
      <c r="R361">
        <v>15</v>
      </c>
      <c r="S361">
        <v>6660810.8108108109</v>
      </c>
      <c r="T361">
        <v>3807153.1531531531</v>
      </c>
      <c r="U361">
        <v>1558018.0180180171</v>
      </c>
      <c r="V361">
        <v>620270.27027026995</v>
      </c>
      <c r="W361">
        <v>729</v>
      </c>
      <c r="X361">
        <v>555</v>
      </c>
    </row>
    <row r="362" spans="1:24">
      <c r="A362" s="7" t="s">
        <v>457</v>
      </c>
      <c r="B362" s="16" t="s">
        <v>214</v>
      </c>
      <c r="C362">
        <v>147348012.86882639</v>
      </c>
      <c r="D362">
        <v>160511117.59453204</v>
      </c>
      <c r="F362">
        <v>396396.39639639598</v>
      </c>
      <c r="G362">
        <v>28</v>
      </c>
      <c r="H362">
        <v>37</v>
      </c>
      <c r="J362">
        <v>1</v>
      </c>
      <c r="M362">
        <v>30</v>
      </c>
      <c r="N362">
        <v>41</v>
      </c>
      <c r="O362">
        <v>450450.45045045001</v>
      </c>
      <c r="P362">
        <v>936936.93693693704</v>
      </c>
      <c r="R362">
        <v>7</v>
      </c>
      <c r="S362">
        <v>76093603.603603601</v>
      </c>
      <c r="T362">
        <v>81870639.639639646</v>
      </c>
      <c r="U362">
        <v>432432.43243243202</v>
      </c>
      <c r="V362">
        <v>1759909.9099099101</v>
      </c>
      <c r="W362">
        <v>2979</v>
      </c>
      <c r="X362">
        <v>2984</v>
      </c>
    </row>
    <row r="363" spans="1:24">
      <c r="A363" s="7" t="s">
        <v>458</v>
      </c>
      <c r="B363" s="16" t="s">
        <v>459</v>
      </c>
      <c r="C363">
        <v>657394993.69931626</v>
      </c>
      <c r="D363">
        <v>619309952.6094048</v>
      </c>
      <c r="E363">
        <v>2299594.5945945969</v>
      </c>
      <c r="F363">
        <v>14657657.657657664</v>
      </c>
      <c r="G363">
        <v>324</v>
      </c>
      <c r="H363">
        <v>406</v>
      </c>
      <c r="I363">
        <v>35</v>
      </c>
      <c r="J363">
        <v>40</v>
      </c>
      <c r="K363">
        <v>2</v>
      </c>
      <c r="M363">
        <v>418</v>
      </c>
      <c r="N363">
        <v>540</v>
      </c>
      <c r="O363">
        <v>75179369.369369373</v>
      </c>
      <c r="P363">
        <v>236869144.14414415</v>
      </c>
      <c r="Q363">
        <v>858</v>
      </c>
      <c r="R363">
        <v>835</v>
      </c>
      <c r="S363">
        <v>213180738.73873875</v>
      </c>
      <c r="T363">
        <v>221572948.1981982</v>
      </c>
      <c r="U363">
        <v>68724954.954954967</v>
      </c>
      <c r="V363">
        <v>149399324.32432431</v>
      </c>
      <c r="W363">
        <v>25293</v>
      </c>
      <c r="X363">
        <v>24308</v>
      </c>
    </row>
    <row r="364" spans="1:24">
      <c r="A364" s="7" t="s">
        <v>460</v>
      </c>
      <c r="B364" s="16" t="s">
        <v>459</v>
      </c>
      <c r="C364">
        <v>1822870063.8203795</v>
      </c>
      <c r="D364">
        <v>2160146416.6530628</v>
      </c>
      <c r="E364">
        <v>219377882.88288289</v>
      </c>
      <c r="F364">
        <v>400370450.45045042</v>
      </c>
      <c r="G364">
        <v>605</v>
      </c>
      <c r="H364">
        <v>623</v>
      </c>
      <c r="I364">
        <v>20</v>
      </c>
      <c r="J364">
        <v>31</v>
      </c>
      <c r="K364">
        <v>2</v>
      </c>
      <c r="M364">
        <v>733</v>
      </c>
      <c r="N364">
        <v>755</v>
      </c>
      <c r="O364">
        <v>88599729.729729727</v>
      </c>
      <c r="P364">
        <v>118330855.85585584</v>
      </c>
      <c r="Q364">
        <v>552</v>
      </c>
      <c r="R364">
        <v>537</v>
      </c>
      <c r="S364">
        <v>1015597754.954955</v>
      </c>
      <c r="T364">
        <v>1413755392.3423424</v>
      </c>
      <c r="U364">
        <v>76517882.882882878</v>
      </c>
      <c r="V364">
        <v>98691846.846846849</v>
      </c>
      <c r="W364">
        <v>31770</v>
      </c>
      <c r="X364">
        <v>31083</v>
      </c>
    </row>
    <row r="365" spans="1:24">
      <c r="A365" s="7" t="s">
        <v>461</v>
      </c>
      <c r="B365" s="16" t="s">
        <v>459</v>
      </c>
      <c r="C365">
        <v>968161729.00923824</v>
      </c>
      <c r="D365">
        <v>984035094.52771819</v>
      </c>
      <c r="E365">
        <v>22702494.594594602</v>
      </c>
      <c r="F365">
        <v>26996784.684684686</v>
      </c>
      <c r="G365">
        <v>457</v>
      </c>
      <c r="H365">
        <v>443</v>
      </c>
      <c r="I365">
        <v>20</v>
      </c>
      <c r="J365">
        <v>26</v>
      </c>
      <c r="K365">
        <v>6</v>
      </c>
      <c r="M365">
        <v>553</v>
      </c>
      <c r="N365">
        <v>564</v>
      </c>
      <c r="O365">
        <v>931465812.61261261</v>
      </c>
      <c r="P365">
        <v>890548371.17117119</v>
      </c>
      <c r="Q365">
        <v>637</v>
      </c>
      <c r="R365">
        <v>1493</v>
      </c>
      <c r="S365">
        <v>251221671.17117116</v>
      </c>
      <c r="T365">
        <v>274849680.18018019</v>
      </c>
      <c r="U365">
        <v>856185225.22522521</v>
      </c>
      <c r="V365">
        <v>873260045.04504502</v>
      </c>
      <c r="W365">
        <v>23915</v>
      </c>
      <c r="X365">
        <v>23856</v>
      </c>
    </row>
    <row r="366" spans="1:24">
      <c r="A366" s="7" t="s">
        <v>462</v>
      </c>
      <c r="B366" s="16" t="s">
        <v>459</v>
      </c>
      <c r="C366">
        <v>739400615.7673564</v>
      </c>
      <c r="D366">
        <v>716052720.7824235</v>
      </c>
      <c r="E366">
        <v>537747.74774775095</v>
      </c>
      <c r="F366">
        <v>4100900.900900906</v>
      </c>
      <c r="G366">
        <v>246</v>
      </c>
      <c r="H366">
        <v>287</v>
      </c>
      <c r="I366">
        <v>23</v>
      </c>
      <c r="J366">
        <v>21</v>
      </c>
      <c r="K366">
        <v>1</v>
      </c>
      <c r="M366">
        <v>308</v>
      </c>
      <c r="N366">
        <v>348</v>
      </c>
      <c r="O366">
        <v>49060720.720720723</v>
      </c>
      <c r="P366">
        <v>132251711.7117117</v>
      </c>
      <c r="Q366">
        <v>438</v>
      </c>
      <c r="R366">
        <v>448</v>
      </c>
      <c r="S366">
        <v>164327095.4954955</v>
      </c>
      <c r="T366">
        <v>162935315.31531534</v>
      </c>
      <c r="U366">
        <v>48286036.036036029</v>
      </c>
      <c r="V366">
        <v>68124144.144144148</v>
      </c>
      <c r="W366">
        <v>19733</v>
      </c>
      <c r="X366">
        <v>19371</v>
      </c>
    </row>
    <row r="367" spans="1:24">
      <c r="A367" s="7" t="s">
        <v>463</v>
      </c>
      <c r="B367" s="16" t="s">
        <v>459</v>
      </c>
      <c r="C367">
        <v>694473598.39305317</v>
      </c>
      <c r="D367">
        <v>691691214.75142539</v>
      </c>
      <c r="E367">
        <v>1645045.0450450501</v>
      </c>
      <c r="F367">
        <v>12661486.486486487</v>
      </c>
      <c r="G367">
        <v>335</v>
      </c>
      <c r="H367">
        <v>636</v>
      </c>
      <c r="I367">
        <v>32</v>
      </c>
      <c r="J367">
        <v>46</v>
      </c>
      <c r="M367">
        <v>400</v>
      </c>
      <c r="N367">
        <v>838</v>
      </c>
      <c r="O367">
        <v>52239279.279279277</v>
      </c>
      <c r="P367">
        <v>163770180.18018019</v>
      </c>
      <c r="Q367">
        <v>456</v>
      </c>
      <c r="R367">
        <v>847</v>
      </c>
      <c r="S367">
        <v>260484288.2882883</v>
      </c>
      <c r="T367">
        <v>277670655.4054054</v>
      </c>
      <c r="U367">
        <v>50371621.621621624</v>
      </c>
      <c r="V367">
        <v>121572612.61261261</v>
      </c>
      <c r="W367">
        <v>26527</v>
      </c>
      <c r="X367">
        <v>26125</v>
      </c>
    </row>
    <row r="368" spans="1:24">
      <c r="A368" s="7" t="s">
        <v>464</v>
      </c>
      <c r="B368" s="16" t="s">
        <v>459</v>
      </c>
      <c r="C368">
        <v>778025674.02595937</v>
      </c>
      <c r="D368">
        <v>799774190.50999939</v>
      </c>
      <c r="E368">
        <v>1563436459.4594595</v>
      </c>
      <c r="F368">
        <v>1968032272.9729731</v>
      </c>
      <c r="G368">
        <v>391</v>
      </c>
      <c r="H368">
        <v>325</v>
      </c>
      <c r="I368">
        <v>39</v>
      </c>
      <c r="J368">
        <v>40</v>
      </c>
      <c r="M368">
        <v>461</v>
      </c>
      <c r="N368">
        <v>392</v>
      </c>
      <c r="O368">
        <v>118447882.88288286</v>
      </c>
      <c r="P368">
        <v>112258688.2882883</v>
      </c>
      <c r="Q368">
        <v>1389</v>
      </c>
      <c r="R368">
        <v>833</v>
      </c>
      <c r="S368">
        <v>342983944.14414412</v>
      </c>
      <c r="T368">
        <v>342802050</v>
      </c>
      <c r="U368">
        <v>111082432.43243243</v>
      </c>
      <c r="V368">
        <v>105772342.34234233</v>
      </c>
      <c r="W368">
        <v>28055</v>
      </c>
      <c r="X368">
        <v>29790</v>
      </c>
    </row>
    <row r="369" spans="1:24">
      <c r="A369" s="7" t="s">
        <v>465</v>
      </c>
      <c r="B369" s="16" t="s">
        <v>54</v>
      </c>
      <c r="C369">
        <v>54965016.460313253</v>
      </c>
      <c r="D369">
        <v>51892653.623585731</v>
      </c>
      <c r="E369">
        <v>213738.73873873899</v>
      </c>
      <c r="F369">
        <v>353153.153153155</v>
      </c>
      <c r="G369">
        <v>7</v>
      </c>
      <c r="H369">
        <v>14</v>
      </c>
      <c r="I369">
        <v>1</v>
      </c>
      <c r="J369">
        <v>3</v>
      </c>
      <c r="M369">
        <v>7</v>
      </c>
      <c r="N369">
        <v>24</v>
      </c>
      <c r="O369">
        <v>4668468.4684684668</v>
      </c>
      <c r="P369">
        <v>4580900.9009009013</v>
      </c>
      <c r="Q369">
        <v>33</v>
      </c>
      <c r="R369">
        <v>23</v>
      </c>
      <c r="S369">
        <v>11260720.72072072</v>
      </c>
      <c r="T369">
        <v>11438099.0990991</v>
      </c>
      <c r="U369">
        <v>4942792.7927927934</v>
      </c>
      <c r="V369">
        <v>5140180.180180179</v>
      </c>
      <c r="W369">
        <v>1261</v>
      </c>
      <c r="X369">
        <v>1236</v>
      </c>
    </row>
    <row r="370" spans="1:24">
      <c r="A370" s="7" t="s">
        <v>466</v>
      </c>
      <c r="B370" s="16" t="s">
        <v>87</v>
      </c>
      <c r="C370">
        <v>2278339.879542734</v>
      </c>
      <c r="D370">
        <v>1987867.2573818581</v>
      </c>
      <c r="S370">
        <v>373873.87387387402</v>
      </c>
      <c r="T370">
        <v>351351.35135135101</v>
      </c>
      <c r="W370">
        <v>77</v>
      </c>
      <c r="X370">
        <v>96</v>
      </c>
    </row>
    <row r="371" spans="1:24">
      <c r="A371" s="7" t="s">
        <v>467</v>
      </c>
      <c r="B371" s="16" t="s">
        <v>143</v>
      </c>
      <c r="C371">
        <v>255458500.94400802</v>
      </c>
      <c r="D371">
        <v>246117532.96278125</v>
      </c>
      <c r="E371">
        <v>71171.171171170994</v>
      </c>
      <c r="F371">
        <v>248648.64864865001</v>
      </c>
      <c r="G371">
        <v>75</v>
      </c>
      <c r="H371">
        <v>65</v>
      </c>
      <c r="I371">
        <v>2</v>
      </c>
      <c r="J371">
        <v>3</v>
      </c>
      <c r="M371">
        <v>80</v>
      </c>
      <c r="N371">
        <v>74</v>
      </c>
      <c r="O371">
        <v>14836936.936936935</v>
      </c>
      <c r="P371">
        <v>15374774.774774777</v>
      </c>
      <c r="Q371">
        <v>43</v>
      </c>
      <c r="R371">
        <v>34</v>
      </c>
      <c r="S371">
        <v>39306414.414414413</v>
      </c>
      <c r="T371">
        <v>38284897.297297299</v>
      </c>
      <c r="U371">
        <v>13777297.297297295</v>
      </c>
      <c r="V371">
        <v>10963333.333333332</v>
      </c>
      <c r="W371">
        <v>4976</v>
      </c>
      <c r="X371">
        <v>4966</v>
      </c>
    </row>
    <row r="372" spans="1:24">
      <c r="A372" s="7" t="s">
        <v>468</v>
      </c>
      <c r="B372" s="16" t="s">
        <v>80</v>
      </c>
      <c r="C372">
        <v>220936216.72939628</v>
      </c>
      <c r="D372">
        <v>216795117.560157</v>
      </c>
      <c r="E372">
        <v>240315.31531531599</v>
      </c>
      <c r="F372">
        <v>85135.135135138</v>
      </c>
      <c r="G372">
        <v>40</v>
      </c>
      <c r="H372">
        <v>36</v>
      </c>
      <c r="I372">
        <v>2</v>
      </c>
      <c r="J372">
        <v>0</v>
      </c>
      <c r="M372">
        <v>44</v>
      </c>
      <c r="N372">
        <v>41</v>
      </c>
      <c r="O372">
        <v>7026036.036036036</v>
      </c>
      <c r="P372">
        <v>6056306.3063063063</v>
      </c>
      <c r="Q372">
        <v>26</v>
      </c>
      <c r="R372">
        <v>33</v>
      </c>
      <c r="S372">
        <v>83942538.738738731</v>
      </c>
      <c r="T372">
        <v>81754792.792792797</v>
      </c>
      <c r="U372">
        <v>7424774.774774774</v>
      </c>
      <c r="V372">
        <v>5230180.1801801799</v>
      </c>
      <c r="W372">
        <v>5111</v>
      </c>
      <c r="X372">
        <v>5802</v>
      </c>
    </row>
    <row r="373" spans="1:24">
      <c r="A373" s="7" t="s">
        <v>469</v>
      </c>
      <c r="B373" s="16" t="s">
        <v>470</v>
      </c>
      <c r="C373">
        <v>251160868.61719838</v>
      </c>
      <c r="D373">
        <v>256775222.80162564</v>
      </c>
      <c r="E373">
        <v>1190720.7207207209</v>
      </c>
      <c r="F373">
        <v>1927927.927927928</v>
      </c>
      <c r="G373">
        <v>47</v>
      </c>
      <c r="H373">
        <v>27</v>
      </c>
      <c r="I373">
        <v>1</v>
      </c>
      <c r="J373">
        <v>2</v>
      </c>
      <c r="M373">
        <v>50</v>
      </c>
      <c r="N373">
        <v>28</v>
      </c>
      <c r="O373">
        <v>9227477.4774774797</v>
      </c>
      <c r="P373">
        <v>23152702.702702705</v>
      </c>
      <c r="Q373">
        <v>15</v>
      </c>
      <c r="R373">
        <v>46</v>
      </c>
      <c r="S373">
        <v>75787405.405405402</v>
      </c>
      <c r="T373">
        <v>80371079.279279277</v>
      </c>
      <c r="U373">
        <v>10355585.585585589</v>
      </c>
      <c r="V373">
        <v>22973196.396396395</v>
      </c>
      <c r="W373">
        <v>5258</v>
      </c>
      <c r="X373">
        <v>5498</v>
      </c>
    </row>
    <row r="374" spans="1:24">
      <c r="A374" s="7" t="s">
        <v>471</v>
      </c>
      <c r="B374" s="16" t="s">
        <v>470</v>
      </c>
      <c r="C374">
        <v>23859339.755010445</v>
      </c>
      <c r="D374">
        <v>20967164.533179849</v>
      </c>
      <c r="E374">
        <v>27027.027027027001</v>
      </c>
      <c r="F374">
        <v>190990.99099099101</v>
      </c>
      <c r="G374">
        <v>5</v>
      </c>
      <c r="I374">
        <v>0</v>
      </c>
      <c r="J374">
        <v>1</v>
      </c>
      <c r="M374">
        <v>5</v>
      </c>
      <c r="N374">
        <v>1</v>
      </c>
      <c r="O374">
        <v>74594.594594594993</v>
      </c>
      <c r="P374">
        <v>2776576.576576577</v>
      </c>
      <c r="Q374">
        <v>3</v>
      </c>
      <c r="R374">
        <v>2</v>
      </c>
      <c r="S374">
        <v>1973063.063063063</v>
      </c>
      <c r="T374">
        <v>2014729.7297297299</v>
      </c>
      <c r="U374">
        <v>47567.567567568003</v>
      </c>
      <c r="V374">
        <v>2697117.1171171172</v>
      </c>
      <c r="W374">
        <v>605</v>
      </c>
      <c r="X374">
        <v>619</v>
      </c>
    </row>
    <row r="375" spans="1:24">
      <c r="A375" s="7" t="s">
        <v>472</v>
      </c>
      <c r="B375" s="16" t="s">
        <v>470</v>
      </c>
      <c r="C375">
        <v>3090576.1062730649</v>
      </c>
      <c r="D375">
        <v>2613742.5328761959</v>
      </c>
      <c r="E375">
        <v>1801.801801802</v>
      </c>
      <c r="F375">
        <v>359459.45945945999</v>
      </c>
      <c r="H375">
        <v>1</v>
      </c>
      <c r="J375">
        <v>1</v>
      </c>
      <c r="N375">
        <v>1</v>
      </c>
      <c r="O375">
        <v>96936.936936936996</v>
      </c>
      <c r="P375">
        <v>2909009.0090090092</v>
      </c>
      <c r="Q375">
        <v>3</v>
      </c>
      <c r="S375">
        <v>405630.630630631</v>
      </c>
      <c r="T375">
        <v>606576.57657657703</v>
      </c>
      <c r="U375">
        <v>232072.072072073</v>
      </c>
      <c r="V375">
        <v>2549549.5495495498</v>
      </c>
      <c r="W375">
        <v>370</v>
      </c>
      <c r="X375">
        <v>471</v>
      </c>
    </row>
    <row r="376" spans="1:24">
      <c r="A376" s="7" t="s">
        <v>473</v>
      </c>
      <c r="B376" s="16" t="s">
        <v>470</v>
      </c>
      <c r="C376">
        <v>86024788.166283026</v>
      </c>
      <c r="D376">
        <v>90562787.541553855</v>
      </c>
      <c r="E376">
        <v>370270.27027027</v>
      </c>
      <c r="F376">
        <v>436036.03603603598</v>
      </c>
      <c r="G376">
        <v>16</v>
      </c>
      <c r="H376">
        <v>13</v>
      </c>
      <c r="I376">
        <v>2</v>
      </c>
      <c r="J376">
        <v>1</v>
      </c>
      <c r="M376">
        <v>20</v>
      </c>
      <c r="N376">
        <v>14</v>
      </c>
      <c r="O376">
        <v>744684.68468468497</v>
      </c>
      <c r="P376">
        <v>25915765.765765768</v>
      </c>
      <c r="Q376">
        <v>3</v>
      </c>
      <c r="R376">
        <v>4</v>
      </c>
      <c r="S376">
        <v>12006745.945945945</v>
      </c>
      <c r="T376">
        <v>12500126.126126127</v>
      </c>
      <c r="U376">
        <v>6490180.1801801799</v>
      </c>
      <c r="V376">
        <v>17707837.837837838</v>
      </c>
      <c r="W376">
        <v>2274</v>
      </c>
      <c r="X376">
        <v>2148</v>
      </c>
    </row>
    <row r="377" spans="1:24">
      <c r="A377" s="7" t="s">
        <v>474</v>
      </c>
      <c r="B377" s="16" t="s">
        <v>470</v>
      </c>
      <c r="C377">
        <v>122578326.34207146</v>
      </c>
      <c r="D377">
        <v>128110913.19809593</v>
      </c>
      <c r="E377">
        <v>350990.99099099101</v>
      </c>
      <c r="F377">
        <v>1035135.135135136</v>
      </c>
      <c r="G377">
        <v>23</v>
      </c>
      <c r="H377">
        <v>30</v>
      </c>
      <c r="I377">
        <v>1</v>
      </c>
      <c r="J377">
        <v>3</v>
      </c>
      <c r="M377">
        <v>25</v>
      </c>
      <c r="N377">
        <v>31</v>
      </c>
      <c r="O377">
        <v>3801081.081081083</v>
      </c>
      <c r="P377">
        <v>10928018.018018018</v>
      </c>
      <c r="Q377">
        <v>6</v>
      </c>
      <c r="R377">
        <v>19</v>
      </c>
      <c r="S377">
        <v>28239234.234234236</v>
      </c>
      <c r="T377">
        <v>27999126.126126129</v>
      </c>
      <c r="U377">
        <v>3808108.1081081098</v>
      </c>
      <c r="V377">
        <v>10635765.765765768</v>
      </c>
      <c r="W377">
        <v>2375</v>
      </c>
      <c r="X377">
        <v>2415</v>
      </c>
    </row>
    <row r="378" spans="1:24">
      <c r="A378" s="7" t="s">
        <v>475</v>
      </c>
      <c r="B378" s="16" t="s">
        <v>470</v>
      </c>
      <c r="C378">
        <v>47941576.567123808</v>
      </c>
      <c r="D378">
        <v>46721297.995492175</v>
      </c>
      <c r="E378">
        <v>9009.0090090089998</v>
      </c>
      <c r="F378">
        <v>337837.83783783898</v>
      </c>
      <c r="G378">
        <v>9</v>
      </c>
      <c r="H378">
        <v>4</v>
      </c>
      <c r="I378">
        <v>2</v>
      </c>
      <c r="J378">
        <v>5</v>
      </c>
      <c r="M378">
        <v>9</v>
      </c>
      <c r="N378">
        <v>4</v>
      </c>
      <c r="O378">
        <v>3899459.4594594608</v>
      </c>
      <c r="P378">
        <v>7436936.9369369382</v>
      </c>
      <c r="S378">
        <v>10782027.027027026</v>
      </c>
      <c r="T378">
        <v>9657133.333333334</v>
      </c>
      <c r="U378">
        <v>3630270.2702702712</v>
      </c>
      <c r="V378">
        <v>6278018.0180180185</v>
      </c>
      <c r="W378">
        <v>1384</v>
      </c>
      <c r="X378">
        <v>1363</v>
      </c>
    </row>
    <row r="379" spans="1:24">
      <c r="A379" s="7" t="s">
        <v>476</v>
      </c>
      <c r="B379" s="16" t="s">
        <v>470</v>
      </c>
      <c r="C379">
        <v>474832392.02010334</v>
      </c>
      <c r="D379">
        <v>482415331.46704954</v>
      </c>
      <c r="E379">
        <v>83937481.081081092</v>
      </c>
      <c r="F379">
        <v>192334011.7117117</v>
      </c>
      <c r="G379">
        <v>179</v>
      </c>
      <c r="H379">
        <v>197</v>
      </c>
      <c r="I379">
        <v>22</v>
      </c>
      <c r="J379">
        <v>52</v>
      </c>
      <c r="M379">
        <v>218</v>
      </c>
      <c r="N379">
        <v>351</v>
      </c>
      <c r="O379">
        <v>98498532.432432428</v>
      </c>
      <c r="P379">
        <v>154781497.29729727</v>
      </c>
      <c r="Q379">
        <v>78</v>
      </c>
      <c r="R379">
        <v>298</v>
      </c>
      <c r="S379">
        <v>117040290.09009008</v>
      </c>
      <c r="T379">
        <v>127109980.18018018</v>
      </c>
      <c r="U379">
        <v>81648828.828828827</v>
      </c>
      <c r="V379">
        <v>125897117.11711712</v>
      </c>
      <c r="W379">
        <v>15868</v>
      </c>
      <c r="X379">
        <v>15869</v>
      </c>
    </row>
    <row r="380" spans="1:24">
      <c r="A380" s="7" t="s">
        <v>477</v>
      </c>
      <c r="B380" s="16" t="s">
        <v>260</v>
      </c>
      <c r="C380">
        <v>594243799.98687398</v>
      </c>
      <c r="D380">
        <v>588494815.45287538</v>
      </c>
      <c r="E380">
        <v>1107297.297297298</v>
      </c>
      <c r="F380">
        <v>2348873.8738738741</v>
      </c>
      <c r="G380">
        <v>113</v>
      </c>
      <c r="H380">
        <v>121</v>
      </c>
      <c r="I380">
        <v>1</v>
      </c>
      <c r="J380">
        <v>6</v>
      </c>
      <c r="M380">
        <v>116</v>
      </c>
      <c r="N380">
        <v>138</v>
      </c>
      <c r="O380">
        <v>69070360.360360354</v>
      </c>
      <c r="P380">
        <v>72809009.009009004</v>
      </c>
      <c r="Q380">
        <v>140</v>
      </c>
      <c r="R380">
        <v>32</v>
      </c>
      <c r="S380">
        <v>147712648.64864865</v>
      </c>
      <c r="T380">
        <v>156185851.35135135</v>
      </c>
      <c r="U380">
        <v>73202252.252252251</v>
      </c>
      <c r="V380">
        <v>71578018.018018022</v>
      </c>
      <c r="W380">
        <v>11737</v>
      </c>
      <c r="X380">
        <v>10849</v>
      </c>
    </row>
    <row r="381" spans="1:24">
      <c r="A381" s="7" t="s">
        <v>478</v>
      </c>
      <c r="B381" s="16" t="s">
        <v>479</v>
      </c>
      <c r="C381">
        <v>48010529.636385426</v>
      </c>
      <c r="D381">
        <v>40770213.08458811</v>
      </c>
      <c r="E381">
        <v>534234.23423423397</v>
      </c>
      <c r="F381">
        <v>437837.83783783799</v>
      </c>
      <c r="G381">
        <v>15</v>
      </c>
      <c r="H381">
        <v>13</v>
      </c>
      <c r="I381">
        <v>1</v>
      </c>
      <c r="J381">
        <v>2</v>
      </c>
      <c r="M381">
        <v>15</v>
      </c>
      <c r="N381">
        <v>14</v>
      </c>
      <c r="O381">
        <v>20141441.441441439</v>
      </c>
      <c r="P381">
        <v>12134684.684684685</v>
      </c>
      <c r="R381">
        <v>10</v>
      </c>
      <c r="S381">
        <v>11258873.873873875</v>
      </c>
      <c r="T381">
        <v>9956081.0810810793</v>
      </c>
      <c r="U381">
        <v>20327477.47747748</v>
      </c>
      <c r="V381">
        <v>12144774.774774777</v>
      </c>
      <c r="W381">
        <v>896</v>
      </c>
      <c r="X381">
        <v>796</v>
      </c>
    </row>
    <row r="382" spans="1:24">
      <c r="A382" s="7" t="s">
        <v>480</v>
      </c>
      <c r="B382" s="16" t="s">
        <v>123</v>
      </c>
      <c r="C382">
        <v>315393939.40863985</v>
      </c>
      <c r="D382">
        <v>306807761.78345901</v>
      </c>
      <c r="E382">
        <v>1745495.4954954961</v>
      </c>
      <c r="F382">
        <v>2065765.765765768</v>
      </c>
      <c r="G382">
        <v>60</v>
      </c>
      <c r="H382">
        <v>62</v>
      </c>
      <c r="I382">
        <v>5</v>
      </c>
      <c r="J382">
        <v>6</v>
      </c>
      <c r="M382">
        <v>71</v>
      </c>
      <c r="N382">
        <v>67</v>
      </c>
      <c r="O382">
        <v>23335585.585585583</v>
      </c>
      <c r="P382">
        <v>19360270.270270273</v>
      </c>
      <c r="Q382">
        <v>49</v>
      </c>
      <c r="R382">
        <v>42</v>
      </c>
      <c r="S382">
        <v>117998909.9099099</v>
      </c>
      <c r="T382">
        <v>115157454.95495497</v>
      </c>
      <c r="U382">
        <v>24292342.342342343</v>
      </c>
      <c r="V382">
        <v>18358648.648648649</v>
      </c>
      <c r="W382">
        <v>5598</v>
      </c>
      <c r="X382">
        <v>5623</v>
      </c>
    </row>
    <row r="383" spans="1:24">
      <c r="A383" s="7" t="s">
        <v>481</v>
      </c>
      <c r="B383" s="16" t="s">
        <v>470</v>
      </c>
      <c r="C383">
        <v>25805161.042847328</v>
      </c>
      <c r="D383">
        <v>24331145.718224097</v>
      </c>
      <c r="E383">
        <v>32300675.675675675</v>
      </c>
      <c r="F383">
        <v>83247747.747747749</v>
      </c>
      <c r="G383">
        <v>6</v>
      </c>
      <c r="H383">
        <v>3</v>
      </c>
      <c r="I383">
        <v>2</v>
      </c>
      <c r="J383">
        <v>2</v>
      </c>
      <c r="M383">
        <v>7</v>
      </c>
      <c r="N383">
        <v>4</v>
      </c>
      <c r="O383">
        <v>12629729.729729732</v>
      </c>
      <c r="P383">
        <v>2679729.7297297302</v>
      </c>
      <c r="S383">
        <v>3654630.630630631</v>
      </c>
      <c r="T383">
        <v>3577063.0630630632</v>
      </c>
      <c r="U383">
        <v>770450.45045044995</v>
      </c>
      <c r="V383">
        <v>873873.87387387303</v>
      </c>
      <c r="W383">
        <v>593</v>
      </c>
      <c r="X383">
        <v>563</v>
      </c>
    </row>
    <row r="384" spans="1:24">
      <c r="A384" s="7" t="s">
        <v>482</v>
      </c>
      <c r="B384" s="16" t="s">
        <v>167</v>
      </c>
      <c r="C384">
        <v>263441977.67625093</v>
      </c>
      <c r="D384">
        <v>252160065.6475364</v>
      </c>
      <c r="E384">
        <v>372072.07207207201</v>
      </c>
      <c r="F384">
        <v>2609009.0090090111</v>
      </c>
      <c r="G384">
        <v>157</v>
      </c>
      <c r="H384">
        <v>225</v>
      </c>
      <c r="I384">
        <v>14</v>
      </c>
      <c r="J384">
        <v>8</v>
      </c>
      <c r="M384">
        <v>193</v>
      </c>
      <c r="N384">
        <v>303</v>
      </c>
      <c r="O384">
        <v>17397452.252252251</v>
      </c>
      <c r="P384">
        <v>21592829.729729731</v>
      </c>
      <c r="Q384">
        <v>46</v>
      </c>
      <c r="R384">
        <v>59</v>
      </c>
      <c r="S384">
        <v>102819861.26126127</v>
      </c>
      <c r="T384">
        <v>105618504.50450452</v>
      </c>
      <c r="U384">
        <v>18049279.27927928</v>
      </c>
      <c r="V384">
        <v>20687837.837837841</v>
      </c>
      <c r="W384">
        <v>9115</v>
      </c>
      <c r="X384">
        <v>8422</v>
      </c>
    </row>
    <row r="385" spans="1:24">
      <c r="A385" s="7" t="s">
        <v>483</v>
      </c>
      <c r="B385" s="16" t="s">
        <v>167</v>
      </c>
      <c r="C385">
        <v>257296048.66073167</v>
      </c>
      <c r="D385">
        <v>288626720.31535286</v>
      </c>
      <c r="E385">
        <v>504000259.45945948</v>
      </c>
      <c r="F385">
        <v>476189870.27027029</v>
      </c>
      <c r="G385">
        <v>321</v>
      </c>
      <c r="H385">
        <v>500</v>
      </c>
      <c r="I385">
        <v>13</v>
      </c>
      <c r="J385">
        <v>13</v>
      </c>
      <c r="M385">
        <v>445</v>
      </c>
      <c r="N385">
        <v>927</v>
      </c>
      <c r="O385">
        <v>58380005.405405402</v>
      </c>
      <c r="P385">
        <v>48424550.45045045</v>
      </c>
      <c r="Q385">
        <v>412</v>
      </c>
      <c r="R385">
        <v>37</v>
      </c>
      <c r="S385">
        <v>100348736.93693694</v>
      </c>
      <c r="T385">
        <v>108520615.31531531</v>
      </c>
      <c r="U385">
        <v>54923827.027027026</v>
      </c>
      <c r="V385">
        <v>44208151.351351351</v>
      </c>
      <c r="W385">
        <v>8817</v>
      </c>
      <c r="X385">
        <v>9414</v>
      </c>
    </row>
    <row r="386" spans="1:24">
      <c r="A386" s="7" t="s">
        <v>484</v>
      </c>
      <c r="B386" s="16" t="s">
        <v>50</v>
      </c>
      <c r="C386">
        <v>177847449.06730059</v>
      </c>
      <c r="D386">
        <v>170914504.76652026</v>
      </c>
      <c r="E386">
        <v>1054594.5945945969</v>
      </c>
      <c r="F386">
        <v>2336036.0360360378</v>
      </c>
      <c r="G386">
        <v>70</v>
      </c>
      <c r="H386">
        <v>48</v>
      </c>
      <c r="I386">
        <v>9</v>
      </c>
      <c r="J386">
        <v>9</v>
      </c>
      <c r="M386">
        <v>74</v>
      </c>
      <c r="N386">
        <v>51</v>
      </c>
      <c r="O386">
        <v>44662702.702702701</v>
      </c>
      <c r="P386">
        <v>27512072.072072074</v>
      </c>
      <c r="Q386">
        <v>161</v>
      </c>
      <c r="R386">
        <v>41</v>
      </c>
      <c r="S386">
        <v>79292747.747747749</v>
      </c>
      <c r="T386">
        <v>76181259.459459454</v>
      </c>
      <c r="U386">
        <v>44892342.342342347</v>
      </c>
      <c r="V386">
        <v>26580000</v>
      </c>
      <c r="W386">
        <v>3811</v>
      </c>
      <c r="X386">
        <v>3603</v>
      </c>
    </row>
    <row r="387" spans="1:24">
      <c r="A387" s="7" t="s">
        <v>485</v>
      </c>
      <c r="B387" s="16" t="s">
        <v>134</v>
      </c>
      <c r="C387">
        <v>245772500.52905843</v>
      </c>
      <c r="D387">
        <v>229863614.01694033</v>
      </c>
      <c r="E387">
        <v>890090.09009009099</v>
      </c>
      <c r="F387">
        <v>1535135.1351351349</v>
      </c>
      <c r="G387">
        <v>58</v>
      </c>
      <c r="H387">
        <v>60</v>
      </c>
      <c r="I387">
        <v>10</v>
      </c>
      <c r="J387">
        <v>5</v>
      </c>
      <c r="M387">
        <v>65</v>
      </c>
      <c r="N387">
        <v>61</v>
      </c>
      <c r="O387">
        <v>38597297.297297299</v>
      </c>
      <c r="P387">
        <v>35173873.873873875</v>
      </c>
      <c r="Q387">
        <v>129</v>
      </c>
      <c r="R387">
        <v>79</v>
      </c>
      <c r="S387">
        <v>45725090.090090089</v>
      </c>
      <c r="T387">
        <v>44424836.036036029</v>
      </c>
      <c r="U387">
        <v>25112972.97297297</v>
      </c>
      <c r="V387">
        <v>21234144.144144144</v>
      </c>
      <c r="W387">
        <v>4640</v>
      </c>
      <c r="X387">
        <v>4561</v>
      </c>
    </row>
    <row r="388" spans="1:24">
      <c r="A388" s="7" t="s">
        <v>486</v>
      </c>
      <c r="B388" s="16" t="s">
        <v>76</v>
      </c>
      <c r="C388">
        <v>60484548.741968818</v>
      </c>
      <c r="D388">
        <v>48640715.484804526</v>
      </c>
      <c r="E388">
        <v>1827027.0270270279</v>
      </c>
      <c r="F388">
        <v>1076576.576576577</v>
      </c>
      <c r="G388">
        <v>13</v>
      </c>
      <c r="H388">
        <v>14</v>
      </c>
      <c r="I388">
        <v>2</v>
      </c>
      <c r="J388">
        <v>2</v>
      </c>
      <c r="M388">
        <v>14</v>
      </c>
      <c r="N388">
        <v>15</v>
      </c>
      <c r="O388">
        <v>21903603.603603605</v>
      </c>
      <c r="P388">
        <v>10709099.0990991</v>
      </c>
      <c r="Q388">
        <v>8</v>
      </c>
      <c r="R388">
        <v>38</v>
      </c>
      <c r="S388">
        <v>23288662.162162162</v>
      </c>
      <c r="T388">
        <v>19573086.486486487</v>
      </c>
      <c r="U388">
        <v>22387567.567567568</v>
      </c>
      <c r="V388">
        <v>10251257.657657659</v>
      </c>
      <c r="W388">
        <v>1386</v>
      </c>
      <c r="X388">
        <v>1460</v>
      </c>
    </row>
    <row r="389" spans="1:24">
      <c r="A389" s="7" t="s">
        <v>487</v>
      </c>
      <c r="B389" s="16" t="s">
        <v>307</v>
      </c>
      <c r="C389">
        <v>377900208.44139552</v>
      </c>
      <c r="D389">
        <v>395863070.16546702</v>
      </c>
      <c r="E389">
        <v>809009.00900900899</v>
      </c>
      <c r="F389">
        <v>4016216.216216221</v>
      </c>
      <c r="G389">
        <v>161</v>
      </c>
      <c r="H389">
        <v>154</v>
      </c>
      <c r="I389">
        <v>4</v>
      </c>
      <c r="J389">
        <v>7</v>
      </c>
      <c r="M389">
        <v>181</v>
      </c>
      <c r="N389">
        <v>191</v>
      </c>
      <c r="O389">
        <v>55062387.387387387</v>
      </c>
      <c r="P389">
        <v>101620810.81081082</v>
      </c>
      <c r="Q389">
        <v>199</v>
      </c>
      <c r="R389">
        <v>359</v>
      </c>
      <c r="S389">
        <v>155703043.24324322</v>
      </c>
      <c r="T389">
        <v>168656108.1081081</v>
      </c>
      <c r="U389">
        <v>54652702.702702701</v>
      </c>
      <c r="V389">
        <v>82485945.945945948</v>
      </c>
      <c r="W389">
        <v>11365</v>
      </c>
      <c r="X389">
        <v>11067</v>
      </c>
    </row>
    <row r="390" spans="1:24">
      <c r="A390" s="7" t="s">
        <v>488</v>
      </c>
      <c r="B390" s="16" t="s">
        <v>315</v>
      </c>
      <c r="C390">
        <v>105342692.07460645</v>
      </c>
      <c r="D390">
        <v>88553685.482133329</v>
      </c>
      <c r="E390">
        <v>607207.20720720699</v>
      </c>
      <c r="F390">
        <v>1077477.4774774781</v>
      </c>
      <c r="G390">
        <v>23</v>
      </c>
      <c r="H390">
        <v>6</v>
      </c>
      <c r="I390">
        <v>2</v>
      </c>
      <c r="J390">
        <v>2</v>
      </c>
      <c r="M390">
        <v>23</v>
      </c>
      <c r="N390">
        <v>7</v>
      </c>
      <c r="O390">
        <v>63258738.738738738</v>
      </c>
      <c r="P390">
        <v>42423333.333333328</v>
      </c>
      <c r="S390">
        <v>44491963.963963971</v>
      </c>
      <c r="T390">
        <v>37772432.432432435</v>
      </c>
      <c r="U390">
        <v>57971171.171171166</v>
      </c>
      <c r="V390">
        <v>39172972.972972967</v>
      </c>
      <c r="W390">
        <v>1685</v>
      </c>
      <c r="X390">
        <v>1589</v>
      </c>
    </row>
    <row r="391" spans="1:24">
      <c r="A391" s="7" t="s">
        <v>489</v>
      </c>
      <c r="B391" s="16" t="s">
        <v>181</v>
      </c>
      <c r="C391">
        <v>219766889.38400307</v>
      </c>
      <c r="D391">
        <v>206456713.29534754</v>
      </c>
      <c r="E391">
        <v>75675.675675677994</v>
      </c>
      <c r="F391">
        <v>1268918.9189189191</v>
      </c>
      <c r="G391">
        <v>108</v>
      </c>
      <c r="H391">
        <v>103</v>
      </c>
      <c r="I391">
        <v>11</v>
      </c>
      <c r="J391">
        <v>9</v>
      </c>
      <c r="M391">
        <v>119</v>
      </c>
      <c r="N391">
        <v>152</v>
      </c>
      <c r="O391">
        <v>16660630.630630633</v>
      </c>
      <c r="P391">
        <v>22552792.792792793</v>
      </c>
      <c r="Q391">
        <v>145</v>
      </c>
      <c r="R391">
        <v>254</v>
      </c>
      <c r="S391">
        <v>59152369.369369365</v>
      </c>
      <c r="T391">
        <v>60972774.774774775</v>
      </c>
      <c r="U391">
        <v>16397297.297297299</v>
      </c>
      <c r="V391">
        <v>20483693.693693697</v>
      </c>
      <c r="W391">
        <v>6657</v>
      </c>
      <c r="X391">
        <v>6361</v>
      </c>
    </row>
    <row r="392" spans="1:24">
      <c r="A392" s="7" t="s">
        <v>490</v>
      </c>
      <c r="B392" s="16" t="s">
        <v>220</v>
      </c>
      <c r="C392">
        <v>127849624.70895582</v>
      </c>
      <c r="D392">
        <v>119680270.03535092</v>
      </c>
      <c r="E392">
        <v>8108.1081081080001</v>
      </c>
      <c r="F392">
        <v>60360.360360359999</v>
      </c>
      <c r="G392">
        <v>42</v>
      </c>
      <c r="H392">
        <v>42</v>
      </c>
      <c r="I392">
        <v>1</v>
      </c>
      <c r="J392">
        <v>2</v>
      </c>
      <c r="M392">
        <v>50</v>
      </c>
      <c r="N392">
        <v>50</v>
      </c>
      <c r="O392">
        <v>4825405.4054054068</v>
      </c>
      <c r="P392">
        <v>2390450.4504504502</v>
      </c>
      <c r="Q392">
        <v>40</v>
      </c>
      <c r="S392">
        <v>32166180.180180181</v>
      </c>
      <c r="T392">
        <v>29804953.153153151</v>
      </c>
      <c r="U392">
        <v>3529459.4594594608</v>
      </c>
      <c r="V392">
        <v>1653063.063063063</v>
      </c>
      <c r="W392">
        <v>4010</v>
      </c>
      <c r="X392">
        <v>3982</v>
      </c>
    </row>
    <row r="393" spans="1:24">
      <c r="A393" s="7" t="s">
        <v>491</v>
      </c>
      <c r="B393" s="16" t="s">
        <v>220</v>
      </c>
      <c r="C393">
        <v>33159155.221279435</v>
      </c>
      <c r="D393">
        <v>40331213.204577684</v>
      </c>
      <c r="E393">
        <v>84476801.801801801</v>
      </c>
      <c r="F393">
        <v>92898198.198198199</v>
      </c>
      <c r="G393">
        <v>30</v>
      </c>
      <c r="H393">
        <v>22</v>
      </c>
      <c r="I393">
        <v>2</v>
      </c>
      <c r="J393">
        <v>1</v>
      </c>
      <c r="M393">
        <v>33</v>
      </c>
      <c r="N393">
        <v>25</v>
      </c>
      <c r="O393">
        <v>83442117.117117122</v>
      </c>
      <c r="P393">
        <v>21748648.648648649</v>
      </c>
      <c r="Q393">
        <v>20</v>
      </c>
      <c r="R393">
        <v>15</v>
      </c>
      <c r="S393">
        <v>11093828.828828828</v>
      </c>
      <c r="T393">
        <v>11997333.333333332</v>
      </c>
      <c r="U393">
        <v>8396036.0360360369</v>
      </c>
      <c r="V393">
        <v>15283513.513513515</v>
      </c>
      <c r="W393">
        <v>1223</v>
      </c>
      <c r="X393">
        <v>1186</v>
      </c>
    </row>
    <row r="394" spans="1:24">
      <c r="A394" s="7" t="s">
        <v>492</v>
      </c>
      <c r="B394" s="16" t="s">
        <v>60</v>
      </c>
      <c r="C394">
        <v>152492855.54396969</v>
      </c>
      <c r="D394">
        <v>136500788.47563806</v>
      </c>
      <c r="E394">
        <v>1170270.2702702731</v>
      </c>
      <c r="F394">
        <v>2830630.6306306371</v>
      </c>
      <c r="G394">
        <v>35</v>
      </c>
      <c r="H394">
        <v>31</v>
      </c>
      <c r="I394">
        <v>8</v>
      </c>
      <c r="J394">
        <v>20</v>
      </c>
      <c r="M394">
        <v>38</v>
      </c>
      <c r="N394">
        <v>78</v>
      </c>
      <c r="O394">
        <v>33400900.9009009</v>
      </c>
      <c r="P394">
        <v>29780810.810810812</v>
      </c>
      <c r="Q394">
        <v>134</v>
      </c>
      <c r="R394">
        <v>82</v>
      </c>
      <c r="S394">
        <v>65995765.765765771</v>
      </c>
      <c r="T394">
        <v>61568837.837837838</v>
      </c>
      <c r="U394">
        <v>30315225.225225229</v>
      </c>
      <c r="V394">
        <v>27569909.909909908</v>
      </c>
      <c r="W394">
        <v>3669</v>
      </c>
      <c r="X394">
        <v>4353</v>
      </c>
    </row>
    <row r="395" spans="1:24">
      <c r="A395" s="7" t="s">
        <v>493</v>
      </c>
      <c r="B395" s="16" t="s">
        <v>448</v>
      </c>
      <c r="C395">
        <v>183550677.52701283</v>
      </c>
      <c r="D395">
        <v>166788715.4250702</v>
      </c>
      <c r="E395">
        <v>111711.711711713</v>
      </c>
      <c r="F395">
        <v>228828.82882882899</v>
      </c>
      <c r="G395">
        <v>103</v>
      </c>
      <c r="H395">
        <v>105</v>
      </c>
      <c r="I395">
        <v>9</v>
      </c>
      <c r="J395">
        <v>2</v>
      </c>
      <c r="M395">
        <v>107</v>
      </c>
      <c r="N395">
        <v>196</v>
      </c>
      <c r="O395">
        <v>27761486.486486483</v>
      </c>
      <c r="P395">
        <v>11820720.720720721</v>
      </c>
      <c r="Q395">
        <v>84</v>
      </c>
      <c r="R395">
        <v>1</v>
      </c>
      <c r="S395">
        <v>65711747.747747742</v>
      </c>
      <c r="T395">
        <v>59893765.765765771</v>
      </c>
      <c r="U395">
        <v>27777522.52252252</v>
      </c>
      <c r="V395">
        <v>12962252.252252255</v>
      </c>
      <c r="W395">
        <v>4959</v>
      </c>
      <c r="X395">
        <v>6446</v>
      </c>
    </row>
    <row r="396" spans="1:24">
      <c r="A396" s="7" t="s">
        <v>7</v>
      </c>
      <c r="B396" s="16" t="s">
        <v>193</v>
      </c>
      <c r="C396">
        <v>132405180.05907096</v>
      </c>
      <c r="D396">
        <v>141506469.41659075</v>
      </c>
      <c r="E396">
        <v>40090.090090090001</v>
      </c>
      <c r="F396">
        <v>290990.99099099298</v>
      </c>
      <c r="G396">
        <v>34</v>
      </c>
      <c r="H396">
        <v>42</v>
      </c>
      <c r="I396">
        <v>14</v>
      </c>
      <c r="J396">
        <v>3</v>
      </c>
      <c r="M396">
        <v>38</v>
      </c>
      <c r="N396">
        <v>52</v>
      </c>
      <c r="O396">
        <v>26420270.270270273</v>
      </c>
      <c r="P396">
        <v>26045495.495495494</v>
      </c>
      <c r="Q396">
        <v>132</v>
      </c>
      <c r="R396">
        <v>154</v>
      </c>
      <c r="S396">
        <v>90787684.684684694</v>
      </c>
      <c r="T396">
        <v>98993297.297297299</v>
      </c>
      <c r="U396">
        <v>27869099.099099103</v>
      </c>
      <c r="V396">
        <v>26878108.108108107</v>
      </c>
      <c r="W396">
        <v>4847</v>
      </c>
      <c r="X396">
        <v>5025</v>
      </c>
    </row>
    <row r="397" spans="1:24">
      <c r="A397" s="7" t="s">
        <v>494</v>
      </c>
      <c r="B397" s="16" t="s">
        <v>330</v>
      </c>
      <c r="C397">
        <v>166553824.79327369</v>
      </c>
      <c r="D397">
        <v>161566191.99734399</v>
      </c>
      <c r="E397">
        <v>15315.315315315</v>
      </c>
      <c r="F397">
        <v>290090.09009009</v>
      </c>
      <c r="G397">
        <v>80</v>
      </c>
      <c r="H397">
        <v>83</v>
      </c>
      <c r="I397">
        <v>3</v>
      </c>
      <c r="J397">
        <v>3</v>
      </c>
      <c r="M397">
        <v>93</v>
      </c>
      <c r="N397">
        <v>141</v>
      </c>
      <c r="O397">
        <v>8124594.5945945941</v>
      </c>
      <c r="P397">
        <v>7353873.8738738745</v>
      </c>
      <c r="Q397">
        <v>122</v>
      </c>
      <c r="R397">
        <v>41</v>
      </c>
      <c r="S397">
        <v>43222135.135135137</v>
      </c>
      <c r="T397">
        <v>40061702.702702701</v>
      </c>
      <c r="U397">
        <v>8001171.1711711707</v>
      </c>
      <c r="V397">
        <v>6614054.0540540544</v>
      </c>
      <c r="W397">
        <v>5820</v>
      </c>
      <c r="X397">
        <v>6197</v>
      </c>
    </row>
    <row r="398" spans="1:24">
      <c r="A398" s="7" t="s">
        <v>495</v>
      </c>
      <c r="B398" s="16" t="s">
        <v>330</v>
      </c>
      <c r="C398">
        <v>286653514.78283143</v>
      </c>
      <c r="D398">
        <v>275114529.344908</v>
      </c>
      <c r="E398">
        <v>72490090.090090096</v>
      </c>
      <c r="F398">
        <v>267616891.8918919</v>
      </c>
      <c r="G398">
        <v>98</v>
      </c>
      <c r="H398">
        <v>129</v>
      </c>
      <c r="I398">
        <v>5</v>
      </c>
      <c r="J398">
        <v>10</v>
      </c>
      <c r="M398">
        <v>116</v>
      </c>
      <c r="N398">
        <v>146</v>
      </c>
      <c r="O398">
        <v>12819459.459459459</v>
      </c>
      <c r="P398">
        <v>9982702.7027027067</v>
      </c>
      <c r="Q398">
        <v>163</v>
      </c>
      <c r="R398">
        <v>56</v>
      </c>
      <c r="S398">
        <v>59231333.333333328</v>
      </c>
      <c r="T398">
        <v>63926085.585585587</v>
      </c>
      <c r="U398">
        <v>8325225.2252252251</v>
      </c>
      <c r="V398">
        <v>10009099.0990991</v>
      </c>
      <c r="W398">
        <v>7458</v>
      </c>
      <c r="X398">
        <v>6989</v>
      </c>
    </row>
    <row r="399" spans="1:24">
      <c r="A399" s="7" t="s">
        <v>496</v>
      </c>
      <c r="B399" s="16" t="s">
        <v>330</v>
      </c>
      <c r="C399">
        <v>289304188.01924986</v>
      </c>
      <c r="D399">
        <v>276448555.74514872</v>
      </c>
      <c r="E399">
        <v>1187162.1621621649</v>
      </c>
      <c r="F399">
        <v>3721396.3963963981</v>
      </c>
      <c r="G399">
        <v>138</v>
      </c>
      <c r="H399">
        <v>129</v>
      </c>
      <c r="I399">
        <v>18</v>
      </c>
      <c r="J399">
        <v>15</v>
      </c>
      <c r="M399">
        <v>167</v>
      </c>
      <c r="N399">
        <v>180</v>
      </c>
      <c r="O399">
        <v>26429549.54954955</v>
      </c>
      <c r="P399">
        <v>35312612.612612613</v>
      </c>
      <c r="Q399">
        <v>229</v>
      </c>
      <c r="R399">
        <v>80</v>
      </c>
      <c r="S399">
        <v>62319126.126126125</v>
      </c>
      <c r="T399">
        <v>62204711.711711712</v>
      </c>
      <c r="U399">
        <v>25984954.954954952</v>
      </c>
      <c r="V399">
        <v>36170270.270270273</v>
      </c>
      <c r="W399">
        <v>8459</v>
      </c>
      <c r="X399">
        <v>8126</v>
      </c>
    </row>
    <row r="400" spans="1:24">
      <c r="A400" s="7" t="s">
        <v>497</v>
      </c>
      <c r="B400" s="16" t="s">
        <v>330</v>
      </c>
      <c r="C400">
        <v>1251338826.3369167</v>
      </c>
      <c r="D400">
        <v>1070682118.5721231</v>
      </c>
      <c r="E400">
        <v>910308790.09009016</v>
      </c>
      <c r="F400">
        <v>1009900437.8378378</v>
      </c>
      <c r="G400">
        <v>545</v>
      </c>
      <c r="H400">
        <v>798</v>
      </c>
      <c r="I400">
        <v>33</v>
      </c>
      <c r="J400">
        <v>45</v>
      </c>
      <c r="K400">
        <v>42</v>
      </c>
      <c r="M400">
        <v>726</v>
      </c>
      <c r="N400">
        <v>1436</v>
      </c>
      <c r="O400">
        <v>248463873.87387386</v>
      </c>
      <c r="P400">
        <v>315614925.22522521</v>
      </c>
      <c r="Q400">
        <v>672</v>
      </c>
      <c r="R400">
        <v>231</v>
      </c>
      <c r="S400">
        <v>286974736.93693691</v>
      </c>
      <c r="T400">
        <v>233493297.2972973</v>
      </c>
      <c r="U400">
        <v>162813333.33333334</v>
      </c>
      <c r="V400">
        <v>162742612.61261261</v>
      </c>
      <c r="W400">
        <v>30551</v>
      </c>
      <c r="X400">
        <v>28164</v>
      </c>
    </row>
    <row r="401" spans="1:24">
      <c r="A401" s="7" t="s">
        <v>498</v>
      </c>
      <c r="B401" s="16" t="s">
        <v>330</v>
      </c>
      <c r="C401">
        <v>915447834.642465</v>
      </c>
      <c r="D401">
        <v>850410120.93565631</v>
      </c>
      <c r="E401">
        <v>1756486.4864864899</v>
      </c>
      <c r="F401">
        <v>6776576.5765765803</v>
      </c>
      <c r="G401">
        <v>305</v>
      </c>
      <c r="H401">
        <v>333</v>
      </c>
      <c r="I401">
        <v>29</v>
      </c>
      <c r="J401">
        <v>30</v>
      </c>
      <c r="K401">
        <v>1</v>
      </c>
      <c r="M401">
        <v>360</v>
      </c>
      <c r="N401">
        <v>418</v>
      </c>
      <c r="O401">
        <v>177926036.03603604</v>
      </c>
      <c r="P401">
        <v>181054279.27927926</v>
      </c>
      <c r="Q401">
        <v>803</v>
      </c>
      <c r="R401">
        <v>220</v>
      </c>
      <c r="S401">
        <v>220950495.4954955</v>
      </c>
      <c r="T401">
        <v>223142858.1081081</v>
      </c>
      <c r="U401">
        <v>175525045.04504505</v>
      </c>
      <c r="V401">
        <v>176078198.1981982</v>
      </c>
      <c r="W401">
        <v>27150</v>
      </c>
      <c r="X401">
        <v>26061</v>
      </c>
    </row>
    <row r="402" spans="1:24">
      <c r="A402" s="7" t="s">
        <v>499</v>
      </c>
      <c r="B402" s="16" t="s">
        <v>143</v>
      </c>
      <c r="C402">
        <v>382774866.0788691</v>
      </c>
      <c r="D402">
        <v>357522023.19675118</v>
      </c>
      <c r="E402">
        <v>287162.16216216498</v>
      </c>
      <c r="F402">
        <v>2180405.4054054068</v>
      </c>
      <c r="G402">
        <v>255</v>
      </c>
      <c r="H402">
        <v>215</v>
      </c>
      <c r="I402">
        <v>19</v>
      </c>
      <c r="J402">
        <v>15</v>
      </c>
      <c r="M402">
        <v>277</v>
      </c>
      <c r="N402">
        <v>235</v>
      </c>
      <c r="O402">
        <v>30590450.450450446</v>
      </c>
      <c r="P402">
        <v>35460360.360360362</v>
      </c>
      <c r="Q402">
        <v>183</v>
      </c>
      <c r="R402">
        <v>139</v>
      </c>
      <c r="S402">
        <v>54545527.927927926</v>
      </c>
      <c r="T402">
        <v>56823610.810810804</v>
      </c>
      <c r="U402">
        <v>20181531.531531531</v>
      </c>
      <c r="V402">
        <v>22745855.855855856</v>
      </c>
      <c r="W402">
        <v>8969</v>
      </c>
      <c r="X402">
        <v>8765</v>
      </c>
    </row>
    <row r="403" spans="1:24">
      <c r="A403" s="7" t="s">
        <v>500</v>
      </c>
      <c r="B403" s="16" t="s">
        <v>220</v>
      </c>
      <c r="C403">
        <v>434171485.19043857</v>
      </c>
      <c r="D403">
        <v>424100632.01190031</v>
      </c>
      <c r="E403">
        <v>1435585.5855855909</v>
      </c>
      <c r="F403">
        <v>4565990.9909909973</v>
      </c>
      <c r="G403">
        <v>182</v>
      </c>
      <c r="H403">
        <v>189</v>
      </c>
      <c r="I403">
        <v>22</v>
      </c>
      <c r="J403">
        <v>15</v>
      </c>
      <c r="K403">
        <v>1</v>
      </c>
      <c r="M403">
        <v>221</v>
      </c>
      <c r="N403">
        <v>243</v>
      </c>
      <c r="O403">
        <v>80044774.774774775</v>
      </c>
      <c r="P403">
        <v>167048018.01801801</v>
      </c>
      <c r="Q403">
        <v>433</v>
      </c>
      <c r="R403">
        <v>149</v>
      </c>
      <c r="S403">
        <v>128463153.15315315</v>
      </c>
      <c r="T403">
        <v>129551148.64864863</v>
      </c>
      <c r="U403">
        <v>84212882.882882878</v>
      </c>
      <c r="V403">
        <v>167254324.32432431</v>
      </c>
      <c r="W403">
        <v>12296</v>
      </c>
      <c r="X403">
        <v>12020</v>
      </c>
    </row>
    <row r="404" spans="1:24">
      <c r="A404" s="7" t="s">
        <v>501</v>
      </c>
      <c r="B404" s="16" t="s">
        <v>397</v>
      </c>
      <c r="C404">
        <v>1170824074.8485167</v>
      </c>
      <c r="D404">
        <v>1197677110.4412103</v>
      </c>
      <c r="E404">
        <v>404354083.78378379</v>
      </c>
      <c r="F404">
        <v>174932722.52252254</v>
      </c>
      <c r="G404">
        <v>395</v>
      </c>
      <c r="H404">
        <v>372</v>
      </c>
      <c r="I404">
        <v>28</v>
      </c>
      <c r="J404">
        <v>58</v>
      </c>
      <c r="M404">
        <v>444</v>
      </c>
      <c r="N404">
        <v>492</v>
      </c>
      <c r="O404">
        <v>155679774.77477479</v>
      </c>
      <c r="P404">
        <v>134517342.34234235</v>
      </c>
      <c r="Q404">
        <v>851</v>
      </c>
      <c r="R404">
        <v>430</v>
      </c>
      <c r="S404">
        <v>246001356.75675678</v>
      </c>
      <c r="T404">
        <v>256754736.93693691</v>
      </c>
      <c r="U404">
        <v>139441576.57657659</v>
      </c>
      <c r="V404">
        <v>123400315.31531531</v>
      </c>
      <c r="W404">
        <v>26374</v>
      </c>
      <c r="X404">
        <v>27162</v>
      </c>
    </row>
    <row r="405" spans="1:24">
      <c r="A405" s="7" t="s">
        <v>502</v>
      </c>
      <c r="B405" s="16" t="s">
        <v>70</v>
      </c>
      <c r="C405">
        <v>18102950.548438638</v>
      </c>
      <c r="D405">
        <v>18490762.522183649</v>
      </c>
      <c r="E405">
        <v>68227094.594594598</v>
      </c>
      <c r="F405">
        <v>55861614.414414413</v>
      </c>
      <c r="G405">
        <v>7</v>
      </c>
      <c r="H405">
        <v>7</v>
      </c>
      <c r="I405">
        <v>0</v>
      </c>
      <c r="J405">
        <v>1</v>
      </c>
      <c r="M405">
        <v>8</v>
      </c>
      <c r="N405">
        <v>9</v>
      </c>
      <c r="O405">
        <v>37852518.018018015</v>
      </c>
      <c r="P405">
        <v>36854063.963963971</v>
      </c>
      <c r="Q405">
        <v>1</v>
      </c>
      <c r="R405">
        <v>51</v>
      </c>
      <c r="S405">
        <v>13385000</v>
      </c>
      <c r="T405">
        <v>13200126.126126125</v>
      </c>
      <c r="U405">
        <v>2044594.5945945941</v>
      </c>
      <c r="V405">
        <v>765135.13513513503</v>
      </c>
      <c r="W405">
        <v>658</v>
      </c>
      <c r="X405">
        <v>705</v>
      </c>
    </row>
    <row r="406" spans="1:24">
      <c r="A406" s="7" t="s">
        <v>503</v>
      </c>
      <c r="B406" s="16" t="s">
        <v>330</v>
      </c>
      <c r="C406">
        <v>504467340.66796166</v>
      </c>
      <c r="D406">
        <v>508120827.16165298</v>
      </c>
      <c r="E406">
        <v>2017117.11711712</v>
      </c>
      <c r="F406">
        <v>4050225.2252252279</v>
      </c>
      <c r="G406">
        <v>177</v>
      </c>
      <c r="H406">
        <v>199</v>
      </c>
      <c r="I406">
        <v>11</v>
      </c>
      <c r="J406">
        <v>20</v>
      </c>
      <c r="M406">
        <v>208</v>
      </c>
      <c r="N406">
        <v>250</v>
      </c>
      <c r="O406">
        <v>46009909.909909911</v>
      </c>
      <c r="P406">
        <v>54157477.477477469</v>
      </c>
      <c r="Q406">
        <v>345</v>
      </c>
      <c r="R406">
        <v>171</v>
      </c>
      <c r="S406">
        <v>136740509.9099099</v>
      </c>
      <c r="T406">
        <v>139626542.7927928</v>
      </c>
      <c r="U406">
        <v>44021351.351351351</v>
      </c>
      <c r="V406">
        <v>52823603.603603601</v>
      </c>
      <c r="W406">
        <v>16065</v>
      </c>
      <c r="X406">
        <v>15864</v>
      </c>
    </row>
    <row r="407" spans="1:24">
      <c r="A407" s="7" t="s">
        <v>504</v>
      </c>
      <c r="B407" s="16" t="s">
        <v>283</v>
      </c>
      <c r="C407">
        <v>159825402.6746178</v>
      </c>
      <c r="D407">
        <v>154226676.7022332</v>
      </c>
      <c r="E407">
        <v>301801.80180180201</v>
      </c>
      <c r="F407">
        <v>296396.39639639598</v>
      </c>
      <c r="G407">
        <v>57</v>
      </c>
      <c r="H407">
        <v>29</v>
      </c>
      <c r="I407">
        <v>2</v>
      </c>
      <c r="J407">
        <v>2</v>
      </c>
      <c r="M407">
        <v>60</v>
      </c>
      <c r="N407">
        <v>30</v>
      </c>
      <c r="O407">
        <v>8981981.9819819815</v>
      </c>
      <c r="P407">
        <v>14548648.648648648</v>
      </c>
      <c r="Q407">
        <v>50</v>
      </c>
      <c r="R407">
        <v>3</v>
      </c>
      <c r="S407">
        <v>29064279.27927928</v>
      </c>
      <c r="T407">
        <v>27481783.783783782</v>
      </c>
      <c r="U407">
        <v>10799549.54954955</v>
      </c>
      <c r="V407">
        <v>12200540.540540541</v>
      </c>
      <c r="W407">
        <v>3174</v>
      </c>
      <c r="X407">
        <v>2882</v>
      </c>
    </row>
    <row r="408" spans="1:24">
      <c r="A408" s="7" t="s">
        <v>505</v>
      </c>
      <c r="B408" s="16" t="s">
        <v>260</v>
      </c>
      <c r="C408">
        <v>93339131.296036676</v>
      </c>
      <c r="D408">
        <v>94416464.127344534</v>
      </c>
      <c r="E408">
        <v>339866020.72072071</v>
      </c>
      <c r="F408">
        <v>345931208.1081081</v>
      </c>
      <c r="G408">
        <v>3</v>
      </c>
      <c r="H408">
        <v>4</v>
      </c>
      <c r="I408">
        <v>1</v>
      </c>
      <c r="J408">
        <v>1</v>
      </c>
      <c r="K408">
        <v>1</v>
      </c>
      <c r="M408">
        <v>4</v>
      </c>
      <c r="N408">
        <v>5</v>
      </c>
      <c r="O408">
        <v>1360360.36036036</v>
      </c>
      <c r="P408">
        <v>46802702.702702701</v>
      </c>
      <c r="R408">
        <v>3</v>
      </c>
      <c r="S408">
        <v>21244549.549549554</v>
      </c>
      <c r="T408">
        <v>21333720.72072072</v>
      </c>
      <c r="U408">
        <v>1118918.9189189191</v>
      </c>
      <c r="V408">
        <v>1362162.1621621619</v>
      </c>
      <c r="W408">
        <v>2171</v>
      </c>
      <c r="X408">
        <v>2167</v>
      </c>
    </row>
    <row r="409" spans="1:24">
      <c r="A409" s="7" t="s">
        <v>506</v>
      </c>
      <c r="B409" s="16" t="s">
        <v>236</v>
      </c>
      <c r="C409">
        <v>250104135.09045023</v>
      </c>
      <c r="D409">
        <v>233395525.54244664</v>
      </c>
      <c r="E409">
        <v>30750315.315315317</v>
      </c>
      <c r="F409">
        <v>107744594.5945946</v>
      </c>
      <c r="G409">
        <v>80</v>
      </c>
      <c r="H409">
        <v>44</v>
      </c>
      <c r="I409">
        <v>10</v>
      </c>
      <c r="J409">
        <v>14</v>
      </c>
      <c r="M409">
        <v>112</v>
      </c>
      <c r="N409">
        <v>193</v>
      </c>
      <c r="O409">
        <v>44558198.198198199</v>
      </c>
      <c r="P409">
        <v>52466756.756756753</v>
      </c>
      <c r="Q409">
        <v>28</v>
      </c>
      <c r="R409">
        <v>43</v>
      </c>
      <c r="S409">
        <v>55857716.216216214</v>
      </c>
      <c r="T409">
        <v>52700549.54954955</v>
      </c>
      <c r="U409">
        <v>43647927.927927926</v>
      </c>
      <c r="V409">
        <v>49496306.306306303</v>
      </c>
      <c r="W409">
        <v>4848</v>
      </c>
      <c r="X409">
        <v>4538</v>
      </c>
    </row>
    <row r="410" spans="1:24">
      <c r="A410" s="7" t="s">
        <v>507</v>
      </c>
      <c r="B410" s="16" t="s">
        <v>134</v>
      </c>
      <c r="C410">
        <v>38638582.962333374</v>
      </c>
      <c r="D410">
        <v>25488497.846148398</v>
      </c>
      <c r="G410">
        <v>1</v>
      </c>
      <c r="H410">
        <v>1</v>
      </c>
      <c r="I410">
        <v>0</v>
      </c>
      <c r="M410">
        <v>1</v>
      </c>
      <c r="N410">
        <v>1</v>
      </c>
      <c r="O410">
        <v>45045.045045045001</v>
      </c>
      <c r="Q410">
        <v>5</v>
      </c>
      <c r="S410">
        <v>6215450.4504504502</v>
      </c>
      <c r="T410">
        <v>4137963.963963964</v>
      </c>
      <c r="U410">
        <v>45045.045045045001</v>
      </c>
      <c r="W410">
        <v>1316</v>
      </c>
      <c r="X410">
        <v>1197</v>
      </c>
    </row>
    <row r="411" spans="1:24">
      <c r="A411" s="7" t="s">
        <v>508</v>
      </c>
      <c r="B411" s="16" t="s">
        <v>397</v>
      </c>
      <c r="C411">
        <v>249925338.88262516</v>
      </c>
      <c r="D411">
        <v>243611961.4288421</v>
      </c>
      <c r="E411">
        <v>213963.96396396399</v>
      </c>
      <c r="F411">
        <v>1106306.306306307</v>
      </c>
      <c r="G411">
        <v>56</v>
      </c>
      <c r="H411">
        <v>42</v>
      </c>
      <c r="I411">
        <v>2</v>
      </c>
      <c r="J411">
        <v>9</v>
      </c>
      <c r="M411">
        <v>64</v>
      </c>
      <c r="N411">
        <v>70</v>
      </c>
      <c r="O411">
        <v>22647072.072072074</v>
      </c>
      <c r="P411">
        <v>28650000</v>
      </c>
      <c r="Q411">
        <v>51</v>
      </c>
      <c r="R411">
        <v>219</v>
      </c>
      <c r="S411">
        <v>35127252.252252251</v>
      </c>
      <c r="T411">
        <v>37986864.864864863</v>
      </c>
      <c r="U411">
        <v>19552477.47747748</v>
      </c>
      <c r="V411">
        <v>25849189.189189188</v>
      </c>
      <c r="W411">
        <v>4591</v>
      </c>
      <c r="X411">
        <v>5641</v>
      </c>
    </row>
    <row r="412" spans="1:24">
      <c r="A412" s="7" t="s">
        <v>509</v>
      </c>
      <c r="B412" s="16" t="s">
        <v>134</v>
      </c>
      <c r="C412">
        <v>273078279.37337607</v>
      </c>
      <c r="D412">
        <v>270868224.02915823</v>
      </c>
      <c r="E412">
        <v>21303378.37837838</v>
      </c>
      <c r="F412">
        <v>28068468.468468472</v>
      </c>
      <c r="G412">
        <v>79</v>
      </c>
      <c r="H412">
        <v>68</v>
      </c>
      <c r="I412">
        <v>16</v>
      </c>
      <c r="J412">
        <v>11</v>
      </c>
      <c r="K412">
        <v>2</v>
      </c>
      <c r="M412">
        <v>82</v>
      </c>
      <c r="N412">
        <v>77</v>
      </c>
      <c r="O412">
        <v>33923423.423423424</v>
      </c>
      <c r="P412">
        <v>26775675.675675675</v>
      </c>
      <c r="Q412">
        <v>281</v>
      </c>
      <c r="R412">
        <v>25</v>
      </c>
      <c r="S412">
        <v>47621993.693693697</v>
      </c>
      <c r="T412">
        <v>44399916.666666664</v>
      </c>
      <c r="U412">
        <v>24935135.135135137</v>
      </c>
      <c r="V412">
        <v>21343153.153153151</v>
      </c>
      <c r="W412">
        <v>5486</v>
      </c>
      <c r="X412">
        <v>6885</v>
      </c>
    </row>
    <row r="413" spans="1:24">
      <c r="A413" s="7" t="s">
        <v>510</v>
      </c>
      <c r="B413" s="16" t="s">
        <v>134</v>
      </c>
      <c r="C413">
        <v>748837725.30351901</v>
      </c>
      <c r="D413">
        <v>743246699.82130837</v>
      </c>
      <c r="E413">
        <v>2078333.3333333409</v>
      </c>
      <c r="F413">
        <v>4219819.8198198266</v>
      </c>
      <c r="G413">
        <v>301</v>
      </c>
      <c r="H413">
        <v>155</v>
      </c>
      <c r="I413">
        <v>33</v>
      </c>
      <c r="J413">
        <v>27</v>
      </c>
      <c r="K413">
        <v>10</v>
      </c>
      <c r="M413">
        <v>347</v>
      </c>
      <c r="N413">
        <v>221</v>
      </c>
      <c r="O413">
        <v>58808378.378378384</v>
      </c>
      <c r="P413">
        <v>56122522.522522517</v>
      </c>
      <c r="Q413">
        <v>454</v>
      </c>
      <c r="R413">
        <v>295</v>
      </c>
      <c r="S413">
        <v>82595000</v>
      </c>
      <c r="T413">
        <v>77921810.810810819</v>
      </c>
      <c r="U413">
        <v>54769909.909909904</v>
      </c>
      <c r="V413">
        <v>51862702.702702701</v>
      </c>
      <c r="W413">
        <v>16576</v>
      </c>
      <c r="X413">
        <v>16247</v>
      </c>
    </row>
    <row r="414" spans="1:24">
      <c r="A414" s="7" t="s">
        <v>8</v>
      </c>
      <c r="B414" s="16" t="s">
        <v>158</v>
      </c>
      <c r="C414">
        <v>198612203.00375479</v>
      </c>
      <c r="D414">
        <v>195335866.95055351</v>
      </c>
      <c r="E414">
        <v>2077477.47747748</v>
      </c>
      <c r="F414">
        <v>4070270.2702702731</v>
      </c>
      <c r="G414">
        <v>21</v>
      </c>
      <c r="H414">
        <v>17</v>
      </c>
      <c r="I414">
        <v>9</v>
      </c>
      <c r="J414">
        <v>8</v>
      </c>
      <c r="M414">
        <v>23</v>
      </c>
      <c r="N414">
        <v>18</v>
      </c>
      <c r="O414">
        <v>28581531.531531528</v>
      </c>
      <c r="P414">
        <v>25445945.945945945</v>
      </c>
      <c r="Q414">
        <v>96</v>
      </c>
      <c r="R414">
        <v>51</v>
      </c>
      <c r="S414">
        <v>57616936.936936937</v>
      </c>
      <c r="T414">
        <v>56951009.009009011</v>
      </c>
      <c r="U414">
        <v>27695315.315315314</v>
      </c>
      <c r="V414">
        <v>23465945.945945945</v>
      </c>
      <c r="W414">
        <v>3635</v>
      </c>
      <c r="X414">
        <v>3764</v>
      </c>
    </row>
    <row r="415" spans="1:24">
      <c r="A415" s="7" t="s">
        <v>511</v>
      </c>
      <c r="B415" s="16" t="s">
        <v>134</v>
      </c>
      <c r="C415">
        <v>126056191.08584519</v>
      </c>
      <c r="D415">
        <v>142453500.38669395</v>
      </c>
      <c r="E415">
        <v>280180.18018018</v>
      </c>
      <c r="F415">
        <v>563063.06306306296</v>
      </c>
      <c r="G415">
        <v>46</v>
      </c>
      <c r="H415">
        <v>12</v>
      </c>
      <c r="I415">
        <v>4</v>
      </c>
      <c r="J415">
        <v>3</v>
      </c>
      <c r="M415">
        <v>97</v>
      </c>
      <c r="N415">
        <v>13</v>
      </c>
      <c r="O415">
        <v>3253153.1531531541</v>
      </c>
      <c r="P415">
        <v>5968468.4684684686</v>
      </c>
      <c r="Q415">
        <v>30</v>
      </c>
      <c r="S415">
        <v>17781072.072072074</v>
      </c>
      <c r="T415">
        <v>20008891.891891893</v>
      </c>
      <c r="U415">
        <v>3795045.0450450438</v>
      </c>
      <c r="V415">
        <v>4216306.3063063063</v>
      </c>
      <c r="W415">
        <v>3793</v>
      </c>
      <c r="X415">
        <v>3926</v>
      </c>
    </row>
    <row r="416" spans="1:24">
      <c r="A416" s="7" t="s">
        <v>512</v>
      </c>
      <c r="B416" s="16" t="s">
        <v>62</v>
      </c>
      <c r="C416">
        <v>642005140.23535049</v>
      </c>
      <c r="D416">
        <v>618829395.56537819</v>
      </c>
      <c r="E416">
        <v>75098423.423423424</v>
      </c>
      <c r="F416">
        <v>103425225.22522523</v>
      </c>
      <c r="G416">
        <v>146</v>
      </c>
      <c r="H416">
        <v>178</v>
      </c>
      <c r="I416">
        <v>4</v>
      </c>
      <c r="J416">
        <v>24</v>
      </c>
      <c r="M416">
        <v>164</v>
      </c>
      <c r="N416">
        <v>262</v>
      </c>
      <c r="O416">
        <v>25466666.666666664</v>
      </c>
      <c r="P416">
        <v>103835495.4954955</v>
      </c>
      <c r="Q416">
        <v>66</v>
      </c>
      <c r="R416">
        <v>203</v>
      </c>
      <c r="S416">
        <v>121583045.04504503</v>
      </c>
      <c r="T416">
        <v>129393029.72972973</v>
      </c>
      <c r="U416">
        <v>25502522.522522524</v>
      </c>
      <c r="V416">
        <v>99797387.387387395</v>
      </c>
      <c r="W416">
        <v>14602</v>
      </c>
      <c r="X416">
        <v>14245</v>
      </c>
    </row>
    <row r="417" spans="1:24">
      <c r="A417" s="7" t="s">
        <v>513</v>
      </c>
      <c r="B417" s="16" t="s">
        <v>117</v>
      </c>
      <c r="C417">
        <v>73669674.549817055</v>
      </c>
      <c r="D417">
        <v>64550129.173432663</v>
      </c>
      <c r="E417">
        <v>14414.414414416</v>
      </c>
      <c r="F417">
        <v>289189.18918918999</v>
      </c>
      <c r="G417">
        <v>84</v>
      </c>
      <c r="H417">
        <v>29</v>
      </c>
      <c r="I417">
        <v>4</v>
      </c>
      <c r="J417">
        <v>3</v>
      </c>
      <c r="M417">
        <v>86</v>
      </c>
      <c r="N417">
        <v>30</v>
      </c>
      <c r="O417">
        <v>3546126.1261261269</v>
      </c>
      <c r="P417">
        <v>3733603.6036036029</v>
      </c>
      <c r="Q417">
        <v>38</v>
      </c>
      <c r="R417">
        <v>2</v>
      </c>
      <c r="S417">
        <v>35178288.288288288</v>
      </c>
      <c r="T417">
        <v>27615513.513513513</v>
      </c>
      <c r="U417">
        <v>3041171.1711711702</v>
      </c>
      <c r="V417">
        <v>2975315.3153153169</v>
      </c>
      <c r="W417">
        <v>2144</v>
      </c>
      <c r="X417">
        <v>2015</v>
      </c>
    </row>
    <row r="418" spans="1:24">
      <c r="A418" s="7" t="s">
        <v>514</v>
      </c>
      <c r="B418" s="16" t="s">
        <v>304</v>
      </c>
      <c r="C418">
        <v>124756899.94154531</v>
      </c>
      <c r="D418">
        <v>116523572.75503418</v>
      </c>
      <c r="E418">
        <v>294594.59459459502</v>
      </c>
      <c r="F418">
        <v>1527027.0270270279</v>
      </c>
      <c r="G418">
        <v>47</v>
      </c>
      <c r="H418">
        <v>64</v>
      </c>
      <c r="I418">
        <v>6</v>
      </c>
      <c r="J418">
        <v>12</v>
      </c>
      <c r="M418">
        <v>49</v>
      </c>
      <c r="N418">
        <v>68</v>
      </c>
      <c r="O418">
        <v>3042342.3423423432</v>
      </c>
      <c r="P418">
        <v>10062612.612612613</v>
      </c>
      <c r="Q418">
        <v>88</v>
      </c>
      <c r="R418">
        <v>15</v>
      </c>
      <c r="S418">
        <v>11147027.027027028</v>
      </c>
      <c r="T418">
        <v>11836756.756756756</v>
      </c>
      <c r="U418">
        <v>4049909.9099099101</v>
      </c>
      <c r="V418">
        <v>10211801.801801803</v>
      </c>
      <c r="W418">
        <v>1530</v>
      </c>
      <c r="X418">
        <v>1530</v>
      </c>
    </row>
    <row r="419" spans="1:24">
      <c r="A419" s="7" t="s">
        <v>515</v>
      </c>
      <c r="B419" s="16" t="s">
        <v>304</v>
      </c>
      <c r="C419">
        <v>36137377.690590531</v>
      </c>
      <c r="D419">
        <v>31677214.025367927</v>
      </c>
      <c r="E419">
        <v>194954.954954955</v>
      </c>
      <c r="F419">
        <v>248648.64864864899</v>
      </c>
      <c r="G419">
        <v>11</v>
      </c>
      <c r="H419">
        <v>8</v>
      </c>
      <c r="I419">
        <v>3</v>
      </c>
      <c r="J419">
        <v>7</v>
      </c>
      <c r="M419">
        <v>11</v>
      </c>
      <c r="N419">
        <v>9</v>
      </c>
      <c r="O419">
        <v>3978738.738738738</v>
      </c>
      <c r="P419">
        <v>4299999.9999999991</v>
      </c>
      <c r="Q419">
        <v>27</v>
      </c>
      <c r="R419">
        <v>28</v>
      </c>
      <c r="S419">
        <v>5138378.3783783782</v>
      </c>
      <c r="T419">
        <v>4926990.9909909908</v>
      </c>
      <c r="U419">
        <v>4393243.2432432417</v>
      </c>
      <c r="V419">
        <v>2861531.53153153</v>
      </c>
      <c r="W419">
        <v>620</v>
      </c>
      <c r="X419">
        <v>619</v>
      </c>
    </row>
    <row r="420" spans="1:24">
      <c r="A420" s="7" t="s">
        <v>516</v>
      </c>
      <c r="B420" s="16" t="s">
        <v>304</v>
      </c>
      <c r="C420">
        <v>66830884.781629942</v>
      </c>
      <c r="D420">
        <v>69558132.289694369</v>
      </c>
      <c r="E420">
        <v>22162.162162163</v>
      </c>
      <c r="F420">
        <v>715315.31531531399</v>
      </c>
      <c r="G420">
        <v>30</v>
      </c>
      <c r="H420">
        <v>35</v>
      </c>
      <c r="I420">
        <v>2</v>
      </c>
      <c r="J420">
        <v>14</v>
      </c>
      <c r="M420">
        <v>34</v>
      </c>
      <c r="N420">
        <v>39</v>
      </c>
      <c r="O420">
        <v>4932072.072072071</v>
      </c>
      <c r="P420">
        <v>3623423.423423423</v>
      </c>
      <c r="Q420">
        <v>47</v>
      </c>
      <c r="R420">
        <v>17</v>
      </c>
      <c r="S420">
        <v>9523783.7837837841</v>
      </c>
      <c r="T420">
        <v>10273747.747747747</v>
      </c>
      <c r="U420">
        <v>4516306.3063063063</v>
      </c>
      <c r="V420">
        <v>3112972.9729729728</v>
      </c>
      <c r="W420">
        <v>1112</v>
      </c>
      <c r="X420">
        <v>1089</v>
      </c>
    </row>
    <row r="421" spans="1:24">
      <c r="A421" s="7" t="s">
        <v>517</v>
      </c>
      <c r="B421" s="16" t="s">
        <v>304</v>
      </c>
      <c r="C421">
        <v>56234430.78664916</v>
      </c>
      <c r="D421">
        <v>54420833.018633515</v>
      </c>
      <c r="E421">
        <v>155855.855855856</v>
      </c>
      <c r="F421">
        <v>94594.594594594993</v>
      </c>
      <c r="G421">
        <v>16</v>
      </c>
      <c r="H421">
        <v>20</v>
      </c>
      <c r="I421">
        <v>3</v>
      </c>
      <c r="J421">
        <v>4</v>
      </c>
      <c r="M421">
        <v>16</v>
      </c>
      <c r="N421">
        <v>21</v>
      </c>
      <c r="O421">
        <v>2245945.945945946</v>
      </c>
      <c r="P421">
        <v>1175675.675675676</v>
      </c>
      <c r="Q421">
        <v>8</v>
      </c>
      <c r="R421">
        <v>5</v>
      </c>
      <c r="S421">
        <v>7655585.5855855858</v>
      </c>
      <c r="T421">
        <v>6944090.0900900904</v>
      </c>
      <c r="U421">
        <v>1875945.9459459451</v>
      </c>
      <c r="V421">
        <v>1076486.4864864859</v>
      </c>
      <c r="W421">
        <v>786</v>
      </c>
      <c r="X421">
        <v>701</v>
      </c>
    </row>
    <row r="422" spans="1:24">
      <c r="A422" s="7" t="s">
        <v>518</v>
      </c>
      <c r="B422" s="16" t="s">
        <v>448</v>
      </c>
      <c r="C422">
        <v>58209865.079110995</v>
      </c>
      <c r="D422">
        <v>55159844.013557762</v>
      </c>
      <c r="E422">
        <v>260360.360360361</v>
      </c>
      <c r="F422">
        <v>333333.33333333401</v>
      </c>
      <c r="G422">
        <v>33</v>
      </c>
      <c r="H422">
        <v>13</v>
      </c>
      <c r="I422">
        <v>3</v>
      </c>
      <c r="M422">
        <v>40</v>
      </c>
      <c r="N422">
        <v>15</v>
      </c>
      <c r="O422">
        <v>4312162.1621621614</v>
      </c>
      <c r="P422">
        <v>4147297.297297297</v>
      </c>
      <c r="Q422">
        <v>20</v>
      </c>
      <c r="S422">
        <v>20406423.423423424</v>
      </c>
      <c r="T422">
        <v>18774632.882882886</v>
      </c>
      <c r="U422">
        <v>4066666.666666667</v>
      </c>
      <c r="V422">
        <v>4009099.0990990978</v>
      </c>
      <c r="W422">
        <v>1803</v>
      </c>
      <c r="X422">
        <v>1767</v>
      </c>
    </row>
    <row r="423" spans="1:24">
      <c r="A423" s="7" t="s">
        <v>519</v>
      </c>
      <c r="B423" s="16" t="s">
        <v>85</v>
      </c>
      <c r="C423">
        <v>170981830.32812303</v>
      </c>
      <c r="D423">
        <v>171434387.90519544</v>
      </c>
      <c r="E423">
        <v>225225.22522522599</v>
      </c>
      <c r="F423">
        <v>1126126.1261261271</v>
      </c>
      <c r="G423">
        <v>44</v>
      </c>
      <c r="H423">
        <v>28</v>
      </c>
      <c r="I423">
        <v>5</v>
      </c>
      <c r="J423">
        <v>7</v>
      </c>
      <c r="M423">
        <v>52</v>
      </c>
      <c r="N423">
        <v>34</v>
      </c>
      <c r="O423">
        <v>26423423.423423424</v>
      </c>
      <c r="P423">
        <v>30244594.594594598</v>
      </c>
      <c r="Q423">
        <v>49</v>
      </c>
      <c r="R423">
        <v>42</v>
      </c>
      <c r="S423">
        <v>40926081.081081077</v>
      </c>
      <c r="T423">
        <v>42938261.261261262</v>
      </c>
      <c r="U423">
        <v>18352252.252252251</v>
      </c>
      <c r="V423">
        <v>25089142.342342343</v>
      </c>
      <c r="W423">
        <v>3937</v>
      </c>
      <c r="X423">
        <v>4076</v>
      </c>
    </row>
    <row r="424" spans="1:24">
      <c r="A424" s="7" t="s">
        <v>520</v>
      </c>
      <c r="B424" s="16" t="s">
        <v>304</v>
      </c>
      <c r="C424">
        <v>87032966.853922129</v>
      </c>
      <c r="D424">
        <v>88531887.275354922</v>
      </c>
      <c r="E424">
        <v>191891.89189189201</v>
      </c>
      <c r="F424">
        <v>44144.144144143997</v>
      </c>
      <c r="G424">
        <v>42</v>
      </c>
      <c r="H424">
        <v>12</v>
      </c>
      <c r="I424">
        <v>2</v>
      </c>
      <c r="J424">
        <v>4</v>
      </c>
      <c r="M424">
        <v>44</v>
      </c>
      <c r="N424">
        <v>13</v>
      </c>
      <c r="O424">
        <v>6074774.7747747758</v>
      </c>
      <c r="P424">
        <v>5756756.7567567565</v>
      </c>
      <c r="Q424">
        <v>12</v>
      </c>
      <c r="R424">
        <v>8</v>
      </c>
      <c r="S424">
        <v>15330180.180180181</v>
      </c>
      <c r="T424">
        <v>15239608.108108109</v>
      </c>
      <c r="U424">
        <v>3353333.333333333</v>
      </c>
      <c r="V424">
        <v>2585675.6756756748</v>
      </c>
      <c r="W424">
        <v>1590</v>
      </c>
      <c r="X424">
        <v>1347</v>
      </c>
    </row>
    <row r="425" spans="1:24">
      <c r="A425" s="7" t="s">
        <v>521</v>
      </c>
      <c r="B425" s="16" t="s">
        <v>399</v>
      </c>
      <c r="C425">
        <v>622113124.40174532</v>
      </c>
      <c r="D425">
        <v>604488102.71422482</v>
      </c>
      <c r="E425">
        <v>220200383.78378376</v>
      </c>
      <c r="F425">
        <v>161799391.8918919</v>
      </c>
      <c r="G425">
        <v>324</v>
      </c>
      <c r="H425">
        <v>267</v>
      </c>
      <c r="I425">
        <v>41</v>
      </c>
      <c r="J425">
        <v>42</v>
      </c>
      <c r="K425">
        <v>6</v>
      </c>
      <c r="M425">
        <v>381</v>
      </c>
      <c r="N425">
        <v>630</v>
      </c>
      <c r="O425">
        <v>138015225.22522521</v>
      </c>
      <c r="P425">
        <v>114055630.63063063</v>
      </c>
      <c r="Q425">
        <v>590</v>
      </c>
      <c r="R425">
        <v>885</v>
      </c>
      <c r="S425">
        <v>153049414.41441441</v>
      </c>
      <c r="T425">
        <v>154578054.05405405</v>
      </c>
      <c r="U425">
        <v>111475855.85585585</v>
      </c>
      <c r="V425">
        <v>94422162.162162155</v>
      </c>
      <c r="W425">
        <v>13734</v>
      </c>
      <c r="X425">
        <v>14486</v>
      </c>
    </row>
    <row r="426" spans="1:24">
      <c r="A426" s="7" t="s">
        <v>522</v>
      </c>
      <c r="B426" s="16" t="s">
        <v>143</v>
      </c>
      <c r="C426">
        <v>178479100.38375741</v>
      </c>
      <c r="D426">
        <v>170307428.39027411</v>
      </c>
      <c r="E426">
        <v>22522.522522523999</v>
      </c>
      <c r="F426">
        <v>303603.60360360402</v>
      </c>
      <c r="G426">
        <v>35</v>
      </c>
      <c r="H426">
        <v>52</v>
      </c>
      <c r="I426">
        <v>6</v>
      </c>
      <c r="J426">
        <v>2</v>
      </c>
      <c r="M426">
        <v>40</v>
      </c>
      <c r="N426">
        <v>55</v>
      </c>
      <c r="O426">
        <v>10148648.648648648</v>
      </c>
      <c r="P426">
        <v>9312612.6126126125</v>
      </c>
      <c r="Q426">
        <v>18</v>
      </c>
      <c r="S426">
        <v>20518729.729729727</v>
      </c>
      <c r="T426">
        <v>22377117.117117114</v>
      </c>
      <c r="U426">
        <v>9835135.1351351365</v>
      </c>
      <c r="V426">
        <v>9955495.4954954963</v>
      </c>
      <c r="W426">
        <v>2964</v>
      </c>
      <c r="X426">
        <v>2961</v>
      </c>
    </row>
    <row r="427" spans="1:24">
      <c r="A427" s="7" t="s">
        <v>523</v>
      </c>
      <c r="B427" s="16" t="s">
        <v>66</v>
      </c>
      <c r="C427">
        <v>116045505.60308042</v>
      </c>
      <c r="D427">
        <v>119476204.27591498</v>
      </c>
      <c r="E427">
        <v>65405.405405406003</v>
      </c>
      <c r="F427">
        <v>2609909.9099099119</v>
      </c>
      <c r="G427">
        <v>32</v>
      </c>
      <c r="H427">
        <v>26</v>
      </c>
      <c r="I427">
        <v>3</v>
      </c>
      <c r="J427">
        <v>4</v>
      </c>
      <c r="K427">
        <v>1</v>
      </c>
      <c r="M427">
        <v>39</v>
      </c>
      <c r="N427">
        <v>31</v>
      </c>
      <c r="O427">
        <v>14076666.666666664</v>
      </c>
      <c r="P427">
        <v>62354054.054054059</v>
      </c>
      <c r="Q427">
        <v>158</v>
      </c>
      <c r="R427">
        <v>11</v>
      </c>
      <c r="S427">
        <v>55153549.54954955</v>
      </c>
      <c r="T427">
        <v>56884252.252252258</v>
      </c>
      <c r="U427">
        <v>12878198.198198196</v>
      </c>
      <c r="V427">
        <v>40897657.657657653</v>
      </c>
      <c r="W427">
        <v>3626</v>
      </c>
      <c r="X427">
        <v>3690</v>
      </c>
    </row>
    <row r="428" spans="1:24">
      <c r="A428" s="7" t="s">
        <v>524</v>
      </c>
      <c r="B428" s="16" t="s">
        <v>220</v>
      </c>
      <c r="C428">
        <v>165691276.06575707</v>
      </c>
      <c r="D428">
        <v>153143707.5914011</v>
      </c>
      <c r="E428">
        <v>613513.51351351396</v>
      </c>
      <c r="F428">
        <v>657657.65765765705</v>
      </c>
      <c r="G428">
        <v>62</v>
      </c>
      <c r="H428">
        <v>54</v>
      </c>
      <c r="I428">
        <v>3</v>
      </c>
      <c r="J428">
        <v>2</v>
      </c>
      <c r="M428">
        <v>68</v>
      </c>
      <c r="N428">
        <v>61</v>
      </c>
      <c r="O428">
        <v>10783783.783783784</v>
      </c>
      <c r="P428">
        <v>11477477.477477476</v>
      </c>
      <c r="Q428">
        <v>20</v>
      </c>
      <c r="R428">
        <v>7</v>
      </c>
      <c r="S428">
        <v>40514945.945945941</v>
      </c>
      <c r="T428">
        <v>38103027.027027026</v>
      </c>
      <c r="U428">
        <v>8712162.1621621605</v>
      </c>
      <c r="V428">
        <v>8223333.3333333321</v>
      </c>
      <c r="W428">
        <v>4465</v>
      </c>
      <c r="X428">
        <v>4285</v>
      </c>
    </row>
    <row r="429" spans="1:24">
      <c r="A429" s="7" t="s">
        <v>525</v>
      </c>
      <c r="B429" s="16" t="s">
        <v>413</v>
      </c>
      <c r="C429">
        <v>1764665286.6484284</v>
      </c>
      <c r="D429">
        <v>1690753604.8398619</v>
      </c>
      <c r="E429">
        <v>896142569.36936939</v>
      </c>
      <c r="F429">
        <v>556132181.08108103</v>
      </c>
      <c r="G429">
        <v>366</v>
      </c>
      <c r="H429">
        <v>434</v>
      </c>
      <c r="I429">
        <v>23</v>
      </c>
      <c r="J429">
        <v>60</v>
      </c>
      <c r="M429">
        <v>636</v>
      </c>
      <c r="N429">
        <v>1227</v>
      </c>
      <c r="O429">
        <v>136006091.8918919</v>
      </c>
      <c r="P429">
        <v>131507423.42342342</v>
      </c>
      <c r="Q429">
        <v>949</v>
      </c>
      <c r="R429">
        <v>766</v>
      </c>
      <c r="S429">
        <v>498237360.36036038</v>
      </c>
      <c r="T429">
        <v>497771337.83783782</v>
      </c>
      <c r="U429">
        <v>127984007.2072072</v>
      </c>
      <c r="V429">
        <v>137071711.7117117</v>
      </c>
      <c r="W429">
        <v>32534</v>
      </c>
      <c r="X429">
        <v>35957</v>
      </c>
    </row>
    <row r="430" spans="1:24">
      <c r="A430" s="7" t="s">
        <v>526</v>
      </c>
      <c r="B430" s="16" t="s">
        <v>413</v>
      </c>
      <c r="C430">
        <v>207876249.44631347</v>
      </c>
      <c r="D430">
        <v>187520182.0230397</v>
      </c>
      <c r="E430">
        <v>15315.315315316</v>
      </c>
      <c r="F430">
        <v>940765.76576576603</v>
      </c>
      <c r="G430">
        <v>29</v>
      </c>
      <c r="H430">
        <v>34</v>
      </c>
      <c r="I430">
        <v>1</v>
      </c>
      <c r="J430">
        <v>3</v>
      </c>
      <c r="M430">
        <v>32</v>
      </c>
      <c r="N430">
        <v>41</v>
      </c>
      <c r="O430">
        <v>10133153.153153151</v>
      </c>
      <c r="P430">
        <v>11840408.108108109</v>
      </c>
      <c r="Q430">
        <v>21</v>
      </c>
      <c r="R430">
        <v>30</v>
      </c>
      <c r="S430">
        <v>58989225.225225225</v>
      </c>
      <c r="T430">
        <v>59015432.432432435</v>
      </c>
      <c r="U430">
        <v>8725675.6756756753</v>
      </c>
      <c r="V430">
        <v>9294234.2342342343</v>
      </c>
      <c r="W430">
        <v>4605</v>
      </c>
      <c r="X430">
        <v>4525</v>
      </c>
    </row>
    <row r="431" spans="1:24">
      <c r="A431" s="7" t="s">
        <v>661</v>
      </c>
      <c r="B431" s="16" t="s">
        <v>189</v>
      </c>
      <c r="C431">
        <v>3459477.4085750021</v>
      </c>
      <c r="D431">
        <v>470761.26387675799</v>
      </c>
      <c r="G431">
        <v>6</v>
      </c>
      <c r="H431">
        <v>1</v>
      </c>
      <c r="M431">
        <v>6</v>
      </c>
      <c r="N431">
        <v>1</v>
      </c>
      <c r="S431">
        <v>1123423.423423423</v>
      </c>
      <c r="T431">
        <v>314189.189189189</v>
      </c>
      <c r="W431">
        <v>159</v>
      </c>
      <c r="X431">
        <v>105</v>
      </c>
    </row>
    <row r="432" spans="1:24">
      <c r="A432" s="7" t="s">
        <v>527</v>
      </c>
      <c r="B432" s="16" t="s">
        <v>147</v>
      </c>
      <c r="C432">
        <v>411612883.82195199</v>
      </c>
      <c r="D432">
        <v>391831761.72851336</v>
      </c>
      <c r="E432">
        <v>91250423.423423424</v>
      </c>
      <c r="F432">
        <v>294676733.33333331</v>
      </c>
      <c r="G432">
        <v>68</v>
      </c>
      <c r="H432">
        <v>193</v>
      </c>
      <c r="I432">
        <v>6</v>
      </c>
      <c r="J432">
        <v>10</v>
      </c>
      <c r="M432">
        <v>81</v>
      </c>
      <c r="N432">
        <v>421</v>
      </c>
      <c r="O432">
        <v>29178198.198198196</v>
      </c>
      <c r="P432">
        <v>90852474.77477479</v>
      </c>
      <c r="Q432">
        <v>202</v>
      </c>
      <c r="R432">
        <v>381</v>
      </c>
      <c r="S432">
        <v>128175306.3063063</v>
      </c>
      <c r="T432">
        <v>142301385.58558559</v>
      </c>
      <c r="U432">
        <v>31489279.27927928</v>
      </c>
      <c r="V432">
        <v>89571801.801801801</v>
      </c>
      <c r="W432">
        <v>10115</v>
      </c>
      <c r="X432">
        <v>9724</v>
      </c>
    </row>
    <row r="433" spans="1:24">
      <c r="A433" s="7" t="s">
        <v>528</v>
      </c>
      <c r="B433" s="16" t="s">
        <v>121</v>
      </c>
      <c r="C433">
        <v>44223100.660797171</v>
      </c>
      <c r="D433">
        <v>43505023.32033097</v>
      </c>
      <c r="E433">
        <v>150225.22522522599</v>
      </c>
      <c r="F433">
        <v>460360.360360361</v>
      </c>
      <c r="G433">
        <v>25</v>
      </c>
      <c r="H433">
        <v>23</v>
      </c>
      <c r="I433">
        <v>4</v>
      </c>
      <c r="J433">
        <v>3</v>
      </c>
      <c r="M433">
        <v>27</v>
      </c>
      <c r="N433">
        <v>27</v>
      </c>
      <c r="O433">
        <v>2794594.594594595</v>
      </c>
      <c r="P433">
        <v>5320720.7207207214</v>
      </c>
      <c r="Q433">
        <v>13</v>
      </c>
      <c r="R433">
        <v>8</v>
      </c>
      <c r="S433">
        <v>4912657.6576576568</v>
      </c>
      <c r="T433">
        <v>5809968.4684684677</v>
      </c>
      <c r="U433">
        <v>2172792.7927927929</v>
      </c>
      <c r="V433">
        <v>4138918.9189189179</v>
      </c>
      <c r="W433">
        <v>899</v>
      </c>
      <c r="X433">
        <v>1017</v>
      </c>
    </row>
    <row r="434" spans="1:24">
      <c r="A434" s="7" t="s">
        <v>529</v>
      </c>
      <c r="B434" s="16" t="s">
        <v>448</v>
      </c>
      <c r="C434">
        <v>104137899.05619308</v>
      </c>
      <c r="D434">
        <v>78340184.747968912</v>
      </c>
      <c r="E434">
        <v>909189.18918919004</v>
      </c>
      <c r="F434">
        <v>374774.77477477503</v>
      </c>
      <c r="G434">
        <v>44</v>
      </c>
      <c r="H434">
        <v>58</v>
      </c>
      <c r="I434">
        <v>1</v>
      </c>
      <c r="J434">
        <v>0</v>
      </c>
      <c r="M434">
        <v>45</v>
      </c>
      <c r="N434">
        <v>145</v>
      </c>
      <c r="O434">
        <v>7653603.6036036052</v>
      </c>
      <c r="P434">
        <v>4213513.513513512</v>
      </c>
      <c r="Q434">
        <v>59</v>
      </c>
      <c r="S434">
        <v>48317819.819819823</v>
      </c>
      <c r="T434">
        <v>38454975.225225225</v>
      </c>
      <c r="U434">
        <v>7886036.0360360369</v>
      </c>
      <c r="V434">
        <v>4090270.270270268</v>
      </c>
      <c r="W434">
        <v>2216</v>
      </c>
      <c r="X434">
        <v>2166</v>
      </c>
    </row>
    <row r="435" spans="1:24">
      <c r="A435" s="7" t="s">
        <v>530</v>
      </c>
      <c r="B435" s="16" t="s">
        <v>448</v>
      </c>
      <c r="C435">
        <v>186049010.60135108</v>
      </c>
      <c r="D435">
        <v>181773135.00338513</v>
      </c>
      <c r="E435">
        <v>96396.396396395998</v>
      </c>
      <c r="F435">
        <v>1174774.7747747749</v>
      </c>
      <c r="G435">
        <v>182</v>
      </c>
      <c r="H435">
        <v>116</v>
      </c>
      <c r="I435">
        <v>9</v>
      </c>
      <c r="J435">
        <v>8</v>
      </c>
      <c r="M435">
        <v>208</v>
      </c>
      <c r="N435">
        <v>216</v>
      </c>
      <c r="O435">
        <v>22451081.081081081</v>
      </c>
      <c r="P435">
        <v>7815765.7657657657</v>
      </c>
      <c r="Q435">
        <v>131</v>
      </c>
      <c r="R435">
        <v>33</v>
      </c>
      <c r="S435">
        <v>86990135.135135129</v>
      </c>
      <c r="T435">
        <v>86370135.135135129</v>
      </c>
      <c r="U435">
        <v>22718828.828828827</v>
      </c>
      <c r="V435">
        <v>8520720.7207207214</v>
      </c>
      <c r="W435">
        <v>5177</v>
      </c>
      <c r="X435">
        <v>5288</v>
      </c>
    </row>
    <row r="436" spans="1:24">
      <c r="A436" s="7" t="s">
        <v>531</v>
      </c>
      <c r="B436" s="16" t="s">
        <v>123</v>
      </c>
      <c r="C436">
        <v>480363225.24566644</v>
      </c>
      <c r="D436">
        <v>488051798.09383821</v>
      </c>
      <c r="E436">
        <v>155661033.33333334</v>
      </c>
      <c r="F436">
        <v>243108873.87387389</v>
      </c>
      <c r="G436">
        <v>145</v>
      </c>
      <c r="H436">
        <v>265</v>
      </c>
      <c r="I436">
        <v>36</v>
      </c>
      <c r="J436">
        <v>39</v>
      </c>
      <c r="K436">
        <v>6</v>
      </c>
      <c r="M436">
        <v>226</v>
      </c>
      <c r="N436">
        <v>638</v>
      </c>
      <c r="O436">
        <v>130282882.88288288</v>
      </c>
      <c r="P436">
        <v>147033783.78378376</v>
      </c>
      <c r="Q436">
        <v>1044</v>
      </c>
      <c r="R436">
        <v>2782</v>
      </c>
      <c r="S436">
        <v>165175289.1891892</v>
      </c>
      <c r="T436">
        <v>172325471.17117116</v>
      </c>
      <c r="U436">
        <v>133482162.16216215</v>
      </c>
      <c r="V436">
        <v>143958198.1981982</v>
      </c>
      <c r="W436">
        <v>11301</v>
      </c>
      <c r="X436">
        <v>11150</v>
      </c>
    </row>
    <row r="437" spans="1:24">
      <c r="A437" s="7" t="s">
        <v>532</v>
      </c>
      <c r="B437" s="16" t="s">
        <v>85</v>
      </c>
      <c r="C437">
        <v>152509647.50820854</v>
      </c>
      <c r="D437">
        <v>141789384.98337966</v>
      </c>
      <c r="E437">
        <v>3364864.8648648658</v>
      </c>
      <c r="F437">
        <v>333333.333333335</v>
      </c>
      <c r="G437">
        <v>14</v>
      </c>
      <c r="H437">
        <v>35</v>
      </c>
      <c r="I437">
        <v>5</v>
      </c>
      <c r="J437">
        <v>2</v>
      </c>
      <c r="M437">
        <v>14</v>
      </c>
      <c r="N437">
        <v>47</v>
      </c>
      <c r="O437">
        <v>29184684.684684683</v>
      </c>
      <c r="P437">
        <v>14605045.045045044</v>
      </c>
      <c r="Q437">
        <v>27</v>
      </c>
      <c r="R437">
        <v>24</v>
      </c>
      <c r="S437">
        <v>34762747.747747749</v>
      </c>
      <c r="T437">
        <v>30642972.97297297</v>
      </c>
      <c r="U437">
        <v>24268288.288288288</v>
      </c>
      <c r="V437">
        <v>9523423.4234234244</v>
      </c>
      <c r="W437">
        <v>3677</v>
      </c>
      <c r="X437">
        <v>3588</v>
      </c>
    </row>
    <row r="438" spans="1:24">
      <c r="A438" s="7" t="s">
        <v>9</v>
      </c>
      <c r="B438" s="16" t="s">
        <v>158</v>
      </c>
      <c r="C438">
        <v>400418089.14386117</v>
      </c>
      <c r="D438">
        <v>380588415.2435503</v>
      </c>
      <c r="E438">
        <v>7284372.0720720766</v>
      </c>
      <c r="F438">
        <v>10358201.801801808</v>
      </c>
      <c r="G438">
        <v>73</v>
      </c>
      <c r="H438">
        <v>58</v>
      </c>
      <c r="I438">
        <v>19</v>
      </c>
      <c r="J438">
        <v>17</v>
      </c>
      <c r="K438">
        <v>4</v>
      </c>
      <c r="M438">
        <v>85</v>
      </c>
      <c r="N438">
        <v>66</v>
      </c>
      <c r="O438">
        <v>639920239.63963974</v>
      </c>
      <c r="P438">
        <v>493109320.72072071</v>
      </c>
      <c r="Q438">
        <v>315</v>
      </c>
      <c r="R438">
        <v>140</v>
      </c>
      <c r="S438">
        <v>142946972.97297299</v>
      </c>
      <c r="T438">
        <v>137354378.37837839</v>
      </c>
      <c r="U438">
        <v>519319279.27927929</v>
      </c>
      <c r="V438">
        <v>431825855.85585588</v>
      </c>
      <c r="W438">
        <v>7051</v>
      </c>
      <c r="X438">
        <v>7114</v>
      </c>
    </row>
    <row r="439" spans="1:24">
      <c r="A439" s="7" t="s">
        <v>533</v>
      </c>
      <c r="B439" s="16" t="s">
        <v>94</v>
      </c>
      <c r="C439">
        <v>383898070.0674842</v>
      </c>
      <c r="D439">
        <v>367716854.29282469</v>
      </c>
      <c r="E439">
        <v>276576.57657657802</v>
      </c>
      <c r="F439">
        <v>1288288.2882882929</v>
      </c>
      <c r="G439">
        <v>67</v>
      </c>
      <c r="H439">
        <v>78</v>
      </c>
      <c r="I439">
        <v>12</v>
      </c>
      <c r="J439">
        <v>10</v>
      </c>
      <c r="K439">
        <v>1</v>
      </c>
      <c r="M439">
        <v>73</v>
      </c>
      <c r="N439">
        <v>88</v>
      </c>
      <c r="O439">
        <v>31965765.765765768</v>
      </c>
      <c r="P439">
        <v>30792792.792792793</v>
      </c>
      <c r="Q439">
        <v>83</v>
      </c>
      <c r="R439">
        <v>320</v>
      </c>
      <c r="S439">
        <v>43446122.522522517</v>
      </c>
      <c r="T439">
        <v>49959495.495495498</v>
      </c>
      <c r="U439">
        <v>22383963.963963963</v>
      </c>
      <c r="V439">
        <v>20492882.882882878</v>
      </c>
      <c r="W439">
        <v>6397</v>
      </c>
      <c r="X439">
        <v>6381</v>
      </c>
    </row>
    <row r="440" spans="1:24">
      <c r="A440" s="7" t="s">
        <v>534</v>
      </c>
      <c r="B440" s="16" t="s">
        <v>304</v>
      </c>
      <c r="C440">
        <v>9718140.3842103202</v>
      </c>
      <c r="D440">
        <v>9902074.6201777682</v>
      </c>
      <c r="E440">
        <v>73828786.48648648</v>
      </c>
      <c r="F440">
        <v>108389988.2882883</v>
      </c>
      <c r="G440">
        <v>7</v>
      </c>
      <c r="H440">
        <v>4</v>
      </c>
      <c r="M440">
        <v>7</v>
      </c>
      <c r="N440">
        <v>4</v>
      </c>
      <c r="O440">
        <v>31485585.585585583</v>
      </c>
      <c r="S440">
        <v>902837.83783783799</v>
      </c>
      <c r="T440">
        <v>1641756.7567567569</v>
      </c>
      <c r="W440">
        <v>232</v>
      </c>
      <c r="X440">
        <v>412</v>
      </c>
    </row>
    <row r="441" spans="1:24">
      <c r="A441" s="7" t="s">
        <v>535</v>
      </c>
      <c r="B441" s="16" t="s">
        <v>304</v>
      </c>
      <c r="C441">
        <v>157602338.8594225</v>
      </c>
      <c r="D441">
        <v>150956090.02181539</v>
      </c>
      <c r="E441">
        <v>1047747.747747749</v>
      </c>
      <c r="F441">
        <v>675675.67567567597</v>
      </c>
      <c r="G441">
        <v>46</v>
      </c>
      <c r="H441">
        <v>15</v>
      </c>
      <c r="I441">
        <v>6</v>
      </c>
      <c r="J441">
        <v>7</v>
      </c>
      <c r="M441">
        <v>50</v>
      </c>
      <c r="N441">
        <v>22</v>
      </c>
      <c r="O441">
        <v>10651351.351351352</v>
      </c>
      <c r="P441">
        <v>12045045.045045044</v>
      </c>
      <c r="Q441">
        <v>74</v>
      </c>
      <c r="R441">
        <v>4</v>
      </c>
      <c r="S441">
        <v>13865270.270270269</v>
      </c>
      <c r="T441">
        <v>13343693.693693694</v>
      </c>
      <c r="U441">
        <v>5856126.1261261264</v>
      </c>
      <c r="V441">
        <v>4721531.5315315323</v>
      </c>
      <c r="W441">
        <v>2826</v>
      </c>
      <c r="X441">
        <v>2673</v>
      </c>
    </row>
    <row r="442" spans="1:24">
      <c r="A442" s="7" t="s">
        <v>536</v>
      </c>
      <c r="B442" s="16" t="s">
        <v>85</v>
      </c>
      <c r="C442">
        <v>133258821.37894224</v>
      </c>
      <c r="D442">
        <v>131688430.29058591</v>
      </c>
      <c r="E442">
        <v>300900.900900901</v>
      </c>
      <c r="F442">
        <v>710810.81081081298</v>
      </c>
      <c r="G442">
        <v>171</v>
      </c>
      <c r="H442">
        <v>51</v>
      </c>
      <c r="I442">
        <v>6</v>
      </c>
      <c r="J442">
        <v>6</v>
      </c>
      <c r="M442">
        <v>188</v>
      </c>
      <c r="N442">
        <v>61</v>
      </c>
      <c r="O442">
        <v>41913513.513513513</v>
      </c>
      <c r="P442">
        <v>39532342.342342347</v>
      </c>
      <c r="Q442">
        <v>39</v>
      </c>
      <c r="R442">
        <v>40</v>
      </c>
      <c r="S442">
        <v>61182432.432432435</v>
      </c>
      <c r="T442">
        <v>60337198.198198199</v>
      </c>
      <c r="U442">
        <v>38995405.40540541</v>
      </c>
      <c r="V442">
        <v>35912882.882882886</v>
      </c>
      <c r="W442">
        <v>3220</v>
      </c>
      <c r="X442">
        <v>3003</v>
      </c>
    </row>
    <row r="443" spans="1:24">
      <c r="A443" s="7" t="s">
        <v>537</v>
      </c>
      <c r="B443" s="16" t="s">
        <v>448</v>
      </c>
      <c r="C443">
        <v>187645167.14802304</v>
      </c>
      <c r="D443">
        <v>182438175.16911438</v>
      </c>
      <c r="E443">
        <v>163063.063063065</v>
      </c>
      <c r="F443">
        <v>1864864.8648648669</v>
      </c>
      <c r="G443">
        <v>237</v>
      </c>
      <c r="H443">
        <v>184</v>
      </c>
      <c r="I443">
        <v>3</v>
      </c>
      <c r="J443">
        <v>6</v>
      </c>
      <c r="M443">
        <v>246</v>
      </c>
      <c r="N443">
        <v>250</v>
      </c>
      <c r="O443">
        <v>8555855.8558558542</v>
      </c>
      <c r="P443">
        <v>15388918.918918915</v>
      </c>
      <c r="Q443">
        <v>85</v>
      </c>
      <c r="R443">
        <v>16</v>
      </c>
      <c r="S443">
        <v>53817405.40540541</v>
      </c>
      <c r="T443">
        <v>51482502.702702701</v>
      </c>
      <c r="U443">
        <v>8724774.7747747768</v>
      </c>
      <c r="V443">
        <v>15858108.108108109</v>
      </c>
      <c r="W443">
        <v>5200</v>
      </c>
      <c r="X443">
        <v>5080</v>
      </c>
    </row>
    <row r="444" spans="1:24">
      <c r="A444" s="7" t="s">
        <v>538</v>
      </c>
      <c r="B444" s="16" t="s">
        <v>117</v>
      </c>
      <c r="C444">
        <v>424313797.13725281</v>
      </c>
      <c r="D444">
        <v>420398285.33885401</v>
      </c>
      <c r="E444">
        <v>1848693.6936937009</v>
      </c>
      <c r="F444">
        <v>8296396.3963964004</v>
      </c>
      <c r="G444">
        <v>190</v>
      </c>
      <c r="H444">
        <v>121</v>
      </c>
      <c r="I444">
        <v>38</v>
      </c>
      <c r="J444">
        <v>37</v>
      </c>
      <c r="M444">
        <v>243</v>
      </c>
      <c r="N444">
        <v>179</v>
      </c>
      <c r="O444">
        <v>77232110.810810804</v>
      </c>
      <c r="P444">
        <v>87585314.414414421</v>
      </c>
      <c r="Q444">
        <v>250</v>
      </c>
      <c r="R444">
        <v>96</v>
      </c>
      <c r="S444">
        <v>222771981.98198199</v>
      </c>
      <c r="T444">
        <v>240272441.44144145</v>
      </c>
      <c r="U444">
        <v>76251171.171171173</v>
      </c>
      <c r="V444">
        <v>80859369.369369358</v>
      </c>
      <c r="W444">
        <v>10825</v>
      </c>
      <c r="X444">
        <v>11261</v>
      </c>
    </row>
    <row r="445" spans="1:24">
      <c r="A445" s="7" t="s">
        <v>539</v>
      </c>
      <c r="B445" s="16" t="s">
        <v>83</v>
      </c>
      <c r="C445">
        <v>1313206850.5145414</v>
      </c>
      <c r="D445">
        <v>1292235907.0283546</v>
      </c>
      <c r="E445">
        <v>2083558.5585585609</v>
      </c>
      <c r="F445">
        <v>5461338.7387387389</v>
      </c>
      <c r="G445">
        <v>213</v>
      </c>
      <c r="H445">
        <v>275</v>
      </c>
      <c r="I445">
        <v>19</v>
      </c>
      <c r="J445">
        <v>21</v>
      </c>
      <c r="K445">
        <v>1</v>
      </c>
      <c r="M445">
        <v>239</v>
      </c>
      <c r="N445">
        <v>317</v>
      </c>
      <c r="O445">
        <v>70078828.828828827</v>
      </c>
      <c r="P445">
        <v>84279810.810810819</v>
      </c>
      <c r="Q445">
        <v>254</v>
      </c>
      <c r="R445">
        <v>411</v>
      </c>
      <c r="S445">
        <v>132230133.33333333</v>
      </c>
      <c r="T445">
        <v>141225057.2072072</v>
      </c>
      <c r="U445">
        <v>64526529.729729727</v>
      </c>
      <c r="V445">
        <v>73024457.657657668</v>
      </c>
      <c r="W445">
        <v>22209</v>
      </c>
      <c r="X445">
        <v>21511</v>
      </c>
    </row>
    <row r="446" spans="1:24">
      <c r="A446" s="7" t="s">
        <v>540</v>
      </c>
      <c r="B446" s="16" t="s">
        <v>315</v>
      </c>
      <c r="C446">
        <v>155086506.72890946</v>
      </c>
      <c r="D446">
        <v>159614253.57303008</v>
      </c>
      <c r="E446">
        <v>3653243.243243244</v>
      </c>
      <c r="F446">
        <v>2267792.7927927929</v>
      </c>
      <c r="G446">
        <v>20</v>
      </c>
      <c r="H446">
        <v>32</v>
      </c>
      <c r="I446">
        <v>1</v>
      </c>
      <c r="J446">
        <v>1</v>
      </c>
      <c r="M446">
        <v>21</v>
      </c>
      <c r="N446">
        <v>39</v>
      </c>
      <c r="O446">
        <v>14259459.459459459</v>
      </c>
      <c r="P446">
        <v>12856306.306306306</v>
      </c>
      <c r="R446">
        <v>51</v>
      </c>
      <c r="S446">
        <v>27917430.630630631</v>
      </c>
      <c r="T446">
        <v>31208558.558558561</v>
      </c>
      <c r="U446">
        <v>13164187.387387387</v>
      </c>
      <c r="V446">
        <v>10277117.117117116</v>
      </c>
      <c r="W446">
        <v>2597</v>
      </c>
      <c r="X446">
        <v>2404</v>
      </c>
    </row>
    <row r="447" spans="1:24">
      <c r="A447" s="7" t="s">
        <v>541</v>
      </c>
      <c r="B447" s="16" t="s">
        <v>169</v>
      </c>
      <c r="C447">
        <v>1149335175.5821707</v>
      </c>
      <c r="D447">
        <v>1100810713.6894526</v>
      </c>
      <c r="E447">
        <v>1762612.612612613</v>
      </c>
      <c r="F447">
        <v>2762162.1621621661</v>
      </c>
      <c r="G447">
        <v>141</v>
      </c>
      <c r="H447">
        <v>146</v>
      </c>
      <c r="I447">
        <v>7</v>
      </c>
      <c r="J447">
        <v>7</v>
      </c>
      <c r="K447">
        <v>2</v>
      </c>
      <c r="M447">
        <v>175</v>
      </c>
      <c r="N447">
        <v>217</v>
      </c>
      <c r="O447">
        <v>52224475.675675675</v>
      </c>
      <c r="P447">
        <v>62867725.225225225</v>
      </c>
      <c r="Q447">
        <v>280</v>
      </c>
      <c r="R447">
        <v>151</v>
      </c>
      <c r="S447">
        <v>404171765.76576579</v>
      </c>
      <c r="T447">
        <v>408498979.72972971</v>
      </c>
      <c r="U447">
        <v>49106036.036036029</v>
      </c>
      <c r="V447">
        <v>65014144.144144148</v>
      </c>
      <c r="W447">
        <v>21649</v>
      </c>
      <c r="X447">
        <v>21590</v>
      </c>
    </row>
    <row r="448" spans="1:24">
      <c r="A448" s="7" t="s">
        <v>542</v>
      </c>
      <c r="B448" s="16" t="s">
        <v>479</v>
      </c>
      <c r="C448">
        <v>362792271.90517753</v>
      </c>
      <c r="D448">
        <v>341652400.74514133</v>
      </c>
      <c r="E448">
        <v>1036936.936936937</v>
      </c>
      <c r="F448">
        <v>1117117.1171171169</v>
      </c>
      <c r="G448">
        <v>28</v>
      </c>
      <c r="H448">
        <v>33</v>
      </c>
      <c r="I448">
        <v>0</v>
      </c>
      <c r="J448">
        <v>0</v>
      </c>
      <c r="M448">
        <v>35</v>
      </c>
      <c r="N448">
        <v>38</v>
      </c>
      <c r="O448">
        <v>8993693.6936936881</v>
      </c>
      <c r="P448">
        <v>3315315.3153153141</v>
      </c>
      <c r="Q448">
        <v>3</v>
      </c>
      <c r="R448">
        <v>60</v>
      </c>
      <c r="S448">
        <v>45908279.279279277</v>
      </c>
      <c r="T448">
        <v>44562315.315315314</v>
      </c>
      <c r="U448">
        <v>8658108.1081081033</v>
      </c>
      <c r="V448">
        <v>2201981.9819819811</v>
      </c>
      <c r="W448">
        <v>5498</v>
      </c>
      <c r="X448">
        <v>5423</v>
      </c>
    </row>
    <row r="449" spans="1:24">
      <c r="A449" s="7" t="s">
        <v>543</v>
      </c>
      <c r="B449" s="16" t="s">
        <v>80</v>
      </c>
      <c r="C449">
        <v>97884977.520912692</v>
      </c>
      <c r="D449">
        <v>81991690.197448522</v>
      </c>
      <c r="E449">
        <v>168468.46846846899</v>
      </c>
      <c r="F449">
        <v>520270.27027027</v>
      </c>
      <c r="G449">
        <v>29</v>
      </c>
      <c r="H449">
        <v>28</v>
      </c>
      <c r="I449">
        <v>3</v>
      </c>
      <c r="J449">
        <v>4</v>
      </c>
      <c r="M449">
        <v>30</v>
      </c>
      <c r="N449">
        <v>32</v>
      </c>
      <c r="O449">
        <v>9463063.0630630646</v>
      </c>
      <c r="P449">
        <v>26178828.828828827</v>
      </c>
      <c r="Q449">
        <v>12</v>
      </c>
      <c r="R449">
        <v>52</v>
      </c>
      <c r="S449">
        <v>34275171.171171173</v>
      </c>
      <c r="T449">
        <v>30587810.810810812</v>
      </c>
      <c r="U449">
        <v>8517657.6576576587</v>
      </c>
      <c r="V449">
        <v>23703063.063063063</v>
      </c>
      <c r="W449">
        <v>2308</v>
      </c>
      <c r="X449">
        <v>2412</v>
      </c>
    </row>
    <row r="450" spans="1:24">
      <c r="A450" s="7" t="s">
        <v>544</v>
      </c>
      <c r="B450" s="16" t="s">
        <v>169</v>
      </c>
      <c r="C450">
        <v>115025480.88244013</v>
      </c>
      <c r="D450">
        <v>88355230.146659195</v>
      </c>
      <c r="E450">
        <v>135135.135135135</v>
      </c>
      <c r="F450">
        <v>277477.47747747699</v>
      </c>
      <c r="G450">
        <v>30</v>
      </c>
      <c r="H450">
        <v>14</v>
      </c>
      <c r="J450">
        <v>0</v>
      </c>
      <c r="M450">
        <v>30</v>
      </c>
      <c r="N450">
        <v>15</v>
      </c>
      <c r="O450">
        <v>2837837.8378378372</v>
      </c>
      <c r="P450">
        <v>1178378.378378378</v>
      </c>
      <c r="S450">
        <v>45787331.531531535</v>
      </c>
      <c r="T450">
        <v>37332106.306306303</v>
      </c>
      <c r="U450">
        <v>2754234.2342342339</v>
      </c>
      <c r="V450">
        <v>571801.80180180096</v>
      </c>
      <c r="W450">
        <v>2553</v>
      </c>
      <c r="X450">
        <v>2455</v>
      </c>
    </row>
    <row r="451" spans="1:24">
      <c r="A451" s="7" t="s">
        <v>545</v>
      </c>
      <c r="B451" s="16" t="s">
        <v>224</v>
      </c>
      <c r="C451">
        <v>22907.305738734001</v>
      </c>
      <c r="D451">
        <v>8192.2221528959999</v>
      </c>
      <c r="S451">
        <v>10585.585585586001</v>
      </c>
    </row>
    <row r="452" spans="1:24">
      <c r="A452" s="7" t="s">
        <v>546</v>
      </c>
      <c r="B452" s="16" t="s">
        <v>136</v>
      </c>
      <c r="C452">
        <v>224614782.11642817</v>
      </c>
      <c r="D452">
        <v>217060978.03596485</v>
      </c>
      <c r="E452">
        <v>469819.81981982</v>
      </c>
      <c r="F452">
        <v>867567.56756757002</v>
      </c>
      <c r="G452">
        <v>82</v>
      </c>
      <c r="H452">
        <v>75</v>
      </c>
      <c r="I452">
        <v>7</v>
      </c>
      <c r="J452">
        <v>7</v>
      </c>
      <c r="M452">
        <v>87</v>
      </c>
      <c r="N452">
        <v>79</v>
      </c>
      <c r="O452">
        <v>49736036.036036029</v>
      </c>
      <c r="P452">
        <v>46960360.360360362</v>
      </c>
      <c r="Q452">
        <v>56</v>
      </c>
      <c r="R452">
        <v>62</v>
      </c>
      <c r="S452">
        <v>72370531.531531543</v>
      </c>
      <c r="T452">
        <v>71375151.351351351</v>
      </c>
      <c r="U452">
        <v>41466306.306306303</v>
      </c>
      <c r="V452">
        <v>38652972.972972974</v>
      </c>
      <c r="W452">
        <v>4332</v>
      </c>
      <c r="X452">
        <v>4423</v>
      </c>
    </row>
    <row r="453" spans="1:24">
      <c r="A453" s="7" t="s">
        <v>547</v>
      </c>
      <c r="B453" s="16" t="s">
        <v>136</v>
      </c>
      <c r="C453">
        <v>412755043.72935617</v>
      </c>
      <c r="D453">
        <v>414178136.3850233</v>
      </c>
      <c r="E453">
        <v>295321027.92792791</v>
      </c>
      <c r="F453">
        <v>226555379.27927929</v>
      </c>
      <c r="G453">
        <v>232</v>
      </c>
      <c r="H453">
        <v>205</v>
      </c>
      <c r="I453">
        <v>20</v>
      </c>
      <c r="J453">
        <v>19</v>
      </c>
      <c r="M453">
        <v>255</v>
      </c>
      <c r="N453">
        <v>236</v>
      </c>
      <c r="O453">
        <v>99875765.765765756</v>
      </c>
      <c r="P453">
        <v>104660360.36036037</v>
      </c>
      <c r="Q453">
        <v>252</v>
      </c>
      <c r="R453">
        <v>139</v>
      </c>
      <c r="S453">
        <v>130978911.7117117</v>
      </c>
      <c r="T453">
        <v>137310725.22522524</v>
      </c>
      <c r="U453">
        <v>89894097.297297299</v>
      </c>
      <c r="V453">
        <v>87670846.846846849</v>
      </c>
      <c r="W453">
        <v>12768</v>
      </c>
      <c r="X453">
        <v>12580</v>
      </c>
    </row>
    <row r="454" spans="1:24">
      <c r="A454" s="7" t="s">
        <v>548</v>
      </c>
      <c r="B454" s="16" t="s">
        <v>136</v>
      </c>
      <c r="C454">
        <v>470707559.23004973</v>
      </c>
      <c r="D454">
        <v>460528580.8802439</v>
      </c>
      <c r="E454">
        <v>1457657.6576576571</v>
      </c>
      <c r="F454">
        <v>3596396.3963963971</v>
      </c>
      <c r="G454">
        <v>142</v>
      </c>
      <c r="H454">
        <v>67</v>
      </c>
      <c r="I454">
        <v>6</v>
      </c>
      <c r="J454">
        <v>3</v>
      </c>
      <c r="M454">
        <v>154</v>
      </c>
      <c r="N454">
        <v>77</v>
      </c>
      <c r="O454">
        <v>20016666.666666668</v>
      </c>
      <c r="P454">
        <v>18551351.351351351</v>
      </c>
      <c r="Q454">
        <v>73</v>
      </c>
      <c r="R454">
        <v>28</v>
      </c>
      <c r="S454">
        <v>72738099.0990991</v>
      </c>
      <c r="T454">
        <v>74946556.756756753</v>
      </c>
      <c r="U454">
        <v>18431711.711711712</v>
      </c>
      <c r="V454">
        <v>17358288.288288288</v>
      </c>
      <c r="W454">
        <v>8191</v>
      </c>
      <c r="X454">
        <v>8742</v>
      </c>
    </row>
    <row r="455" spans="1:24">
      <c r="A455" s="7" t="s">
        <v>549</v>
      </c>
      <c r="B455" s="16" t="s">
        <v>136</v>
      </c>
      <c r="C455">
        <v>223174321.40977386</v>
      </c>
      <c r="D455">
        <v>191518769.84749296</v>
      </c>
      <c r="E455">
        <v>349549.54954954999</v>
      </c>
      <c r="F455">
        <v>550450.450450451</v>
      </c>
      <c r="G455">
        <v>53</v>
      </c>
      <c r="H455">
        <v>33</v>
      </c>
      <c r="I455">
        <v>6</v>
      </c>
      <c r="J455">
        <v>2</v>
      </c>
      <c r="M455">
        <v>60</v>
      </c>
      <c r="N455">
        <v>37</v>
      </c>
      <c r="O455">
        <v>17602342.342342343</v>
      </c>
      <c r="P455">
        <v>15316216.216216214</v>
      </c>
      <c r="Q455">
        <v>3</v>
      </c>
      <c r="R455">
        <v>15</v>
      </c>
      <c r="S455">
        <v>38500043.243243247</v>
      </c>
      <c r="T455">
        <v>32268891.891891893</v>
      </c>
      <c r="U455">
        <v>15536259.459459459</v>
      </c>
      <c r="V455">
        <v>12537837.837837838</v>
      </c>
      <c r="W455">
        <v>3801</v>
      </c>
      <c r="X455">
        <v>3671</v>
      </c>
    </row>
    <row r="456" spans="1:24">
      <c r="A456" s="7" t="s">
        <v>550</v>
      </c>
      <c r="B456" s="16" t="s">
        <v>87</v>
      </c>
      <c r="C456">
        <v>90549415.745215923</v>
      </c>
      <c r="D456">
        <v>77912929.565490007</v>
      </c>
      <c r="E456">
        <v>911711.71171171195</v>
      </c>
      <c r="F456">
        <v>133333.33333333299</v>
      </c>
      <c r="G456">
        <v>61</v>
      </c>
      <c r="H456">
        <v>31</v>
      </c>
      <c r="I456">
        <v>2</v>
      </c>
      <c r="J456">
        <v>2</v>
      </c>
      <c r="M456">
        <v>64</v>
      </c>
      <c r="N456">
        <v>38</v>
      </c>
      <c r="O456">
        <v>5618918.9189189188</v>
      </c>
      <c r="P456">
        <v>4616216.2162162159</v>
      </c>
      <c r="Q456">
        <v>9</v>
      </c>
      <c r="R456">
        <v>21</v>
      </c>
      <c r="S456">
        <v>15899214.414414413</v>
      </c>
      <c r="T456">
        <v>12305504.504504504</v>
      </c>
      <c r="U456">
        <v>5034144.1441441439</v>
      </c>
      <c r="V456">
        <v>4971261.2612612611</v>
      </c>
      <c r="W456">
        <v>1449</v>
      </c>
      <c r="X456">
        <v>1418</v>
      </c>
    </row>
    <row r="457" spans="1:24">
      <c r="A457" s="7" t="s">
        <v>551</v>
      </c>
      <c r="B457" s="16" t="s">
        <v>87</v>
      </c>
      <c r="C457">
        <v>131429974.29570046</v>
      </c>
      <c r="D457">
        <v>120033744.65982306</v>
      </c>
      <c r="E457">
        <v>50450.450450450997</v>
      </c>
      <c r="F457">
        <v>459459.45945945999</v>
      </c>
      <c r="G457">
        <v>128</v>
      </c>
      <c r="H457">
        <v>73</v>
      </c>
      <c r="I457">
        <v>4</v>
      </c>
      <c r="J457">
        <v>3</v>
      </c>
      <c r="K457">
        <v>1</v>
      </c>
      <c r="M457">
        <v>144</v>
      </c>
      <c r="N457">
        <v>85</v>
      </c>
      <c r="O457">
        <v>14708108.108108109</v>
      </c>
      <c r="P457">
        <v>11149549.54954955</v>
      </c>
      <c r="Q457">
        <v>6</v>
      </c>
      <c r="R457">
        <v>13</v>
      </c>
      <c r="S457">
        <v>18956216.216216218</v>
      </c>
      <c r="T457">
        <v>18459493.693693694</v>
      </c>
      <c r="U457">
        <v>9561531.5315315314</v>
      </c>
      <c r="V457">
        <v>7506846.8468468459</v>
      </c>
      <c r="W457">
        <v>2724</v>
      </c>
      <c r="X457">
        <v>2463</v>
      </c>
    </row>
    <row r="458" spans="1:24">
      <c r="A458" s="7" t="s">
        <v>552</v>
      </c>
      <c r="B458" s="16" t="s">
        <v>66</v>
      </c>
      <c r="C458">
        <v>242479387.61186051</v>
      </c>
      <c r="D458">
        <v>237600734.44851673</v>
      </c>
      <c r="E458">
        <v>1901531.5315315339</v>
      </c>
      <c r="F458">
        <v>7277477.4774774779</v>
      </c>
      <c r="G458">
        <v>185</v>
      </c>
      <c r="H458">
        <v>142</v>
      </c>
      <c r="I458">
        <v>10</v>
      </c>
      <c r="J458">
        <v>7</v>
      </c>
      <c r="M458">
        <v>204</v>
      </c>
      <c r="N458">
        <v>172</v>
      </c>
      <c r="O458">
        <v>47904594.59459459</v>
      </c>
      <c r="P458">
        <v>195120270.27027026</v>
      </c>
      <c r="Q458">
        <v>514</v>
      </c>
      <c r="R458">
        <v>219</v>
      </c>
      <c r="S458">
        <v>102666819.81981982</v>
      </c>
      <c r="T458">
        <v>100585389.63963965</v>
      </c>
      <c r="U458">
        <v>47509639.639639638</v>
      </c>
      <c r="V458">
        <v>136432162.16216215</v>
      </c>
      <c r="W458">
        <v>8836</v>
      </c>
      <c r="X458">
        <v>8923</v>
      </c>
    </row>
    <row r="459" spans="1:24">
      <c r="A459" s="7" t="s">
        <v>35</v>
      </c>
      <c r="B459" s="16" t="s">
        <v>158</v>
      </c>
      <c r="E459">
        <v>776951771.17117119</v>
      </c>
      <c r="F459">
        <v>628682119.81981981</v>
      </c>
      <c r="O459">
        <v>38624689.189189196</v>
      </c>
      <c r="P459">
        <v>43513513.513513513</v>
      </c>
    </row>
    <row r="460" spans="1:24">
      <c r="A460" s="7" t="s">
        <v>553</v>
      </c>
      <c r="B460" s="16" t="s">
        <v>554</v>
      </c>
      <c r="C460">
        <v>512393028.24430895</v>
      </c>
      <c r="D460">
        <v>473945913.82649678</v>
      </c>
      <c r="E460">
        <v>26627052.252252251</v>
      </c>
      <c r="F460">
        <v>168948348.64864865</v>
      </c>
      <c r="G460">
        <v>251</v>
      </c>
      <c r="H460">
        <v>89</v>
      </c>
      <c r="I460">
        <v>16</v>
      </c>
      <c r="J460">
        <v>15</v>
      </c>
      <c r="K460">
        <v>1</v>
      </c>
      <c r="M460">
        <v>349</v>
      </c>
      <c r="N460">
        <v>118</v>
      </c>
      <c r="O460">
        <v>46585405.40540541</v>
      </c>
      <c r="P460">
        <v>147716216.21621624</v>
      </c>
      <c r="Q460">
        <v>125</v>
      </c>
      <c r="R460">
        <v>315</v>
      </c>
      <c r="S460">
        <v>136711873.87387386</v>
      </c>
      <c r="T460">
        <v>129737909.9099099</v>
      </c>
      <c r="U460">
        <v>39552162.162162162</v>
      </c>
      <c r="V460">
        <v>139977567.56756756</v>
      </c>
      <c r="W460">
        <v>9306</v>
      </c>
      <c r="X460">
        <v>9185</v>
      </c>
    </row>
    <row r="461" spans="1:24">
      <c r="A461" s="7" t="s">
        <v>555</v>
      </c>
      <c r="B461" s="16" t="s">
        <v>554</v>
      </c>
      <c r="C461">
        <v>82008529.229891658</v>
      </c>
      <c r="D461">
        <v>73423225.85214217</v>
      </c>
      <c r="E461">
        <v>9719819.8198198192</v>
      </c>
      <c r="F461">
        <v>5770270.2702702712</v>
      </c>
      <c r="G461">
        <v>48</v>
      </c>
      <c r="H461">
        <v>27</v>
      </c>
      <c r="I461">
        <v>3</v>
      </c>
      <c r="J461">
        <v>3</v>
      </c>
      <c r="M461">
        <v>49</v>
      </c>
      <c r="N461">
        <v>29</v>
      </c>
      <c r="O461">
        <v>9417837.8378378376</v>
      </c>
      <c r="P461">
        <v>11211711.711711712</v>
      </c>
      <c r="Q461">
        <v>20</v>
      </c>
      <c r="R461">
        <v>21</v>
      </c>
      <c r="S461">
        <v>29983378.378378376</v>
      </c>
      <c r="T461">
        <v>26649405.405405402</v>
      </c>
      <c r="U461">
        <v>7640090.0900900913</v>
      </c>
      <c r="V461">
        <v>10724594.594594596</v>
      </c>
      <c r="W461">
        <v>1663</v>
      </c>
      <c r="X461">
        <v>1529</v>
      </c>
    </row>
    <row r="462" spans="1:24">
      <c r="A462" s="7" t="s">
        <v>556</v>
      </c>
      <c r="B462" s="16" t="s">
        <v>121</v>
      </c>
      <c r="C462">
        <v>57422707.931891777</v>
      </c>
      <c r="D462">
        <v>54180761.168737039</v>
      </c>
      <c r="E462">
        <v>180180.18018018</v>
      </c>
      <c r="F462">
        <v>180180.18018018</v>
      </c>
      <c r="G462">
        <v>48</v>
      </c>
      <c r="H462">
        <v>27</v>
      </c>
      <c r="I462">
        <v>1</v>
      </c>
      <c r="M462">
        <v>52</v>
      </c>
      <c r="N462">
        <v>33</v>
      </c>
      <c r="O462">
        <v>270270.27027027</v>
      </c>
      <c r="P462">
        <v>180180.18018018</v>
      </c>
      <c r="Q462">
        <v>10</v>
      </c>
      <c r="S462">
        <v>5583738.738738738</v>
      </c>
      <c r="T462">
        <v>5104720.7207207214</v>
      </c>
      <c r="U462">
        <v>350270.27027027</v>
      </c>
      <c r="V462">
        <v>118918.91891891899</v>
      </c>
      <c r="W462">
        <v>1516</v>
      </c>
      <c r="X462">
        <v>1337</v>
      </c>
    </row>
    <row r="463" spans="1:24">
      <c r="A463" s="7" t="s">
        <v>557</v>
      </c>
      <c r="B463" s="16" t="s">
        <v>70</v>
      </c>
      <c r="C463">
        <v>439732565.09364909</v>
      </c>
      <c r="D463">
        <v>436097029.36226094</v>
      </c>
      <c r="E463">
        <v>2333738.7387387371</v>
      </c>
      <c r="F463">
        <v>4314414.4144144207</v>
      </c>
      <c r="G463">
        <v>119</v>
      </c>
      <c r="H463">
        <v>96</v>
      </c>
      <c r="I463">
        <v>8</v>
      </c>
      <c r="J463">
        <v>22</v>
      </c>
      <c r="M463">
        <v>130</v>
      </c>
      <c r="N463">
        <v>115</v>
      </c>
      <c r="O463">
        <v>50761441.441441447</v>
      </c>
      <c r="P463">
        <v>59001801.801801801</v>
      </c>
      <c r="Q463">
        <v>23</v>
      </c>
      <c r="R463">
        <v>275</v>
      </c>
      <c r="S463">
        <v>180945522.52252254</v>
      </c>
      <c r="T463">
        <v>184229405.4054054</v>
      </c>
      <c r="U463">
        <v>55245225.225225225</v>
      </c>
      <c r="V463">
        <v>53532882.882882878</v>
      </c>
      <c r="W463">
        <v>10362</v>
      </c>
      <c r="X463">
        <v>10236</v>
      </c>
    </row>
    <row r="464" spans="1:24">
      <c r="A464" s="7" t="s">
        <v>558</v>
      </c>
      <c r="B464" s="16" t="s">
        <v>62</v>
      </c>
      <c r="C464">
        <v>791986670.25481582</v>
      </c>
      <c r="D464">
        <v>788525852.51548719</v>
      </c>
      <c r="E464">
        <v>5223423.4234234309</v>
      </c>
      <c r="F464">
        <v>13427027.027027031</v>
      </c>
      <c r="G464">
        <v>265</v>
      </c>
      <c r="H464">
        <v>302</v>
      </c>
      <c r="I464">
        <v>30</v>
      </c>
      <c r="J464">
        <v>19</v>
      </c>
      <c r="K464">
        <v>8</v>
      </c>
      <c r="M464">
        <v>344</v>
      </c>
      <c r="N464">
        <v>511</v>
      </c>
      <c r="O464">
        <v>61364594.59459459</v>
      </c>
      <c r="P464">
        <v>124646666.66666666</v>
      </c>
      <c r="Q464">
        <v>201</v>
      </c>
      <c r="R464">
        <v>300</v>
      </c>
      <c r="S464">
        <v>183850610.8108108</v>
      </c>
      <c r="T464">
        <v>182331112.61261261</v>
      </c>
      <c r="U464">
        <v>58818648.648648642</v>
      </c>
      <c r="V464">
        <v>116702702.7027027</v>
      </c>
      <c r="W464">
        <v>18116</v>
      </c>
      <c r="X464">
        <v>18011</v>
      </c>
    </row>
    <row r="465" spans="1:24">
      <c r="A465" s="7" t="s">
        <v>559</v>
      </c>
      <c r="B465" s="16" t="s">
        <v>479</v>
      </c>
      <c r="C465">
        <v>420865772.57248563</v>
      </c>
      <c r="D465">
        <v>368508867.34275001</v>
      </c>
      <c r="E465">
        <v>919819.81981982</v>
      </c>
      <c r="F465">
        <v>3677477.4774774811</v>
      </c>
      <c r="G465">
        <v>203</v>
      </c>
      <c r="H465">
        <v>144</v>
      </c>
      <c r="I465">
        <v>17</v>
      </c>
      <c r="J465">
        <v>23</v>
      </c>
      <c r="K465">
        <v>2</v>
      </c>
      <c r="M465">
        <v>214</v>
      </c>
      <c r="N465">
        <v>167</v>
      </c>
      <c r="O465">
        <v>41218198.198198199</v>
      </c>
      <c r="P465">
        <v>60909909.909909911</v>
      </c>
      <c r="Q465">
        <v>20</v>
      </c>
      <c r="R465">
        <v>11</v>
      </c>
      <c r="S465">
        <v>120552403.6036036</v>
      </c>
      <c r="T465">
        <v>113242178.37837839</v>
      </c>
      <c r="U465">
        <v>41623063.063063063</v>
      </c>
      <c r="V465">
        <v>47636756.75675676</v>
      </c>
      <c r="W465">
        <v>7962</v>
      </c>
      <c r="X465">
        <v>7757</v>
      </c>
    </row>
    <row r="466" spans="1:24">
      <c r="A466" s="7" t="s">
        <v>560</v>
      </c>
      <c r="B466" s="16" t="s">
        <v>236</v>
      </c>
      <c r="C466">
        <v>64821092.103492163</v>
      </c>
      <c r="D466">
        <v>64667380.630544521</v>
      </c>
      <c r="E466">
        <v>38738.738738740001</v>
      </c>
      <c r="F466">
        <v>1221621.621621622</v>
      </c>
      <c r="G466">
        <v>27</v>
      </c>
      <c r="H466">
        <v>21</v>
      </c>
      <c r="I466">
        <v>3</v>
      </c>
      <c r="J466">
        <v>2</v>
      </c>
      <c r="M466">
        <v>31</v>
      </c>
      <c r="N466">
        <v>29</v>
      </c>
      <c r="O466">
        <v>5028828.8288288303</v>
      </c>
      <c r="P466">
        <v>4152882.8828828819</v>
      </c>
      <c r="Q466">
        <v>3</v>
      </c>
      <c r="R466">
        <v>2</v>
      </c>
      <c r="S466">
        <v>24905045.045045048</v>
      </c>
      <c r="T466">
        <v>24260108.108108107</v>
      </c>
      <c r="U466">
        <v>5671981.9819819815</v>
      </c>
      <c r="V466">
        <v>3903243.2432432431</v>
      </c>
      <c r="W466">
        <v>2226</v>
      </c>
      <c r="X466">
        <v>2031</v>
      </c>
    </row>
    <row r="467" spans="1:24">
      <c r="A467" s="7" t="s">
        <v>561</v>
      </c>
      <c r="B467" s="16" t="s">
        <v>60</v>
      </c>
      <c r="C467">
        <v>61280965.740551211</v>
      </c>
      <c r="D467">
        <v>60773671.984937087</v>
      </c>
      <c r="E467">
        <v>763513.513513515</v>
      </c>
      <c r="F467">
        <v>2042342.342342342</v>
      </c>
      <c r="G467">
        <v>21</v>
      </c>
      <c r="H467">
        <v>21</v>
      </c>
      <c r="I467">
        <v>2</v>
      </c>
      <c r="J467">
        <v>7</v>
      </c>
      <c r="M467">
        <v>22</v>
      </c>
      <c r="N467">
        <v>38</v>
      </c>
      <c r="O467">
        <v>12322072.072072072</v>
      </c>
      <c r="P467">
        <v>18077477.47747748</v>
      </c>
      <c r="Q467">
        <v>47</v>
      </c>
      <c r="R467">
        <v>88</v>
      </c>
      <c r="S467">
        <v>21020945.945945945</v>
      </c>
      <c r="T467">
        <v>21438837.837837841</v>
      </c>
      <c r="U467">
        <v>12260720.72072072</v>
      </c>
      <c r="V467">
        <v>15923243.243243244</v>
      </c>
      <c r="W467">
        <v>1201</v>
      </c>
      <c r="X467">
        <v>1284</v>
      </c>
    </row>
    <row r="468" spans="1:24">
      <c r="A468" s="7" t="s">
        <v>562</v>
      </c>
      <c r="B468" s="16" t="s">
        <v>563</v>
      </c>
      <c r="C468">
        <v>341045678.41808188</v>
      </c>
      <c r="D468">
        <v>341723747.62135071</v>
      </c>
      <c r="E468">
        <v>170675060.36036035</v>
      </c>
      <c r="F468">
        <v>745731156.75675678</v>
      </c>
      <c r="G468">
        <v>320</v>
      </c>
      <c r="H468">
        <v>423</v>
      </c>
      <c r="I468">
        <v>21</v>
      </c>
      <c r="J468">
        <v>26</v>
      </c>
      <c r="K468">
        <v>1</v>
      </c>
      <c r="M468">
        <v>546</v>
      </c>
      <c r="N468">
        <v>973</v>
      </c>
      <c r="O468">
        <v>165146000</v>
      </c>
      <c r="P468">
        <v>675162809.009009</v>
      </c>
      <c r="Q468">
        <v>357</v>
      </c>
      <c r="R468">
        <v>116</v>
      </c>
      <c r="S468">
        <v>137718873.87387386</v>
      </c>
      <c r="T468">
        <v>146393279.27927926</v>
      </c>
      <c r="U468">
        <v>181971763.96396396</v>
      </c>
      <c r="V468">
        <v>496500055.85585588</v>
      </c>
      <c r="W468">
        <v>8581</v>
      </c>
      <c r="X468">
        <v>8975</v>
      </c>
    </row>
    <row r="469" spans="1:24">
      <c r="A469" s="7" t="s">
        <v>564</v>
      </c>
      <c r="B469" s="16" t="s">
        <v>563</v>
      </c>
      <c r="C469">
        <v>469202731.37067449</v>
      </c>
      <c r="D469">
        <v>462945939.61592257</v>
      </c>
      <c r="E469">
        <v>37849009.009009019</v>
      </c>
      <c r="F469">
        <v>55105045.045045048</v>
      </c>
      <c r="G469">
        <v>161</v>
      </c>
      <c r="H469">
        <v>151</v>
      </c>
      <c r="I469">
        <v>27</v>
      </c>
      <c r="J469">
        <v>20</v>
      </c>
      <c r="M469">
        <v>205</v>
      </c>
      <c r="N469">
        <v>161</v>
      </c>
      <c r="O469">
        <v>54623063.063063063</v>
      </c>
      <c r="P469">
        <v>63296713.513513513</v>
      </c>
      <c r="Q469">
        <v>441</v>
      </c>
      <c r="R469">
        <v>234</v>
      </c>
      <c r="S469">
        <v>190774909.90990993</v>
      </c>
      <c r="T469">
        <v>191567936.93693691</v>
      </c>
      <c r="U469">
        <v>56237297.297297299</v>
      </c>
      <c r="V469">
        <v>50397927.927927926</v>
      </c>
      <c r="W469">
        <v>11942</v>
      </c>
      <c r="X469">
        <v>12419</v>
      </c>
    </row>
    <row r="470" spans="1:24">
      <c r="A470" s="7" t="s">
        <v>565</v>
      </c>
      <c r="B470" s="16" t="s">
        <v>563</v>
      </c>
      <c r="C470">
        <v>342922270.42479616</v>
      </c>
      <c r="D470">
        <v>334694647.76914412</v>
      </c>
      <c r="E470">
        <v>2290394.594594596</v>
      </c>
      <c r="F470">
        <v>5253115.3153153202</v>
      </c>
      <c r="G470">
        <v>124</v>
      </c>
      <c r="H470">
        <v>302</v>
      </c>
      <c r="I470">
        <v>23</v>
      </c>
      <c r="J470">
        <v>21</v>
      </c>
      <c r="K470">
        <v>1</v>
      </c>
      <c r="M470">
        <v>317</v>
      </c>
      <c r="N470">
        <v>381</v>
      </c>
      <c r="O470">
        <v>230232702.7027027</v>
      </c>
      <c r="P470">
        <v>38238784.684684679</v>
      </c>
      <c r="Q470">
        <v>291</v>
      </c>
      <c r="R470">
        <v>386</v>
      </c>
      <c r="S470">
        <v>148786432.43243241</v>
      </c>
      <c r="T470">
        <v>149040558.55855855</v>
      </c>
      <c r="U470">
        <v>232131171.17117116</v>
      </c>
      <c r="V470">
        <v>34480720.720720723</v>
      </c>
      <c r="W470">
        <v>12147</v>
      </c>
      <c r="X470">
        <v>11423</v>
      </c>
    </row>
    <row r="471" spans="1:24">
      <c r="A471" s="7" t="s">
        <v>566</v>
      </c>
      <c r="B471" s="16" t="s">
        <v>563</v>
      </c>
      <c r="C471">
        <v>217473368.25645941</v>
      </c>
      <c r="D471">
        <v>220797700.66244236</v>
      </c>
      <c r="E471">
        <v>359459.45945946098</v>
      </c>
      <c r="F471">
        <v>2337837.8378378381</v>
      </c>
      <c r="G471">
        <v>38</v>
      </c>
      <c r="H471">
        <v>23</v>
      </c>
      <c r="I471">
        <v>15</v>
      </c>
      <c r="J471">
        <v>15</v>
      </c>
      <c r="M471">
        <v>45</v>
      </c>
      <c r="N471">
        <v>32</v>
      </c>
      <c r="O471">
        <v>34584867.567567565</v>
      </c>
      <c r="P471">
        <v>36517718.918918923</v>
      </c>
      <c r="Q471">
        <v>87</v>
      </c>
      <c r="R471">
        <v>173</v>
      </c>
      <c r="S471">
        <v>124195936.93693694</v>
      </c>
      <c r="T471">
        <v>131239243.24324325</v>
      </c>
      <c r="U471">
        <v>34831711.711711712</v>
      </c>
      <c r="V471">
        <v>35226036.036036029</v>
      </c>
      <c r="W471">
        <v>6502</v>
      </c>
      <c r="X471">
        <v>7253</v>
      </c>
    </row>
    <row r="472" spans="1:24">
      <c r="A472" s="7" t="s">
        <v>567</v>
      </c>
      <c r="B472" s="16" t="s">
        <v>563</v>
      </c>
      <c r="C472">
        <v>130421169.25253923</v>
      </c>
      <c r="D472">
        <v>129713255.73554379</v>
      </c>
      <c r="E472">
        <v>481531.53153153101</v>
      </c>
      <c r="F472">
        <v>2682882.8828828819</v>
      </c>
      <c r="G472">
        <v>48</v>
      </c>
      <c r="H472">
        <v>39</v>
      </c>
      <c r="I472">
        <v>17</v>
      </c>
      <c r="J472">
        <v>18</v>
      </c>
      <c r="K472">
        <v>4</v>
      </c>
      <c r="M472">
        <v>51</v>
      </c>
      <c r="N472">
        <v>47</v>
      </c>
      <c r="O472">
        <v>31918693.693693697</v>
      </c>
      <c r="P472">
        <v>24752064.864864863</v>
      </c>
      <c r="Q472">
        <v>350</v>
      </c>
      <c r="R472">
        <v>109</v>
      </c>
      <c r="S472">
        <v>52473333.333333336</v>
      </c>
      <c r="T472">
        <v>52619223.423423424</v>
      </c>
      <c r="U472">
        <v>34191576.576576576</v>
      </c>
      <c r="V472">
        <v>24603108.108108107</v>
      </c>
      <c r="W472">
        <v>4762</v>
      </c>
      <c r="X472">
        <v>4714</v>
      </c>
    </row>
    <row r="473" spans="1:24">
      <c r="A473" s="7" t="s">
        <v>568</v>
      </c>
      <c r="B473" s="16" t="s">
        <v>48</v>
      </c>
      <c r="C473">
        <v>304990062.53297317</v>
      </c>
      <c r="D473">
        <v>287113383.40865624</v>
      </c>
      <c r="E473">
        <v>120714763.96396397</v>
      </c>
      <c r="F473">
        <v>169929440.54054055</v>
      </c>
      <c r="G473">
        <v>12</v>
      </c>
      <c r="H473">
        <v>13</v>
      </c>
      <c r="I473">
        <v>2</v>
      </c>
      <c r="J473">
        <v>6</v>
      </c>
      <c r="M473">
        <v>17</v>
      </c>
      <c r="N473">
        <v>58</v>
      </c>
      <c r="O473">
        <v>22447297.297297299</v>
      </c>
      <c r="P473">
        <v>25813384.684684683</v>
      </c>
      <c r="R473">
        <v>32</v>
      </c>
      <c r="S473">
        <v>35427241.441441439</v>
      </c>
      <c r="T473">
        <v>36021291.891891889</v>
      </c>
      <c r="U473">
        <v>16659639.63963964</v>
      </c>
      <c r="V473">
        <v>12797207.207207208</v>
      </c>
      <c r="W473">
        <v>6279</v>
      </c>
      <c r="X473">
        <v>5939</v>
      </c>
    </row>
    <row r="474" spans="1:24">
      <c r="A474" s="7" t="s">
        <v>569</v>
      </c>
      <c r="B474" s="16" t="s">
        <v>169</v>
      </c>
      <c r="C474">
        <v>4358350002.127286</v>
      </c>
      <c r="D474">
        <v>4359829705.5833864</v>
      </c>
      <c r="E474">
        <v>3524766463.0630631</v>
      </c>
      <c r="F474">
        <v>3332233134.2342343</v>
      </c>
      <c r="G474">
        <v>1008</v>
      </c>
      <c r="H474">
        <v>1506</v>
      </c>
      <c r="I474">
        <v>78</v>
      </c>
      <c r="J474">
        <v>68</v>
      </c>
      <c r="K474">
        <v>8</v>
      </c>
      <c r="M474">
        <v>1299</v>
      </c>
      <c r="N474">
        <v>2146</v>
      </c>
      <c r="O474">
        <v>1406968835.1351352</v>
      </c>
      <c r="P474">
        <v>561392801.8018018</v>
      </c>
      <c r="Q474">
        <v>1492</v>
      </c>
      <c r="R474">
        <v>1313</v>
      </c>
      <c r="S474">
        <v>2625137149.5495496</v>
      </c>
      <c r="T474">
        <v>2843371590.0900898</v>
      </c>
      <c r="U474">
        <v>689655538.73873866</v>
      </c>
      <c r="V474">
        <v>535314590.990991</v>
      </c>
      <c r="W474">
        <v>56829</v>
      </c>
      <c r="X474">
        <v>53883</v>
      </c>
    </row>
    <row r="475" spans="1:24">
      <c r="A475" s="7" t="s">
        <v>570</v>
      </c>
      <c r="B475" s="16" t="s">
        <v>220</v>
      </c>
      <c r="C475">
        <v>284917485.43253976</v>
      </c>
      <c r="D475">
        <v>260150615.70315725</v>
      </c>
      <c r="E475">
        <v>690090.09009009204</v>
      </c>
      <c r="F475">
        <v>1456756.7567567581</v>
      </c>
      <c r="G475">
        <v>32</v>
      </c>
      <c r="H475">
        <v>26</v>
      </c>
      <c r="I475">
        <v>5</v>
      </c>
      <c r="J475">
        <v>4</v>
      </c>
      <c r="M475">
        <v>35</v>
      </c>
      <c r="N475">
        <v>28</v>
      </c>
      <c r="O475">
        <v>10930180.180180183</v>
      </c>
      <c r="P475">
        <v>11830360.36036036</v>
      </c>
      <c r="Q475">
        <v>150</v>
      </c>
      <c r="S475">
        <v>45657432.432432435</v>
      </c>
      <c r="T475">
        <v>43440126.126126125</v>
      </c>
      <c r="U475">
        <v>11655135.135135135</v>
      </c>
      <c r="V475">
        <v>10875225.225225223</v>
      </c>
      <c r="W475">
        <v>5151</v>
      </c>
      <c r="X475">
        <v>4140</v>
      </c>
    </row>
    <row r="476" spans="1:24">
      <c r="A476" s="7" t="s">
        <v>571</v>
      </c>
      <c r="B476" s="16" t="s">
        <v>85</v>
      </c>
      <c r="C476">
        <v>317958074.74354517</v>
      </c>
      <c r="D476">
        <v>314262213.1665858</v>
      </c>
      <c r="E476">
        <v>809009.00900900899</v>
      </c>
      <c r="F476">
        <v>265765.76576576801</v>
      </c>
      <c r="G476">
        <v>25</v>
      </c>
      <c r="H476">
        <v>37</v>
      </c>
      <c r="I476">
        <v>2</v>
      </c>
      <c r="J476">
        <v>3</v>
      </c>
      <c r="M476">
        <v>26</v>
      </c>
      <c r="N476">
        <v>41</v>
      </c>
      <c r="O476">
        <v>7169369.3693693699</v>
      </c>
      <c r="P476">
        <v>23988366.666666672</v>
      </c>
      <c r="Q476">
        <v>172</v>
      </c>
      <c r="R476">
        <v>3</v>
      </c>
      <c r="S476">
        <v>71581879.279279277</v>
      </c>
      <c r="T476">
        <v>71922772.972972974</v>
      </c>
      <c r="U476">
        <v>8572792.7927927915</v>
      </c>
      <c r="V476">
        <v>17715675.675675679</v>
      </c>
      <c r="W476">
        <v>5001</v>
      </c>
      <c r="X476">
        <v>6558</v>
      </c>
    </row>
    <row r="477" spans="1:24">
      <c r="A477" s="7" t="s">
        <v>572</v>
      </c>
      <c r="B477" s="16" t="s">
        <v>479</v>
      </c>
      <c r="C477">
        <v>156786313.02931562</v>
      </c>
      <c r="D477">
        <v>167816662.84575647</v>
      </c>
      <c r="E477">
        <v>43077702.702702701</v>
      </c>
      <c r="F477">
        <v>43078378.378378376</v>
      </c>
      <c r="G477">
        <v>76</v>
      </c>
      <c r="H477">
        <v>110</v>
      </c>
      <c r="I477">
        <v>7</v>
      </c>
      <c r="J477">
        <v>7</v>
      </c>
      <c r="M477">
        <v>158</v>
      </c>
      <c r="N477">
        <v>156</v>
      </c>
      <c r="O477">
        <v>32602117.117117122</v>
      </c>
      <c r="P477">
        <v>33678378.378378376</v>
      </c>
      <c r="Q477">
        <v>11</v>
      </c>
      <c r="R477">
        <v>48</v>
      </c>
      <c r="S477">
        <v>56720135.135135137</v>
      </c>
      <c r="T477">
        <v>69493165.765765771</v>
      </c>
      <c r="U477">
        <v>27741981.981981982</v>
      </c>
      <c r="V477">
        <v>27400450.450450446</v>
      </c>
      <c r="W477">
        <v>5268</v>
      </c>
      <c r="X477">
        <v>5222</v>
      </c>
    </row>
    <row r="478" spans="1:24">
      <c r="A478" s="7" t="s">
        <v>573</v>
      </c>
      <c r="B478" s="16" t="s">
        <v>94</v>
      </c>
      <c r="C478">
        <v>446147825.98672885</v>
      </c>
      <c r="D478">
        <v>430772521.19969767</v>
      </c>
      <c r="E478">
        <v>1809909.909909911</v>
      </c>
      <c r="F478">
        <v>2561261.2612612629</v>
      </c>
      <c r="G478">
        <v>127</v>
      </c>
      <c r="H478">
        <v>83</v>
      </c>
      <c r="I478">
        <v>11</v>
      </c>
      <c r="J478">
        <v>10</v>
      </c>
      <c r="M478">
        <v>146</v>
      </c>
      <c r="N478">
        <v>117</v>
      </c>
      <c r="O478">
        <v>486545045.04504508</v>
      </c>
      <c r="P478">
        <v>848350450.45045042</v>
      </c>
      <c r="Q478">
        <v>97</v>
      </c>
      <c r="R478">
        <v>207</v>
      </c>
      <c r="S478">
        <v>99717013.51351352</v>
      </c>
      <c r="T478">
        <v>94636288.738738731</v>
      </c>
      <c r="U478">
        <v>31788828.828828827</v>
      </c>
      <c r="V478">
        <v>35108738.738738738</v>
      </c>
      <c r="W478">
        <v>9947</v>
      </c>
      <c r="X478">
        <v>9452</v>
      </c>
    </row>
    <row r="479" spans="1:24">
      <c r="A479" s="7" t="s">
        <v>574</v>
      </c>
      <c r="B479" s="16" t="s">
        <v>307</v>
      </c>
      <c r="C479">
        <v>1000093475.0798807</v>
      </c>
      <c r="D479">
        <v>997134040.45026791</v>
      </c>
      <c r="E479">
        <v>13149189.189189192</v>
      </c>
      <c r="F479">
        <v>18097027.027027037</v>
      </c>
      <c r="G479">
        <v>335</v>
      </c>
      <c r="H479">
        <v>431</v>
      </c>
      <c r="I479">
        <v>16</v>
      </c>
      <c r="J479">
        <v>22</v>
      </c>
      <c r="M479">
        <v>382</v>
      </c>
      <c r="N479">
        <v>551</v>
      </c>
      <c r="O479">
        <v>819231981.98198199</v>
      </c>
      <c r="P479">
        <v>1284023288.2882884</v>
      </c>
      <c r="Q479">
        <v>1474</v>
      </c>
      <c r="R479">
        <v>1749</v>
      </c>
      <c r="S479">
        <v>395068144.14414412</v>
      </c>
      <c r="T479">
        <v>402465084.23423421</v>
      </c>
      <c r="U479">
        <v>90899594.594594598</v>
      </c>
      <c r="V479">
        <v>208774279.27927926</v>
      </c>
      <c r="W479">
        <v>32510</v>
      </c>
      <c r="X479">
        <v>33022</v>
      </c>
    </row>
    <row r="480" spans="1:24">
      <c r="A480" s="7" t="s">
        <v>10</v>
      </c>
      <c r="B480" s="16" t="s">
        <v>193</v>
      </c>
      <c r="C480">
        <v>169004699.8603639</v>
      </c>
      <c r="D480">
        <v>159623604.01642072</v>
      </c>
      <c r="E480">
        <v>195260435.13513514</v>
      </c>
      <c r="F480">
        <v>305655597.2972973</v>
      </c>
      <c r="G480">
        <v>11</v>
      </c>
      <c r="H480">
        <v>23</v>
      </c>
      <c r="J480">
        <v>0</v>
      </c>
      <c r="M480">
        <v>11</v>
      </c>
      <c r="N480">
        <v>24</v>
      </c>
      <c r="S480">
        <v>97161171.171171173</v>
      </c>
      <c r="T480">
        <v>95201863.06306307</v>
      </c>
      <c r="V480">
        <v>19639.639639640001</v>
      </c>
      <c r="W480">
        <v>3901</v>
      </c>
      <c r="X480">
        <v>4258</v>
      </c>
    </row>
    <row r="481" spans="1:24">
      <c r="A481" s="7" t="s">
        <v>575</v>
      </c>
      <c r="B481" s="16" t="s">
        <v>87</v>
      </c>
      <c r="C481">
        <v>3892531.396210311</v>
      </c>
      <c r="D481">
        <v>3516584.7044572639</v>
      </c>
      <c r="G481">
        <v>4</v>
      </c>
      <c r="H481">
        <v>18</v>
      </c>
      <c r="M481">
        <v>4</v>
      </c>
      <c r="N481">
        <v>19</v>
      </c>
      <c r="S481">
        <v>1158783.7837837839</v>
      </c>
      <c r="T481">
        <v>1198484.684684685</v>
      </c>
      <c r="W481">
        <v>245</v>
      </c>
      <c r="X481">
        <v>236</v>
      </c>
    </row>
    <row r="482" spans="1:24">
      <c r="A482" s="7" t="s">
        <v>576</v>
      </c>
      <c r="B482" s="16" t="s">
        <v>283</v>
      </c>
      <c r="C482">
        <v>237483730.86580074</v>
      </c>
      <c r="D482">
        <v>216796818.04480174</v>
      </c>
      <c r="E482">
        <v>35135.135135135002</v>
      </c>
      <c r="F482">
        <v>336936.93693693698</v>
      </c>
      <c r="G482">
        <v>56</v>
      </c>
      <c r="H482">
        <v>30</v>
      </c>
      <c r="I482">
        <v>2</v>
      </c>
      <c r="J482">
        <v>0</v>
      </c>
      <c r="M482">
        <v>58</v>
      </c>
      <c r="N482">
        <v>30</v>
      </c>
      <c r="O482">
        <v>11476576.576576576</v>
      </c>
      <c r="P482">
        <v>18859459.459459461</v>
      </c>
      <c r="R482">
        <v>8</v>
      </c>
      <c r="S482">
        <v>32575720.72072072</v>
      </c>
      <c r="T482">
        <v>34484522.522522517</v>
      </c>
      <c r="U482">
        <v>8677567.5675675664</v>
      </c>
      <c r="V482">
        <v>17938648.648648649</v>
      </c>
      <c r="W482">
        <v>3659</v>
      </c>
      <c r="X482">
        <v>3425</v>
      </c>
    </row>
    <row r="483" spans="1:24">
      <c r="A483" s="7" t="s">
        <v>577</v>
      </c>
      <c r="B483" s="16" t="s">
        <v>307</v>
      </c>
      <c r="C483">
        <v>994617248.61653233</v>
      </c>
      <c r="D483">
        <v>946980090.9191947</v>
      </c>
      <c r="E483">
        <v>2425495.4954954968</v>
      </c>
      <c r="F483">
        <v>8813963.9639639687</v>
      </c>
      <c r="G483">
        <v>492</v>
      </c>
      <c r="H483">
        <v>441</v>
      </c>
      <c r="I483">
        <v>31</v>
      </c>
      <c r="J483">
        <v>31</v>
      </c>
      <c r="M483">
        <v>583</v>
      </c>
      <c r="N483">
        <v>524</v>
      </c>
      <c r="O483">
        <v>92747882.882882878</v>
      </c>
      <c r="P483">
        <v>129830675.67567568</v>
      </c>
      <c r="Q483">
        <v>1193</v>
      </c>
      <c r="R483">
        <v>1049</v>
      </c>
      <c r="S483">
        <v>383577342.34234232</v>
      </c>
      <c r="T483">
        <v>400891810.8108108</v>
      </c>
      <c r="U483">
        <v>88938288.288288295</v>
      </c>
      <c r="V483">
        <v>104871216.21621621</v>
      </c>
      <c r="W483">
        <v>39509</v>
      </c>
      <c r="X483">
        <v>38258</v>
      </c>
    </row>
    <row r="484" spans="1:24">
      <c r="A484" s="7" t="s">
        <v>578</v>
      </c>
      <c r="B484" s="16" t="s">
        <v>330</v>
      </c>
      <c r="C484">
        <v>940802791.00648415</v>
      </c>
      <c r="D484">
        <v>884767182.2108314</v>
      </c>
      <c r="E484">
        <v>2540090.0900900951</v>
      </c>
      <c r="F484">
        <v>8388738.7387387417</v>
      </c>
      <c r="G484">
        <v>333</v>
      </c>
      <c r="H484">
        <v>345</v>
      </c>
      <c r="I484">
        <v>32</v>
      </c>
      <c r="J484">
        <v>34</v>
      </c>
      <c r="K484">
        <v>7</v>
      </c>
      <c r="M484">
        <v>426</v>
      </c>
      <c r="N484">
        <v>525</v>
      </c>
      <c r="O484">
        <v>163973333.33333334</v>
      </c>
      <c r="P484">
        <v>157890990.99099097</v>
      </c>
      <c r="Q484">
        <v>752</v>
      </c>
      <c r="R484">
        <v>232</v>
      </c>
      <c r="S484">
        <v>187334414.41441441</v>
      </c>
      <c r="T484">
        <v>193222936.93693691</v>
      </c>
      <c r="U484">
        <v>162550000</v>
      </c>
      <c r="V484">
        <v>143968378.37837839</v>
      </c>
      <c r="W484">
        <v>27787</v>
      </c>
      <c r="X484">
        <v>29163</v>
      </c>
    </row>
    <row r="485" spans="1:24">
      <c r="A485" s="7" t="s">
        <v>579</v>
      </c>
      <c r="B485" s="16" t="s">
        <v>66</v>
      </c>
      <c r="C485">
        <v>144411935.83032778</v>
      </c>
      <c r="D485">
        <v>136923499.55271155</v>
      </c>
      <c r="E485">
        <v>144594.59459459499</v>
      </c>
      <c r="F485">
        <v>373423.42342342401</v>
      </c>
      <c r="G485">
        <v>29</v>
      </c>
      <c r="H485">
        <v>23</v>
      </c>
      <c r="I485">
        <v>1</v>
      </c>
      <c r="J485">
        <v>1</v>
      </c>
      <c r="M485">
        <v>36</v>
      </c>
      <c r="N485">
        <v>25</v>
      </c>
      <c r="O485">
        <v>2033333.3333333349</v>
      </c>
      <c r="P485">
        <v>3787387.3873873879</v>
      </c>
      <c r="Q485">
        <v>24</v>
      </c>
      <c r="R485">
        <v>15</v>
      </c>
      <c r="S485">
        <v>35716486.486486487</v>
      </c>
      <c r="T485">
        <v>36947698.198198199</v>
      </c>
      <c r="U485">
        <v>2389819.819819822</v>
      </c>
      <c r="V485">
        <v>3370900.9009008999</v>
      </c>
      <c r="W485">
        <v>3370</v>
      </c>
      <c r="X485">
        <v>3335</v>
      </c>
    </row>
    <row r="486" spans="1:24">
      <c r="A486" s="7" t="s">
        <v>580</v>
      </c>
      <c r="B486" s="16" t="s">
        <v>236</v>
      </c>
      <c r="C486">
        <v>8.5826135210000007</v>
      </c>
      <c r="D486">
        <v>12011.332970474001</v>
      </c>
    </row>
    <row r="487" spans="1:24">
      <c r="A487" s="7" t="s">
        <v>581</v>
      </c>
      <c r="B487" s="16" t="s">
        <v>62</v>
      </c>
      <c r="C487">
        <v>359162163.59260905</v>
      </c>
      <c r="D487">
        <v>351228782.93757558</v>
      </c>
      <c r="E487">
        <v>1813963.9639639689</v>
      </c>
      <c r="F487">
        <v>3557657.657657668</v>
      </c>
      <c r="G487">
        <v>130</v>
      </c>
      <c r="H487">
        <v>230</v>
      </c>
      <c r="I487">
        <v>18</v>
      </c>
      <c r="J487">
        <v>21</v>
      </c>
      <c r="M487">
        <v>136</v>
      </c>
      <c r="N487">
        <v>251</v>
      </c>
      <c r="O487">
        <v>31702252.252252247</v>
      </c>
      <c r="P487">
        <v>33602342.342342347</v>
      </c>
      <c r="Q487">
        <v>72</v>
      </c>
      <c r="R487">
        <v>179</v>
      </c>
      <c r="S487">
        <v>79717693.693693697</v>
      </c>
      <c r="T487">
        <v>81495837.837837845</v>
      </c>
      <c r="U487">
        <v>29347837.837837841</v>
      </c>
      <c r="V487">
        <v>32894774.774774771</v>
      </c>
      <c r="W487">
        <v>6749</v>
      </c>
      <c r="X487">
        <v>6680</v>
      </c>
    </row>
    <row r="488" spans="1:24">
      <c r="A488" s="7" t="s">
        <v>582</v>
      </c>
      <c r="B488" s="16" t="s">
        <v>48</v>
      </c>
      <c r="C488">
        <v>359348024.9658612</v>
      </c>
      <c r="D488">
        <v>321854304.42703336</v>
      </c>
      <c r="E488">
        <v>2575765.7657657652</v>
      </c>
      <c r="F488">
        <v>1550045.0450450459</v>
      </c>
      <c r="G488">
        <v>99</v>
      </c>
      <c r="H488">
        <v>45</v>
      </c>
      <c r="I488">
        <v>3</v>
      </c>
      <c r="J488">
        <v>4</v>
      </c>
      <c r="M488">
        <v>103</v>
      </c>
      <c r="N488">
        <v>58</v>
      </c>
      <c r="O488">
        <v>62304594.594594598</v>
      </c>
      <c r="P488">
        <v>111236846.84684685</v>
      </c>
      <c r="S488">
        <v>51734009.009009011</v>
      </c>
      <c r="T488">
        <v>48067382.882882878</v>
      </c>
      <c r="U488">
        <v>39540720.720720723</v>
      </c>
      <c r="V488">
        <v>105842702.7027027</v>
      </c>
      <c r="W488">
        <v>5756</v>
      </c>
      <c r="X488">
        <v>5088</v>
      </c>
    </row>
    <row r="489" spans="1:24">
      <c r="A489" s="7" t="s">
        <v>583</v>
      </c>
      <c r="B489" s="16" t="s">
        <v>54</v>
      </c>
      <c r="C489">
        <v>64335840.957867242</v>
      </c>
      <c r="D489">
        <v>62896422.479819939</v>
      </c>
      <c r="E489">
        <v>903828.82882883004</v>
      </c>
      <c r="F489">
        <v>674774.77477477805</v>
      </c>
      <c r="G489">
        <v>13</v>
      </c>
      <c r="H489">
        <v>22</v>
      </c>
      <c r="I489">
        <v>6</v>
      </c>
      <c r="J489">
        <v>9</v>
      </c>
      <c r="M489">
        <v>19</v>
      </c>
      <c r="N489">
        <v>62</v>
      </c>
      <c r="O489">
        <v>10877477.477477476</v>
      </c>
      <c r="P489">
        <v>10032972.972972972</v>
      </c>
      <c r="Q489">
        <v>75</v>
      </c>
      <c r="R489">
        <v>59</v>
      </c>
      <c r="S489">
        <v>16074279.27927928</v>
      </c>
      <c r="T489">
        <v>16524930.180180181</v>
      </c>
      <c r="U489">
        <v>10359279.279279277</v>
      </c>
      <c r="V489">
        <v>8787027.0270270258</v>
      </c>
      <c r="W489">
        <v>2044</v>
      </c>
      <c r="X489">
        <v>2070</v>
      </c>
    </row>
    <row r="490" spans="1:24">
      <c r="A490" s="7" t="s">
        <v>584</v>
      </c>
      <c r="B490" s="16" t="s">
        <v>70</v>
      </c>
      <c r="C490">
        <v>166646885.16307279</v>
      </c>
      <c r="D490">
        <v>162803808.9080739</v>
      </c>
      <c r="E490">
        <v>1000000</v>
      </c>
      <c r="F490">
        <v>104504.50450450501</v>
      </c>
      <c r="G490">
        <v>28</v>
      </c>
      <c r="H490">
        <v>40</v>
      </c>
      <c r="J490">
        <v>1</v>
      </c>
      <c r="K490">
        <v>1</v>
      </c>
      <c r="M490">
        <v>31</v>
      </c>
      <c r="N490">
        <v>45</v>
      </c>
      <c r="O490">
        <v>1892792.7927927929</v>
      </c>
      <c r="P490">
        <v>1592792.792792795</v>
      </c>
      <c r="Q490">
        <v>4</v>
      </c>
      <c r="R490">
        <v>8</v>
      </c>
      <c r="S490">
        <v>72810990.990990996</v>
      </c>
      <c r="T490">
        <v>74448702.702702701</v>
      </c>
      <c r="U490">
        <v>1882432.4324324329</v>
      </c>
      <c r="V490">
        <v>1812612.6126126139</v>
      </c>
      <c r="W490">
        <v>3662</v>
      </c>
      <c r="X490">
        <v>3610</v>
      </c>
    </row>
    <row r="491" spans="1:24">
      <c r="A491" s="7" t="s">
        <v>585</v>
      </c>
      <c r="B491" s="16" t="s">
        <v>330</v>
      </c>
      <c r="C491">
        <v>649792354.44172394</v>
      </c>
      <c r="D491">
        <v>611895819.25681412</v>
      </c>
      <c r="E491">
        <v>2756981.9819819811</v>
      </c>
      <c r="F491">
        <v>6214414.4144144142</v>
      </c>
      <c r="G491">
        <v>257</v>
      </c>
      <c r="H491">
        <v>256</v>
      </c>
      <c r="I491">
        <v>22</v>
      </c>
      <c r="J491">
        <v>18</v>
      </c>
      <c r="K491">
        <v>1</v>
      </c>
      <c r="M491">
        <v>311</v>
      </c>
      <c r="N491">
        <v>322</v>
      </c>
      <c r="O491">
        <v>39961081.081081085</v>
      </c>
      <c r="P491">
        <v>65940180.180180177</v>
      </c>
      <c r="Q491">
        <v>369</v>
      </c>
      <c r="R491">
        <v>193</v>
      </c>
      <c r="S491">
        <v>155512241.44144145</v>
      </c>
      <c r="T491">
        <v>167075805.4054054</v>
      </c>
      <c r="U491">
        <v>37113603.603603601</v>
      </c>
      <c r="V491">
        <v>60549909.909909904</v>
      </c>
      <c r="W491">
        <v>20713</v>
      </c>
      <c r="X491">
        <v>20077</v>
      </c>
    </row>
    <row r="492" spans="1:24">
      <c r="A492" s="7" t="s">
        <v>586</v>
      </c>
      <c r="B492" s="16" t="s">
        <v>66</v>
      </c>
      <c r="C492">
        <v>282524979.56430864</v>
      </c>
      <c r="D492">
        <v>289908049.57918704</v>
      </c>
      <c r="E492">
        <v>151382755.85585588</v>
      </c>
      <c r="F492">
        <v>711820260.36036026</v>
      </c>
      <c r="G492">
        <v>139</v>
      </c>
      <c r="H492">
        <v>170</v>
      </c>
      <c r="I492">
        <v>11</v>
      </c>
      <c r="J492">
        <v>9</v>
      </c>
      <c r="M492">
        <v>357</v>
      </c>
      <c r="N492">
        <v>295</v>
      </c>
      <c r="O492">
        <v>33884954.954954952</v>
      </c>
      <c r="P492">
        <v>76732567.567567572</v>
      </c>
      <c r="Q492">
        <v>386</v>
      </c>
      <c r="R492">
        <v>48</v>
      </c>
      <c r="S492">
        <v>147402495.4954955</v>
      </c>
      <c r="T492">
        <v>142674837.83783785</v>
      </c>
      <c r="U492">
        <v>32592792.792792793</v>
      </c>
      <c r="V492">
        <v>58276981.981981985</v>
      </c>
      <c r="W492">
        <v>10501</v>
      </c>
      <c r="X492">
        <v>10652</v>
      </c>
    </row>
    <row r="493" spans="1:24">
      <c r="A493" s="7" t="s">
        <v>11</v>
      </c>
      <c r="B493" s="16" t="s">
        <v>193</v>
      </c>
      <c r="C493">
        <v>133222835.65473494</v>
      </c>
      <c r="D493">
        <v>138313588.03010055</v>
      </c>
      <c r="E493">
        <v>55793018.018018015</v>
      </c>
      <c r="F493">
        <v>22743243.243243247</v>
      </c>
      <c r="G493">
        <v>45</v>
      </c>
      <c r="H493">
        <v>33</v>
      </c>
      <c r="I493">
        <v>6</v>
      </c>
      <c r="J493">
        <v>0</v>
      </c>
      <c r="M493">
        <v>50</v>
      </c>
      <c r="N493">
        <v>39</v>
      </c>
      <c r="O493">
        <v>6764414.4144144142</v>
      </c>
      <c r="P493">
        <v>3158108.1081081098</v>
      </c>
      <c r="Q493">
        <v>44</v>
      </c>
      <c r="S493">
        <v>44291171.171171166</v>
      </c>
      <c r="T493">
        <v>46601353.603603601</v>
      </c>
      <c r="U493">
        <v>4355765.7657657629</v>
      </c>
      <c r="V493">
        <v>3110090.0900900909</v>
      </c>
      <c r="W493">
        <v>3905</v>
      </c>
      <c r="X493">
        <v>4024</v>
      </c>
    </row>
    <row r="494" spans="1:24">
      <c r="A494" s="7" t="s">
        <v>12</v>
      </c>
      <c r="B494" s="16" t="s">
        <v>193</v>
      </c>
      <c r="C494">
        <v>93039638.734006941</v>
      </c>
      <c r="D494">
        <v>91048250.349996626</v>
      </c>
      <c r="E494">
        <v>66666.666666664998</v>
      </c>
      <c r="F494">
        <v>3771171.1711711721</v>
      </c>
      <c r="G494">
        <v>27</v>
      </c>
      <c r="H494">
        <v>14</v>
      </c>
      <c r="I494">
        <v>8</v>
      </c>
      <c r="J494">
        <v>4</v>
      </c>
      <c r="M494">
        <v>32</v>
      </c>
      <c r="N494">
        <v>14</v>
      </c>
      <c r="O494">
        <v>7716666.6666666651</v>
      </c>
      <c r="P494">
        <v>7374774.7747747749</v>
      </c>
      <c r="Q494">
        <v>70</v>
      </c>
      <c r="S494">
        <v>36432648.648648649</v>
      </c>
      <c r="T494">
        <v>36502405.40540541</v>
      </c>
      <c r="U494">
        <v>5385945.9459459437</v>
      </c>
      <c r="V494">
        <v>9979369.3693693671</v>
      </c>
      <c r="W494">
        <v>2804</v>
      </c>
      <c r="X494">
        <v>2951</v>
      </c>
    </row>
    <row r="495" spans="1:24">
      <c r="A495" s="7" t="s">
        <v>587</v>
      </c>
      <c r="B495" s="16" t="s">
        <v>60</v>
      </c>
      <c r="C495">
        <v>71774588.887636289</v>
      </c>
      <c r="D495">
        <v>74398240.761679262</v>
      </c>
      <c r="E495">
        <v>208108.10810811</v>
      </c>
      <c r="F495">
        <v>538738.738738738</v>
      </c>
      <c r="G495">
        <v>33</v>
      </c>
      <c r="H495">
        <v>23</v>
      </c>
      <c r="I495">
        <v>5</v>
      </c>
      <c r="J495">
        <v>8</v>
      </c>
      <c r="M495">
        <v>44</v>
      </c>
      <c r="N495">
        <v>49</v>
      </c>
      <c r="O495">
        <v>11451351.351351351</v>
      </c>
      <c r="P495">
        <v>12763963.963963967</v>
      </c>
      <c r="Q495">
        <v>76</v>
      </c>
      <c r="R495">
        <v>66</v>
      </c>
      <c r="S495">
        <v>27736981.981981985</v>
      </c>
      <c r="T495">
        <v>27845984.234234232</v>
      </c>
      <c r="U495">
        <v>11406846.846846849</v>
      </c>
      <c r="V495">
        <v>11427657.657657657</v>
      </c>
      <c r="W495">
        <v>1802</v>
      </c>
      <c r="X495">
        <v>2467</v>
      </c>
    </row>
    <row r="496" spans="1:24">
      <c r="A496" s="7" t="s">
        <v>588</v>
      </c>
      <c r="B496" s="16" t="s">
        <v>307</v>
      </c>
      <c r="C496">
        <v>2150922293.6161218</v>
      </c>
      <c r="D496">
        <v>2078755553.1839781</v>
      </c>
      <c r="E496">
        <v>1500112592.7927928</v>
      </c>
      <c r="F496">
        <v>1728415710.8108108</v>
      </c>
      <c r="G496">
        <v>889</v>
      </c>
      <c r="H496">
        <v>1099</v>
      </c>
      <c r="I496">
        <v>79</v>
      </c>
      <c r="J496">
        <v>75</v>
      </c>
      <c r="K496">
        <v>1</v>
      </c>
      <c r="M496">
        <v>1059</v>
      </c>
      <c r="N496">
        <v>1365</v>
      </c>
      <c r="O496">
        <v>218206891.89189187</v>
      </c>
      <c r="P496">
        <v>519780405.40540546</v>
      </c>
      <c r="Q496">
        <v>2070</v>
      </c>
      <c r="R496">
        <v>2691</v>
      </c>
      <c r="S496">
        <v>656394405.4054054</v>
      </c>
      <c r="T496">
        <v>663794689.1891892</v>
      </c>
      <c r="U496">
        <v>213614594.5945946</v>
      </c>
      <c r="V496">
        <v>393011846.84684682</v>
      </c>
      <c r="W496">
        <v>65201</v>
      </c>
      <c r="X496">
        <v>63717</v>
      </c>
    </row>
    <row r="497" spans="1:24">
      <c r="A497" s="7" t="s">
        <v>589</v>
      </c>
      <c r="B497" s="16" t="s">
        <v>52</v>
      </c>
      <c r="C497">
        <v>514504887.07036453</v>
      </c>
      <c r="D497">
        <v>494699376.1153658</v>
      </c>
      <c r="E497">
        <v>14525495.495495498</v>
      </c>
      <c r="F497">
        <v>8669442.3423423469</v>
      </c>
      <c r="G497">
        <v>87</v>
      </c>
      <c r="H497">
        <v>116</v>
      </c>
      <c r="I497">
        <v>12</v>
      </c>
      <c r="J497">
        <v>21</v>
      </c>
      <c r="M497">
        <v>141</v>
      </c>
      <c r="N497">
        <v>244</v>
      </c>
      <c r="O497">
        <v>60615675.675675675</v>
      </c>
      <c r="P497">
        <v>143126252.25225225</v>
      </c>
      <c r="Q497">
        <v>575</v>
      </c>
      <c r="R497">
        <v>1834</v>
      </c>
      <c r="S497">
        <v>204004463.96396396</v>
      </c>
      <c r="T497">
        <v>199835108.1081081</v>
      </c>
      <c r="U497">
        <v>55811711.711711705</v>
      </c>
      <c r="V497">
        <v>153726081.08108109</v>
      </c>
      <c r="W497">
        <v>14577</v>
      </c>
      <c r="X497">
        <v>14455</v>
      </c>
    </row>
    <row r="498" spans="1:24">
      <c r="A498" s="7" t="s">
        <v>590</v>
      </c>
      <c r="B498" s="16" t="s">
        <v>54</v>
      </c>
      <c r="C498">
        <v>41407394.168426327</v>
      </c>
      <c r="D498">
        <v>42548840.556802906</v>
      </c>
      <c r="E498">
        <v>643918.91891891905</v>
      </c>
      <c r="F498">
        <v>721621.62162162201</v>
      </c>
      <c r="G498">
        <v>11</v>
      </c>
      <c r="H498">
        <v>16</v>
      </c>
      <c r="I498">
        <v>2</v>
      </c>
      <c r="J498">
        <v>3</v>
      </c>
      <c r="M498">
        <v>11</v>
      </c>
      <c r="N498">
        <v>20</v>
      </c>
      <c r="O498">
        <v>10302702.702702705</v>
      </c>
      <c r="P498">
        <v>9685135.1351351365</v>
      </c>
      <c r="Q498">
        <v>21</v>
      </c>
      <c r="R498">
        <v>16</v>
      </c>
      <c r="S498">
        <v>13861117.117117116</v>
      </c>
      <c r="T498">
        <v>12872000</v>
      </c>
      <c r="U498">
        <v>7157477.4774774779</v>
      </c>
      <c r="V498">
        <v>6999639.6396396412</v>
      </c>
      <c r="W498">
        <v>1547</v>
      </c>
      <c r="X498">
        <v>1600</v>
      </c>
    </row>
    <row r="499" spans="1:24">
      <c r="A499" s="7" t="s">
        <v>591</v>
      </c>
      <c r="B499" s="16" t="s">
        <v>169</v>
      </c>
      <c r="C499">
        <v>1250327543.5757442</v>
      </c>
      <c r="D499">
        <v>1212680520.3002653</v>
      </c>
      <c r="E499">
        <v>7830810.8108108137</v>
      </c>
      <c r="F499">
        <v>7761036.0360360388</v>
      </c>
      <c r="G499">
        <v>156</v>
      </c>
      <c r="H499">
        <v>103</v>
      </c>
      <c r="I499">
        <v>21</v>
      </c>
      <c r="J499">
        <v>13</v>
      </c>
      <c r="K499">
        <v>1</v>
      </c>
      <c r="M499">
        <v>179</v>
      </c>
      <c r="N499">
        <v>138</v>
      </c>
      <c r="O499">
        <v>172431566.66666669</v>
      </c>
      <c r="P499">
        <v>256224682.88288289</v>
      </c>
      <c r="Q499">
        <v>168</v>
      </c>
      <c r="R499">
        <v>253</v>
      </c>
      <c r="S499">
        <v>419100313.51351357</v>
      </c>
      <c r="T499">
        <v>410027518.01801807</v>
      </c>
      <c r="U499">
        <v>146489639.63963965</v>
      </c>
      <c r="V499">
        <v>223369729.72972974</v>
      </c>
      <c r="W499">
        <v>24238</v>
      </c>
      <c r="X499">
        <v>23750</v>
      </c>
    </row>
    <row r="500" spans="1:24">
      <c r="A500" s="7" t="s">
        <v>592</v>
      </c>
      <c r="B500" s="16" t="s">
        <v>87</v>
      </c>
      <c r="C500">
        <v>6900700.2792562153</v>
      </c>
      <c r="D500">
        <v>6108976.2611445598</v>
      </c>
      <c r="H500">
        <v>2</v>
      </c>
      <c r="N500">
        <v>2</v>
      </c>
      <c r="S500">
        <v>1703594.5945945941</v>
      </c>
      <c r="T500">
        <v>1499414.4144144149</v>
      </c>
      <c r="W500">
        <v>346</v>
      </c>
      <c r="X500">
        <v>571</v>
      </c>
    </row>
    <row r="501" spans="1:24">
      <c r="A501" s="7" t="s">
        <v>593</v>
      </c>
      <c r="B501" s="16" t="s">
        <v>143</v>
      </c>
      <c r="C501">
        <v>86543356.499807552</v>
      </c>
      <c r="D501">
        <v>86004803.582800716</v>
      </c>
      <c r="E501">
        <v>29729.729729731</v>
      </c>
      <c r="F501">
        <v>248648.64864865001</v>
      </c>
      <c r="G501">
        <v>17</v>
      </c>
      <c r="H501">
        <v>27</v>
      </c>
      <c r="I501">
        <v>4</v>
      </c>
      <c r="J501">
        <v>3</v>
      </c>
      <c r="M501">
        <v>19</v>
      </c>
      <c r="N501">
        <v>28</v>
      </c>
      <c r="O501">
        <v>3885585.5855855839</v>
      </c>
      <c r="P501">
        <v>9401801.8018018045</v>
      </c>
      <c r="Q501">
        <v>50</v>
      </c>
      <c r="R501">
        <v>19</v>
      </c>
      <c r="S501">
        <v>7912252.2522522509</v>
      </c>
      <c r="T501">
        <v>9239405.4054054059</v>
      </c>
      <c r="U501">
        <v>4007837.8378378381</v>
      </c>
      <c r="V501">
        <v>4785765.7657657657</v>
      </c>
      <c r="W501">
        <v>1606</v>
      </c>
      <c r="X501">
        <v>1538</v>
      </c>
    </row>
    <row r="502" spans="1:24">
      <c r="A502" s="7" t="s">
        <v>594</v>
      </c>
      <c r="B502" s="16" t="s">
        <v>290</v>
      </c>
      <c r="C502">
        <v>23666987.004019272</v>
      </c>
      <c r="D502">
        <v>22728233.165408242</v>
      </c>
      <c r="E502">
        <v>900.900900901</v>
      </c>
      <c r="G502">
        <v>2</v>
      </c>
      <c r="H502">
        <v>1</v>
      </c>
      <c r="I502">
        <v>0</v>
      </c>
      <c r="M502">
        <v>3</v>
      </c>
      <c r="N502">
        <v>1</v>
      </c>
      <c r="O502">
        <v>9909.9099099100004</v>
      </c>
      <c r="S502">
        <v>967882.88288288296</v>
      </c>
      <c r="T502">
        <v>1440360.36036036</v>
      </c>
      <c r="W502">
        <v>624</v>
      </c>
      <c r="X502">
        <v>669</v>
      </c>
    </row>
    <row r="503" spans="1:24">
      <c r="A503" s="7" t="s">
        <v>595</v>
      </c>
      <c r="B503" s="16" t="s">
        <v>92</v>
      </c>
      <c r="C503">
        <v>32165556.987794317</v>
      </c>
      <c r="D503">
        <v>30087604.553469185</v>
      </c>
      <c r="E503">
        <v>43458965.765765771</v>
      </c>
      <c r="F503">
        <v>116859785.58558558</v>
      </c>
      <c r="G503">
        <v>10</v>
      </c>
      <c r="H503">
        <v>20</v>
      </c>
      <c r="I503">
        <v>1</v>
      </c>
      <c r="J503">
        <v>2</v>
      </c>
      <c r="M503">
        <v>10</v>
      </c>
      <c r="N503">
        <v>26</v>
      </c>
      <c r="O503">
        <v>6276396.3963963958</v>
      </c>
      <c r="P503">
        <v>13250270.270270269</v>
      </c>
      <c r="Q503">
        <v>21</v>
      </c>
      <c r="R503">
        <v>14</v>
      </c>
      <c r="S503">
        <v>4572522.5225225231</v>
      </c>
      <c r="T503">
        <v>5315711.7117117122</v>
      </c>
      <c r="U503">
        <v>1016216.216216216</v>
      </c>
      <c r="V503">
        <v>4023693.6936936928</v>
      </c>
      <c r="W503">
        <v>564</v>
      </c>
      <c r="X503">
        <v>742</v>
      </c>
    </row>
    <row r="504" spans="1:24">
      <c r="A504" s="7" t="s">
        <v>596</v>
      </c>
      <c r="B504" s="16" t="s">
        <v>50</v>
      </c>
      <c r="C504">
        <v>111611994.70217484</v>
      </c>
      <c r="D504">
        <v>103908167.75783688</v>
      </c>
      <c r="E504">
        <v>236106097.2972973</v>
      </c>
      <c r="F504">
        <v>281456629.72972971</v>
      </c>
      <c r="G504">
        <v>15</v>
      </c>
      <c r="H504">
        <v>11</v>
      </c>
      <c r="I504">
        <v>2</v>
      </c>
      <c r="J504">
        <v>7</v>
      </c>
      <c r="M504">
        <v>16</v>
      </c>
      <c r="N504">
        <v>12</v>
      </c>
      <c r="O504">
        <v>92903563.063063055</v>
      </c>
      <c r="P504">
        <v>99177387.387387395</v>
      </c>
      <c r="Q504">
        <v>217</v>
      </c>
      <c r="R504">
        <v>68</v>
      </c>
      <c r="S504">
        <v>23345490.090090089</v>
      </c>
      <c r="T504">
        <v>22185762.162162162</v>
      </c>
      <c r="U504">
        <v>20469909.909909908</v>
      </c>
      <c r="V504">
        <v>11493333.333333332</v>
      </c>
      <c r="W504">
        <v>1569</v>
      </c>
      <c r="X504">
        <v>1691</v>
      </c>
    </row>
    <row r="505" spans="1:24">
      <c r="A505" s="7" t="s">
        <v>597</v>
      </c>
      <c r="B505" s="16" t="s">
        <v>89</v>
      </c>
      <c r="C505">
        <v>156201539.49952862</v>
      </c>
      <c r="D505">
        <v>157708435.26665339</v>
      </c>
      <c r="E505">
        <v>932882.88288288203</v>
      </c>
      <c r="F505">
        <v>2241441.4414414461</v>
      </c>
      <c r="G505">
        <v>25</v>
      </c>
      <c r="H505">
        <v>36</v>
      </c>
      <c r="I505">
        <v>1</v>
      </c>
      <c r="J505">
        <v>16</v>
      </c>
      <c r="K505">
        <v>1</v>
      </c>
      <c r="M505">
        <v>26</v>
      </c>
      <c r="N505">
        <v>209</v>
      </c>
      <c r="O505">
        <v>10468468.468468465</v>
      </c>
      <c r="P505">
        <v>13306666.666666664</v>
      </c>
      <c r="Q505">
        <v>144</v>
      </c>
      <c r="R505">
        <v>274</v>
      </c>
      <c r="S505">
        <v>36555628.828828834</v>
      </c>
      <c r="T505">
        <v>38930945.945945941</v>
      </c>
      <c r="U505">
        <v>11867477.477477476</v>
      </c>
      <c r="V505">
        <v>11691801.801801799</v>
      </c>
      <c r="W505">
        <v>3353</v>
      </c>
      <c r="X505">
        <v>3592</v>
      </c>
    </row>
    <row r="506" spans="1:24">
      <c r="A506" s="7" t="s">
        <v>598</v>
      </c>
      <c r="B506" s="16" t="s">
        <v>143</v>
      </c>
      <c r="C506">
        <v>60408006.335109569</v>
      </c>
      <c r="D506">
        <v>61269761.953637898</v>
      </c>
      <c r="E506">
        <v>1254054.054054053</v>
      </c>
      <c r="F506">
        <v>1266666.666666667</v>
      </c>
      <c r="G506">
        <v>13</v>
      </c>
      <c r="H506">
        <v>5</v>
      </c>
      <c r="I506">
        <v>4</v>
      </c>
      <c r="J506">
        <v>3</v>
      </c>
      <c r="M506">
        <v>13</v>
      </c>
      <c r="N506">
        <v>7</v>
      </c>
      <c r="O506">
        <v>6658647.7477477482</v>
      </c>
      <c r="P506">
        <v>6789189.1891891891</v>
      </c>
      <c r="Q506">
        <v>41</v>
      </c>
      <c r="R506">
        <v>173</v>
      </c>
      <c r="S506">
        <v>4159279.2792792791</v>
      </c>
      <c r="T506">
        <v>6017306.3063063072</v>
      </c>
      <c r="U506">
        <v>3787747.7477477482</v>
      </c>
      <c r="V506">
        <v>4986306.3063063063</v>
      </c>
      <c r="W506">
        <v>1124</v>
      </c>
      <c r="X506">
        <v>1195</v>
      </c>
    </row>
    <row r="507" spans="1:24">
      <c r="A507" s="7" t="s">
        <v>599</v>
      </c>
      <c r="B507" s="16" t="s">
        <v>125</v>
      </c>
      <c r="C507">
        <v>162263673.8715857</v>
      </c>
      <c r="D507">
        <v>158430496.24988249</v>
      </c>
      <c r="E507">
        <v>173423.423423423</v>
      </c>
      <c r="F507">
        <v>92792.792792794004</v>
      </c>
      <c r="G507">
        <v>14</v>
      </c>
      <c r="H507">
        <v>18</v>
      </c>
      <c r="I507">
        <v>0</v>
      </c>
      <c r="J507">
        <v>1</v>
      </c>
      <c r="M507">
        <v>16</v>
      </c>
      <c r="N507">
        <v>21</v>
      </c>
      <c r="O507">
        <v>29256846.846846849</v>
      </c>
      <c r="P507">
        <v>16901261.261261262</v>
      </c>
      <c r="Q507">
        <v>39</v>
      </c>
      <c r="S507">
        <v>60510045.045045048</v>
      </c>
      <c r="T507">
        <v>60723234.234234229</v>
      </c>
      <c r="U507">
        <v>29383513.513513513</v>
      </c>
      <c r="V507">
        <v>17587117.117117118</v>
      </c>
      <c r="W507">
        <v>3197</v>
      </c>
      <c r="X507">
        <v>3464</v>
      </c>
    </row>
    <row r="508" spans="1:24">
      <c r="A508" s="7" t="s">
        <v>600</v>
      </c>
      <c r="B508" s="16" t="s">
        <v>50</v>
      </c>
      <c r="C508">
        <v>384178931.35578799</v>
      </c>
      <c r="D508">
        <v>383958507.58921504</v>
      </c>
      <c r="E508">
        <v>2891531.5315315342</v>
      </c>
      <c r="F508">
        <v>3858558.5585585609</v>
      </c>
      <c r="G508">
        <v>58</v>
      </c>
      <c r="H508">
        <v>36</v>
      </c>
      <c r="I508">
        <v>9</v>
      </c>
      <c r="J508">
        <v>4</v>
      </c>
      <c r="K508">
        <v>1</v>
      </c>
      <c r="M508">
        <v>62</v>
      </c>
      <c r="N508">
        <v>44</v>
      </c>
      <c r="O508">
        <v>50320450.45045045</v>
      </c>
      <c r="P508">
        <v>55096216.216216214</v>
      </c>
      <c r="Q508">
        <v>175</v>
      </c>
      <c r="R508">
        <v>26</v>
      </c>
      <c r="S508">
        <v>161930702.70270273</v>
      </c>
      <c r="T508">
        <v>161760954.95495495</v>
      </c>
      <c r="U508">
        <v>49983153.153153151</v>
      </c>
      <c r="V508">
        <v>52447117.117117122</v>
      </c>
      <c r="W508">
        <v>7729</v>
      </c>
      <c r="X508">
        <v>7812</v>
      </c>
    </row>
    <row r="509" spans="1:24">
      <c r="A509" s="7" t="s">
        <v>601</v>
      </c>
      <c r="B509" s="16" t="s">
        <v>89</v>
      </c>
      <c r="C509">
        <v>114767941.50610641</v>
      </c>
      <c r="D509">
        <v>112175166.74956435</v>
      </c>
      <c r="E509">
        <v>3609639.6396396412</v>
      </c>
      <c r="F509">
        <v>900900.90090090595</v>
      </c>
      <c r="G509">
        <v>16</v>
      </c>
      <c r="H509">
        <v>10</v>
      </c>
      <c r="I509">
        <v>4</v>
      </c>
      <c r="J509">
        <v>8</v>
      </c>
      <c r="M509">
        <v>17</v>
      </c>
      <c r="N509">
        <v>10</v>
      </c>
      <c r="O509">
        <v>12747747.747747747</v>
      </c>
      <c r="P509">
        <v>27956036.036036041</v>
      </c>
      <c r="Q509">
        <v>92</v>
      </c>
      <c r="R509">
        <v>1583</v>
      </c>
      <c r="S509">
        <v>33495225.225225225</v>
      </c>
      <c r="T509">
        <v>34527360.360360362</v>
      </c>
      <c r="U509">
        <v>9225855.8558558542</v>
      </c>
      <c r="V509">
        <v>26625225.225225225</v>
      </c>
      <c r="W509">
        <v>2589</v>
      </c>
      <c r="X509">
        <v>2397</v>
      </c>
    </row>
    <row r="510" spans="1:24">
      <c r="A510" s="7" t="s">
        <v>602</v>
      </c>
      <c r="B510" s="16" t="s">
        <v>87</v>
      </c>
      <c r="C510">
        <v>109373422.98567984</v>
      </c>
      <c r="D510">
        <v>99097328.162224442</v>
      </c>
      <c r="E510">
        <v>399099.099099099</v>
      </c>
      <c r="F510">
        <v>617117.11711711704</v>
      </c>
      <c r="G510">
        <v>15</v>
      </c>
      <c r="H510">
        <v>13</v>
      </c>
      <c r="I510">
        <v>1</v>
      </c>
      <c r="J510">
        <v>1</v>
      </c>
      <c r="M510">
        <v>17</v>
      </c>
      <c r="N510">
        <v>15</v>
      </c>
      <c r="O510">
        <v>1705405.405405405</v>
      </c>
      <c r="P510">
        <v>1256756.756756756</v>
      </c>
      <c r="S510">
        <v>8116664.8648648653</v>
      </c>
      <c r="T510">
        <v>7669216.2162162159</v>
      </c>
      <c r="U510">
        <v>1168962.1621621619</v>
      </c>
      <c r="V510">
        <v>1196486.4864864871</v>
      </c>
      <c r="W510">
        <v>1251</v>
      </c>
      <c r="X510">
        <v>1181</v>
      </c>
    </row>
    <row r="511" spans="1:24">
      <c r="A511" s="7" t="s">
        <v>603</v>
      </c>
      <c r="B511" s="16" t="s">
        <v>140</v>
      </c>
      <c r="C511">
        <v>792730591.80081749</v>
      </c>
      <c r="D511">
        <v>803966721.6999948</v>
      </c>
      <c r="E511">
        <v>450583201.8018018</v>
      </c>
      <c r="F511">
        <v>258456481.08108109</v>
      </c>
      <c r="G511">
        <v>299</v>
      </c>
      <c r="H511">
        <v>388</v>
      </c>
      <c r="I511">
        <v>22</v>
      </c>
      <c r="J511">
        <v>49</v>
      </c>
      <c r="K511">
        <v>9</v>
      </c>
      <c r="M511">
        <v>398</v>
      </c>
      <c r="N511">
        <v>833</v>
      </c>
      <c r="O511">
        <v>147894504.5045045</v>
      </c>
      <c r="P511">
        <v>138615945.94594595</v>
      </c>
      <c r="Q511">
        <v>690</v>
      </c>
      <c r="R511">
        <v>401</v>
      </c>
      <c r="S511">
        <v>191522201.8018018</v>
      </c>
      <c r="T511">
        <v>201304533.33333334</v>
      </c>
      <c r="U511">
        <v>140255405.4054054</v>
      </c>
      <c r="V511">
        <v>138779099.0990991</v>
      </c>
      <c r="W511">
        <v>19137</v>
      </c>
      <c r="X511">
        <v>18643</v>
      </c>
    </row>
    <row r="512" spans="1:24">
      <c r="A512" s="7" t="s">
        <v>604</v>
      </c>
      <c r="B512" s="16" t="s">
        <v>224</v>
      </c>
      <c r="C512">
        <v>160762110.32474494</v>
      </c>
      <c r="D512">
        <v>137833022.57680869</v>
      </c>
      <c r="E512">
        <v>150732207.2072072</v>
      </c>
      <c r="F512">
        <v>121755495.49549548</v>
      </c>
      <c r="G512">
        <v>21</v>
      </c>
      <c r="H512">
        <v>27</v>
      </c>
      <c r="I512">
        <v>1</v>
      </c>
      <c r="J512">
        <v>1</v>
      </c>
      <c r="M512">
        <v>26</v>
      </c>
      <c r="N512">
        <v>33</v>
      </c>
      <c r="O512">
        <v>11661621.621621622</v>
      </c>
      <c r="P512">
        <v>6910585.5855855849</v>
      </c>
      <c r="Q512">
        <v>15</v>
      </c>
      <c r="S512">
        <v>50627891.891891889</v>
      </c>
      <c r="T512">
        <v>45699153.153153151</v>
      </c>
      <c r="U512">
        <v>5423063.0630630618</v>
      </c>
      <c r="V512">
        <v>5383063.0630630627</v>
      </c>
      <c r="W512">
        <v>3553</v>
      </c>
      <c r="X512">
        <v>3609</v>
      </c>
    </row>
    <row r="513" spans="1:24">
      <c r="A513" s="7" t="s">
        <v>605</v>
      </c>
      <c r="B513" s="16" t="s">
        <v>224</v>
      </c>
      <c r="C513">
        <v>91951886.609742925</v>
      </c>
      <c r="D513">
        <v>89740406.89293766</v>
      </c>
      <c r="E513">
        <v>10810.810810810999</v>
      </c>
      <c r="F513">
        <v>48648.648648649003</v>
      </c>
      <c r="G513">
        <v>33</v>
      </c>
      <c r="H513">
        <v>32</v>
      </c>
      <c r="I513">
        <v>1</v>
      </c>
      <c r="J513">
        <v>0</v>
      </c>
      <c r="M513">
        <v>35</v>
      </c>
      <c r="N513">
        <v>33</v>
      </c>
      <c r="O513">
        <v>5416216.2162162168</v>
      </c>
      <c r="P513">
        <v>4553153.1531531531</v>
      </c>
      <c r="Q513">
        <v>2</v>
      </c>
      <c r="R513">
        <v>2</v>
      </c>
      <c r="S513">
        <v>24964819.819819819</v>
      </c>
      <c r="T513">
        <v>27183945.945945945</v>
      </c>
      <c r="U513">
        <v>5306216.2162162159</v>
      </c>
      <c r="V513">
        <v>5600630.630630631</v>
      </c>
      <c r="W513">
        <v>3276</v>
      </c>
      <c r="X513">
        <v>3078</v>
      </c>
    </row>
    <row r="514" spans="1:24">
      <c r="A514" s="7" t="s">
        <v>606</v>
      </c>
      <c r="B514" s="16" t="s">
        <v>241</v>
      </c>
      <c r="C514">
        <v>82389966.477398396</v>
      </c>
      <c r="D514">
        <v>74849504.239315435</v>
      </c>
      <c r="E514">
        <v>221984738.73873875</v>
      </c>
      <c r="F514">
        <v>317382764.86486489</v>
      </c>
      <c r="G514">
        <v>42</v>
      </c>
      <c r="H514">
        <v>43</v>
      </c>
      <c r="I514">
        <v>2</v>
      </c>
      <c r="J514">
        <v>1</v>
      </c>
      <c r="M514">
        <v>44</v>
      </c>
      <c r="N514">
        <v>47</v>
      </c>
      <c r="O514">
        <v>30909872.072072074</v>
      </c>
      <c r="P514">
        <v>20519369.369369369</v>
      </c>
      <c r="R514">
        <v>14</v>
      </c>
      <c r="S514">
        <v>23966297.297297295</v>
      </c>
      <c r="T514">
        <v>23010783.783783782</v>
      </c>
      <c r="U514">
        <v>5620180.180180179</v>
      </c>
      <c r="V514">
        <v>6964954.954954952</v>
      </c>
      <c r="W514">
        <v>2359</v>
      </c>
      <c r="X514">
        <v>2294</v>
      </c>
    </row>
    <row r="515" spans="1:24">
      <c r="A515" s="7" t="s">
        <v>607</v>
      </c>
      <c r="B515" s="16" t="s">
        <v>140</v>
      </c>
      <c r="C515">
        <v>22873590.468029957</v>
      </c>
      <c r="D515">
        <v>22902405.797359947</v>
      </c>
      <c r="F515">
        <v>2702.7027027029999</v>
      </c>
      <c r="G515">
        <v>1</v>
      </c>
      <c r="H515">
        <v>4</v>
      </c>
      <c r="M515">
        <v>1</v>
      </c>
      <c r="N515">
        <v>4</v>
      </c>
      <c r="O515">
        <v>587387.38738738699</v>
      </c>
      <c r="P515">
        <v>227927.92792792799</v>
      </c>
      <c r="S515">
        <v>2814639.6396396402</v>
      </c>
      <c r="T515">
        <v>2842333.333333333</v>
      </c>
      <c r="U515">
        <v>692432.43243243301</v>
      </c>
      <c r="V515">
        <v>496756.75675675698</v>
      </c>
      <c r="W515">
        <v>338</v>
      </c>
      <c r="X515">
        <v>386</v>
      </c>
    </row>
    <row r="516" spans="1:24">
      <c r="A516" s="7" t="s">
        <v>680</v>
      </c>
      <c r="B516" s="16" t="s">
        <v>189</v>
      </c>
      <c r="E516">
        <v>32081934.234234232</v>
      </c>
      <c r="F516">
        <v>29103608.108108107</v>
      </c>
      <c r="P516">
        <v>14729049.54954955</v>
      </c>
    </row>
    <row r="517" spans="1:24">
      <c r="A517" s="7" t="s">
        <v>608</v>
      </c>
      <c r="B517" s="16" t="s">
        <v>189</v>
      </c>
      <c r="C517">
        <v>93182132.052541152</v>
      </c>
      <c r="D517">
        <v>84691027.916632816</v>
      </c>
      <c r="E517">
        <v>506081.08108108101</v>
      </c>
      <c r="F517">
        <v>2041441.441441441</v>
      </c>
      <c r="G517">
        <v>32</v>
      </c>
      <c r="H517">
        <v>53</v>
      </c>
      <c r="I517">
        <v>3</v>
      </c>
      <c r="J517">
        <v>2</v>
      </c>
      <c r="M517">
        <v>34</v>
      </c>
      <c r="N517">
        <v>58</v>
      </c>
      <c r="O517">
        <v>11062162.162162161</v>
      </c>
      <c r="P517">
        <v>12663063.063063063</v>
      </c>
      <c r="Q517">
        <v>19</v>
      </c>
      <c r="R517">
        <v>2</v>
      </c>
      <c r="S517">
        <v>18429189.189189188</v>
      </c>
      <c r="T517">
        <v>21081554.054054055</v>
      </c>
      <c r="U517">
        <v>7404144.1441441448</v>
      </c>
      <c r="V517">
        <v>8115495.4954954954</v>
      </c>
      <c r="W517">
        <v>1624</v>
      </c>
      <c r="X517">
        <v>1486</v>
      </c>
    </row>
    <row r="518" spans="1:24">
      <c r="A518" s="7" t="s">
        <v>609</v>
      </c>
      <c r="B518" s="16" t="s">
        <v>189</v>
      </c>
      <c r="C518">
        <v>234099849.43133157</v>
      </c>
      <c r="D518">
        <v>224328184.85660377</v>
      </c>
      <c r="E518">
        <v>20720.720720721001</v>
      </c>
      <c r="F518">
        <v>445945.94594594702</v>
      </c>
      <c r="G518">
        <v>97</v>
      </c>
      <c r="H518">
        <v>74</v>
      </c>
      <c r="I518">
        <v>6</v>
      </c>
      <c r="J518">
        <v>6</v>
      </c>
      <c r="M518">
        <v>103</v>
      </c>
      <c r="N518">
        <v>79</v>
      </c>
      <c r="O518">
        <v>11880180.180180181</v>
      </c>
      <c r="P518">
        <v>13013513.513513513</v>
      </c>
      <c r="Q518">
        <v>37</v>
      </c>
      <c r="R518">
        <v>51</v>
      </c>
      <c r="S518">
        <v>33599684.684684686</v>
      </c>
      <c r="T518">
        <v>32167639.639639638</v>
      </c>
      <c r="U518">
        <v>8586216.2162162159</v>
      </c>
      <c r="V518">
        <v>7152972.9729729742</v>
      </c>
      <c r="W518">
        <v>4046</v>
      </c>
      <c r="X518">
        <v>3946</v>
      </c>
    </row>
    <row r="519" spans="1:24">
      <c r="A519" s="7" t="s">
        <v>610</v>
      </c>
      <c r="B519" s="16" t="s">
        <v>189</v>
      </c>
      <c r="C519">
        <v>103910869.17656696</v>
      </c>
      <c r="D519">
        <v>98119105.252290651</v>
      </c>
      <c r="E519">
        <v>4011936.9369369382</v>
      </c>
      <c r="F519">
        <v>4290765.7657657694</v>
      </c>
      <c r="G519">
        <v>26</v>
      </c>
      <c r="H519">
        <v>17</v>
      </c>
      <c r="I519">
        <v>3</v>
      </c>
      <c r="J519">
        <v>2</v>
      </c>
      <c r="M519">
        <v>27</v>
      </c>
      <c r="N519">
        <v>19</v>
      </c>
      <c r="O519">
        <v>6898198.1981981983</v>
      </c>
      <c r="P519">
        <v>5531531.5315315323</v>
      </c>
      <c r="Q519">
        <v>36</v>
      </c>
      <c r="R519">
        <v>190</v>
      </c>
      <c r="S519">
        <v>13011216.216216216</v>
      </c>
      <c r="T519">
        <v>11871657.657657659</v>
      </c>
      <c r="U519">
        <v>5201981.9819819797</v>
      </c>
      <c r="V519">
        <v>4726396.3963963967</v>
      </c>
      <c r="W519">
        <v>1680</v>
      </c>
      <c r="X519">
        <v>1666</v>
      </c>
    </row>
    <row r="520" spans="1:24">
      <c r="A520" s="7" t="s">
        <v>611</v>
      </c>
      <c r="B520" s="16" t="s">
        <v>189</v>
      </c>
      <c r="C520">
        <v>31333831.62454721</v>
      </c>
      <c r="D520">
        <v>37305935.88362176</v>
      </c>
      <c r="E520">
        <v>10810.810810810999</v>
      </c>
      <c r="F520">
        <v>193243.24324324401</v>
      </c>
      <c r="G520">
        <v>24</v>
      </c>
      <c r="H520">
        <v>19</v>
      </c>
      <c r="I520">
        <v>2</v>
      </c>
      <c r="J520">
        <v>2</v>
      </c>
      <c r="M520">
        <v>25</v>
      </c>
      <c r="N520">
        <v>20</v>
      </c>
      <c r="O520">
        <v>2318018.018018018</v>
      </c>
      <c r="P520">
        <v>4027387.3873873879</v>
      </c>
      <c r="Q520">
        <v>9</v>
      </c>
      <c r="R520">
        <v>3</v>
      </c>
      <c r="S520">
        <v>5179189.1891891891</v>
      </c>
      <c r="T520">
        <v>6728945.9459459474</v>
      </c>
      <c r="U520">
        <v>1365765.7657657659</v>
      </c>
      <c r="V520">
        <v>3208918.9189189188</v>
      </c>
      <c r="W520">
        <v>919</v>
      </c>
      <c r="X520">
        <v>1014</v>
      </c>
    </row>
    <row r="521" spans="1:24">
      <c r="A521" s="7" t="s">
        <v>612</v>
      </c>
      <c r="B521" s="16" t="s">
        <v>143</v>
      </c>
      <c r="C521">
        <v>295414220.44959933</v>
      </c>
      <c r="D521">
        <v>276491111.71333885</v>
      </c>
      <c r="E521">
        <v>439598.19819820003</v>
      </c>
      <c r="F521">
        <v>2835077.4774774802</v>
      </c>
      <c r="G521">
        <v>224</v>
      </c>
      <c r="H521">
        <v>385</v>
      </c>
      <c r="I521">
        <v>18</v>
      </c>
      <c r="J521">
        <v>14</v>
      </c>
      <c r="M521">
        <v>253</v>
      </c>
      <c r="N521">
        <v>508</v>
      </c>
      <c r="O521">
        <v>29071171.17117117</v>
      </c>
      <c r="P521">
        <v>28148648.648648649</v>
      </c>
      <c r="Q521">
        <v>138</v>
      </c>
      <c r="R521">
        <v>144</v>
      </c>
      <c r="S521">
        <v>34690619.819819823</v>
      </c>
      <c r="T521">
        <v>37102220.720720723</v>
      </c>
      <c r="U521">
        <v>27007837.837837838</v>
      </c>
      <c r="V521">
        <v>26931484.684684683</v>
      </c>
      <c r="W521">
        <v>6799</v>
      </c>
      <c r="X521">
        <v>6771</v>
      </c>
    </row>
    <row r="522" spans="1:24">
      <c r="A522" s="7" t="s">
        <v>613</v>
      </c>
      <c r="B522" s="16" t="s">
        <v>189</v>
      </c>
      <c r="C522">
        <v>342558259.70550823</v>
      </c>
      <c r="D522">
        <v>323501778.57153362</v>
      </c>
      <c r="E522">
        <v>413288.28828828997</v>
      </c>
      <c r="F522">
        <v>1821396.3963963981</v>
      </c>
      <c r="G522">
        <v>118</v>
      </c>
      <c r="H522">
        <v>128</v>
      </c>
      <c r="I522">
        <v>12</v>
      </c>
      <c r="J522">
        <v>10</v>
      </c>
      <c r="K522">
        <v>1</v>
      </c>
      <c r="M522">
        <v>138</v>
      </c>
      <c r="N522">
        <v>170</v>
      </c>
      <c r="O522">
        <v>7768468.4684684686</v>
      </c>
      <c r="P522">
        <v>13472792.792792792</v>
      </c>
      <c r="Q522">
        <v>74</v>
      </c>
      <c r="R522">
        <v>466</v>
      </c>
      <c r="S522">
        <v>30614931.531531528</v>
      </c>
      <c r="T522">
        <v>31760016.216216218</v>
      </c>
      <c r="U522">
        <v>6547607.2072072057</v>
      </c>
      <c r="V522">
        <v>12075268.46846847</v>
      </c>
      <c r="W522">
        <v>7547</v>
      </c>
      <c r="X522">
        <v>7961</v>
      </c>
    </row>
    <row r="523" spans="1:24">
      <c r="A523" s="7" t="s">
        <v>614</v>
      </c>
      <c r="B523" s="16" t="s">
        <v>54</v>
      </c>
      <c r="C523">
        <v>242606240.84017074</v>
      </c>
      <c r="D523">
        <v>226087914.43315753</v>
      </c>
      <c r="E523">
        <v>3509909.909909911</v>
      </c>
      <c r="F523">
        <v>3798198.1981982011</v>
      </c>
      <c r="G523">
        <v>67</v>
      </c>
      <c r="H523">
        <v>76</v>
      </c>
      <c r="I523">
        <v>10</v>
      </c>
      <c r="J523">
        <v>14</v>
      </c>
      <c r="M523">
        <v>76</v>
      </c>
      <c r="N523">
        <v>100</v>
      </c>
      <c r="O523">
        <v>37586036.036036029</v>
      </c>
      <c r="P523">
        <v>37852252.252252258</v>
      </c>
      <c r="Q523">
        <v>156</v>
      </c>
      <c r="R523">
        <v>116</v>
      </c>
      <c r="S523">
        <v>70890990.990990996</v>
      </c>
      <c r="T523">
        <v>72626045.045045033</v>
      </c>
      <c r="U523">
        <v>39128918.918918923</v>
      </c>
      <c r="V523">
        <v>35715945.945945948</v>
      </c>
      <c r="W523">
        <v>6383</v>
      </c>
      <c r="X523">
        <v>6449</v>
      </c>
    </row>
    <row r="524" spans="1:24">
      <c r="A524" s="7" t="s">
        <v>615</v>
      </c>
      <c r="B524" s="16" t="s">
        <v>54</v>
      </c>
      <c r="C524">
        <v>125927844.99553171</v>
      </c>
      <c r="D524">
        <v>123336162.69885162</v>
      </c>
      <c r="E524">
        <v>22597072.072072074</v>
      </c>
      <c r="F524">
        <v>52125675.675675683</v>
      </c>
      <c r="G524">
        <v>11</v>
      </c>
      <c r="H524">
        <v>14</v>
      </c>
      <c r="I524">
        <v>0</v>
      </c>
      <c r="J524">
        <v>3</v>
      </c>
      <c r="M524">
        <v>13</v>
      </c>
      <c r="N524">
        <v>19</v>
      </c>
      <c r="O524">
        <v>8060360.3603603607</v>
      </c>
      <c r="P524">
        <v>6486486.4864864871</v>
      </c>
      <c r="Q524">
        <v>48</v>
      </c>
      <c r="R524">
        <v>31</v>
      </c>
      <c r="S524">
        <v>19972738.738738734</v>
      </c>
      <c r="T524">
        <v>20976414.414414417</v>
      </c>
      <c r="U524">
        <v>6403333.333333334</v>
      </c>
      <c r="V524">
        <v>5168198.1981981983</v>
      </c>
      <c r="W524">
        <v>2731</v>
      </c>
      <c r="X524">
        <v>2752</v>
      </c>
    </row>
    <row r="525" spans="1:24">
      <c r="A525" s="7" t="s">
        <v>616</v>
      </c>
      <c r="B525" s="16" t="s">
        <v>60</v>
      </c>
      <c r="C525">
        <v>193582330.15222642</v>
      </c>
      <c r="D525">
        <v>191683507.82219955</v>
      </c>
      <c r="E525">
        <v>685585.58558558696</v>
      </c>
      <c r="F525">
        <v>2703603.6036036038</v>
      </c>
      <c r="G525">
        <v>34</v>
      </c>
      <c r="H525">
        <v>87</v>
      </c>
      <c r="I525">
        <v>6</v>
      </c>
      <c r="J525">
        <v>23</v>
      </c>
      <c r="M525">
        <v>43</v>
      </c>
      <c r="N525">
        <v>125</v>
      </c>
      <c r="O525">
        <v>27264864.864864867</v>
      </c>
      <c r="P525">
        <v>29359909.909909908</v>
      </c>
      <c r="Q525">
        <v>131</v>
      </c>
      <c r="R525">
        <v>116</v>
      </c>
      <c r="S525">
        <v>59047882.882882878</v>
      </c>
      <c r="T525">
        <v>63177936.936936937</v>
      </c>
      <c r="U525">
        <v>26598108.108108103</v>
      </c>
      <c r="V525">
        <v>27381711.711711712</v>
      </c>
      <c r="W525">
        <v>4331</v>
      </c>
      <c r="X525">
        <v>4139</v>
      </c>
    </row>
    <row r="526" spans="1:24">
      <c r="A526" s="7" t="s">
        <v>617</v>
      </c>
      <c r="B526" s="16" t="s">
        <v>60</v>
      </c>
      <c r="C526">
        <v>211976998.55107966</v>
      </c>
      <c r="D526">
        <v>203403813.84989622</v>
      </c>
      <c r="E526">
        <v>724774.77477477596</v>
      </c>
      <c r="F526">
        <v>1419819.819819821</v>
      </c>
      <c r="G526">
        <v>35</v>
      </c>
      <c r="H526">
        <v>53</v>
      </c>
      <c r="I526">
        <v>6</v>
      </c>
      <c r="J526">
        <v>9</v>
      </c>
      <c r="K526">
        <v>2</v>
      </c>
      <c r="M526">
        <v>39</v>
      </c>
      <c r="N526">
        <v>59</v>
      </c>
      <c r="O526">
        <v>23322522.52252252</v>
      </c>
      <c r="P526">
        <v>25666666.666666668</v>
      </c>
      <c r="Q526">
        <v>121</v>
      </c>
      <c r="R526">
        <v>116</v>
      </c>
      <c r="S526">
        <v>110388558.55855855</v>
      </c>
      <c r="T526">
        <v>108278049.54954955</v>
      </c>
      <c r="U526">
        <v>26415945.945945945</v>
      </c>
      <c r="V526">
        <v>23654414.414414413</v>
      </c>
      <c r="W526">
        <v>5355</v>
      </c>
      <c r="X526">
        <v>5419</v>
      </c>
    </row>
    <row r="527" spans="1:24">
      <c r="A527" s="7" t="s">
        <v>618</v>
      </c>
      <c r="B527" s="16" t="s">
        <v>60</v>
      </c>
      <c r="C527">
        <v>271063602.68986988</v>
      </c>
      <c r="D527">
        <v>258239003.86739871</v>
      </c>
      <c r="E527">
        <v>2456306.3063063058</v>
      </c>
      <c r="F527">
        <v>2875675.6756756809</v>
      </c>
      <c r="G527">
        <v>50</v>
      </c>
      <c r="H527">
        <v>46</v>
      </c>
      <c r="I527">
        <v>5</v>
      </c>
      <c r="J527">
        <v>8</v>
      </c>
      <c r="M527">
        <v>61</v>
      </c>
      <c r="N527">
        <v>55</v>
      </c>
      <c r="O527">
        <v>18491441.441441439</v>
      </c>
      <c r="P527">
        <v>36048648.648648657</v>
      </c>
      <c r="Q527">
        <v>132</v>
      </c>
      <c r="R527">
        <v>112</v>
      </c>
      <c r="S527">
        <v>86474171.171171173</v>
      </c>
      <c r="T527">
        <v>85599239.189189181</v>
      </c>
      <c r="U527">
        <v>19083783.783783782</v>
      </c>
      <c r="V527">
        <v>34642792.792792797</v>
      </c>
      <c r="W527">
        <v>5721</v>
      </c>
      <c r="X527">
        <v>5739</v>
      </c>
    </row>
    <row r="528" spans="1:24">
      <c r="A528" s="7" t="s">
        <v>619</v>
      </c>
      <c r="B528" s="16" t="s">
        <v>620</v>
      </c>
      <c r="C528">
        <v>310330159.80942637</v>
      </c>
      <c r="D528">
        <v>309035632.72851479</v>
      </c>
      <c r="E528">
        <v>2666851.351351351</v>
      </c>
      <c r="F528">
        <v>61584795.495495498</v>
      </c>
      <c r="G528">
        <v>118</v>
      </c>
      <c r="H528">
        <v>194</v>
      </c>
      <c r="I528">
        <v>10</v>
      </c>
      <c r="J528">
        <v>13</v>
      </c>
      <c r="K528">
        <v>2</v>
      </c>
      <c r="M528">
        <v>136</v>
      </c>
      <c r="N528">
        <v>391</v>
      </c>
      <c r="O528">
        <v>31452292.792792797</v>
      </c>
      <c r="P528">
        <v>30765242.342342343</v>
      </c>
      <c r="Q528">
        <v>372</v>
      </c>
      <c r="R528">
        <v>19</v>
      </c>
      <c r="S528">
        <v>39081081.081081077</v>
      </c>
      <c r="T528">
        <v>37632585.585585587</v>
      </c>
      <c r="U528">
        <v>31266486.486486487</v>
      </c>
      <c r="V528">
        <v>21939099.0990991</v>
      </c>
      <c r="W528">
        <v>7428</v>
      </c>
      <c r="X528">
        <v>7688</v>
      </c>
    </row>
    <row r="529" spans="1:24">
      <c r="A529" s="7" t="s">
        <v>621</v>
      </c>
      <c r="B529" s="16" t="s">
        <v>620</v>
      </c>
      <c r="C529">
        <v>245634385.44647229</v>
      </c>
      <c r="D529">
        <v>225645994.5171428</v>
      </c>
      <c r="E529">
        <v>1104054.0540540549</v>
      </c>
      <c r="F529">
        <v>4230630.6306306319</v>
      </c>
      <c r="G529">
        <v>121</v>
      </c>
      <c r="H529">
        <v>82</v>
      </c>
      <c r="I529">
        <v>7</v>
      </c>
      <c r="J529">
        <v>12</v>
      </c>
      <c r="K529">
        <v>2</v>
      </c>
      <c r="M529">
        <v>143</v>
      </c>
      <c r="N529">
        <v>102</v>
      </c>
      <c r="O529">
        <v>18566666.666666668</v>
      </c>
      <c r="P529">
        <v>19951351.351351351</v>
      </c>
      <c r="Q529">
        <v>61</v>
      </c>
      <c r="R529">
        <v>7</v>
      </c>
      <c r="S529">
        <v>36410909.009009011</v>
      </c>
      <c r="T529">
        <v>36961574.774774775</v>
      </c>
      <c r="U529">
        <v>19623603.603603601</v>
      </c>
      <c r="V529">
        <v>17827927.927927926</v>
      </c>
      <c r="W529">
        <v>6248</v>
      </c>
      <c r="X529">
        <v>6038</v>
      </c>
    </row>
    <row r="530" spans="1:24">
      <c r="A530" s="7" t="s">
        <v>622</v>
      </c>
      <c r="B530" s="16" t="s">
        <v>620</v>
      </c>
      <c r="C530">
        <v>261077294.91895804</v>
      </c>
      <c r="D530">
        <v>235614921.59119177</v>
      </c>
      <c r="E530">
        <v>836036.03603603703</v>
      </c>
      <c r="F530">
        <v>1365315.3153153181</v>
      </c>
      <c r="G530">
        <v>112</v>
      </c>
      <c r="H530">
        <v>92</v>
      </c>
      <c r="I530">
        <v>7</v>
      </c>
      <c r="J530">
        <v>5</v>
      </c>
      <c r="K530">
        <v>1</v>
      </c>
      <c r="M530">
        <v>136</v>
      </c>
      <c r="N530">
        <v>109</v>
      </c>
      <c r="O530">
        <v>27485585.585585583</v>
      </c>
      <c r="P530">
        <v>18142792.792792793</v>
      </c>
      <c r="Q530">
        <v>392</v>
      </c>
      <c r="R530">
        <v>52</v>
      </c>
      <c r="S530">
        <v>34921333.333333328</v>
      </c>
      <c r="T530">
        <v>36332903.603603601</v>
      </c>
      <c r="U530">
        <v>25019185.585585587</v>
      </c>
      <c r="V530">
        <v>14227747.747747747</v>
      </c>
      <c r="W530">
        <v>6111</v>
      </c>
      <c r="X530">
        <v>5741</v>
      </c>
    </row>
    <row r="531" spans="1:24">
      <c r="A531" s="7" t="s">
        <v>623</v>
      </c>
      <c r="B531" s="16" t="s">
        <v>620</v>
      </c>
      <c r="C531">
        <v>184584506.10217887</v>
      </c>
      <c r="D531">
        <v>173671009.24048528</v>
      </c>
      <c r="E531">
        <v>87777261.261261269</v>
      </c>
      <c r="F531">
        <v>575675.67567567597</v>
      </c>
      <c r="G531">
        <v>96</v>
      </c>
      <c r="H531">
        <v>39</v>
      </c>
      <c r="I531">
        <v>6</v>
      </c>
      <c r="J531">
        <v>5</v>
      </c>
      <c r="K531">
        <v>1</v>
      </c>
      <c r="M531">
        <v>108</v>
      </c>
      <c r="N531">
        <v>54</v>
      </c>
      <c r="O531">
        <v>19578378.378378376</v>
      </c>
      <c r="P531">
        <v>17079279.279279277</v>
      </c>
      <c r="Q531">
        <v>61</v>
      </c>
      <c r="R531">
        <v>10</v>
      </c>
      <c r="S531">
        <v>23411792.792792793</v>
      </c>
      <c r="T531">
        <v>22661698.198198199</v>
      </c>
      <c r="U531">
        <v>16303243.243243244</v>
      </c>
      <c r="V531">
        <v>13852882.882882882</v>
      </c>
      <c r="W531">
        <v>3683</v>
      </c>
      <c r="X531">
        <v>3544</v>
      </c>
    </row>
    <row r="532" spans="1:24">
      <c r="A532" s="7" t="s">
        <v>624</v>
      </c>
      <c r="B532" s="16" t="s">
        <v>260</v>
      </c>
      <c r="C532">
        <v>99265170.16836293</v>
      </c>
      <c r="D532">
        <v>92299597.188150585</v>
      </c>
      <c r="E532">
        <v>17586486.486486487</v>
      </c>
      <c r="F532">
        <v>67208108.108108118</v>
      </c>
      <c r="G532">
        <v>12</v>
      </c>
      <c r="H532">
        <v>15</v>
      </c>
      <c r="I532">
        <v>0</v>
      </c>
      <c r="J532">
        <v>2</v>
      </c>
      <c r="M532">
        <v>12</v>
      </c>
      <c r="N532">
        <v>15</v>
      </c>
      <c r="O532">
        <v>24706756.756756756</v>
      </c>
      <c r="P532">
        <v>8816441.4414414428</v>
      </c>
      <c r="S532">
        <v>33630747.747747749</v>
      </c>
      <c r="T532">
        <v>29462702.702702705</v>
      </c>
      <c r="U532">
        <v>13158828.828828828</v>
      </c>
      <c r="V532">
        <v>9579549.549549548</v>
      </c>
      <c r="W532">
        <v>2039</v>
      </c>
      <c r="X532">
        <v>2240</v>
      </c>
    </row>
    <row r="533" spans="1:24">
      <c r="A533" s="7" t="s">
        <v>625</v>
      </c>
      <c r="B533" s="16" t="s">
        <v>52</v>
      </c>
      <c r="C533">
        <v>143872538.89578438</v>
      </c>
      <c r="D533">
        <v>140627041.4493219</v>
      </c>
      <c r="E533">
        <v>547927.92792792805</v>
      </c>
      <c r="F533">
        <v>113513.513513515</v>
      </c>
      <c r="G533">
        <v>19</v>
      </c>
      <c r="H533">
        <v>45</v>
      </c>
      <c r="I533">
        <v>3</v>
      </c>
      <c r="J533">
        <v>4</v>
      </c>
      <c r="M533">
        <v>28</v>
      </c>
      <c r="N533">
        <v>119</v>
      </c>
      <c r="O533">
        <v>2337567.5675675669</v>
      </c>
      <c r="P533">
        <v>4798198.1981981993</v>
      </c>
      <c r="Q533">
        <v>8</v>
      </c>
      <c r="R533">
        <v>26</v>
      </c>
      <c r="S533">
        <v>50627333.333333336</v>
      </c>
      <c r="T533">
        <v>51460981.981981985</v>
      </c>
      <c r="U533">
        <v>2534234.2342342329</v>
      </c>
      <c r="V533">
        <v>3035315.315315316</v>
      </c>
      <c r="W533">
        <v>4504</v>
      </c>
      <c r="X533">
        <v>4330</v>
      </c>
    </row>
    <row r="534" spans="1:24">
      <c r="A534" s="7" t="s">
        <v>626</v>
      </c>
      <c r="B534" s="16" t="s">
        <v>96</v>
      </c>
      <c r="C534">
        <v>367057698.32508141</v>
      </c>
      <c r="D534">
        <v>362913587.94307339</v>
      </c>
      <c r="E534">
        <v>105627271.17117117</v>
      </c>
      <c r="F534">
        <v>118241840.54054055</v>
      </c>
      <c r="G534">
        <v>199</v>
      </c>
      <c r="H534">
        <v>171</v>
      </c>
      <c r="I534">
        <v>9</v>
      </c>
      <c r="J534">
        <v>10</v>
      </c>
      <c r="K534">
        <v>1</v>
      </c>
      <c r="M534">
        <v>249</v>
      </c>
      <c r="N534">
        <v>205</v>
      </c>
      <c r="O534">
        <v>58161126.126126125</v>
      </c>
      <c r="P534">
        <v>143351657.65765765</v>
      </c>
      <c r="Q534">
        <v>139</v>
      </c>
      <c r="R534">
        <v>348</v>
      </c>
      <c r="S534">
        <v>115759729.72972973</v>
      </c>
      <c r="T534">
        <v>119272635.58558558</v>
      </c>
      <c r="U534">
        <v>58463693.693693697</v>
      </c>
      <c r="V534">
        <v>65317657.657657653</v>
      </c>
      <c r="W534">
        <v>10989</v>
      </c>
      <c r="X534">
        <v>10578</v>
      </c>
    </row>
    <row r="535" spans="1:24">
      <c r="A535" s="7" t="s">
        <v>627</v>
      </c>
      <c r="B535" s="16" t="s">
        <v>96</v>
      </c>
      <c r="C535">
        <v>650522900.85773218</v>
      </c>
      <c r="D535">
        <v>595534403.52710927</v>
      </c>
      <c r="E535">
        <v>3123513.5135135162</v>
      </c>
      <c r="F535">
        <v>3623423.423423423</v>
      </c>
      <c r="G535">
        <v>212</v>
      </c>
      <c r="H535">
        <v>148</v>
      </c>
      <c r="I535">
        <v>9</v>
      </c>
      <c r="J535">
        <v>7</v>
      </c>
      <c r="K535">
        <v>1</v>
      </c>
      <c r="M535">
        <v>266</v>
      </c>
      <c r="N535">
        <v>225</v>
      </c>
      <c r="O535">
        <v>113903783.78378379</v>
      </c>
      <c r="P535">
        <v>131420630.63063063</v>
      </c>
      <c r="Q535">
        <v>141</v>
      </c>
      <c r="R535">
        <v>125</v>
      </c>
      <c r="S535">
        <v>255124873.87387389</v>
      </c>
      <c r="T535">
        <v>242928146.3963964</v>
      </c>
      <c r="U535">
        <v>124062882.88288289</v>
      </c>
      <c r="V535">
        <v>132284774.77477477</v>
      </c>
      <c r="W535">
        <v>13838</v>
      </c>
      <c r="X535">
        <v>13545</v>
      </c>
    </row>
    <row r="536" spans="1:24">
      <c r="A536" s="7" t="s">
        <v>628</v>
      </c>
      <c r="B536" s="16" t="s">
        <v>448</v>
      </c>
      <c r="C536">
        <v>454348539.17435586</v>
      </c>
      <c r="D536">
        <v>433688359.89672643</v>
      </c>
      <c r="E536">
        <v>267672237.83783785</v>
      </c>
      <c r="F536">
        <v>483665947.74774778</v>
      </c>
      <c r="G536">
        <v>200</v>
      </c>
      <c r="H536">
        <v>160</v>
      </c>
      <c r="I536">
        <v>19</v>
      </c>
      <c r="J536">
        <v>17</v>
      </c>
      <c r="K536">
        <v>2</v>
      </c>
      <c r="M536">
        <v>228</v>
      </c>
      <c r="N536">
        <v>191</v>
      </c>
      <c r="O536">
        <v>148917927.92792794</v>
      </c>
      <c r="P536">
        <v>134368558.55855855</v>
      </c>
      <c r="Q536">
        <v>383</v>
      </c>
      <c r="R536">
        <v>1797</v>
      </c>
      <c r="S536">
        <v>130519423.42342342</v>
      </c>
      <c r="T536">
        <v>129591160.36036035</v>
      </c>
      <c r="U536">
        <v>120572252.25225225</v>
      </c>
      <c r="V536">
        <v>123743513.51351351</v>
      </c>
      <c r="W536">
        <v>10972</v>
      </c>
      <c r="X536">
        <v>11226</v>
      </c>
    </row>
    <row r="537" spans="1:24">
      <c r="A537" s="7" t="s">
        <v>629</v>
      </c>
      <c r="B537" s="16" t="s">
        <v>78</v>
      </c>
      <c r="C537">
        <v>20380371.303643469</v>
      </c>
      <c r="D537">
        <v>19253722.749599565</v>
      </c>
      <c r="E537">
        <v>185585.58558558501</v>
      </c>
      <c r="F537">
        <v>313513.51351351303</v>
      </c>
      <c r="G537">
        <v>2</v>
      </c>
      <c r="H537">
        <v>3</v>
      </c>
      <c r="K537">
        <v>1</v>
      </c>
      <c r="M537">
        <v>2</v>
      </c>
      <c r="N537">
        <v>3</v>
      </c>
      <c r="O537">
        <v>599999.99999999895</v>
      </c>
      <c r="P537">
        <v>1214414.414414414</v>
      </c>
      <c r="Q537">
        <v>12</v>
      </c>
      <c r="S537">
        <v>5484774.7747747749</v>
      </c>
      <c r="T537">
        <v>5299261.2612612611</v>
      </c>
      <c r="U537">
        <v>778108.10810810805</v>
      </c>
      <c r="V537">
        <v>1068378.378378378</v>
      </c>
      <c r="W537">
        <v>401</v>
      </c>
      <c r="X537">
        <v>367</v>
      </c>
    </row>
    <row r="538" spans="1:24">
      <c r="A538" s="7" t="s">
        <v>630</v>
      </c>
      <c r="B538" s="16" t="s">
        <v>241</v>
      </c>
      <c r="C538">
        <v>119632107.23456721</v>
      </c>
      <c r="D538">
        <v>113791770.58249587</v>
      </c>
      <c r="E538">
        <v>72252.252252253005</v>
      </c>
      <c r="F538">
        <v>376351.351351352</v>
      </c>
      <c r="G538">
        <v>63</v>
      </c>
      <c r="H538">
        <v>43</v>
      </c>
      <c r="I538">
        <v>5</v>
      </c>
      <c r="J538">
        <v>3</v>
      </c>
      <c r="M538">
        <v>72</v>
      </c>
      <c r="N538">
        <v>51</v>
      </c>
      <c r="O538">
        <v>23810630.630630631</v>
      </c>
      <c r="P538">
        <v>12153873.873873876</v>
      </c>
      <c r="Q538">
        <v>189</v>
      </c>
      <c r="R538">
        <v>56</v>
      </c>
      <c r="S538">
        <v>27838828.828828827</v>
      </c>
      <c r="T538">
        <v>25905594.594594598</v>
      </c>
      <c r="U538">
        <v>24980990.990990989</v>
      </c>
      <c r="V538">
        <v>12219279.27927928</v>
      </c>
      <c r="W538">
        <v>2835</v>
      </c>
      <c r="X538">
        <v>2611</v>
      </c>
    </row>
    <row r="539" spans="1:24">
      <c r="A539" s="7" t="s">
        <v>631</v>
      </c>
      <c r="B539" s="16" t="s">
        <v>68</v>
      </c>
      <c r="C539">
        <v>530428993.59995204</v>
      </c>
      <c r="D539">
        <v>498492110.33185047</v>
      </c>
      <c r="E539">
        <v>19602702.702702705</v>
      </c>
      <c r="F539">
        <v>40766441.441441439</v>
      </c>
      <c r="G539">
        <v>222</v>
      </c>
      <c r="H539">
        <v>293</v>
      </c>
      <c r="I539">
        <v>18</v>
      </c>
      <c r="J539">
        <v>15</v>
      </c>
      <c r="M539">
        <v>238</v>
      </c>
      <c r="N539">
        <v>335</v>
      </c>
      <c r="O539">
        <v>57265315.315315314</v>
      </c>
      <c r="P539">
        <v>53189639.639639638</v>
      </c>
      <c r="Q539">
        <v>388</v>
      </c>
      <c r="R539">
        <v>304</v>
      </c>
      <c r="S539">
        <v>88178423.423423424</v>
      </c>
      <c r="T539">
        <v>84568881.981981978</v>
      </c>
      <c r="U539">
        <v>41790540.540540546</v>
      </c>
      <c r="V539">
        <v>40705585.585585587</v>
      </c>
      <c r="W539">
        <v>9012</v>
      </c>
      <c r="X539">
        <v>8754</v>
      </c>
    </row>
    <row r="540" spans="1:24">
      <c r="A540" s="7" t="s">
        <v>632</v>
      </c>
      <c r="B540" s="16" t="s">
        <v>70</v>
      </c>
      <c r="C540">
        <v>3690055.0183761851</v>
      </c>
      <c r="D540">
        <v>3660798.4342007102</v>
      </c>
      <c r="E540">
        <v>75693468.468468457</v>
      </c>
      <c r="F540">
        <v>76189189.189189181</v>
      </c>
      <c r="G540">
        <v>6</v>
      </c>
      <c r="H540">
        <v>2</v>
      </c>
      <c r="J540">
        <v>1</v>
      </c>
      <c r="M540">
        <v>6</v>
      </c>
      <c r="N540">
        <v>2</v>
      </c>
      <c r="O540">
        <v>14375450.45045045</v>
      </c>
      <c r="P540">
        <v>24701801.801801801</v>
      </c>
      <c r="R540">
        <v>18</v>
      </c>
      <c r="S540">
        <v>2400405.405405405</v>
      </c>
      <c r="T540">
        <v>2085585.585585586</v>
      </c>
      <c r="U540">
        <v>234504.50450450499</v>
      </c>
      <c r="V540">
        <v>164864.864864865</v>
      </c>
      <c r="W540">
        <v>196</v>
      </c>
      <c r="X540">
        <v>184</v>
      </c>
    </row>
    <row r="541" spans="1:24">
      <c r="A541" s="7" t="s">
        <v>633</v>
      </c>
      <c r="B541" s="16" t="s">
        <v>60</v>
      </c>
      <c r="C541">
        <v>38155669.330225185</v>
      </c>
      <c r="D541">
        <v>37883599.748641714</v>
      </c>
      <c r="E541">
        <v>136936.93693693701</v>
      </c>
      <c r="F541">
        <v>56756.756756757997</v>
      </c>
      <c r="G541">
        <v>5</v>
      </c>
      <c r="H541">
        <v>14</v>
      </c>
      <c r="I541">
        <v>0</v>
      </c>
      <c r="J541">
        <v>1</v>
      </c>
      <c r="M541">
        <v>5</v>
      </c>
      <c r="N541">
        <v>15</v>
      </c>
      <c r="O541">
        <v>1524324.3243243231</v>
      </c>
      <c r="P541">
        <v>1624324.324324325</v>
      </c>
      <c r="Q541">
        <v>28</v>
      </c>
      <c r="R541">
        <v>15</v>
      </c>
      <c r="S541">
        <v>14308108.108108109</v>
      </c>
      <c r="T541">
        <v>16860774.774774775</v>
      </c>
      <c r="U541">
        <v>1285585.5855855851</v>
      </c>
      <c r="V541">
        <v>202252.25225225199</v>
      </c>
      <c r="W541">
        <v>1032</v>
      </c>
      <c r="X541">
        <v>1028</v>
      </c>
    </row>
    <row r="542" spans="1:24">
      <c r="A542" s="7" t="s">
        <v>634</v>
      </c>
      <c r="B542" s="16" t="s">
        <v>80</v>
      </c>
      <c r="C542">
        <v>407831144.80838633</v>
      </c>
      <c r="D542">
        <v>390942583.98170131</v>
      </c>
      <c r="E542">
        <v>103623423.42342342</v>
      </c>
      <c r="F542">
        <v>64834864.864864863</v>
      </c>
      <c r="G542">
        <v>134</v>
      </c>
      <c r="H542">
        <v>56</v>
      </c>
      <c r="I542">
        <v>4</v>
      </c>
      <c r="J542">
        <v>4</v>
      </c>
      <c r="M542">
        <v>154</v>
      </c>
      <c r="N542">
        <v>62</v>
      </c>
      <c r="O542">
        <v>49717477.477477483</v>
      </c>
      <c r="P542">
        <v>48758108.108108111</v>
      </c>
      <c r="Q542">
        <v>14</v>
      </c>
      <c r="R542">
        <v>24</v>
      </c>
      <c r="S542">
        <v>73247918.918918908</v>
      </c>
      <c r="T542">
        <v>79856175.675675675</v>
      </c>
      <c r="U542">
        <v>49130720.720720723</v>
      </c>
      <c r="V542">
        <v>39069819.819819815</v>
      </c>
      <c r="W542">
        <v>6516</v>
      </c>
      <c r="X542">
        <v>6154</v>
      </c>
    </row>
    <row r="543" spans="1:24">
      <c r="A543" s="7" t="s">
        <v>635</v>
      </c>
      <c r="B543" s="16" t="s">
        <v>134</v>
      </c>
      <c r="C543">
        <v>68648806.494228557</v>
      </c>
      <c r="D543">
        <v>70933043.588278353</v>
      </c>
      <c r="E543">
        <v>4504.5045045050001</v>
      </c>
      <c r="F543">
        <v>532432.43243243196</v>
      </c>
      <c r="G543">
        <v>7</v>
      </c>
      <c r="H543">
        <v>14</v>
      </c>
      <c r="I543">
        <v>2</v>
      </c>
      <c r="J543">
        <v>1</v>
      </c>
      <c r="M543">
        <v>8</v>
      </c>
      <c r="N543">
        <v>17</v>
      </c>
      <c r="O543">
        <v>454954.95495495503</v>
      </c>
      <c r="P543">
        <v>6581981.9819819815</v>
      </c>
      <c r="Q543">
        <v>6</v>
      </c>
      <c r="R543">
        <v>111</v>
      </c>
      <c r="S543">
        <v>3370000</v>
      </c>
      <c r="T543">
        <v>3847108.1081081089</v>
      </c>
      <c r="U543">
        <v>1016936.936936937</v>
      </c>
      <c r="V543">
        <v>6393423.4234234244</v>
      </c>
      <c r="W543">
        <v>1424</v>
      </c>
      <c r="X543">
        <v>1443</v>
      </c>
    </row>
    <row r="544" spans="1:24">
      <c r="A544" s="7" t="s">
        <v>636</v>
      </c>
      <c r="B544" s="16" t="s">
        <v>479</v>
      </c>
      <c r="C544">
        <v>233999580.49554765</v>
      </c>
      <c r="D544">
        <v>212303258.11511689</v>
      </c>
      <c r="E544">
        <v>569144.14414414496</v>
      </c>
      <c r="F544">
        <v>1879279.279279286</v>
      </c>
      <c r="G544">
        <v>50</v>
      </c>
      <c r="H544">
        <v>64</v>
      </c>
      <c r="I544">
        <v>4</v>
      </c>
      <c r="J544">
        <v>6</v>
      </c>
      <c r="M544">
        <v>54</v>
      </c>
      <c r="N544">
        <v>77</v>
      </c>
      <c r="O544">
        <v>36966133.333333328</v>
      </c>
      <c r="P544">
        <v>57165431.531531535</v>
      </c>
      <c r="Q544">
        <v>29</v>
      </c>
      <c r="R544">
        <v>92</v>
      </c>
      <c r="S544">
        <v>80797833.333333328</v>
      </c>
      <c r="T544">
        <v>75699270.270270273</v>
      </c>
      <c r="U544">
        <v>37873963.963963963</v>
      </c>
      <c r="V544">
        <v>53785630.630630635</v>
      </c>
      <c r="W544">
        <v>5874</v>
      </c>
      <c r="X544">
        <v>5852</v>
      </c>
    </row>
    <row r="545" spans="1:24">
      <c r="A545" s="7" t="s">
        <v>637</v>
      </c>
      <c r="B545" s="16" t="s">
        <v>143</v>
      </c>
      <c r="C545">
        <v>368212143.60815918</v>
      </c>
      <c r="D545">
        <v>362604017.10765266</v>
      </c>
      <c r="E545">
        <v>2412837.8378378409</v>
      </c>
      <c r="F545">
        <v>3415315.3153153169</v>
      </c>
      <c r="G545">
        <v>98</v>
      </c>
      <c r="H545">
        <v>86</v>
      </c>
      <c r="I545">
        <v>28</v>
      </c>
      <c r="J545">
        <v>16</v>
      </c>
      <c r="M545">
        <v>119</v>
      </c>
      <c r="N545">
        <v>119</v>
      </c>
      <c r="O545">
        <v>28309369.369369373</v>
      </c>
      <c r="P545">
        <v>26635585.585585583</v>
      </c>
      <c r="Q545">
        <v>247</v>
      </c>
      <c r="R545">
        <v>277</v>
      </c>
      <c r="S545">
        <v>38213909.909909911</v>
      </c>
      <c r="T545">
        <v>44782691.441441439</v>
      </c>
      <c r="U545">
        <v>21449549.54954955</v>
      </c>
      <c r="V545">
        <v>20442882.882882878</v>
      </c>
      <c r="W545">
        <v>9423</v>
      </c>
      <c r="X545">
        <v>9489</v>
      </c>
    </row>
    <row r="546" spans="1:24">
      <c r="A546" s="7" t="s">
        <v>638</v>
      </c>
      <c r="B546" s="16" t="s">
        <v>241</v>
      </c>
      <c r="C546">
        <v>418329494.12299162</v>
      </c>
      <c r="D546">
        <v>393691376.87275064</v>
      </c>
      <c r="E546">
        <v>1203603.6036036061</v>
      </c>
      <c r="F546">
        <v>1895495.4954954961</v>
      </c>
      <c r="G546">
        <v>224</v>
      </c>
      <c r="H546">
        <v>209</v>
      </c>
      <c r="I546">
        <v>16</v>
      </c>
      <c r="J546">
        <v>18</v>
      </c>
      <c r="M546">
        <v>241</v>
      </c>
      <c r="N546">
        <v>245</v>
      </c>
      <c r="O546">
        <v>33488018.018018018</v>
      </c>
      <c r="P546">
        <v>30809729.729729727</v>
      </c>
      <c r="Q546">
        <v>60</v>
      </c>
      <c r="R546">
        <v>250</v>
      </c>
      <c r="S546">
        <v>136732369.36936939</v>
      </c>
      <c r="T546">
        <v>127401493.6936937</v>
      </c>
      <c r="U546">
        <v>34615225.225225225</v>
      </c>
      <c r="V546">
        <v>25714144.144144144</v>
      </c>
      <c r="W546">
        <v>12374</v>
      </c>
      <c r="X546">
        <v>12907</v>
      </c>
    </row>
    <row r="547" spans="1:24">
      <c r="A547" s="7" t="s">
        <v>639</v>
      </c>
      <c r="B547" s="16" t="s">
        <v>132</v>
      </c>
      <c r="C547">
        <v>174399305.22652736</v>
      </c>
      <c r="D547">
        <v>148571455.36081293</v>
      </c>
      <c r="E547">
        <v>6766666.6666666679</v>
      </c>
      <c r="F547">
        <v>20012612.612612613</v>
      </c>
      <c r="G547">
        <v>82</v>
      </c>
      <c r="H547">
        <v>65</v>
      </c>
      <c r="I547">
        <v>2</v>
      </c>
      <c r="J547">
        <v>1</v>
      </c>
      <c r="M547">
        <v>96</v>
      </c>
      <c r="N547">
        <v>75</v>
      </c>
      <c r="O547">
        <v>9275675.6756756753</v>
      </c>
      <c r="P547">
        <v>6929054.0540540554</v>
      </c>
      <c r="Q547">
        <v>1</v>
      </c>
      <c r="R547">
        <v>3</v>
      </c>
      <c r="S547">
        <v>61436450.45045045</v>
      </c>
      <c r="T547">
        <v>54276738.738738738</v>
      </c>
      <c r="U547">
        <v>6837027.0270270268</v>
      </c>
      <c r="V547">
        <v>3954144.1441441439</v>
      </c>
      <c r="W547">
        <v>5540</v>
      </c>
      <c r="X547">
        <v>5683</v>
      </c>
    </row>
    <row r="548" spans="1:24">
      <c r="A548" s="7" t="s">
        <v>640</v>
      </c>
      <c r="B548" s="16" t="s">
        <v>134</v>
      </c>
      <c r="C548">
        <v>478480200.19106436</v>
      </c>
      <c r="D548">
        <v>455033202.20369691</v>
      </c>
      <c r="E548">
        <v>1081081.0810810821</v>
      </c>
      <c r="F548">
        <v>1349549.549549554</v>
      </c>
      <c r="G548">
        <v>104</v>
      </c>
      <c r="H548">
        <v>75</v>
      </c>
      <c r="I548">
        <v>13</v>
      </c>
      <c r="J548">
        <v>16</v>
      </c>
      <c r="M548">
        <v>110</v>
      </c>
      <c r="N548">
        <v>81</v>
      </c>
      <c r="O548">
        <v>35054234.234234236</v>
      </c>
      <c r="P548">
        <v>36929549.54954955</v>
      </c>
      <c r="Q548">
        <v>114</v>
      </c>
      <c r="R548">
        <v>65</v>
      </c>
      <c r="S548">
        <v>58701525.225225225</v>
      </c>
      <c r="T548">
        <v>60502681.081081077</v>
      </c>
      <c r="U548">
        <v>31924234.234234236</v>
      </c>
      <c r="V548">
        <v>30126709.909909911</v>
      </c>
      <c r="W548">
        <v>7630</v>
      </c>
      <c r="X548">
        <v>7420</v>
      </c>
    </row>
    <row r="549" spans="1:24">
      <c r="A549" s="7" t="s">
        <v>641</v>
      </c>
      <c r="B549" s="16" t="s">
        <v>80</v>
      </c>
      <c r="C549">
        <v>239300980.29870296</v>
      </c>
      <c r="D549">
        <v>241952214.08776194</v>
      </c>
      <c r="E549">
        <v>576576.57657657703</v>
      </c>
      <c r="F549">
        <v>1101801.801801804</v>
      </c>
      <c r="G549">
        <v>45</v>
      </c>
      <c r="H549">
        <v>40</v>
      </c>
      <c r="I549">
        <v>6</v>
      </c>
      <c r="J549">
        <v>2</v>
      </c>
      <c r="K549">
        <v>2</v>
      </c>
      <c r="M549">
        <v>48</v>
      </c>
      <c r="N549">
        <v>55</v>
      </c>
      <c r="O549">
        <v>26041891.891891889</v>
      </c>
      <c r="P549">
        <v>25281081.081081081</v>
      </c>
      <c r="Q549">
        <v>34</v>
      </c>
      <c r="R549">
        <v>18</v>
      </c>
      <c r="S549">
        <v>81856565.765765756</v>
      </c>
      <c r="T549">
        <v>86863500</v>
      </c>
      <c r="U549">
        <v>25258738.738738742</v>
      </c>
      <c r="V549">
        <v>23401711.711711712</v>
      </c>
      <c r="W549">
        <v>4925</v>
      </c>
      <c r="X549">
        <v>4952</v>
      </c>
    </row>
    <row r="550" spans="1:24">
      <c r="A550" s="7" t="s">
        <v>642</v>
      </c>
      <c r="B550" s="16" t="s">
        <v>169</v>
      </c>
      <c r="C550">
        <v>458323245.45869076</v>
      </c>
      <c r="D550">
        <v>396280680.29970491</v>
      </c>
      <c r="E550">
        <v>1968018.018018018</v>
      </c>
      <c r="F550">
        <v>1463963.963963964</v>
      </c>
      <c r="G550">
        <v>67</v>
      </c>
      <c r="H550">
        <v>39</v>
      </c>
      <c r="I550">
        <v>0</v>
      </c>
      <c r="J550">
        <v>0</v>
      </c>
      <c r="K550">
        <v>1</v>
      </c>
      <c r="M550">
        <v>69</v>
      </c>
      <c r="N550">
        <v>51</v>
      </c>
      <c r="O550">
        <v>35256306.306306303</v>
      </c>
      <c r="P550">
        <v>37630826.126126125</v>
      </c>
      <c r="Q550">
        <v>15</v>
      </c>
      <c r="R550">
        <v>4</v>
      </c>
      <c r="S550">
        <v>153933486.48648649</v>
      </c>
      <c r="T550">
        <v>142290864.86486486</v>
      </c>
      <c r="U550">
        <v>33845135.135135137</v>
      </c>
      <c r="V550">
        <v>33049099.099099096</v>
      </c>
      <c r="W550">
        <v>8726</v>
      </c>
      <c r="X550">
        <v>9287</v>
      </c>
    </row>
    <row r="551" spans="1:24">
      <c r="A551" s="7" t="s">
        <v>643</v>
      </c>
      <c r="B551" s="16" t="s">
        <v>58</v>
      </c>
      <c r="C551">
        <v>699985687.87252927</v>
      </c>
      <c r="D551">
        <v>678945045.85497868</v>
      </c>
      <c r="E551">
        <v>4396621.6216216218</v>
      </c>
      <c r="F551">
        <v>7171171.1711711716</v>
      </c>
      <c r="G551">
        <v>219</v>
      </c>
      <c r="H551">
        <v>191</v>
      </c>
      <c r="I551">
        <v>29</v>
      </c>
      <c r="J551">
        <v>34</v>
      </c>
      <c r="K551">
        <v>1</v>
      </c>
      <c r="M551">
        <v>278</v>
      </c>
      <c r="N551">
        <v>258</v>
      </c>
      <c r="O551">
        <v>82563063.063063055</v>
      </c>
      <c r="P551">
        <v>48768918.918918923</v>
      </c>
      <c r="Q551">
        <v>419</v>
      </c>
      <c r="R551">
        <v>83</v>
      </c>
      <c r="S551">
        <v>138621340.54054055</v>
      </c>
      <c r="T551">
        <v>141811527.02702701</v>
      </c>
      <c r="U551">
        <v>61685945.945945941</v>
      </c>
      <c r="V551">
        <v>49542792.79279279</v>
      </c>
      <c r="W551">
        <v>17416</v>
      </c>
      <c r="X551">
        <v>17321</v>
      </c>
    </row>
    <row r="552" spans="1:24">
      <c r="A552" s="7" t="s">
        <v>644</v>
      </c>
      <c r="B552" s="16" t="s">
        <v>58</v>
      </c>
      <c r="C552">
        <v>876209711.23176968</v>
      </c>
      <c r="D552">
        <v>851774980.480896</v>
      </c>
      <c r="E552">
        <v>332036927.92792791</v>
      </c>
      <c r="F552">
        <v>14355405.405405404</v>
      </c>
      <c r="G552">
        <v>380</v>
      </c>
      <c r="H552">
        <v>753</v>
      </c>
      <c r="I552">
        <v>40</v>
      </c>
      <c r="J552">
        <v>55</v>
      </c>
      <c r="K552">
        <v>2</v>
      </c>
      <c r="M552">
        <v>433</v>
      </c>
      <c r="N552">
        <v>956</v>
      </c>
      <c r="O552">
        <v>154230180.18018019</v>
      </c>
      <c r="P552">
        <v>139900900.9009009</v>
      </c>
      <c r="Q552">
        <v>1210</v>
      </c>
      <c r="R552">
        <v>183</v>
      </c>
      <c r="S552">
        <v>237653529.72972974</v>
      </c>
      <c r="T552">
        <v>255152031.53153151</v>
      </c>
      <c r="U552">
        <v>138693423.42342341</v>
      </c>
      <c r="V552">
        <v>130787477.47747748</v>
      </c>
      <c r="W552">
        <v>22172</v>
      </c>
      <c r="X552">
        <v>22038</v>
      </c>
    </row>
    <row r="553" spans="1:24">
      <c r="A553" s="7" t="s">
        <v>645</v>
      </c>
      <c r="B553" s="16" t="s">
        <v>307</v>
      </c>
      <c r="C553">
        <v>289182524.93819159</v>
      </c>
      <c r="D553">
        <v>280962803.40651703</v>
      </c>
      <c r="E553">
        <v>2010810.8108108109</v>
      </c>
      <c r="F553">
        <v>1855855.8558558561</v>
      </c>
      <c r="G553">
        <v>43</v>
      </c>
      <c r="H553">
        <v>26</v>
      </c>
      <c r="I553">
        <v>1</v>
      </c>
      <c r="J553">
        <v>1</v>
      </c>
      <c r="M553">
        <v>45</v>
      </c>
      <c r="N553">
        <v>40</v>
      </c>
      <c r="O553">
        <v>5623513.5135135129</v>
      </c>
      <c r="P553">
        <v>5543243.2432432426</v>
      </c>
      <c r="Q553">
        <v>38</v>
      </c>
      <c r="R553">
        <v>7</v>
      </c>
      <c r="S553">
        <v>46337747.747747749</v>
      </c>
      <c r="T553">
        <v>47242076.576576576</v>
      </c>
      <c r="U553">
        <v>5737387.3873873856</v>
      </c>
      <c r="V553">
        <v>5363873.8738738736</v>
      </c>
      <c r="W553">
        <v>5321</v>
      </c>
      <c r="X553">
        <v>5072</v>
      </c>
    </row>
    <row r="554" spans="1:24">
      <c r="A554" s="7" t="s">
        <v>13</v>
      </c>
      <c r="B554" s="16" t="s">
        <v>158</v>
      </c>
      <c r="C554">
        <v>339726370.49594241</v>
      </c>
      <c r="D554">
        <v>317440208.0109998</v>
      </c>
      <c r="E554">
        <v>1045045.04504505</v>
      </c>
      <c r="F554">
        <v>2981981.9819819881</v>
      </c>
      <c r="G554">
        <v>175</v>
      </c>
      <c r="H554">
        <v>69</v>
      </c>
      <c r="I554">
        <v>37</v>
      </c>
      <c r="J554">
        <v>11</v>
      </c>
      <c r="K554">
        <v>1</v>
      </c>
      <c r="M554">
        <v>419</v>
      </c>
      <c r="N554">
        <v>257</v>
      </c>
      <c r="O554">
        <v>58542342.342342347</v>
      </c>
      <c r="P554">
        <v>66428828.828828834</v>
      </c>
      <c r="Q554">
        <v>350</v>
      </c>
      <c r="R554">
        <v>259</v>
      </c>
      <c r="S554">
        <v>197475409.90990993</v>
      </c>
      <c r="T554">
        <v>183809162.16216218</v>
      </c>
      <c r="U554">
        <v>64749639.639639638</v>
      </c>
      <c r="V554">
        <v>62506529.729729727</v>
      </c>
      <c r="W554">
        <v>7368</v>
      </c>
      <c r="X554">
        <v>6970</v>
      </c>
    </row>
    <row r="555" spans="1:24">
      <c r="A555" s="7" t="s">
        <v>646</v>
      </c>
      <c r="B555" s="16" t="s">
        <v>121</v>
      </c>
      <c r="C555">
        <v>213013786.84327343</v>
      </c>
      <c r="D555">
        <v>217755874.44924709</v>
      </c>
      <c r="E555">
        <v>14639.63963964</v>
      </c>
      <c r="F555">
        <v>149549.54954954999</v>
      </c>
      <c r="G555">
        <v>54</v>
      </c>
      <c r="H555">
        <v>47</v>
      </c>
      <c r="I555">
        <v>1</v>
      </c>
      <c r="J555">
        <v>1</v>
      </c>
      <c r="M555">
        <v>57</v>
      </c>
      <c r="N555">
        <v>52</v>
      </c>
      <c r="O555">
        <v>438738.73873873899</v>
      </c>
      <c r="P555">
        <v>1144144.1441441439</v>
      </c>
      <c r="Q555">
        <v>27</v>
      </c>
      <c r="R555">
        <v>7</v>
      </c>
      <c r="S555">
        <v>17756450.450450446</v>
      </c>
      <c r="T555">
        <v>18954759.009009007</v>
      </c>
      <c r="U555">
        <v>761801.80180180201</v>
      </c>
      <c r="V555">
        <v>1008468.468468469</v>
      </c>
      <c r="W555">
        <v>3017</v>
      </c>
      <c r="X555">
        <v>3179</v>
      </c>
    </row>
    <row r="556" spans="1:24">
      <c r="A556" s="7" t="s">
        <v>647</v>
      </c>
      <c r="B556" s="16" t="s">
        <v>315</v>
      </c>
      <c r="C556">
        <v>83053724.306500494</v>
      </c>
      <c r="D556">
        <v>78268551.799657613</v>
      </c>
      <c r="E556">
        <v>99969901.801801801</v>
      </c>
      <c r="F556">
        <v>102159372.97297297</v>
      </c>
      <c r="G556">
        <v>45</v>
      </c>
      <c r="H556">
        <v>36</v>
      </c>
      <c r="I556">
        <v>6</v>
      </c>
      <c r="J556">
        <v>9</v>
      </c>
      <c r="M556">
        <v>48</v>
      </c>
      <c r="N556">
        <v>40</v>
      </c>
      <c r="O556">
        <v>47338288.288288288</v>
      </c>
      <c r="P556">
        <v>14621171.17117117</v>
      </c>
      <c r="Q556">
        <v>50</v>
      </c>
      <c r="S556">
        <v>21247905.405405402</v>
      </c>
      <c r="T556">
        <v>20124423.423423424</v>
      </c>
      <c r="U556">
        <v>7662432.4324324317</v>
      </c>
      <c r="V556">
        <v>15347477.47747748</v>
      </c>
      <c r="W556">
        <v>1395</v>
      </c>
      <c r="X556">
        <v>1349</v>
      </c>
    </row>
    <row r="557" spans="1:24">
      <c r="A557" s="7" t="s">
        <v>648</v>
      </c>
      <c r="B557" s="16" t="s">
        <v>260</v>
      </c>
      <c r="C557">
        <v>212734570.1638695</v>
      </c>
      <c r="D557">
        <v>200836505.35136491</v>
      </c>
      <c r="E557">
        <v>206351.35135135101</v>
      </c>
      <c r="F557">
        <v>1199324.324324324</v>
      </c>
      <c r="G557">
        <v>53</v>
      </c>
      <c r="H557">
        <v>61</v>
      </c>
      <c r="I557">
        <v>2</v>
      </c>
      <c r="J557">
        <v>2</v>
      </c>
      <c r="M557">
        <v>57</v>
      </c>
      <c r="N557">
        <v>79</v>
      </c>
      <c r="O557">
        <v>37896666.666666664</v>
      </c>
      <c r="P557">
        <v>41409009.009009011</v>
      </c>
      <c r="Q557">
        <v>12</v>
      </c>
      <c r="R557">
        <v>69</v>
      </c>
      <c r="S557">
        <v>66881621.621621624</v>
      </c>
      <c r="T557">
        <v>64959045.045045048</v>
      </c>
      <c r="U557">
        <v>34299459.459459461</v>
      </c>
      <c r="V557">
        <v>41680360.360360362</v>
      </c>
      <c r="W557">
        <v>4071</v>
      </c>
      <c r="X557">
        <v>4303</v>
      </c>
    </row>
    <row r="558" spans="1:24">
      <c r="A558" s="7" t="s">
        <v>649</v>
      </c>
      <c r="B558" s="16" t="s">
        <v>224</v>
      </c>
      <c r="C558">
        <v>220709279.73728457</v>
      </c>
      <c r="D558">
        <v>191714102.23193926</v>
      </c>
      <c r="E558">
        <v>86036.036036036996</v>
      </c>
      <c r="F558">
        <v>1457432.432432435</v>
      </c>
      <c r="G558">
        <v>45</v>
      </c>
      <c r="H558">
        <v>56</v>
      </c>
      <c r="I558">
        <v>8</v>
      </c>
      <c r="J558">
        <v>7</v>
      </c>
      <c r="M558">
        <v>55</v>
      </c>
      <c r="N558">
        <v>69</v>
      </c>
      <c r="O558">
        <v>13124234.234234232</v>
      </c>
      <c r="P558">
        <v>18921081.081081085</v>
      </c>
      <c r="Q558">
        <v>96</v>
      </c>
      <c r="R558">
        <v>161</v>
      </c>
      <c r="S558">
        <v>45826603.603603601</v>
      </c>
      <c r="T558">
        <v>45476162.162162162</v>
      </c>
      <c r="U558">
        <v>13139459.459459459</v>
      </c>
      <c r="V558">
        <v>18154684.684684686</v>
      </c>
      <c r="W558">
        <v>5521</v>
      </c>
      <c r="X558">
        <v>5302</v>
      </c>
    </row>
    <row r="559" spans="1:24">
      <c r="A559" s="7" t="s">
        <v>650</v>
      </c>
      <c r="B559" s="16" t="s">
        <v>224</v>
      </c>
      <c r="C559">
        <v>180019776.39032403</v>
      </c>
      <c r="D559">
        <v>155466781.37886527</v>
      </c>
      <c r="E559">
        <v>27927.927927928002</v>
      </c>
      <c r="F559">
        <v>63963.963963964998</v>
      </c>
      <c r="G559">
        <v>34</v>
      </c>
      <c r="H559">
        <v>31</v>
      </c>
      <c r="I559">
        <v>2</v>
      </c>
      <c r="J559">
        <v>0</v>
      </c>
      <c r="M559">
        <v>36</v>
      </c>
      <c r="N559">
        <v>38</v>
      </c>
      <c r="O559">
        <v>8491711.7117117103</v>
      </c>
      <c r="P559">
        <v>7134234.2342342334</v>
      </c>
      <c r="Q559">
        <v>48</v>
      </c>
      <c r="R559">
        <v>103</v>
      </c>
      <c r="S559">
        <v>23786171.17117117</v>
      </c>
      <c r="T559">
        <v>22474045.045045044</v>
      </c>
      <c r="U559">
        <v>5940630.6306306301</v>
      </c>
      <c r="V559">
        <v>6846756.7567567546</v>
      </c>
      <c r="W559">
        <v>3158</v>
      </c>
      <c r="X559">
        <v>3300</v>
      </c>
    </row>
    <row r="560" spans="1:24">
      <c r="A560" s="7" t="s">
        <v>651</v>
      </c>
      <c r="B560" s="16" t="s">
        <v>224</v>
      </c>
      <c r="C560">
        <v>690122288.9233247</v>
      </c>
      <c r="D560">
        <v>598221409.01401377</v>
      </c>
      <c r="E560">
        <v>166099238.73873875</v>
      </c>
      <c r="F560">
        <v>194075532.43243244</v>
      </c>
      <c r="G560">
        <v>240</v>
      </c>
      <c r="H560">
        <v>226</v>
      </c>
      <c r="I560">
        <v>43</v>
      </c>
      <c r="J560">
        <v>31</v>
      </c>
      <c r="K560">
        <v>4</v>
      </c>
      <c r="M560">
        <v>305</v>
      </c>
      <c r="N560">
        <v>335</v>
      </c>
      <c r="O560">
        <v>104210720.72072072</v>
      </c>
      <c r="P560">
        <v>121338558.55855855</v>
      </c>
      <c r="Q560">
        <v>556</v>
      </c>
      <c r="R560">
        <v>876</v>
      </c>
      <c r="S560">
        <v>154714520.72072071</v>
      </c>
      <c r="T560">
        <v>150991468.46846849</v>
      </c>
      <c r="U560">
        <v>87594818.018018022</v>
      </c>
      <c r="V560">
        <v>103220540.54054055</v>
      </c>
      <c r="W560">
        <v>18107</v>
      </c>
      <c r="X560">
        <v>18266</v>
      </c>
    </row>
    <row r="561" spans="1:24">
      <c r="A561" s="7" t="s">
        <v>652</v>
      </c>
      <c r="B561" s="16" t="s">
        <v>224</v>
      </c>
      <c r="C561">
        <v>80401800.324733451</v>
      </c>
      <c r="D561">
        <v>73637461.585794434</v>
      </c>
      <c r="E561">
        <v>1801.801801802</v>
      </c>
      <c r="F561">
        <v>207207.207207208</v>
      </c>
      <c r="G561">
        <v>25</v>
      </c>
      <c r="H561">
        <v>18</v>
      </c>
      <c r="I561">
        <v>2</v>
      </c>
      <c r="J561">
        <v>1</v>
      </c>
      <c r="M561">
        <v>26</v>
      </c>
      <c r="N561">
        <v>21</v>
      </c>
      <c r="O561">
        <v>2013333.333333334</v>
      </c>
      <c r="P561">
        <v>1648648.6486486481</v>
      </c>
      <c r="Q561">
        <v>9</v>
      </c>
      <c r="S561">
        <v>11920945.945945946</v>
      </c>
      <c r="T561">
        <v>12224945.945945946</v>
      </c>
      <c r="U561">
        <v>1369099.0990990989</v>
      </c>
      <c r="V561">
        <v>1360720.72072072</v>
      </c>
      <c r="W561">
        <v>1849</v>
      </c>
      <c r="X561">
        <v>1721</v>
      </c>
    </row>
    <row r="562" spans="1:24">
      <c r="A562" s="7" t="s">
        <v>653</v>
      </c>
      <c r="B562" s="16" t="s">
        <v>96</v>
      </c>
      <c r="C562">
        <v>414673788.96236306</v>
      </c>
      <c r="D562">
        <v>381697516.54282296</v>
      </c>
      <c r="E562">
        <v>15928828.828828832</v>
      </c>
      <c r="F562">
        <v>79638738.738738731</v>
      </c>
      <c r="G562">
        <v>92</v>
      </c>
      <c r="H562">
        <v>205</v>
      </c>
      <c r="I562">
        <v>1</v>
      </c>
      <c r="J562">
        <v>1</v>
      </c>
      <c r="M562">
        <v>108</v>
      </c>
      <c r="N562">
        <v>223</v>
      </c>
      <c r="O562">
        <v>12354099.099099098</v>
      </c>
      <c r="P562">
        <v>11615090.090090092</v>
      </c>
      <c r="Q562">
        <v>51</v>
      </c>
      <c r="R562">
        <v>94</v>
      </c>
      <c r="S562">
        <v>50286837.837837838</v>
      </c>
      <c r="T562">
        <v>52998144.144144148</v>
      </c>
      <c r="U562">
        <v>10785315.315315315</v>
      </c>
      <c r="V562">
        <v>7411801.8018018017</v>
      </c>
      <c r="W562">
        <v>8538</v>
      </c>
      <c r="X562">
        <v>8867</v>
      </c>
    </row>
    <row r="563" spans="1:24">
      <c r="A563" s="7" t="s">
        <v>654</v>
      </c>
      <c r="B563" s="16" t="s">
        <v>66</v>
      </c>
      <c r="C563">
        <v>244194779.31448415</v>
      </c>
      <c r="D563">
        <v>235110389.00113362</v>
      </c>
      <c r="E563">
        <v>3499099.099099101</v>
      </c>
      <c r="F563">
        <v>7034234.2342342362</v>
      </c>
      <c r="G563">
        <v>95</v>
      </c>
      <c r="H563">
        <v>86</v>
      </c>
      <c r="I563">
        <v>3</v>
      </c>
      <c r="J563">
        <v>4</v>
      </c>
      <c r="M563">
        <v>102</v>
      </c>
      <c r="N563">
        <v>103</v>
      </c>
      <c r="O563">
        <v>26865945.945945945</v>
      </c>
      <c r="P563">
        <v>132498198.1981982</v>
      </c>
      <c r="Q563">
        <v>100</v>
      </c>
      <c r="R563">
        <v>9</v>
      </c>
      <c r="S563">
        <v>155113558.55855855</v>
      </c>
      <c r="T563">
        <v>153433180.18018019</v>
      </c>
      <c r="U563">
        <v>27164594.59459459</v>
      </c>
      <c r="V563">
        <v>97177387.387387395</v>
      </c>
      <c r="W563">
        <v>5407</v>
      </c>
      <c r="X563">
        <v>5786</v>
      </c>
    </row>
    <row r="564" spans="1:24">
      <c r="A564" s="7" t="s">
        <v>655</v>
      </c>
      <c r="B564" s="16" t="s">
        <v>68</v>
      </c>
      <c r="C564">
        <v>422711435.61846071</v>
      </c>
      <c r="D564">
        <v>372500006.95388776</v>
      </c>
      <c r="E564">
        <v>790360.36036036105</v>
      </c>
      <c r="F564">
        <v>1004504.504504505</v>
      </c>
      <c r="G564">
        <v>125</v>
      </c>
      <c r="H564">
        <v>64</v>
      </c>
      <c r="I564">
        <v>8</v>
      </c>
      <c r="J564">
        <v>5</v>
      </c>
      <c r="K564">
        <v>4</v>
      </c>
      <c r="M564">
        <v>138</v>
      </c>
      <c r="N564">
        <v>68</v>
      </c>
      <c r="O564">
        <v>26456756.756756756</v>
      </c>
      <c r="P564">
        <v>16015400.9009009</v>
      </c>
      <c r="Q564">
        <v>62</v>
      </c>
      <c r="R564">
        <v>85</v>
      </c>
      <c r="S564">
        <v>52349337.837837838</v>
      </c>
      <c r="T564">
        <v>51086747.747747742</v>
      </c>
      <c r="U564">
        <v>19047387.387387384</v>
      </c>
      <c r="V564">
        <v>13010540.540540541</v>
      </c>
      <c r="W564">
        <v>7332</v>
      </c>
      <c r="X564">
        <v>7024</v>
      </c>
    </row>
    <row r="565" spans="1:24">
      <c r="A565" s="7" t="s">
        <v>14</v>
      </c>
      <c r="B565" s="16" t="s">
        <v>158</v>
      </c>
      <c r="C565">
        <v>174942387.0773609</v>
      </c>
      <c r="D565">
        <v>161699676.4290278</v>
      </c>
      <c r="E565">
        <v>112612.61261261599</v>
      </c>
      <c r="F565">
        <v>881981.98198198504</v>
      </c>
      <c r="G565">
        <v>17</v>
      </c>
      <c r="H565">
        <v>26</v>
      </c>
      <c r="I565">
        <v>8</v>
      </c>
      <c r="J565">
        <v>7</v>
      </c>
      <c r="M565">
        <v>20</v>
      </c>
      <c r="N565">
        <v>28</v>
      </c>
      <c r="O565">
        <v>15514234.234234234</v>
      </c>
      <c r="P565">
        <v>34600000</v>
      </c>
      <c r="Q565">
        <v>42</v>
      </c>
      <c r="R565">
        <v>43</v>
      </c>
      <c r="S565">
        <v>57169720.720720723</v>
      </c>
      <c r="T565">
        <v>54749819.819819815</v>
      </c>
      <c r="U565">
        <v>17106126.126126125</v>
      </c>
      <c r="V565">
        <v>37200000</v>
      </c>
      <c r="W565">
        <v>3924</v>
      </c>
      <c r="X565">
        <v>3985</v>
      </c>
    </row>
    <row r="566" spans="1:24">
      <c r="A566" s="7" t="s">
        <v>656</v>
      </c>
      <c r="B566" s="16" t="s">
        <v>304</v>
      </c>
      <c r="C566">
        <v>156755532.44529653</v>
      </c>
      <c r="D566">
        <v>177083867.3926473</v>
      </c>
      <c r="E566">
        <v>9983783.7837837879</v>
      </c>
      <c r="F566">
        <v>7891891.8918918893</v>
      </c>
      <c r="G566">
        <v>81</v>
      </c>
      <c r="H566">
        <v>186</v>
      </c>
      <c r="I566">
        <v>8</v>
      </c>
      <c r="J566">
        <v>17</v>
      </c>
      <c r="M566">
        <v>83</v>
      </c>
      <c r="N566">
        <v>280</v>
      </c>
      <c r="O566">
        <v>33353153.153153151</v>
      </c>
      <c r="P566">
        <v>30444594.59459459</v>
      </c>
      <c r="Q566">
        <v>46</v>
      </c>
      <c r="R566">
        <v>59</v>
      </c>
      <c r="S566">
        <v>48603783.783783786</v>
      </c>
      <c r="T566">
        <v>51586454.954954952</v>
      </c>
      <c r="U566">
        <v>28870180.180180181</v>
      </c>
      <c r="V566">
        <v>27174234.234234236</v>
      </c>
      <c r="W566">
        <v>3220</v>
      </c>
      <c r="X566">
        <v>3049</v>
      </c>
    </row>
    <row r="567" spans="1:24">
      <c r="A567" s="7" t="s">
        <v>657</v>
      </c>
      <c r="B567" s="16" t="s">
        <v>48</v>
      </c>
      <c r="C567">
        <v>253399960.01612934</v>
      </c>
      <c r="D567">
        <v>213592845.69890967</v>
      </c>
      <c r="E567">
        <v>2423423.423423423</v>
      </c>
      <c r="F567">
        <v>1263963.963963965</v>
      </c>
      <c r="G567">
        <v>43</v>
      </c>
      <c r="H567">
        <v>61</v>
      </c>
      <c r="I567">
        <v>6</v>
      </c>
      <c r="J567">
        <v>5</v>
      </c>
      <c r="M567">
        <v>50</v>
      </c>
      <c r="N567">
        <v>156</v>
      </c>
      <c r="O567">
        <v>28935765.765765764</v>
      </c>
      <c r="P567">
        <v>52414414.414414413</v>
      </c>
      <c r="R567">
        <v>5</v>
      </c>
      <c r="S567">
        <v>76081522.522522524</v>
      </c>
      <c r="T567">
        <v>68894702.702702701</v>
      </c>
      <c r="U567">
        <v>29175405.405405398</v>
      </c>
      <c r="V567">
        <v>42474414.414414413</v>
      </c>
      <c r="W567">
        <v>3344</v>
      </c>
      <c r="X567">
        <v>4671</v>
      </c>
    </row>
    <row r="568" spans="1:24">
      <c r="A568" s="7" t="s">
        <v>658</v>
      </c>
      <c r="B568" s="16" t="s">
        <v>54</v>
      </c>
      <c r="C568">
        <v>69815088.459324852</v>
      </c>
      <c r="D568">
        <v>71009270.300124034</v>
      </c>
      <c r="E568">
        <v>195495.495495496</v>
      </c>
      <c r="F568">
        <v>570270.27027026995</v>
      </c>
      <c r="G568">
        <v>9</v>
      </c>
      <c r="H568">
        <v>1</v>
      </c>
      <c r="I568">
        <v>1</v>
      </c>
      <c r="J568">
        <v>2</v>
      </c>
      <c r="M568">
        <v>10</v>
      </c>
      <c r="N568">
        <v>2</v>
      </c>
      <c r="O568">
        <v>9000000.0000000019</v>
      </c>
      <c r="P568">
        <v>5902702.702702703</v>
      </c>
      <c r="Q568">
        <v>24</v>
      </c>
      <c r="R568">
        <v>15</v>
      </c>
      <c r="S568">
        <v>15819684.684684685</v>
      </c>
      <c r="T568">
        <v>16567882.882882884</v>
      </c>
      <c r="U568">
        <v>7819189.18918919</v>
      </c>
      <c r="V568">
        <v>5198378.3783783792</v>
      </c>
      <c r="W568">
        <v>1530</v>
      </c>
      <c r="X568">
        <v>1548</v>
      </c>
    </row>
    <row r="569" spans="1:24">
      <c r="A569" s="7" t="s">
        <v>659</v>
      </c>
      <c r="B569" s="16" t="s">
        <v>50</v>
      </c>
      <c r="C569">
        <v>315695593.50339192</v>
      </c>
      <c r="D569">
        <v>310750108.39064181</v>
      </c>
      <c r="E569">
        <v>425855.85585585702</v>
      </c>
      <c r="F569">
        <v>1474774.774774777</v>
      </c>
      <c r="G569">
        <v>60</v>
      </c>
      <c r="H569">
        <v>56</v>
      </c>
      <c r="I569">
        <v>13</v>
      </c>
      <c r="J569">
        <v>7</v>
      </c>
      <c r="M569">
        <v>63</v>
      </c>
      <c r="N569">
        <v>78</v>
      </c>
      <c r="O569">
        <v>71608648.648648649</v>
      </c>
      <c r="P569">
        <v>71692072.072072074</v>
      </c>
      <c r="Q569">
        <v>65</v>
      </c>
      <c r="R569">
        <v>31</v>
      </c>
      <c r="S569">
        <v>156831864.86486486</v>
      </c>
      <c r="T569">
        <v>156380135.13513514</v>
      </c>
      <c r="U569">
        <v>68358288.288288295</v>
      </c>
      <c r="V569">
        <v>61878738.738738738</v>
      </c>
      <c r="W569">
        <v>5934</v>
      </c>
      <c r="X569">
        <v>6572</v>
      </c>
    </row>
    <row r="570" spans="1:24">
      <c r="A570" s="7" t="s">
        <v>660</v>
      </c>
      <c r="B570" s="16" t="s">
        <v>83</v>
      </c>
      <c r="C570">
        <v>365322039.85597575</v>
      </c>
      <c r="D570">
        <v>379304882.34145015</v>
      </c>
      <c r="E570">
        <v>1713153.1531531529</v>
      </c>
      <c r="F570">
        <v>3012404.5045045051</v>
      </c>
      <c r="G570">
        <v>101</v>
      </c>
      <c r="H570">
        <v>111</v>
      </c>
      <c r="I570">
        <v>9</v>
      </c>
      <c r="J570">
        <v>10</v>
      </c>
      <c r="K570">
        <v>2</v>
      </c>
      <c r="M570">
        <v>246</v>
      </c>
      <c r="N570">
        <v>129</v>
      </c>
      <c r="O570">
        <v>42982972.972972974</v>
      </c>
      <c r="P570">
        <v>59657118.918918923</v>
      </c>
      <c r="Q570">
        <v>309</v>
      </c>
      <c r="R570">
        <v>87</v>
      </c>
      <c r="S570">
        <v>92272918.918918908</v>
      </c>
      <c r="T570">
        <v>98009729.729729727</v>
      </c>
      <c r="U570">
        <v>39091711.711711712</v>
      </c>
      <c r="V570">
        <v>34293468.468468465</v>
      </c>
      <c r="W570">
        <v>8699</v>
      </c>
      <c r="X570">
        <v>8823</v>
      </c>
    </row>
    <row r="571" spans="1:24">
      <c r="A571" s="12" t="s">
        <v>665</v>
      </c>
      <c r="B571" s="13"/>
      <c r="C571" s="14">
        <v>162608897899.65793</v>
      </c>
      <c r="D571" s="14">
        <v>157894467311.13397</v>
      </c>
      <c r="E571" s="14">
        <v>31279812945.045059</v>
      </c>
      <c r="F571" s="14">
        <v>36827288553.153152</v>
      </c>
      <c r="G571" s="14">
        <v>53260</v>
      </c>
      <c r="H571" s="14">
        <v>55361</v>
      </c>
      <c r="I571" s="14">
        <v>5117</v>
      </c>
      <c r="J571" s="14">
        <v>6078</v>
      </c>
      <c r="K571" s="14">
        <v>494</v>
      </c>
      <c r="L571" s="14"/>
      <c r="M571" s="14">
        <v>67165</v>
      </c>
      <c r="N571" s="14">
        <v>80717</v>
      </c>
      <c r="O571" s="14">
        <v>31213797258.558544</v>
      </c>
      <c r="P571" s="14">
        <v>33636156828.828835</v>
      </c>
      <c r="Q571" s="14">
        <v>84048</v>
      </c>
      <c r="R571" s="14">
        <v>109733</v>
      </c>
      <c r="S571" s="14">
        <v>46002262142.342331</v>
      </c>
      <c r="T571" s="14">
        <v>47533538170.270248</v>
      </c>
      <c r="U571" s="14">
        <v>22682417731.531532</v>
      </c>
      <c r="V571" s="14">
        <v>24201034151.35136</v>
      </c>
      <c r="W571" s="14">
        <v>3718718</v>
      </c>
      <c r="X571" s="14">
        <v>3715022</v>
      </c>
    </row>
    <row r="572" spans="1:24">
      <c r="A572" s="7" t="s">
        <v>659</v>
      </c>
      <c r="B572" s="16" t="s">
        <v>50</v>
      </c>
      <c r="C572">
        <v>284392063.55788958</v>
      </c>
      <c r="D572">
        <v>281260860.3537274</v>
      </c>
      <c r="E572">
        <v>290720.72072072199</v>
      </c>
      <c r="F572">
        <v>1403603.603603607</v>
      </c>
      <c r="G572">
        <v>57</v>
      </c>
      <c r="H572">
        <v>44</v>
      </c>
      <c r="I572">
        <v>13</v>
      </c>
      <c r="J572">
        <v>6</v>
      </c>
      <c r="M572">
        <v>59</v>
      </c>
      <c r="N572">
        <v>60</v>
      </c>
      <c r="O572">
        <v>64090090.090090089</v>
      </c>
      <c r="P572">
        <v>59474594.59459459</v>
      </c>
      <c r="Q572">
        <v>65</v>
      </c>
      <c r="R572">
        <v>22</v>
      </c>
      <c r="S572">
        <v>142118081.08108109</v>
      </c>
      <c r="T572">
        <v>141720369.36936939</v>
      </c>
      <c r="U572">
        <v>63102792.79279279</v>
      </c>
      <c r="V572">
        <v>57845765.765765771</v>
      </c>
      <c r="W572">
        <v>6013</v>
      </c>
      <c r="X572">
        <v>5801</v>
      </c>
    </row>
    <row r="573" spans="1:24">
      <c r="A573" s="7" t="s">
        <v>660</v>
      </c>
      <c r="B573" s="16" t="s">
        <v>83</v>
      </c>
      <c r="C573">
        <v>330533456.24110842</v>
      </c>
      <c r="D573">
        <v>345656754.16725868</v>
      </c>
      <c r="E573">
        <v>1709549.5495495501</v>
      </c>
      <c r="F573">
        <v>2812404.5045045051</v>
      </c>
      <c r="G573">
        <v>92</v>
      </c>
      <c r="H573">
        <v>104</v>
      </c>
      <c r="I573">
        <v>9</v>
      </c>
      <c r="J573">
        <v>9</v>
      </c>
      <c r="K573">
        <v>2</v>
      </c>
      <c r="M573">
        <v>148</v>
      </c>
      <c r="N573">
        <v>121</v>
      </c>
      <c r="O573">
        <v>42979369.369369365</v>
      </c>
      <c r="P573">
        <v>55875136.936936945</v>
      </c>
      <c r="Q573">
        <v>357</v>
      </c>
      <c r="R573">
        <v>84</v>
      </c>
      <c r="S573">
        <v>80550594.594594598</v>
      </c>
      <c r="T573">
        <v>89124639.639639631</v>
      </c>
      <c r="U573">
        <v>36999369.369369365</v>
      </c>
      <c r="V573">
        <v>30226531.531531531</v>
      </c>
      <c r="W573">
        <v>8416</v>
      </c>
      <c r="X573">
        <v>8891</v>
      </c>
    </row>
    <row r="574" spans="1:24">
      <c r="A574" s="12" t="s">
        <v>665</v>
      </c>
      <c r="B574" s="13"/>
      <c r="C574" s="14">
        <v>146900821602.19818</v>
      </c>
      <c r="D574" s="14">
        <v>143404542610.62943</v>
      </c>
      <c r="E574" s="14">
        <v>29156909337.83783</v>
      </c>
      <c r="F574" s="14">
        <v>32248410047.747761</v>
      </c>
      <c r="G574" s="14">
        <v>46606</v>
      </c>
      <c r="H574" s="14">
        <v>47871</v>
      </c>
      <c r="I574" s="14">
        <v>4673</v>
      </c>
      <c r="J574" s="14">
        <v>5566</v>
      </c>
      <c r="K574" s="14">
        <v>460</v>
      </c>
      <c r="L574" s="14"/>
      <c r="M574" s="14">
        <v>59111</v>
      </c>
      <c r="N574" s="14">
        <v>70613</v>
      </c>
      <c r="O574" s="14">
        <v>29517218828.828819</v>
      </c>
      <c r="P574" s="14">
        <v>30316937255.855846</v>
      </c>
      <c r="Q574" s="14">
        <v>87864</v>
      </c>
      <c r="R574" s="14">
        <v>103017</v>
      </c>
      <c r="S574" s="14">
        <v>41304989990.99099</v>
      </c>
      <c r="T574" s="14">
        <v>43157511161.261246</v>
      </c>
      <c r="U574" s="14">
        <v>20709800486.486485</v>
      </c>
      <c r="V574" s="14">
        <v>21562095708.108131</v>
      </c>
      <c r="W574" s="14">
        <v>3712574</v>
      </c>
      <c r="X574" s="14">
        <v>3728336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2026-09-23T13:50:10Z</dcterms:modified>
</cp:coreProperties>
</file>