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E8" i="1" l="1"/>
  <c r="E19" i="1"/>
  <c r="E7" i="1"/>
  <c r="E18" i="1"/>
  <c r="E17" i="1"/>
  <c r="E16" i="1"/>
  <c r="E21" i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<sst xmlns="http://schemas.openxmlformats.org/spreadsheetml/2006/main" count="1241" uniqueCount="680">
  <si>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</si>
  <si>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</si>
  <si>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</si>
  <si>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</si>
  <si>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</si>
  <si>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</si>
  <si>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</si>
  <si>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</si>
  <si>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</si>
  <si>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</si>
  <si>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</si>
  <si>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</si>
  <si>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</si>
  <si>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</si>
  <si>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</si>
  <si>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</si>
  <si>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</si>
  <si>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</si>
  <si>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</si>
  <si>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</si>
  <si>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</si>
  <si>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</si>
  <si>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</si>
  <si>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</si>
  <si>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</si>
  <si>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</si>
  <si>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</si>
  <si>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</si>
  <si>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</si>
  <si>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</si>
  <si>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</si>
  <si>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</si>
  <si>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</si>
  <si>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</si>
  <si>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</si>
  <si>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</si>
  <si>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</si>
  <si>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</si>
  <si>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</si>
  <si>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</si>
  <si>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</si>
  <si>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</si>
  <si>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</si>
  <si>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</si>
  <si>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</si>
  <si>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</si>
  <si>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</si>
  <si>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</si>
  <si>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</si>
  <si>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</si>
  <si>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</si>
  <si>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</si>
  <si>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</si>
  <si>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</si>
  <si>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</si>
  <si>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</si>
  <si>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</si>
  <si>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</si>
  <si>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</si>
  <si>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</si>
  <si>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</si>
  <si>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</si>
  <si>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</si>
  <si>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</si>
  <si>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</si>
  <si>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</si>
  <si>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</si>
  <si>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</si>
  <si>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</si>
  <si>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</si>
  <si>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</si>
  <si>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</si>
  <si>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</si>
  <si>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</si>
  <si>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</si>
  <si>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</si>
  <si>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</si>
  <si>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</si>
  <si>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</si>
  <si>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</si>
  <si>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</si>
  <si>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</si>
  <si>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</si>
  <si>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</si>
  <si>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</si>
  <si>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</si>
  <si>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</si>
  <si>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</si>
  <si>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</si>
  <si>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</si>
  <si>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</si>
  <si>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</si>
  <si>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</si>
  <si>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</si>
  <si>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</si>
  <si>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</si>
  <si>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</si>
  <si>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</si>
  <si>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</si>
  <si>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</si>
  <si>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</si>
  <si>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</si>
  <si>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</si>
  <si>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</si>
  <si>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</si>
  <si>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</si>
  <si>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</si>
  <si>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</si>
  <si>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</si>
  <si>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</si>
  <si>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</si>
  <si>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</si>
  <si>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</si>
  <si>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</si>
  <si>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</si>
  <si>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</si>
  <si>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</si>
  <si>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</si>
  <si>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</si>
  <si>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</si>
  <si>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</si>
  <si>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</si>
  <si>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</si>
  <si>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</si>
  <si>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</si>
  <si>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</si>
  <si>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</si>
  <si>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</si>
  <si>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</si>
  <si>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</si>
  <si>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</si>
  <si>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</si>
  <si>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</si>
  <si>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</si>
  <si>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</si>
  <si>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</si>
  <si>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</si>
  <si>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</si>
  <si>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</si>
  <si>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</si>
  <si>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</si>
  <si>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</si>
  <si>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</si>
  <si>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</si>
  <si>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</si>
  <si>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</si>
  <si>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</si>
  <si>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</si>
  <si>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</si>
  <si>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</si>
  <si>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</si>
  <si>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</si>
  <si>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</si>
  <si>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</si>
  <si>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</si>
  <si>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</si>
  <si>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</si>
  <si>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</si>
  <si>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</si>
  <si>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</si>
  <si>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</si>
  <si>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</si>
  <si>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</si>
  <si>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</si>
  <si>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</si>
  <si>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</si>
  <si>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</si>
  <si>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</si>
  <si>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</si>
  <si>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</si>
  <si>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</si>
  <si>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</si>
  <si>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</si>
  <si>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</si>
  <si>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</si>
  <si>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</si>
  <si>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</si>
  <si>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</si>
  <si>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</si>
  <si>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</si>
  <si>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</si>
  <si>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</si>
  <si>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</si>
  <si>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</si>
  <si>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</si>
  <si>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</si>
  <si>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</si>
  <si>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</si>
  <si>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</si>
  <si>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</si>
  <si>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</si>
  <si>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</si>
  <si>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</si>
  <si>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</si>
  <si>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</si>
  <si>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</si>
  <si>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</si>
  <si>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</si>
  <si>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</si>
  <si>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</si>
  <si>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</si>
  <si>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</si>
  <si>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</si>
  <si>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</si>
  <si>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</si>
  <si>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</si>
  <si>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</si>
  <si>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</si>
  <si>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</si>
  <si>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</si>
  <si>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</si>
  <si>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</si>
  <si>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</si>
  <si>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</si>
  <si>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</si>
  <si>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</si>
  <si>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</si>
  <si>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</si>
  <si>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</si>
  <si>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</si>
  <si>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</si>
  <si>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</si>
  <si>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</si>
  <si>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</si>
  <si>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</si>
  <si>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</si>
  <si>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</si>
  <si>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</si>
  <si>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</si>
  <si>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</si>
  <si>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</si>
  <si>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</si>
  <si>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</si>
  <si>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</si>
  <si>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</si>
  <si>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</si>
  <si>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</si>
  <si>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</si>
  <si>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</si>
  <si>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</si>
  <si>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</si>
  <si>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</si>
  <si>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</si>
  <si>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</si>
  <si>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</si>
  <si>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</si>
  <si>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</si>
  <si>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</si>
  <si>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</si>
  <si>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</si>
  <si>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</si>
  <si>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</si>
  <si>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</si>
  <si>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</si>
  <si>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</si>
  <si>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</si>
  <si>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</si>
  <si>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</si>
  <si>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</si>
  <si>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</si>
  <si>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</si>
  <si>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</si>
  <si>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</si>
  <si>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</si>
  <si>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</si>
  <si>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</si>
  <si>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</si>
  <si>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</si>
  <si>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</si>
  <si>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</si>
  <si>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</si>
  <si>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</si>
  <si>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</si>
  <si>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</si>
  <si>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</si>
  <si>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</si>
  <si>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</si>
  <si>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</si>
  <si>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</si>
  <si>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</si>
  <si>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</si>
  <si>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</si>
  <si>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</si>
  <si>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</si>
  <si>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</si>
  <si>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</si>
  <si>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</si>
  <si>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</si>
  <si>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</si>
  <si>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</si>
  <si>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</si>
  <si>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</si>
  <si>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</si>
  <si>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</si>
  <si>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</si>
  <si>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</si>
  <si>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</si>
  <si>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</si>
  <si>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</si>
  <si>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</si>
  <si>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</si>
  <si>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</si>
  <si>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</si>
  <si>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</si>
  <si>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</si>
  <si>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</si>
  <si>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</si>
  <si>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</si>
  <si>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</si>
  <si>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</si>
  <si>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</si>
  <si>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</si>
  <si>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</si>
  <si>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</si>
  <si>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</si>
  <si>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</si>
  <si>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</si>
  <si>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</si>
  <si>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</si>
  <si>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</si>
  <si>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</si>
  <si>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</si>
  <si>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</si>
  <si>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</si>
  <si>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</si>
  <si>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</si>
  <si>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</si>
  <si>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</si>
  <si>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</si>
  <si>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</si>
  <si>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</si>
  <si>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</si>
  <si>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</si>
  <si>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</si>
  <si>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</si>
  <si>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</si>
  <si>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</si>
  <si>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</si>
  <si>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</si>
  <si>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</si>
  <si>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</si>
  <si>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</si>
  <si>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</si>
  <si>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</si>
  <si>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</si>
  <si>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</si>
  <si>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</si>
  <si>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</si>
  <si>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</si>
  <si>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</si>
  <si>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</si>
  <si>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</si>
  <si>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</si>
  <si>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</si>
  <si>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</si>
  <si>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</si>
  <si>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</si>
  <si>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</si>
  <si>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</si>
  <si>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</si>
  <si>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</si>
  <si>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</si>
  <si>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</si>
  <si>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</si>
  <si>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</si>
  <si>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</si>
  <si>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</si>
  <si>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</si>
  <si>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</si>
  <si>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</si>
  <si>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</si>
  <si>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</si>
  <si>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</si>
  <si>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</si>
  <si>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</si>
  <si>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</si>
  <si>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</si>
  <si>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</si>
  <si>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</si>
  <si>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</si>
  <si>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</si>
  <si>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</si>
  <si>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</si>
  <si>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</si>
  <si>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</si>
  <si>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</si>
  <si>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</si>
  <si>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</si>
  <si>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</si>
  <si>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</si>
  <si>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</si>
  <si>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</si>
  <si>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</si>
  <si>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</si>
  <si>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</si>
  <si>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</si>
  <si>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</si>
  <si>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</si>
  <si>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</si>
  <si>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</si>
  <si>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</si>
  <si>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</si>
  <si>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</si>
  <si>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</si>
  <si>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</si>
  <si>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</si>
  <si>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</si>
  <si>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</si>
  <si>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</si>
  <si>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</si>
  <si>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</si>
  <si>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</si>
  <si>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</si>
  <si>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</si>
  <si>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</si>
  <si>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</si>
  <si>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</si>
  <si>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</si>
  <si>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</si>
  <si>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</si>
  <si>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</si>
  <si>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</si>
  <si>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</si>
  <si>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</si>
  <si>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</si>
  <si>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</si>
  <si>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</si>
  <si>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</si>
  <si>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</si>
  <si>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</si>
  <si>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</si>
  <si>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</si>
  <si>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</si>
  <si>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</si>
  <si>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</si>
  <si>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</si>
  <si>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</si>
  <si>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</si>
  <si>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</si>
  <si>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</si>
  <si>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</si>
  <si>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</si>
  <si>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</si>
  <si>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</si>
  <si>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</si>
  <si>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</si>
  <si>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</si>
  <si>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</si>
  <si>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</si>
  <si>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</si>
  <si>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</si>
  <si>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</si>
  <si>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</si>
  <si>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</si>
  <si>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</si>
  <si>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</si>
  <si>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</si>
  <si>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</si>
  <si>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</si>
  <si>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</si>
  <si>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</si>
  <si>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</si>
  <si>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</si>
  <si>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</si>
  <si>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</si>
  <si>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</si>
  <si>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</si>
  <si>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</si>
  <si>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</si>
  <si>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</si>
  <si>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</si>
  <si>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</si>
  <si>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</si>
  <si>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</si>
  <si>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</si>
  <si>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</si>
  <si>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</si>
  <si>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</si>
  <si>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</si>
  <si>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</si>
  <si>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</si>
  <si>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</si>
  <si>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</si>
  <si>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</si>
  <si>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</si>
  <si>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</si>
  <si>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</si>
  <si>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</si>
  <si>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</si>
  <si>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</si>
  <si>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</si>
  <si>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</si>
  <si>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</si>
  <si>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</si>
  <si>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</si>
  <si>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</si>
  <si>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</si>
  <si>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</si>
  <si>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</si>
  <si>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</si>
  <si>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</si>
  <si>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</si>
  <si>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</si>
  <si>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</si>
  <si>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</si>
  <si>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</si>
  <si>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</si>
  <si>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</si>
  <si>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</si>
  <si>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</si>
  <si>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</si>
  <si>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</si>
  <si>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</si>
  <si>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</si>
  <si>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</si>
  <si>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</si>
  <si>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</si>
  <si>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</si>
  <si>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</si>
  <si>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</si>
  <si>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</si>
  <si>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</si>
  <si>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</si>
  <si>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</si>
  <si>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</si>
  <si>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</si>
  <si>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</si>
  <si>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</si>
  <si>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</si>
  <si>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</si>
  <si>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</si>
  <si>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</si>
  <si>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</si>
  <si>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</si>
  <si>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</si>
  <si>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</si>
  <si>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</si>
  <si>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</si>
  <si>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</si>
  <si>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</si>
  <si>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</si>
  <si>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</si>
  <si>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</si>
  <si>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</si>
  <si>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</si>
  <si>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</si>
  <si>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</si>
  <si>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</si>
  <si>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</si>
  <si>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</si>
  <si>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</si>
  <si>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</si>
  <si>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</si>
  <si>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</si>
  <si>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</si>
  <si>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</si>
  <si>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</si>
  <si>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</si>
  <si>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</si>
  <si>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</si>
  <si>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</si>
  <si>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</si>
  <si>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</si>
  <si>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</si>
  <si>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</si>
  <si>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</si>
  <si>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</si>
  <si>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</si>
  <si>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</si>
  <si>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</si>
  <si>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</si>
  <si>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</si>
  <si>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</si>
  <si>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</si>
  <si>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</si>
  <si>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</si>
  <si>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</si>
  <si>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</si>
  <si>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</si>
  <si>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</si>
  <si>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</si>
  <si>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</si>
  <si>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</si>
  <si>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</si>
  <si>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</si>
  <si>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</si>
  <si>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</si>
  <si>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</si>
  <si>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</si>
  <si>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</si>
  <si>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</si>
  <si>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</si>
  <si>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</si>
  <si>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</si>
  <si>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</si>
  <si>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</si>
  <si>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</si>
  <si>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</si>
  <si>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</si>
  <si>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</si>
  <si>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</si>
  <si>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</si>
  <si>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</si>
  <si>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</si>
  <si>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</si>
  <si>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</si>
  <si>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</si>
  <si>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</si>
  <si>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</si>
  <si>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</si>
  <si>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</si>
  <si>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</si>
  <si>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</si>
  <si>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</si>
  <si>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</si>
  <si>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</si>
  <si>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</si>
  <si>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</si>
  <si>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</si>
  <si>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</si>
  <si>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</si>
  <si>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</si>
  <si>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</si>
  <si>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</si>
  <si>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</si>
  <si>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</si>
  <si>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</si>
  <si>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</si>
  <si>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</si>
  <si>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</si>
  <si>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</si>
  <si>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</si>
  <si>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</si>
  <si>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</si>
  <si>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</si>
  <si>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</si>
  <si>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</si>
  <si>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</si>
  <si>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</si>
  <si>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</si>
  <si>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</si>
  <si>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</si>
  <si>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</si>
  <si>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</si>
  <si>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</si>
  <si>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</si>
  <si>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</si>
  <si>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</si>
  <si>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</si>
  <si>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</si>
  <si>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</si>
  <si>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</si>
  <si>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</si>
  <si>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</si>
  <si>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</si>
  <si>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</si>
  <si>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</si>
  <si>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</si>
  <si>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</si>
  <si>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</si>
  <si>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</si>
  <si>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</si>
  <si>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</si>
  <si>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</si>
  <si>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</si>
  <si>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</si>
  <si>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</si>
  <si>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</si>
  <si>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</si>
  <si>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</si>
  <si>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</si>
  <si>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</si>
  <si>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KELAY|BERAU</t>
  </si>
  <si>
    <t>SUNGAI BABUAT|MURUNG RAYA</t>
  </si>
  <si>
    <t>HAMPANG|KOTABARU</t>
  </si>
  <si>
    <t>KAHAYAN HULU UTARA|GUNUNG MAS</t>
  </si>
  <si>
    <t>KATINGAN HULU|KATINGAN</t>
  </si>
  <si>
    <t>PURING KENCANA|KAPUAS HULU</t>
  </si>
  <si>
    <t>SULING TAMBUN|SERUYAN</t>
  </si>
  <si>
    <t>TANAH PINOH|MELAWI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</si>
</sst>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467121888.44385195</v>
      </c>
      <c r="D6" s="4">
        <f>IFERROR(VLOOKUP(A:A,MASTER!A:D,4,0),0)</f>
        <v>466107197.69481909</v>
      </c>
      <c r="E6" s="8">
        <f>IFERROR(C6/D6-1,0)</f>
        <v>2.1769471787844719E-3</v>
      </c>
      <c r="F6" s="4">
        <f>IFERROR(VLOOKUP(A6,MASTER!A:E,5,0),0)</f>
        <v>569819.81981982104</v>
      </c>
      <c r="G6" s="4">
        <f>IFERROR(VLOOKUP(A6,MASTER!A:F,6,0),0)</f>
        <v>3445945.9459459488</v>
      </c>
      <c r="H6" s="8">
        <f>IFERROR(F6/G6-1,0)</f>
        <v>-0.8346405228758168</v>
      </c>
      <c r="I6" s="4">
        <f>IFERROR(VLOOKUP(A6,MASTER!A:O,15,0),0)</f>
        <v>54293783.783783786</v>
      </c>
      <c r="J6" s="4">
        <f>IFERROR(VLOOKUP(A6,MASTER!A:P,16,0),0)</f>
        <v>53468198.198198199</v>
      </c>
      <c r="K6" s="8">
        <f>IFERROR(I6/J6-1,0)</f>
        <v>1.5440684620141365E-2</v>
      </c>
      <c r="L6" s="4">
        <f>IFERROR(VLOOKUP(A6,MASTER!A:S,19,0),0)</f>
        <v>224667520.72072071</v>
      </c>
      <c r="M6" s="4">
        <f>IFERROR(VLOOKUP(A6,MASTER!A:T,20,0),0)</f>
        <v>221719171.17117116</v>
      </c>
      <c r="N6" s="8">
        <f>IFERROR(L6/M6-1,0)</f>
        <v>1.3297675315921964E-2</v>
      </c>
      <c r="O6" s="4">
        <f>IFERROR(VLOOKUP(A6,MASTER!A:U,21,0),0)</f>
        <v>51210810.810810804</v>
      </c>
      <c r="P6" s="4">
        <f>IFERROR(VLOOKUP(A6,MASTER!A:V,22,0),0)</f>
        <v>50853423.423423424</v>
      </c>
      <c r="Q6" s="8">
        <f>IFERROR(O6/P6-1,0)</f>
        <v>7.0277940663237004E-3</v>
      </c>
      <c r="R6" s="4">
        <f>IFERROR(VLOOKUP(A6,MASTER!A:W,23,0),0)</f>
        <v>8839</v>
      </c>
      <c r="S6" s="4">
        <f>IFERROR(VLOOKUP(A6,MASTER!A:X,24,0),0)</f>
        <v>7778</v>
      </c>
      <c r="T6" s="8">
        <f>IFERROR(R6/S6-1,0)</f>
        <v>0.13641038827462082</v>
      </c>
      <c r="U6" s="11">
        <f>IFERROR(VLOOKUP(A6,MASTER!A:M,13,0),0)</f>
        <v>778</v>
      </c>
      <c r="V6" s="11">
        <f>IFERROR(VLOOKUP(A6,MASTER!A:N,14,0),0)</f>
        <v>526</v>
      </c>
      <c r="W6" s="8">
        <f>IFERROR(U6/V6-1,0)</f>
        <v>0.47908745247148299</v>
      </c>
      <c r="X6" s="11">
        <f>IFERROR(VLOOKUP(A6,MASTER!A:Q,17,0),0)</f>
        <v>225</v>
      </c>
      <c r="Y6" s="11">
        <f>IFERROR(VLOOKUP(A6,MASTER!A:R,18,0),0)</f>
        <v>233</v>
      </c>
      <c r="Z6" s="8">
        <f>IFERROR(X6/Y6-1,0)</f>
        <v>-3.4334763948497882E-2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54260702.637432575</v>
      </c>
      <c r="D7" s="4">
        <f>IFERROR(VLOOKUP(A:A,MASTER!A:D,4,0),0)</f>
        <v>46787545.530312181</v>
      </c>
      <c r="E7" s="8">
        <f t="shared" ref="E7:E22" si="0">IFERROR(C7/D7-1,0)</f>
        <v>0.15972535046273739</v>
      </c>
      <c r="F7" s="4">
        <f>IFERROR(VLOOKUP(A7,MASTER!A:E,5,0),0)</f>
        <v>57657.657657657001</v>
      </c>
      <c r="G7" s="4">
        <f>IFERROR(VLOOKUP(A7,MASTER!A:F,6,0),0)</f>
        <v>310810.81081081199</v>
      </c>
      <c r="H7" s="8">
        <f t="shared" ref="H7:H22" si="1">IFERROR(F7/G7-1,0)</f>
        <v>-0.81449275362319118</v>
      </c>
      <c r="I7" s="4">
        <f>IFERROR(VLOOKUP(A7,MASTER!A:O,15,0),0)</f>
        <v>324324.32432432403</v>
      </c>
      <c r="J7" s="4">
        <f>IFERROR(VLOOKUP(A7,MASTER!A:P,16,0),0)</f>
        <v>6662162.1621621633</v>
      </c>
      <c r="K7" s="8">
        <f t="shared" ref="K7:K22" si="2">IFERROR(I7/J7-1,0)</f>
        <v>-0.9513184584178499</v>
      </c>
      <c r="L7" s="4">
        <f>IFERROR(VLOOKUP(A7,MASTER!A:S,19,0),0)</f>
        <v>29220900.9009009</v>
      </c>
      <c r="M7" s="4">
        <f>IFERROR(VLOOKUP(A7,MASTER!A:T,20,0),0)</f>
        <v>26290288.288288288</v>
      </c>
      <c r="N7" s="8">
        <f t="shared" ref="N7:N22" si="3">IFERROR(L7/M7-1,0)</f>
        <v>0.11147129999019945</v>
      </c>
      <c r="O7" s="4">
        <f>IFERROR(VLOOKUP(A7,MASTER!A:U,21,0),0)</f>
        <v>330180.18018018099</v>
      </c>
      <c r="P7" s="4">
        <f>IFERROR(VLOOKUP(A7,MASTER!A:V,22,0),0)</f>
        <v>6763063.0630630637</v>
      </c>
      <c r="Q7" s="8">
        <f t="shared" ref="Q7:Q22" si="4">IFERROR(O7/P7-1,0)</f>
        <v>-0.95117889969361913</v>
      </c>
      <c r="R7" s="4">
        <f>IFERROR(VLOOKUP(A7,MASTER!A:W,23,0),0)</f>
        <v>1334</v>
      </c>
      <c r="S7" s="4">
        <f>IFERROR(VLOOKUP(A7,MASTER!A:X,24,0),0)</f>
        <v>1207</v>
      </c>
      <c r="T7" s="8">
        <f t="shared" ref="T7:T22" si="5">IFERROR(R7/S7-1,0)</f>
        <v>0.10521955260977633</v>
      </c>
      <c r="U7" s="11">
        <f>IFERROR(VLOOKUP(A7,MASTER!A:M,13,0),0)</f>
        <v>15</v>
      </c>
      <c r="V7" s="11">
        <f>IFERROR(VLOOKUP(A7,MASTER!A:N,14,0),0)</f>
        <v>7</v>
      </c>
      <c r="W7" s="8">
        <f t="shared" ref="W7:W22" si="6">IFERROR(U7/V7-1,0)</f>
        <v>1.1428571428571428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352525591.58430195</v>
      </c>
      <c r="D8" s="4">
        <f>IFERROR(VLOOKUP(A:A,MASTER!A:D,4,0),0)</f>
        <v>349183136.7292698</v>
      </c>
      <c r="E8" s="8">
        <f t="shared" si="0"/>
        <v>9.5722115516236883E-3</v>
      </c>
      <c r="F8" s="4">
        <f>IFERROR(VLOOKUP(A8,MASTER!A:E,5,0),0)</f>
        <v>3550225.225225227</v>
      </c>
      <c r="G8" s="4">
        <f>IFERROR(VLOOKUP(A8,MASTER!A:F,6,0),0)</f>
        <v>4836711.711711715</v>
      </c>
      <c r="H8" s="8">
        <f t="shared" si="1"/>
        <v>-0.26598370197904553</v>
      </c>
      <c r="I8" s="4">
        <f>IFERROR(VLOOKUP(A8,MASTER!A:O,15,0),0)</f>
        <v>64822072.072072081</v>
      </c>
      <c r="J8" s="4">
        <f>IFERROR(VLOOKUP(A8,MASTER!A:P,16,0),0)</f>
        <v>71794594.594594598</v>
      </c>
      <c r="K8" s="8">
        <f t="shared" si="2"/>
        <v>-9.711765296391095E-2</v>
      </c>
      <c r="L8" s="4">
        <f>IFERROR(VLOOKUP(A8,MASTER!A:S,19,0),0)</f>
        <v>94449774.77477479</v>
      </c>
      <c r="M8" s="4">
        <f>IFERROR(VLOOKUP(A8,MASTER!A:T,20,0),0)</f>
        <v>95365207.207207203</v>
      </c>
      <c r="N8" s="8">
        <f t="shared" si="3"/>
        <v>-9.5992286835112628E-3</v>
      </c>
      <c r="O8" s="4">
        <f>IFERROR(VLOOKUP(A8,MASTER!A:U,21,0),0)</f>
        <v>63363603.603603601</v>
      </c>
      <c r="P8" s="4">
        <f>IFERROR(VLOOKUP(A8,MASTER!A:V,22,0),0)</f>
        <v>64784414.414414413</v>
      </c>
      <c r="Q8" s="8">
        <f t="shared" si="4"/>
        <v>-2.1931367654605016E-2</v>
      </c>
      <c r="R8" s="4">
        <f>IFERROR(VLOOKUP(A8,MASTER!A:W,23,0),0)</f>
        <v>3802</v>
      </c>
      <c r="S8" s="4">
        <f>IFERROR(VLOOKUP(A8,MASTER!A:X,24,0),0)</f>
        <v>3743</v>
      </c>
      <c r="T8" s="8">
        <f t="shared" si="5"/>
        <v>1.5762757146673856E-2</v>
      </c>
      <c r="U8" s="11">
        <f>IFERROR(VLOOKUP(A8,MASTER!A:M,13,0),0)</f>
        <v>63</v>
      </c>
      <c r="V8" s="11">
        <f>IFERROR(VLOOKUP(A8,MASTER!A:N,14,0),0)</f>
        <v>61</v>
      </c>
      <c r="W8" s="8">
        <f t="shared" si="6"/>
        <v>3.2786885245901676E-2</v>
      </c>
      <c r="X8" s="11">
        <f>IFERROR(VLOOKUP(A8,MASTER!A:Q,17,0),0)</f>
        <v>102</v>
      </c>
      <c r="Y8" s="11">
        <f>IFERROR(VLOOKUP(A8,MASTER!A:R,18,0),0)</f>
        <v>79</v>
      </c>
      <c r="Z8" s="8">
        <f t="shared" si="7"/>
        <v>0.29113924050632911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202995848.59471661</v>
      </c>
      <c r="D9" s="4">
        <f>IFERROR(VLOOKUP(A:A,MASTER!A:D,4,0),0)</f>
        <v>206907562.04500735</v>
      </c>
      <c r="E9" s="8">
        <f t="shared" si="0"/>
        <v>-1.8905608918439842E-2</v>
      </c>
      <c r="F9" s="4">
        <f>IFERROR(VLOOKUP(A9,MASTER!A:E,5,0),0)</f>
        <v>1290990.990990991</v>
      </c>
      <c r="G9" s="4">
        <f>IFERROR(VLOOKUP(A9,MASTER!A:F,6,0),0)</f>
        <v>3161261.2612612639</v>
      </c>
      <c r="H9" s="8">
        <f t="shared" si="1"/>
        <v>-0.59162154459960137</v>
      </c>
      <c r="I9" s="4">
        <f>IFERROR(VLOOKUP(A9,MASTER!A:O,15,0),0)</f>
        <v>32396846.846846849</v>
      </c>
      <c r="J9" s="4">
        <f>IFERROR(VLOOKUP(A9,MASTER!A:P,16,0),0)</f>
        <v>33007207.207207207</v>
      </c>
      <c r="K9" s="8">
        <f t="shared" si="2"/>
        <v>-1.8491729897920139E-2</v>
      </c>
      <c r="L9" s="4">
        <f>IFERROR(VLOOKUP(A9,MASTER!A:S,19,0),0)</f>
        <v>76566486.48648648</v>
      </c>
      <c r="M9" s="4">
        <f>IFERROR(VLOOKUP(A9,MASTER!A:T,20,0),0)</f>
        <v>74035567.567567572</v>
      </c>
      <c r="N9" s="8">
        <f t="shared" si="3"/>
        <v>3.4185176153463059E-2</v>
      </c>
      <c r="O9" s="4">
        <f>IFERROR(VLOOKUP(A9,MASTER!A:U,21,0),0)</f>
        <v>34955675.675675675</v>
      </c>
      <c r="P9" s="4">
        <f>IFERROR(VLOOKUP(A9,MASTER!A:V,22,0),0)</f>
        <v>41556126.126126125</v>
      </c>
      <c r="Q9" s="8">
        <f t="shared" si="4"/>
        <v>-0.1588321883136451</v>
      </c>
      <c r="R9" s="4">
        <f>IFERROR(VLOOKUP(A9,MASTER!A:W,23,0),0)</f>
        <v>3417</v>
      </c>
      <c r="S9" s="4">
        <f>IFERROR(VLOOKUP(A9,MASTER!A:X,24,0),0)</f>
        <v>3654</v>
      </c>
      <c r="T9" s="8">
        <f t="shared" si="5"/>
        <v>-6.4860426929392423E-2</v>
      </c>
      <c r="U9" s="11">
        <f>IFERROR(VLOOKUP(A9,MASTER!A:M,13,0),0)</f>
        <v>18</v>
      </c>
      <c r="V9" s="11">
        <f>IFERROR(VLOOKUP(A9,MASTER!A:N,14,0),0)</f>
        <v>22</v>
      </c>
      <c r="W9" s="8">
        <f t="shared" si="6"/>
        <v>-0.18181818181818177</v>
      </c>
      <c r="X9" s="11">
        <f>IFERROR(VLOOKUP(A9,MASTER!A:Q,17,0),0)</f>
        <v>125</v>
      </c>
      <c r="Y9" s="11">
        <f>IFERROR(VLOOKUP(A9,MASTER!A:R,18,0),0)</f>
        <v>102</v>
      </c>
      <c r="Z9" s="8">
        <f t="shared" si="7"/>
        <v>0.22549019607843146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388912493.6936937</v>
      </c>
      <c r="G10" s="4">
        <f>IFERROR(VLOOKUP(A10,MASTER!A:F,6,0),0)</f>
        <v>403343690.0900901</v>
      </c>
      <c r="H10" s="8">
        <f t="shared" si="1"/>
        <v>-3.5778907048658826E-2</v>
      </c>
      <c r="I10" s="4">
        <f>IFERROR(VLOOKUP(A10,MASTER!A:O,15,0),0)</f>
        <v>2816441.441441441</v>
      </c>
      <c r="J10" s="4">
        <f>IFERROR(VLOOKUP(A10,MASTER!A:P,16,0),0)</f>
        <v>606081.08108108095</v>
      </c>
      <c r="K10" s="8">
        <f t="shared" si="2"/>
        <v>3.6469713861018214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219484956.54141527</v>
      </c>
      <c r="D11" s="4">
        <f>IFERROR(VLOOKUP(A:A,MASTER!A:D,4,0),0)</f>
        <v>218916309.16222733</v>
      </c>
      <c r="E11" s="8">
        <f t="shared" si="0"/>
        <v>2.5975560311797263E-3</v>
      </c>
      <c r="F11" s="4">
        <f>IFERROR(VLOOKUP(A11,MASTER!A:E,5,0),0)</f>
        <v>2413963.963963964</v>
      </c>
      <c r="G11" s="4">
        <f>IFERROR(VLOOKUP(A11,MASTER!A:F,6,0),0)</f>
        <v>1099099.0990991001</v>
      </c>
      <c r="H11" s="8">
        <f t="shared" si="1"/>
        <v>1.1963114754098343</v>
      </c>
      <c r="I11" s="4">
        <f>IFERROR(VLOOKUP(A11,MASTER!A:O,15,0),0)</f>
        <v>17330360.360360362</v>
      </c>
      <c r="J11" s="4">
        <f>IFERROR(VLOOKUP(A11,MASTER!A:P,16,0),0)</f>
        <v>15196396.396396397</v>
      </c>
      <c r="K11" s="8">
        <f t="shared" si="2"/>
        <v>0.14042565805074703</v>
      </c>
      <c r="L11" s="4">
        <f>IFERROR(VLOOKUP(A11,MASTER!A:S,19,0),0)</f>
        <v>95344054.054054052</v>
      </c>
      <c r="M11" s="4">
        <f>IFERROR(VLOOKUP(A11,MASTER!A:T,20,0),0)</f>
        <v>92912513.51351352</v>
      </c>
      <c r="N11" s="8">
        <f t="shared" si="3"/>
        <v>2.6170215922388884E-2</v>
      </c>
      <c r="O11" s="4">
        <f>IFERROR(VLOOKUP(A11,MASTER!A:U,21,0),0)</f>
        <v>15376846.846846847</v>
      </c>
      <c r="P11" s="4">
        <f>IFERROR(VLOOKUP(A11,MASTER!A:V,22,0),0)</f>
        <v>14188108.108108109</v>
      </c>
      <c r="Q11" s="8">
        <f t="shared" si="4"/>
        <v>8.3784161332926876E-2</v>
      </c>
      <c r="R11" s="4">
        <f>IFERROR(VLOOKUP(A11,MASTER!A:W,23,0),0)</f>
        <v>3131</v>
      </c>
      <c r="S11" s="4">
        <f>IFERROR(VLOOKUP(A11,MASTER!A:X,24,0),0)</f>
        <v>3242</v>
      </c>
      <c r="T11" s="8">
        <f t="shared" si="5"/>
        <v>-3.4238124614435539E-2</v>
      </c>
      <c r="U11" s="11">
        <f>IFERROR(VLOOKUP(A11,MASTER!A:M,13,0),0)</f>
        <v>17</v>
      </c>
      <c r="V11" s="11">
        <f>IFERROR(VLOOKUP(A11,MASTER!A:N,14,0),0)</f>
        <v>40</v>
      </c>
      <c r="W11" s="8">
        <f t="shared" si="6"/>
        <v>-0.57499999999999996</v>
      </c>
      <c r="X11" s="11">
        <f>IFERROR(VLOOKUP(A11,MASTER!A:Q,17,0),0)</f>
        <v>91</v>
      </c>
      <c r="Y11" s="11">
        <f>IFERROR(VLOOKUP(A11,MASTER!A:R,18,0),0)</f>
        <v>27</v>
      </c>
      <c r="Z11" s="8">
        <f t="shared" si="7"/>
        <v>2.3703703703703702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808847343.41191638</v>
      </c>
      <c r="D12" s="4">
        <f>IFERROR(VLOOKUP(A:A,MASTER!A:D,4,0),0)</f>
        <v>802439872.73643887</v>
      </c>
      <c r="E12" s="8">
        <f t="shared" si="0"/>
        <v>7.9849854090963124E-3</v>
      </c>
      <c r="F12" s="4">
        <f>IFERROR(VLOOKUP(A12,MASTER!A:E,5,0),0)</f>
        <v>6758108.1081081014</v>
      </c>
      <c r="G12" s="4">
        <f>IFERROR(VLOOKUP(A12,MASTER!A:F,6,0),0)</f>
        <v>10413988.288288295</v>
      </c>
      <c r="H12" s="8">
        <f t="shared" si="1"/>
        <v>-0.35105476201578256</v>
      </c>
      <c r="I12" s="4">
        <f>IFERROR(VLOOKUP(A12,MASTER!A:O,15,0),0)</f>
        <v>319759909.9099099</v>
      </c>
      <c r="J12" s="4">
        <f>IFERROR(VLOOKUP(A12,MASTER!A:P,16,0),0)</f>
        <v>357263183.78378379</v>
      </c>
      <c r="K12" s="8">
        <f t="shared" si="2"/>
        <v>-0.10497379964169751</v>
      </c>
      <c r="L12" s="4">
        <f>IFERROR(VLOOKUP(A12,MASTER!A:S,19,0),0)</f>
        <v>543419864.86486495</v>
      </c>
      <c r="M12" s="4">
        <f>IFERROR(VLOOKUP(A12,MASTER!A:T,20,0),0)</f>
        <v>540595252.25225222</v>
      </c>
      <c r="N12" s="8">
        <f t="shared" si="3"/>
        <v>5.2250044757971015E-3</v>
      </c>
      <c r="O12" s="4">
        <f>IFERROR(VLOOKUP(A12,MASTER!A:U,21,0),0)</f>
        <v>288366666.66666669</v>
      </c>
      <c r="P12" s="4">
        <f>IFERROR(VLOOKUP(A12,MASTER!A:V,22,0),0)</f>
        <v>321065675.67567563</v>
      </c>
      <c r="Q12" s="8">
        <f t="shared" si="4"/>
        <v>-0.10184523443745463</v>
      </c>
      <c r="R12" s="4">
        <f>IFERROR(VLOOKUP(A12,MASTER!A:W,23,0),0)</f>
        <v>13148</v>
      </c>
      <c r="S12" s="4">
        <f>IFERROR(VLOOKUP(A12,MASTER!A:X,24,0),0)</f>
        <v>13508</v>
      </c>
      <c r="T12" s="8">
        <f t="shared" si="5"/>
        <v>-2.6650873556411048E-2</v>
      </c>
      <c r="U12" s="11">
        <f>IFERROR(VLOOKUP(A12,MASTER!A:M,13,0),0)</f>
        <v>1256</v>
      </c>
      <c r="V12" s="11">
        <f>IFERROR(VLOOKUP(A12,MASTER!A:N,14,0),0)</f>
        <v>976</v>
      </c>
      <c r="W12" s="8">
        <f t="shared" si="6"/>
        <v>0.28688524590163933</v>
      </c>
      <c r="X12" s="11">
        <f>IFERROR(VLOOKUP(A12,MASTER!A:Q,17,0),0)</f>
        <v>728</v>
      </c>
      <c r="Y12" s="11">
        <f>IFERROR(VLOOKUP(A12,MASTER!A:R,18,0),0)</f>
        <v>1019</v>
      </c>
      <c r="Z12" s="8">
        <f t="shared" si="7"/>
        <v>-0.28557409224730124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179038167.84582007</v>
      </c>
      <c r="D13" s="4">
        <f>IFERROR(VLOOKUP(A:A,MASTER!A:D,4,0),0)</f>
        <v>187068654.98503476</v>
      </c>
      <c r="E13" s="8">
        <f t="shared" si="0"/>
        <v>-4.2928020944273726E-2</v>
      </c>
      <c r="F13" s="4">
        <f>IFERROR(VLOOKUP(A13,MASTER!A:E,5,0),0)</f>
        <v>43693.693693693</v>
      </c>
      <c r="G13" s="4">
        <f>IFERROR(VLOOKUP(A13,MASTER!A:F,6,0),0)</f>
        <v>457657.65765765897</v>
      </c>
      <c r="H13" s="8">
        <f t="shared" si="1"/>
        <v>-0.90452755905511995</v>
      </c>
      <c r="I13" s="4">
        <f>IFERROR(VLOOKUP(A13,MASTER!A:O,15,0),0)</f>
        <v>46491441.441441439</v>
      </c>
      <c r="J13" s="4">
        <f>IFERROR(VLOOKUP(A13,MASTER!A:P,16,0),0)</f>
        <v>38869819.819819823</v>
      </c>
      <c r="K13" s="8">
        <f t="shared" si="2"/>
        <v>0.19608070366550368</v>
      </c>
      <c r="L13" s="4">
        <f>IFERROR(VLOOKUP(A13,MASTER!A:S,19,0),0)</f>
        <v>123181378.37837839</v>
      </c>
      <c r="M13" s="4">
        <f>IFERROR(VLOOKUP(A13,MASTER!A:T,20,0),0)</f>
        <v>129994144.14414415</v>
      </c>
      <c r="N13" s="8">
        <f t="shared" si="3"/>
        <v>-5.2408251237928138E-2</v>
      </c>
      <c r="O13" s="4">
        <f>IFERROR(VLOOKUP(A13,MASTER!A:U,21,0),0)</f>
        <v>46429099.099099107</v>
      </c>
      <c r="P13" s="4">
        <f>IFERROR(VLOOKUP(A13,MASTER!A:V,22,0),0)</f>
        <v>36896756.756756753</v>
      </c>
      <c r="Q13" s="8">
        <f t="shared" si="4"/>
        <v>0.25835176802082294</v>
      </c>
      <c r="R13" s="4">
        <f>IFERROR(VLOOKUP(A13,MASTER!A:W,23,0),0)</f>
        <v>4780</v>
      </c>
      <c r="S13" s="4">
        <f>IFERROR(VLOOKUP(A13,MASTER!A:X,24,0),0)</f>
        <v>4763</v>
      </c>
      <c r="T13" s="8">
        <f t="shared" si="5"/>
        <v>3.5691790888094932E-3</v>
      </c>
      <c r="U13" s="11">
        <f>IFERROR(VLOOKUP(A13,MASTER!A:M,13,0),0)</f>
        <v>58</v>
      </c>
      <c r="V13" s="11">
        <f>IFERROR(VLOOKUP(A13,MASTER!A:N,14,0),0)</f>
        <v>75</v>
      </c>
      <c r="W13" s="8">
        <f t="shared" si="6"/>
        <v>-0.22666666666666668</v>
      </c>
      <c r="X13" s="11">
        <f>IFERROR(VLOOKUP(A13,MASTER!A:Q,17,0),0)</f>
        <v>252</v>
      </c>
      <c r="Y13" s="11">
        <f>IFERROR(VLOOKUP(A13,MASTER!A:R,18,0),0)</f>
        <v>157</v>
      </c>
      <c r="Z13" s="8">
        <f t="shared" si="7"/>
        <v>0.60509554140127397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270058114.1620962</v>
      </c>
      <c r="D14" s="4">
        <f>IFERROR(VLOOKUP(A:A,MASTER!A:D,4,0),0)</f>
        <v>262717233.48696548</v>
      </c>
      <c r="E14" s="8">
        <f t="shared" si="0"/>
        <v>2.7942136028525688E-2</v>
      </c>
      <c r="F14" s="4">
        <f>IFERROR(VLOOKUP(A14,MASTER!A:E,5,0),0)</f>
        <v>2483783.7837837869</v>
      </c>
      <c r="G14" s="4">
        <f>IFERROR(VLOOKUP(A14,MASTER!A:F,6,0),0)</f>
        <v>5693693.6936936947</v>
      </c>
      <c r="H14" s="8">
        <f t="shared" si="1"/>
        <v>-0.56376582278480969</v>
      </c>
      <c r="I14" s="4">
        <f>IFERROR(VLOOKUP(A14,MASTER!A:O,15,0),0)</f>
        <v>34754504.504504502</v>
      </c>
      <c r="J14" s="4">
        <f>IFERROR(VLOOKUP(A14,MASTER!A:P,16,0),0)</f>
        <v>45001801.801801801</v>
      </c>
      <c r="K14" s="8">
        <f t="shared" si="2"/>
        <v>-0.22770860025624606</v>
      </c>
      <c r="L14" s="4">
        <f>IFERROR(VLOOKUP(A14,MASTER!A:S,19,0),0)</f>
        <v>78617738.738738731</v>
      </c>
      <c r="M14" s="4">
        <f>IFERROR(VLOOKUP(A14,MASTER!A:T,20,0),0)</f>
        <v>77684297.297297299</v>
      </c>
      <c r="N14" s="8">
        <f t="shared" si="3"/>
        <v>1.2015831692074874E-2</v>
      </c>
      <c r="O14" s="4">
        <f>IFERROR(VLOOKUP(A14,MASTER!A:U,21,0),0)</f>
        <v>34062522.522522517</v>
      </c>
      <c r="P14" s="4">
        <f>IFERROR(VLOOKUP(A14,MASTER!A:V,22,0),0)</f>
        <v>41715585.585585587</v>
      </c>
      <c r="Q14" s="8">
        <f t="shared" si="4"/>
        <v>-0.18345812375956461</v>
      </c>
      <c r="R14" s="4">
        <f>IFERROR(VLOOKUP(A14,MASTER!A:W,23,0),0)</f>
        <v>3899</v>
      </c>
      <c r="S14" s="4">
        <f>IFERROR(VLOOKUP(A14,MASTER!A:X,24,0),0)</f>
        <v>3881</v>
      </c>
      <c r="T14" s="8">
        <f t="shared" si="5"/>
        <v>4.6379799020870305E-3</v>
      </c>
      <c r="U14" s="11">
        <f>IFERROR(VLOOKUP(A14,MASTER!A:M,13,0),0)</f>
        <v>30</v>
      </c>
      <c r="V14" s="11">
        <f>IFERROR(VLOOKUP(A14,MASTER!A:N,14,0),0)</f>
        <v>29</v>
      </c>
      <c r="W14" s="8">
        <f t="shared" si="6"/>
        <v>3.4482758620689724E-2</v>
      </c>
      <c r="X14" s="11">
        <f>IFERROR(VLOOKUP(A14,MASTER!A:Q,17,0),0)</f>
        <v>117</v>
      </c>
      <c r="Y14" s="11">
        <f>IFERROR(VLOOKUP(A14,MASTER!A:R,18,0),0)</f>
        <v>54</v>
      </c>
      <c r="Z14" s="8">
        <f t="shared" si="7"/>
        <v>1.1666666666666665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521549319.19600952</v>
      </c>
      <c r="D15" s="4">
        <f>IFERROR(VLOOKUP(A:A,MASTER!A:D,4,0),0)</f>
        <v>506136910.44786489</v>
      </c>
      <c r="E15" s="8">
        <f t="shared" si="0"/>
        <v>3.0451066559257001E-2</v>
      </c>
      <c r="F15" s="4">
        <f>IFERROR(VLOOKUP(A15,MASTER!A:E,5,0),0)</f>
        <v>7480768.4684684742</v>
      </c>
      <c r="G15" s="4">
        <f>IFERROR(VLOOKUP(A15,MASTER!A:F,6,0),0)</f>
        <v>13739057.657657661</v>
      </c>
      <c r="H15" s="8">
        <f t="shared" si="1"/>
        <v>-0.455510803224633</v>
      </c>
      <c r="I15" s="4">
        <f>IFERROR(VLOOKUP(A15,MASTER!A:O,15,0),0)</f>
        <v>749391410.8108108</v>
      </c>
      <c r="J15" s="4">
        <f>IFERROR(VLOOKUP(A15,MASTER!A:P,16,0),0)</f>
        <v>714869320.72072077</v>
      </c>
      <c r="K15" s="8">
        <f t="shared" si="2"/>
        <v>4.8291469628722217E-2</v>
      </c>
      <c r="L15" s="4">
        <f>IFERROR(VLOOKUP(A15,MASTER!A:S,19,0),0)</f>
        <v>187325387.38738739</v>
      </c>
      <c r="M15" s="4">
        <f>IFERROR(VLOOKUP(A15,MASTER!A:T,20,0),0)</f>
        <v>183045459.45945945</v>
      </c>
      <c r="N15" s="8">
        <f t="shared" si="3"/>
        <v>2.3381775983773334E-2</v>
      </c>
      <c r="O15" s="4">
        <f>IFERROR(VLOOKUP(A15,MASTER!A:U,21,0),0)</f>
        <v>629701531.53153157</v>
      </c>
      <c r="P15" s="4">
        <f>IFERROR(VLOOKUP(A15,MASTER!A:V,22,0),0)</f>
        <v>623499279.27927923</v>
      </c>
      <c r="Q15" s="8">
        <f t="shared" si="4"/>
        <v>9.9474890482980083E-3</v>
      </c>
      <c r="R15" s="4">
        <f>IFERROR(VLOOKUP(A15,MASTER!A:W,23,0),0)</f>
        <v>7372</v>
      </c>
      <c r="S15" s="4">
        <f>IFERROR(VLOOKUP(A15,MASTER!A:X,24,0),0)</f>
        <v>7163</v>
      </c>
      <c r="T15" s="8">
        <f t="shared" si="5"/>
        <v>2.917771883289122E-2</v>
      </c>
      <c r="U15" s="11">
        <f>IFERROR(VLOOKUP(A15,MASTER!A:M,13,0),0)</f>
        <v>133</v>
      </c>
      <c r="V15" s="11">
        <f>IFERROR(VLOOKUP(A15,MASTER!A:N,14,0),0)</f>
        <v>89</v>
      </c>
      <c r="W15" s="8">
        <f t="shared" si="6"/>
        <v>0.49438202247191021</v>
      </c>
      <c r="X15" s="11">
        <f>IFERROR(VLOOKUP(A15,MASTER!A:Q,17,0),0)</f>
        <v>488</v>
      </c>
      <c r="Y15" s="11">
        <f>IFERROR(VLOOKUP(A15,MASTER!A:R,18,0),0)</f>
        <v>344</v>
      </c>
      <c r="Z15" s="8">
        <f t="shared" si="7"/>
        <v>0.41860465116279078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227280311.20126522</v>
      </c>
      <c r="D17" s="4">
        <f>IFERROR(VLOOKUP(A:A,MASTER!A:D,4,0),0)</f>
        <v>212903205.19938436</v>
      </c>
      <c r="E17" s="8">
        <f t="shared" si="0"/>
        <v>6.7528837757123705E-2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131250270.27027027</v>
      </c>
      <c r="M17" s="4">
        <f>IFERROR(VLOOKUP(A17,MASTER!A:T,20,0),0)</f>
        <v>127014565.76576576</v>
      </c>
      <c r="N17" s="8">
        <f t="shared" si="3"/>
        <v>3.3348179234150122E-2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3856</v>
      </c>
      <c r="S17" s="4">
        <f>IFERROR(VLOOKUP(A17,MASTER!A:X,24,0),0)</f>
        <v>3755</v>
      </c>
      <c r="T17" s="8">
        <f t="shared" si="5"/>
        <v>2.6897470039946692E-2</v>
      </c>
      <c r="U17" s="11">
        <f>IFERROR(VLOOKUP(A17,MASTER!A:M,13,0),0)</f>
        <v>21</v>
      </c>
      <c r="V17" s="11">
        <f>IFERROR(VLOOKUP(A17,MASTER!A:N,14,0),0)</f>
        <v>33</v>
      </c>
      <c r="W17" s="8">
        <f t="shared" si="6"/>
        <v>-0.36363636363636365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174905785.84565765</v>
      </c>
      <c r="D18" s="4">
        <f>IFERROR(VLOOKUP(A:A,MASTER!A:D,4,0),0)</f>
        <v>186153567.32108951</v>
      </c>
      <c r="E18" s="8">
        <f t="shared" si="0"/>
        <v>-6.0422057107457849E-2</v>
      </c>
      <c r="F18" s="4">
        <f>IFERROR(VLOOKUP(A18,MASTER!A:E,5,0),0)</f>
        <v>343243.24324324197</v>
      </c>
      <c r="G18" s="4">
        <f>IFERROR(VLOOKUP(A18,MASTER!A:F,6,0),0)</f>
        <v>636936.93693693797</v>
      </c>
      <c r="H18" s="8">
        <f t="shared" si="1"/>
        <v>-0.46110325318246392</v>
      </c>
      <c r="I18" s="4">
        <f>IFERROR(VLOOKUP(A18,MASTER!A:O,15,0),0)</f>
        <v>5757657.6576576559</v>
      </c>
      <c r="J18" s="4">
        <f>IFERROR(VLOOKUP(A18,MASTER!A:P,16,0),0)</f>
        <v>15006306.306306308</v>
      </c>
      <c r="K18" s="8">
        <f t="shared" si="2"/>
        <v>-0.61631746412919508</v>
      </c>
      <c r="L18" s="4">
        <f>IFERROR(VLOOKUP(A18,MASTER!A:S,19,0),0)</f>
        <v>59066936.936936937</v>
      </c>
      <c r="M18" s="4">
        <f>IFERROR(VLOOKUP(A18,MASTER!A:T,20,0),0)</f>
        <v>63002641.891891889</v>
      </c>
      <c r="N18" s="8">
        <f t="shared" si="3"/>
        <v>-6.2468887601703216E-2</v>
      </c>
      <c r="O18" s="4">
        <f>IFERROR(VLOOKUP(A18,MASTER!A:U,21,0),0)</f>
        <v>6391261.2612612601</v>
      </c>
      <c r="P18" s="4">
        <f>IFERROR(VLOOKUP(A18,MASTER!A:V,22,0),0)</f>
        <v>15645225.225225223</v>
      </c>
      <c r="Q18" s="8">
        <f t="shared" si="4"/>
        <v>-0.59148806301896784</v>
      </c>
      <c r="R18" s="4">
        <f>IFERROR(VLOOKUP(A18,MASTER!A:W,23,0),0)</f>
        <v>3785</v>
      </c>
      <c r="S18" s="4">
        <f>IFERROR(VLOOKUP(A18,MASTER!A:X,24,0),0)</f>
        <v>3978</v>
      </c>
      <c r="T18" s="8">
        <f t="shared" si="5"/>
        <v>-4.8516842634489743E-2</v>
      </c>
      <c r="U18" s="11">
        <f>IFERROR(VLOOKUP(A18,MASTER!A:M,13,0),0)</f>
        <v>62</v>
      </c>
      <c r="V18" s="11">
        <f>IFERROR(VLOOKUP(A18,MASTER!A:N,14,0),0)</f>
        <v>49</v>
      </c>
      <c r="W18" s="8">
        <f t="shared" si="6"/>
        <v>0.26530612244897966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124661326.29518302</v>
      </c>
      <c r="D19" s="4">
        <f>IFERROR(VLOOKUP(A:A,MASTER!A:D,4,0),0)</f>
        <v>126603178.68930535</v>
      </c>
      <c r="E19" s="8">
        <f t="shared" si="0"/>
        <v>-1.5338101414402838E-2</v>
      </c>
      <c r="F19" s="4">
        <f>IFERROR(VLOOKUP(A19,MASTER!A:E,5,0),0)</f>
        <v>67567.567567564998</v>
      </c>
      <c r="G19" s="4">
        <f>IFERROR(VLOOKUP(A19,MASTER!A:F,6,0),0)</f>
        <v>5449549.5495495489</v>
      </c>
      <c r="H19" s="8">
        <f t="shared" si="1"/>
        <v>-0.98760125640601804</v>
      </c>
      <c r="I19" s="4">
        <f>IFERROR(VLOOKUP(A19,MASTER!A:O,15,0),0)</f>
        <v>10420270.270270268</v>
      </c>
      <c r="J19" s="4">
        <f>IFERROR(VLOOKUP(A19,MASTER!A:P,16,0),0)</f>
        <v>22656756.756756756</v>
      </c>
      <c r="K19" s="8">
        <f t="shared" si="2"/>
        <v>-0.54008111654538959</v>
      </c>
      <c r="L19" s="4">
        <f>IFERROR(VLOOKUP(A19,MASTER!A:S,19,0),0)</f>
        <v>49077378.378378376</v>
      </c>
      <c r="M19" s="4">
        <f>IFERROR(VLOOKUP(A19,MASTER!A:T,20,0),0)</f>
        <v>49368486.486486487</v>
      </c>
      <c r="N19" s="8">
        <f t="shared" si="3"/>
        <v>-5.896638297546275E-3</v>
      </c>
      <c r="O19" s="4">
        <f>IFERROR(VLOOKUP(A19,MASTER!A:U,21,0),0)</f>
        <v>6641351.3513513487</v>
      </c>
      <c r="P19" s="4">
        <f>IFERROR(VLOOKUP(A19,MASTER!A:V,22,0),0)</f>
        <v>26363243.243243244</v>
      </c>
      <c r="Q19" s="8">
        <f t="shared" si="4"/>
        <v>-0.7480829164274585</v>
      </c>
      <c r="R19" s="4">
        <f>IFERROR(VLOOKUP(A19,MASTER!A:W,23,0),0)</f>
        <v>2801</v>
      </c>
      <c r="S19" s="4">
        <f>IFERROR(VLOOKUP(A19,MASTER!A:X,24,0),0)</f>
        <v>2878</v>
      </c>
      <c r="T19" s="8">
        <f t="shared" si="5"/>
        <v>-2.6754690757470501E-2</v>
      </c>
      <c r="U19" s="11">
        <f>IFERROR(VLOOKUP(A19,MASTER!A:M,13,0),0)</f>
        <v>56</v>
      </c>
      <c r="V19" s="11">
        <f>IFERROR(VLOOKUP(A19,MASTER!A:N,14,0),0)</f>
        <v>22</v>
      </c>
      <c r="W19" s="8">
        <f t="shared" si="6"/>
        <v>1.5454545454545454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435146150.75954127</v>
      </c>
      <c r="D21" s="4">
        <f>IFERROR(VLOOKUP(A:A,MASTER!A:D,4,0),0)</f>
        <v>426179007.71770316</v>
      </c>
      <c r="E21" s="8">
        <f t="shared" si="0"/>
        <v>2.1040790089261963E-2</v>
      </c>
      <c r="F21" s="4">
        <f>IFERROR(VLOOKUP(A21,MASTER!A:E,5,0),0)</f>
        <v>1372072.0720720759</v>
      </c>
      <c r="G21" s="4">
        <f>IFERROR(VLOOKUP(A21,MASTER!A:F,6,0),0)</f>
        <v>4528828.8288288368</v>
      </c>
      <c r="H21" s="8">
        <f t="shared" si="1"/>
        <v>-0.69703600556992207</v>
      </c>
      <c r="I21" s="4">
        <f>IFERROR(VLOOKUP(A21,MASTER!A:O,15,0),0)</f>
        <v>80723063.06306307</v>
      </c>
      <c r="J21" s="4">
        <f>IFERROR(VLOOKUP(A21,MASTER!A:P,16,0),0)</f>
        <v>101385810.81081082</v>
      </c>
      <c r="K21" s="8">
        <f t="shared" si="2"/>
        <v>-0.20380315137297766</v>
      </c>
      <c r="L21" s="4">
        <f>IFERROR(VLOOKUP(A21,MASTER!A:S,19,0),0)</f>
        <v>258245229.72972974</v>
      </c>
      <c r="M21" s="4">
        <f>IFERROR(VLOOKUP(A21,MASTER!A:T,20,0),0)</f>
        <v>252802297.2972973</v>
      </c>
      <c r="N21" s="8">
        <f t="shared" si="3"/>
        <v>2.1530391498110202E-2</v>
      </c>
      <c r="O21" s="4">
        <f>IFERROR(VLOOKUP(A21,MASTER!A:U,21,0),0)</f>
        <v>88489549.54954955</v>
      </c>
      <c r="P21" s="4">
        <f>IFERROR(VLOOKUP(A21,MASTER!A:V,22,0),0)</f>
        <v>102991439.63963963</v>
      </c>
      <c r="Q21" s="8">
        <f t="shared" si="4"/>
        <v>-0.14080675190900582</v>
      </c>
      <c r="R21" s="4">
        <f>IFERROR(VLOOKUP(A21,MASTER!A:W,23,0),0)</f>
        <v>6845</v>
      </c>
      <c r="S21" s="4">
        <f>IFERROR(VLOOKUP(A21,MASTER!A:X,24,0),0)</f>
        <v>7200</v>
      </c>
      <c r="T21" s="8">
        <f t="shared" si="5"/>
        <v>-4.9305555555555602E-2</v>
      </c>
      <c r="U21" s="11">
        <f>IFERROR(VLOOKUP(A21,MASTER!A:M,13,0),0)</f>
        <v>682</v>
      </c>
      <c r="V21" s="11">
        <f>IFERROR(VLOOKUP(A21,MASTER!A:N,14,0),0)</f>
        <v>603</v>
      </c>
      <c r="W21" s="8">
        <f t="shared" si="6"/>
        <v>0.13101160862354888</v>
      </c>
      <c r="X21" s="11">
        <f>IFERROR(VLOOKUP(A21,MASTER!A:Q,17,0),0)</f>
        <v>436</v>
      </c>
      <c r="Y21" s="11">
        <f>IFERROR(VLOOKUP(A21,MASTER!A:R,18,0),0)</f>
        <v>309</v>
      </c>
      <c r="Z21" s="8">
        <f t="shared" si="7"/>
        <v>0.41100323624595458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236469797.35560384</v>
      </c>
      <c r="D22" s="4">
        <f>IFERROR(VLOOKUP(A:A,MASTER!A:D,4,0),0)</f>
        <v>215956119.35286278</v>
      </c>
      <c r="E22" s="8">
        <f t="shared" si="0"/>
        <v>9.4990028827210971E-2</v>
      </c>
      <c r="F22" s="4">
        <f>IFERROR(VLOOKUP(A22,MASTER!A:E,5,0),0)</f>
        <v>847973142.34234238</v>
      </c>
      <c r="G22" s="4">
        <f>IFERROR(VLOOKUP(A22,MASTER!A:F,6,0),0)</f>
        <v>1181322043.2432432</v>
      </c>
      <c r="H22" s="8">
        <f t="shared" si="1"/>
        <v>-0.28218291769593418</v>
      </c>
      <c r="I22" s="4">
        <f>IFERROR(VLOOKUP(A22,MASTER!A:O,15,0),0)</f>
        <v>133379463.96396397</v>
      </c>
      <c r="J22" s="4">
        <f>IFERROR(VLOOKUP(A22,MASTER!A:P,16,0),0)</f>
        <v>143881531.53153154</v>
      </c>
      <c r="K22" s="8">
        <f t="shared" si="2"/>
        <v>-7.299107436360619E-2</v>
      </c>
      <c r="L22" s="4">
        <f>IFERROR(VLOOKUP(A22,MASTER!A:S,19,0),0)</f>
        <v>77498234.234234244</v>
      </c>
      <c r="M22" s="4">
        <f>IFERROR(VLOOKUP(A22,MASTER!A:T,20,0),0)</f>
        <v>72480945.945945948</v>
      </c>
      <c r="N22" s="8">
        <f t="shared" si="3"/>
        <v>6.9222168982590704E-2</v>
      </c>
      <c r="O22" s="4">
        <f>IFERROR(VLOOKUP(A22,MASTER!A:U,21,0),0)</f>
        <v>26918558.558558561</v>
      </c>
      <c r="P22" s="4">
        <f>IFERROR(VLOOKUP(A22,MASTER!A:V,22,0),0)</f>
        <v>46376036.036036029</v>
      </c>
      <c r="Q22" s="8">
        <f t="shared" si="4"/>
        <v>-0.41955887437982475</v>
      </c>
      <c r="R22" s="4">
        <f>IFERROR(VLOOKUP(A22,MASTER!A:W,23,0),0)</f>
        <v>4048</v>
      </c>
      <c r="S22" s="4">
        <f>IFERROR(VLOOKUP(A22,MASTER!A:X,24,0),0)</f>
        <v>3969</v>
      </c>
      <c r="T22" s="8">
        <f t="shared" si="5"/>
        <v>1.9904257999496133E-2</v>
      </c>
      <c r="U22" s="11">
        <f>IFERROR(VLOOKUP(A22,MASTER!A:M,13,0),0)</f>
        <v>27</v>
      </c>
      <c r="V22" s="11">
        <f>IFERROR(VLOOKUP(A22,MASTER!A:N,14,0),0)</f>
        <v>34</v>
      </c>
      <c r="W22" s="8">
        <f t="shared" si="6"/>
        <v>-0.20588235294117652</v>
      </c>
      <c r="X22" s="11">
        <f>IFERROR(VLOOKUP(A22,MASTER!A:Q,17,0),0)</f>
        <v>202</v>
      </c>
      <c r="Y22" s="11">
        <f>IFERROR(VLOOKUP(A22,MASTER!A:R,18,0),0)</f>
        <v>113</v>
      </c>
      <c r="Z22" s="8">
        <f t="shared" si="7"/>
        <v>0.78761061946902644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0"/>
  <sheetViews>
    <sheetView tabSelected="1" workbookViewId="0">
      <pane xSplit="1" ySplit="3" topLeftCell="B565" activePane="bottomRight" state="frozen"/>
      <selection pane="topRight" activeCell="B1" sqref="B1"/>
      <selection pane="bottomLeft" activeCell="A4" sqref="A4"/>
      <selection pane="bottomRight" activeCell="A571" sqref="A571:XFD576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631677869.75636184</v>
      </c>
      <c r="D4">
        <v>676346442.02647185</v>
      </c>
      <c r="E4">
        <v>1678153.1531531541</v>
      </c>
      <c r="F4">
        <v>3294144.1441441458</v>
      </c>
      <c r="G4">
        <v>75</v>
      </c>
      <c r="H4">
        <v>99</v>
      </c>
      <c r="I4">
        <v>11</v>
      </c>
      <c r="J4">
        <v>8</v>
      </c>
      <c r="M4">
        <v>143</v>
      </c>
      <c r="N4">
        <v>193</v>
      </c>
      <c r="O4">
        <v>12949909.909909908</v>
      </c>
      <c r="P4">
        <v>42838738.738738738</v>
      </c>
      <c r="R4">
        <v>35</v>
      </c>
      <c r="S4">
        <v>79631621.621621609</v>
      </c>
      <c r="T4">
        <v>85598394.594594598</v>
      </c>
      <c r="U4">
        <v>11055495.495495493</v>
      </c>
      <c r="V4">
        <v>42596846.846846849</v>
      </c>
      <c r="W4">
        <v>8483</v>
      </c>
      <c r="X4">
        <v>8424</v>
      </c>
    </row>
    <row r="5" spans="1:24">
      <c r="A5" s="7" t="s">
        <v>49</v>
      </c>
      <c r="B5" s="16" t="s">
        <v>50</v>
      </c>
      <c r="C5">
        <v>1089774028.0023217</v>
      </c>
      <c r="D5">
        <v>1021067829.3804098</v>
      </c>
      <c r="E5">
        <v>6745675.6756756883</v>
      </c>
      <c r="F5">
        <v>17536936.936936945</v>
      </c>
      <c r="G5">
        <v>843</v>
      </c>
      <c r="H5">
        <v>1000</v>
      </c>
      <c r="I5">
        <v>53</v>
      </c>
      <c r="J5">
        <v>35</v>
      </c>
      <c r="K5">
        <v>11</v>
      </c>
      <c r="M5">
        <v>930</v>
      </c>
      <c r="N5">
        <v>1435</v>
      </c>
      <c r="O5">
        <v>291652252.25225222</v>
      </c>
      <c r="P5">
        <v>325262522.52252251</v>
      </c>
      <c r="Q5">
        <v>384</v>
      </c>
      <c r="R5">
        <v>825</v>
      </c>
      <c r="S5">
        <v>336110860.36036038</v>
      </c>
      <c r="T5">
        <v>323810657.65765768</v>
      </c>
      <c r="U5">
        <v>287720990.990991</v>
      </c>
      <c r="V5">
        <v>313045945.94594592</v>
      </c>
      <c r="W5">
        <v>21029</v>
      </c>
      <c r="X5">
        <v>20752</v>
      </c>
    </row>
    <row r="6" spans="1:24">
      <c r="A6" s="7" t="s">
        <v>51</v>
      </c>
      <c r="B6" s="16" t="s">
        <v>52</v>
      </c>
      <c r="C6">
        <v>250144041.74462217</v>
      </c>
      <c r="D6">
        <v>258270634.46099412</v>
      </c>
      <c r="E6">
        <v>72879954.954954967</v>
      </c>
      <c r="F6">
        <v>173273873.87387389</v>
      </c>
      <c r="G6">
        <v>132</v>
      </c>
      <c r="H6">
        <v>136</v>
      </c>
      <c r="I6">
        <v>8</v>
      </c>
      <c r="J6">
        <v>15</v>
      </c>
      <c r="M6">
        <v>134</v>
      </c>
      <c r="N6">
        <v>199</v>
      </c>
      <c r="O6">
        <v>63866216.216216214</v>
      </c>
      <c r="P6">
        <v>74210720.720720723</v>
      </c>
      <c r="Q6">
        <v>311</v>
      </c>
      <c r="R6">
        <v>281</v>
      </c>
      <c r="S6">
        <v>87515927.927927941</v>
      </c>
      <c r="T6">
        <v>85658171.171171173</v>
      </c>
      <c r="U6">
        <v>22602522.52252252</v>
      </c>
      <c r="V6">
        <v>63855495.495495506</v>
      </c>
      <c r="W6">
        <v>4399</v>
      </c>
      <c r="X6">
        <v>4533</v>
      </c>
    </row>
    <row r="7" spans="1:24">
      <c r="A7" s="7" t="s">
        <v>53</v>
      </c>
      <c r="B7" s="16" t="s">
        <v>54</v>
      </c>
      <c r="C7">
        <v>143553238.93209592</v>
      </c>
      <c r="D7">
        <v>139524983.38442987</v>
      </c>
      <c r="E7">
        <v>1238288.288288292</v>
      </c>
      <c r="F7">
        <v>2693468.4684684728</v>
      </c>
      <c r="G7">
        <v>40</v>
      </c>
      <c r="H7">
        <v>40</v>
      </c>
      <c r="I7">
        <v>5</v>
      </c>
      <c r="J7">
        <v>11</v>
      </c>
      <c r="M7">
        <v>44</v>
      </c>
      <c r="N7">
        <v>89</v>
      </c>
      <c r="O7">
        <v>15526126.126126124</v>
      </c>
      <c r="P7">
        <v>16585315.315315315</v>
      </c>
      <c r="Q7">
        <v>149</v>
      </c>
      <c r="R7">
        <v>91</v>
      </c>
      <c r="S7">
        <v>46147981.981981985</v>
      </c>
      <c r="T7">
        <v>43987245.495495498</v>
      </c>
      <c r="U7">
        <v>16199819.819819819</v>
      </c>
      <c r="V7">
        <v>16085945.945945948</v>
      </c>
      <c r="W7">
        <v>3714</v>
      </c>
      <c r="X7">
        <v>3681</v>
      </c>
    </row>
    <row r="8" spans="1:24">
      <c r="A8" s="7" t="s">
        <v>55</v>
      </c>
      <c r="B8" s="16" t="s">
        <v>54</v>
      </c>
      <c r="C8">
        <v>232392764.23381183</v>
      </c>
      <c r="D8">
        <v>229560156.67299545</v>
      </c>
      <c r="E8">
        <v>1012162.162162166</v>
      </c>
      <c r="F8">
        <v>4750000.0000000019</v>
      </c>
      <c r="G8">
        <v>91</v>
      </c>
      <c r="H8">
        <v>250</v>
      </c>
      <c r="I8">
        <v>10</v>
      </c>
      <c r="J8">
        <v>22</v>
      </c>
      <c r="M8">
        <v>114</v>
      </c>
      <c r="N8">
        <v>684</v>
      </c>
      <c r="O8">
        <v>69916666.666666657</v>
      </c>
      <c r="P8">
        <v>93003783.783783793</v>
      </c>
      <c r="Q8">
        <v>198</v>
      </c>
      <c r="R8">
        <v>167</v>
      </c>
      <c r="S8">
        <v>59181828.828828834</v>
      </c>
      <c r="T8">
        <v>65436837.837837838</v>
      </c>
      <c r="U8">
        <v>53039909.909909904</v>
      </c>
      <c r="V8">
        <v>82369549.54954955</v>
      </c>
      <c r="W8">
        <v>4358</v>
      </c>
      <c r="X8">
        <v>4626</v>
      </c>
    </row>
    <row r="9" spans="1:24">
      <c r="A9" s="7" t="s">
        <v>56</v>
      </c>
      <c r="B9" s="16" t="s">
        <v>54</v>
      </c>
      <c r="C9">
        <v>117440756.94748065</v>
      </c>
      <c r="D9">
        <v>112072609.04768801</v>
      </c>
      <c r="E9">
        <v>965945.94594594801</v>
      </c>
      <c r="F9">
        <v>2240540.5405405411</v>
      </c>
      <c r="G9">
        <v>25</v>
      </c>
      <c r="H9">
        <v>33</v>
      </c>
      <c r="I9">
        <v>4</v>
      </c>
      <c r="J9">
        <v>5</v>
      </c>
      <c r="M9">
        <v>28</v>
      </c>
      <c r="N9">
        <v>36</v>
      </c>
      <c r="O9">
        <v>8047927.9279279271</v>
      </c>
      <c r="P9">
        <v>18133873.873873871</v>
      </c>
      <c r="Q9">
        <v>66</v>
      </c>
      <c r="R9">
        <v>44</v>
      </c>
      <c r="S9">
        <v>34986935.135135137</v>
      </c>
      <c r="T9">
        <v>33288396.396396395</v>
      </c>
      <c r="U9">
        <v>7747477.477477476</v>
      </c>
      <c r="V9">
        <v>16782522.522522524</v>
      </c>
      <c r="W9">
        <v>2139</v>
      </c>
      <c r="X9">
        <v>2097</v>
      </c>
    </row>
    <row r="10" spans="1:24">
      <c r="A10" s="7" t="s">
        <v>57</v>
      </c>
      <c r="B10" s="16" t="s">
        <v>58</v>
      </c>
      <c r="C10">
        <v>300606807.81071645</v>
      </c>
      <c r="D10">
        <v>296783936.65693408</v>
      </c>
      <c r="E10">
        <v>2718018.0180180189</v>
      </c>
      <c r="F10">
        <v>1103603.6036036049</v>
      </c>
      <c r="G10">
        <v>73</v>
      </c>
      <c r="H10">
        <v>95</v>
      </c>
      <c r="I10">
        <v>2</v>
      </c>
      <c r="J10">
        <v>3</v>
      </c>
      <c r="M10">
        <v>88</v>
      </c>
      <c r="N10">
        <v>102</v>
      </c>
      <c r="O10">
        <v>7348648.6486486495</v>
      </c>
      <c r="P10">
        <v>4536036.036036035</v>
      </c>
      <c r="Q10">
        <v>10</v>
      </c>
      <c r="S10">
        <v>54076441.441441439</v>
      </c>
      <c r="T10">
        <v>55246142.342342347</v>
      </c>
      <c r="U10">
        <v>5758828.8288288293</v>
      </c>
      <c r="V10">
        <v>4610000</v>
      </c>
      <c r="W10">
        <v>5613</v>
      </c>
      <c r="X10">
        <v>5533</v>
      </c>
    </row>
    <row r="11" spans="1:24">
      <c r="A11" s="7" t="s">
        <v>59</v>
      </c>
      <c r="B11" s="16" t="s">
        <v>60</v>
      </c>
      <c r="C11">
        <v>129895164.68292795</v>
      </c>
      <c r="D11">
        <v>130710580.95667545</v>
      </c>
      <c r="E11">
        <v>231171.171171172</v>
      </c>
      <c r="F11">
        <v>1338738.7387387389</v>
      </c>
      <c r="G11">
        <v>54</v>
      </c>
      <c r="H11">
        <v>70</v>
      </c>
      <c r="I11">
        <v>9</v>
      </c>
      <c r="J11">
        <v>11</v>
      </c>
      <c r="M11">
        <v>85</v>
      </c>
      <c r="N11">
        <v>144</v>
      </c>
      <c r="O11">
        <v>15843783.783783782</v>
      </c>
      <c r="P11">
        <v>18993397.297297295</v>
      </c>
      <c r="Q11">
        <v>89</v>
      </c>
      <c r="R11">
        <v>66</v>
      </c>
      <c r="S11">
        <v>59615980.180180185</v>
      </c>
      <c r="T11">
        <v>59894918.918918923</v>
      </c>
      <c r="U11">
        <v>12499819.819819817</v>
      </c>
      <c r="V11">
        <v>15548018.018018018</v>
      </c>
      <c r="W11">
        <v>2771</v>
      </c>
      <c r="X11">
        <v>3085</v>
      </c>
    </row>
    <row r="12" spans="1:24">
      <c r="A12" s="7" t="s">
        <v>61</v>
      </c>
      <c r="B12" s="16" t="s">
        <v>62</v>
      </c>
      <c r="C12">
        <v>606865841.10176969</v>
      </c>
      <c r="D12">
        <v>593747617.54196286</v>
      </c>
      <c r="E12">
        <v>226126.126126132</v>
      </c>
      <c r="F12">
        <v>5536486.4864864936</v>
      </c>
      <c r="G12">
        <v>45</v>
      </c>
      <c r="H12">
        <v>86</v>
      </c>
      <c r="I12">
        <v>12</v>
      </c>
      <c r="J12">
        <v>16</v>
      </c>
      <c r="M12">
        <v>50</v>
      </c>
      <c r="N12">
        <v>94</v>
      </c>
      <c r="O12">
        <v>20262522.522522524</v>
      </c>
      <c r="P12">
        <v>72494954.954954937</v>
      </c>
      <c r="Q12">
        <v>218</v>
      </c>
      <c r="R12">
        <v>153</v>
      </c>
      <c r="S12">
        <v>66016711.711711712</v>
      </c>
      <c r="T12">
        <v>62658601.801801801</v>
      </c>
      <c r="U12">
        <v>18601351.351351351</v>
      </c>
      <c r="V12">
        <v>71100900.9009009</v>
      </c>
      <c r="W12">
        <v>8969</v>
      </c>
      <c r="X12">
        <v>8812</v>
      </c>
    </row>
    <row r="13" spans="1:24">
      <c r="A13" s="7" t="s">
        <v>63</v>
      </c>
      <c r="B13" s="16" t="s">
        <v>50</v>
      </c>
      <c r="C13">
        <v>314689673.83387816</v>
      </c>
      <c r="D13">
        <v>314559457.14611685</v>
      </c>
      <c r="E13">
        <v>1045945.945945951</v>
      </c>
      <c r="F13">
        <v>3606306.30630631</v>
      </c>
      <c r="G13">
        <v>56</v>
      </c>
      <c r="H13">
        <v>103</v>
      </c>
      <c r="I13">
        <v>28</v>
      </c>
      <c r="J13">
        <v>24</v>
      </c>
      <c r="K13">
        <v>2</v>
      </c>
      <c r="M13">
        <v>62</v>
      </c>
      <c r="N13">
        <v>144</v>
      </c>
      <c r="O13">
        <v>102396674.77477479</v>
      </c>
      <c r="P13">
        <v>97631081.081081092</v>
      </c>
      <c r="Q13">
        <v>88</v>
      </c>
      <c r="R13">
        <v>223</v>
      </c>
      <c r="S13">
        <v>121451324.32432432</v>
      </c>
      <c r="T13">
        <v>121589513.51351352</v>
      </c>
      <c r="U13">
        <v>103069953.15315315</v>
      </c>
      <c r="V13">
        <v>95409009.009009004</v>
      </c>
      <c r="W13">
        <v>5328</v>
      </c>
      <c r="X13">
        <v>5560</v>
      </c>
    </row>
    <row r="14" spans="1:24">
      <c r="A14" s="7" t="s">
        <v>64</v>
      </c>
      <c r="B14" s="16" t="s">
        <v>50</v>
      </c>
      <c r="C14">
        <v>328159593.46598983</v>
      </c>
      <c r="D14">
        <v>321563506.57729661</v>
      </c>
      <c r="E14">
        <v>407532146.84684682</v>
      </c>
      <c r="F14">
        <v>930693423.42342341</v>
      </c>
      <c r="G14">
        <v>48</v>
      </c>
      <c r="H14">
        <v>73</v>
      </c>
      <c r="I14">
        <v>19</v>
      </c>
      <c r="J14">
        <v>14</v>
      </c>
      <c r="K14">
        <v>1</v>
      </c>
      <c r="M14">
        <v>53</v>
      </c>
      <c r="N14">
        <v>92</v>
      </c>
      <c r="O14">
        <v>98702244.144144148</v>
      </c>
      <c r="P14">
        <v>45800360.360360362</v>
      </c>
      <c r="Q14">
        <v>240</v>
      </c>
      <c r="R14">
        <v>125</v>
      </c>
      <c r="S14">
        <v>123689522.52252252</v>
      </c>
      <c r="T14">
        <v>122320630.63063063</v>
      </c>
      <c r="U14">
        <v>73948468.468468457</v>
      </c>
      <c r="V14">
        <v>42062702.702702701</v>
      </c>
      <c r="W14">
        <v>5262</v>
      </c>
      <c r="X14">
        <v>5529</v>
      </c>
    </row>
    <row r="15" spans="1:24">
      <c r="A15" s="7" t="s">
        <v>65</v>
      </c>
      <c r="B15" s="16" t="s">
        <v>66</v>
      </c>
      <c r="C15">
        <v>332008534.89248323</v>
      </c>
      <c r="D15">
        <v>326244099.48923403</v>
      </c>
      <c r="E15">
        <v>1628018.018018021</v>
      </c>
      <c r="F15">
        <v>6702252.2522522556</v>
      </c>
      <c r="G15">
        <v>145</v>
      </c>
      <c r="H15">
        <v>83</v>
      </c>
      <c r="I15">
        <v>14</v>
      </c>
      <c r="J15">
        <v>18</v>
      </c>
      <c r="M15">
        <v>161</v>
      </c>
      <c r="N15">
        <v>98</v>
      </c>
      <c r="O15">
        <v>77546396.396396399</v>
      </c>
      <c r="P15">
        <v>116365135.13513513</v>
      </c>
      <c r="Q15">
        <v>408</v>
      </c>
      <c r="R15">
        <v>15</v>
      </c>
      <c r="S15">
        <v>164673909.90990993</v>
      </c>
      <c r="T15">
        <v>165918297.29729727</v>
      </c>
      <c r="U15">
        <v>79210630.630630627</v>
      </c>
      <c r="V15">
        <v>111543333.33333334</v>
      </c>
      <c r="W15">
        <v>5424</v>
      </c>
      <c r="X15">
        <v>6419</v>
      </c>
    </row>
    <row r="16" spans="1:24">
      <c r="A16" s="7" t="s">
        <v>67</v>
      </c>
      <c r="B16" s="16" t="s">
        <v>68</v>
      </c>
      <c r="C16">
        <v>203186406.8458313</v>
      </c>
      <c r="D16">
        <v>191488158.49296978</v>
      </c>
      <c r="E16">
        <v>17388063.063063063</v>
      </c>
      <c r="F16">
        <v>36384684.684684686</v>
      </c>
      <c r="G16">
        <v>94</v>
      </c>
      <c r="H16">
        <v>77</v>
      </c>
      <c r="I16">
        <v>8</v>
      </c>
      <c r="J16">
        <v>4</v>
      </c>
      <c r="M16">
        <v>102</v>
      </c>
      <c r="N16">
        <v>83</v>
      </c>
      <c r="O16">
        <v>34175090.090090089</v>
      </c>
      <c r="P16">
        <v>35726666.666666672</v>
      </c>
      <c r="Q16">
        <v>105</v>
      </c>
      <c r="R16">
        <v>90</v>
      </c>
      <c r="S16">
        <v>54520720.720720723</v>
      </c>
      <c r="T16">
        <v>52793495.495495498</v>
      </c>
      <c r="U16">
        <v>26933513.513513513</v>
      </c>
      <c r="V16">
        <v>25069189.189189188</v>
      </c>
      <c r="W16">
        <v>3440</v>
      </c>
      <c r="X16">
        <v>3362</v>
      </c>
    </row>
    <row r="17" spans="1:24">
      <c r="A17" s="7" t="s">
        <v>69</v>
      </c>
      <c r="B17" s="16" t="s">
        <v>70</v>
      </c>
      <c r="C17">
        <v>14740276.528880984</v>
      </c>
      <c r="D17">
        <v>14790880.585620765</v>
      </c>
      <c r="E17">
        <v>75452927.927927941</v>
      </c>
      <c r="F17">
        <v>76264864.864864871</v>
      </c>
      <c r="G17">
        <v>3</v>
      </c>
      <c r="H17">
        <v>4</v>
      </c>
      <c r="I17">
        <v>0</v>
      </c>
      <c r="J17">
        <v>2</v>
      </c>
      <c r="M17">
        <v>3</v>
      </c>
      <c r="N17">
        <v>4</v>
      </c>
      <c r="O17">
        <v>21454279.27927928</v>
      </c>
      <c r="P17">
        <v>30772522.522522524</v>
      </c>
      <c r="Q17">
        <v>2</v>
      </c>
      <c r="R17">
        <v>4</v>
      </c>
      <c r="S17">
        <v>3119279.2792792791</v>
      </c>
      <c r="T17">
        <v>4295373.8738738736</v>
      </c>
      <c r="U17">
        <v>298828.828828828</v>
      </c>
      <c r="V17">
        <v>404054.05405405402</v>
      </c>
      <c r="W17">
        <v>389</v>
      </c>
      <c r="X17">
        <v>383</v>
      </c>
    </row>
    <row r="18" spans="1:24">
      <c r="A18" s="7" t="s">
        <v>71</v>
      </c>
      <c r="B18" s="16" t="s">
        <v>72</v>
      </c>
      <c r="C18">
        <v>2616909106.8818574</v>
      </c>
      <c r="D18">
        <v>2495241072.9911151</v>
      </c>
      <c r="E18">
        <v>822916118.01801801</v>
      </c>
      <c r="F18">
        <v>731204812.61261261</v>
      </c>
      <c r="G18">
        <v>875</v>
      </c>
      <c r="H18">
        <v>864</v>
      </c>
      <c r="I18">
        <v>149</v>
      </c>
      <c r="J18">
        <v>147</v>
      </c>
      <c r="K18">
        <v>28</v>
      </c>
      <c r="M18">
        <v>1188</v>
      </c>
      <c r="N18">
        <v>1286</v>
      </c>
      <c r="O18">
        <v>314393475.67567563</v>
      </c>
      <c r="P18">
        <v>290640547.74774778</v>
      </c>
      <c r="Q18">
        <v>1659</v>
      </c>
      <c r="R18">
        <v>1799</v>
      </c>
      <c r="S18">
        <v>506353524.32432437</v>
      </c>
      <c r="T18">
        <v>513061899.0990991</v>
      </c>
      <c r="U18">
        <v>278258828.82882881</v>
      </c>
      <c r="V18">
        <v>238940763.96396396</v>
      </c>
      <c r="W18">
        <v>45336</v>
      </c>
      <c r="X18">
        <v>45442</v>
      </c>
    </row>
    <row r="19" spans="1:24">
      <c r="A19" s="7" t="s">
        <v>73</v>
      </c>
      <c r="B19" s="16" t="s">
        <v>72</v>
      </c>
      <c r="C19">
        <v>273385669.76964521</v>
      </c>
      <c r="D19">
        <v>236432798.64090496</v>
      </c>
      <c r="E19">
        <v>3603.603603604</v>
      </c>
      <c r="F19">
        <v>295495.49549549702</v>
      </c>
      <c r="G19">
        <v>56</v>
      </c>
      <c r="H19">
        <v>56</v>
      </c>
      <c r="I19">
        <v>4</v>
      </c>
      <c r="J19">
        <v>1</v>
      </c>
      <c r="K19">
        <v>1</v>
      </c>
      <c r="M19">
        <v>61</v>
      </c>
      <c r="N19">
        <v>68</v>
      </c>
      <c r="O19">
        <v>4336936.9369369373</v>
      </c>
      <c r="P19">
        <v>8178378.3783783782</v>
      </c>
      <c r="Q19">
        <v>22</v>
      </c>
      <c r="R19">
        <v>20</v>
      </c>
      <c r="S19">
        <v>35591081.081081077</v>
      </c>
      <c r="T19">
        <v>35047855.855855852</v>
      </c>
      <c r="U19">
        <v>4557657.6576576577</v>
      </c>
      <c r="V19">
        <v>7083603.6036036042</v>
      </c>
      <c r="W19">
        <v>3885</v>
      </c>
      <c r="X19">
        <v>3270</v>
      </c>
    </row>
    <row r="20" spans="1:24">
      <c r="A20" s="7" t="s">
        <v>74</v>
      </c>
      <c r="B20" s="16" t="s">
        <v>70</v>
      </c>
      <c r="C20">
        <v>264427579.06684947</v>
      </c>
      <c r="D20">
        <v>261662440.49562827</v>
      </c>
      <c r="E20">
        <v>89915409.009009004</v>
      </c>
      <c r="F20">
        <v>121698063.96396397</v>
      </c>
      <c r="G20">
        <v>58</v>
      </c>
      <c r="H20">
        <v>83</v>
      </c>
      <c r="I20">
        <v>10</v>
      </c>
      <c r="J20">
        <v>25</v>
      </c>
      <c r="M20">
        <v>65</v>
      </c>
      <c r="N20">
        <v>225</v>
      </c>
      <c r="O20">
        <v>89541346.846846849</v>
      </c>
      <c r="P20">
        <v>94752262.162162155</v>
      </c>
      <c r="Q20">
        <v>281</v>
      </c>
      <c r="R20">
        <v>293</v>
      </c>
      <c r="S20">
        <v>92542099.0990991</v>
      </c>
      <c r="T20">
        <v>97294207.207207203</v>
      </c>
      <c r="U20">
        <v>68307747.747747749</v>
      </c>
      <c r="V20">
        <v>56767207.20720721</v>
      </c>
      <c r="W20">
        <v>4576</v>
      </c>
      <c r="X20">
        <v>4444</v>
      </c>
    </row>
    <row r="21" spans="1:24">
      <c r="A21" s="7" t="s">
        <v>75</v>
      </c>
      <c r="B21" s="16" t="s">
        <v>76</v>
      </c>
      <c r="C21">
        <v>77252531.646756142</v>
      </c>
      <c r="D21">
        <v>75713534.951451838</v>
      </c>
      <c r="E21">
        <v>79279.279279280003</v>
      </c>
      <c r="F21">
        <v>632432.43243243301</v>
      </c>
      <c r="G21">
        <v>17</v>
      </c>
      <c r="H21">
        <v>24</v>
      </c>
      <c r="I21">
        <v>1</v>
      </c>
      <c r="J21">
        <v>3</v>
      </c>
      <c r="M21">
        <v>18</v>
      </c>
      <c r="N21">
        <v>25</v>
      </c>
      <c r="O21">
        <v>7790090.0900900904</v>
      </c>
      <c r="P21">
        <v>9321981.9819819815</v>
      </c>
      <c r="Q21">
        <v>15</v>
      </c>
      <c r="R21">
        <v>8</v>
      </c>
      <c r="S21">
        <v>19074774.774774775</v>
      </c>
      <c r="T21">
        <v>19062756.756756756</v>
      </c>
      <c r="U21">
        <v>6831801.8018018017</v>
      </c>
      <c r="V21">
        <v>7375135.1351351356</v>
      </c>
      <c r="W21">
        <v>1456</v>
      </c>
      <c r="X21">
        <v>1542</v>
      </c>
    </row>
    <row r="22" spans="1:24">
      <c r="A22" s="7" t="s">
        <v>77</v>
      </c>
      <c r="B22" s="16" t="s">
        <v>78</v>
      </c>
      <c r="C22">
        <v>173776564.27560776</v>
      </c>
      <c r="D22">
        <v>163146329.83625829</v>
      </c>
      <c r="E22">
        <v>607297.297297296</v>
      </c>
      <c r="F22">
        <v>2587387.387387387</v>
      </c>
      <c r="G22">
        <v>40</v>
      </c>
      <c r="H22">
        <v>34</v>
      </c>
      <c r="I22">
        <v>4</v>
      </c>
      <c r="J22">
        <v>6</v>
      </c>
      <c r="K22">
        <v>1</v>
      </c>
      <c r="M22">
        <v>43</v>
      </c>
      <c r="N22">
        <v>41</v>
      </c>
      <c r="O22">
        <v>18326216.216216218</v>
      </c>
      <c r="P22">
        <v>20556756.756756756</v>
      </c>
      <c r="Q22">
        <v>94</v>
      </c>
      <c r="R22">
        <v>59</v>
      </c>
      <c r="S22">
        <v>53705567.567567565</v>
      </c>
      <c r="T22">
        <v>53874954.954954959</v>
      </c>
      <c r="U22">
        <v>17248018.018018018</v>
      </c>
      <c r="V22">
        <v>22470450.450450446</v>
      </c>
      <c r="W22">
        <v>2433</v>
      </c>
      <c r="X22">
        <v>2500</v>
      </c>
    </row>
    <row r="23" spans="1:24">
      <c r="A23" s="7" t="s">
        <v>79</v>
      </c>
      <c r="B23" s="16" t="s">
        <v>80</v>
      </c>
      <c r="C23">
        <v>1565486444.1223757</v>
      </c>
      <c r="D23">
        <v>1489814452.9904892</v>
      </c>
      <c r="E23">
        <v>103870045.04504506</v>
      </c>
      <c r="F23">
        <v>124635090.0900901</v>
      </c>
      <c r="G23">
        <v>547</v>
      </c>
      <c r="H23">
        <v>1039</v>
      </c>
      <c r="I23">
        <v>53</v>
      </c>
      <c r="J23">
        <v>38</v>
      </c>
      <c r="K23">
        <v>4</v>
      </c>
      <c r="M23">
        <v>630</v>
      </c>
      <c r="N23">
        <v>1170</v>
      </c>
      <c r="O23">
        <v>465782252.25225222</v>
      </c>
      <c r="P23">
        <v>394907207.2072072</v>
      </c>
      <c r="Q23">
        <v>567</v>
      </c>
      <c r="R23">
        <v>618</v>
      </c>
      <c r="S23">
        <v>385206842.34234232</v>
      </c>
      <c r="T23">
        <v>389279565.31531531</v>
      </c>
      <c r="U23">
        <v>131186306.3063063</v>
      </c>
      <c r="V23">
        <v>197516126.12612614</v>
      </c>
      <c r="W23">
        <v>26037</v>
      </c>
      <c r="X23">
        <v>26112</v>
      </c>
    </row>
    <row r="24" spans="1:24">
      <c r="A24" s="7" t="s">
        <v>81</v>
      </c>
      <c r="B24" s="16" t="s">
        <v>54</v>
      </c>
      <c r="C24">
        <v>47506481.466887757</v>
      </c>
      <c r="D24">
        <v>46812620.237013035</v>
      </c>
      <c r="E24">
        <v>37060360.360360362</v>
      </c>
      <c r="F24">
        <v>58105855.855855852</v>
      </c>
      <c r="G24">
        <v>14</v>
      </c>
      <c r="H24">
        <v>15</v>
      </c>
      <c r="I24">
        <v>0</v>
      </c>
      <c r="J24">
        <v>4</v>
      </c>
      <c r="M24">
        <v>17</v>
      </c>
      <c r="N24">
        <v>20</v>
      </c>
      <c r="O24">
        <v>6432882.882882881</v>
      </c>
      <c r="P24">
        <v>4418738.7387387389</v>
      </c>
      <c r="Q24">
        <v>51</v>
      </c>
      <c r="R24">
        <v>30</v>
      </c>
      <c r="S24">
        <v>10459954.954954956</v>
      </c>
      <c r="T24">
        <v>10892099.0990991</v>
      </c>
      <c r="U24">
        <v>3738288.2882882869</v>
      </c>
      <c r="V24">
        <v>2997117.1171171181</v>
      </c>
      <c r="W24">
        <v>1400</v>
      </c>
      <c r="X24">
        <v>1409</v>
      </c>
    </row>
    <row r="25" spans="1:24">
      <c r="A25" s="7" t="s">
        <v>82</v>
      </c>
      <c r="B25" s="16" t="s">
        <v>83</v>
      </c>
      <c r="C25">
        <v>1100868092.738914</v>
      </c>
      <c r="D25">
        <v>1080236459.8042197</v>
      </c>
      <c r="E25">
        <v>75373963.963963971</v>
      </c>
      <c r="F25">
        <v>78047972.972972974</v>
      </c>
      <c r="G25">
        <v>200</v>
      </c>
      <c r="H25">
        <v>213</v>
      </c>
      <c r="I25">
        <v>19</v>
      </c>
      <c r="J25">
        <v>28</v>
      </c>
      <c r="K25">
        <v>1</v>
      </c>
      <c r="M25">
        <v>239</v>
      </c>
      <c r="N25">
        <v>250</v>
      </c>
      <c r="O25">
        <v>202649414.41441444</v>
      </c>
      <c r="P25">
        <v>218273648.64864865</v>
      </c>
      <c r="Q25">
        <v>381</v>
      </c>
      <c r="R25">
        <v>560</v>
      </c>
      <c r="S25">
        <v>312233904.5045045</v>
      </c>
      <c r="T25">
        <v>316657967.11711711</v>
      </c>
      <c r="U25">
        <v>186733828.82882884</v>
      </c>
      <c r="V25">
        <v>160987657.65765765</v>
      </c>
      <c r="W25">
        <v>15264</v>
      </c>
      <c r="X25">
        <v>15075</v>
      </c>
    </row>
    <row r="26" spans="1:24">
      <c r="A26" s="7" t="s">
        <v>84</v>
      </c>
      <c r="B26" s="16" t="s">
        <v>85</v>
      </c>
      <c r="C26">
        <v>108019210.90882649</v>
      </c>
      <c r="D26">
        <v>102003958.09135616</v>
      </c>
      <c r="E26">
        <v>351801.801801803</v>
      </c>
      <c r="F26">
        <v>2023873.873873875</v>
      </c>
      <c r="G26">
        <v>53</v>
      </c>
      <c r="H26">
        <v>56</v>
      </c>
      <c r="I26">
        <v>14</v>
      </c>
      <c r="J26">
        <v>11</v>
      </c>
      <c r="M26">
        <v>59</v>
      </c>
      <c r="N26">
        <v>66</v>
      </c>
      <c r="O26">
        <v>179571171.17117116</v>
      </c>
      <c r="P26">
        <v>214375225.22522521</v>
      </c>
      <c r="Q26">
        <v>270</v>
      </c>
      <c r="R26">
        <v>305</v>
      </c>
      <c r="S26">
        <v>36329729.729729727</v>
      </c>
      <c r="T26">
        <v>35937819.819819823</v>
      </c>
      <c r="U26">
        <v>158800360.36036035</v>
      </c>
      <c r="V26">
        <v>190030990.99099097</v>
      </c>
      <c r="W26">
        <v>2232</v>
      </c>
      <c r="X26">
        <v>2235</v>
      </c>
    </row>
    <row r="27" spans="1:24">
      <c r="A27" s="7" t="s">
        <v>86</v>
      </c>
      <c r="B27" s="16" t="s">
        <v>87</v>
      </c>
      <c r="C27">
        <v>4414366.7493638657</v>
      </c>
      <c r="D27">
        <v>3836369.5640559578</v>
      </c>
      <c r="G27">
        <v>3</v>
      </c>
      <c r="H27">
        <v>4</v>
      </c>
      <c r="M27">
        <v>4</v>
      </c>
      <c r="N27">
        <v>4</v>
      </c>
      <c r="S27">
        <v>1296666.666666666</v>
      </c>
      <c r="T27">
        <v>1689063.0630630639</v>
      </c>
      <c r="W27">
        <v>159</v>
      </c>
      <c r="X27">
        <v>175</v>
      </c>
    </row>
    <row r="28" spans="1:24">
      <c r="A28" s="7" t="s">
        <v>88</v>
      </c>
      <c r="B28" s="16" t="s">
        <v>89</v>
      </c>
      <c r="C28">
        <v>221399838.9948065</v>
      </c>
      <c r="D28">
        <v>221979477.24815497</v>
      </c>
      <c r="E28">
        <v>574549.54954955098</v>
      </c>
      <c r="F28">
        <v>4927927.9279279271</v>
      </c>
      <c r="G28">
        <v>21</v>
      </c>
      <c r="H28">
        <v>33</v>
      </c>
      <c r="I28">
        <v>18</v>
      </c>
      <c r="J28">
        <v>27</v>
      </c>
      <c r="K28">
        <v>1</v>
      </c>
      <c r="M28">
        <v>24</v>
      </c>
      <c r="N28">
        <v>36</v>
      </c>
      <c r="O28">
        <v>19149909.909909908</v>
      </c>
      <c r="P28">
        <v>44329009.009009011</v>
      </c>
      <c r="Q28">
        <v>112</v>
      </c>
      <c r="R28">
        <v>192</v>
      </c>
      <c r="S28">
        <v>77882729.729729727</v>
      </c>
      <c r="T28">
        <v>79182477.477477476</v>
      </c>
      <c r="U28">
        <v>16706936.936936934</v>
      </c>
      <c r="V28">
        <v>42779639.639639638</v>
      </c>
      <c r="W28">
        <v>3090</v>
      </c>
      <c r="X28">
        <v>3421</v>
      </c>
    </row>
    <row r="29" spans="1:24">
      <c r="A29" s="7" t="s">
        <v>90</v>
      </c>
      <c r="B29" s="16" t="s">
        <v>60</v>
      </c>
      <c r="C29">
        <v>68882847.455037013</v>
      </c>
      <c r="D29">
        <v>78017913.774918377</v>
      </c>
      <c r="E29">
        <v>93693.693693694993</v>
      </c>
      <c r="F29">
        <v>204504.50450450601</v>
      </c>
      <c r="G29">
        <v>69</v>
      </c>
      <c r="H29">
        <v>21</v>
      </c>
      <c r="I29">
        <v>4</v>
      </c>
      <c r="J29">
        <v>0</v>
      </c>
      <c r="M29">
        <v>122</v>
      </c>
      <c r="N29">
        <v>160</v>
      </c>
      <c r="O29">
        <v>6958558.558558559</v>
      </c>
      <c r="P29">
        <v>5312612.6126126144</v>
      </c>
      <c r="Q29">
        <v>88</v>
      </c>
      <c r="R29">
        <v>41</v>
      </c>
      <c r="S29">
        <v>42053288.288288288</v>
      </c>
      <c r="T29">
        <v>45623270.270270273</v>
      </c>
      <c r="U29">
        <v>5681981.9819819815</v>
      </c>
      <c r="V29">
        <v>4996666.666666666</v>
      </c>
      <c r="W29">
        <v>1603</v>
      </c>
      <c r="X29">
        <v>1392</v>
      </c>
    </row>
    <row r="30" spans="1:24">
      <c r="A30" s="7" t="s">
        <v>91</v>
      </c>
      <c r="B30" s="16" t="s">
        <v>92</v>
      </c>
      <c r="C30">
        <v>67514538.150785595</v>
      </c>
      <c r="D30">
        <v>65516337.776396558</v>
      </c>
      <c r="E30">
        <v>414189.18918919098</v>
      </c>
      <c r="F30">
        <v>2318018.018018018</v>
      </c>
      <c r="G30">
        <v>22</v>
      </c>
      <c r="H30">
        <v>18</v>
      </c>
      <c r="I30">
        <v>4</v>
      </c>
      <c r="J30">
        <v>2</v>
      </c>
      <c r="M30">
        <v>23</v>
      </c>
      <c r="N30">
        <v>20</v>
      </c>
      <c r="O30">
        <v>22009549.54954955</v>
      </c>
      <c r="P30">
        <v>16535675.675675675</v>
      </c>
      <c r="Q30">
        <v>89</v>
      </c>
      <c r="R30">
        <v>2</v>
      </c>
      <c r="S30">
        <v>22569549.549549554</v>
      </c>
      <c r="T30">
        <v>21302801.801801801</v>
      </c>
      <c r="U30">
        <v>21808648.648648649</v>
      </c>
      <c r="V30">
        <v>16771711.711711712</v>
      </c>
      <c r="W30">
        <v>1069</v>
      </c>
      <c r="X30">
        <v>1079</v>
      </c>
    </row>
    <row r="31" spans="1:24">
      <c r="A31" s="7" t="s">
        <v>93</v>
      </c>
      <c r="B31" s="16" t="s">
        <v>94</v>
      </c>
      <c r="C31">
        <v>288208345.80379212</v>
      </c>
      <c r="D31">
        <v>274091399.2528705</v>
      </c>
      <c r="E31">
        <v>598198.19819819694</v>
      </c>
      <c r="F31">
        <v>587837.83783783903</v>
      </c>
      <c r="G31">
        <v>72</v>
      </c>
      <c r="H31">
        <v>47</v>
      </c>
      <c r="I31">
        <v>9</v>
      </c>
      <c r="J31">
        <v>6</v>
      </c>
      <c r="M31">
        <v>77</v>
      </c>
      <c r="N31">
        <v>55</v>
      </c>
      <c r="O31">
        <v>34465765.765765771</v>
      </c>
      <c r="P31">
        <v>34695945.945945948</v>
      </c>
      <c r="Q31">
        <v>164</v>
      </c>
      <c r="R31">
        <v>126</v>
      </c>
      <c r="S31">
        <v>41223729.729729727</v>
      </c>
      <c r="T31">
        <v>40004259.459459454</v>
      </c>
      <c r="U31">
        <v>32476756.756756753</v>
      </c>
      <c r="V31">
        <v>29619099.099099096</v>
      </c>
      <c r="W31">
        <v>4403</v>
      </c>
      <c r="X31">
        <v>4403</v>
      </c>
    </row>
    <row r="32" spans="1:24">
      <c r="A32" s="7" t="s">
        <v>95</v>
      </c>
      <c r="B32" s="16" t="s">
        <v>96</v>
      </c>
      <c r="C32">
        <v>301100206.69729286</v>
      </c>
      <c r="D32">
        <v>298094107.59067774</v>
      </c>
      <c r="E32">
        <v>237837.83783783799</v>
      </c>
      <c r="F32">
        <v>1807207.2072072071</v>
      </c>
      <c r="G32">
        <v>85</v>
      </c>
      <c r="H32">
        <v>69</v>
      </c>
      <c r="I32">
        <v>6</v>
      </c>
      <c r="J32">
        <v>6</v>
      </c>
      <c r="K32">
        <v>1</v>
      </c>
      <c r="M32">
        <v>99</v>
      </c>
      <c r="N32">
        <v>75</v>
      </c>
      <c r="O32">
        <v>47820090.090090089</v>
      </c>
      <c r="P32">
        <v>58377477.477477469</v>
      </c>
      <c r="Q32">
        <v>190</v>
      </c>
      <c r="R32">
        <v>96</v>
      </c>
      <c r="S32">
        <v>147435576.57657659</v>
      </c>
      <c r="T32">
        <v>148318306.3063063</v>
      </c>
      <c r="U32">
        <v>51173783.783783786</v>
      </c>
      <c r="V32">
        <v>51999459.459459461</v>
      </c>
      <c r="W32">
        <v>6169</v>
      </c>
      <c r="X32">
        <v>6063</v>
      </c>
    </row>
    <row r="33" spans="1:24">
      <c r="A33" s="7" t="s">
        <v>97</v>
      </c>
      <c r="B33" s="16" t="s">
        <v>98</v>
      </c>
      <c r="C33">
        <v>1052513683.4856815</v>
      </c>
      <c r="D33">
        <v>1040312316.5969841</v>
      </c>
      <c r="E33">
        <v>3277342.3423423469</v>
      </c>
      <c r="F33">
        <v>11899774.774774777</v>
      </c>
      <c r="G33">
        <v>461</v>
      </c>
      <c r="H33">
        <v>419</v>
      </c>
      <c r="I33">
        <v>39</v>
      </c>
      <c r="J33">
        <v>42</v>
      </c>
      <c r="M33">
        <v>527</v>
      </c>
      <c r="N33">
        <v>519</v>
      </c>
      <c r="O33">
        <v>332090630.63063067</v>
      </c>
      <c r="P33">
        <v>283874774.77477479</v>
      </c>
      <c r="Q33">
        <v>755</v>
      </c>
      <c r="R33">
        <v>1396</v>
      </c>
      <c r="S33">
        <v>273864800</v>
      </c>
      <c r="T33">
        <v>269180318.46846849</v>
      </c>
      <c r="U33">
        <v>148898108.1081081</v>
      </c>
      <c r="V33">
        <v>227404054.05405405</v>
      </c>
      <c r="W33">
        <v>22271</v>
      </c>
      <c r="X33">
        <v>22425</v>
      </c>
    </row>
    <row r="34" spans="1:24">
      <c r="A34" s="7" t="s">
        <v>99</v>
      </c>
      <c r="B34" s="16" t="s">
        <v>98</v>
      </c>
      <c r="C34">
        <v>1739972117.9885185</v>
      </c>
      <c r="D34">
        <v>1676862702.7752328</v>
      </c>
      <c r="E34">
        <v>1214670.2702702731</v>
      </c>
      <c r="F34">
        <v>6631958.5585585646</v>
      </c>
      <c r="G34">
        <v>506</v>
      </c>
      <c r="H34">
        <v>530</v>
      </c>
      <c r="I34">
        <v>34</v>
      </c>
      <c r="J34">
        <v>40</v>
      </c>
      <c r="K34">
        <v>14</v>
      </c>
      <c r="M34">
        <v>613</v>
      </c>
      <c r="N34">
        <v>827</v>
      </c>
      <c r="O34">
        <v>92267702.702702701</v>
      </c>
      <c r="P34">
        <v>94340990.990990996</v>
      </c>
      <c r="Q34">
        <v>462</v>
      </c>
      <c r="R34">
        <v>434</v>
      </c>
      <c r="S34">
        <v>331567022.52252251</v>
      </c>
      <c r="T34">
        <v>321613563.51351357</v>
      </c>
      <c r="U34">
        <v>93500945.945945948</v>
      </c>
      <c r="V34">
        <v>92422702.702702701</v>
      </c>
      <c r="W34">
        <v>28182</v>
      </c>
      <c r="X34">
        <v>28344</v>
      </c>
    </row>
    <row r="35" spans="1:24">
      <c r="A35" s="7" t="s">
        <v>100</v>
      </c>
      <c r="B35" s="16" t="s">
        <v>98</v>
      </c>
      <c r="C35">
        <v>2831423409.2704358</v>
      </c>
      <c r="D35">
        <v>2283640787.0512424</v>
      </c>
      <c r="E35">
        <v>7179009.0090090157</v>
      </c>
      <c r="F35">
        <v>21383108.108108111</v>
      </c>
      <c r="G35">
        <v>445</v>
      </c>
      <c r="H35">
        <v>480</v>
      </c>
      <c r="I35">
        <v>45</v>
      </c>
      <c r="J35">
        <v>74</v>
      </c>
      <c r="K35">
        <v>26</v>
      </c>
      <c r="M35">
        <v>660</v>
      </c>
      <c r="N35">
        <v>1294</v>
      </c>
      <c r="O35">
        <v>1262277882.8828828</v>
      </c>
      <c r="P35">
        <v>977155000</v>
      </c>
      <c r="Q35">
        <v>1128</v>
      </c>
      <c r="R35">
        <v>1559</v>
      </c>
      <c r="S35">
        <v>1680226655.8558559</v>
      </c>
      <c r="T35">
        <v>1012744910.3603603</v>
      </c>
      <c r="U35">
        <v>669264953.15315318</v>
      </c>
      <c r="V35">
        <v>329469684.68468469</v>
      </c>
      <c r="W35">
        <v>32967</v>
      </c>
      <c r="X35">
        <v>33385</v>
      </c>
    </row>
    <row r="36" spans="1:24">
      <c r="A36" s="7" t="s">
        <v>101</v>
      </c>
      <c r="B36" s="16" t="s">
        <v>98</v>
      </c>
      <c r="C36">
        <v>999046278.54104161</v>
      </c>
      <c r="D36">
        <v>968838328.84458256</v>
      </c>
      <c r="E36">
        <v>1163738.7387387389</v>
      </c>
      <c r="F36">
        <v>6361261.261261262</v>
      </c>
      <c r="G36">
        <v>333</v>
      </c>
      <c r="H36">
        <v>301</v>
      </c>
      <c r="I36">
        <v>22</v>
      </c>
      <c r="J36">
        <v>29</v>
      </c>
      <c r="K36">
        <v>1</v>
      </c>
      <c r="M36">
        <v>418</v>
      </c>
      <c r="N36">
        <v>354</v>
      </c>
      <c r="O36">
        <v>51630270.270270266</v>
      </c>
      <c r="P36">
        <v>83559909.909909904</v>
      </c>
      <c r="Q36">
        <v>90</v>
      </c>
      <c r="R36">
        <v>526</v>
      </c>
      <c r="S36">
        <v>217498809.00900903</v>
      </c>
      <c r="T36">
        <v>211394846.84684685</v>
      </c>
      <c r="U36">
        <v>56048558.558558561</v>
      </c>
      <c r="V36">
        <v>78706936.93693693</v>
      </c>
      <c r="W36">
        <v>21349</v>
      </c>
      <c r="X36">
        <v>21308</v>
      </c>
    </row>
    <row r="37" spans="1:24">
      <c r="A37" s="7" t="s">
        <v>102</v>
      </c>
      <c r="B37" s="16" t="s">
        <v>98</v>
      </c>
      <c r="C37">
        <v>1099399556.102396</v>
      </c>
      <c r="D37">
        <v>1091599352.6463277</v>
      </c>
      <c r="E37">
        <v>169956576.57657659</v>
      </c>
      <c r="F37">
        <v>191253513.51351351</v>
      </c>
      <c r="G37">
        <v>258</v>
      </c>
      <c r="H37">
        <v>251</v>
      </c>
      <c r="I37">
        <v>33</v>
      </c>
      <c r="J37">
        <v>26</v>
      </c>
      <c r="K37">
        <v>2</v>
      </c>
      <c r="M37">
        <v>393</v>
      </c>
      <c r="N37">
        <v>324</v>
      </c>
      <c r="O37">
        <v>247029954.95495495</v>
      </c>
      <c r="P37">
        <v>200695045.04504505</v>
      </c>
      <c r="Q37">
        <v>772</v>
      </c>
      <c r="R37">
        <v>409</v>
      </c>
      <c r="S37">
        <v>318545275.67567563</v>
      </c>
      <c r="T37">
        <v>317410842.34234232</v>
      </c>
      <c r="U37">
        <v>131402972.97297297</v>
      </c>
      <c r="V37">
        <v>193763783.78378376</v>
      </c>
      <c r="W37">
        <v>24731</v>
      </c>
      <c r="X37">
        <v>25147</v>
      </c>
    </row>
    <row r="38" spans="1:24">
      <c r="A38" s="7" t="s">
        <v>103</v>
      </c>
      <c r="B38" s="16" t="s">
        <v>98</v>
      </c>
      <c r="C38">
        <v>2852031168.0567517</v>
      </c>
      <c r="D38">
        <v>2813058333.008399</v>
      </c>
      <c r="E38">
        <v>1676524936.9369369</v>
      </c>
      <c r="F38">
        <v>957443440.54054058</v>
      </c>
      <c r="G38">
        <v>911</v>
      </c>
      <c r="H38">
        <v>834</v>
      </c>
      <c r="I38">
        <v>73</v>
      </c>
      <c r="J38">
        <v>73</v>
      </c>
      <c r="K38">
        <v>27</v>
      </c>
      <c r="M38">
        <v>1156</v>
      </c>
      <c r="N38">
        <v>1205</v>
      </c>
      <c r="O38">
        <v>831658333.33333337</v>
      </c>
      <c r="P38">
        <v>322485433.33333331</v>
      </c>
      <c r="Q38">
        <v>1693</v>
      </c>
      <c r="R38">
        <v>1652</v>
      </c>
      <c r="S38">
        <v>585950562.16216218</v>
      </c>
      <c r="T38">
        <v>595571619.81981981</v>
      </c>
      <c r="U38">
        <v>329455223.42342341</v>
      </c>
      <c r="V38">
        <v>289775405.4054054</v>
      </c>
      <c r="W38">
        <v>55541</v>
      </c>
      <c r="X38">
        <v>55379</v>
      </c>
    </row>
    <row r="39" spans="1:24">
      <c r="A39" s="7" t="s">
        <v>104</v>
      </c>
      <c r="B39" s="16" t="s">
        <v>105</v>
      </c>
      <c r="C39">
        <v>218898508.89483491</v>
      </c>
      <c r="D39">
        <v>197590884.39074385</v>
      </c>
      <c r="E39">
        <v>126722297.2972973</v>
      </c>
      <c r="F39">
        <v>51264864.864864863</v>
      </c>
      <c r="G39">
        <v>63</v>
      </c>
      <c r="H39">
        <v>44</v>
      </c>
      <c r="I39">
        <v>1</v>
      </c>
      <c r="J39">
        <v>0</v>
      </c>
      <c r="M39">
        <v>63</v>
      </c>
      <c r="N39">
        <v>47</v>
      </c>
      <c r="O39">
        <v>1982657.6576576571</v>
      </c>
      <c r="P39">
        <v>2395045.0450450452</v>
      </c>
      <c r="Q39">
        <v>1</v>
      </c>
      <c r="R39">
        <v>50</v>
      </c>
      <c r="S39">
        <v>43019369.369369365</v>
      </c>
      <c r="T39">
        <v>42982234.234234229</v>
      </c>
      <c r="U39">
        <v>1371981.981981982</v>
      </c>
      <c r="V39">
        <v>1200360.36036036</v>
      </c>
      <c r="W39">
        <v>2568</v>
      </c>
      <c r="X39">
        <v>2497</v>
      </c>
    </row>
    <row r="40" spans="1:24">
      <c r="A40" s="7" t="s">
        <v>106</v>
      </c>
      <c r="B40" s="16" t="s">
        <v>54</v>
      </c>
      <c r="C40">
        <v>70444050.102410093</v>
      </c>
      <c r="D40">
        <v>67650015.840629891</v>
      </c>
      <c r="E40">
        <v>277477.47747747798</v>
      </c>
      <c r="F40">
        <v>148648.64864864899</v>
      </c>
      <c r="G40">
        <v>76</v>
      </c>
      <c r="H40">
        <v>35</v>
      </c>
      <c r="I40">
        <v>0</v>
      </c>
      <c r="J40">
        <v>2</v>
      </c>
      <c r="M40">
        <v>124</v>
      </c>
      <c r="N40">
        <v>53</v>
      </c>
      <c r="O40">
        <v>3543693.6936936951</v>
      </c>
      <c r="P40">
        <v>2611891.891891893</v>
      </c>
      <c r="Q40">
        <v>39</v>
      </c>
      <c r="R40">
        <v>28</v>
      </c>
      <c r="S40">
        <v>20391711.711711712</v>
      </c>
      <c r="T40">
        <v>17550774.774774775</v>
      </c>
      <c r="U40">
        <v>3621441.441441441</v>
      </c>
      <c r="V40">
        <v>2383513.5135135129</v>
      </c>
      <c r="W40">
        <v>1307</v>
      </c>
      <c r="X40">
        <v>1443</v>
      </c>
    </row>
    <row r="41" spans="1:24">
      <c r="A41" s="7" t="s">
        <v>107</v>
      </c>
      <c r="B41" s="16" t="s">
        <v>108</v>
      </c>
      <c r="C41">
        <v>587293893.59901273</v>
      </c>
      <c r="D41">
        <v>543395851.07538652</v>
      </c>
      <c r="E41">
        <v>1930810.8108108121</v>
      </c>
      <c r="F41">
        <v>6152702.7027027039</v>
      </c>
      <c r="G41">
        <v>217</v>
      </c>
      <c r="H41">
        <v>160</v>
      </c>
      <c r="I41">
        <v>15</v>
      </c>
      <c r="J41">
        <v>18</v>
      </c>
      <c r="K41">
        <v>5</v>
      </c>
      <c r="M41">
        <v>270</v>
      </c>
      <c r="N41">
        <v>189</v>
      </c>
      <c r="O41">
        <v>133621351.35135135</v>
      </c>
      <c r="P41">
        <v>81671351.351351365</v>
      </c>
      <c r="Q41">
        <v>518</v>
      </c>
      <c r="R41">
        <v>753</v>
      </c>
      <c r="S41">
        <v>121248059.45945945</v>
      </c>
      <c r="T41">
        <v>117831450.45045045</v>
      </c>
      <c r="U41">
        <v>95164504.504504517</v>
      </c>
      <c r="V41">
        <v>69692792.792792797</v>
      </c>
      <c r="W41">
        <v>10459</v>
      </c>
      <c r="X41">
        <v>9698</v>
      </c>
    </row>
    <row r="42" spans="1:24">
      <c r="A42" s="7" t="s">
        <v>109</v>
      </c>
      <c r="B42" s="16" t="s">
        <v>108</v>
      </c>
      <c r="C42">
        <v>789912768.48983753</v>
      </c>
      <c r="D42">
        <v>769795310.24303734</v>
      </c>
      <c r="E42">
        <v>6103153.1531531559</v>
      </c>
      <c r="F42">
        <v>7983860.3603603663</v>
      </c>
      <c r="G42">
        <v>216</v>
      </c>
      <c r="H42">
        <v>266</v>
      </c>
      <c r="I42">
        <v>19</v>
      </c>
      <c r="J42">
        <v>29</v>
      </c>
      <c r="K42">
        <v>2</v>
      </c>
      <c r="M42">
        <v>367</v>
      </c>
      <c r="N42">
        <v>598</v>
      </c>
      <c r="O42">
        <v>353285585.58558559</v>
      </c>
      <c r="P42">
        <v>56225125.225225225</v>
      </c>
      <c r="Q42">
        <v>789</v>
      </c>
      <c r="R42">
        <v>427</v>
      </c>
      <c r="S42">
        <v>200890247.74774775</v>
      </c>
      <c r="T42">
        <v>219860729.72972974</v>
      </c>
      <c r="U42">
        <v>257070900.9009009</v>
      </c>
      <c r="V42">
        <v>182987477.47747746</v>
      </c>
      <c r="W42">
        <v>14240</v>
      </c>
      <c r="X42">
        <v>14081</v>
      </c>
    </row>
    <row r="43" spans="1:24">
      <c r="A43" s="7" t="s">
        <v>110</v>
      </c>
      <c r="B43" s="16" t="s">
        <v>111</v>
      </c>
      <c r="C43">
        <v>939937206.50084829</v>
      </c>
      <c r="D43">
        <v>887423771.33188689</v>
      </c>
      <c r="E43">
        <v>5700540.5405405397</v>
      </c>
      <c r="F43">
        <v>11951351.351351352</v>
      </c>
      <c r="G43">
        <v>202</v>
      </c>
      <c r="H43">
        <v>336</v>
      </c>
      <c r="I43">
        <v>28</v>
      </c>
      <c r="J43">
        <v>39</v>
      </c>
      <c r="K43">
        <v>1</v>
      </c>
      <c r="M43">
        <v>273</v>
      </c>
      <c r="N43">
        <v>661</v>
      </c>
      <c r="O43">
        <v>222139009.009009</v>
      </c>
      <c r="P43">
        <v>95196420.720720723</v>
      </c>
      <c r="Q43">
        <v>757</v>
      </c>
      <c r="R43">
        <v>1384</v>
      </c>
      <c r="S43">
        <v>300035369.36936933</v>
      </c>
      <c r="T43">
        <v>308760162.16216218</v>
      </c>
      <c r="U43">
        <v>221002252.25225225</v>
      </c>
      <c r="V43">
        <v>86374998.198198199</v>
      </c>
      <c r="W43">
        <v>19874</v>
      </c>
      <c r="X43">
        <v>19661</v>
      </c>
    </row>
    <row r="44" spans="1:24">
      <c r="A44" s="7" t="s">
        <v>112</v>
      </c>
      <c r="B44" s="16" t="s">
        <v>111</v>
      </c>
      <c r="C44">
        <v>1168567122.2701724</v>
      </c>
      <c r="D44">
        <v>1139708453.2280045</v>
      </c>
      <c r="E44">
        <v>802780540.54054058</v>
      </c>
      <c r="F44">
        <v>98026036.036036029</v>
      </c>
      <c r="G44">
        <v>252</v>
      </c>
      <c r="H44">
        <v>428</v>
      </c>
      <c r="I44">
        <v>24</v>
      </c>
      <c r="J44">
        <v>55</v>
      </c>
      <c r="K44">
        <v>8</v>
      </c>
      <c r="M44">
        <v>816</v>
      </c>
      <c r="N44">
        <v>851</v>
      </c>
      <c r="O44">
        <v>263291981.98198199</v>
      </c>
      <c r="P44">
        <v>99841994.594594598</v>
      </c>
      <c r="Q44">
        <v>1506</v>
      </c>
      <c r="R44">
        <v>2047</v>
      </c>
      <c r="S44">
        <v>409239873.87387383</v>
      </c>
      <c r="T44">
        <v>421400795.4954955</v>
      </c>
      <c r="U44">
        <v>258776666.66666666</v>
      </c>
      <c r="V44">
        <v>95845765.765765756</v>
      </c>
      <c r="W44">
        <v>27362</v>
      </c>
      <c r="X44">
        <v>27260</v>
      </c>
    </row>
    <row r="45" spans="1:24">
      <c r="A45" s="7" t="s">
        <v>113</v>
      </c>
      <c r="B45" s="16" t="s">
        <v>111</v>
      </c>
      <c r="C45">
        <v>1446036617.8689871</v>
      </c>
      <c r="D45">
        <v>1627398979.6472876</v>
      </c>
      <c r="E45">
        <v>13966576.576576583</v>
      </c>
      <c r="F45">
        <v>11655855.85585586</v>
      </c>
      <c r="G45">
        <v>332</v>
      </c>
      <c r="H45">
        <v>437</v>
      </c>
      <c r="I45">
        <v>39</v>
      </c>
      <c r="J45">
        <v>47</v>
      </c>
      <c r="K45">
        <v>8</v>
      </c>
      <c r="M45">
        <v>421</v>
      </c>
      <c r="N45">
        <v>761</v>
      </c>
      <c r="O45">
        <v>604445405.4054054</v>
      </c>
      <c r="P45">
        <v>514812267.56756753</v>
      </c>
      <c r="Q45">
        <v>2524</v>
      </c>
      <c r="R45">
        <v>1580</v>
      </c>
      <c r="S45">
        <v>1225406792.7927928</v>
      </c>
      <c r="T45">
        <v>1099716430.6306307</v>
      </c>
      <c r="U45">
        <v>153149819.81981981</v>
      </c>
      <c r="V45">
        <v>53562745.945945948</v>
      </c>
      <c r="W45">
        <v>13936</v>
      </c>
      <c r="X45">
        <v>15149</v>
      </c>
    </row>
    <row r="46" spans="1:24">
      <c r="A46" s="7" t="s">
        <v>114</v>
      </c>
      <c r="B46" s="16" t="s">
        <v>111</v>
      </c>
      <c r="C46">
        <v>916142921.86698508</v>
      </c>
      <c r="D46">
        <v>910329925.70757806</v>
      </c>
      <c r="E46">
        <v>6354054.054054061</v>
      </c>
      <c r="F46">
        <v>13816891.8918919</v>
      </c>
      <c r="G46">
        <v>1707</v>
      </c>
      <c r="H46">
        <v>535</v>
      </c>
      <c r="I46">
        <v>36</v>
      </c>
      <c r="J46">
        <v>66</v>
      </c>
      <c r="K46">
        <v>31</v>
      </c>
      <c r="M46">
        <v>4021</v>
      </c>
      <c r="N46">
        <v>1622</v>
      </c>
      <c r="O46">
        <v>143555405.4054054</v>
      </c>
      <c r="P46">
        <v>117404774.77477479</v>
      </c>
      <c r="Q46">
        <v>946</v>
      </c>
      <c r="R46">
        <v>1042</v>
      </c>
      <c r="S46">
        <v>293268207.2072072</v>
      </c>
      <c r="T46">
        <v>273217279.27927929</v>
      </c>
      <c r="U46">
        <v>144542882.88288289</v>
      </c>
      <c r="V46">
        <v>107007747.74774775</v>
      </c>
      <c r="W46">
        <v>21256</v>
      </c>
      <c r="X46">
        <v>20509</v>
      </c>
    </row>
    <row r="47" spans="1:24">
      <c r="A47" s="7" t="s">
        <v>115</v>
      </c>
      <c r="B47" s="16" t="s">
        <v>111</v>
      </c>
      <c r="C47">
        <v>1274668583.7916753</v>
      </c>
      <c r="D47">
        <v>1148416614.1270957</v>
      </c>
      <c r="E47">
        <v>1130534734.2342343</v>
      </c>
      <c r="F47">
        <v>1698257388.2882884</v>
      </c>
      <c r="G47">
        <v>582</v>
      </c>
      <c r="H47">
        <v>500</v>
      </c>
      <c r="I47">
        <v>55</v>
      </c>
      <c r="J47">
        <v>89</v>
      </c>
      <c r="K47">
        <v>2</v>
      </c>
      <c r="M47">
        <v>656</v>
      </c>
      <c r="N47">
        <v>818</v>
      </c>
      <c r="O47">
        <v>1041528364.8648649</v>
      </c>
      <c r="P47">
        <v>894642171.17117119</v>
      </c>
      <c r="Q47">
        <v>1154</v>
      </c>
      <c r="R47">
        <v>7341</v>
      </c>
      <c r="S47">
        <v>410569117.11711711</v>
      </c>
      <c r="T47">
        <v>359265034.68468469</v>
      </c>
      <c r="U47">
        <v>457687657.65765768</v>
      </c>
      <c r="V47">
        <v>846856843.24324322</v>
      </c>
      <c r="W47">
        <v>24565</v>
      </c>
      <c r="X47">
        <v>23961</v>
      </c>
    </row>
    <row r="48" spans="1:24">
      <c r="A48" s="7" t="s">
        <v>116</v>
      </c>
      <c r="B48" s="16" t="s">
        <v>54</v>
      </c>
      <c r="C48">
        <v>63113516.711781278</v>
      </c>
      <c r="D48">
        <v>62695484.501434654</v>
      </c>
      <c r="E48">
        <v>844369.36936937098</v>
      </c>
      <c r="F48">
        <v>1199774.7747747749</v>
      </c>
      <c r="G48">
        <v>9</v>
      </c>
      <c r="H48">
        <v>12</v>
      </c>
      <c r="I48">
        <v>5</v>
      </c>
      <c r="J48">
        <v>4</v>
      </c>
      <c r="M48">
        <v>9</v>
      </c>
      <c r="N48">
        <v>12</v>
      </c>
      <c r="O48">
        <v>5859459.4594594594</v>
      </c>
      <c r="P48">
        <v>5403153.1531531513</v>
      </c>
      <c r="Q48">
        <v>31</v>
      </c>
      <c r="R48">
        <v>52</v>
      </c>
      <c r="S48">
        <v>14969090.090090092</v>
      </c>
      <c r="T48">
        <v>15445018.018018018</v>
      </c>
      <c r="U48">
        <v>5368828.8288288293</v>
      </c>
      <c r="V48">
        <v>4805675.6756756753</v>
      </c>
      <c r="W48">
        <v>1042</v>
      </c>
      <c r="X48">
        <v>1100</v>
      </c>
    </row>
    <row r="49" spans="1:24">
      <c r="A49" s="7" t="s">
        <v>118</v>
      </c>
      <c r="B49" s="16" t="s">
        <v>78</v>
      </c>
      <c r="C49">
        <v>557813750.42381406</v>
      </c>
      <c r="D49">
        <v>526020279.69303948</v>
      </c>
      <c r="E49">
        <v>499937523.42342341</v>
      </c>
      <c r="F49">
        <v>498943519.81981987</v>
      </c>
      <c r="G49">
        <v>270</v>
      </c>
      <c r="H49">
        <v>219</v>
      </c>
      <c r="I49">
        <v>21</v>
      </c>
      <c r="J49">
        <v>34</v>
      </c>
      <c r="K49">
        <v>2</v>
      </c>
      <c r="M49">
        <v>409</v>
      </c>
      <c r="N49">
        <v>270</v>
      </c>
      <c r="O49">
        <v>84626756.756756753</v>
      </c>
      <c r="P49">
        <v>117953153.15315315</v>
      </c>
      <c r="Q49">
        <v>363</v>
      </c>
      <c r="R49">
        <v>1577</v>
      </c>
      <c r="S49">
        <v>214651872.07207206</v>
      </c>
      <c r="T49">
        <v>210612838.2882883</v>
      </c>
      <c r="U49">
        <v>86025538.738738731</v>
      </c>
      <c r="V49">
        <v>114567477.47747748</v>
      </c>
      <c r="W49">
        <v>11916</v>
      </c>
      <c r="X49">
        <v>11876</v>
      </c>
    </row>
    <row r="50" spans="1:24">
      <c r="A50" s="7" t="s">
        <v>119</v>
      </c>
      <c r="B50" s="16" t="s">
        <v>50</v>
      </c>
      <c r="C50">
        <v>176681979.64491066</v>
      </c>
      <c r="D50">
        <v>166852542.71744457</v>
      </c>
      <c r="E50">
        <v>610135.13513513701</v>
      </c>
      <c r="F50">
        <v>4936936.9369369373</v>
      </c>
      <c r="G50">
        <v>87</v>
      </c>
      <c r="H50">
        <v>55</v>
      </c>
      <c r="I50">
        <v>13</v>
      </c>
      <c r="J50">
        <v>11</v>
      </c>
      <c r="M50">
        <v>91</v>
      </c>
      <c r="N50">
        <v>68</v>
      </c>
      <c r="O50">
        <v>103754774.77477477</v>
      </c>
      <c r="P50">
        <v>105381081.08108109</v>
      </c>
      <c r="Q50">
        <v>250</v>
      </c>
      <c r="R50">
        <v>292</v>
      </c>
      <c r="S50">
        <v>62557207.20720721</v>
      </c>
      <c r="T50">
        <v>60743819.819819823</v>
      </c>
      <c r="U50">
        <v>103809909.9099099</v>
      </c>
      <c r="V50">
        <v>99838288.288288295</v>
      </c>
      <c r="W50">
        <v>2446</v>
      </c>
      <c r="X50">
        <v>2429</v>
      </c>
    </row>
    <row r="51" spans="1:24">
      <c r="A51" s="7" t="s">
        <v>120</v>
      </c>
      <c r="B51" s="16" t="s">
        <v>121</v>
      </c>
      <c r="C51">
        <v>615944954.90181017</v>
      </c>
      <c r="D51">
        <v>560938008.36236167</v>
      </c>
      <c r="E51">
        <v>1411036.036036035</v>
      </c>
      <c r="F51">
        <v>4825675.6756756781</v>
      </c>
      <c r="G51">
        <v>249</v>
      </c>
      <c r="H51">
        <v>216</v>
      </c>
      <c r="I51">
        <v>14</v>
      </c>
      <c r="J51">
        <v>18</v>
      </c>
      <c r="K51">
        <v>9</v>
      </c>
      <c r="M51">
        <v>268</v>
      </c>
      <c r="N51">
        <v>242</v>
      </c>
      <c r="O51">
        <v>24529729.729729727</v>
      </c>
      <c r="P51">
        <v>23026126.126126129</v>
      </c>
      <c r="Q51">
        <v>104</v>
      </c>
      <c r="R51">
        <v>81</v>
      </c>
      <c r="S51">
        <v>43639288.288288288</v>
      </c>
      <c r="T51">
        <v>46834765.765765771</v>
      </c>
      <c r="U51">
        <v>23114234.234234232</v>
      </c>
      <c r="V51">
        <v>19677297.297297295</v>
      </c>
      <c r="W51">
        <v>8138</v>
      </c>
      <c r="X51">
        <v>7892</v>
      </c>
    </row>
    <row r="52" spans="1:24">
      <c r="A52" s="7" t="s">
        <v>122</v>
      </c>
      <c r="B52" s="16" t="s">
        <v>123</v>
      </c>
      <c r="C52">
        <v>277657923.07510823</v>
      </c>
      <c r="D52">
        <v>293522181.7892977</v>
      </c>
      <c r="E52">
        <v>363513.51351351402</v>
      </c>
      <c r="F52">
        <v>1277702.702702703</v>
      </c>
      <c r="G52">
        <v>39</v>
      </c>
      <c r="H52">
        <v>47</v>
      </c>
      <c r="I52">
        <v>6</v>
      </c>
      <c r="J52">
        <v>3</v>
      </c>
      <c r="M52">
        <v>46</v>
      </c>
      <c r="N52">
        <v>53</v>
      </c>
      <c r="O52">
        <v>59232162.162162162</v>
      </c>
      <c r="P52">
        <v>59119909.909909911</v>
      </c>
      <c r="Q52">
        <v>94</v>
      </c>
      <c r="R52">
        <v>52</v>
      </c>
      <c r="S52">
        <v>127044636.03603603</v>
      </c>
      <c r="T52">
        <v>134518720.72072071</v>
      </c>
      <c r="U52">
        <v>57682882.882882878</v>
      </c>
      <c r="V52">
        <v>61566756.75675676</v>
      </c>
      <c r="W52">
        <v>4512</v>
      </c>
      <c r="X52">
        <v>4498</v>
      </c>
    </row>
    <row r="53" spans="1:24">
      <c r="A53" s="7" t="s">
        <v>124</v>
      </c>
      <c r="B53" s="16" t="s">
        <v>125</v>
      </c>
      <c r="C53">
        <v>418065191.8749795</v>
      </c>
      <c r="D53">
        <v>385079541.92835426</v>
      </c>
      <c r="E53">
        <v>43359393.693693697</v>
      </c>
      <c r="F53">
        <v>64594378.378378384</v>
      </c>
      <c r="G53">
        <v>75</v>
      </c>
      <c r="H53">
        <v>99</v>
      </c>
      <c r="I53">
        <v>10</v>
      </c>
      <c r="J53">
        <v>8</v>
      </c>
      <c r="M53">
        <v>82</v>
      </c>
      <c r="N53">
        <v>164</v>
      </c>
      <c r="O53">
        <v>98635585.585585579</v>
      </c>
      <c r="P53">
        <v>116189189.18918918</v>
      </c>
      <c r="Q53">
        <v>255</v>
      </c>
      <c r="R53">
        <v>258</v>
      </c>
      <c r="S53">
        <v>122284223.42342342</v>
      </c>
      <c r="T53">
        <v>119188327.92792794</v>
      </c>
      <c r="U53">
        <v>107935495.49549548</v>
      </c>
      <c r="V53">
        <v>116806079.27927928</v>
      </c>
      <c r="W53">
        <v>6547</v>
      </c>
      <c r="X53">
        <v>6594</v>
      </c>
    </row>
    <row r="54" spans="1:24">
      <c r="A54" s="7" t="s">
        <v>126</v>
      </c>
      <c r="B54" s="16" t="s">
        <v>78</v>
      </c>
      <c r="C54">
        <v>268234894.5077711</v>
      </c>
      <c r="D54">
        <v>255704762.83316794</v>
      </c>
      <c r="E54">
        <v>3604234.2342342362</v>
      </c>
      <c r="F54">
        <v>5232432.4324324364</v>
      </c>
      <c r="G54">
        <v>62</v>
      </c>
      <c r="H54">
        <v>87</v>
      </c>
      <c r="I54">
        <v>8</v>
      </c>
      <c r="J54">
        <v>8</v>
      </c>
      <c r="M54">
        <v>69</v>
      </c>
      <c r="N54">
        <v>97</v>
      </c>
      <c r="O54">
        <v>50820450.45045045</v>
      </c>
      <c r="P54">
        <v>48277477.477477483</v>
      </c>
      <c r="Q54">
        <v>135</v>
      </c>
      <c r="R54">
        <v>152</v>
      </c>
      <c r="S54">
        <v>105612891.89189188</v>
      </c>
      <c r="T54">
        <v>104699216.21621622</v>
      </c>
      <c r="U54">
        <v>50412432.432432435</v>
      </c>
      <c r="V54">
        <v>44148468.468468472</v>
      </c>
      <c r="W54">
        <v>4989</v>
      </c>
      <c r="X54">
        <v>5062</v>
      </c>
    </row>
    <row r="55" spans="1:24">
      <c r="A55" s="7" t="s">
        <v>127</v>
      </c>
      <c r="B55" s="16" t="s">
        <v>78</v>
      </c>
      <c r="C55">
        <v>47848429.453476787</v>
      </c>
      <c r="D55">
        <v>42683268.154596075</v>
      </c>
      <c r="E55">
        <v>47297.297297297999</v>
      </c>
      <c r="F55">
        <v>1325225.2252252251</v>
      </c>
      <c r="G55">
        <v>22</v>
      </c>
      <c r="H55">
        <v>15</v>
      </c>
      <c r="I55">
        <v>4</v>
      </c>
      <c r="J55">
        <v>8</v>
      </c>
      <c r="K55">
        <v>1</v>
      </c>
      <c r="M55">
        <v>27</v>
      </c>
      <c r="N55">
        <v>20</v>
      </c>
      <c r="O55">
        <v>10704954.954954956</v>
      </c>
      <c r="P55">
        <v>19208108.108108107</v>
      </c>
      <c r="Q55">
        <v>18</v>
      </c>
      <c r="R55">
        <v>37</v>
      </c>
      <c r="S55">
        <v>26611441.441441439</v>
      </c>
      <c r="T55">
        <v>24806891.891891893</v>
      </c>
      <c r="U55">
        <v>11955945.945945946</v>
      </c>
      <c r="V55">
        <v>20438648.648648649</v>
      </c>
      <c r="W55">
        <v>1183</v>
      </c>
      <c r="X55">
        <v>1241</v>
      </c>
    </row>
    <row r="56" spans="1:24">
      <c r="A56" s="7" t="s">
        <v>128</v>
      </c>
      <c r="B56" s="16" t="s">
        <v>78</v>
      </c>
      <c r="C56">
        <v>258567287.13457406</v>
      </c>
      <c r="D56">
        <v>244375903.05792466</v>
      </c>
      <c r="E56">
        <v>1359684.6846846859</v>
      </c>
      <c r="F56">
        <v>2924099.0990991038</v>
      </c>
      <c r="G56">
        <v>151</v>
      </c>
      <c r="H56">
        <v>200</v>
      </c>
      <c r="I56">
        <v>9</v>
      </c>
      <c r="J56">
        <v>12</v>
      </c>
      <c r="K56">
        <v>2</v>
      </c>
      <c r="M56">
        <v>213</v>
      </c>
      <c r="N56">
        <v>236</v>
      </c>
      <c r="O56">
        <v>27452252.252252251</v>
      </c>
      <c r="P56">
        <v>33135135.135135137</v>
      </c>
      <c r="Q56">
        <v>89</v>
      </c>
      <c r="R56">
        <v>136</v>
      </c>
      <c r="S56">
        <v>100137666.66666667</v>
      </c>
      <c r="T56">
        <v>94244259.459459454</v>
      </c>
      <c r="U56">
        <v>26221531.531531528</v>
      </c>
      <c r="V56">
        <v>31800540.540540535</v>
      </c>
      <c r="W56">
        <v>5792</v>
      </c>
      <c r="X56">
        <v>5802</v>
      </c>
    </row>
    <row r="57" spans="1:24">
      <c r="A57" s="7" t="s">
        <v>129</v>
      </c>
      <c r="B57" s="16" t="s">
        <v>85</v>
      </c>
      <c r="C57">
        <v>78514044.812583447</v>
      </c>
      <c r="D57">
        <v>72307866.516770139</v>
      </c>
      <c r="E57">
        <v>63063.063063062</v>
      </c>
      <c r="F57">
        <v>212612.612612614</v>
      </c>
      <c r="G57">
        <v>31</v>
      </c>
      <c r="H57">
        <v>16</v>
      </c>
      <c r="I57">
        <v>5</v>
      </c>
      <c r="J57">
        <v>2</v>
      </c>
      <c r="M57">
        <v>31</v>
      </c>
      <c r="N57">
        <v>18</v>
      </c>
      <c r="O57">
        <v>74175675.675675675</v>
      </c>
      <c r="P57">
        <v>87578108.108108118</v>
      </c>
      <c r="Q57">
        <v>70</v>
      </c>
      <c r="R57">
        <v>51</v>
      </c>
      <c r="S57">
        <v>34163063.063063063</v>
      </c>
      <c r="T57">
        <v>33936648.648648649</v>
      </c>
      <c r="U57">
        <v>61159459.459459454</v>
      </c>
      <c r="V57">
        <v>69338738.738738731</v>
      </c>
      <c r="W57">
        <v>1201</v>
      </c>
      <c r="X57">
        <v>1310</v>
      </c>
    </row>
    <row r="58" spans="1:24">
      <c r="A58" s="7" t="s">
        <v>130</v>
      </c>
      <c r="B58" s="16" t="s">
        <v>89</v>
      </c>
      <c r="C58">
        <v>679848563.8955301</v>
      </c>
      <c r="D58">
        <v>669945715.14713931</v>
      </c>
      <c r="E58">
        <v>2339864.8648648709</v>
      </c>
      <c r="F58">
        <v>4886936.9369369429</v>
      </c>
      <c r="G58">
        <v>91</v>
      </c>
      <c r="H58">
        <v>83</v>
      </c>
      <c r="I58">
        <v>23</v>
      </c>
      <c r="J58">
        <v>40</v>
      </c>
      <c r="K58">
        <v>1</v>
      </c>
      <c r="M58">
        <v>99</v>
      </c>
      <c r="N58">
        <v>115</v>
      </c>
      <c r="O58">
        <v>40310090.090090089</v>
      </c>
      <c r="P58">
        <v>72870180.180180177</v>
      </c>
      <c r="Q58">
        <v>256</v>
      </c>
      <c r="R58">
        <v>442</v>
      </c>
      <c r="S58">
        <v>203040754.95495495</v>
      </c>
      <c r="T58">
        <v>208468600</v>
      </c>
      <c r="U58">
        <v>39974998.198198199</v>
      </c>
      <c r="V58">
        <v>70514590.990990996</v>
      </c>
      <c r="W58">
        <v>10705</v>
      </c>
      <c r="X58">
        <v>10754</v>
      </c>
    </row>
    <row r="59" spans="1:24">
      <c r="A59" s="7" t="s">
        <v>131</v>
      </c>
      <c r="B59" s="16" t="s">
        <v>132</v>
      </c>
      <c r="C59">
        <v>405762365.66024435</v>
      </c>
      <c r="D59">
        <v>369425698.67353618</v>
      </c>
      <c r="E59">
        <v>198198.19819819901</v>
      </c>
      <c r="F59">
        <v>1705405.4054054071</v>
      </c>
      <c r="G59">
        <v>173</v>
      </c>
      <c r="H59">
        <v>214</v>
      </c>
      <c r="I59">
        <v>7</v>
      </c>
      <c r="J59">
        <v>8</v>
      </c>
      <c r="K59">
        <v>1</v>
      </c>
      <c r="M59">
        <v>189</v>
      </c>
      <c r="N59">
        <v>223</v>
      </c>
      <c r="O59">
        <v>28463963.963963963</v>
      </c>
      <c r="P59">
        <v>33683783.783783786</v>
      </c>
      <c r="Q59">
        <v>47</v>
      </c>
      <c r="R59">
        <v>56</v>
      </c>
      <c r="S59">
        <v>123444216.21621622</v>
      </c>
      <c r="T59">
        <v>116289392.34234233</v>
      </c>
      <c r="U59">
        <v>24155225.225225229</v>
      </c>
      <c r="V59">
        <v>33406306.306306314</v>
      </c>
      <c r="W59">
        <v>7168</v>
      </c>
      <c r="X59">
        <v>7172</v>
      </c>
    </row>
    <row r="60" spans="1:24">
      <c r="A60" s="7" t="s">
        <v>133</v>
      </c>
      <c r="B60" s="16" t="s">
        <v>134</v>
      </c>
      <c r="C60">
        <v>63670905.003086612</v>
      </c>
      <c r="D60">
        <v>42633710.816131279</v>
      </c>
      <c r="G60">
        <v>24</v>
      </c>
      <c r="H60">
        <v>3</v>
      </c>
      <c r="M60">
        <v>28</v>
      </c>
      <c r="N60">
        <v>3</v>
      </c>
      <c r="S60">
        <v>8371072.072072072</v>
      </c>
      <c r="T60">
        <v>6955439.6396396393</v>
      </c>
      <c r="W60">
        <v>2256</v>
      </c>
      <c r="X60">
        <v>2248</v>
      </c>
    </row>
    <row r="61" spans="1:24">
      <c r="A61" s="7" t="s">
        <v>135</v>
      </c>
      <c r="B61" s="16" t="s">
        <v>136</v>
      </c>
      <c r="C61">
        <v>328067306.67062497</v>
      </c>
      <c r="D61">
        <v>299092446.93414003</v>
      </c>
      <c r="E61">
        <v>735135.13513513503</v>
      </c>
      <c r="F61">
        <v>1035135.1351351381</v>
      </c>
      <c r="G61">
        <v>103</v>
      </c>
      <c r="H61">
        <v>82</v>
      </c>
      <c r="I61">
        <v>5</v>
      </c>
      <c r="J61">
        <v>4</v>
      </c>
      <c r="M61">
        <v>111</v>
      </c>
      <c r="N61">
        <v>85</v>
      </c>
      <c r="O61">
        <v>30069549.549549554</v>
      </c>
      <c r="P61">
        <v>25314414.414414417</v>
      </c>
      <c r="Q61">
        <v>23</v>
      </c>
      <c r="S61">
        <v>55945576.576576576</v>
      </c>
      <c r="T61">
        <v>46263036.036036029</v>
      </c>
      <c r="U61">
        <v>29812972.97297297</v>
      </c>
      <c r="V61">
        <v>22068198.198198196</v>
      </c>
      <c r="W61">
        <v>3606</v>
      </c>
      <c r="X61">
        <v>3514</v>
      </c>
    </row>
    <row r="62" spans="1:24">
      <c r="A62" s="7" t="s">
        <v>137</v>
      </c>
      <c r="B62" s="16" t="s">
        <v>89</v>
      </c>
      <c r="C62">
        <v>340973736.00323534</v>
      </c>
      <c r="D62">
        <v>329842612.53539985</v>
      </c>
      <c r="E62">
        <v>359684.68468468997</v>
      </c>
      <c r="F62">
        <v>4433108.1081081154</v>
      </c>
      <c r="G62">
        <v>61</v>
      </c>
      <c r="H62">
        <v>70</v>
      </c>
      <c r="I62">
        <v>32</v>
      </c>
      <c r="J62">
        <v>36</v>
      </c>
      <c r="K62">
        <v>4</v>
      </c>
      <c r="M62">
        <v>155</v>
      </c>
      <c r="N62">
        <v>296</v>
      </c>
      <c r="O62">
        <v>46528288.288288288</v>
      </c>
      <c r="P62">
        <v>60955585.585585587</v>
      </c>
      <c r="Q62">
        <v>345</v>
      </c>
      <c r="R62">
        <v>291</v>
      </c>
      <c r="S62">
        <v>118252882.88288288</v>
      </c>
      <c r="T62">
        <v>118227980.18018018</v>
      </c>
      <c r="U62">
        <v>47286306.306306303</v>
      </c>
      <c r="V62">
        <v>54246126.126126125</v>
      </c>
      <c r="W62">
        <v>4981</v>
      </c>
      <c r="X62">
        <v>4944</v>
      </c>
    </row>
    <row r="63" spans="1:24">
      <c r="A63" s="7" t="s">
        <v>138</v>
      </c>
      <c r="B63" s="16" t="s">
        <v>78</v>
      </c>
      <c r="C63">
        <v>250002763.36424559</v>
      </c>
      <c r="D63">
        <v>237809344.76186851</v>
      </c>
      <c r="E63">
        <v>3870900.9009009032</v>
      </c>
      <c r="F63">
        <v>6393693.6936936947</v>
      </c>
      <c r="G63">
        <v>106</v>
      </c>
      <c r="H63">
        <v>133</v>
      </c>
      <c r="I63">
        <v>9</v>
      </c>
      <c r="J63">
        <v>19</v>
      </c>
      <c r="K63">
        <v>6</v>
      </c>
      <c r="M63">
        <v>128</v>
      </c>
      <c r="N63">
        <v>152</v>
      </c>
      <c r="O63">
        <v>27988018.018018015</v>
      </c>
      <c r="P63">
        <v>35105405.405405402</v>
      </c>
      <c r="Q63">
        <v>51</v>
      </c>
      <c r="R63">
        <v>108</v>
      </c>
      <c r="S63">
        <v>104915225.22522523</v>
      </c>
      <c r="T63">
        <v>102282416.66666667</v>
      </c>
      <c r="U63">
        <v>28208828.82882883</v>
      </c>
      <c r="V63">
        <v>34256576.576576576</v>
      </c>
      <c r="W63">
        <v>5180</v>
      </c>
      <c r="X63">
        <v>5294</v>
      </c>
    </row>
    <row r="64" spans="1:24">
      <c r="A64" s="7" t="s">
        <v>139</v>
      </c>
      <c r="B64" s="16" t="s">
        <v>140</v>
      </c>
      <c r="C64">
        <v>322830425.64162207</v>
      </c>
      <c r="D64">
        <v>328979817.71564859</v>
      </c>
      <c r="E64">
        <v>2720720.7207207209</v>
      </c>
      <c r="F64">
        <v>3395495.4954954959</v>
      </c>
      <c r="G64">
        <v>35</v>
      </c>
      <c r="H64">
        <v>26</v>
      </c>
      <c r="I64">
        <v>4</v>
      </c>
      <c r="J64">
        <v>3</v>
      </c>
      <c r="M64">
        <v>38</v>
      </c>
      <c r="N64">
        <v>27</v>
      </c>
      <c r="O64">
        <v>36793693.693693697</v>
      </c>
      <c r="P64">
        <v>33793513.513513513</v>
      </c>
      <c r="Q64">
        <v>203</v>
      </c>
      <c r="R64">
        <v>65</v>
      </c>
      <c r="S64">
        <v>55584819.819819815</v>
      </c>
      <c r="T64">
        <v>57560486.486486487</v>
      </c>
      <c r="U64">
        <v>33935585.585585587</v>
      </c>
      <c r="V64">
        <v>27817837.837837841</v>
      </c>
      <c r="W64">
        <v>4575</v>
      </c>
      <c r="X64">
        <v>4628</v>
      </c>
    </row>
    <row r="65" spans="1:24">
      <c r="A65" s="7" t="s">
        <v>141</v>
      </c>
      <c r="B65" s="16" t="s">
        <v>62</v>
      </c>
      <c r="C65">
        <v>222538483.08108971</v>
      </c>
      <c r="D65">
        <v>217649758.58839718</v>
      </c>
      <c r="E65">
        <v>1562162.1621621661</v>
      </c>
      <c r="F65">
        <v>3444033.333333333</v>
      </c>
      <c r="G65">
        <v>53</v>
      </c>
      <c r="H65">
        <v>126</v>
      </c>
      <c r="I65">
        <v>11</v>
      </c>
      <c r="J65">
        <v>9</v>
      </c>
      <c r="K65">
        <v>1</v>
      </c>
      <c r="M65">
        <v>63</v>
      </c>
      <c r="N65">
        <v>147</v>
      </c>
      <c r="O65">
        <v>127497387.38738739</v>
      </c>
      <c r="P65">
        <v>116484407.2072072</v>
      </c>
      <c r="Q65">
        <v>66</v>
      </c>
      <c r="R65">
        <v>63</v>
      </c>
      <c r="S65">
        <v>47925441.441441439</v>
      </c>
      <c r="T65">
        <v>48225711.711711712</v>
      </c>
      <c r="U65">
        <v>126584864.86486487</v>
      </c>
      <c r="V65">
        <v>116290630.63063063</v>
      </c>
      <c r="W65">
        <v>3894</v>
      </c>
      <c r="X65">
        <v>3878</v>
      </c>
    </row>
    <row r="66" spans="1:24">
      <c r="A66" s="7" t="s">
        <v>142</v>
      </c>
      <c r="B66" s="16" t="s">
        <v>143</v>
      </c>
      <c r="C66">
        <v>2561017.1823641672</v>
      </c>
      <c r="D66">
        <v>2255145.7115344512</v>
      </c>
      <c r="E66">
        <v>213150809.90990993</v>
      </c>
      <c r="F66">
        <v>106672341.44144145</v>
      </c>
      <c r="G66">
        <v>1</v>
      </c>
      <c r="H66">
        <v>1</v>
      </c>
      <c r="M66">
        <v>1</v>
      </c>
      <c r="N66">
        <v>1</v>
      </c>
      <c r="O66">
        <v>14882882.882882884</v>
      </c>
      <c r="P66">
        <v>32432432.432432432</v>
      </c>
      <c r="S66">
        <v>188063.06306306299</v>
      </c>
      <c r="T66">
        <v>164504.50450450499</v>
      </c>
      <c r="W66">
        <v>141</v>
      </c>
      <c r="X66">
        <v>180</v>
      </c>
    </row>
    <row r="67" spans="1:24">
      <c r="A67" s="7" t="s">
        <v>144</v>
      </c>
      <c r="B67" s="16" t="s">
        <v>140</v>
      </c>
      <c r="C67">
        <v>474918498.59801519</v>
      </c>
      <c r="D67">
        <v>464276943.36562467</v>
      </c>
      <c r="E67">
        <v>661081.08108108304</v>
      </c>
      <c r="F67">
        <v>3244594.594594595</v>
      </c>
      <c r="G67">
        <v>65</v>
      </c>
      <c r="H67">
        <v>116</v>
      </c>
      <c r="I67">
        <v>10</v>
      </c>
      <c r="J67">
        <v>12</v>
      </c>
      <c r="K67">
        <v>3</v>
      </c>
      <c r="M67">
        <v>75</v>
      </c>
      <c r="N67">
        <v>137</v>
      </c>
      <c r="O67">
        <v>51911531.531531535</v>
      </c>
      <c r="P67">
        <v>52827387.387387387</v>
      </c>
      <c r="Q67">
        <v>263</v>
      </c>
      <c r="R67">
        <v>250</v>
      </c>
      <c r="S67">
        <v>88561351.351351351</v>
      </c>
      <c r="T67">
        <v>87497225.225225225</v>
      </c>
      <c r="U67">
        <v>50124324.324324317</v>
      </c>
      <c r="V67">
        <v>50818288.288288288</v>
      </c>
      <c r="W67">
        <v>7583</v>
      </c>
      <c r="X67">
        <v>7555</v>
      </c>
    </row>
    <row r="68" spans="1:24">
      <c r="A68" s="7" t="s">
        <v>145</v>
      </c>
      <c r="B68" s="16" t="s">
        <v>78</v>
      </c>
      <c r="C68">
        <v>333759890.26870304</v>
      </c>
      <c r="D68">
        <v>331950182.26781899</v>
      </c>
      <c r="E68">
        <v>1987207.207207208</v>
      </c>
      <c r="F68">
        <v>4445045.0450450471</v>
      </c>
      <c r="G68">
        <v>68</v>
      </c>
      <c r="H68">
        <v>106</v>
      </c>
      <c r="I68">
        <v>7</v>
      </c>
      <c r="J68">
        <v>6</v>
      </c>
      <c r="M68">
        <v>77</v>
      </c>
      <c r="N68">
        <v>118</v>
      </c>
      <c r="O68">
        <v>33338558.558558557</v>
      </c>
      <c r="P68">
        <v>34151351.351351351</v>
      </c>
      <c r="Q68">
        <v>82</v>
      </c>
      <c r="R68">
        <v>115</v>
      </c>
      <c r="S68">
        <v>89733738.738738731</v>
      </c>
      <c r="T68">
        <v>94031414.414414421</v>
      </c>
      <c r="U68">
        <v>31971171.17117117</v>
      </c>
      <c r="V68">
        <v>33854144.14414414</v>
      </c>
      <c r="W68">
        <v>6482</v>
      </c>
      <c r="X68">
        <v>6329</v>
      </c>
    </row>
    <row r="69" spans="1:24">
      <c r="A69" s="7" t="s">
        <v>146</v>
      </c>
      <c r="B69" s="16" t="s">
        <v>147</v>
      </c>
      <c r="C69">
        <v>229181165.01112404</v>
      </c>
      <c r="D69">
        <v>218317717.82499176</v>
      </c>
      <c r="E69">
        <v>336036.03603603598</v>
      </c>
      <c r="F69">
        <v>4335135.1351351365</v>
      </c>
      <c r="G69">
        <v>49</v>
      </c>
      <c r="H69">
        <v>45</v>
      </c>
      <c r="I69">
        <v>10</v>
      </c>
      <c r="J69">
        <v>2</v>
      </c>
      <c r="M69">
        <v>53</v>
      </c>
      <c r="N69">
        <v>51</v>
      </c>
      <c r="O69">
        <v>22541801.801801801</v>
      </c>
      <c r="P69">
        <v>68763597.297297299</v>
      </c>
      <c r="Q69">
        <v>163</v>
      </c>
      <c r="R69">
        <v>133</v>
      </c>
      <c r="S69">
        <v>63830441.441441439</v>
      </c>
      <c r="T69">
        <v>69219630.630630627</v>
      </c>
      <c r="U69">
        <v>23440630.630630627</v>
      </c>
      <c r="V69">
        <v>67094864.864864863</v>
      </c>
      <c r="W69">
        <v>3766</v>
      </c>
      <c r="X69">
        <v>3695</v>
      </c>
    </row>
    <row r="70" spans="1:24">
      <c r="A70" s="7" t="s">
        <v>148</v>
      </c>
      <c r="B70" s="16" t="s">
        <v>94</v>
      </c>
      <c r="D70">
        <v>17.531949365999999</v>
      </c>
    </row>
    <row r="71" spans="1:24">
      <c r="A71" s="7" t="s">
        <v>149</v>
      </c>
      <c r="B71" s="16" t="s">
        <v>50</v>
      </c>
      <c r="C71">
        <v>192821329.87267524</v>
      </c>
      <c r="D71">
        <v>193732212.31145465</v>
      </c>
      <c r="E71">
        <v>237837.837837839</v>
      </c>
      <c r="F71">
        <v>830630.630630631</v>
      </c>
      <c r="G71">
        <v>41</v>
      </c>
      <c r="H71">
        <v>61</v>
      </c>
      <c r="I71">
        <v>7</v>
      </c>
      <c r="J71">
        <v>4</v>
      </c>
      <c r="M71">
        <v>45</v>
      </c>
      <c r="N71">
        <v>62</v>
      </c>
      <c r="O71">
        <v>17983063.063063063</v>
      </c>
      <c r="P71">
        <v>12680630.630630633</v>
      </c>
      <c r="Q71">
        <v>24</v>
      </c>
      <c r="R71">
        <v>20</v>
      </c>
      <c r="S71">
        <v>87074909.909909904</v>
      </c>
      <c r="T71">
        <v>86076711.711711705</v>
      </c>
      <c r="U71">
        <v>19690810.810810808</v>
      </c>
      <c r="V71">
        <v>12006486.486486483</v>
      </c>
      <c r="W71">
        <v>3403</v>
      </c>
      <c r="X71">
        <v>3478</v>
      </c>
    </row>
    <row r="72" spans="1:24">
      <c r="A72" s="7" t="s">
        <v>150</v>
      </c>
      <c r="B72" s="16" t="s">
        <v>151</v>
      </c>
      <c r="C72">
        <v>57505735.638789982</v>
      </c>
      <c r="D72">
        <v>58670524.29142753</v>
      </c>
      <c r="E72">
        <v>88202027.027027026</v>
      </c>
      <c r="F72">
        <v>583130630.63063061</v>
      </c>
      <c r="G72">
        <v>13</v>
      </c>
      <c r="H72">
        <v>11</v>
      </c>
      <c r="I72">
        <v>9</v>
      </c>
      <c r="J72">
        <v>2</v>
      </c>
      <c r="M72">
        <v>13</v>
      </c>
      <c r="N72">
        <v>12</v>
      </c>
      <c r="O72">
        <v>90348558.558558553</v>
      </c>
      <c r="P72">
        <v>79772072.072072059</v>
      </c>
      <c r="Q72">
        <v>27</v>
      </c>
      <c r="R72">
        <v>17</v>
      </c>
      <c r="S72">
        <v>14615675.675675675</v>
      </c>
      <c r="T72">
        <v>16133639.63963964</v>
      </c>
      <c r="U72">
        <v>49264234.234234244</v>
      </c>
      <c r="V72">
        <v>27580810.810810812</v>
      </c>
      <c r="W72">
        <v>656</v>
      </c>
      <c r="X72">
        <v>723</v>
      </c>
    </row>
    <row r="73" spans="1:24">
      <c r="A73" s="7" t="s">
        <v>152</v>
      </c>
      <c r="B73" s="16" t="s">
        <v>151</v>
      </c>
      <c r="C73">
        <v>577199014.58437252</v>
      </c>
      <c r="D73">
        <v>575959773.99073446</v>
      </c>
      <c r="E73">
        <v>294807178.37837839</v>
      </c>
      <c r="F73">
        <v>257369949.54954955</v>
      </c>
      <c r="G73">
        <v>189</v>
      </c>
      <c r="H73">
        <v>339</v>
      </c>
      <c r="I73">
        <v>29</v>
      </c>
      <c r="J73">
        <v>24</v>
      </c>
      <c r="M73">
        <v>206</v>
      </c>
      <c r="N73">
        <v>354</v>
      </c>
      <c r="O73">
        <v>610123783.78378379</v>
      </c>
      <c r="P73">
        <v>402692864.86486489</v>
      </c>
      <c r="Q73">
        <v>273</v>
      </c>
      <c r="R73">
        <v>380</v>
      </c>
      <c r="S73">
        <v>197120034.23423424</v>
      </c>
      <c r="T73">
        <v>204497873.87387389</v>
      </c>
      <c r="U73">
        <v>521488147.74774778</v>
      </c>
      <c r="V73">
        <v>315436565.76576579</v>
      </c>
      <c r="W73">
        <v>8067</v>
      </c>
      <c r="X73">
        <v>8179</v>
      </c>
    </row>
    <row r="74" spans="1:24">
      <c r="A74" s="7" t="s">
        <v>153</v>
      </c>
      <c r="B74" s="16" t="s">
        <v>154</v>
      </c>
      <c r="C74">
        <v>520798071.63520545</v>
      </c>
      <c r="D74">
        <v>479511760.59888756</v>
      </c>
      <c r="E74">
        <v>234765767.56756756</v>
      </c>
      <c r="F74">
        <v>117801284.68468469</v>
      </c>
      <c r="G74">
        <v>52</v>
      </c>
      <c r="H74">
        <v>71</v>
      </c>
      <c r="I74">
        <v>1</v>
      </c>
      <c r="J74">
        <v>1</v>
      </c>
      <c r="M74">
        <v>82</v>
      </c>
      <c r="N74">
        <v>79</v>
      </c>
      <c r="O74">
        <v>87954414.414414421</v>
      </c>
      <c r="P74">
        <v>87715315.315315306</v>
      </c>
      <c r="Q74">
        <v>89</v>
      </c>
      <c r="R74">
        <v>90</v>
      </c>
      <c r="S74">
        <v>228375538.73873875</v>
      </c>
      <c r="T74">
        <v>205072099.0990991</v>
      </c>
      <c r="U74">
        <v>64136486.486486487</v>
      </c>
      <c r="V74">
        <v>60320360.360360362</v>
      </c>
      <c r="W74">
        <v>7210</v>
      </c>
      <c r="X74">
        <v>7119</v>
      </c>
    </row>
    <row r="75" spans="1:24">
      <c r="A75" s="7" t="s">
        <v>155</v>
      </c>
      <c r="B75" s="16" t="s">
        <v>154</v>
      </c>
      <c r="C75">
        <v>73970781.17012766</v>
      </c>
      <c r="D75">
        <v>50850056.68578916</v>
      </c>
      <c r="E75">
        <v>58174099.0990991</v>
      </c>
      <c r="F75">
        <v>253670270.27027026</v>
      </c>
      <c r="G75">
        <v>19</v>
      </c>
      <c r="H75">
        <v>12</v>
      </c>
      <c r="I75">
        <v>3</v>
      </c>
      <c r="J75">
        <v>2</v>
      </c>
      <c r="M75">
        <v>22</v>
      </c>
      <c r="N75">
        <v>15</v>
      </c>
      <c r="O75">
        <v>5440090.0900900904</v>
      </c>
      <c r="P75">
        <v>5367567.5675675673</v>
      </c>
      <c r="Q75">
        <v>11</v>
      </c>
      <c r="R75">
        <v>33</v>
      </c>
      <c r="S75">
        <v>20797702.702702705</v>
      </c>
      <c r="T75">
        <v>13295531.531531531</v>
      </c>
      <c r="U75">
        <v>5123873.8738738727</v>
      </c>
      <c r="V75">
        <v>4642522.5225225221</v>
      </c>
      <c r="W75">
        <v>1803</v>
      </c>
      <c r="X75">
        <v>2016</v>
      </c>
    </row>
    <row r="76" spans="1:24">
      <c r="A76" s="7" t="s">
        <v>156</v>
      </c>
      <c r="B76" s="16" t="s">
        <v>154</v>
      </c>
      <c r="C76">
        <v>679117098.16224766</v>
      </c>
      <c r="D76">
        <v>561551143.78022456</v>
      </c>
      <c r="E76">
        <v>5947747.7477477472</v>
      </c>
      <c r="F76">
        <v>4987612.6126126125</v>
      </c>
      <c r="G76">
        <v>109</v>
      </c>
      <c r="H76">
        <v>54</v>
      </c>
      <c r="I76">
        <v>11</v>
      </c>
      <c r="J76">
        <v>8</v>
      </c>
      <c r="M76">
        <v>194</v>
      </c>
      <c r="N76">
        <v>151</v>
      </c>
      <c r="O76">
        <v>186453900.9009009</v>
      </c>
      <c r="P76">
        <v>112702702.7027027</v>
      </c>
      <c r="Q76">
        <v>160</v>
      </c>
      <c r="R76">
        <v>183</v>
      </c>
      <c r="S76">
        <v>263629043.24324322</v>
      </c>
      <c r="T76">
        <v>218374297.2972973</v>
      </c>
      <c r="U76">
        <v>183102342.34234235</v>
      </c>
      <c r="V76">
        <v>122370900.9009009</v>
      </c>
      <c r="W76">
        <v>7864</v>
      </c>
      <c r="X76">
        <v>8296</v>
      </c>
    </row>
    <row r="77" spans="1:24">
      <c r="A77" s="7" t="s">
        <v>157</v>
      </c>
      <c r="B77" s="16" t="s">
        <v>134</v>
      </c>
      <c r="C77">
        <v>266493655.58085302</v>
      </c>
      <c r="D77">
        <v>259230547.89886263</v>
      </c>
      <c r="E77">
        <v>759459.45945946197</v>
      </c>
      <c r="F77">
        <v>1390990.990990994</v>
      </c>
      <c r="G77">
        <v>65</v>
      </c>
      <c r="H77">
        <v>48</v>
      </c>
      <c r="I77">
        <v>14</v>
      </c>
      <c r="J77">
        <v>7</v>
      </c>
      <c r="K77">
        <v>1</v>
      </c>
      <c r="M77">
        <v>72</v>
      </c>
      <c r="N77">
        <v>53</v>
      </c>
      <c r="O77">
        <v>30020720.72072072</v>
      </c>
      <c r="P77">
        <v>34134242.342342347</v>
      </c>
      <c r="Q77">
        <v>129</v>
      </c>
      <c r="R77">
        <v>332</v>
      </c>
      <c r="S77">
        <v>24054099.0990991</v>
      </c>
      <c r="T77">
        <v>25451882.882882878</v>
      </c>
      <c r="U77">
        <v>11059099.099099098</v>
      </c>
      <c r="V77">
        <v>16697477.477477476</v>
      </c>
      <c r="W77">
        <v>4622</v>
      </c>
      <c r="X77">
        <v>4426</v>
      </c>
    </row>
    <row r="78" spans="1:24">
      <c r="A78" s="7" t="s">
        <v>1</v>
      </c>
      <c r="B78" s="16" t="s">
        <v>158</v>
      </c>
      <c r="C78">
        <v>467121888.44385195</v>
      </c>
      <c r="D78">
        <v>466107197.69481909</v>
      </c>
      <c r="E78">
        <v>569819.81981982104</v>
      </c>
      <c r="F78">
        <v>3445945.9459459488</v>
      </c>
      <c r="G78">
        <v>404</v>
      </c>
      <c r="H78">
        <v>269</v>
      </c>
      <c r="I78">
        <v>21</v>
      </c>
      <c r="J78">
        <v>10</v>
      </c>
      <c r="K78">
        <v>2</v>
      </c>
      <c r="M78">
        <v>778</v>
      </c>
      <c r="N78">
        <v>526</v>
      </c>
      <c r="O78">
        <v>54293783.783783786</v>
      </c>
      <c r="P78">
        <v>53468198.198198199</v>
      </c>
      <c r="Q78">
        <v>225</v>
      </c>
      <c r="R78">
        <v>233</v>
      </c>
      <c r="S78">
        <v>224667520.72072071</v>
      </c>
      <c r="T78">
        <v>221719171.17117116</v>
      </c>
      <c r="U78">
        <v>51210810.810810804</v>
      </c>
      <c r="V78">
        <v>50853423.423423424</v>
      </c>
      <c r="W78">
        <v>8839</v>
      </c>
      <c r="X78">
        <v>7778</v>
      </c>
    </row>
    <row r="79" spans="1:24">
      <c r="A79" s="7" t="s">
        <v>159</v>
      </c>
      <c r="B79" s="16" t="s">
        <v>121</v>
      </c>
      <c r="C79">
        <v>22720287.234145127</v>
      </c>
      <c r="D79">
        <v>17129489.296425473</v>
      </c>
      <c r="E79">
        <v>6306.3063063059999</v>
      </c>
      <c r="G79">
        <v>63</v>
      </c>
      <c r="H79">
        <v>8</v>
      </c>
      <c r="I79">
        <v>1</v>
      </c>
      <c r="M79">
        <v>64</v>
      </c>
      <c r="N79">
        <v>8</v>
      </c>
      <c r="O79">
        <v>1880180.1801801799</v>
      </c>
      <c r="Q79">
        <v>8</v>
      </c>
      <c r="S79">
        <v>3235675.6756756762</v>
      </c>
      <c r="T79">
        <v>1664684.684684685</v>
      </c>
      <c r="U79">
        <v>573243.24324324296</v>
      </c>
      <c r="V79">
        <v>29729.729729729999</v>
      </c>
      <c r="W79">
        <v>628</v>
      </c>
      <c r="X79">
        <v>597</v>
      </c>
    </row>
    <row r="80" spans="1:24">
      <c r="A80" s="7" t="s">
        <v>160</v>
      </c>
      <c r="B80" s="16" t="s">
        <v>161</v>
      </c>
      <c r="C80">
        <v>242052841.80976644</v>
      </c>
      <c r="D80">
        <v>246036996.48879212</v>
      </c>
      <c r="E80">
        <v>102641262.16216217</v>
      </c>
      <c r="F80">
        <v>90008605.405405402</v>
      </c>
      <c r="G80">
        <v>140</v>
      </c>
      <c r="H80">
        <v>186</v>
      </c>
      <c r="I80">
        <v>44</v>
      </c>
      <c r="J80">
        <v>22</v>
      </c>
      <c r="M80">
        <v>447</v>
      </c>
      <c r="N80">
        <v>278</v>
      </c>
      <c r="O80">
        <v>68907762.162162155</v>
      </c>
      <c r="P80">
        <v>115037314.41441442</v>
      </c>
      <c r="Q80">
        <v>400</v>
      </c>
      <c r="R80">
        <v>419</v>
      </c>
      <c r="S80">
        <v>107892405.4054054</v>
      </c>
      <c r="T80">
        <v>107717207.2072072</v>
      </c>
      <c r="U80">
        <v>70180630.630630627</v>
      </c>
      <c r="V80">
        <v>96636036.036036029</v>
      </c>
      <c r="W80">
        <v>6025</v>
      </c>
      <c r="X80">
        <v>5989</v>
      </c>
    </row>
    <row r="81" spans="1:24">
      <c r="A81" s="7" t="s">
        <v>162</v>
      </c>
      <c r="B81" s="16" t="s">
        <v>76</v>
      </c>
      <c r="C81">
        <v>113742426.08189507</v>
      </c>
      <c r="D81">
        <v>111332940.56188852</v>
      </c>
      <c r="E81">
        <v>191891.89189189201</v>
      </c>
      <c r="F81">
        <v>370270.27027027099</v>
      </c>
      <c r="G81">
        <v>24</v>
      </c>
      <c r="H81">
        <v>50</v>
      </c>
      <c r="I81">
        <v>1</v>
      </c>
      <c r="J81">
        <v>1</v>
      </c>
      <c r="M81">
        <v>26</v>
      </c>
      <c r="N81">
        <v>53</v>
      </c>
      <c r="O81">
        <v>1466666.666666667</v>
      </c>
      <c r="P81">
        <v>1694594.594594595</v>
      </c>
      <c r="Q81">
        <v>11</v>
      </c>
      <c r="R81">
        <v>9</v>
      </c>
      <c r="S81">
        <v>6491664.8648648644</v>
      </c>
      <c r="T81">
        <v>6199351.3513513505</v>
      </c>
      <c r="U81">
        <v>1473243.2432432431</v>
      </c>
      <c r="V81">
        <v>1586756.7567567569</v>
      </c>
      <c r="W81">
        <v>1041</v>
      </c>
      <c r="X81">
        <v>947</v>
      </c>
    </row>
    <row r="82" spans="1:24">
      <c r="A82" s="7" t="s">
        <v>163</v>
      </c>
      <c r="B82" s="16" t="s">
        <v>52</v>
      </c>
      <c r="C82">
        <v>86010491.61047104</v>
      </c>
      <c r="D82">
        <v>85701840.0169411</v>
      </c>
      <c r="E82">
        <v>1079954.954954955</v>
      </c>
      <c r="F82">
        <v>1390090.0900900911</v>
      </c>
      <c r="G82">
        <v>12</v>
      </c>
      <c r="H82">
        <v>26</v>
      </c>
      <c r="I82">
        <v>1</v>
      </c>
      <c r="J82">
        <v>4</v>
      </c>
      <c r="M82">
        <v>14</v>
      </c>
      <c r="N82">
        <v>28</v>
      </c>
      <c r="O82">
        <v>2002702.702702703</v>
      </c>
      <c r="P82">
        <v>1642342.3423423429</v>
      </c>
      <c r="Q82">
        <v>2</v>
      </c>
      <c r="R82">
        <v>16</v>
      </c>
      <c r="S82">
        <v>42032018.018018015</v>
      </c>
      <c r="T82">
        <v>41688288.288288288</v>
      </c>
      <c r="U82">
        <v>1843333.333333334</v>
      </c>
      <c r="V82">
        <v>1788198.1981982</v>
      </c>
      <c r="W82">
        <v>1421</v>
      </c>
      <c r="X82">
        <v>1583</v>
      </c>
    </row>
    <row r="83" spans="1:24">
      <c r="A83" s="7" t="s">
        <v>164</v>
      </c>
      <c r="B83" s="16" t="s">
        <v>87</v>
      </c>
      <c r="C83">
        <v>74530582.452440023</v>
      </c>
      <c r="D83">
        <v>47199404.317837499</v>
      </c>
      <c r="E83">
        <v>79857214.414414421</v>
      </c>
      <c r="F83">
        <v>94666409.909909904</v>
      </c>
      <c r="G83">
        <v>96</v>
      </c>
      <c r="H83">
        <v>17</v>
      </c>
      <c r="I83">
        <v>1</v>
      </c>
      <c r="J83">
        <v>1</v>
      </c>
      <c r="M83">
        <v>104</v>
      </c>
      <c r="N83">
        <v>18</v>
      </c>
      <c r="O83">
        <v>21733333.333333332</v>
      </c>
      <c r="P83">
        <v>3561261.2612612611</v>
      </c>
      <c r="Q83">
        <v>30</v>
      </c>
      <c r="R83">
        <v>152</v>
      </c>
      <c r="S83">
        <v>7354954.9549549548</v>
      </c>
      <c r="T83">
        <v>4819909.9099099096</v>
      </c>
      <c r="U83">
        <v>2334594.594594595</v>
      </c>
      <c r="V83">
        <v>3126216.2162162159</v>
      </c>
      <c r="W83">
        <v>1254</v>
      </c>
      <c r="X83">
        <v>1165</v>
      </c>
    </row>
    <row r="84" spans="1:24">
      <c r="A84" s="7" t="s">
        <v>165</v>
      </c>
      <c r="B84" s="16" t="s">
        <v>143</v>
      </c>
      <c r="C84">
        <v>13344925.841690715</v>
      </c>
      <c r="D84">
        <v>14805147.823645355</v>
      </c>
      <c r="E84">
        <v>288288.28828828799</v>
      </c>
      <c r="F84">
        <v>265765.76576576597</v>
      </c>
      <c r="G84">
        <v>6</v>
      </c>
      <c r="H84">
        <v>10</v>
      </c>
      <c r="I84">
        <v>3</v>
      </c>
      <c r="J84">
        <v>2</v>
      </c>
      <c r="M84">
        <v>8</v>
      </c>
      <c r="N84">
        <v>10</v>
      </c>
      <c r="O84">
        <v>3099099.0990990978</v>
      </c>
      <c r="P84">
        <v>2220720.72072072</v>
      </c>
      <c r="Q84">
        <v>25</v>
      </c>
      <c r="R84">
        <v>11</v>
      </c>
      <c r="S84">
        <v>1799099.0990990989</v>
      </c>
      <c r="T84">
        <v>1735198.1981981981</v>
      </c>
      <c r="U84">
        <v>2060540.5405405399</v>
      </c>
      <c r="V84">
        <v>893513.51351351303</v>
      </c>
      <c r="W84">
        <v>342</v>
      </c>
      <c r="X84">
        <v>351</v>
      </c>
    </row>
    <row r="85" spans="1:24">
      <c r="A85" s="7" t="s">
        <v>166</v>
      </c>
      <c r="B85" s="16" t="s">
        <v>167</v>
      </c>
      <c r="C85">
        <v>57904954.446770944</v>
      </c>
      <c r="D85">
        <v>59580980.106599487</v>
      </c>
      <c r="E85">
        <v>20720.720720721001</v>
      </c>
      <c r="F85">
        <v>853153.15315315302</v>
      </c>
      <c r="G85">
        <v>26</v>
      </c>
      <c r="H85">
        <v>19</v>
      </c>
      <c r="I85">
        <v>3</v>
      </c>
      <c r="J85">
        <v>2</v>
      </c>
      <c r="M85">
        <v>30</v>
      </c>
      <c r="N85">
        <v>21</v>
      </c>
      <c r="O85">
        <v>6564493.6936936947</v>
      </c>
      <c r="P85">
        <v>9164414.4144144133</v>
      </c>
      <c r="R85">
        <v>39</v>
      </c>
      <c r="S85">
        <v>26783108.108108107</v>
      </c>
      <c r="T85">
        <v>28532394.594594598</v>
      </c>
      <c r="U85">
        <v>6010900.9009009022</v>
      </c>
      <c r="V85">
        <v>6278108.1081081079</v>
      </c>
      <c r="W85">
        <v>1349</v>
      </c>
      <c r="X85">
        <v>1380</v>
      </c>
    </row>
    <row r="86" spans="1:24">
      <c r="A86" s="7" t="s">
        <v>168</v>
      </c>
      <c r="B86" s="16" t="s">
        <v>169</v>
      </c>
      <c r="C86">
        <v>272413672.00227726</v>
      </c>
      <c r="D86">
        <v>281896935.36147022</v>
      </c>
      <c r="E86">
        <v>930180.18018018</v>
      </c>
      <c r="F86">
        <v>1809009.009009009</v>
      </c>
      <c r="G86">
        <v>77</v>
      </c>
      <c r="H86">
        <v>52</v>
      </c>
      <c r="I86">
        <v>8</v>
      </c>
      <c r="J86">
        <v>3</v>
      </c>
      <c r="K86">
        <v>1</v>
      </c>
      <c r="M86">
        <v>87</v>
      </c>
      <c r="N86">
        <v>58</v>
      </c>
      <c r="O86">
        <v>30187477.47747748</v>
      </c>
      <c r="P86">
        <v>41566916.216216214</v>
      </c>
      <c r="Q86">
        <v>125</v>
      </c>
      <c r="R86">
        <v>44</v>
      </c>
      <c r="S86">
        <v>75465342.342342332</v>
      </c>
      <c r="T86">
        <v>86083822.072072074</v>
      </c>
      <c r="U86">
        <v>30783513.513513513</v>
      </c>
      <c r="V86">
        <v>42842162.162162162</v>
      </c>
      <c r="W86">
        <v>6578</v>
      </c>
      <c r="X86">
        <v>6575</v>
      </c>
    </row>
    <row r="87" spans="1:24">
      <c r="A87" s="7" t="s">
        <v>170</v>
      </c>
      <c r="B87" s="16" t="s">
        <v>54</v>
      </c>
      <c r="C87">
        <v>42096318.874257922</v>
      </c>
      <c r="D87">
        <v>41752834.18252492</v>
      </c>
      <c r="E87">
        <v>45945.945945947002</v>
      </c>
      <c r="F87">
        <v>390090.09009009099</v>
      </c>
      <c r="G87">
        <v>8</v>
      </c>
      <c r="H87">
        <v>3</v>
      </c>
      <c r="I87">
        <v>2</v>
      </c>
      <c r="J87">
        <v>1</v>
      </c>
      <c r="M87">
        <v>10</v>
      </c>
      <c r="N87">
        <v>4</v>
      </c>
      <c r="O87">
        <v>6960360.3603603607</v>
      </c>
      <c r="P87">
        <v>4401351.3513513524</v>
      </c>
      <c r="Q87">
        <v>18</v>
      </c>
      <c r="R87">
        <v>6</v>
      </c>
      <c r="S87">
        <v>6725360.3603603607</v>
      </c>
      <c r="T87">
        <v>6773828.8288288293</v>
      </c>
      <c r="U87">
        <v>5711621.6216216208</v>
      </c>
      <c r="V87">
        <v>4013603.6036036029</v>
      </c>
      <c r="W87">
        <v>676</v>
      </c>
      <c r="X87">
        <v>700</v>
      </c>
    </row>
    <row r="88" spans="1:24">
      <c r="A88" s="7" t="s">
        <v>171</v>
      </c>
      <c r="B88" s="16" t="s">
        <v>60</v>
      </c>
      <c r="C88">
        <v>908831438.06679249</v>
      </c>
      <c r="D88">
        <v>883676941.70024383</v>
      </c>
      <c r="E88">
        <v>5855180.1801801845</v>
      </c>
      <c r="F88">
        <v>11288063.063063065</v>
      </c>
      <c r="G88">
        <v>134</v>
      </c>
      <c r="H88">
        <v>236</v>
      </c>
      <c r="I88">
        <v>36</v>
      </c>
      <c r="J88">
        <v>42</v>
      </c>
      <c r="M88">
        <v>146</v>
      </c>
      <c r="N88">
        <v>271</v>
      </c>
      <c r="O88">
        <v>48869369.369369365</v>
      </c>
      <c r="P88">
        <v>46690090.090090089</v>
      </c>
      <c r="Q88">
        <v>279</v>
      </c>
      <c r="R88">
        <v>244</v>
      </c>
      <c r="S88">
        <v>312327995.4954955</v>
      </c>
      <c r="T88">
        <v>324105774.77477479</v>
      </c>
      <c r="U88">
        <v>50291441.441441439</v>
      </c>
      <c r="V88">
        <v>43025315.315315314</v>
      </c>
      <c r="W88">
        <v>12126</v>
      </c>
      <c r="X88">
        <v>12251</v>
      </c>
    </row>
    <row r="89" spans="1:24">
      <c r="A89" s="7" t="s">
        <v>172</v>
      </c>
      <c r="B89" s="16" t="s">
        <v>121</v>
      </c>
      <c r="C89">
        <v>385587062.02294803</v>
      </c>
      <c r="D89">
        <v>363123538.89240915</v>
      </c>
      <c r="E89">
        <v>1335135.1351351379</v>
      </c>
      <c r="F89">
        <v>2592792.7927927938</v>
      </c>
      <c r="G89">
        <v>245</v>
      </c>
      <c r="H89">
        <v>165</v>
      </c>
      <c r="I89">
        <v>18</v>
      </c>
      <c r="J89">
        <v>15</v>
      </c>
      <c r="M89">
        <v>264</v>
      </c>
      <c r="N89">
        <v>175</v>
      </c>
      <c r="O89">
        <v>100989189.18918918</v>
      </c>
      <c r="P89">
        <v>29676146.846846849</v>
      </c>
      <c r="Q89">
        <v>390</v>
      </c>
      <c r="R89">
        <v>159</v>
      </c>
      <c r="S89">
        <v>54060180.180180177</v>
      </c>
      <c r="T89">
        <v>48988367.117117122</v>
      </c>
      <c r="U89">
        <v>95687027.027027026</v>
      </c>
      <c r="V89">
        <v>16708108.108108109</v>
      </c>
      <c r="W89">
        <v>5858</v>
      </c>
      <c r="X89">
        <v>5763</v>
      </c>
    </row>
    <row r="90" spans="1:24">
      <c r="A90" s="7" t="s">
        <v>173</v>
      </c>
      <c r="B90" s="16" t="s">
        <v>174</v>
      </c>
      <c r="C90">
        <v>269134038.98181683</v>
      </c>
      <c r="D90">
        <v>258216107.98956081</v>
      </c>
      <c r="E90">
        <v>170922900.9009009</v>
      </c>
      <c r="F90">
        <v>161298858.55855855</v>
      </c>
      <c r="G90">
        <v>86</v>
      </c>
      <c r="H90">
        <v>125</v>
      </c>
      <c r="I90">
        <v>18</v>
      </c>
      <c r="J90">
        <v>15</v>
      </c>
      <c r="K90">
        <v>5</v>
      </c>
      <c r="M90">
        <v>94</v>
      </c>
      <c r="N90">
        <v>170</v>
      </c>
      <c r="O90">
        <v>55363018.018018015</v>
      </c>
      <c r="P90">
        <v>60481531.531531528</v>
      </c>
      <c r="Q90">
        <v>430</v>
      </c>
      <c r="R90">
        <v>536</v>
      </c>
      <c r="S90">
        <v>34685378.378378376</v>
      </c>
      <c r="T90">
        <v>32064819.819819819</v>
      </c>
      <c r="U90">
        <v>31305855.855855856</v>
      </c>
      <c r="V90">
        <v>37953873.873873875</v>
      </c>
      <c r="W90">
        <v>4728</v>
      </c>
      <c r="X90">
        <v>4486</v>
      </c>
    </row>
    <row r="91" spans="1:24">
      <c r="A91" s="7" t="s">
        <v>175</v>
      </c>
      <c r="B91" s="16" t="s">
        <v>174</v>
      </c>
      <c r="C91">
        <v>411342995.10868001</v>
      </c>
      <c r="D91">
        <v>403742096.0649305</v>
      </c>
      <c r="E91">
        <v>1065765.7657657741</v>
      </c>
      <c r="F91">
        <v>3393468.4684684728</v>
      </c>
      <c r="G91">
        <v>164</v>
      </c>
      <c r="H91">
        <v>179</v>
      </c>
      <c r="I91">
        <v>44</v>
      </c>
      <c r="J91">
        <v>27</v>
      </c>
      <c r="K91">
        <v>1</v>
      </c>
      <c r="M91">
        <v>271</v>
      </c>
      <c r="N91">
        <v>221</v>
      </c>
      <c r="O91">
        <v>69477513.513513505</v>
      </c>
      <c r="P91">
        <v>57068468.468468465</v>
      </c>
      <c r="Q91">
        <v>395</v>
      </c>
      <c r="R91">
        <v>433</v>
      </c>
      <c r="S91">
        <v>70842499.0990991</v>
      </c>
      <c r="T91">
        <v>70116783.783783779</v>
      </c>
      <c r="U91">
        <v>58964050.45045045</v>
      </c>
      <c r="V91">
        <v>50696529.729729734</v>
      </c>
      <c r="W91">
        <v>8541</v>
      </c>
      <c r="X91">
        <v>8544</v>
      </c>
    </row>
    <row r="92" spans="1:24">
      <c r="A92" s="7" t="s">
        <v>176</v>
      </c>
      <c r="B92" s="16" t="s">
        <v>174</v>
      </c>
      <c r="C92">
        <v>554019136.00729775</v>
      </c>
      <c r="D92">
        <v>551257219.76056731</v>
      </c>
      <c r="E92">
        <v>447747.74774775002</v>
      </c>
      <c r="F92">
        <v>2503603.6036036061</v>
      </c>
      <c r="G92">
        <v>284</v>
      </c>
      <c r="H92">
        <v>265</v>
      </c>
      <c r="I92">
        <v>26</v>
      </c>
      <c r="J92">
        <v>25</v>
      </c>
      <c r="K92">
        <v>5</v>
      </c>
      <c r="M92">
        <v>323</v>
      </c>
      <c r="N92">
        <v>326</v>
      </c>
      <c r="O92">
        <v>73913520.720720723</v>
      </c>
      <c r="P92">
        <v>63666216.216216214</v>
      </c>
      <c r="Q92">
        <v>412</v>
      </c>
      <c r="R92">
        <v>250</v>
      </c>
      <c r="S92">
        <v>94355327.027027026</v>
      </c>
      <c r="T92">
        <v>83315277.477477476</v>
      </c>
      <c r="U92">
        <v>52139909.909909911</v>
      </c>
      <c r="V92">
        <v>53327027.027027026</v>
      </c>
      <c r="W92">
        <v>11548</v>
      </c>
      <c r="X92">
        <v>11759</v>
      </c>
    </row>
    <row r="93" spans="1:24">
      <c r="A93" s="7" t="s">
        <v>177</v>
      </c>
      <c r="B93" s="16" t="s">
        <v>178</v>
      </c>
      <c r="C93">
        <v>197677231.95797029</v>
      </c>
      <c r="D93">
        <v>189338143.38420036</v>
      </c>
      <c r="E93">
        <v>815315.31531531597</v>
      </c>
      <c r="F93">
        <v>652252.25225225196</v>
      </c>
      <c r="G93">
        <v>75</v>
      </c>
      <c r="H93">
        <v>35</v>
      </c>
      <c r="I93">
        <v>2</v>
      </c>
      <c r="J93">
        <v>5</v>
      </c>
      <c r="K93">
        <v>1</v>
      </c>
      <c r="M93">
        <v>87</v>
      </c>
      <c r="N93">
        <v>47</v>
      </c>
      <c r="O93">
        <v>8251436.9369369373</v>
      </c>
      <c r="P93">
        <v>10096801.801801803</v>
      </c>
      <c r="Q93">
        <v>39</v>
      </c>
      <c r="R93">
        <v>19</v>
      </c>
      <c r="S93">
        <v>69373556.756756753</v>
      </c>
      <c r="T93">
        <v>74873772.972972974</v>
      </c>
      <c r="U93">
        <v>6074144.1441441448</v>
      </c>
      <c r="V93">
        <v>9755630.6306306329</v>
      </c>
      <c r="W93">
        <v>3621</v>
      </c>
      <c r="X93">
        <v>3644</v>
      </c>
    </row>
    <row r="94" spans="1:24">
      <c r="A94" s="7" t="s">
        <v>179</v>
      </c>
      <c r="B94" s="16" t="s">
        <v>167</v>
      </c>
      <c r="C94">
        <v>251335918.29024059</v>
      </c>
      <c r="D94">
        <v>222468225.37382188</v>
      </c>
      <c r="E94">
        <v>170299099.0990991</v>
      </c>
      <c r="F94">
        <v>110626801.8018018</v>
      </c>
      <c r="G94">
        <v>143</v>
      </c>
      <c r="H94">
        <v>37</v>
      </c>
      <c r="I94">
        <v>2</v>
      </c>
      <c r="J94">
        <v>3</v>
      </c>
      <c r="M94">
        <v>164</v>
      </c>
      <c r="N94">
        <v>52</v>
      </c>
      <c r="O94">
        <v>10759504.504504504</v>
      </c>
      <c r="P94">
        <v>12932432.432432434</v>
      </c>
      <c r="Q94">
        <v>43</v>
      </c>
      <c r="R94">
        <v>175</v>
      </c>
      <c r="S94">
        <v>62123927.927927926</v>
      </c>
      <c r="T94">
        <v>55872711.711711712</v>
      </c>
      <c r="U94">
        <v>9322522.522522524</v>
      </c>
      <c r="V94">
        <v>11240540.540540541</v>
      </c>
      <c r="W94">
        <v>4863</v>
      </c>
      <c r="X94">
        <v>4557</v>
      </c>
    </row>
    <row r="95" spans="1:24">
      <c r="A95" s="7" t="s">
        <v>180</v>
      </c>
      <c r="B95" s="16" t="s">
        <v>181</v>
      </c>
      <c r="C95">
        <v>188737535.89856794</v>
      </c>
      <c r="D95">
        <v>176210362.05354181</v>
      </c>
      <c r="E95">
        <v>907207.20720720803</v>
      </c>
      <c r="F95">
        <v>472072.07207207399</v>
      </c>
      <c r="G95">
        <v>24</v>
      </c>
      <c r="H95">
        <v>31</v>
      </c>
      <c r="I95">
        <v>1</v>
      </c>
      <c r="J95">
        <v>3</v>
      </c>
      <c r="M95">
        <v>27</v>
      </c>
      <c r="N95">
        <v>35</v>
      </c>
      <c r="O95">
        <v>9615765.7657657638</v>
      </c>
      <c r="P95">
        <v>13283603.603603603</v>
      </c>
      <c r="Q95">
        <v>43</v>
      </c>
      <c r="R95">
        <v>65</v>
      </c>
      <c r="S95">
        <v>39306036.036036029</v>
      </c>
      <c r="T95">
        <v>43791623.873873875</v>
      </c>
      <c r="U95">
        <v>13877117.117117116</v>
      </c>
      <c r="V95">
        <v>12527297.297297295</v>
      </c>
      <c r="W95">
        <v>2961</v>
      </c>
      <c r="X95">
        <v>3088</v>
      </c>
    </row>
    <row r="96" spans="1:24">
      <c r="A96" s="7" t="s">
        <v>182</v>
      </c>
      <c r="B96" s="16" t="s">
        <v>94</v>
      </c>
      <c r="C96">
        <v>170566133.97965062</v>
      </c>
      <c r="D96">
        <v>169219979.42420948</v>
      </c>
      <c r="E96">
        <v>141441.44144144101</v>
      </c>
      <c r="F96">
        <v>81081.081081081997</v>
      </c>
      <c r="G96">
        <v>79</v>
      </c>
      <c r="H96">
        <v>53</v>
      </c>
      <c r="I96">
        <v>0</v>
      </c>
      <c r="J96">
        <v>2</v>
      </c>
      <c r="K96">
        <v>1</v>
      </c>
      <c r="M96">
        <v>90</v>
      </c>
      <c r="N96">
        <v>60</v>
      </c>
      <c r="O96">
        <v>141441.44144144101</v>
      </c>
      <c r="P96">
        <v>4504504.5045045037</v>
      </c>
      <c r="R96">
        <v>17</v>
      </c>
      <c r="S96">
        <v>15092252.252252253</v>
      </c>
      <c r="T96">
        <v>17569090.090090089</v>
      </c>
      <c r="U96">
        <v>1261171.1711711721</v>
      </c>
      <c r="V96">
        <v>1846126.1261261259</v>
      </c>
      <c r="W96">
        <v>3826</v>
      </c>
      <c r="X96">
        <v>3798</v>
      </c>
    </row>
    <row r="97" spans="1:24">
      <c r="A97" s="7" t="s">
        <v>183</v>
      </c>
      <c r="B97" s="16" t="s">
        <v>94</v>
      </c>
      <c r="C97">
        <v>1123066656.0815132</v>
      </c>
      <c r="D97">
        <v>1050484577.4370785</v>
      </c>
      <c r="E97">
        <v>545680516.21621621</v>
      </c>
      <c r="F97">
        <v>1245714029.7297299</v>
      </c>
      <c r="G97">
        <v>275</v>
      </c>
      <c r="H97">
        <v>211</v>
      </c>
      <c r="I97">
        <v>33</v>
      </c>
      <c r="J97">
        <v>27</v>
      </c>
      <c r="K97">
        <v>3</v>
      </c>
      <c r="M97">
        <v>306</v>
      </c>
      <c r="N97">
        <v>250</v>
      </c>
      <c r="O97">
        <v>61616486.486486487</v>
      </c>
      <c r="P97">
        <v>71817117.117117107</v>
      </c>
      <c r="Q97">
        <v>251</v>
      </c>
      <c r="R97">
        <v>528</v>
      </c>
      <c r="S97">
        <v>129406779.27927928</v>
      </c>
      <c r="T97">
        <v>127814311.26126127</v>
      </c>
      <c r="U97">
        <v>52141711.711711712</v>
      </c>
      <c r="V97">
        <v>57164684.684684686</v>
      </c>
      <c r="W97">
        <v>16265</v>
      </c>
      <c r="X97">
        <v>16124</v>
      </c>
    </row>
    <row r="98" spans="1:24">
      <c r="A98" s="7" t="s">
        <v>184</v>
      </c>
      <c r="B98" s="16" t="s">
        <v>89</v>
      </c>
      <c r="C98">
        <v>102421149.26824927</v>
      </c>
      <c r="D98">
        <v>95810436.796587527</v>
      </c>
      <c r="E98">
        <v>1047297.297297298</v>
      </c>
      <c r="F98">
        <v>1214189.1891891891</v>
      </c>
      <c r="G98">
        <v>23</v>
      </c>
      <c r="H98">
        <v>21</v>
      </c>
      <c r="I98">
        <v>2</v>
      </c>
      <c r="J98">
        <v>6</v>
      </c>
      <c r="M98">
        <v>25</v>
      </c>
      <c r="N98">
        <v>21</v>
      </c>
      <c r="O98">
        <v>3381531.53153153</v>
      </c>
      <c r="P98">
        <v>5001261.2612612611</v>
      </c>
      <c r="Q98">
        <v>25</v>
      </c>
      <c r="R98">
        <v>45</v>
      </c>
      <c r="S98">
        <v>32785000</v>
      </c>
      <c r="T98">
        <v>32018180.180180181</v>
      </c>
      <c r="U98">
        <v>3365495.4954954949</v>
      </c>
      <c r="V98">
        <v>4729099.0990990996</v>
      </c>
      <c r="W98">
        <v>1807</v>
      </c>
      <c r="X98">
        <v>1648</v>
      </c>
    </row>
    <row r="99" spans="1:24">
      <c r="A99" s="7" t="s">
        <v>185</v>
      </c>
      <c r="B99" s="16" t="s">
        <v>60</v>
      </c>
      <c r="C99">
        <v>55048025.353312925</v>
      </c>
      <c r="D99">
        <v>58558211.02695287</v>
      </c>
      <c r="E99">
        <v>368468.46846846899</v>
      </c>
      <c r="F99">
        <v>270270.27027027198</v>
      </c>
      <c r="G99">
        <v>10</v>
      </c>
      <c r="H99">
        <v>13</v>
      </c>
      <c r="I99">
        <v>4</v>
      </c>
      <c r="J99">
        <v>4</v>
      </c>
      <c r="M99">
        <v>10</v>
      </c>
      <c r="N99">
        <v>13</v>
      </c>
      <c r="O99">
        <v>3079729.7297297302</v>
      </c>
      <c r="P99">
        <v>1756756.756756759</v>
      </c>
      <c r="Q99">
        <v>18</v>
      </c>
      <c r="S99">
        <v>20219864.864864863</v>
      </c>
      <c r="T99">
        <v>19980380.630630631</v>
      </c>
      <c r="U99">
        <v>3221171.1711711711</v>
      </c>
      <c r="V99">
        <v>1533333.333333333</v>
      </c>
      <c r="W99">
        <v>812</v>
      </c>
      <c r="X99">
        <v>876</v>
      </c>
    </row>
    <row r="100" spans="1:24">
      <c r="A100" s="7" t="s">
        <v>186</v>
      </c>
      <c r="B100" s="16" t="s">
        <v>167</v>
      </c>
      <c r="C100">
        <v>135318080.6324752</v>
      </c>
      <c r="D100">
        <v>143593170.71067822</v>
      </c>
      <c r="E100">
        <v>8108.1081081089997</v>
      </c>
      <c r="F100">
        <v>2413288.2882882892</v>
      </c>
      <c r="G100">
        <v>24</v>
      </c>
      <c r="H100">
        <v>5</v>
      </c>
      <c r="I100">
        <v>3</v>
      </c>
      <c r="J100">
        <v>5</v>
      </c>
      <c r="M100">
        <v>31</v>
      </c>
      <c r="N100">
        <v>6</v>
      </c>
      <c r="O100">
        <v>269369.369369369</v>
      </c>
      <c r="P100">
        <v>7913513.5135135129</v>
      </c>
      <c r="R100">
        <v>191</v>
      </c>
      <c r="S100">
        <v>34956891.891891889</v>
      </c>
      <c r="T100">
        <v>37871648.648648649</v>
      </c>
      <c r="U100">
        <v>396396.39639639598</v>
      </c>
      <c r="V100">
        <v>5803963.963963964</v>
      </c>
      <c r="W100">
        <v>2837</v>
      </c>
      <c r="X100">
        <v>2800</v>
      </c>
    </row>
    <row r="101" spans="1:24">
      <c r="A101" s="7" t="s">
        <v>187</v>
      </c>
      <c r="B101" s="16" t="s">
        <v>167</v>
      </c>
      <c r="C101">
        <v>404780974.27931058</v>
      </c>
      <c r="D101">
        <v>380270691.45230013</v>
      </c>
      <c r="E101">
        <v>22522.522522523999</v>
      </c>
      <c r="F101">
        <v>1455855.855855857</v>
      </c>
      <c r="G101">
        <v>151</v>
      </c>
      <c r="H101">
        <v>56</v>
      </c>
      <c r="I101">
        <v>3</v>
      </c>
      <c r="J101">
        <v>7</v>
      </c>
      <c r="M101">
        <v>171</v>
      </c>
      <c r="N101">
        <v>65</v>
      </c>
      <c r="O101">
        <v>8824324.3243243266</v>
      </c>
      <c r="P101">
        <v>16436518.018018018</v>
      </c>
      <c r="Q101">
        <v>30</v>
      </c>
      <c r="R101">
        <v>36</v>
      </c>
      <c r="S101">
        <v>82358882.882882878</v>
      </c>
      <c r="T101">
        <v>78812162.162162155</v>
      </c>
      <c r="U101">
        <v>9666756.7567567565</v>
      </c>
      <c r="V101">
        <v>13279639.63963964</v>
      </c>
      <c r="W101">
        <v>5992</v>
      </c>
      <c r="X101">
        <v>5865</v>
      </c>
    </row>
    <row r="102" spans="1:24">
      <c r="A102" s="7" t="s">
        <v>188</v>
      </c>
      <c r="B102" s="16" t="s">
        <v>189</v>
      </c>
      <c r="C102">
        <v>176023525.1894573</v>
      </c>
      <c r="D102">
        <v>166652230.57252333</v>
      </c>
      <c r="E102">
        <v>52416832.432432435</v>
      </c>
      <c r="F102">
        <v>49009179.279279277</v>
      </c>
      <c r="G102">
        <v>31</v>
      </c>
      <c r="H102">
        <v>22</v>
      </c>
      <c r="I102">
        <v>1</v>
      </c>
      <c r="M102">
        <v>36</v>
      </c>
      <c r="N102">
        <v>22</v>
      </c>
      <c r="O102">
        <v>22707207.207207207</v>
      </c>
      <c r="P102">
        <v>17251572.072072074</v>
      </c>
      <c r="Q102">
        <v>2</v>
      </c>
      <c r="S102">
        <v>14238648.648648648</v>
      </c>
      <c r="T102">
        <v>12256432.432432432</v>
      </c>
      <c r="U102">
        <v>2790540.5405405411</v>
      </c>
      <c r="V102">
        <v>2136036.036036036</v>
      </c>
      <c r="W102">
        <v>1766</v>
      </c>
      <c r="X102">
        <v>1720</v>
      </c>
    </row>
    <row r="103" spans="1:24">
      <c r="A103" s="7" t="s">
        <v>190</v>
      </c>
      <c r="B103" s="16" t="s">
        <v>134</v>
      </c>
      <c r="C103">
        <v>42964787.517479338</v>
      </c>
      <c r="D103">
        <v>40368364.820429415</v>
      </c>
      <c r="F103">
        <v>13513.513513514001</v>
      </c>
      <c r="G103">
        <v>34</v>
      </c>
      <c r="H103">
        <v>21</v>
      </c>
      <c r="J103">
        <v>0</v>
      </c>
      <c r="M103">
        <v>40</v>
      </c>
      <c r="N103">
        <v>24</v>
      </c>
      <c r="O103">
        <v>45045.045045045001</v>
      </c>
      <c r="P103">
        <v>58558.558558559002</v>
      </c>
      <c r="Q103">
        <v>5</v>
      </c>
      <c r="R103">
        <v>6</v>
      </c>
      <c r="S103">
        <v>5140945.9459459456</v>
      </c>
      <c r="T103">
        <v>2671306.3063063058</v>
      </c>
      <c r="U103">
        <v>45045.045045045001</v>
      </c>
      <c r="V103">
        <v>200900.900900901</v>
      </c>
      <c r="W103">
        <v>1329</v>
      </c>
      <c r="X103">
        <v>1066</v>
      </c>
    </row>
    <row r="104" spans="1:24">
      <c r="A104" s="7" t="s">
        <v>191</v>
      </c>
      <c r="B104" s="16" t="s">
        <v>60</v>
      </c>
      <c r="C104">
        <v>255741988.79056397</v>
      </c>
      <c r="D104">
        <v>237821386.15583017</v>
      </c>
      <c r="E104">
        <v>1361261.261261265</v>
      </c>
      <c r="F104">
        <v>3644819.8198198192</v>
      </c>
      <c r="G104">
        <v>63</v>
      </c>
      <c r="H104">
        <v>44</v>
      </c>
      <c r="I104">
        <v>18</v>
      </c>
      <c r="J104">
        <v>4</v>
      </c>
      <c r="M104">
        <v>109</v>
      </c>
      <c r="N104">
        <v>85</v>
      </c>
      <c r="O104">
        <v>17874774.774774775</v>
      </c>
      <c r="P104">
        <v>20843243.24324324</v>
      </c>
      <c r="Q104">
        <v>100</v>
      </c>
      <c r="R104">
        <v>135</v>
      </c>
      <c r="S104">
        <v>86750837.837837845</v>
      </c>
      <c r="T104">
        <v>78459306.306306303</v>
      </c>
      <c r="U104">
        <v>17248378.378378376</v>
      </c>
      <c r="V104">
        <v>19168018.018018018</v>
      </c>
      <c r="W104">
        <v>4095</v>
      </c>
      <c r="X104">
        <v>2174</v>
      </c>
    </row>
    <row r="105" spans="1:24">
      <c r="A105" s="7" t="s">
        <v>192</v>
      </c>
      <c r="B105" s="16" t="s">
        <v>60</v>
      </c>
      <c r="C105">
        <v>433721848.47760218</v>
      </c>
      <c r="D105">
        <v>418915005.29541826</v>
      </c>
      <c r="E105">
        <v>55153153.153153151</v>
      </c>
      <c r="F105">
        <v>39289189.189189181</v>
      </c>
      <c r="G105">
        <v>88</v>
      </c>
      <c r="H105">
        <v>40</v>
      </c>
      <c r="I105">
        <v>16</v>
      </c>
      <c r="J105">
        <v>10</v>
      </c>
      <c r="M105">
        <v>93</v>
      </c>
      <c r="N105">
        <v>59</v>
      </c>
      <c r="O105">
        <v>22239639.639639638</v>
      </c>
      <c r="P105">
        <v>24730630.630630627</v>
      </c>
      <c r="Q105">
        <v>85</v>
      </c>
      <c r="R105">
        <v>62</v>
      </c>
      <c r="S105">
        <v>99778421.621621609</v>
      </c>
      <c r="T105">
        <v>97525297.297297299</v>
      </c>
      <c r="U105">
        <v>15784727.927927928</v>
      </c>
      <c r="V105">
        <v>20899009.009009007</v>
      </c>
      <c r="W105">
        <v>6650</v>
      </c>
      <c r="X105">
        <v>8351</v>
      </c>
    </row>
    <row r="106" spans="1:24">
      <c r="A106" s="7" t="s">
        <v>2</v>
      </c>
      <c r="B106" s="16" t="s">
        <v>193</v>
      </c>
      <c r="C106">
        <v>54260702.637432575</v>
      </c>
      <c r="D106">
        <v>46787545.530312181</v>
      </c>
      <c r="E106">
        <v>57657.657657657001</v>
      </c>
      <c r="F106">
        <v>310810.81081081199</v>
      </c>
      <c r="G106">
        <v>14</v>
      </c>
      <c r="H106">
        <v>6</v>
      </c>
      <c r="I106">
        <v>3</v>
      </c>
      <c r="J106">
        <v>0</v>
      </c>
      <c r="M106">
        <v>15</v>
      </c>
      <c r="N106">
        <v>7</v>
      </c>
      <c r="O106">
        <v>324324.32432432403</v>
      </c>
      <c r="P106">
        <v>6662162.1621621633</v>
      </c>
      <c r="Q106">
        <v>6</v>
      </c>
      <c r="S106">
        <v>29220900.9009009</v>
      </c>
      <c r="T106">
        <v>26290288.288288288</v>
      </c>
      <c r="U106">
        <v>330180.18018018099</v>
      </c>
      <c r="V106">
        <v>6763063.0630630637</v>
      </c>
      <c r="W106">
        <v>1334</v>
      </c>
      <c r="X106">
        <v>1207</v>
      </c>
    </row>
    <row r="107" spans="1:24">
      <c r="A107" s="7" t="s">
        <v>194</v>
      </c>
      <c r="B107" s="16" t="s">
        <v>195</v>
      </c>
      <c r="C107">
        <v>1448383621.0084963</v>
      </c>
      <c r="D107">
        <v>1440115073.484339</v>
      </c>
      <c r="E107">
        <v>31568603.603603605</v>
      </c>
      <c r="F107">
        <v>75207882.882882878</v>
      </c>
      <c r="G107">
        <v>375</v>
      </c>
      <c r="H107">
        <v>423</v>
      </c>
      <c r="I107">
        <v>5</v>
      </c>
      <c r="J107">
        <v>10</v>
      </c>
      <c r="M107">
        <v>415</v>
      </c>
      <c r="N107">
        <v>662</v>
      </c>
      <c r="O107">
        <v>77550450.45045045</v>
      </c>
      <c r="P107">
        <v>82152072.072072074</v>
      </c>
      <c r="Q107">
        <v>228</v>
      </c>
      <c r="R107">
        <v>336</v>
      </c>
      <c r="S107">
        <v>261198414.41441441</v>
      </c>
      <c r="T107">
        <v>280768324.32432431</v>
      </c>
      <c r="U107">
        <v>67243153.153153151</v>
      </c>
      <c r="V107">
        <v>73283153.153153151</v>
      </c>
      <c r="W107">
        <v>18468</v>
      </c>
      <c r="X107">
        <v>18066</v>
      </c>
    </row>
    <row r="108" spans="1:24">
      <c r="A108" s="7" t="s">
        <v>196</v>
      </c>
      <c r="B108" s="16" t="s">
        <v>80</v>
      </c>
      <c r="C108">
        <v>444794779.02933055</v>
      </c>
      <c r="D108">
        <v>440951095.29632467</v>
      </c>
      <c r="E108">
        <v>254054.054054056</v>
      </c>
      <c r="F108">
        <v>2334234.2342342362</v>
      </c>
      <c r="G108">
        <v>115</v>
      </c>
      <c r="H108">
        <v>110</v>
      </c>
      <c r="I108">
        <v>19</v>
      </c>
      <c r="J108">
        <v>12</v>
      </c>
      <c r="M108">
        <v>122</v>
      </c>
      <c r="N108">
        <v>121</v>
      </c>
      <c r="O108">
        <v>61096396.396396391</v>
      </c>
      <c r="P108">
        <v>57785405.40540541</v>
      </c>
      <c r="Q108">
        <v>242</v>
      </c>
      <c r="R108">
        <v>336</v>
      </c>
      <c r="S108">
        <v>117017917.11711712</v>
      </c>
      <c r="T108">
        <v>120023099.0990991</v>
      </c>
      <c r="U108">
        <v>60488421.621621616</v>
      </c>
      <c r="V108">
        <v>56999009.009009011</v>
      </c>
      <c r="W108">
        <v>6592</v>
      </c>
      <c r="X108">
        <v>6789</v>
      </c>
    </row>
    <row r="109" spans="1:24">
      <c r="A109" s="7" t="s">
        <v>197</v>
      </c>
      <c r="B109" s="16" t="s">
        <v>108</v>
      </c>
      <c r="C109">
        <v>349010991.55525088</v>
      </c>
      <c r="D109">
        <v>354470137.1629225</v>
      </c>
      <c r="E109">
        <v>1253423.4234234269</v>
      </c>
      <c r="F109">
        <v>3559459.4594594608</v>
      </c>
      <c r="G109">
        <v>102</v>
      </c>
      <c r="H109">
        <v>127</v>
      </c>
      <c r="I109">
        <v>5</v>
      </c>
      <c r="J109">
        <v>14</v>
      </c>
      <c r="M109">
        <v>123</v>
      </c>
      <c r="N109">
        <v>145</v>
      </c>
      <c r="O109">
        <v>22814684.684684683</v>
      </c>
      <c r="P109">
        <v>21055855.855855856</v>
      </c>
      <c r="Q109">
        <v>188</v>
      </c>
      <c r="R109">
        <v>76</v>
      </c>
      <c r="S109">
        <v>102656486.48648648</v>
      </c>
      <c r="T109">
        <v>107873783.78378378</v>
      </c>
      <c r="U109">
        <v>22914594.594594598</v>
      </c>
      <c r="V109">
        <v>18158198.198198196</v>
      </c>
      <c r="W109">
        <v>7253</v>
      </c>
      <c r="X109">
        <v>7012</v>
      </c>
    </row>
    <row r="110" spans="1:24">
      <c r="A110" s="7" t="s">
        <v>198</v>
      </c>
      <c r="B110" s="16" t="s">
        <v>92</v>
      </c>
      <c r="C110">
        <v>190388632.84169504</v>
      </c>
      <c r="D110">
        <v>191581697.7563476</v>
      </c>
      <c r="E110">
        <v>3512792.7927927952</v>
      </c>
      <c r="F110">
        <v>6039639.6396396402</v>
      </c>
      <c r="G110">
        <v>39</v>
      </c>
      <c r="H110">
        <v>230</v>
      </c>
      <c r="I110">
        <v>7</v>
      </c>
      <c r="J110">
        <v>5</v>
      </c>
      <c r="M110">
        <v>41</v>
      </c>
      <c r="N110">
        <v>255</v>
      </c>
      <c r="O110">
        <v>19703783.783783782</v>
      </c>
      <c r="P110">
        <v>62930540.540540546</v>
      </c>
      <c r="Q110">
        <v>113</v>
      </c>
      <c r="R110">
        <v>153</v>
      </c>
      <c r="S110">
        <v>48535135.135135137</v>
      </c>
      <c r="T110">
        <v>51849432.432432435</v>
      </c>
      <c r="U110">
        <v>20954144.144144144</v>
      </c>
      <c r="V110">
        <v>61340720.720720723</v>
      </c>
      <c r="W110">
        <v>2702</v>
      </c>
      <c r="X110">
        <v>2845</v>
      </c>
    </row>
    <row r="111" spans="1:24">
      <c r="A111" s="7" t="s">
        <v>199</v>
      </c>
      <c r="B111" s="16" t="s">
        <v>123</v>
      </c>
      <c r="C111">
        <v>186545936.61715177</v>
      </c>
      <c r="D111">
        <v>178796668.94942623</v>
      </c>
      <c r="E111">
        <v>762162.16216216201</v>
      </c>
      <c r="F111">
        <v>617117.11711711704</v>
      </c>
      <c r="G111">
        <v>60</v>
      </c>
      <c r="H111">
        <v>64</v>
      </c>
      <c r="I111">
        <v>3</v>
      </c>
      <c r="J111">
        <v>2</v>
      </c>
      <c r="M111">
        <v>64</v>
      </c>
      <c r="N111">
        <v>66</v>
      </c>
      <c r="O111">
        <v>8862702.702702703</v>
      </c>
      <c r="P111">
        <v>5563423.4234234234</v>
      </c>
      <c r="Q111">
        <v>10</v>
      </c>
      <c r="R111">
        <v>6</v>
      </c>
      <c r="S111">
        <v>37707477.477477483</v>
      </c>
      <c r="T111">
        <v>33924729.729729727</v>
      </c>
      <c r="U111">
        <v>7761531.5315315314</v>
      </c>
      <c r="V111">
        <v>7314144.1441441439</v>
      </c>
      <c r="W111">
        <v>2466</v>
      </c>
      <c r="X111">
        <v>2494</v>
      </c>
    </row>
    <row r="112" spans="1:24">
      <c r="A112" s="7" t="s">
        <v>200</v>
      </c>
      <c r="B112" s="16" t="s">
        <v>60</v>
      </c>
      <c r="C112">
        <v>129039372.68050061</v>
      </c>
      <c r="D112">
        <v>130643727.80226023</v>
      </c>
      <c r="E112">
        <v>345045.04504504701</v>
      </c>
      <c r="F112">
        <v>2693693.6936936942</v>
      </c>
      <c r="G112">
        <v>52</v>
      </c>
      <c r="H112">
        <v>29</v>
      </c>
      <c r="I112">
        <v>11</v>
      </c>
      <c r="J112">
        <v>7</v>
      </c>
      <c r="M112">
        <v>62</v>
      </c>
      <c r="N112">
        <v>34</v>
      </c>
      <c r="O112">
        <v>15218918.918918919</v>
      </c>
      <c r="P112">
        <v>17918918.918918919</v>
      </c>
      <c r="Q112">
        <v>120</v>
      </c>
      <c r="R112">
        <v>175</v>
      </c>
      <c r="S112">
        <v>21475576.576576576</v>
      </c>
      <c r="T112">
        <v>23852130.630630631</v>
      </c>
      <c r="U112">
        <v>10431171.171171168</v>
      </c>
      <c r="V112">
        <v>18707477.47747748</v>
      </c>
      <c r="W112">
        <v>3253</v>
      </c>
      <c r="X112">
        <v>3596</v>
      </c>
    </row>
    <row r="113" spans="1:24">
      <c r="A113" s="7" t="s">
        <v>201</v>
      </c>
      <c r="B113" s="16" t="s">
        <v>60</v>
      </c>
      <c r="C113">
        <v>44971127.023471341</v>
      </c>
      <c r="D113">
        <v>43684109.023674898</v>
      </c>
      <c r="E113">
        <v>229009.00900901001</v>
      </c>
      <c r="F113">
        <v>247747.74774774999</v>
      </c>
      <c r="G113">
        <v>14</v>
      </c>
      <c r="H113">
        <v>16</v>
      </c>
      <c r="I113">
        <v>4</v>
      </c>
      <c r="J113">
        <v>2</v>
      </c>
      <c r="M113">
        <v>15</v>
      </c>
      <c r="N113">
        <v>19</v>
      </c>
      <c r="O113">
        <v>2598378.3783783782</v>
      </c>
      <c r="P113">
        <v>2770270.2702702712</v>
      </c>
      <c r="Q113">
        <v>26</v>
      </c>
      <c r="R113">
        <v>25</v>
      </c>
      <c r="S113">
        <v>8576801.8018018026</v>
      </c>
      <c r="T113">
        <v>7853945.9459459456</v>
      </c>
      <c r="U113">
        <v>1545045.045045045</v>
      </c>
      <c r="V113">
        <v>1595405.405405405</v>
      </c>
      <c r="W113">
        <v>1311</v>
      </c>
      <c r="X113">
        <v>1129</v>
      </c>
    </row>
    <row r="114" spans="1:24">
      <c r="A114" s="7" t="s">
        <v>202</v>
      </c>
      <c r="B114" s="16" t="s">
        <v>121</v>
      </c>
      <c r="C114">
        <v>88901147.673812166</v>
      </c>
      <c r="D114">
        <v>81998524.647347391</v>
      </c>
      <c r="E114">
        <v>127027.02702702599</v>
      </c>
      <c r="F114">
        <v>639639.63963963999</v>
      </c>
      <c r="G114">
        <v>53</v>
      </c>
      <c r="H114">
        <v>46</v>
      </c>
      <c r="I114">
        <v>5</v>
      </c>
      <c r="J114">
        <v>6</v>
      </c>
      <c r="M114">
        <v>59</v>
      </c>
      <c r="N114">
        <v>49</v>
      </c>
      <c r="O114">
        <v>325225.22522522497</v>
      </c>
      <c r="P114">
        <v>1995495.4954954961</v>
      </c>
      <c r="Q114">
        <v>3</v>
      </c>
      <c r="R114">
        <v>100</v>
      </c>
      <c r="S114">
        <v>7973738.7387387389</v>
      </c>
      <c r="T114">
        <v>8043252.2522522518</v>
      </c>
      <c r="U114">
        <v>337567.56756756798</v>
      </c>
      <c r="V114">
        <v>1427477.4774774781</v>
      </c>
      <c r="W114">
        <v>1581</v>
      </c>
      <c r="X114">
        <v>1497</v>
      </c>
    </row>
    <row r="115" spans="1:24">
      <c r="A115" s="7" t="s">
        <v>203</v>
      </c>
      <c r="B115" s="16" t="s">
        <v>54</v>
      </c>
      <c r="C115">
        <v>139152965.98698276</v>
      </c>
      <c r="D115">
        <v>132909292.20996895</v>
      </c>
      <c r="E115">
        <v>612612.61261261499</v>
      </c>
      <c r="F115">
        <v>1170270.2702702701</v>
      </c>
      <c r="G115">
        <v>27</v>
      </c>
      <c r="H115">
        <v>30</v>
      </c>
      <c r="I115">
        <v>2</v>
      </c>
      <c r="J115">
        <v>5</v>
      </c>
      <c r="M115">
        <v>29</v>
      </c>
      <c r="N115">
        <v>33</v>
      </c>
      <c r="O115">
        <v>7594594.5945945941</v>
      </c>
      <c r="P115">
        <v>7219819.8198198201</v>
      </c>
      <c r="Q115">
        <v>59</v>
      </c>
      <c r="R115">
        <v>40</v>
      </c>
      <c r="S115">
        <v>34701441.441441439</v>
      </c>
      <c r="T115">
        <v>34337189.189189196</v>
      </c>
      <c r="U115">
        <v>7376756.7567567583</v>
      </c>
      <c r="V115">
        <v>7284774.774774774</v>
      </c>
      <c r="W115">
        <v>3814</v>
      </c>
      <c r="X115">
        <v>3921</v>
      </c>
    </row>
    <row r="116" spans="1:24">
      <c r="A116" s="7" t="s">
        <v>204</v>
      </c>
      <c r="B116" s="16" t="s">
        <v>136</v>
      </c>
      <c r="C116">
        <v>530492906.11401576</v>
      </c>
      <c r="D116">
        <v>473995269.28318107</v>
      </c>
      <c r="E116">
        <v>405855.85585585597</v>
      </c>
      <c r="F116">
        <v>1074774.774774771</v>
      </c>
      <c r="G116">
        <v>113</v>
      </c>
      <c r="H116">
        <v>67</v>
      </c>
      <c r="I116">
        <v>10</v>
      </c>
      <c r="J116">
        <v>11</v>
      </c>
      <c r="M116">
        <v>126</v>
      </c>
      <c r="N116">
        <v>75</v>
      </c>
      <c r="O116">
        <v>49633963.963963971</v>
      </c>
      <c r="P116">
        <v>41840540.540540546</v>
      </c>
      <c r="Q116">
        <v>90</v>
      </c>
      <c r="R116">
        <v>143</v>
      </c>
      <c r="S116">
        <v>86161126.126126125</v>
      </c>
      <c r="T116">
        <v>81274606.306306303</v>
      </c>
      <c r="U116">
        <v>44125225.225225233</v>
      </c>
      <c r="V116">
        <v>34447657.657657653</v>
      </c>
      <c r="W116">
        <v>5893</v>
      </c>
      <c r="X116">
        <v>5821</v>
      </c>
    </row>
    <row r="117" spans="1:24">
      <c r="A117" s="7" t="s">
        <v>205</v>
      </c>
      <c r="B117" s="16" t="s">
        <v>136</v>
      </c>
      <c r="C117">
        <v>239543735.87357482</v>
      </c>
      <c r="D117">
        <v>233808059.49579594</v>
      </c>
      <c r="E117">
        <v>280180.18018018</v>
      </c>
      <c r="F117">
        <v>674774.77477477398</v>
      </c>
      <c r="G117">
        <v>59</v>
      </c>
      <c r="H117">
        <v>44</v>
      </c>
      <c r="I117">
        <v>6</v>
      </c>
      <c r="J117">
        <v>1</v>
      </c>
      <c r="M117">
        <v>66</v>
      </c>
      <c r="N117">
        <v>49</v>
      </c>
      <c r="O117">
        <v>10592792.792792792</v>
      </c>
      <c r="P117">
        <v>7909009.0090090092</v>
      </c>
      <c r="Q117">
        <v>50</v>
      </c>
      <c r="R117">
        <v>34</v>
      </c>
      <c r="S117">
        <v>43763286.486486487</v>
      </c>
      <c r="T117">
        <v>45591727.927927926</v>
      </c>
      <c r="U117">
        <v>7386126.1261261273</v>
      </c>
      <c r="V117">
        <v>4493063.0630630637</v>
      </c>
      <c r="W117">
        <v>3085</v>
      </c>
      <c r="X117">
        <v>3160</v>
      </c>
    </row>
    <row r="118" spans="1:24">
      <c r="A118" s="7" t="s">
        <v>206</v>
      </c>
      <c r="B118" s="16" t="s">
        <v>169</v>
      </c>
      <c r="C118">
        <v>549242893.94067419</v>
      </c>
      <c r="D118">
        <v>553390882.82125247</v>
      </c>
      <c r="E118">
        <v>343243.24324324401</v>
      </c>
      <c r="F118">
        <v>1688288.288288289</v>
      </c>
      <c r="G118">
        <v>79</v>
      </c>
      <c r="H118">
        <v>22</v>
      </c>
      <c r="I118">
        <v>2</v>
      </c>
      <c r="J118">
        <v>2</v>
      </c>
      <c r="M118">
        <v>80</v>
      </c>
      <c r="N118">
        <v>24</v>
      </c>
      <c r="O118">
        <v>2917055675.6756759</v>
      </c>
      <c r="P118">
        <v>2467903445.9459462</v>
      </c>
      <c r="Q118">
        <v>1506</v>
      </c>
      <c r="R118">
        <v>45</v>
      </c>
      <c r="S118">
        <v>261136342.34234235</v>
      </c>
      <c r="T118">
        <v>263108810.8108108</v>
      </c>
      <c r="U118">
        <v>1234403127.9279277</v>
      </c>
      <c r="V118">
        <v>756726767.56756759</v>
      </c>
      <c r="W118">
        <v>7345</v>
      </c>
      <c r="X118">
        <v>7895</v>
      </c>
    </row>
    <row r="119" spans="1:24">
      <c r="A119" s="7" t="s">
        <v>207</v>
      </c>
      <c r="B119" s="16" t="s">
        <v>161</v>
      </c>
      <c r="C119">
        <v>625825676.89348125</v>
      </c>
      <c r="D119">
        <v>611770714.25255585</v>
      </c>
      <c r="E119">
        <v>65941981.981981993</v>
      </c>
      <c r="F119">
        <v>101962612.61261261</v>
      </c>
      <c r="G119">
        <v>327</v>
      </c>
      <c r="H119">
        <v>422</v>
      </c>
      <c r="I119">
        <v>42</v>
      </c>
      <c r="J119">
        <v>18</v>
      </c>
      <c r="M119">
        <v>412</v>
      </c>
      <c r="N119">
        <v>594</v>
      </c>
      <c r="O119">
        <v>106267747.74774775</v>
      </c>
      <c r="P119">
        <v>93361081.081081092</v>
      </c>
      <c r="Q119">
        <v>468</v>
      </c>
      <c r="R119">
        <v>376</v>
      </c>
      <c r="S119">
        <v>183081684.68468466</v>
      </c>
      <c r="T119">
        <v>178426860.36036035</v>
      </c>
      <c r="U119">
        <v>95345218.018018022</v>
      </c>
      <c r="V119">
        <v>88015845.045045033</v>
      </c>
      <c r="W119">
        <v>12376</v>
      </c>
      <c r="X119">
        <v>11928</v>
      </c>
    </row>
    <row r="120" spans="1:24">
      <c r="A120" s="7" t="s">
        <v>208</v>
      </c>
      <c r="B120" s="16" t="s">
        <v>76</v>
      </c>
      <c r="C120">
        <v>26301562.684995916</v>
      </c>
      <c r="D120">
        <v>18726139.031480759</v>
      </c>
      <c r="G120">
        <v>4</v>
      </c>
      <c r="I120">
        <v>0</v>
      </c>
      <c r="J120">
        <v>0</v>
      </c>
      <c r="M120">
        <v>4</v>
      </c>
      <c r="S120">
        <v>1297882.8828828831</v>
      </c>
      <c r="T120">
        <v>1159459.4594594589</v>
      </c>
      <c r="W120">
        <v>581</v>
      </c>
      <c r="X120">
        <v>498</v>
      </c>
    </row>
    <row r="121" spans="1:24">
      <c r="A121" s="7" t="s">
        <v>209</v>
      </c>
      <c r="B121" s="16" t="s">
        <v>76</v>
      </c>
      <c r="C121">
        <v>303252860.0548147</v>
      </c>
      <c r="D121">
        <v>276782878.30646873</v>
      </c>
      <c r="E121">
        <v>300552849.54954958</v>
      </c>
      <c r="F121">
        <v>267617641.44144145</v>
      </c>
      <c r="G121">
        <v>115</v>
      </c>
      <c r="H121">
        <v>154</v>
      </c>
      <c r="I121">
        <v>8</v>
      </c>
      <c r="J121">
        <v>14</v>
      </c>
      <c r="K121">
        <v>5</v>
      </c>
      <c r="M121">
        <v>132</v>
      </c>
      <c r="N121">
        <v>260</v>
      </c>
      <c r="O121">
        <v>38396224.324324325</v>
      </c>
      <c r="P121">
        <v>39782342.342342339</v>
      </c>
      <c r="Q121">
        <v>213</v>
      </c>
      <c r="R121">
        <v>246</v>
      </c>
      <c r="S121">
        <v>41018675.675675675</v>
      </c>
      <c r="T121">
        <v>42241567.567567565</v>
      </c>
      <c r="U121">
        <v>42373243.24324324</v>
      </c>
      <c r="V121">
        <v>38019099.0990991</v>
      </c>
      <c r="W121">
        <v>4465</v>
      </c>
      <c r="X121">
        <v>4665</v>
      </c>
    </row>
    <row r="122" spans="1:24">
      <c r="A122" s="7" t="s">
        <v>210</v>
      </c>
      <c r="B122" s="16" t="s">
        <v>76</v>
      </c>
      <c r="C122">
        <v>357043785.34023738</v>
      </c>
      <c r="D122">
        <v>346643731.12162602</v>
      </c>
      <c r="E122">
        <v>2313738.7387387408</v>
      </c>
      <c r="F122">
        <v>5269144.1441441486</v>
      </c>
      <c r="G122">
        <v>174</v>
      </c>
      <c r="H122">
        <v>216</v>
      </c>
      <c r="I122">
        <v>22</v>
      </c>
      <c r="J122">
        <v>21</v>
      </c>
      <c r="K122">
        <v>8</v>
      </c>
      <c r="M122">
        <v>210</v>
      </c>
      <c r="N122">
        <v>281</v>
      </c>
      <c r="O122">
        <v>173660900.9009009</v>
      </c>
      <c r="P122">
        <v>173407117.11711711</v>
      </c>
      <c r="Q122">
        <v>299</v>
      </c>
      <c r="R122">
        <v>555</v>
      </c>
      <c r="S122">
        <v>106486807.2072072</v>
      </c>
      <c r="T122">
        <v>105670651.35135137</v>
      </c>
      <c r="U122">
        <v>140579185.58558559</v>
      </c>
      <c r="V122">
        <v>145385628.82882884</v>
      </c>
      <c r="W122">
        <v>6994</v>
      </c>
      <c r="X122">
        <v>6953</v>
      </c>
    </row>
    <row r="123" spans="1:24">
      <c r="A123" s="7" t="s">
        <v>211</v>
      </c>
      <c r="B123" s="16" t="s">
        <v>76</v>
      </c>
      <c r="C123">
        <v>244147590.025406</v>
      </c>
      <c r="D123">
        <v>252774724.45822653</v>
      </c>
      <c r="E123">
        <v>2283558.5585585618</v>
      </c>
      <c r="F123">
        <v>3926801.8018018059</v>
      </c>
      <c r="G123">
        <v>116</v>
      </c>
      <c r="H123">
        <v>114</v>
      </c>
      <c r="I123">
        <v>13</v>
      </c>
      <c r="J123">
        <v>19</v>
      </c>
      <c r="M123">
        <v>130</v>
      </c>
      <c r="N123">
        <v>128</v>
      </c>
      <c r="O123">
        <v>20683693.693693694</v>
      </c>
      <c r="P123">
        <v>26519279.279279284</v>
      </c>
      <c r="Q123">
        <v>110</v>
      </c>
      <c r="R123">
        <v>21</v>
      </c>
      <c r="S123">
        <v>35499216.216216214</v>
      </c>
      <c r="T123">
        <v>38928885.135135137</v>
      </c>
      <c r="U123">
        <v>20941621.62162162</v>
      </c>
      <c r="V123">
        <v>24609819.819819819</v>
      </c>
      <c r="W123">
        <v>4007</v>
      </c>
      <c r="X123">
        <v>4050</v>
      </c>
    </row>
    <row r="124" spans="1:24">
      <c r="A124" s="7" t="s">
        <v>212</v>
      </c>
      <c r="B124" s="16" t="s">
        <v>76</v>
      </c>
      <c r="C124">
        <v>97431461.209552974</v>
      </c>
      <c r="D124">
        <v>90642149.694853023</v>
      </c>
      <c r="E124">
        <v>120320945.94594595</v>
      </c>
      <c r="F124">
        <v>109441441.44144145</v>
      </c>
      <c r="G124">
        <v>32</v>
      </c>
      <c r="H124">
        <v>18</v>
      </c>
      <c r="I124">
        <v>2</v>
      </c>
      <c r="J124">
        <v>0</v>
      </c>
      <c r="M124">
        <v>32</v>
      </c>
      <c r="N124">
        <v>20</v>
      </c>
      <c r="O124">
        <v>1718468.4684684691</v>
      </c>
      <c r="P124">
        <v>1730810.810810809</v>
      </c>
      <c r="Q124">
        <v>7</v>
      </c>
      <c r="R124">
        <v>7</v>
      </c>
      <c r="S124">
        <v>13943468.468468469</v>
      </c>
      <c r="T124">
        <v>14090864.864864863</v>
      </c>
      <c r="U124">
        <v>1413693.693693694</v>
      </c>
      <c r="V124">
        <v>2078738.7387387389</v>
      </c>
      <c r="W124">
        <v>1786</v>
      </c>
      <c r="X124">
        <v>1829</v>
      </c>
    </row>
    <row r="125" spans="1:24">
      <c r="A125" s="7" t="s">
        <v>213</v>
      </c>
      <c r="B125" s="16" t="s">
        <v>214</v>
      </c>
      <c r="C125">
        <v>119438123.65718377</v>
      </c>
      <c r="D125">
        <v>129528791.0864508</v>
      </c>
      <c r="E125">
        <v>214864.864864865</v>
      </c>
      <c r="F125">
        <v>818918.91891891905</v>
      </c>
      <c r="G125">
        <v>32</v>
      </c>
      <c r="H125">
        <v>38</v>
      </c>
      <c r="I125">
        <v>5</v>
      </c>
      <c r="J125">
        <v>4</v>
      </c>
      <c r="M125">
        <v>33</v>
      </c>
      <c r="N125">
        <v>43</v>
      </c>
      <c r="O125">
        <v>15360090.090090092</v>
      </c>
      <c r="P125">
        <v>14151819.819819819</v>
      </c>
      <c r="Q125">
        <v>23</v>
      </c>
      <c r="R125">
        <v>46</v>
      </c>
      <c r="S125">
        <v>57375765.765765771</v>
      </c>
      <c r="T125">
        <v>58572106.306306303</v>
      </c>
      <c r="U125">
        <v>13611711.711711714</v>
      </c>
      <c r="V125">
        <v>12741801.801801803</v>
      </c>
      <c r="W125">
        <v>2327</v>
      </c>
      <c r="X125">
        <v>2360</v>
      </c>
    </row>
    <row r="126" spans="1:24">
      <c r="A126" s="7" t="s">
        <v>215</v>
      </c>
      <c r="B126" s="16" t="s">
        <v>167</v>
      </c>
      <c r="C126">
        <v>112504657.13918923</v>
      </c>
      <c r="D126">
        <v>136437868.19481453</v>
      </c>
      <c r="E126">
        <v>8108.1081081089997</v>
      </c>
      <c r="F126">
        <v>1896396.3963963969</v>
      </c>
      <c r="G126">
        <v>8</v>
      </c>
      <c r="H126">
        <v>7</v>
      </c>
      <c r="I126">
        <v>2</v>
      </c>
      <c r="J126">
        <v>3</v>
      </c>
      <c r="M126">
        <v>9</v>
      </c>
      <c r="N126">
        <v>7</v>
      </c>
      <c r="O126">
        <v>8809909.9099099096</v>
      </c>
      <c r="P126">
        <v>2849549.5495495489</v>
      </c>
      <c r="Q126">
        <v>309</v>
      </c>
      <c r="R126">
        <v>31</v>
      </c>
      <c r="S126">
        <v>20059864.864864863</v>
      </c>
      <c r="T126">
        <v>23980630.630630631</v>
      </c>
      <c r="U126">
        <v>9098648.6486486476</v>
      </c>
      <c r="V126">
        <v>564414.41441441502</v>
      </c>
      <c r="W126">
        <v>1553</v>
      </c>
      <c r="X126">
        <v>1800</v>
      </c>
    </row>
    <row r="127" spans="1:24">
      <c r="A127" s="7" t="s">
        <v>216</v>
      </c>
      <c r="B127" s="16" t="s">
        <v>85</v>
      </c>
      <c r="C127">
        <v>26916429.087563954</v>
      </c>
      <c r="D127">
        <v>31989780.189897224</v>
      </c>
      <c r="E127">
        <v>17117.117117117999</v>
      </c>
      <c r="F127">
        <v>1063063.063063063</v>
      </c>
      <c r="G127">
        <v>4</v>
      </c>
      <c r="H127">
        <v>11</v>
      </c>
      <c r="I127">
        <v>4</v>
      </c>
      <c r="J127">
        <v>2</v>
      </c>
      <c r="M127">
        <v>4</v>
      </c>
      <c r="N127">
        <v>12</v>
      </c>
      <c r="O127">
        <v>62640990.990990989</v>
      </c>
      <c r="P127">
        <v>59382432.432432435</v>
      </c>
      <c r="Q127">
        <v>49</v>
      </c>
      <c r="R127">
        <v>116</v>
      </c>
      <c r="S127">
        <v>7667918.9189189188</v>
      </c>
      <c r="T127">
        <v>10072189.189189188</v>
      </c>
      <c r="U127">
        <v>58116396.396396399</v>
      </c>
      <c r="V127">
        <v>51453243.243243247</v>
      </c>
      <c r="W127">
        <v>619</v>
      </c>
      <c r="X127">
        <v>640</v>
      </c>
    </row>
    <row r="128" spans="1:24">
      <c r="A128" s="7" t="s">
        <v>217</v>
      </c>
      <c r="B128" s="16" t="s">
        <v>85</v>
      </c>
      <c r="C128">
        <v>130334504.79608621</v>
      </c>
      <c r="D128">
        <v>127088595.82675987</v>
      </c>
      <c r="E128">
        <v>409897770.27027029</v>
      </c>
      <c r="F128">
        <v>389753663.96396399</v>
      </c>
      <c r="G128">
        <v>50</v>
      </c>
      <c r="H128">
        <v>48</v>
      </c>
      <c r="I128">
        <v>5</v>
      </c>
      <c r="J128">
        <v>4</v>
      </c>
      <c r="M128">
        <v>59</v>
      </c>
      <c r="N128">
        <v>52</v>
      </c>
      <c r="O128">
        <v>39903603.603603609</v>
      </c>
      <c r="P128">
        <v>72200180.180180177</v>
      </c>
      <c r="Q128">
        <v>52</v>
      </c>
      <c r="R128">
        <v>29</v>
      </c>
      <c r="S128">
        <v>22423333.333333332</v>
      </c>
      <c r="T128">
        <v>24130837.837837841</v>
      </c>
      <c r="U128">
        <v>33998378.378378376</v>
      </c>
      <c r="V128">
        <v>33393333.333333332</v>
      </c>
      <c r="W128">
        <v>2504</v>
      </c>
      <c r="X128">
        <v>2560</v>
      </c>
    </row>
    <row r="129" spans="1:24">
      <c r="A129" s="7" t="s">
        <v>218</v>
      </c>
      <c r="B129" s="16" t="s">
        <v>147</v>
      </c>
      <c r="C129">
        <v>127680424.48586899</v>
      </c>
      <c r="D129">
        <v>123988106.31760976</v>
      </c>
      <c r="E129">
        <v>584684.68468468694</v>
      </c>
      <c r="F129">
        <v>8824324.3243243247</v>
      </c>
      <c r="G129">
        <v>62</v>
      </c>
      <c r="H129">
        <v>78</v>
      </c>
      <c r="I129">
        <v>3</v>
      </c>
      <c r="J129">
        <v>8</v>
      </c>
      <c r="M129">
        <v>64</v>
      </c>
      <c r="N129">
        <v>87</v>
      </c>
      <c r="O129">
        <v>19111261.261261266</v>
      </c>
      <c r="P129">
        <v>76133359.459459454</v>
      </c>
      <c r="Q129">
        <v>69</v>
      </c>
      <c r="R129">
        <v>294</v>
      </c>
      <c r="S129">
        <v>35016873.873873875</v>
      </c>
      <c r="T129">
        <v>39080855.855855852</v>
      </c>
      <c r="U129">
        <v>21373513.513513513</v>
      </c>
      <c r="V129">
        <v>76266036.036036029</v>
      </c>
      <c r="W129">
        <v>2600</v>
      </c>
      <c r="X129">
        <v>2450</v>
      </c>
    </row>
    <row r="130" spans="1:24">
      <c r="A130" s="7" t="s">
        <v>219</v>
      </c>
      <c r="B130" s="16" t="s">
        <v>220</v>
      </c>
      <c r="C130">
        <v>250212953.13216805</v>
      </c>
      <c r="D130">
        <v>244407635.83836943</v>
      </c>
      <c r="E130">
        <v>590878952.25225234</v>
      </c>
      <c r="F130">
        <v>706022021.62162161</v>
      </c>
      <c r="G130">
        <v>119</v>
      </c>
      <c r="H130">
        <v>88</v>
      </c>
      <c r="I130">
        <v>10</v>
      </c>
      <c r="J130">
        <v>9</v>
      </c>
      <c r="K130">
        <v>1</v>
      </c>
      <c r="M130">
        <v>200</v>
      </c>
      <c r="N130">
        <v>102</v>
      </c>
      <c r="O130">
        <v>345611943.24324328</v>
      </c>
      <c r="P130">
        <v>242461086.48648649</v>
      </c>
      <c r="Q130">
        <v>749</v>
      </c>
      <c r="R130">
        <v>170</v>
      </c>
      <c r="S130">
        <v>67534297.297297299</v>
      </c>
      <c r="T130">
        <v>62775623.873873875</v>
      </c>
      <c r="U130">
        <v>368683333.33333331</v>
      </c>
      <c r="V130">
        <v>343216036.03603601</v>
      </c>
      <c r="W130">
        <v>6204</v>
      </c>
      <c r="X130">
        <v>6328</v>
      </c>
    </row>
    <row r="131" spans="1:24">
      <c r="A131" s="7" t="s">
        <v>221</v>
      </c>
      <c r="B131" s="16" t="s">
        <v>52</v>
      </c>
      <c r="C131">
        <v>605805382.37698829</v>
      </c>
      <c r="D131">
        <v>580675823.22947276</v>
      </c>
      <c r="E131">
        <v>2762837.8378378409</v>
      </c>
      <c r="F131">
        <v>5604279.2792792832</v>
      </c>
      <c r="G131">
        <v>121</v>
      </c>
      <c r="H131">
        <v>128</v>
      </c>
      <c r="I131">
        <v>13</v>
      </c>
      <c r="J131">
        <v>29</v>
      </c>
      <c r="M131">
        <v>145</v>
      </c>
      <c r="N131">
        <v>167</v>
      </c>
      <c r="O131">
        <v>71477297.297297299</v>
      </c>
      <c r="P131">
        <v>42776936.936936945</v>
      </c>
      <c r="Q131">
        <v>494</v>
      </c>
      <c r="R131">
        <v>990</v>
      </c>
      <c r="S131">
        <v>191889117.11711711</v>
      </c>
      <c r="T131">
        <v>185859954.95495495</v>
      </c>
      <c r="U131">
        <v>40838558.558558561</v>
      </c>
      <c r="V131">
        <v>52333783.783783786</v>
      </c>
      <c r="W131">
        <v>10389</v>
      </c>
      <c r="X131">
        <v>10624</v>
      </c>
    </row>
    <row r="132" spans="1:24">
      <c r="A132" s="7" t="s">
        <v>222</v>
      </c>
      <c r="B132" s="16" t="s">
        <v>76</v>
      </c>
      <c r="C132">
        <v>455526875.09203976</v>
      </c>
      <c r="D132">
        <v>449442515.79105902</v>
      </c>
      <c r="E132">
        <v>151216.21621621601</v>
      </c>
      <c r="F132">
        <v>1414639.6396396451</v>
      </c>
      <c r="G132">
        <v>131</v>
      </c>
      <c r="H132">
        <v>130</v>
      </c>
      <c r="I132">
        <v>11</v>
      </c>
      <c r="J132">
        <v>15</v>
      </c>
      <c r="K132">
        <v>5</v>
      </c>
      <c r="M132">
        <v>143</v>
      </c>
      <c r="N132">
        <v>138</v>
      </c>
      <c r="O132">
        <v>30029909.909909908</v>
      </c>
      <c r="P132">
        <v>33690360.360360362</v>
      </c>
      <c r="Q132">
        <v>55</v>
      </c>
      <c r="R132">
        <v>38</v>
      </c>
      <c r="S132">
        <v>86575250.45045045</v>
      </c>
      <c r="T132">
        <v>86102984.684684694</v>
      </c>
      <c r="U132">
        <v>25667207.207207218</v>
      </c>
      <c r="V132">
        <v>28123873.873873871</v>
      </c>
      <c r="W132">
        <v>7062</v>
      </c>
      <c r="X132">
        <v>7138</v>
      </c>
    </row>
    <row r="133" spans="1:24">
      <c r="A133" s="7" t="s">
        <v>223</v>
      </c>
      <c r="B133" s="16" t="s">
        <v>224</v>
      </c>
      <c r="C133">
        <v>50107128.485139765</v>
      </c>
      <c r="D133">
        <v>38629928.664789371</v>
      </c>
      <c r="F133">
        <v>5405.4054054050002</v>
      </c>
      <c r="G133">
        <v>31</v>
      </c>
      <c r="H133">
        <v>3</v>
      </c>
      <c r="M133">
        <v>33</v>
      </c>
      <c r="N133">
        <v>3</v>
      </c>
      <c r="O133">
        <v>1751351.351351351</v>
      </c>
      <c r="P133">
        <v>5405.4054054050002</v>
      </c>
      <c r="Q133">
        <v>6</v>
      </c>
      <c r="S133">
        <v>11541351.351351352</v>
      </c>
      <c r="T133">
        <v>9693585.5855855867</v>
      </c>
      <c r="U133">
        <v>1630090.0900900899</v>
      </c>
      <c r="V133">
        <v>946576.57657657703</v>
      </c>
      <c r="W133">
        <v>860</v>
      </c>
      <c r="X133">
        <v>810</v>
      </c>
    </row>
    <row r="134" spans="1:24">
      <c r="A134" s="7" t="s">
        <v>225</v>
      </c>
      <c r="B134" s="16" t="s">
        <v>143</v>
      </c>
      <c r="C134">
        <v>369740810.9429847</v>
      </c>
      <c r="D134">
        <v>364262186.78600299</v>
      </c>
      <c r="E134">
        <v>501801.80180180399</v>
      </c>
      <c r="F134">
        <v>3789189.18918919</v>
      </c>
      <c r="G134">
        <v>85</v>
      </c>
      <c r="H134">
        <v>147</v>
      </c>
      <c r="I134">
        <v>15</v>
      </c>
      <c r="J134">
        <v>8</v>
      </c>
      <c r="K134">
        <v>3</v>
      </c>
      <c r="M134">
        <v>101</v>
      </c>
      <c r="N134">
        <v>162</v>
      </c>
      <c r="O134">
        <v>21924324.324324325</v>
      </c>
      <c r="P134">
        <v>22945945.945945948</v>
      </c>
      <c r="Q134">
        <v>218</v>
      </c>
      <c r="R134">
        <v>129</v>
      </c>
      <c r="S134">
        <v>40373792.79279279</v>
      </c>
      <c r="T134">
        <v>46892195.045045048</v>
      </c>
      <c r="U134">
        <v>17142612.612612609</v>
      </c>
      <c r="V134">
        <v>14791441.441441445</v>
      </c>
      <c r="W134">
        <v>5642</v>
      </c>
      <c r="X134">
        <v>6058</v>
      </c>
    </row>
    <row r="135" spans="1:24">
      <c r="A135" s="7" t="s">
        <v>226</v>
      </c>
      <c r="B135" s="16" t="s">
        <v>224</v>
      </c>
      <c r="C135">
        <v>43472698.816384643</v>
      </c>
      <c r="D135">
        <v>42382613.32221625</v>
      </c>
      <c r="E135">
        <v>4504.5045045050001</v>
      </c>
      <c r="F135">
        <v>121621.62162162201</v>
      </c>
      <c r="G135">
        <v>8</v>
      </c>
      <c r="H135">
        <v>14</v>
      </c>
      <c r="I135">
        <v>3</v>
      </c>
      <c r="J135">
        <v>2</v>
      </c>
      <c r="M135">
        <v>9</v>
      </c>
      <c r="N135">
        <v>16</v>
      </c>
      <c r="O135">
        <v>5937117.1171171162</v>
      </c>
      <c r="P135">
        <v>6068648.6486486476</v>
      </c>
      <c r="Q135">
        <v>35</v>
      </c>
      <c r="R135">
        <v>25</v>
      </c>
      <c r="S135">
        <v>9570945.9459459465</v>
      </c>
      <c r="T135">
        <v>11383905.405405404</v>
      </c>
      <c r="U135">
        <v>5050720.7207207195</v>
      </c>
      <c r="V135">
        <v>4911981.9819819815</v>
      </c>
      <c r="W135">
        <v>721</v>
      </c>
      <c r="X135">
        <v>898</v>
      </c>
    </row>
    <row r="136" spans="1:24">
      <c r="A136" s="7" t="s">
        <v>227</v>
      </c>
      <c r="B136" s="16" t="s">
        <v>78</v>
      </c>
      <c r="C136">
        <v>360826952.83970523</v>
      </c>
      <c r="D136">
        <v>342741520.9584825</v>
      </c>
      <c r="E136">
        <v>1503603.603603607</v>
      </c>
      <c r="F136">
        <v>4122522.522522524</v>
      </c>
      <c r="G136">
        <v>69</v>
      </c>
      <c r="H136">
        <v>73</v>
      </c>
      <c r="I136">
        <v>7</v>
      </c>
      <c r="J136">
        <v>13</v>
      </c>
      <c r="M136">
        <v>75</v>
      </c>
      <c r="N136">
        <v>84</v>
      </c>
      <c r="O136">
        <v>28951261.261261266</v>
      </c>
      <c r="P136">
        <v>43911531.531531528</v>
      </c>
      <c r="Q136">
        <v>150</v>
      </c>
      <c r="R136">
        <v>87</v>
      </c>
      <c r="S136">
        <v>137485754.95495495</v>
      </c>
      <c r="T136">
        <v>137155729.72972974</v>
      </c>
      <c r="U136">
        <v>27101754.954954956</v>
      </c>
      <c r="V136">
        <v>37276396.396396399</v>
      </c>
      <c r="W136">
        <v>4561</v>
      </c>
      <c r="X136">
        <v>5018</v>
      </c>
    </row>
    <row r="137" spans="1:24">
      <c r="A137" s="7" t="s">
        <v>674</v>
      </c>
      <c r="B137" s="16" t="s">
        <v>283</v>
      </c>
      <c r="E137">
        <v>160488554.95495495</v>
      </c>
      <c r="F137">
        <v>235021782.88288289</v>
      </c>
      <c r="O137">
        <v>15528972.972972972</v>
      </c>
      <c r="P137">
        <v>24521598.198198199</v>
      </c>
    </row>
    <row r="138" spans="1:24">
      <c r="A138" s="7" t="s">
        <v>228</v>
      </c>
      <c r="B138" s="16" t="s">
        <v>136</v>
      </c>
      <c r="C138">
        <v>491856757.81097561</v>
      </c>
      <c r="D138">
        <v>450026271.83298093</v>
      </c>
      <c r="E138">
        <v>1184909.909909911</v>
      </c>
      <c r="F138">
        <v>3934459.4594594599</v>
      </c>
      <c r="G138">
        <v>117</v>
      </c>
      <c r="H138">
        <v>114</v>
      </c>
      <c r="I138">
        <v>10</v>
      </c>
      <c r="J138">
        <v>12</v>
      </c>
      <c r="M138">
        <v>133</v>
      </c>
      <c r="N138">
        <v>130</v>
      </c>
      <c r="O138">
        <v>71026756.756756753</v>
      </c>
      <c r="P138">
        <v>53815315.315315314</v>
      </c>
      <c r="Q138">
        <v>156</v>
      </c>
      <c r="R138">
        <v>266</v>
      </c>
      <c r="S138">
        <v>103063317.11711712</v>
      </c>
      <c r="T138">
        <v>104153608.10810812</v>
      </c>
      <c r="U138">
        <v>60560810.810810804</v>
      </c>
      <c r="V138">
        <v>44407477.477477483</v>
      </c>
      <c r="W138">
        <v>7650</v>
      </c>
      <c r="X138">
        <v>7673</v>
      </c>
    </row>
    <row r="139" spans="1:24">
      <c r="A139" s="7" t="s">
        <v>229</v>
      </c>
      <c r="B139" s="16" t="s">
        <v>78</v>
      </c>
      <c r="C139">
        <v>126747612.9020555</v>
      </c>
      <c r="D139">
        <v>128461326.14290053</v>
      </c>
      <c r="E139">
        <v>3793243.243243244</v>
      </c>
      <c r="F139">
        <v>4559909.9099099077</v>
      </c>
      <c r="G139">
        <v>41</v>
      </c>
      <c r="H139">
        <v>51</v>
      </c>
      <c r="I139">
        <v>1</v>
      </c>
      <c r="J139">
        <v>3</v>
      </c>
      <c r="M139">
        <v>43</v>
      </c>
      <c r="N139">
        <v>56</v>
      </c>
      <c r="O139">
        <v>19559009.009009007</v>
      </c>
      <c r="P139">
        <v>28166666.666666668</v>
      </c>
      <c r="Q139">
        <v>21</v>
      </c>
      <c r="R139">
        <v>19</v>
      </c>
      <c r="S139">
        <v>58588198.198198199</v>
      </c>
      <c r="T139">
        <v>61465926.126126125</v>
      </c>
      <c r="U139">
        <v>20827927.927927926</v>
      </c>
      <c r="V139">
        <v>27093286.486486487</v>
      </c>
      <c r="W139">
        <v>2474</v>
      </c>
      <c r="X139">
        <v>2539</v>
      </c>
    </row>
    <row r="140" spans="1:24">
      <c r="A140" s="7" t="s">
        <v>230</v>
      </c>
      <c r="B140" s="16" t="s">
        <v>54</v>
      </c>
      <c r="C140">
        <v>393824090.56859183</v>
      </c>
      <c r="D140">
        <v>375559952.52416474</v>
      </c>
      <c r="E140">
        <v>639864.864864868</v>
      </c>
      <c r="F140">
        <v>993693.69369369396</v>
      </c>
      <c r="G140">
        <v>69</v>
      </c>
      <c r="H140">
        <v>47</v>
      </c>
      <c r="I140">
        <v>12</v>
      </c>
      <c r="J140">
        <v>8</v>
      </c>
      <c r="M140">
        <v>76</v>
      </c>
      <c r="N140">
        <v>56</v>
      </c>
      <c r="O140">
        <v>10327927.927927928</v>
      </c>
      <c r="P140">
        <v>23730630.630630631</v>
      </c>
      <c r="Q140">
        <v>107</v>
      </c>
      <c r="R140">
        <v>1696</v>
      </c>
      <c r="S140">
        <v>89199459.459459454</v>
      </c>
      <c r="T140">
        <v>92165852.252252251</v>
      </c>
      <c r="U140">
        <v>10865945.945945945</v>
      </c>
      <c r="V140">
        <v>26504684.684684686</v>
      </c>
      <c r="W140">
        <v>6838</v>
      </c>
      <c r="X140">
        <v>6756</v>
      </c>
    </row>
    <row r="141" spans="1:24">
      <c r="A141" s="7" t="s">
        <v>231</v>
      </c>
      <c r="B141" s="16" t="s">
        <v>78</v>
      </c>
      <c r="C141">
        <v>151140231.07076842</v>
      </c>
      <c r="D141">
        <v>144461259.84276745</v>
      </c>
      <c r="E141">
        <v>626126.12612612895</v>
      </c>
      <c r="F141">
        <v>3490990.9909909908</v>
      </c>
      <c r="G141">
        <v>76</v>
      </c>
      <c r="H141">
        <v>79</v>
      </c>
      <c r="I141">
        <v>13</v>
      </c>
      <c r="J141">
        <v>12</v>
      </c>
      <c r="M141">
        <v>81</v>
      </c>
      <c r="N141">
        <v>101</v>
      </c>
      <c r="O141">
        <v>35535315.315315314</v>
      </c>
      <c r="P141">
        <v>36778378.378378376</v>
      </c>
      <c r="Q141">
        <v>36</v>
      </c>
      <c r="R141">
        <v>136</v>
      </c>
      <c r="S141">
        <v>70545855.855855852</v>
      </c>
      <c r="T141">
        <v>68929585.585585579</v>
      </c>
      <c r="U141">
        <v>35784684.684684686</v>
      </c>
      <c r="V141">
        <v>36441891.891891889</v>
      </c>
      <c r="W141">
        <v>3866</v>
      </c>
      <c r="X141">
        <v>4050</v>
      </c>
    </row>
    <row r="142" spans="1:24">
      <c r="A142" s="7" t="s">
        <v>232</v>
      </c>
      <c r="B142" s="16" t="s">
        <v>60</v>
      </c>
      <c r="C142">
        <v>126688083.20878348</v>
      </c>
      <c r="D142">
        <v>130232445.56244959</v>
      </c>
      <c r="E142">
        <v>2702.7027027029999</v>
      </c>
      <c r="G142">
        <v>21</v>
      </c>
      <c r="H142">
        <v>49</v>
      </c>
      <c r="I142">
        <v>1</v>
      </c>
      <c r="M142">
        <v>22</v>
      </c>
      <c r="N142">
        <v>53</v>
      </c>
      <c r="O142">
        <v>83783.783783784005</v>
      </c>
      <c r="Q142">
        <v>3</v>
      </c>
      <c r="S142">
        <v>50332927.927927926</v>
      </c>
      <c r="T142">
        <v>53763558.558558561</v>
      </c>
      <c r="U142">
        <v>81081.081081081007</v>
      </c>
      <c r="W142">
        <v>1879</v>
      </c>
      <c r="X142">
        <v>1965</v>
      </c>
    </row>
    <row r="143" spans="1:24">
      <c r="A143" s="7" t="s">
        <v>233</v>
      </c>
      <c r="B143" s="16" t="s">
        <v>54</v>
      </c>
      <c r="C143">
        <v>62649707.383707501</v>
      </c>
      <c r="D143">
        <v>62398612.460067458</v>
      </c>
      <c r="E143">
        <v>573873.87387387396</v>
      </c>
      <c r="F143">
        <v>154954.954954955</v>
      </c>
      <c r="G143">
        <v>36</v>
      </c>
      <c r="H143">
        <v>47</v>
      </c>
      <c r="I143">
        <v>1</v>
      </c>
      <c r="J143">
        <v>2</v>
      </c>
      <c r="M143">
        <v>50</v>
      </c>
      <c r="N143">
        <v>62</v>
      </c>
      <c r="O143">
        <v>3218018.0180180161</v>
      </c>
      <c r="P143">
        <v>3188558.5585585581</v>
      </c>
      <c r="Q143">
        <v>60</v>
      </c>
      <c r="R143">
        <v>23</v>
      </c>
      <c r="S143">
        <v>13069729.729729729</v>
      </c>
      <c r="T143">
        <v>13797288.288288288</v>
      </c>
      <c r="U143">
        <v>3999549.5495495489</v>
      </c>
      <c r="V143">
        <v>2920360.3603603588</v>
      </c>
      <c r="W143">
        <v>1094</v>
      </c>
      <c r="X143">
        <v>898</v>
      </c>
    </row>
    <row r="144" spans="1:24">
      <c r="A144" s="7" t="s">
        <v>234</v>
      </c>
      <c r="B144" s="16" t="s">
        <v>167</v>
      </c>
      <c r="C144">
        <v>291567392.86875266</v>
      </c>
      <c r="D144">
        <v>289352706.98566365</v>
      </c>
      <c r="E144">
        <v>32432.432432432</v>
      </c>
      <c r="F144">
        <v>530630.63063062902</v>
      </c>
      <c r="G144">
        <v>87</v>
      </c>
      <c r="H144">
        <v>23</v>
      </c>
      <c r="I144">
        <v>1</v>
      </c>
      <c r="J144">
        <v>2</v>
      </c>
      <c r="M144">
        <v>99</v>
      </c>
      <c r="N144">
        <v>28</v>
      </c>
      <c r="O144">
        <v>22951351.351351351</v>
      </c>
      <c r="P144">
        <v>33388636.936936937</v>
      </c>
      <c r="Q144">
        <v>9</v>
      </c>
      <c r="R144">
        <v>26</v>
      </c>
      <c r="S144">
        <v>80124909.909909904</v>
      </c>
      <c r="T144">
        <v>80572752.252252251</v>
      </c>
      <c r="U144">
        <v>19211304.504504506</v>
      </c>
      <c r="V144">
        <v>16351081.081081079</v>
      </c>
      <c r="W144">
        <v>4675</v>
      </c>
      <c r="X144">
        <v>5211</v>
      </c>
    </row>
    <row r="145" spans="1:24">
      <c r="A145" s="7" t="s">
        <v>235</v>
      </c>
      <c r="B145" s="16" t="s">
        <v>236</v>
      </c>
      <c r="C145">
        <v>6328.6723542720001</v>
      </c>
      <c r="D145">
        <v>6333.8757114099999</v>
      </c>
      <c r="T145">
        <v>9009.0090090089998</v>
      </c>
      <c r="W145">
        <v>56</v>
      </c>
      <c r="X145">
        <v>59</v>
      </c>
    </row>
    <row r="146" spans="1:24">
      <c r="A146" s="7" t="s">
        <v>237</v>
      </c>
      <c r="B146" s="16" t="s">
        <v>105</v>
      </c>
      <c r="C146">
        <v>179529155.54551545</v>
      </c>
      <c r="D146">
        <v>169753271.50389868</v>
      </c>
      <c r="E146">
        <v>267927.92792792799</v>
      </c>
      <c r="F146">
        <v>940540.54054054001</v>
      </c>
      <c r="G146">
        <v>34</v>
      </c>
      <c r="H146">
        <v>22</v>
      </c>
      <c r="I146">
        <v>2</v>
      </c>
      <c r="J146">
        <v>0</v>
      </c>
      <c r="M146">
        <v>38</v>
      </c>
      <c r="N146">
        <v>24</v>
      </c>
      <c r="O146">
        <v>22800630.630630631</v>
      </c>
      <c r="P146">
        <v>27392432.432432432</v>
      </c>
      <c r="Q146">
        <v>45</v>
      </c>
      <c r="R146">
        <v>50</v>
      </c>
      <c r="S146">
        <v>50715349.54954955</v>
      </c>
      <c r="T146">
        <v>49517369.369369365</v>
      </c>
      <c r="U146">
        <v>23033196.396396395</v>
      </c>
      <c r="V146">
        <v>25887567.567567568</v>
      </c>
      <c r="W146">
        <v>2009</v>
      </c>
      <c r="X146">
        <v>2013</v>
      </c>
    </row>
    <row r="147" spans="1:24">
      <c r="A147" s="7" t="s">
        <v>3</v>
      </c>
      <c r="B147" s="16" t="s">
        <v>158</v>
      </c>
      <c r="C147">
        <v>352525591.58430195</v>
      </c>
      <c r="D147">
        <v>349183136.7292698</v>
      </c>
      <c r="E147">
        <v>3550225.225225227</v>
      </c>
      <c r="F147">
        <v>4836711.711711715</v>
      </c>
      <c r="G147">
        <v>60</v>
      </c>
      <c r="H147">
        <v>56</v>
      </c>
      <c r="I147">
        <v>20</v>
      </c>
      <c r="J147">
        <v>9</v>
      </c>
      <c r="M147">
        <v>63</v>
      </c>
      <c r="N147">
        <v>61</v>
      </c>
      <c r="O147">
        <v>64822072.072072081</v>
      </c>
      <c r="P147">
        <v>71794594.594594598</v>
      </c>
      <c r="Q147">
        <v>102</v>
      </c>
      <c r="R147">
        <v>79</v>
      </c>
      <c r="S147">
        <v>94449774.77477479</v>
      </c>
      <c r="T147">
        <v>95365207.207207203</v>
      </c>
      <c r="U147">
        <v>63363603.603603601</v>
      </c>
      <c r="V147">
        <v>64784414.414414413</v>
      </c>
      <c r="W147">
        <v>3802</v>
      </c>
      <c r="X147">
        <v>3743</v>
      </c>
    </row>
    <row r="148" spans="1:24">
      <c r="A148" s="7" t="s">
        <v>238</v>
      </c>
      <c r="B148" s="16" t="s">
        <v>178</v>
      </c>
      <c r="C148">
        <v>313788788.54344666</v>
      </c>
      <c r="D148">
        <v>270197860.51688772</v>
      </c>
      <c r="E148">
        <v>4558558.558558559</v>
      </c>
      <c r="F148">
        <v>567567.56756756804</v>
      </c>
      <c r="G148">
        <v>78</v>
      </c>
      <c r="H148">
        <v>71</v>
      </c>
      <c r="I148">
        <v>3</v>
      </c>
      <c r="J148">
        <v>4</v>
      </c>
      <c r="M148">
        <v>85</v>
      </c>
      <c r="N148">
        <v>96</v>
      </c>
      <c r="O148">
        <v>38704205.40540541</v>
      </c>
      <c r="P148">
        <v>38000000</v>
      </c>
      <c r="S148">
        <v>96357945.945945948</v>
      </c>
      <c r="T148">
        <v>86395675.675675675</v>
      </c>
      <c r="U148">
        <v>26948468.468468469</v>
      </c>
      <c r="V148">
        <v>31995045.045045044</v>
      </c>
      <c r="W148">
        <v>5376</v>
      </c>
      <c r="X148">
        <v>5508</v>
      </c>
    </row>
    <row r="149" spans="1:24">
      <c r="A149" s="7" t="s">
        <v>239</v>
      </c>
      <c r="B149" s="16" t="s">
        <v>54</v>
      </c>
      <c r="C149">
        <v>216696379.88312942</v>
      </c>
      <c r="D149">
        <v>194623486.1865592</v>
      </c>
      <c r="E149">
        <v>3307522.5225225231</v>
      </c>
      <c r="F149">
        <v>4215315.3153153164</v>
      </c>
      <c r="G149">
        <v>48</v>
      </c>
      <c r="H149">
        <v>35</v>
      </c>
      <c r="I149">
        <v>4</v>
      </c>
      <c r="J149">
        <v>4</v>
      </c>
      <c r="M149">
        <v>52</v>
      </c>
      <c r="N149">
        <v>36</v>
      </c>
      <c r="O149">
        <v>27796936.936936937</v>
      </c>
      <c r="P149">
        <v>27608468.468468469</v>
      </c>
      <c r="Q149">
        <v>90</v>
      </c>
      <c r="R149">
        <v>40</v>
      </c>
      <c r="S149">
        <v>61308005.40540541</v>
      </c>
      <c r="T149">
        <v>53860744.144144148</v>
      </c>
      <c r="U149">
        <v>25492926.126126125</v>
      </c>
      <c r="V149">
        <v>23579185.585585583</v>
      </c>
      <c r="W149">
        <v>3482</v>
      </c>
      <c r="X149">
        <v>3514</v>
      </c>
    </row>
    <row r="150" spans="1:24">
      <c r="A150" s="7" t="s">
        <v>240</v>
      </c>
      <c r="B150" s="16" t="s">
        <v>241</v>
      </c>
      <c r="C150">
        <v>182337348.79694381</v>
      </c>
      <c r="D150">
        <v>167706462.5620037</v>
      </c>
      <c r="E150">
        <v>254175990.09009007</v>
      </c>
      <c r="F150">
        <v>207506402.7027027</v>
      </c>
      <c r="G150">
        <v>77</v>
      </c>
      <c r="H150">
        <v>77</v>
      </c>
      <c r="I150">
        <v>10</v>
      </c>
      <c r="J150">
        <v>6</v>
      </c>
      <c r="M150">
        <v>88</v>
      </c>
      <c r="N150">
        <v>84</v>
      </c>
      <c r="O150">
        <v>187398971.17117116</v>
      </c>
      <c r="P150">
        <v>65920900.9009009</v>
      </c>
      <c r="Q150">
        <v>138</v>
      </c>
      <c r="R150">
        <v>67</v>
      </c>
      <c r="S150">
        <v>42958873.873873875</v>
      </c>
      <c r="T150">
        <v>39138016.216216214</v>
      </c>
      <c r="U150">
        <v>148497837.83783782</v>
      </c>
      <c r="V150">
        <v>47452522.522522517</v>
      </c>
      <c r="W150">
        <v>2808</v>
      </c>
      <c r="X150">
        <v>2817</v>
      </c>
    </row>
    <row r="151" spans="1:24">
      <c r="A151" s="7" t="s">
        <v>242</v>
      </c>
      <c r="B151" s="16" t="s">
        <v>241</v>
      </c>
      <c r="C151">
        <v>451729474.7015413</v>
      </c>
      <c r="D151">
        <v>428906027.39042819</v>
      </c>
      <c r="E151">
        <v>871171.17117117206</v>
      </c>
      <c r="F151">
        <v>6573873.8738738727</v>
      </c>
      <c r="G151">
        <v>229</v>
      </c>
      <c r="H151">
        <v>172</v>
      </c>
      <c r="I151">
        <v>26</v>
      </c>
      <c r="J151">
        <v>20</v>
      </c>
      <c r="K151">
        <v>1</v>
      </c>
      <c r="M151">
        <v>247</v>
      </c>
      <c r="N151">
        <v>196</v>
      </c>
      <c r="O151">
        <v>123873243.24324325</v>
      </c>
      <c r="P151">
        <v>159525315.31531534</v>
      </c>
      <c r="Q151">
        <v>363</v>
      </c>
      <c r="R151">
        <v>226</v>
      </c>
      <c r="S151">
        <v>137932567.56756756</v>
      </c>
      <c r="T151">
        <v>127287783.78378378</v>
      </c>
      <c r="U151">
        <v>118631801.80180179</v>
      </c>
      <c r="V151">
        <v>149028378.37837836</v>
      </c>
      <c r="W151">
        <v>6800</v>
      </c>
      <c r="X151">
        <v>6906</v>
      </c>
    </row>
    <row r="152" spans="1:24">
      <c r="A152" s="7" t="s">
        <v>243</v>
      </c>
      <c r="B152" s="16" t="s">
        <v>50</v>
      </c>
      <c r="C152">
        <v>75609718.570363313</v>
      </c>
      <c r="D152">
        <v>77159866.314754814</v>
      </c>
      <c r="E152">
        <v>5037612.6126126144</v>
      </c>
      <c r="F152">
        <v>3543243.2432432449</v>
      </c>
      <c r="G152">
        <v>17</v>
      </c>
      <c r="H152">
        <v>27</v>
      </c>
      <c r="I152">
        <v>7</v>
      </c>
      <c r="J152">
        <v>3</v>
      </c>
      <c r="M152">
        <v>17</v>
      </c>
      <c r="N152">
        <v>27</v>
      </c>
      <c r="O152">
        <v>17968018.018018015</v>
      </c>
      <c r="P152">
        <v>18368828.828828827</v>
      </c>
      <c r="Q152">
        <v>9</v>
      </c>
      <c r="R152">
        <v>40</v>
      </c>
      <c r="S152">
        <v>27571036.036036037</v>
      </c>
      <c r="T152">
        <v>25029648.648648649</v>
      </c>
      <c r="U152">
        <v>16872792.792792793</v>
      </c>
      <c r="V152">
        <v>16046576.576576576</v>
      </c>
      <c r="W152">
        <v>1168</v>
      </c>
      <c r="X152">
        <v>1256</v>
      </c>
    </row>
    <row r="153" spans="1:24">
      <c r="A153" s="7" t="s">
        <v>244</v>
      </c>
      <c r="B153" s="16" t="s">
        <v>181</v>
      </c>
      <c r="C153">
        <v>2532410644.3401804</v>
      </c>
      <c r="D153">
        <v>2379105228.5013599</v>
      </c>
      <c r="E153">
        <v>484047076.57657659</v>
      </c>
      <c r="F153">
        <v>296915808.1081081</v>
      </c>
      <c r="G153">
        <v>1147</v>
      </c>
      <c r="H153">
        <v>1030</v>
      </c>
      <c r="I153">
        <v>134</v>
      </c>
      <c r="J153">
        <v>100</v>
      </c>
      <c r="K153">
        <v>20</v>
      </c>
      <c r="M153">
        <v>1332</v>
      </c>
      <c r="N153">
        <v>1569</v>
      </c>
      <c r="O153">
        <v>273012882.88288289</v>
      </c>
      <c r="P153">
        <v>344799729.72972971</v>
      </c>
      <c r="Q153">
        <v>1586</v>
      </c>
      <c r="R153">
        <v>976</v>
      </c>
      <c r="S153">
        <v>512414672.07207209</v>
      </c>
      <c r="T153">
        <v>526103866.66666669</v>
      </c>
      <c r="U153">
        <v>249842252.25225225</v>
      </c>
      <c r="V153">
        <v>330517927.92792791</v>
      </c>
      <c r="W153">
        <v>44705</v>
      </c>
      <c r="X153">
        <v>44300</v>
      </c>
    </row>
    <row r="154" spans="1:24">
      <c r="A154" s="7" t="s">
        <v>245</v>
      </c>
      <c r="B154" s="16" t="s">
        <v>48</v>
      </c>
      <c r="C154">
        <v>106889714.66443965</v>
      </c>
      <c r="D154">
        <v>103395820.41974163</v>
      </c>
      <c r="E154">
        <v>280180.18018018099</v>
      </c>
      <c r="F154">
        <v>2002027.0270270279</v>
      </c>
      <c r="G154">
        <v>16</v>
      </c>
      <c r="H154">
        <v>14</v>
      </c>
      <c r="I154">
        <v>5</v>
      </c>
      <c r="J154">
        <v>7</v>
      </c>
      <c r="M154">
        <v>30</v>
      </c>
      <c r="N154">
        <v>19</v>
      </c>
      <c r="O154">
        <v>12219459.459459459</v>
      </c>
      <c r="P154">
        <v>28053153.153153151</v>
      </c>
      <c r="R154">
        <v>25</v>
      </c>
      <c r="S154">
        <v>26143864.864864863</v>
      </c>
      <c r="T154">
        <v>24677171.171171173</v>
      </c>
      <c r="U154">
        <v>12618018.018018018</v>
      </c>
      <c r="V154">
        <v>29655765.765765768</v>
      </c>
      <c r="W154">
        <v>1803</v>
      </c>
      <c r="X154">
        <v>1868</v>
      </c>
    </row>
    <row r="155" spans="1:24">
      <c r="A155" s="7" t="s">
        <v>246</v>
      </c>
      <c r="B155" s="16" t="s">
        <v>94</v>
      </c>
      <c r="C155">
        <v>45572588.164917603</v>
      </c>
      <c r="D155">
        <v>31565194.336936653</v>
      </c>
      <c r="G155">
        <v>8</v>
      </c>
      <c r="H155">
        <v>5</v>
      </c>
      <c r="J155">
        <v>0</v>
      </c>
      <c r="M155">
        <v>9</v>
      </c>
      <c r="N155">
        <v>5</v>
      </c>
      <c r="S155">
        <v>8237000</v>
      </c>
      <c r="T155">
        <v>6214009.0090090092</v>
      </c>
      <c r="W155">
        <v>730</v>
      </c>
      <c r="X155">
        <v>680</v>
      </c>
    </row>
    <row r="156" spans="1:24">
      <c r="A156" s="7" t="s">
        <v>247</v>
      </c>
      <c r="B156" s="16" t="s">
        <v>117</v>
      </c>
      <c r="C156">
        <v>96029358.687626734</v>
      </c>
      <c r="D156">
        <v>96073854.321748212</v>
      </c>
      <c r="E156">
        <v>212502434.23423424</v>
      </c>
      <c r="F156">
        <v>107429018.91891891</v>
      </c>
      <c r="G156">
        <v>35</v>
      </c>
      <c r="H156">
        <v>15</v>
      </c>
      <c r="I156">
        <v>7</v>
      </c>
      <c r="J156">
        <v>4</v>
      </c>
      <c r="M156">
        <v>37</v>
      </c>
      <c r="N156">
        <v>20</v>
      </c>
      <c r="O156">
        <v>28147583.783783782</v>
      </c>
      <c r="P156">
        <v>25705562.162162162</v>
      </c>
      <c r="Q156">
        <v>89</v>
      </c>
      <c r="R156">
        <v>160</v>
      </c>
      <c r="S156">
        <v>47034414.414414413</v>
      </c>
      <c r="T156">
        <v>46123801.801801801</v>
      </c>
      <c r="U156">
        <v>20848558.558558557</v>
      </c>
      <c r="V156">
        <v>21011711.711711712</v>
      </c>
      <c r="W156">
        <v>1716</v>
      </c>
      <c r="X156">
        <v>1745</v>
      </c>
    </row>
    <row r="157" spans="1:24">
      <c r="A157" s="7" t="s">
        <v>248</v>
      </c>
      <c r="B157" s="16" t="s">
        <v>121</v>
      </c>
      <c r="C157">
        <v>164176572.7549603</v>
      </c>
      <c r="D157">
        <v>155470519.61471412</v>
      </c>
      <c r="E157">
        <v>104954.954954956</v>
      </c>
      <c r="F157">
        <v>901801.80180180201</v>
      </c>
      <c r="G157">
        <v>172</v>
      </c>
      <c r="H157">
        <v>86</v>
      </c>
      <c r="I157">
        <v>4</v>
      </c>
      <c r="J157">
        <v>5</v>
      </c>
      <c r="M157">
        <v>184</v>
      </c>
      <c r="N157">
        <v>93</v>
      </c>
      <c r="O157">
        <v>10206308.108108109</v>
      </c>
      <c r="P157">
        <v>6815315.3153153136</v>
      </c>
      <c r="Q157">
        <v>237</v>
      </c>
      <c r="R157">
        <v>14</v>
      </c>
      <c r="S157">
        <v>19421675.675675675</v>
      </c>
      <c r="T157">
        <v>17655369.369369369</v>
      </c>
      <c r="U157">
        <v>10346036.036036037</v>
      </c>
      <c r="V157">
        <v>4902972.9729729732</v>
      </c>
      <c r="W157">
        <v>2370</v>
      </c>
      <c r="X157">
        <v>2319</v>
      </c>
    </row>
    <row r="158" spans="1:24">
      <c r="A158" s="7" t="s">
        <v>249</v>
      </c>
      <c r="B158" s="16" t="s">
        <v>76</v>
      </c>
      <c r="C158">
        <v>76124499.094296828</v>
      </c>
      <c r="D158">
        <v>68602034.798638225</v>
      </c>
      <c r="G158">
        <v>7</v>
      </c>
      <c r="H158">
        <v>6</v>
      </c>
      <c r="I158">
        <v>0</v>
      </c>
      <c r="J158">
        <v>1</v>
      </c>
      <c r="M158">
        <v>10</v>
      </c>
      <c r="N158">
        <v>7</v>
      </c>
      <c r="S158">
        <v>8098495.4954954963</v>
      </c>
      <c r="T158">
        <v>6779144.1441441439</v>
      </c>
      <c r="W158">
        <v>1564</v>
      </c>
      <c r="X158">
        <v>1685</v>
      </c>
    </row>
    <row r="159" spans="1:24">
      <c r="A159" s="7" t="s">
        <v>250</v>
      </c>
      <c r="B159" s="16" t="s">
        <v>167</v>
      </c>
      <c r="C159">
        <v>241886320.81251916</v>
      </c>
      <c r="D159">
        <v>220729042.18839815</v>
      </c>
      <c r="F159">
        <v>32432.432432432</v>
      </c>
      <c r="G159">
        <v>38</v>
      </c>
      <c r="H159">
        <v>38</v>
      </c>
      <c r="M159">
        <v>56</v>
      </c>
      <c r="N159">
        <v>43</v>
      </c>
      <c r="O159">
        <v>7304864.8648648644</v>
      </c>
      <c r="P159">
        <v>4279279.2792792786</v>
      </c>
      <c r="Q159">
        <v>9</v>
      </c>
      <c r="R159">
        <v>6</v>
      </c>
      <c r="S159">
        <v>44901936.936936937</v>
      </c>
      <c r="T159">
        <v>41045193.693693697</v>
      </c>
      <c r="U159">
        <v>3913513.5135135129</v>
      </c>
      <c r="V159">
        <v>3287567.5675675678</v>
      </c>
      <c r="W159">
        <v>3769</v>
      </c>
      <c r="X159">
        <v>3751</v>
      </c>
    </row>
    <row r="160" spans="1:24">
      <c r="A160" s="7" t="s">
        <v>251</v>
      </c>
      <c r="B160" s="16" t="s">
        <v>89</v>
      </c>
      <c r="C160">
        <v>661948856.978544</v>
      </c>
      <c r="D160">
        <v>651728015.72235465</v>
      </c>
      <c r="E160">
        <v>7928288.2882882971</v>
      </c>
      <c r="F160">
        <v>6008558.5585585618</v>
      </c>
      <c r="G160">
        <v>58</v>
      </c>
      <c r="H160">
        <v>122</v>
      </c>
      <c r="I160">
        <v>38</v>
      </c>
      <c r="J160">
        <v>40</v>
      </c>
      <c r="M160">
        <v>65</v>
      </c>
      <c r="N160">
        <v>132</v>
      </c>
      <c r="O160">
        <v>63747927.927927926</v>
      </c>
      <c r="P160">
        <v>57116306.306306303</v>
      </c>
      <c r="Q160">
        <v>577</v>
      </c>
      <c r="R160">
        <v>527</v>
      </c>
      <c r="S160">
        <v>159207326.12612611</v>
      </c>
      <c r="T160">
        <v>158779818.01801801</v>
      </c>
      <c r="U160">
        <v>60700990.990990981</v>
      </c>
      <c r="V160">
        <v>52962162.162162162</v>
      </c>
      <c r="W160">
        <v>10567</v>
      </c>
      <c r="X160">
        <v>10203</v>
      </c>
    </row>
    <row r="161" spans="1:24">
      <c r="A161" s="7" t="s">
        <v>252</v>
      </c>
      <c r="B161" s="16" t="s">
        <v>78</v>
      </c>
      <c r="C161">
        <v>200352155.39015335</v>
      </c>
      <c r="D161">
        <v>192821782.33511451</v>
      </c>
      <c r="E161">
        <v>696396.39639639598</v>
      </c>
      <c r="F161">
        <v>2725225.2252252279</v>
      </c>
      <c r="G161">
        <v>42</v>
      </c>
      <c r="H161">
        <v>33</v>
      </c>
      <c r="I161">
        <v>4</v>
      </c>
      <c r="J161">
        <v>12</v>
      </c>
      <c r="M161">
        <v>45</v>
      </c>
      <c r="N161">
        <v>35</v>
      </c>
      <c r="O161">
        <v>23300810.810810808</v>
      </c>
      <c r="P161">
        <v>40056936.936936937</v>
      </c>
      <c r="Q161">
        <v>27</v>
      </c>
      <c r="R161">
        <v>71</v>
      </c>
      <c r="S161">
        <v>55910162.162162162</v>
      </c>
      <c r="T161">
        <v>53439864.864864863</v>
      </c>
      <c r="U161">
        <v>21457567.567567568</v>
      </c>
      <c r="V161">
        <v>37057297.297297299</v>
      </c>
      <c r="W161">
        <v>3219</v>
      </c>
      <c r="X161">
        <v>2917</v>
      </c>
    </row>
    <row r="162" spans="1:24">
      <c r="A162" s="7" t="s">
        <v>253</v>
      </c>
      <c r="B162" s="16" t="s">
        <v>105</v>
      </c>
      <c r="C162">
        <v>387761249.67148781</v>
      </c>
      <c r="D162">
        <v>375689798.89714962</v>
      </c>
      <c r="E162">
        <v>57627882.882882878</v>
      </c>
      <c r="F162">
        <v>173037718.91891891</v>
      </c>
      <c r="G162">
        <v>203</v>
      </c>
      <c r="H162">
        <v>172</v>
      </c>
      <c r="I162">
        <v>14</v>
      </c>
      <c r="J162">
        <v>18</v>
      </c>
      <c r="K162">
        <v>1</v>
      </c>
      <c r="M162">
        <v>440</v>
      </c>
      <c r="N162">
        <v>217</v>
      </c>
      <c r="O162">
        <v>87382612.612612605</v>
      </c>
      <c r="P162">
        <v>69995315.315315306</v>
      </c>
      <c r="Q162">
        <v>234</v>
      </c>
      <c r="R162">
        <v>345</v>
      </c>
      <c r="S162">
        <v>114217090.0900901</v>
      </c>
      <c r="T162">
        <v>109781234.23423424</v>
      </c>
      <c r="U162">
        <v>85244594.594594598</v>
      </c>
      <c r="V162">
        <v>69576936.93693693</v>
      </c>
      <c r="W162">
        <v>5902</v>
      </c>
      <c r="X162">
        <v>5364</v>
      </c>
    </row>
    <row r="163" spans="1:24">
      <c r="A163" s="7" t="s">
        <v>675</v>
      </c>
      <c r="B163" s="16" t="s">
        <v>181</v>
      </c>
      <c r="O163">
        <v>891891.89189189195</v>
      </c>
      <c r="P163">
        <v>1046846.846846847</v>
      </c>
    </row>
    <row r="164" spans="1:24">
      <c r="A164" s="7" t="s">
        <v>254</v>
      </c>
      <c r="B164" s="16" t="s">
        <v>105</v>
      </c>
      <c r="C164">
        <v>242140140.65393898</v>
      </c>
      <c r="D164">
        <v>249281939.86431709</v>
      </c>
      <c r="E164">
        <v>1962162.1621621619</v>
      </c>
      <c r="F164">
        <v>2515090.0900900918</v>
      </c>
      <c r="G164">
        <v>36</v>
      </c>
      <c r="H164">
        <v>32</v>
      </c>
      <c r="I164">
        <v>6</v>
      </c>
      <c r="J164">
        <v>1</v>
      </c>
      <c r="M164">
        <v>42</v>
      </c>
      <c r="N164">
        <v>38</v>
      </c>
      <c r="O164">
        <v>18321261.261261266</v>
      </c>
      <c r="P164">
        <v>20441801.801801801</v>
      </c>
      <c r="Q164">
        <v>74</v>
      </c>
      <c r="R164">
        <v>45</v>
      </c>
      <c r="S164">
        <v>73233917.117117122</v>
      </c>
      <c r="T164">
        <v>78413297.297297299</v>
      </c>
      <c r="U164">
        <v>16328828.82882883</v>
      </c>
      <c r="V164">
        <v>18230180.180180181</v>
      </c>
      <c r="W164">
        <v>3643</v>
      </c>
      <c r="X164">
        <v>3948</v>
      </c>
    </row>
    <row r="165" spans="1:24">
      <c r="A165" s="7" t="s">
        <v>255</v>
      </c>
      <c r="B165" s="16" t="s">
        <v>105</v>
      </c>
      <c r="C165">
        <v>209771337.77447909</v>
      </c>
      <c r="D165">
        <v>204517706.46869928</v>
      </c>
      <c r="E165">
        <v>1124324.324324324</v>
      </c>
      <c r="F165">
        <v>133333.33333333401</v>
      </c>
      <c r="G165">
        <v>35</v>
      </c>
      <c r="H165">
        <v>35</v>
      </c>
      <c r="I165">
        <v>0</v>
      </c>
      <c r="J165">
        <v>0</v>
      </c>
      <c r="M165">
        <v>36</v>
      </c>
      <c r="N165">
        <v>37</v>
      </c>
      <c r="O165">
        <v>2160360.3603603598</v>
      </c>
      <c r="P165">
        <v>2385585.5855855858</v>
      </c>
      <c r="Q165">
        <v>1</v>
      </c>
      <c r="S165">
        <v>43599279.279279277</v>
      </c>
      <c r="T165">
        <v>43515421.621621624</v>
      </c>
      <c r="U165">
        <v>2771891.8918918911</v>
      </c>
      <c r="V165">
        <v>2541891.8918918921</v>
      </c>
      <c r="W165">
        <v>2118</v>
      </c>
      <c r="X165">
        <v>2345</v>
      </c>
    </row>
    <row r="166" spans="1:24">
      <c r="A166" s="7" t="s">
        <v>256</v>
      </c>
      <c r="B166" s="16" t="s">
        <v>134</v>
      </c>
      <c r="C166">
        <v>331514268.00781375</v>
      </c>
      <c r="D166">
        <v>315365869.99280417</v>
      </c>
      <c r="E166">
        <v>678378.37837837904</v>
      </c>
      <c r="F166">
        <v>909909.90990991099</v>
      </c>
      <c r="G166">
        <v>34</v>
      </c>
      <c r="H166">
        <v>24</v>
      </c>
      <c r="I166">
        <v>1</v>
      </c>
      <c r="J166">
        <v>2</v>
      </c>
      <c r="M166">
        <v>35</v>
      </c>
      <c r="N166">
        <v>27</v>
      </c>
      <c r="O166">
        <v>9327027.0270270277</v>
      </c>
      <c r="P166">
        <v>3531531.5315315318</v>
      </c>
      <c r="Q166">
        <v>185</v>
      </c>
      <c r="S166">
        <v>22911522.52252252</v>
      </c>
      <c r="T166">
        <v>22999639.639639638</v>
      </c>
      <c r="U166">
        <v>8328918.9189189179</v>
      </c>
      <c r="V166">
        <v>4376576.5765765766</v>
      </c>
      <c r="W166">
        <v>4155</v>
      </c>
      <c r="X166">
        <v>4181</v>
      </c>
    </row>
    <row r="167" spans="1:24">
      <c r="A167" s="7" t="s">
        <v>257</v>
      </c>
      <c r="B167" s="16" t="s">
        <v>167</v>
      </c>
      <c r="C167">
        <v>125562810.44440705</v>
      </c>
      <c r="D167">
        <v>114742179.95126578</v>
      </c>
      <c r="E167">
        <v>907207.20720720803</v>
      </c>
      <c r="F167">
        <v>1233333.333333333</v>
      </c>
      <c r="G167">
        <v>76</v>
      </c>
      <c r="H167">
        <v>25</v>
      </c>
      <c r="I167">
        <v>3</v>
      </c>
      <c r="J167">
        <v>0</v>
      </c>
      <c r="M167">
        <v>86</v>
      </c>
      <c r="N167">
        <v>27</v>
      </c>
      <c r="O167">
        <v>7131981.9819819834</v>
      </c>
      <c r="P167">
        <v>6032224.3243243238</v>
      </c>
      <c r="Q167">
        <v>19</v>
      </c>
      <c r="R167">
        <v>9</v>
      </c>
      <c r="S167">
        <v>43610583.783783786</v>
      </c>
      <c r="T167">
        <v>38301250.45045045</v>
      </c>
      <c r="U167">
        <v>7392072.0720720738</v>
      </c>
      <c r="V167">
        <v>5802162.1621621624</v>
      </c>
      <c r="W167">
        <v>2501</v>
      </c>
      <c r="X167">
        <v>2495</v>
      </c>
    </row>
    <row r="168" spans="1:24">
      <c r="A168" s="7" t="s">
        <v>258</v>
      </c>
      <c r="B168" s="16" t="s">
        <v>60</v>
      </c>
      <c r="C168">
        <v>50377605.120167881</v>
      </c>
      <c r="D168">
        <v>45059417.78672637</v>
      </c>
      <c r="E168">
        <v>15765.765765766</v>
      </c>
      <c r="F168">
        <v>374774.77477477398</v>
      </c>
      <c r="G168">
        <v>27</v>
      </c>
      <c r="H168">
        <v>26</v>
      </c>
      <c r="I168">
        <v>1</v>
      </c>
      <c r="J168">
        <v>4</v>
      </c>
      <c r="K168">
        <v>2</v>
      </c>
      <c r="M168">
        <v>38</v>
      </c>
      <c r="N168">
        <v>31</v>
      </c>
      <c r="O168">
        <v>9655405.405405404</v>
      </c>
      <c r="P168">
        <v>9509909.9099099077</v>
      </c>
      <c r="Q168">
        <v>16</v>
      </c>
      <c r="R168">
        <v>19</v>
      </c>
      <c r="S168">
        <v>17635495.495495494</v>
      </c>
      <c r="T168">
        <v>16203180.180180181</v>
      </c>
      <c r="U168">
        <v>9110810.8108108118</v>
      </c>
      <c r="V168">
        <v>8738918.9189189188</v>
      </c>
      <c r="W168">
        <v>678</v>
      </c>
      <c r="X168">
        <v>672</v>
      </c>
    </row>
    <row r="169" spans="1:24">
      <c r="A169" s="7" t="s">
        <v>259</v>
      </c>
      <c r="B169" s="16" t="s">
        <v>260</v>
      </c>
      <c r="C169">
        <v>24504109.570651084</v>
      </c>
      <c r="D169">
        <v>26784727.908161256</v>
      </c>
      <c r="E169">
        <v>2342342.3423423418</v>
      </c>
      <c r="F169">
        <v>18918.918918919</v>
      </c>
      <c r="G169">
        <v>10</v>
      </c>
      <c r="H169">
        <v>7</v>
      </c>
      <c r="M169">
        <v>10</v>
      </c>
      <c r="N169">
        <v>11</v>
      </c>
      <c r="O169">
        <v>4144144.1441441439</v>
      </c>
      <c r="P169">
        <v>4106756.7567567569</v>
      </c>
      <c r="S169">
        <v>5030180.1801801808</v>
      </c>
      <c r="T169">
        <v>4877144.1441441439</v>
      </c>
      <c r="U169">
        <v>5441171.1711711707</v>
      </c>
      <c r="V169">
        <v>3307027.0270270258</v>
      </c>
      <c r="W169">
        <v>441</v>
      </c>
      <c r="X169">
        <v>634</v>
      </c>
    </row>
    <row r="170" spans="1:24">
      <c r="A170" s="7" t="s">
        <v>261</v>
      </c>
      <c r="B170" s="16" t="s">
        <v>60</v>
      </c>
      <c r="C170">
        <v>425185365.76217759</v>
      </c>
      <c r="D170">
        <v>417546888.96031225</v>
      </c>
      <c r="E170">
        <v>408827458.55855858</v>
      </c>
      <c r="F170">
        <v>264415518.01801801</v>
      </c>
      <c r="G170">
        <v>323</v>
      </c>
      <c r="H170">
        <v>310</v>
      </c>
      <c r="I170">
        <v>35</v>
      </c>
      <c r="J170">
        <v>52</v>
      </c>
      <c r="K170">
        <v>13</v>
      </c>
      <c r="M170">
        <v>429</v>
      </c>
      <c r="N170">
        <v>1021</v>
      </c>
      <c r="O170">
        <v>77300540.540540546</v>
      </c>
      <c r="P170">
        <v>84059909.909909919</v>
      </c>
      <c r="Q170">
        <v>601</v>
      </c>
      <c r="R170">
        <v>1479</v>
      </c>
      <c r="S170">
        <v>150218405.4054054</v>
      </c>
      <c r="T170">
        <v>153975430.18018019</v>
      </c>
      <c r="U170">
        <v>74707837.837837845</v>
      </c>
      <c r="V170">
        <v>91068918.918918908</v>
      </c>
      <c r="W170">
        <v>6366</v>
      </c>
      <c r="X170">
        <v>6373</v>
      </c>
    </row>
    <row r="171" spans="1:24">
      <c r="A171" s="7" t="s">
        <v>262</v>
      </c>
      <c r="B171" s="16" t="s">
        <v>123</v>
      </c>
      <c r="C171">
        <v>334472969.72572929</v>
      </c>
      <c r="D171">
        <v>321843971.39970273</v>
      </c>
      <c r="E171">
        <v>241767342.34234235</v>
      </c>
      <c r="F171">
        <v>201434954.95495495</v>
      </c>
      <c r="G171">
        <v>58</v>
      </c>
      <c r="H171">
        <v>90</v>
      </c>
      <c r="I171">
        <v>5</v>
      </c>
      <c r="J171">
        <v>2</v>
      </c>
      <c r="K171">
        <v>1</v>
      </c>
      <c r="M171">
        <v>67</v>
      </c>
      <c r="N171">
        <v>115</v>
      </c>
      <c r="O171">
        <v>25222612.612612613</v>
      </c>
      <c r="P171">
        <v>30589684.684684683</v>
      </c>
      <c r="Q171">
        <v>29</v>
      </c>
      <c r="R171">
        <v>34</v>
      </c>
      <c r="S171">
        <v>128423864.86486487</v>
      </c>
      <c r="T171">
        <v>126760063.06306306</v>
      </c>
      <c r="U171">
        <v>20182432.432432432</v>
      </c>
      <c r="V171">
        <v>27233783.783783782</v>
      </c>
      <c r="W171">
        <v>5553</v>
      </c>
      <c r="X171">
        <v>5596</v>
      </c>
    </row>
    <row r="172" spans="1:24">
      <c r="A172" s="7" t="s">
        <v>263</v>
      </c>
      <c r="B172" s="16" t="s">
        <v>123</v>
      </c>
      <c r="C172">
        <v>145174669.77440199</v>
      </c>
      <c r="D172">
        <v>136694830.81336895</v>
      </c>
      <c r="E172">
        <v>700000.00000000198</v>
      </c>
      <c r="F172">
        <v>4365090.0900900932</v>
      </c>
      <c r="G172">
        <v>74</v>
      </c>
      <c r="H172">
        <v>103</v>
      </c>
      <c r="I172">
        <v>9</v>
      </c>
      <c r="J172">
        <v>8</v>
      </c>
      <c r="K172">
        <v>2</v>
      </c>
      <c r="M172">
        <v>264</v>
      </c>
      <c r="N172">
        <v>339</v>
      </c>
      <c r="O172">
        <v>63766576.576576576</v>
      </c>
      <c r="P172">
        <v>60246306.306306303</v>
      </c>
      <c r="Q172">
        <v>270</v>
      </c>
      <c r="R172">
        <v>442</v>
      </c>
      <c r="S172">
        <v>62696747.747747742</v>
      </c>
      <c r="T172">
        <v>57516477.477477483</v>
      </c>
      <c r="U172">
        <v>67471081.081081077</v>
      </c>
      <c r="V172">
        <v>59783783.783783786</v>
      </c>
      <c r="W172">
        <v>2476</v>
      </c>
      <c r="X172">
        <v>2366</v>
      </c>
    </row>
    <row r="173" spans="1:24">
      <c r="A173" s="7" t="s">
        <v>264</v>
      </c>
      <c r="B173" s="16" t="s">
        <v>125</v>
      </c>
      <c r="C173">
        <v>349244681.53840536</v>
      </c>
      <c r="D173">
        <v>344270392.73659807</v>
      </c>
      <c r="E173">
        <v>559009.00900900899</v>
      </c>
      <c r="F173">
        <v>4176576.576576577</v>
      </c>
      <c r="G173">
        <v>53</v>
      </c>
      <c r="H173">
        <v>95</v>
      </c>
      <c r="I173">
        <v>4</v>
      </c>
      <c r="J173">
        <v>5</v>
      </c>
      <c r="M173">
        <v>54</v>
      </c>
      <c r="N173">
        <v>95</v>
      </c>
      <c r="O173">
        <v>40146396.396396399</v>
      </c>
      <c r="P173">
        <v>26013513.513513517</v>
      </c>
      <c r="Q173">
        <v>60</v>
      </c>
      <c r="R173">
        <v>8</v>
      </c>
      <c r="S173">
        <v>119761261.26126127</v>
      </c>
      <c r="T173">
        <v>124324816.21621622</v>
      </c>
      <c r="U173">
        <v>32234594.594594598</v>
      </c>
      <c r="V173">
        <v>27422792.792792793</v>
      </c>
      <c r="W173">
        <v>4383</v>
      </c>
      <c r="X173">
        <v>4277</v>
      </c>
    </row>
    <row r="174" spans="1:24">
      <c r="A174" s="7" t="s">
        <v>265</v>
      </c>
      <c r="B174" s="16" t="s">
        <v>123</v>
      </c>
      <c r="C174">
        <v>349219404.87975883</v>
      </c>
      <c r="D174">
        <v>330564486.85592556</v>
      </c>
      <c r="E174">
        <v>479279.27927927999</v>
      </c>
      <c r="F174">
        <v>2156756.7567567569</v>
      </c>
      <c r="G174">
        <v>88</v>
      </c>
      <c r="H174">
        <v>54</v>
      </c>
      <c r="I174">
        <v>11</v>
      </c>
      <c r="J174">
        <v>7</v>
      </c>
      <c r="K174">
        <v>1</v>
      </c>
      <c r="M174">
        <v>96</v>
      </c>
      <c r="N174">
        <v>57</v>
      </c>
      <c r="O174">
        <v>28490810.810810808</v>
      </c>
      <c r="P174">
        <v>41322432.432432435</v>
      </c>
      <c r="Q174">
        <v>56</v>
      </c>
      <c r="R174">
        <v>57</v>
      </c>
      <c r="S174">
        <v>120715090.0900901</v>
      </c>
      <c r="T174">
        <v>115585111.7117117</v>
      </c>
      <c r="U174">
        <v>29134054.054054052</v>
      </c>
      <c r="V174">
        <v>37001441.441441439</v>
      </c>
      <c r="W174">
        <v>4836</v>
      </c>
      <c r="X174">
        <v>4774</v>
      </c>
    </row>
    <row r="175" spans="1:24">
      <c r="A175" s="7" t="s">
        <v>266</v>
      </c>
      <c r="B175" s="16" t="s">
        <v>123</v>
      </c>
      <c r="C175">
        <v>339662863.68531519</v>
      </c>
      <c r="D175">
        <v>343479320.05536002</v>
      </c>
      <c r="E175">
        <v>2400900.9009009041</v>
      </c>
      <c r="F175">
        <v>3060810.8108108118</v>
      </c>
      <c r="G175">
        <v>49</v>
      </c>
      <c r="H175">
        <v>75</v>
      </c>
      <c r="I175">
        <v>5</v>
      </c>
      <c r="J175">
        <v>9</v>
      </c>
      <c r="M175">
        <v>57</v>
      </c>
      <c r="N175">
        <v>82</v>
      </c>
      <c r="O175">
        <v>45671891.891891889</v>
      </c>
      <c r="P175">
        <v>56382252.252252258</v>
      </c>
      <c r="Q175">
        <v>178</v>
      </c>
      <c r="R175">
        <v>107</v>
      </c>
      <c r="S175">
        <v>133055394.5945946</v>
      </c>
      <c r="T175">
        <v>139596917.11711711</v>
      </c>
      <c r="U175">
        <v>45844324.324324317</v>
      </c>
      <c r="V175">
        <v>55770360.360360362</v>
      </c>
      <c r="W175">
        <v>5440</v>
      </c>
      <c r="X175">
        <v>5456</v>
      </c>
    </row>
    <row r="176" spans="1:24">
      <c r="A176" s="7" t="s">
        <v>267</v>
      </c>
      <c r="B176" s="16" t="s">
        <v>178</v>
      </c>
      <c r="C176">
        <v>1836027011.0116911</v>
      </c>
      <c r="D176">
        <v>1751869297.1644127</v>
      </c>
      <c r="E176">
        <v>1401518463.0630631</v>
      </c>
      <c r="F176">
        <v>1304172987.3873873</v>
      </c>
      <c r="G176">
        <v>932</v>
      </c>
      <c r="H176">
        <v>1005</v>
      </c>
      <c r="I176">
        <v>51</v>
      </c>
      <c r="J176">
        <v>88</v>
      </c>
      <c r="K176">
        <v>7</v>
      </c>
      <c r="M176">
        <v>1314</v>
      </c>
      <c r="N176">
        <v>1665</v>
      </c>
      <c r="O176">
        <v>267299727.02702704</v>
      </c>
      <c r="P176">
        <v>261850473.87387389</v>
      </c>
      <c r="Q176">
        <v>841</v>
      </c>
      <c r="R176">
        <v>1270</v>
      </c>
      <c r="S176">
        <v>525762322.52252251</v>
      </c>
      <c r="T176">
        <v>525114534.23423421</v>
      </c>
      <c r="U176">
        <v>253106486.48648649</v>
      </c>
      <c r="V176">
        <v>231194054.05405405</v>
      </c>
      <c r="W176">
        <v>33138</v>
      </c>
      <c r="X176">
        <v>32234</v>
      </c>
    </row>
    <row r="177" spans="1:24">
      <c r="A177" s="7" t="s">
        <v>268</v>
      </c>
      <c r="B177" s="16" t="s">
        <v>62</v>
      </c>
      <c r="C177">
        <v>273090881.06423324</v>
      </c>
      <c r="D177">
        <v>284537141.38103062</v>
      </c>
      <c r="E177">
        <v>74234549.54954955</v>
      </c>
      <c r="F177">
        <v>200005585.58558559</v>
      </c>
      <c r="G177">
        <v>44</v>
      </c>
      <c r="H177">
        <v>82</v>
      </c>
      <c r="I177">
        <v>19</v>
      </c>
      <c r="J177">
        <v>23</v>
      </c>
      <c r="M177">
        <v>46</v>
      </c>
      <c r="N177">
        <v>89</v>
      </c>
      <c r="O177">
        <v>26492432.432432432</v>
      </c>
      <c r="P177">
        <v>132699819.81981982</v>
      </c>
      <c r="Q177">
        <v>221</v>
      </c>
      <c r="R177">
        <v>139</v>
      </c>
      <c r="S177">
        <v>90739729.729729727</v>
      </c>
      <c r="T177">
        <v>95006126.126126125</v>
      </c>
      <c r="U177">
        <v>27456666.666666664</v>
      </c>
      <c r="V177">
        <v>78379639.639639631</v>
      </c>
      <c r="W177">
        <v>4594</v>
      </c>
      <c r="X177">
        <v>4670</v>
      </c>
    </row>
    <row r="178" spans="1:24">
      <c r="A178" s="7" t="s">
        <v>269</v>
      </c>
      <c r="B178" s="16" t="s">
        <v>70</v>
      </c>
      <c r="C178">
        <v>365309899.21256965</v>
      </c>
      <c r="D178">
        <v>369017889.31116658</v>
      </c>
      <c r="E178">
        <v>4688738.7387387371</v>
      </c>
      <c r="F178">
        <v>6569954.9549549604</v>
      </c>
      <c r="G178">
        <v>175</v>
      </c>
      <c r="H178">
        <v>146</v>
      </c>
      <c r="I178">
        <v>5</v>
      </c>
      <c r="J178">
        <v>31</v>
      </c>
      <c r="K178">
        <v>3</v>
      </c>
      <c r="M178">
        <v>187</v>
      </c>
      <c r="N178">
        <v>433</v>
      </c>
      <c r="O178">
        <v>56398873.873873875</v>
      </c>
      <c r="P178">
        <v>33073873.873873878</v>
      </c>
      <c r="Q178">
        <v>445</v>
      </c>
      <c r="R178">
        <v>197</v>
      </c>
      <c r="S178">
        <v>169497864.86486486</v>
      </c>
      <c r="T178">
        <v>172120117.11711711</v>
      </c>
      <c r="U178">
        <v>56178693.693693697</v>
      </c>
      <c r="V178">
        <v>24330990.990990993</v>
      </c>
      <c r="W178">
        <v>7004</v>
      </c>
      <c r="X178">
        <v>6978</v>
      </c>
    </row>
    <row r="179" spans="1:24">
      <c r="A179" s="7" t="s">
        <v>270</v>
      </c>
      <c r="B179" s="16" t="s">
        <v>134</v>
      </c>
      <c r="C179">
        <v>5572788.2306892574</v>
      </c>
      <c r="D179">
        <v>5277824.1403188324</v>
      </c>
      <c r="G179">
        <v>2</v>
      </c>
      <c r="M179">
        <v>3</v>
      </c>
      <c r="S179">
        <v>238963.96396396399</v>
      </c>
      <c r="T179">
        <v>439369.36936936999</v>
      </c>
      <c r="W179">
        <v>220</v>
      </c>
      <c r="X179">
        <v>215</v>
      </c>
    </row>
    <row r="180" spans="1:24">
      <c r="A180" s="7" t="s">
        <v>271</v>
      </c>
      <c r="B180" s="16" t="s">
        <v>76</v>
      </c>
      <c r="C180">
        <v>177473758.61418736</v>
      </c>
      <c r="D180">
        <v>169556640.77425849</v>
      </c>
      <c r="E180">
        <v>12612.612612613</v>
      </c>
      <c r="F180">
        <v>346846.84684684698</v>
      </c>
      <c r="G180">
        <v>24</v>
      </c>
      <c r="H180">
        <v>20</v>
      </c>
      <c r="I180">
        <v>0</v>
      </c>
      <c r="J180">
        <v>0</v>
      </c>
      <c r="M180">
        <v>26</v>
      </c>
      <c r="N180">
        <v>23</v>
      </c>
      <c r="O180">
        <v>192792.79279279301</v>
      </c>
      <c r="P180">
        <v>436936.93693693698</v>
      </c>
      <c r="S180">
        <v>9926259.4594594594</v>
      </c>
      <c r="T180">
        <v>9937518.0180180185</v>
      </c>
      <c r="U180">
        <v>400900.900900901</v>
      </c>
      <c r="V180">
        <v>334234.23423423403</v>
      </c>
      <c r="W180">
        <v>2329</v>
      </c>
      <c r="X180">
        <v>2425</v>
      </c>
    </row>
    <row r="181" spans="1:24">
      <c r="A181" s="7" t="s">
        <v>272</v>
      </c>
      <c r="B181" s="16" t="s">
        <v>76</v>
      </c>
      <c r="C181">
        <v>64708789.32425274</v>
      </c>
      <c r="D181">
        <v>59992338.330993675</v>
      </c>
      <c r="E181">
        <v>60810.810810811003</v>
      </c>
      <c r="F181">
        <v>182882.88288288401</v>
      </c>
      <c r="G181">
        <v>17</v>
      </c>
      <c r="H181">
        <v>6</v>
      </c>
      <c r="I181">
        <v>1</v>
      </c>
      <c r="J181">
        <v>2</v>
      </c>
      <c r="M181">
        <v>20</v>
      </c>
      <c r="N181">
        <v>8</v>
      </c>
      <c r="O181">
        <v>15677927.927927928</v>
      </c>
      <c r="P181">
        <v>12808288.288288288</v>
      </c>
      <c r="Q181">
        <v>24</v>
      </c>
      <c r="R181">
        <v>23</v>
      </c>
      <c r="S181">
        <v>18442657.657657657</v>
      </c>
      <c r="T181">
        <v>14886270.270270269</v>
      </c>
      <c r="U181">
        <v>12257477.477477478</v>
      </c>
      <c r="V181">
        <v>10366396.396396397</v>
      </c>
      <c r="W181">
        <v>790</v>
      </c>
      <c r="X181">
        <v>804</v>
      </c>
    </row>
    <row r="182" spans="1:24">
      <c r="A182" s="7" t="s">
        <v>273</v>
      </c>
      <c r="B182" s="16" t="s">
        <v>260</v>
      </c>
      <c r="C182">
        <v>1306037156.7390914</v>
      </c>
      <c r="D182">
        <v>1233765848.8039873</v>
      </c>
      <c r="E182">
        <v>14409459.459459463</v>
      </c>
      <c r="F182">
        <v>14931531.531531531</v>
      </c>
      <c r="G182">
        <v>850</v>
      </c>
      <c r="H182">
        <v>475</v>
      </c>
      <c r="I182">
        <v>53</v>
      </c>
      <c r="J182">
        <v>39</v>
      </c>
      <c r="K182">
        <v>1</v>
      </c>
      <c r="M182">
        <v>992</v>
      </c>
      <c r="N182">
        <v>641</v>
      </c>
      <c r="O182">
        <v>210332882.88288289</v>
      </c>
      <c r="P182">
        <v>254773873.87387389</v>
      </c>
      <c r="Q182">
        <v>334</v>
      </c>
      <c r="R182">
        <v>321</v>
      </c>
      <c r="S182">
        <v>382008036.03603601</v>
      </c>
      <c r="T182">
        <v>381076905.4054054</v>
      </c>
      <c r="U182">
        <v>216019459.45945945</v>
      </c>
      <c r="V182">
        <v>224063063.06306309</v>
      </c>
      <c r="W182">
        <v>20328</v>
      </c>
      <c r="X182">
        <v>19121</v>
      </c>
    </row>
    <row r="183" spans="1:24">
      <c r="A183" s="7" t="s">
        <v>676</v>
      </c>
      <c r="B183" s="16" t="s">
        <v>260</v>
      </c>
      <c r="E183">
        <v>556958663.06306303</v>
      </c>
      <c r="F183">
        <v>501259063.06306303</v>
      </c>
      <c r="O183">
        <v>13692567.567567568</v>
      </c>
      <c r="P183">
        <v>64521846.846846849</v>
      </c>
    </row>
    <row r="184" spans="1:24">
      <c r="A184" s="7" t="s">
        <v>274</v>
      </c>
      <c r="B184" s="16" t="s">
        <v>260</v>
      </c>
      <c r="C184">
        <v>305882689.48426539</v>
      </c>
      <c r="D184">
        <v>276231734.06699967</v>
      </c>
      <c r="E184">
        <v>3434234.2342342348</v>
      </c>
      <c r="F184">
        <v>1492117.1171171181</v>
      </c>
      <c r="G184">
        <v>29</v>
      </c>
      <c r="H184">
        <v>15</v>
      </c>
      <c r="I184">
        <v>7</v>
      </c>
      <c r="J184">
        <v>3</v>
      </c>
      <c r="M184">
        <v>29</v>
      </c>
      <c r="N184">
        <v>19</v>
      </c>
      <c r="O184">
        <v>17933333.333333332</v>
      </c>
      <c r="P184">
        <v>20318468.468468469</v>
      </c>
      <c r="Q184">
        <v>120</v>
      </c>
      <c r="R184">
        <v>108</v>
      </c>
      <c r="S184">
        <v>56961864.864864863</v>
      </c>
      <c r="T184">
        <v>56188630.630630635</v>
      </c>
      <c r="U184">
        <v>17115945.945945948</v>
      </c>
      <c r="V184">
        <v>16702072.07207207</v>
      </c>
      <c r="W184">
        <v>3868</v>
      </c>
      <c r="X184">
        <v>3810</v>
      </c>
    </row>
    <row r="185" spans="1:24">
      <c r="A185" s="7" t="s">
        <v>275</v>
      </c>
      <c r="B185" s="16" t="s">
        <v>260</v>
      </c>
      <c r="C185">
        <v>318512318.36346436</v>
      </c>
      <c r="D185">
        <v>307513319.28762716</v>
      </c>
      <c r="E185">
        <v>6792702.702702702</v>
      </c>
      <c r="F185">
        <v>9950990.9909909889</v>
      </c>
      <c r="G185">
        <v>193</v>
      </c>
      <c r="H185">
        <v>218</v>
      </c>
      <c r="I185">
        <v>14</v>
      </c>
      <c r="J185">
        <v>8</v>
      </c>
      <c r="K185">
        <v>1</v>
      </c>
      <c r="M185">
        <v>195</v>
      </c>
      <c r="N185">
        <v>227</v>
      </c>
      <c r="O185">
        <v>53768468.468468465</v>
      </c>
      <c r="P185">
        <v>60156756.75675676</v>
      </c>
      <c r="Q185">
        <v>445</v>
      </c>
      <c r="R185">
        <v>268</v>
      </c>
      <c r="S185">
        <v>74540045.045045033</v>
      </c>
      <c r="T185">
        <v>74259837.837837845</v>
      </c>
      <c r="U185">
        <v>53877837.837837838</v>
      </c>
      <c r="V185">
        <v>55434594.594594598</v>
      </c>
      <c r="W185">
        <v>5783</v>
      </c>
      <c r="X185">
        <v>6012</v>
      </c>
    </row>
    <row r="186" spans="1:24">
      <c r="A186" s="7" t="s">
        <v>276</v>
      </c>
      <c r="B186" s="16" t="s">
        <v>134</v>
      </c>
      <c r="C186">
        <v>369450328.64562875</v>
      </c>
      <c r="D186">
        <v>379105774.09352994</v>
      </c>
      <c r="E186">
        <v>31531.531531532</v>
      </c>
      <c r="F186">
        <v>2290990.9909909922</v>
      </c>
      <c r="G186">
        <v>56</v>
      </c>
      <c r="H186">
        <v>75</v>
      </c>
      <c r="I186">
        <v>4</v>
      </c>
      <c r="J186">
        <v>6</v>
      </c>
      <c r="M186">
        <v>58</v>
      </c>
      <c r="N186">
        <v>81</v>
      </c>
      <c r="O186">
        <v>16337837.837837838</v>
      </c>
      <c r="P186">
        <v>18058558.558558561</v>
      </c>
      <c r="Q186">
        <v>20</v>
      </c>
      <c r="S186">
        <v>33682684.684684686</v>
      </c>
      <c r="T186">
        <v>35201400.9009009</v>
      </c>
      <c r="U186">
        <v>10456306.306306306</v>
      </c>
      <c r="V186">
        <v>9280990.9909909926</v>
      </c>
      <c r="W186">
        <v>5014</v>
      </c>
      <c r="X186">
        <v>5700</v>
      </c>
    </row>
    <row r="187" spans="1:24">
      <c r="A187" s="7" t="s">
        <v>277</v>
      </c>
      <c r="B187" s="16" t="s">
        <v>169</v>
      </c>
      <c r="C187">
        <v>301087896.75880212</v>
      </c>
      <c r="D187">
        <v>224693626.47969294</v>
      </c>
      <c r="E187">
        <v>1263063.063063063</v>
      </c>
      <c r="F187">
        <v>1592792.7927927929</v>
      </c>
      <c r="G187">
        <v>62</v>
      </c>
      <c r="H187">
        <v>54</v>
      </c>
      <c r="I187">
        <v>1</v>
      </c>
      <c r="J187">
        <v>1</v>
      </c>
      <c r="M187">
        <v>68</v>
      </c>
      <c r="N187">
        <v>58</v>
      </c>
      <c r="O187">
        <v>25753801.801801804</v>
      </c>
      <c r="P187">
        <v>18757207.207207207</v>
      </c>
      <c r="Q187">
        <v>16</v>
      </c>
      <c r="R187">
        <v>19</v>
      </c>
      <c r="S187">
        <v>123280072.07207206</v>
      </c>
      <c r="T187">
        <v>102970295.04504503</v>
      </c>
      <c r="U187">
        <v>20344324.324324325</v>
      </c>
      <c r="V187">
        <v>14853243.243243244</v>
      </c>
      <c r="W187">
        <v>3408</v>
      </c>
      <c r="X187">
        <v>3431</v>
      </c>
    </row>
    <row r="188" spans="1:24">
      <c r="A188" s="7" t="s">
        <v>278</v>
      </c>
      <c r="B188" s="16" t="s">
        <v>169</v>
      </c>
      <c r="C188">
        <v>136315201.72846439</v>
      </c>
      <c r="D188">
        <v>134076821.97811939</v>
      </c>
      <c r="E188">
        <v>900.900900901</v>
      </c>
      <c r="F188">
        <v>10810.810810810999</v>
      </c>
      <c r="G188">
        <v>9</v>
      </c>
      <c r="H188">
        <v>20</v>
      </c>
      <c r="M188">
        <v>9</v>
      </c>
      <c r="N188">
        <v>21</v>
      </c>
      <c r="O188">
        <v>6786503.6036036042</v>
      </c>
      <c r="P188">
        <v>7881644.1441441439</v>
      </c>
      <c r="S188">
        <v>52945234.234234229</v>
      </c>
      <c r="T188">
        <v>58748400.9009009</v>
      </c>
      <c r="U188">
        <v>5850090.0900900904</v>
      </c>
      <c r="V188">
        <v>6668828.8288288293</v>
      </c>
      <c r="W188">
        <v>2059</v>
      </c>
      <c r="X188">
        <v>2084</v>
      </c>
    </row>
    <row r="189" spans="1:24">
      <c r="A189" s="7" t="s">
        <v>279</v>
      </c>
      <c r="B189" s="16" t="s">
        <v>87</v>
      </c>
      <c r="C189">
        <v>3398247.3025463382</v>
      </c>
      <c r="D189">
        <v>3130227.2545619258</v>
      </c>
      <c r="E189">
        <v>4504504.5045045046</v>
      </c>
      <c r="F189">
        <v>14954954.954954956</v>
      </c>
      <c r="G189">
        <v>4</v>
      </c>
      <c r="H189">
        <v>6</v>
      </c>
      <c r="M189">
        <v>5</v>
      </c>
      <c r="N189">
        <v>7</v>
      </c>
      <c r="O189">
        <v>341891.89189189201</v>
      </c>
      <c r="P189">
        <v>29729.729729729999</v>
      </c>
      <c r="S189">
        <v>1644142.342342342</v>
      </c>
      <c r="T189">
        <v>1263432.432432432</v>
      </c>
      <c r="W189">
        <v>207</v>
      </c>
      <c r="X189">
        <v>195</v>
      </c>
    </row>
    <row r="190" spans="1:24">
      <c r="A190" s="7" t="s">
        <v>280</v>
      </c>
      <c r="B190" s="16" t="s">
        <v>169</v>
      </c>
      <c r="C190">
        <v>231841975.34188688</v>
      </c>
      <c r="D190">
        <v>219489746.36205775</v>
      </c>
      <c r="E190">
        <v>572805180.18018019</v>
      </c>
      <c r="F190">
        <v>972742117.11711705</v>
      </c>
      <c r="G190">
        <v>57</v>
      </c>
      <c r="H190">
        <v>43</v>
      </c>
      <c r="I190">
        <v>11</v>
      </c>
      <c r="J190">
        <v>3</v>
      </c>
      <c r="M190">
        <v>63</v>
      </c>
      <c r="N190">
        <v>45</v>
      </c>
      <c r="O190">
        <v>33796319.819819823</v>
      </c>
      <c r="P190">
        <v>39141081.081081077</v>
      </c>
      <c r="Q190">
        <v>116</v>
      </c>
      <c r="R190">
        <v>95</v>
      </c>
      <c r="S190">
        <v>91395945.945945948</v>
      </c>
      <c r="T190">
        <v>87140414.414414421</v>
      </c>
      <c r="U190">
        <v>26352432.432432432</v>
      </c>
      <c r="V190">
        <v>28871214.414414417</v>
      </c>
      <c r="W190">
        <v>4177</v>
      </c>
      <c r="X190">
        <v>4019</v>
      </c>
    </row>
    <row r="191" spans="1:24">
      <c r="A191" s="7" t="s">
        <v>672</v>
      </c>
      <c r="B191" s="16" t="s">
        <v>143</v>
      </c>
      <c r="F191">
        <v>102522522.52252252</v>
      </c>
      <c r="O191">
        <v>458108.10810810799</v>
      </c>
      <c r="P191">
        <v>972972.97297297302</v>
      </c>
    </row>
    <row r="192" spans="1:24">
      <c r="A192" s="7" t="s">
        <v>281</v>
      </c>
      <c r="B192" s="16" t="s">
        <v>54</v>
      </c>
      <c r="C192">
        <v>176389239.85412037</v>
      </c>
      <c r="D192">
        <v>168481357.34872147</v>
      </c>
      <c r="E192">
        <v>630855.85585585795</v>
      </c>
      <c r="F192">
        <v>2570270.2702702722</v>
      </c>
      <c r="G192">
        <v>56</v>
      </c>
      <c r="H192">
        <v>64</v>
      </c>
      <c r="I192">
        <v>13</v>
      </c>
      <c r="J192">
        <v>14</v>
      </c>
      <c r="K192">
        <v>3</v>
      </c>
      <c r="M192">
        <v>62</v>
      </c>
      <c r="N192">
        <v>74</v>
      </c>
      <c r="O192">
        <v>17777927.927927926</v>
      </c>
      <c r="P192">
        <v>20068468.468468469</v>
      </c>
      <c r="Q192">
        <v>116</v>
      </c>
      <c r="R192">
        <v>60</v>
      </c>
      <c r="S192">
        <v>37312639.639639638</v>
      </c>
      <c r="T192">
        <v>36558810.810810804</v>
      </c>
      <c r="U192">
        <v>17411531.531531531</v>
      </c>
      <c r="V192">
        <v>19063963.963963963</v>
      </c>
      <c r="W192">
        <v>3907</v>
      </c>
      <c r="X192">
        <v>3640</v>
      </c>
    </row>
    <row r="193" spans="1:24">
      <c r="A193" s="7" t="s">
        <v>282</v>
      </c>
      <c r="B193" s="16" t="s">
        <v>283</v>
      </c>
      <c r="C193">
        <v>283916347.34927672</v>
      </c>
      <c r="D193">
        <v>246500228.28840607</v>
      </c>
      <c r="E193">
        <v>1859909.909909911</v>
      </c>
      <c r="F193">
        <v>418018.01801801799</v>
      </c>
      <c r="G193">
        <v>27</v>
      </c>
      <c r="H193">
        <v>124</v>
      </c>
      <c r="I193">
        <v>5</v>
      </c>
      <c r="J193">
        <v>3</v>
      </c>
      <c r="M193">
        <v>27</v>
      </c>
      <c r="N193">
        <v>141</v>
      </c>
      <c r="O193">
        <v>8427477.4774774779</v>
      </c>
      <c r="P193">
        <v>11475675.675675675</v>
      </c>
      <c r="Q193">
        <v>8</v>
      </c>
      <c r="R193">
        <v>6</v>
      </c>
      <c r="S193">
        <v>34225855.855855852</v>
      </c>
      <c r="T193">
        <v>37377108.108108103</v>
      </c>
      <c r="U193">
        <v>9070540.5405405425</v>
      </c>
      <c r="V193">
        <v>11372702.702702701</v>
      </c>
      <c r="W193">
        <v>3456</v>
      </c>
      <c r="X193">
        <v>3322</v>
      </c>
    </row>
    <row r="194" spans="1:24">
      <c r="A194" s="7" t="s">
        <v>284</v>
      </c>
      <c r="B194" s="16" t="s">
        <v>283</v>
      </c>
      <c r="C194">
        <v>461617257.79868817</v>
      </c>
      <c r="D194">
        <v>472194529.40750605</v>
      </c>
      <c r="E194">
        <v>1663738.738738741</v>
      </c>
      <c r="F194">
        <v>3998648.6486486481</v>
      </c>
      <c r="G194">
        <v>173</v>
      </c>
      <c r="H194">
        <v>115</v>
      </c>
      <c r="I194">
        <v>13</v>
      </c>
      <c r="J194">
        <v>22</v>
      </c>
      <c r="K194">
        <v>1</v>
      </c>
      <c r="M194">
        <v>233</v>
      </c>
      <c r="N194">
        <v>180</v>
      </c>
      <c r="O194">
        <v>53581531.531531535</v>
      </c>
      <c r="P194">
        <v>56390810.810810804</v>
      </c>
      <c r="Q194">
        <v>54</v>
      </c>
      <c r="R194">
        <v>154</v>
      </c>
      <c r="S194">
        <v>94114369.369369373</v>
      </c>
      <c r="T194">
        <v>99640198.198198199</v>
      </c>
      <c r="U194">
        <v>46196396.396396391</v>
      </c>
      <c r="V194">
        <v>51322342.342342347</v>
      </c>
      <c r="W194">
        <v>8096</v>
      </c>
      <c r="X194">
        <v>8031</v>
      </c>
    </row>
    <row r="195" spans="1:24">
      <c r="A195" s="7" t="s">
        <v>285</v>
      </c>
      <c r="B195" s="16" t="s">
        <v>283</v>
      </c>
      <c r="C195">
        <v>246971573.56194353</v>
      </c>
      <c r="D195">
        <v>250417192.13729179</v>
      </c>
      <c r="E195">
        <v>1866666.6666666691</v>
      </c>
      <c r="F195">
        <v>2257567.5675675659</v>
      </c>
      <c r="G195">
        <v>45</v>
      </c>
      <c r="H195">
        <v>55</v>
      </c>
      <c r="I195">
        <v>15</v>
      </c>
      <c r="J195">
        <v>10</v>
      </c>
      <c r="M195">
        <v>56</v>
      </c>
      <c r="N195">
        <v>103</v>
      </c>
      <c r="O195">
        <v>62219819.819819815</v>
      </c>
      <c r="P195">
        <v>62270090.090090089</v>
      </c>
      <c r="Q195">
        <v>45</v>
      </c>
      <c r="R195">
        <v>88</v>
      </c>
      <c r="S195">
        <v>78082144.144144148</v>
      </c>
      <c r="T195">
        <v>77664666.666666672</v>
      </c>
      <c r="U195">
        <v>54903963.963963963</v>
      </c>
      <c r="V195">
        <v>56252792.79279279</v>
      </c>
      <c r="W195">
        <v>4720</v>
      </c>
      <c r="X195">
        <v>4717</v>
      </c>
    </row>
    <row r="196" spans="1:24">
      <c r="A196" s="7" t="s">
        <v>286</v>
      </c>
      <c r="B196" s="16" t="s">
        <v>283</v>
      </c>
      <c r="C196">
        <v>178600920.56712818</v>
      </c>
      <c r="D196">
        <v>188564230.12337431</v>
      </c>
      <c r="E196">
        <v>162837.83783783799</v>
      </c>
      <c r="F196">
        <v>758558.55855855905</v>
      </c>
      <c r="G196">
        <v>27</v>
      </c>
      <c r="H196">
        <v>15</v>
      </c>
      <c r="I196">
        <v>6</v>
      </c>
      <c r="J196">
        <v>4</v>
      </c>
      <c r="M196">
        <v>29</v>
      </c>
      <c r="N196">
        <v>17</v>
      </c>
      <c r="O196">
        <v>9088288.2882882878</v>
      </c>
      <c r="P196">
        <v>32575855.855855856</v>
      </c>
      <c r="Q196">
        <v>120</v>
      </c>
      <c r="R196">
        <v>31</v>
      </c>
      <c r="S196">
        <v>29839351.351351351</v>
      </c>
      <c r="T196">
        <v>35392864.864864863</v>
      </c>
      <c r="U196">
        <v>9190090.0900900923</v>
      </c>
      <c r="V196">
        <v>32849099.0990991</v>
      </c>
      <c r="W196">
        <v>2483</v>
      </c>
      <c r="X196">
        <v>2552</v>
      </c>
    </row>
    <row r="197" spans="1:24">
      <c r="A197" s="7" t="s">
        <v>287</v>
      </c>
      <c r="B197" s="16" t="s">
        <v>283</v>
      </c>
      <c r="C197">
        <v>91967312.793395996</v>
      </c>
      <c r="D197">
        <v>93661283.537452146</v>
      </c>
      <c r="E197">
        <v>82882.882882883001</v>
      </c>
      <c r="F197">
        <v>538738.73873874103</v>
      </c>
      <c r="G197">
        <v>3</v>
      </c>
      <c r="H197">
        <v>1</v>
      </c>
      <c r="I197">
        <v>2</v>
      </c>
      <c r="J197">
        <v>3</v>
      </c>
      <c r="M197">
        <v>3</v>
      </c>
      <c r="N197">
        <v>2</v>
      </c>
      <c r="O197">
        <v>82882.882882883001</v>
      </c>
      <c r="P197">
        <v>12962162.162162162</v>
      </c>
      <c r="Q197">
        <v>2</v>
      </c>
      <c r="R197">
        <v>2</v>
      </c>
      <c r="S197">
        <v>15438828.828828828</v>
      </c>
      <c r="T197">
        <v>16576594.594594596</v>
      </c>
      <c r="U197">
        <v>13063.063063063</v>
      </c>
      <c r="V197">
        <v>13716756.756756756</v>
      </c>
      <c r="W197">
        <v>1322</v>
      </c>
      <c r="X197">
        <v>1421</v>
      </c>
    </row>
    <row r="198" spans="1:24">
      <c r="A198" s="7" t="s">
        <v>288</v>
      </c>
      <c r="B198" s="16" t="s">
        <v>283</v>
      </c>
      <c r="C198">
        <v>15710063.782071343</v>
      </c>
      <c r="D198">
        <v>14936544.192587564</v>
      </c>
      <c r="E198">
        <v>5180.1801801800002</v>
      </c>
      <c r="F198">
        <v>393693.69369369402</v>
      </c>
      <c r="G198">
        <v>6</v>
      </c>
      <c r="M198">
        <v>6</v>
      </c>
      <c r="O198">
        <v>1694594.594594595</v>
      </c>
      <c r="P198">
        <v>19871171.171171173</v>
      </c>
      <c r="Q198">
        <v>68</v>
      </c>
      <c r="R198">
        <v>98</v>
      </c>
      <c r="S198">
        <v>2348819.8198198201</v>
      </c>
      <c r="T198">
        <v>2510864.8648648649</v>
      </c>
      <c r="U198">
        <v>1689189.1891891891</v>
      </c>
      <c r="V198">
        <v>19748648.648648649</v>
      </c>
      <c r="W198">
        <v>287</v>
      </c>
      <c r="X198">
        <v>327</v>
      </c>
    </row>
    <row r="199" spans="1:24">
      <c r="A199" s="7" t="s">
        <v>289</v>
      </c>
      <c r="B199" s="16" t="s">
        <v>290</v>
      </c>
      <c r="C199">
        <v>193929832.77752286</v>
      </c>
      <c r="D199">
        <v>185532282.31886235</v>
      </c>
      <c r="E199">
        <v>35135.135135135999</v>
      </c>
      <c r="F199">
        <v>142342.34234234301</v>
      </c>
      <c r="G199">
        <v>62</v>
      </c>
      <c r="H199">
        <v>46</v>
      </c>
      <c r="I199">
        <v>2</v>
      </c>
      <c r="J199">
        <v>2</v>
      </c>
      <c r="M199">
        <v>69</v>
      </c>
      <c r="N199">
        <v>51</v>
      </c>
      <c r="O199">
        <v>2611711.7117117122</v>
      </c>
      <c r="P199">
        <v>648648.64864864899</v>
      </c>
      <c r="Q199">
        <v>17</v>
      </c>
      <c r="R199">
        <v>5</v>
      </c>
      <c r="S199">
        <v>17678327.927927926</v>
      </c>
      <c r="T199">
        <v>17208686.486486487</v>
      </c>
      <c r="U199">
        <v>2035585.5855855851</v>
      </c>
      <c r="V199">
        <v>1352702.702702703</v>
      </c>
      <c r="W199">
        <v>4190</v>
      </c>
      <c r="X199">
        <v>4251</v>
      </c>
    </row>
    <row r="200" spans="1:24">
      <c r="A200" s="7" t="s">
        <v>291</v>
      </c>
      <c r="B200" s="16" t="s">
        <v>147</v>
      </c>
      <c r="C200">
        <v>448193679.26129162</v>
      </c>
      <c r="D200">
        <v>448757255.02671051</v>
      </c>
      <c r="E200">
        <v>132822291.89189188</v>
      </c>
      <c r="F200">
        <v>452475148.64864862</v>
      </c>
      <c r="G200">
        <v>131</v>
      </c>
      <c r="H200">
        <v>112</v>
      </c>
      <c r="I200">
        <v>14</v>
      </c>
      <c r="J200">
        <v>8</v>
      </c>
      <c r="K200">
        <v>2</v>
      </c>
      <c r="M200">
        <v>334</v>
      </c>
      <c r="N200">
        <v>230</v>
      </c>
      <c r="O200">
        <v>125416036.03603603</v>
      </c>
      <c r="P200">
        <v>195826902.7027027</v>
      </c>
      <c r="Q200">
        <v>308</v>
      </c>
      <c r="R200">
        <v>286</v>
      </c>
      <c r="S200">
        <v>162641486.48648649</v>
      </c>
      <c r="T200">
        <v>174250918.91891891</v>
      </c>
      <c r="U200">
        <v>116995585.58558558</v>
      </c>
      <c r="V200">
        <v>161048288.2882883</v>
      </c>
      <c r="W200">
        <v>7552</v>
      </c>
      <c r="X200">
        <v>7733</v>
      </c>
    </row>
    <row r="201" spans="1:24">
      <c r="A201" s="7" t="s">
        <v>292</v>
      </c>
      <c r="B201" s="16" t="s">
        <v>293</v>
      </c>
      <c r="C201">
        <v>230031385.63776103</v>
      </c>
      <c r="D201">
        <v>218621925.70662159</v>
      </c>
      <c r="E201">
        <v>108700585.58558558</v>
      </c>
      <c r="F201">
        <v>92853063.063063055</v>
      </c>
      <c r="G201">
        <v>33</v>
      </c>
      <c r="H201">
        <v>29</v>
      </c>
      <c r="I201">
        <v>17</v>
      </c>
      <c r="J201">
        <v>14</v>
      </c>
      <c r="M201">
        <v>43</v>
      </c>
      <c r="N201">
        <v>39</v>
      </c>
      <c r="O201">
        <v>73563693.693693697</v>
      </c>
      <c r="P201">
        <v>51212342.342342339</v>
      </c>
      <c r="Q201">
        <v>355</v>
      </c>
      <c r="R201">
        <v>50</v>
      </c>
      <c r="S201">
        <v>28705576.576576576</v>
      </c>
      <c r="T201">
        <v>29927189.189189192</v>
      </c>
      <c r="U201">
        <v>73672522.522522524</v>
      </c>
      <c r="V201">
        <v>51873603.603603601</v>
      </c>
      <c r="W201">
        <v>3538</v>
      </c>
      <c r="X201">
        <v>3448</v>
      </c>
    </row>
    <row r="202" spans="1:24">
      <c r="A202" s="7" t="s">
        <v>294</v>
      </c>
      <c r="B202" s="16" t="s">
        <v>290</v>
      </c>
      <c r="C202">
        <v>61489636.003630295</v>
      </c>
      <c r="D202">
        <v>49450017.384494647</v>
      </c>
      <c r="E202">
        <v>846846.84684684698</v>
      </c>
      <c r="F202">
        <v>1112612.6126126121</v>
      </c>
      <c r="G202">
        <v>21</v>
      </c>
      <c r="H202">
        <v>8</v>
      </c>
      <c r="I202">
        <v>2</v>
      </c>
      <c r="J202">
        <v>2</v>
      </c>
      <c r="M202">
        <v>22</v>
      </c>
      <c r="N202">
        <v>8</v>
      </c>
      <c r="O202">
        <v>3693693.6936936942</v>
      </c>
      <c r="P202">
        <v>2960360.3603603598</v>
      </c>
      <c r="Q202">
        <v>10</v>
      </c>
      <c r="R202">
        <v>5</v>
      </c>
      <c r="S202">
        <v>6464774.7747747749</v>
      </c>
      <c r="T202">
        <v>6764052.2522522509</v>
      </c>
      <c r="U202">
        <v>2651621.6216216218</v>
      </c>
      <c r="V202">
        <v>2611981.981981982</v>
      </c>
      <c r="W202">
        <v>1074</v>
      </c>
      <c r="X202">
        <v>1244</v>
      </c>
    </row>
    <row r="203" spans="1:24">
      <c r="A203" s="7" t="s">
        <v>295</v>
      </c>
      <c r="B203" s="16" t="s">
        <v>52</v>
      </c>
      <c r="C203">
        <v>633742692.36774147</v>
      </c>
      <c r="D203">
        <v>625870754.25234222</v>
      </c>
      <c r="E203">
        <v>5068191.8918918949</v>
      </c>
      <c r="F203">
        <v>8722522.5225225277</v>
      </c>
      <c r="G203">
        <v>144</v>
      </c>
      <c r="H203">
        <v>360</v>
      </c>
      <c r="I203">
        <v>16</v>
      </c>
      <c r="J203">
        <v>16</v>
      </c>
      <c r="K203">
        <v>6</v>
      </c>
      <c r="M203">
        <v>1221</v>
      </c>
      <c r="N203">
        <v>569</v>
      </c>
      <c r="O203">
        <v>480001584.68468469</v>
      </c>
      <c r="P203">
        <v>313921441.44144148</v>
      </c>
      <c r="Q203">
        <v>367</v>
      </c>
      <c r="R203">
        <v>562</v>
      </c>
      <c r="S203">
        <v>173247774.77477479</v>
      </c>
      <c r="T203">
        <v>170166097.2972973</v>
      </c>
      <c r="U203">
        <v>469173918.91891891</v>
      </c>
      <c r="V203">
        <v>326062432.43243247</v>
      </c>
      <c r="W203">
        <v>12389</v>
      </c>
      <c r="X203">
        <v>11846</v>
      </c>
    </row>
    <row r="204" spans="1:24">
      <c r="A204" s="7" t="s">
        <v>296</v>
      </c>
      <c r="B204" s="16" t="s">
        <v>169</v>
      </c>
      <c r="C204">
        <v>199709641.91927251</v>
      </c>
      <c r="D204">
        <v>167184011.92447808</v>
      </c>
      <c r="E204">
        <v>3603.603603604</v>
      </c>
      <c r="F204">
        <v>127027.027027028</v>
      </c>
      <c r="G204">
        <v>24</v>
      </c>
      <c r="H204">
        <v>22</v>
      </c>
      <c r="I204">
        <v>0</v>
      </c>
      <c r="J204">
        <v>0</v>
      </c>
      <c r="K204">
        <v>1</v>
      </c>
      <c r="M204">
        <v>29</v>
      </c>
      <c r="N204">
        <v>30</v>
      </c>
      <c r="O204">
        <v>11003603.603603603</v>
      </c>
      <c r="P204">
        <v>13244144.144144144</v>
      </c>
      <c r="R204">
        <v>1</v>
      </c>
      <c r="S204">
        <v>39142270.270270273</v>
      </c>
      <c r="T204">
        <v>37415801.801801801</v>
      </c>
      <c r="U204">
        <v>10163243.243243244</v>
      </c>
      <c r="V204">
        <v>11858018.01801802</v>
      </c>
      <c r="W204">
        <v>4132</v>
      </c>
      <c r="X204">
        <v>4656</v>
      </c>
    </row>
    <row r="205" spans="1:24">
      <c r="A205" s="7" t="s">
        <v>297</v>
      </c>
      <c r="B205" s="16" t="s">
        <v>169</v>
      </c>
      <c r="C205">
        <v>200852065.26795262</v>
      </c>
      <c r="D205">
        <v>231587359.25237861</v>
      </c>
      <c r="E205">
        <v>900.900900901</v>
      </c>
      <c r="F205">
        <v>742909.90990991099</v>
      </c>
      <c r="G205">
        <v>17</v>
      </c>
      <c r="H205">
        <v>38</v>
      </c>
      <c r="J205">
        <v>0</v>
      </c>
      <c r="M205">
        <v>17</v>
      </c>
      <c r="N205">
        <v>47</v>
      </c>
      <c r="O205">
        <v>996428080.18018019</v>
      </c>
      <c r="P205">
        <v>1841397702.7027025</v>
      </c>
      <c r="S205">
        <v>72788054.054054052</v>
      </c>
      <c r="T205">
        <v>82138657.657657668</v>
      </c>
      <c r="U205">
        <v>994325254.05405402</v>
      </c>
      <c r="V205">
        <v>1831344407.2072072</v>
      </c>
      <c r="W205">
        <v>2882</v>
      </c>
      <c r="X205">
        <v>2852</v>
      </c>
    </row>
    <row r="206" spans="1:24">
      <c r="A206" s="7" t="s">
        <v>298</v>
      </c>
      <c r="B206" s="16" t="s">
        <v>89</v>
      </c>
      <c r="C206">
        <v>739732530.44560504</v>
      </c>
      <c r="D206">
        <v>722269143.00893378</v>
      </c>
      <c r="E206">
        <v>2085000.0000000109</v>
      </c>
      <c r="F206">
        <v>10540406.306306312</v>
      </c>
      <c r="G206">
        <v>91</v>
      </c>
      <c r="H206">
        <v>147</v>
      </c>
      <c r="I206">
        <v>49</v>
      </c>
      <c r="J206">
        <v>37</v>
      </c>
      <c r="K206">
        <v>2</v>
      </c>
      <c r="M206">
        <v>99</v>
      </c>
      <c r="N206">
        <v>305</v>
      </c>
      <c r="O206">
        <v>43034054.054054059</v>
      </c>
      <c r="P206">
        <v>52384988.288288288</v>
      </c>
      <c r="Q206">
        <v>379</v>
      </c>
      <c r="R206">
        <v>374</v>
      </c>
      <c r="S206">
        <v>133749279.27927928</v>
      </c>
      <c r="T206">
        <v>140000819.81981984</v>
      </c>
      <c r="U206">
        <v>41981981.981981978</v>
      </c>
      <c r="V206">
        <v>54725945.945945948</v>
      </c>
      <c r="W206">
        <v>10615</v>
      </c>
      <c r="X206">
        <v>11099</v>
      </c>
    </row>
    <row r="207" spans="1:24">
      <c r="A207" s="7" t="s">
        <v>299</v>
      </c>
      <c r="B207" s="16" t="s">
        <v>134</v>
      </c>
      <c r="C207">
        <v>382508987.66977316</v>
      </c>
      <c r="D207">
        <v>396186143.17468387</v>
      </c>
      <c r="E207">
        <v>2649774.7747747819</v>
      </c>
      <c r="F207">
        <v>3909909.9099099119</v>
      </c>
      <c r="G207">
        <v>164</v>
      </c>
      <c r="H207">
        <v>85</v>
      </c>
      <c r="I207">
        <v>37</v>
      </c>
      <c r="J207">
        <v>12</v>
      </c>
      <c r="M207">
        <v>232</v>
      </c>
      <c r="N207">
        <v>105</v>
      </c>
      <c r="O207">
        <v>38662162.162162162</v>
      </c>
      <c r="P207">
        <v>29833333.333333336</v>
      </c>
      <c r="Q207">
        <v>311</v>
      </c>
      <c r="R207">
        <v>233</v>
      </c>
      <c r="S207">
        <v>51743475.675675675</v>
      </c>
      <c r="T207">
        <v>50137495.495495498</v>
      </c>
      <c r="U207">
        <v>32963827.02702703</v>
      </c>
      <c r="V207">
        <v>24903603.603603601</v>
      </c>
      <c r="W207">
        <v>7079</v>
      </c>
      <c r="X207">
        <v>6946</v>
      </c>
    </row>
    <row r="208" spans="1:24">
      <c r="A208" s="7" t="s">
        <v>300</v>
      </c>
      <c r="B208" s="16" t="s">
        <v>290</v>
      </c>
      <c r="C208">
        <v>290043566.83454841</v>
      </c>
      <c r="D208">
        <v>269785657.33513469</v>
      </c>
      <c r="E208">
        <v>1120270.2702702719</v>
      </c>
      <c r="F208">
        <v>4776576.5765765766</v>
      </c>
      <c r="G208">
        <v>136</v>
      </c>
      <c r="H208">
        <v>82</v>
      </c>
      <c r="I208">
        <v>21</v>
      </c>
      <c r="J208">
        <v>19</v>
      </c>
      <c r="M208">
        <v>144</v>
      </c>
      <c r="N208">
        <v>91</v>
      </c>
      <c r="O208">
        <v>31680630.630630631</v>
      </c>
      <c r="P208">
        <v>43478385.585585587</v>
      </c>
      <c r="Q208">
        <v>206</v>
      </c>
      <c r="R208">
        <v>197</v>
      </c>
      <c r="S208">
        <v>40040990.990990989</v>
      </c>
      <c r="T208">
        <v>37925455.855855852</v>
      </c>
      <c r="U208">
        <v>27694774.774774775</v>
      </c>
      <c r="V208">
        <v>41779369.369369365</v>
      </c>
      <c r="W208">
        <v>4450</v>
      </c>
      <c r="X208">
        <v>4313</v>
      </c>
    </row>
    <row r="209" spans="1:24">
      <c r="A209" s="7" t="s">
        <v>301</v>
      </c>
      <c r="B209" s="16" t="s">
        <v>80</v>
      </c>
      <c r="C209">
        <v>429388099.13305813</v>
      </c>
      <c r="D209">
        <v>397165774.085944</v>
      </c>
      <c r="E209">
        <v>1359909.909909911</v>
      </c>
      <c r="F209">
        <v>4706081.081081083</v>
      </c>
      <c r="G209">
        <v>129</v>
      </c>
      <c r="H209">
        <v>69</v>
      </c>
      <c r="I209">
        <v>11</v>
      </c>
      <c r="J209">
        <v>16</v>
      </c>
      <c r="M209">
        <v>138</v>
      </c>
      <c r="N209">
        <v>78</v>
      </c>
      <c r="O209">
        <v>38154684.684684679</v>
      </c>
      <c r="P209">
        <v>61069729.729729727</v>
      </c>
      <c r="Q209">
        <v>228</v>
      </c>
      <c r="R209">
        <v>155</v>
      </c>
      <c r="S209">
        <v>93242436.936936945</v>
      </c>
      <c r="T209">
        <v>83938781.981981978</v>
      </c>
      <c r="U209">
        <v>36649369.369369373</v>
      </c>
      <c r="V209">
        <v>56374504.504504502</v>
      </c>
      <c r="W209">
        <v>5744</v>
      </c>
      <c r="X209">
        <v>5750</v>
      </c>
    </row>
    <row r="210" spans="1:24">
      <c r="A210" s="7" t="s">
        <v>302</v>
      </c>
      <c r="B210" s="16" t="s">
        <v>72</v>
      </c>
      <c r="C210">
        <v>599244032.16985607</v>
      </c>
      <c r="D210">
        <v>592613109.12709451</v>
      </c>
      <c r="E210">
        <v>215315.315315318</v>
      </c>
      <c r="F210">
        <v>1776576.5765765789</v>
      </c>
      <c r="G210">
        <v>94</v>
      </c>
      <c r="H210">
        <v>138</v>
      </c>
      <c r="I210">
        <v>19</v>
      </c>
      <c r="J210">
        <v>17</v>
      </c>
      <c r="K210">
        <v>3</v>
      </c>
      <c r="M210">
        <v>100</v>
      </c>
      <c r="N210">
        <v>151</v>
      </c>
      <c r="O210">
        <v>38449549.54954955</v>
      </c>
      <c r="P210">
        <v>36378378.378378376</v>
      </c>
      <c r="Q210">
        <v>77</v>
      </c>
      <c r="R210">
        <v>63</v>
      </c>
      <c r="S210">
        <v>79812918.918918908</v>
      </c>
      <c r="T210">
        <v>86258477.477477476</v>
      </c>
      <c r="U210">
        <v>31347927.927927926</v>
      </c>
      <c r="V210">
        <v>29993783.783783782</v>
      </c>
      <c r="W210">
        <v>9150</v>
      </c>
      <c r="X210">
        <v>9082</v>
      </c>
    </row>
    <row r="211" spans="1:24">
      <c r="A211" s="7" t="s">
        <v>303</v>
      </c>
      <c r="B211" s="16" t="s">
        <v>304</v>
      </c>
      <c r="C211">
        <v>1916077.426051707</v>
      </c>
      <c r="D211">
        <v>2052942.5018515419</v>
      </c>
      <c r="E211">
        <v>11711711.711711712</v>
      </c>
      <c r="F211">
        <v>9009009.0090090074</v>
      </c>
      <c r="P211">
        <v>44594.594594595001</v>
      </c>
      <c r="S211">
        <v>863738.73873873905</v>
      </c>
      <c r="T211">
        <v>725315.31531531503</v>
      </c>
      <c r="W211">
        <v>69</v>
      </c>
      <c r="X211">
        <v>72</v>
      </c>
    </row>
    <row r="212" spans="1:24">
      <c r="A212" s="7" t="s">
        <v>305</v>
      </c>
      <c r="B212" s="16" t="s">
        <v>117</v>
      </c>
      <c r="C212">
        <v>91284151.566714853</v>
      </c>
      <c r="D212">
        <v>78851696.353191063</v>
      </c>
      <c r="E212">
        <v>16216.216216217999</v>
      </c>
      <c r="F212">
        <v>309909.90990990802</v>
      </c>
      <c r="G212">
        <v>16</v>
      </c>
      <c r="H212">
        <v>31</v>
      </c>
      <c r="I212">
        <v>6</v>
      </c>
      <c r="J212">
        <v>6</v>
      </c>
      <c r="M212">
        <v>19</v>
      </c>
      <c r="N212">
        <v>40</v>
      </c>
      <c r="O212">
        <v>4828018.0180180185</v>
      </c>
      <c r="P212">
        <v>3285045.0450450461</v>
      </c>
      <c r="Q212">
        <v>66</v>
      </c>
      <c r="R212">
        <v>21</v>
      </c>
      <c r="S212">
        <v>36777882.882882878</v>
      </c>
      <c r="T212">
        <v>33675045.045045041</v>
      </c>
      <c r="U212">
        <v>4583693.6936936928</v>
      </c>
      <c r="V212">
        <v>3561441.4414414419</v>
      </c>
      <c r="W212">
        <v>1815</v>
      </c>
      <c r="X212">
        <v>1909</v>
      </c>
    </row>
    <row r="213" spans="1:24">
      <c r="A213" s="7" t="s">
        <v>306</v>
      </c>
      <c r="B213" s="16" t="s">
        <v>307</v>
      </c>
      <c r="C213">
        <v>100444755.39840798</v>
      </c>
      <c r="D213">
        <v>98307555.496157214</v>
      </c>
      <c r="E213">
        <v>43243.243243243996</v>
      </c>
      <c r="F213">
        <v>392792.79279279598</v>
      </c>
      <c r="G213">
        <v>51</v>
      </c>
      <c r="H213">
        <v>49</v>
      </c>
      <c r="J213">
        <v>0</v>
      </c>
      <c r="M213">
        <v>59</v>
      </c>
      <c r="N213">
        <v>60</v>
      </c>
      <c r="O213">
        <v>1545225.2252252239</v>
      </c>
      <c r="P213">
        <v>1361261.2612612641</v>
      </c>
      <c r="Q213">
        <v>35</v>
      </c>
      <c r="R213">
        <v>24</v>
      </c>
      <c r="S213">
        <v>50419630.630630635</v>
      </c>
      <c r="T213">
        <v>52886117.117117122</v>
      </c>
      <c r="U213">
        <v>1379009.0090090081</v>
      </c>
      <c r="V213">
        <v>1285945.945945946</v>
      </c>
      <c r="W213">
        <v>4390</v>
      </c>
      <c r="X213">
        <v>4414</v>
      </c>
    </row>
    <row r="214" spans="1:24">
      <c r="A214" s="7" t="s">
        <v>308</v>
      </c>
      <c r="B214" s="16" t="s">
        <v>140</v>
      </c>
      <c r="C214">
        <v>625971086.39586377</v>
      </c>
      <c r="D214">
        <v>635348215.30060852</v>
      </c>
      <c r="E214">
        <v>1242702.702702705</v>
      </c>
      <c r="F214">
        <v>3770270.2702702759</v>
      </c>
      <c r="G214">
        <v>45</v>
      </c>
      <c r="H214">
        <v>98</v>
      </c>
      <c r="I214">
        <v>13</v>
      </c>
      <c r="J214">
        <v>18</v>
      </c>
      <c r="M214">
        <v>58</v>
      </c>
      <c r="N214">
        <v>122</v>
      </c>
      <c r="O214">
        <v>106015945.94594595</v>
      </c>
      <c r="P214">
        <v>119112162.16216215</v>
      </c>
      <c r="Q214">
        <v>66</v>
      </c>
      <c r="R214">
        <v>270</v>
      </c>
      <c r="S214">
        <v>133850673.87387387</v>
      </c>
      <c r="T214">
        <v>140218617.11711711</v>
      </c>
      <c r="U214">
        <v>67872432.432432428</v>
      </c>
      <c r="V214">
        <v>67385315.315315321</v>
      </c>
      <c r="W214">
        <v>8024</v>
      </c>
      <c r="X214">
        <v>8119</v>
      </c>
    </row>
    <row r="215" spans="1:24">
      <c r="A215" s="7" t="s">
        <v>309</v>
      </c>
      <c r="B215" s="16" t="s">
        <v>132</v>
      </c>
      <c r="C215">
        <v>734197242.28760529</v>
      </c>
      <c r="D215">
        <v>632499255.52643025</v>
      </c>
      <c r="E215">
        <v>75583681.081081092</v>
      </c>
      <c r="F215">
        <v>59042487.387387395</v>
      </c>
      <c r="G215">
        <v>230</v>
      </c>
      <c r="H215">
        <v>184</v>
      </c>
      <c r="I215">
        <v>5</v>
      </c>
      <c r="J215">
        <v>3</v>
      </c>
      <c r="M215">
        <v>257</v>
      </c>
      <c r="N215">
        <v>203</v>
      </c>
      <c r="O215">
        <v>48830405.40540541</v>
      </c>
      <c r="P215">
        <v>33329729.729729731</v>
      </c>
      <c r="Q215">
        <v>112</v>
      </c>
      <c r="R215">
        <v>47</v>
      </c>
      <c r="S215">
        <v>190232819.81981981</v>
      </c>
      <c r="T215">
        <v>170458693.6936937</v>
      </c>
      <c r="U215">
        <v>40819594.59459459</v>
      </c>
      <c r="V215">
        <v>20692522.522522524</v>
      </c>
      <c r="W215">
        <v>11674</v>
      </c>
      <c r="X215">
        <v>12254</v>
      </c>
    </row>
    <row r="216" spans="1:24">
      <c r="A216" s="7" t="s">
        <v>310</v>
      </c>
      <c r="B216" s="16" t="s">
        <v>72</v>
      </c>
      <c r="C216">
        <v>1077905518.3943324</v>
      </c>
      <c r="D216">
        <v>1012348157.2626302</v>
      </c>
      <c r="E216">
        <v>2873288.2882882981</v>
      </c>
      <c r="F216">
        <v>7752927.9279279327</v>
      </c>
      <c r="G216">
        <v>247</v>
      </c>
      <c r="H216">
        <v>245</v>
      </c>
      <c r="I216">
        <v>53</v>
      </c>
      <c r="J216">
        <v>59</v>
      </c>
      <c r="K216">
        <v>1</v>
      </c>
      <c r="M216">
        <v>278</v>
      </c>
      <c r="N216">
        <v>286</v>
      </c>
      <c r="O216">
        <v>153831351.35135135</v>
      </c>
      <c r="P216">
        <v>149142342.34234235</v>
      </c>
      <c r="Q216">
        <v>248</v>
      </c>
      <c r="R216">
        <v>195</v>
      </c>
      <c r="S216">
        <v>260373232.43243244</v>
      </c>
      <c r="T216">
        <v>255304239.63963965</v>
      </c>
      <c r="U216">
        <v>135748108.1081081</v>
      </c>
      <c r="V216">
        <v>131460763.96396396</v>
      </c>
      <c r="W216">
        <v>17136</v>
      </c>
      <c r="X216">
        <v>16486</v>
      </c>
    </row>
    <row r="217" spans="1:24">
      <c r="A217" s="7" t="s">
        <v>311</v>
      </c>
      <c r="B217" s="16" t="s">
        <v>62</v>
      </c>
      <c r="C217">
        <v>187734471.13603944</v>
      </c>
      <c r="D217">
        <v>181135758.49190751</v>
      </c>
      <c r="E217">
        <v>376767710.8108108</v>
      </c>
      <c r="F217">
        <v>612400139.63963974</v>
      </c>
      <c r="G217">
        <v>26</v>
      </c>
      <c r="H217">
        <v>18</v>
      </c>
      <c r="I217">
        <v>8</v>
      </c>
      <c r="J217">
        <v>6</v>
      </c>
      <c r="M217">
        <v>31</v>
      </c>
      <c r="N217">
        <v>19</v>
      </c>
      <c r="O217">
        <v>81626887.387387395</v>
      </c>
      <c r="P217">
        <v>94743598.198198199</v>
      </c>
      <c r="Q217">
        <v>119</v>
      </c>
      <c r="R217">
        <v>52</v>
      </c>
      <c r="S217">
        <v>50933054.054054059</v>
      </c>
      <c r="T217">
        <v>49119666.666666664</v>
      </c>
      <c r="U217">
        <v>34317927.927927926</v>
      </c>
      <c r="V217">
        <v>30430900.900900904</v>
      </c>
      <c r="W217">
        <v>2233</v>
      </c>
      <c r="X217">
        <v>2346</v>
      </c>
    </row>
    <row r="218" spans="1:24">
      <c r="A218" s="7" t="s">
        <v>312</v>
      </c>
      <c r="B218" s="16" t="s">
        <v>89</v>
      </c>
      <c r="C218">
        <v>61346229.867480218</v>
      </c>
      <c r="D218">
        <v>62264978.550707318</v>
      </c>
      <c r="E218">
        <v>44144.144144145997</v>
      </c>
      <c r="F218">
        <v>1034234.234234233</v>
      </c>
      <c r="G218">
        <v>11</v>
      </c>
      <c r="H218">
        <v>16</v>
      </c>
      <c r="I218">
        <v>8</v>
      </c>
      <c r="J218">
        <v>14</v>
      </c>
      <c r="M218">
        <v>13</v>
      </c>
      <c r="N218">
        <v>22</v>
      </c>
      <c r="O218">
        <v>4072522.5225225212</v>
      </c>
      <c r="P218">
        <v>8680720.7207207214</v>
      </c>
      <c r="Q218">
        <v>52</v>
      </c>
      <c r="R218">
        <v>111</v>
      </c>
      <c r="S218">
        <v>18100090.090090089</v>
      </c>
      <c r="T218">
        <v>21072054.054054055</v>
      </c>
      <c r="U218">
        <v>3487387.3873873842</v>
      </c>
      <c r="V218">
        <v>9031531.5315315314</v>
      </c>
      <c r="W218">
        <v>1109</v>
      </c>
      <c r="X218">
        <v>1195</v>
      </c>
    </row>
    <row r="219" spans="1:24">
      <c r="A219" s="7" t="s">
        <v>313</v>
      </c>
      <c r="B219" s="16" t="s">
        <v>92</v>
      </c>
      <c r="C219">
        <v>28118236.011425517</v>
      </c>
      <c r="D219">
        <v>27656082.522932839</v>
      </c>
      <c r="E219">
        <v>40947747.747747742</v>
      </c>
      <c r="F219">
        <v>61720720.720720723</v>
      </c>
      <c r="G219">
        <v>5</v>
      </c>
      <c r="H219">
        <v>4</v>
      </c>
      <c r="I219">
        <v>1</v>
      </c>
      <c r="J219">
        <v>0</v>
      </c>
      <c r="M219">
        <v>6</v>
      </c>
      <c r="N219">
        <v>5</v>
      </c>
      <c r="O219">
        <v>7661711.7117117122</v>
      </c>
      <c r="P219">
        <v>5182432.4324324317</v>
      </c>
      <c r="Q219">
        <v>1</v>
      </c>
      <c r="S219">
        <v>2063153.1531531529</v>
      </c>
      <c r="T219">
        <v>2008918.9189189191</v>
      </c>
      <c r="U219">
        <v>27027.027027027001</v>
      </c>
      <c r="V219">
        <v>1361261.2612612611</v>
      </c>
      <c r="W219">
        <v>659</v>
      </c>
      <c r="X219">
        <v>549</v>
      </c>
    </row>
    <row r="220" spans="1:24">
      <c r="A220" s="7" t="s">
        <v>314</v>
      </c>
      <c r="B220" s="16" t="s">
        <v>315</v>
      </c>
      <c r="C220">
        <v>224270994.57335362</v>
      </c>
      <c r="D220">
        <v>208687909.11381471</v>
      </c>
      <c r="E220">
        <v>913513.51351351303</v>
      </c>
      <c r="F220">
        <v>855405.40540540498</v>
      </c>
      <c r="G220">
        <v>66</v>
      </c>
      <c r="H220">
        <v>48</v>
      </c>
      <c r="I220">
        <v>1</v>
      </c>
      <c r="J220">
        <v>5</v>
      </c>
      <c r="M220">
        <v>74</v>
      </c>
      <c r="N220">
        <v>54</v>
      </c>
      <c r="O220">
        <v>16890090.090090089</v>
      </c>
      <c r="P220">
        <v>24770270.270270273</v>
      </c>
      <c r="S220">
        <v>35907090.090090089</v>
      </c>
      <c r="T220">
        <v>32315259.459459461</v>
      </c>
      <c r="U220">
        <v>12657027.027027026</v>
      </c>
      <c r="V220">
        <v>24663063.063063063</v>
      </c>
      <c r="W220">
        <v>3472</v>
      </c>
      <c r="X220">
        <v>3394</v>
      </c>
    </row>
    <row r="221" spans="1:24">
      <c r="A221" s="7" t="s">
        <v>316</v>
      </c>
      <c r="B221" s="16" t="s">
        <v>62</v>
      </c>
      <c r="C221">
        <v>351702633.37461209</v>
      </c>
      <c r="D221">
        <v>354030101.51238358</v>
      </c>
      <c r="E221">
        <v>1342792.7927927971</v>
      </c>
      <c r="F221">
        <v>7077477.4774774816</v>
      </c>
      <c r="G221">
        <v>74</v>
      </c>
      <c r="H221">
        <v>208</v>
      </c>
      <c r="I221">
        <v>16</v>
      </c>
      <c r="J221">
        <v>16</v>
      </c>
      <c r="K221">
        <v>1</v>
      </c>
      <c r="M221">
        <v>105</v>
      </c>
      <c r="N221">
        <v>288</v>
      </c>
      <c r="O221">
        <v>24089729.729729727</v>
      </c>
      <c r="P221">
        <v>56805765.765765771</v>
      </c>
      <c r="Q221">
        <v>204</v>
      </c>
      <c r="R221">
        <v>177</v>
      </c>
      <c r="S221">
        <v>123353504.50450452</v>
      </c>
      <c r="T221">
        <v>124894756.75675675</v>
      </c>
      <c r="U221">
        <v>25008108.108108103</v>
      </c>
      <c r="V221">
        <v>54326126.126126118</v>
      </c>
      <c r="W221">
        <v>8735</v>
      </c>
      <c r="X221">
        <v>8755</v>
      </c>
    </row>
    <row r="222" spans="1:24">
      <c r="A222" s="7" t="s">
        <v>317</v>
      </c>
      <c r="B222" s="16" t="s">
        <v>62</v>
      </c>
      <c r="C222">
        <v>352917256.7966724</v>
      </c>
      <c r="D222">
        <v>329177887.83446521</v>
      </c>
      <c r="E222">
        <v>1169819.8198198229</v>
      </c>
      <c r="F222">
        <v>3572072.0720720752</v>
      </c>
      <c r="G222">
        <v>110</v>
      </c>
      <c r="H222">
        <v>60</v>
      </c>
      <c r="I222">
        <v>19</v>
      </c>
      <c r="J222">
        <v>14</v>
      </c>
      <c r="K222">
        <v>2</v>
      </c>
      <c r="M222">
        <v>145</v>
      </c>
      <c r="N222">
        <v>69</v>
      </c>
      <c r="O222">
        <v>37430540.540540546</v>
      </c>
      <c r="P222">
        <v>48963603.603603609</v>
      </c>
      <c r="Q222">
        <v>24</v>
      </c>
      <c r="R222">
        <v>120</v>
      </c>
      <c r="S222">
        <v>119148108.10810812</v>
      </c>
      <c r="T222">
        <v>114101864.86486487</v>
      </c>
      <c r="U222">
        <v>37986846.846846849</v>
      </c>
      <c r="V222">
        <v>45383513.513513513</v>
      </c>
      <c r="W222">
        <v>5607</v>
      </c>
      <c r="X222">
        <v>5556</v>
      </c>
    </row>
    <row r="223" spans="1:24">
      <c r="A223" s="7" t="s">
        <v>318</v>
      </c>
      <c r="B223" s="16" t="s">
        <v>78</v>
      </c>
      <c r="C223">
        <v>366634835.36959767</v>
      </c>
      <c r="D223">
        <v>344011675.2304588</v>
      </c>
      <c r="E223">
        <v>3653918.9189189211</v>
      </c>
      <c r="F223">
        <v>6479954.9549549576</v>
      </c>
      <c r="G223">
        <v>142</v>
      </c>
      <c r="H223">
        <v>207</v>
      </c>
      <c r="I223">
        <v>18</v>
      </c>
      <c r="J223">
        <v>27</v>
      </c>
      <c r="M223">
        <v>161</v>
      </c>
      <c r="N223">
        <v>263</v>
      </c>
      <c r="O223">
        <v>72033693.693693697</v>
      </c>
      <c r="P223">
        <v>88950900.9009009</v>
      </c>
      <c r="Q223">
        <v>175</v>
      </c>
      <c r="R223">
        <v>231</v>
      </c>
      <c r="S223">
        <v>155633693.6936937</v>
      </c>
      <c r="T223">
        <v>149066878.37837836</v>
      </c>
      <c r="U223">
        <v>72245855.855855852</v>
      </c>
      <c r="V223">
        <v>90246846.846846849</v>
      </c>
      <c r="W223">
        <v>8854</v>
      </c>
      <c r="X223">
        <v>8791</v>
      </c>
    </row>
    <row r="224" spans="1:24">
      <c r="A224" s="7" t="s">
        <v>319</v>
      </c>
      <c r="B224" s="16" t="s">
        <v>78</v>
      </c>
      <c r="C224">
        <v>217092361.30256686</v>
      </c>
      <c r="D224">
        <v>208803540.38929692</v>
      </c>
      <c r="E224">
        <v>2904684.6846846859</v>
      </c>
      <c r="F224">
        <v>3832432.4324324331</v>
      </c>
      <c r="G224">
        <v>88</v>
      </c>
      <c r="H224">
        <v>112</v>
      </c>
      <c r="I224">
        <v>1</v>
      </c>
      <c r="J224">
        <v>5</v>
      </c>
      <c r="K224">
        <v>2</v>
      </c>
      <c r="M224">
        <v>137</v>
      </c>
      <c r="N224">
        <v>212</v>
      </c>
      <c r="O224">
        <v>22053333.333333332</v>
      </c>
      <c r="P224">
        <v>18868468.468468469</v>
      </c>
      <c r="Q224">
        <v>149</v>
      </c>
      <c r="R224">
        <v>145</v>
      </c>
      <c r="S224">
        <v>76354025.225225225</v>
      </c>
      <c r="T224">
        <v>77712540.540540546</v>
      </c>
      <c r="U224">
        <v>21013963.963963963</v>
      </c>
      <c r="V224">
        <v>17166396.396396399</v>
      </c>
      <c r="W224">
        <v>5691</v>
      </c>
      <c r="X224">
        <v>5914</v>
      </c>
    </row>
    <row r="225" spans="1:24">
      <c r="A225" s="7" t="s">
        <v>320</v>
      </c>
      <c r="B225" s="16" t="s">
        <v>121</v>
      </c>
      <c r="C225">
        <v>1520914.398369377</v>
      </c>
      <c r="D225">
        <v>1607254.1069911299</v>
      </c>
      <c r="G225">
        <v>3</v>
      </c>
      <c r="M225">
        <v>3</v>
      </c>
      <c r="N225">
        <v>1</v>
      </c>
      <c r="S225">
        <v>564459.45945945894</v>
      </c>
      <c r="T225">
        <v>211351.35135135101</v>
      </c>
      <c r="W225">
        <v>85</v>
      </c>
      <c r="X225">
        <v>92</v>
      </c>
    </row>
    <row r="226" spans="1:24">
      <c r="A226" s="7" t="s">
        <v>321</v>
      </c>
      <c r="B226" s="16" t="s">
        <v>224</v>
      </c>
      <c r="C226">
        <v>272307071.55328983</v>
      </c>
      <c r="D226">
        <v>237959984.40049922</v>
      </c>
      <c r="E226">
        <v>1801.801801802</v>
      </c>
      <c r="F226">
        <v>69369.369369370004</v>
      </c>
      <c r="G226">
        <v>57</v>
      </c>
      <c r="H226">
        <v>57</v>
      </c>
      <c r="I226">
        <v>1</v>
      </c>
      <c r="J226">
        <v>1</v>
      </c>
      <c r="M226">
        <v>63</v>
      </c>
      <c r="N226">
        <v>61</v>
      </c>
      <c r="O226">
        <v>18005945.945945945</v>
      </c>
      <c r="P226">
        <v>10652432.432432432</v>
      </c>
      <c r="Q226">
        <v>51</v>
      </c>
      <c r="R226">
        <v>51</v>
      </c>
      <c r="S226">
        <v>99395495.495495483</v>
      </c>
      <c r="T226">
        <v>95445385.585585579</v>
      </c>
      <c r="U226">
        <v>18522522.52252252</v>
      </c>
      <c r="V226">
        <v>10401081.081081081</v>
      </c>
      <c r="W226">
        <v>3919</v>
      </c>
      <c r="X226">
        <v>4066</v>
      </c>
    </row>
    <row r="227" spans="1:24">
      <c r="A227" s="7" t="s">
        <v>322</v>
      </c>
      <c r="B227" s="16" t="s">
        <v>224</v>
      </c>
      <c r="C227">
        <v>196592968.22323048</v>
      </c>
      <c r="D227">
        <v>169569790.39476249</v>
      </c>
      <c r="E227">
        <v>305405.40540540701</v>
      </c>
      <c r="F227">
        <v>90990.990990992999</v>
      </c>
      <c r="G227">
        <v>27</v>
      </c>
      <c r="H227">
        <v>13</v>
      </c>
      <c r="I227">
        <v>5</v>
      </c>
      <c r="J227">
        <v>0</v>
      </c>
      <c r="M227">
        <v>28</v>
      </c>
      <c r="N227">
        <v>15</v>
      </c>
      <c r="O227">
        <v>29330990.990990993</v>
      </c>
      <c r="P227">
        <v>19459639.639639638</v>
      </c>
      <c r="Q227">
        <v>57</v>
      </c>
      <c r="R227">
        <v>105</v>
      </c>
      <c r="S227">
        <v>56010990.990990989</v>
      </c>
      <c r="T227">
        <v>51011648.648648649</v>
      </c>
      <c r="U227">
        <v>22609459.459459461</v>
      </c>
      <c r="V227">
        <v>14553693.693693694</v>
      </c>
      <c r="W227">
        <v>2236</v>
      </c>
      <c r="X227">
        <v>2290</v>
      </c>
    </row>
    <row r="228" spans="1:24">
      <c r="A228" s="7" t="s">
        <v>323</v>
      </c>
      <c r="B228" s="16" t="s">
        <v>78</v>
      </c>
      <c r="C228">
        <v>264273883.84784734</v>
      </c>
      <c r="D228">
        <v>258021904.98232555</v>
      </c>
      <c r="E228">
        <v>792342.34234234295</v>
      </c>
      <c r="F228">
        <v>1448648.648648652</v>
      </c>
      <c r="G228">
        <v>105</v>
      </c>
      <c r="H228">
        <v>152</v>
      </c>
      <c r="I228">
        <v>12</v>
      </c>
      <c r="J228">
        <v>12</v>
      </c>
      <c r="M228">
        <v>115</v>
      </c>
      <c r="N228">
        <v>181</v>
      </c>
      <c r="O228">
        <v>27499549.54954955</v>
      </c>
      <c r="P228">
        <v>26809009.009009011</v>
      </c>
      <c r="Q228">
        <v>183</v>
      </c>
      <c r="R228">
        <v>145</v>
      </c>
      <c r="S228">
        <v>75021274.774774775</v>
      </c>
      <c r="T228">
        <v>76395144.144144148</v>
      </c>
      <c r="U228">
        <v>24922252.252252251</v>
      </c>
      <c r="V228">
        <v>26397297.297297295</v>
      </c>
      <c r="W228">
        <v>4642</v>
      </c>
      <c r="X228">
        <v>4630</v>
      </c>
    </row>
    <row r="229" spans="1:24">
      <c r="A229" s="7" t="s">
        <v>324</v>
      </c>
      <c r="B229" s="16" t="s">
        <v>108</v>
      </c>
      <c r="C229">
        <v>1676981122.180254</v>
      </c>
      <c r="D229">
        <v>1636849775.4138238</v>
      </c>
      <c r="E229">
        <v>2016478363.0630631</v>
      </c>
      <c r="F229">
        <v>1829857172.9729731</v>
      </c>
      <c r="G229">
        <v>361</v>
      </c>
      <c r="H229">
        <v>508</v>
      </c>
      <c r="I229">
        <v>35</v>
      </c>
      <c r="J229">
        <v>64</v>
      </c>
      <c r="K229">
        <v>1</v>
      </c>
      <c r="M229">
        <v>618</v>
      </c>
      <c r="N229">
        <v>921</v>
      </c>
      <c r="O229">
        <v>659079369.36936939</v>
      </c>
      <c r="P229">
        <v>591140090.09009016</v>
      </c>
      <c r="Q229">
        <v>1184</v>
      </c>
      <c r="R229">
        <v>2528</v>
      </c>
      <c r="S229">
        <v>389347662.16216218</v>
      </c>
      <c r="T229">
        <v>753980810.8108108</v>
      </c>
      <c r="U229">
        <v>173506036.03603604</v>
      </c>
      <c r="V229">
        <v>139540540.54054055</v>
      </c>
      <c r="W229">
        <v>22175</v>
      </c>
      <c r="X229">
        <v>22293</v>
      </c>
    </row>
    <row r="230" spans="1:24">
      <c r="A230" s="7" t="s">
        <v>325</v>
      </c>
      <c r="B230" s="16" t="s">
        <v>224</v>
      </c>
      <c r="C230">
        <v>261718677.83291662</v>
      </c>
      <c r="D230">
        <v>235758066.80057609</v>
      </c>
      <c r="E230">
        <v>559099.09909909801</v>
      </c>
      <c r="F230">
        <v>725225.22522522602</v>
      </c>
      <c r="G230">
        <v>49</v>
      </c>
      <c r="H230">
        <v>39</v>
      </c>
      <c r="I230">
        <v>4</v>
      </c>
      <c r="J230">
        <v>2</v>
      </c>
      <c r="M230">
        <v>53</v>
      </c>
      <c r="N230">
        <v>41</v>
      </c>
      <c r="O230">
        <v>28272612.612612613</v>
      </c>
      <c r="P230">
        <v>19287027.027027026</v>
      </c>
      <c r="Q230">
        <v>19</v>
      </c>
      <c r="S230">
        <v>52689972.972972974</v>
      </c>
      <c r="T230">
        <v>49988990.990990989</v>
      </c>
      <c r="U230">
        <v>25640990.990990993</v>
      </c>
      <c r="V230">
        <v>19169909.909909908</v>
      </c>
      <c r="W230">
        <v>4277</v>
      </c>
      <c r="X230">
        <v>4377</v>
      </c>
    </row>
    <row r="231" spans="1:24">
      <c r="A231" s="7" t="s">
        <v>4</v>
      </c>
      <c r="B231" s="16" t="s">
        <v>158</v>
      </c>
      <c r="C231">
        <v>202995848.59471661</v>
      </c>
      <c r="D231">
        <v>206907562.04500735</v>
      </c>
      <c r="E231">
        <v>1290990.990990991</v>
      </c>
      <c r="F231">
        <v>3161261.2612612639</v>
      </c>
      <c r="G231">
        <v>15</v>
      </c>
      <c r="H231">
        <v>19</v>
      </c>
      <c r="I231">
        <v>11</v>
      </c>
      <c r="J231">
        <v>3</v>
      </c>
      <c r="M231">
        <v>18</v>
      </c>
      <c r="N231">
        <v>22</v>
      </c>
      <c r="O231">
        <v>32396846.846846849</v>
      </c>
      <c r="P231">
        <v>33007207.207207207</v>
      </c>
      <c r="Q231">
        <v>125</v>
      </c>
      <c r="R231">
        <v>102</v>
      </c>
      <c r="S231">
        <v>76566486.48648648</v>
      </c>
      <c r="T231">
        <v>74035567.567567572</v>
      </c>
      <c r="U231">
        <v>34955675.675675675</v>
      </c>
      <c r="V231">
        <v>41556126.126126125</v>
      </c>
      <c r="W231">
        <v>3417</v>
      </c>
      <c r="X231">
        <v>3654</v>
      </c>
    </row>
    <row r="232" spans="1:24">
      <c r="A232" s="7" t="s">
        <v>34</v>
      </c>
      <c r="B232" s="16" t="s">
        <v>193</v>
      </c>
      <c r="E232">
        <v>388912493.6936937</v>
      </c>
      <c r="F232">
        <v>403343690.0900901</v>
      </c>
      <c r="O232">
        <v>2816441.441441441</v>
      </c>
      <c r="P232">
        <v>606081.08108108095</v>
      </c>
    </row>
    <row r="233" spans="1:24">
      <c r="A233" s="7" t="s">
        <v>326</v>
      </c>
      <c r="B233" s="16" t="s">
        <v>108</v>
      </c>
      <c r="C233">
        <v>973401391.75970423</v>
      </c>
      <c r="D233">
        <v>972582317.40810609</v>
      </c>
      <c r="E233">
        <v>868595090.990991</v>
      </c>
      <c r="F233">
        <v>112665290.990991</v>
      </c>
      <c r="G233">
        <v>377</v>
      </c>
      <c r="H233">
        <v>531</v>
      </c>
      <c r="I233">
        <v>47</v>
      </c>
      <c r="J233">
        <v>44</v>
      </c>
      <c r="M233">
        <v>655</v>
      </c>
      <c r="N233">
        <v>1426</v>
      </c>
      <c r="O233">
        <v>667933774.77477479</v>
      </c>
      <c r="P233">
        <v>607115336.93693697</v>
      </c>
      <c r="Q233">
        <v>1557</v>
      </c>
      <c r="R233">
        <v>1608</v>
      </c>
      <c r="S233">
        <v>287987612.61261261</v>
      </c>
      <c r="T233">
        <v>298713173.42342341</v>
      </c>
      <c r="U233">
        <v>171478828.82882884</v>
      </c>
      <c r="V233">
        <v>134596576.57657659</v>
      </c>
      <c r="W233">
        <v>20418</v>
      </c>
      <c r="X233">
        <v>20214</v>
      </c>
    </row>
    <row r="234" spans="1:24">
      <c r="A234" s="7" t="s">
        <v>327</v>
      </c>
      <c r="B234" s="16" t="s">
        <v>78</v>
      </c>
      <c r="C234">
        <v>101608814.8016421</v>
      </c>
      <c r="D234">
        <v>102604439.8770255</v>
      </c>
      <c r="E234">
        <v>160360.36036036001</v>
      </c>
      <c r="F234">
        <v>649549.54954955203</v>
      </c>
      <c r="G234">
        <v>43</v>
      </c>
      <c r="H234">
        <v>33</v>
      </c>
      <c r="I234">
        <v>3</v>
      </c>
      <c r="J234">
        <v>6</v>
      </c>
      <c r="M234">
        <v>43</v>
      </c>
      <c r="N234">
        <v>39</v>
      </c>
      <c r="O234">
        <v>8520720.7207207195</v>
      </c>
      <c r="P234">
        <v>8217117.1171171172</v>
      </c>
      <c r="Q234">
        <v>43</v>
      </c>
      <c r="R234">
        <v>62</v>
      </c>
      <c r="S234">
        <v>31105540.540540539</v>
      </c>
      <c r="T234">
        <v>31884081.081081081</v>
      </c>
      <c r="U234">
        <v>7895225.2252252242</v>
      </c>
      <c r="V234">
        <v>8528198.1981981974</v>
      </c>
      <c r="W234">
        <v>1999</v>
      </c>
      <c r="X234">
        <v>2098</v>
      </c>
    </row>
    <row r="235" spans="1:24">
      <c r="A235" s="7" t="s">
        <v>328</v>
      </c>
      <c r="B235" s="16" t="s">
        <v>121</v>
      </c>
      <c r="C235">
        <v>280495166.14926398</v>
      </c>
      <c r="D235">
        <v>259717328.82340729</v>
      </c>
      <c r="E235">
        <v>462162.16216216102</v>
      </c>
      <c r="F235">
        <v>2455180.1801801799</v>
      </c>
      <c r="G235">
        <v>99</v>
      </c>
      <c r="H235">
        <v>79</v>
      </c>
      <c r="I235">
        <v>15</v>
      </c>
      <c r="J235">
        <v>8</v>
      </c>
      <c r="M235">
        <v>109</v>
      </c>
      <c r="N235">
        <v>86</v>
      </c>
      <c r="O235">
        <v>16365765.765765766</v>
      </c>
      <c r="P235">
        <v>24598198.198198199</v>
      </c>
      <c r="Q235">
        <v>78</v>
      </c>
      <c r="R235">
        <v>152</v>
      </c>
      <c r="S235">
        <v>39945592.79279279</v>
      </c>
      <c r="T235">
        <v>40688559.459459454</v>
      </c>
      <c r="U235">
        <v>13014144.144144144</v>
      </c>
      <c r="V235">
        <v>17705315.315315314</v>
      </c>
      <c r="W235">
        <v>3678</v>
      </c>
      <c r="X235">
        <v>4132</v>
      </c>
    </row>
    <row r="236" spans="1:24">
      <c r="A236" s="7" t="s">
        <v>329</v>
      </c>
      <c r="B236" s="16" t="s">
        <v>330</v>
      </c>
      <c r="C236">
        <v>659683821.25709486</v>
      </c>
      <c r="D236">
        <v>637050490.84515107</v>
      </c>
      <c r="E236">
        <v>3886261.261261262</v>
      </c>
      <c r="F236">
        <v>9831531.5315315276</v>
      </c>
      <c r="G236">
        <v>311</v>
      </c>
      <c r="H236">
        <v>239</v>
      </c>
      <c r="I236">
        <v>22</v>
      </c>
      <c r="J236">
        <v>25</v>
      </c>
      <c r="K236">
        <v>12</v>
      </c>
      <c r="M236">
        <v>413</v>
      </c>
      <c r="N236">
        <v>396</v>
      </c>
      <c r="O236">
        <v>119694504.50450452</v>
      </c>
      <c r="P236">
        <v>91094594.594594598</v>
      </c>
      <c r="Q236">
        <v>444</v>
      </c>
      <c r="R236">
        <v>461</v>
      </c>
      <c r="S236">
        <v>136910531.53153154</v>
      </c>
      <c r="T236">
        <v>161450000.45045045</v>
      </c>
      <c r="U236">
        <v>120897520.72072072</v>
      </c>
      <c r="V236">
        <v>83457971.171171173</v>
      </c>
      <c r="W236">
        <v>15032</v>
      </c>
      <c r="X236">
        <v>14215</v>
      </c>
    </row>
    <row r="237" spans="1:24">
      <c r="A237" s="7" t="s">
        <v>331</v>
      </c>
      <c r="B237" s="16" t="s">
        <v>290</v>
      </c>
      <c r="C237">
        <v>959771485.94378436</v>
      </c>
      <c r="D237">
        <v>933045328.0214287</v>
      </c>
      <c r="E237">
        <v>1945045.0450450489</v>
      </c>
      <c r="F237">
        <v>9973873.8738738764</v>
      </c>
      <c r="G237">
        <v>337</v>
      </c>
      <c r="H237">
        <v>399</v>
      </c>
      <c r="I237">
        <v>49</v>
      </c>
      <c r="J237">
        <v>37</v>
      </c>
      <c r="K237">
        <v>19</v>
      </c>
      <c r="M237">
        <v>394</v>
      </c>
      <c r="N237">
        <v>569</v>
      </c>
      <c r="O237">
        <v>98028828.828828827</v>
      </c>
      <c r="P237">
        <v>164490990.99099097</v>
      </c>
      <c r="Q237">
        <v>545</v>
      </c>
      <c r="R237">
        <v>582</v>
      </c>
      <c r="S237">
        <v>179718918.91891891</v>
      </c>
      <c r="T237">
        <v>169163890.09009007</v>
      </c>
      <c r="U237">
        <v>92815178.378378391</v>
      </c>
      <c r="V237">
        <v>150275855.85585588</v>
      </c>
      <c r="W237">
        <v>17429</v>
      </c>
      <c r="X237">
        <v>17206</v>
      </c>
    </row>
    <row r="238" spans="1:24">
      <c r="A238" s="7" t="s">
        <v>332</v>
      </c>
      <c r="B238" s="16" t="s">
        <v>290</v>
      </c>
      <c r="C238">
        <v>709584679.25369239</v>
      </c>
      <c r="D238">
        <v>707934383.09918416</v>
      </c>
      <c r="E238">
        <v>208453848.64864865</v>
      </c>
      <c r="F238">
        <v>352160020.72072071</v>
      </c>
      <c r="G238">
        <v>227</v>
      </c>
      <c r="H238">
        <v>216</v>
      </c>
      <c r="I238">
        <v>30</v>
      </c>
      <c r="J238">
        <v>32</v>
      </c>
      <c r="K238">
        <v>3</v>
      </c>
      <c r="M238">
        <v>344</v>
      </c>
      <c r="N238">
        <v>261</v>
      </c>
      <c r="O238">
        <v>114329231.53153154</v>
      </c>
      <c r="P238">
        <v>175655203.6036036</v>
      </c>
      <c r="Q238">
        <v>466</v>
      </c>
      <c r="R238">
        <v>458</v>
      </c>
      <c r="S238">
        <v>183850486.48648649</v>
      </c>
      <c r="T238">
        <v>193136360.36036035</v>
      </c>
      <c r="U238">
        <v>93528648.648648649</v>
      </c>
      <c r="V238">
        <v>144376036.03603604</v>
      </c>
      <c r="W238">
        <v>14948</v>
      </c>
      <c r="X238">
        <v>14867</v>
      </c>
    </row>
    <row r="239" spans="1:24">
      <c r="A239" s="7" t="s">
        <v>333</v>
      </c>
      <c r="B239" s="16" t="s">
        <v>60</v>
      </c>
      <c r="C239">
        <v>99482880.502732918</v>
      </c>
      <c r="D239">
        <v>97379405.912592143</v>
      </c>
      <c r="E239">
        <v>1144819.8198198201</v>
      </c>
      <c r="F239">
        <v>3229729.7297297311</v>
      </c>
      <c r="G239">
        <v>54</v>
      </c>
      <c r="H239">
        <v>98</v>
      </c>
      <c r="I239">
        <v>4</v>
      </c>
      <c r="J239">
        <v>7</v>
      </c>
      <c r="M239">
        <v>116</v>
      </c>
      <c r="N239">
        <v>167</v>
      </c>
      <c r="O239">
        <v>24781981.981981982</v>
      </c>
      <c r="P239">
        <v>40798198.198198199</v>
      </c>
      <c r="Q239">
        <v>55</v>
      </c>
      <c r="R239">
        <v>144</v>
      </c>
      <c r="S239">
        <v>35340765.765765771</v>
      </c>
      <c r="T239">
        <v>33876063.063063063</v>
      </c>
      <c r="U239">
        <v>22354954.954954952</v>
      </c>
      <c r="V239">
        <v>38603603.603603601</v>
      </c>
      <c r="W239">
        <v>2038</v>
      </c>
      <c r="X239">
        <v>1983</v>
      </c>
    </row>
    <row r="240" spans="1:24">
      <c r="A240" s="7" t="s">
        <v>334</v>
      </c>
      <c r="B240" s="16" t="s">
        <v>60</v>
      </c>
      <c r="C240">
        <v>13502101.440168897</v>
      </c>
      <c r="D240">
        <v>18872655.189724345</v>
      </c>
      <c r="E240">
        <v>130630.630630631</v>
      </c>
      <c r="F240">
        <v>243243.24324324299</v>
      </c>
      <c r="G240">
        <v>13</v>
      </c>
      <c r="H240">
        <v>7</v>
      </c>
      <c r="I240">
        <v>2</v>
      </c>
      <c r="J240">
        <v>4</v>
      </c>
      <c r="M240">
        <v>15</v>
      </c>
      <c r="N240">
        <v>9</v>
      </c>
      <c r="O240">
        <v>844144.14414414403</v>
      </c>
      <c r="P240">
        <v>902252.25225225196</v>
      </c>
      <c r="Q240">
        <v>13</v>
      </c>
      <c r="R240">
        <v>12</v>
      </c>
      <c r="S240">
        <v>9663738.7387387399</v>
      </c>
      <c r="T240">
        <v>10587207.207207208</v>
      </c>
      <c r="U240">
        <v>721621.62162162201</v>
      </c>
      <c r="V240">
        <v>850720.72072072094</v>
      </c>
      <c r="W240">
        <v>933</v>
      </c>
      <c r="X240">
        <v>1083</v>
      </c>
    </row>
    <row r="241" spans="1:24">
      <c r="A241" s="7" t="s">
        <v>335</v>
      </c>
      <c r="B241" s="16" t="s">
        <v>121</v>
      </c>
      <c r="C241">
        <v>287986.66387077997</v>
      </c>
      <c r="D241">
        <v>1994647.3323828599</v>
      </c>
      <c r="G241">
        <v>1</v>
      </c>
      <c r="H241">
        <v>1</v>
      </c>
      <c r="M241">
        <v>1</v>
      </c>
      <c r="N241">
        <v>1</v>
      </c>
      <c r="S241">
        <v>82207.207207207</v>
      </c>
      <c r="T241">
        <v>97747.747747747999</v>
      </c>
      <c r="W241">
        <v>144</v>
      </c>
      <c r="X241">
        <v>162</v>
      </c>
    </row>
    <row r="242" spans="1:24">
      <c r="A242" s="7" t="s">
        <v>336</v>
      </c>
      <c r="B242" s="16" t="s">
        <v>121</v>
      </c>
      <c r="C242">
        <v>3524891.5942366989</v>
      </c>
      <c r="D242">
        <v>3402287.7524221791</v>
      </c>
      <c r="E242">
        <v>147847264.86486486</v>
      </c>
      <c r="F242">
        <v>74175318.018018022</v>
      </c>
      <c r="G242">
        <v>3</v>
      </c>
      <c r="H242">
        <v>2</v>
      </c>
      <c r="M242">
        <v>5</v>
      </c>
      <c r="N242">
        <v>3</v>
      </c>
      <c r="O242">
        <v>3725350.4504504502</v>
      </c>
      <c r="P242">
        <v>14220375.675675675</v>
      </c>
      <c r="S242">
        <v>806576.57657657703</v>
      </c>
      <c r="T242">
        <v>636531.53153153195</v>
      </c>
      <c r="W242">
        <v>114</v>
      </c>
      <c r="X242">
        <v>105</v>
      </c>
    </row>
    <row r="243" spans="1:24">
      <c r="A243" s="7" t="s">
        <v>337</v>
      </c>
      <c r="B243" s="16" t="s">
        <v>121</v>
      </c>
      <c r="C243">
        <v>2987066.6853345241</v>
      </c>
      <c r="D243">
        <v>2737329.185125709</v>
      </c>
      <c r="G243">
        <v>2</v>
      </c>
      <c r="H243">
        <v>1</v>
      </c>
      <c r="M243">
        <v>2</v>
      </c>
      <c r="N243">
        <v>1</v>
      </c>
      <c r="S243">
        <v>121216.21621621599</v>
      </c>
      <c r="T243">
        <v>29504.504504504999</v>
      </c>
      <c r="W243">
        <v>133</v>
      </c>
      <c r="X243">
        <v>156</v>
      </c>
    </row>
    <row r="244" spans="1:24">
      <c r="A244" s="7" t="s">
        <v>338</v>
      </c>
      <c r="B244" s="16" t="s">
        <v>140</v>
      </c>
      <c r="C244">
        <v>1094124449.0573964</v>
      </c>
      <c r="D244">
        <v>1069566019.7629457</v>
      </c>
      <c r="E244">
        <v>75769018.018018022</v>
      </c>
      <c r="F244">
        <v>114781531.53153154</v>
      </c>
      <c r="G244">
        <v>300</v>
      </c>
      <c r="H244">
        <v>408</v>
      </c>
      <c r="I244">
        <v>32</v>
      </c>
      <c r="J244">
        <v>32</v>
      </c>
      <c r="K244">
        <v>1</v>
      </c>
      <c r="M244">
        <v>367</v>
      </c>
      <c r="N244">
        <v>498</v>
      </c>
      <c r="O244">
        <v>116967260.36036035</v>
      </c>
      <c r="P244">
        <v>105810180.18018018</v>
      </c>
      <c r="Q244">
        <v>333</v>
      </c>
      <c r="R244">
        <v>283</v>
      </c>
      <c r="S244">
        <v>215172781.98198199</v>
      </c>
      <c r="T244">
        <v>213133493.6936937</v>
      </c>
      <c r="U244">
        <v>95656936.936936945</v>
      </c>
      <c r="V244">
        <v>93910990.990990996</v>
      </c>
      <c r="W244">
        <v>16129</v>
      </c>
      <c r="X244">
        <v>16255</v>
      </c>
    </row>
    <row r="245" spans="1:24">
      <c r="A245" s="7" t="s">
        <v>339</v>
      </c>
      <c r="B245" s="16" t="s">
        <v>121</v>
      </c>
      <c r="C245">
        <v>176982470.6356113</v>
      </c>
      <c r="D245">
        <v>160147769.76123902</v>
      </c>
      <c r="E245">
        <v>3603.603603604</v>
      </c>
      <c r="G245">
        <v>106</v>
      </c>
      <c r="H245">
        <v>51</v>
      </c>
      <c r="I245">
        <v>0</v>
      </c>
      <c r="J245">
        <v>1</v>
      </c>
      <c r="M245">
        <v>109</v>
      </c>
      <c r="N245">
        <v>54</v>
      </c>
      <c r="O245">
        <v>165765.765765766</v>
      </c>
      <c r="Q245">
        <v>18</v>
      </c>
      <c r="S245">
        <v>12548369.369369367</v>
      </c>
      <c r="T245">
        <v>10452873.873873875</v>
      </c>
      <c r="U245">
        <v>162162.16216216201</v>
      </c>
      <c r="W245">
        <v>2459</v>
      </c>
      <c r="X245">
        <v>2435</v>
      </c>
    </row>
    <row r="246" spans="1:24">
      <c r="A246" s="7" t="s">
        <v>340</v>
      </c>
      <c r="B246" s="16" t="s">
        <v>140</v>
      </c>
      <c r="C246">
        <v>548918158.22684932</v>
      </c>
      <c r="D246">
        <v>563326136.54894722</v>
      </c>
      <c r="E246">
        <v>667342.34234234504</v>
      </c>
      <c r="F246">
        <v>3882882.8828828852</v>
      </c>
      <c r="G246">
        <v>84</v>
      </c>
      <c r="H246">
        <v>117</v>
      </c>
      <c r="I246">
        <v>20</v>
      </c>
      <c r="J246">
        <v>11</v>
      </c>
      <c r="K246">
        <v>6</v>
      </c>
      <c r="M246">
        <v>131</v>
      </c>
      <c r="N246">
        <v>147</v>
      </c>
      <c r="O246">
        <v>89483423.423423424</v>
      </c>
      <c r="P246">
        <v>102879459.45945945</v>
      </c>
      <c r="Q246">
        <v>72</v>
      </c>
      <c r="R246">
        <v>308</v>
      </c>
      <c r="S246">
        <v>152939837.83783782</v>
      </c>
      <c r="T246">
        <v>166535550</v>
      </c>
      <c r="U246">
        <v>86739099.0990991</v>
      </c>
      <c r="V246">
        <v>95530180.180180177</v>
      </c>
      <c r="W246">
        <v>8544</v>
      </c>
      <c r="X246">
        <v>8870</v>
      </c>
    </row>
    <row r="247" spans="1:24">
      <c r="A247" s="7" t="s">
        <v>341</v>
      </c>
      <c r="B247" s="16" t="s">
        <v>134</v>
      </c>
      <c r="C247">
        <v>69802690.512545615</v>
      </c>
      <c r="D247">
        <v>64356903.577330552</v>
      </c>
      <c r="E247">
        <v>340971271.17117119</v>
      </c>
      <c r="F247">
        <v>343824633.33333331</v>
      </c>
      <c r="G247">
        <v>28</v>
      </c>
      <c r="H247">
        <v>13</v>
      </c>
      <c r="I247">
        <v>2</v>
      </c>
      <c r="J247">
        <v>1</v>
      </c>
      <c r="M247">
        <v>29</v>
      </c>
      <c r="N247">
        <v>13</v>
      </c>
      <c r="O247">
        <v>38439639.639639638</v>
      </c>
      <c r="P247">
        <v>48882882.882882878</v>
      </c>
      <c r="Q247">
        <v>25</v>
      </c>
      <c r="S247">
        <v>6505180.1801801799</v>
      </c>
      <c r="T247">
        <v>5888747.7477477482</v>
      </c>
      <c r="U247">
        <v>2016396.396396396</v>
      </c>
      <c r="V247">
        <v>1479189.1891891891</v>
      </c>
      <c r="W247">
        <v>1251</v>
      </c>
      <c r="X247">
        <v>1353</v>
      </c>
    </row>
    <row r="248" spans="1:24">
      <c r="A248" s="7" t="s">
        <v>342</v>
      </c>
      <c r="B248" s="16" t="s">
        <v>121</v>
      </c>
      <c r="C248">
        <v>3305730.1124992748</v>
      </c>
      <c r="D248">
        <v>2827458.61883373</v>
      </c>
      <c r="G248">
        <v>6</v>
      </c>
      <c r="H248">
        <v>10</v>
      </c>
      <c r="M248">
        <v>7</v>
      </c>
      <c r="N248">
        <v>14</v>
      </c>
      <c r="S248">
        <v>1273243.2432432431</v>
      </c>
      <c r="T248">
        <v>1064819.8198198201</v>
      </c>
      <c r="W248">
        <v>407</v>
      </c>
      <c r="X248">
        <v>385</v>
      </c>
    </row>
    <row r="249" spans="1:24">
      <c r="A249" s="7" t="s">
        <v>5</v>
      </c>
      <c r="B249" s="16" t="s">
        <v>158</v>
      </c>
      <c r="C249">
        <v>219484956.54141527</v>
      </c>
      <c r="D249">
        <v>218916309.16222733</v>
      </c>
      <c r="E249">
        <v>2413963.963963964</v>
      </c>
      <c r="F249">
        <v>1099099.0990991001</v>
      </c>
      <c r="G249">
        <v>15</v>
      </c>
      <c r="H249">
        <v>38</v>
      </c>
      <c r="I249">
        <v>5</v>
      </c>
      <c r="J249">
        <v>2</v>
      </c>
      <c r="K249">
        <v>2</v>
      </c>
      <c r="M249">
        <v>17</v>
      </c>
      <c r="N249">
        <v>40</v>
      </c>
      <c r="O249">
        <v>17330360.360360362</v>
      </c>
      <c r="P249">
        <v>15196396.396396397</v>
      </c>
      <c r="Q249">
        <v>91</v>
      </c>
      <c r="R249">
        <v>27</v>
      </c>
      <c r="S249">
        <v>95344054.054054052</v>
      </c>
      <c r="T249">
        <v>92912513.51351352</v>
      </c>
      <c r="U249">
        <v>15376846.846846847</v>
      </c>
      <c r="V249">
        <v>14188108.108108109</v>
      </c>
      <c r="W249">
        <v>3131</v>
      </c>
      <c r="X249">
        <v>3242</v>
      </c>
    </row>
    <row r="250" spans="1:24">
      <c r="A250" s="7" t="s">
        <v>343</v>
      </c>
      <c r="B250" s="16" t="s">
        <v>304</v>
      </c>
      <c r="C250">
        <v>21807549.054605644</v>
      </c>
      <c r="D250">
        <v>20749743.861314736</v>
      </c>
      <c r="E250">
        <v>1801.801801802</v>
      </c>
      <c r="F250">
        <v>900900.90090090095</v>
      </c>
      <c r="G250">
        <v>36</v>
      </c>
      <c r="H250">
        <v>20</v>
      </c>
      <c r="I250">
        <v>0</v>
      </c>
      <c r="M250">
        <v>38</v>
      </c>
      <c r="N250">
        <v>27</v>
      </c>
      <c r="O250">
        <v>452252.25225225202</v>
      </c>
      <c r="P250">
        <v>1351351.351351351</v>
      </c>
      <c r="S250">
        <v>4858108.1081081079</v>
      </c>
      <c r="T250">
        <v>3568342.3423423418</v>
      </c>
      <c r="U250">
        <v>458918.918918918</v>
      </c>
      <c r="V250">
        <v>294954.95495495503</v>
      </c>
      <c r="W250">
        <v>556</v>
      </c>
      <c r="X250">
        <v>550</v>
      </c>
    </row>
    <row r="251" spans="1:24">
      <c r="A251" s="7" t="s">
        <v>344</v>
      </c>
      <c r="B251" s="16" t="s">
        <v>105</v>
      </c>
      <c r="C251">
        <v>453019377.16200083</v>
      </c>
      <c r="D251">
        <v>444585829.28794414</v>
      </c>
      <c r="E251">
        <v>923198.19819819904</v>
      </c>
      <c r="F251">
        <v>2946396.3963963962</v>
      </c>
      <c r="G251">
        <v>127</v>
      </c>
      <c r="H251">
        <v>172</v>
      </c>
      <c r="I251">
        <v>15</v>
      </c>
      <c r="J251">
        <v>9</v>
      </c>
      <c r="K251">
        <v>1</v>
      </c>
      <c r="M251">
        <v>166</v>
      </c>
      <c r="N251">
        <v>206</v>
      </c>
      <c r="O251">
        <v>82973153.153153151</v>
      </c>
      <c r="P251">
        <v>64016216.216216214</v>
      </c>
      <c r="Q251">
        <v>187</v>
      </c>
      <c r="R251">
        <v>333</v>
      </c>
      <c r="S251">
        <v>109571522.52252252</v>
      </c>
      <c r="T251">
        <v>110562009.009009</v>
      </c>
      <c r="U251">
        <v>82775855.855855852</v>
      </c>
      <c r="V251">
        <v>58056306.306306303</v>
      </c>
      <c r="W251">
        <v>5811</v>
      </c>
      <c r="X251">
        <v>6492</v>
      </c>
    </row>
    <row r="252" spans="1:24">
      <c r="A252" s="7" t="s">
        <v>345</v>
      </c>
      <c r="B252" s="16" t="s">
        <v>87</v>
      </c>
      <c r="C252">
        <v>131352300.04988427</v>
      </c>
      <c r="D252">
        <v>129626050.26523313</v>
      </c>
      <c r="E252">
        <v>342342.34234234301</v>
      </c>
      <c r="F252">
        <v>981981.98198198096</v>
      </c>
      <c r="G252">
        <v>76</v>
      </c>
      <c r="H252">
        <v>59</v>
      </c>
      <c r="I252">
        <v>7</v>
      </c>
      <c r="J252">
        <v>6</v>
      </c>
      <c r="K252">
        <v>1</v>
      </c>
      <c r="M252">
        <v>84</v>
      </c>
      <c r="N252">
        <v>64</v>
      </c>
      <c r="O252">
        <v>33792792.79279279</v>
      </c>
      <c r="P252">
        <v>36349909.909909904</v>
      </c>
      <c r="Q252">
        <v>104</v>
      </c>
      <c r="R252">
        <v>167</v>
      </c>
      <c r="S252">
        <v>34108220.720720723</v>
      </c>
      <c r="T252">
        <v>34933937.837837838</v>
      </c>
      <c r="U252">
        <v>24260180.180180181</v>
      </c>
      <c r="V252">
        <v>27794951.351351351</v>
      </c>
      <c r="W252">
        <v>2245</v>
      </c>
      <c r="X252">
        <v>2152</v>
      </c>
    </row>
    <row r="253" spans="1:24">
      <c r="A253" s="7" t="s">
        <v>346</v>
      </c>
      <c r="B253" s="16" t="s">
        <v>87</v>
      </c>
      <c r="C253">
        <v>406399427.09398705</v>
      </c>
      <c r="D253">
        <v>368895752.37045628</v>
      </c>
      <c r="E253">
        <v>1175900.900900902</v>
      </c>
      <c r="F253">
        <v>3986711.7117117131</v>
      </c>
      <c r="G253">
        <v>305</v>
      </c>
      <c r="H253">
        <v>212</v>
      </c>
      <c r="I253">
        <v>19</v>
      </c>
      <c r="J253">
        <v>20</v>
      </c>
      <c r="K253">
        <v>1</v>
      </c>
      <c r="M253">
        <v>340</v>
      </c>
      <c r="N253">
        <v>262</v>
      </c>
      <c r="O253">
        <v>37550450.45045045</v>
      </c>
      <c r="P253">
        <v>36401621.621621616</v>
      </c>
      <c r="Q253">
        <v>375</v>
      </c>
      <c r="R253">
        <v>160</v>
      </c>
      <c r="S253">
        <v>64346426.126126125</v>
      </c>
      <c r="T253">
        <v>61277818.018018015</v>
      </c>
      <c r="U253">
        <v>31127567.567567568</v>
      </c>
      <c r="V253">
        <v>27354324.324324321</v>
      </c>
      <c r="W253">
        <v>6792</v>
      </c>
      <c r="X253">
        <v>7002</v>
      </c>
    </row>
    <row r="254" spans="1:24">
      <c r="A254" s="7" t="s">
        <v>347</v>
      </c>
      <c r="B254" s="16" t="s">
        <v>87</v>
      </c>
      <c r="C254">
        <v>9593652.9283984844</v>
      </c>
      <c r="D254">
        <v>11028810.065869736</v>
      </c>
      <c r="G254">
        <v>7</v>
      </c>
      <c r="H254">
        <v>26</v>
      </c>
      <c r="M254">
        <v>11</v>
      </c>
      <c r="N254">
        <v>28</v>
      </c>
      <c r="S254">
        <v>4530630.6306306301</v>
      </c>
      <c r="T254">
        <v>5025846.8468468478</v>
      </c>
      <c r="W254">
        <v>782</v>
      </c>
      <c r="X254">
        <v>867</v>
      </c>
    </row>
    <row r="255" spans="1:24">
      <c r="A255" s="7" t="s">
        <v>348</v>
      </c>
      <c r="B255" s="16" t="s">
        <v>87</v>
      </c>
      <c r="C255">
        <v>5462202.3310133461</v>
      </c>
      <c r="D255">
        <v>4945755.8319871174</v>
      </c>
      <c r="G255">
        <v>4</v>
      </c>
      <c r="H255">
        <v>3</v>
      </c>
      <c r="M255">
        <v>4</v>
      </c>
      <c r="N255">
        <v>3</v>
      </c>
      <c r="S255">
        <v>1028018.018018018</v>
      </c>
      <c r="T255">
        <v>1706351.351351351</v>
      </c>
      <c r="W255">
        <v>344</v>
      </c>
      <c r="X255">
        <v>170</v>
      </c>
    </row>
    <row r="256" spans="1:24">
      <c r="A256" s="7" t="s">
        <v>349</v>
      </c>
      <c r="B256" s="16" t="s">
        <v>87</v>
      </c>
      <c r="C256">
        <v>4240428.2481124355</v>
      </c>
      <c r="D256">
        <v>4111094.5223575109</v>
      </c>
      <c r="G256">
        <v>2</v>
      </c>
      <c r="H256">
        <v>7</v>
      </c>
      <c r="M256">
        <v>3</v>
      </c>
      <c r="N256">
        <v>13</v>
      </c>
      <c r="S256">
        <v>1426216.2162162161</v>
      </c>
      <c r="T256">
        <v>2213207.2072072071</v>
      </c>
      <c r="W256">
        <v>664</v>
      </c>
      <c r="X256">
        <v>646</v>
      </c>
    </row>
    <row r="257" spans="1:24">
      <c r="A257" s="7" t="s">
        <v>350</v>
      </c>
      <c r="B257" s="16" t="s">
        <v>87</v>
      </c>
      <c r="C257">
        <v>111587749.13556042</v>
      </c>
      <c r="D257">
        <v>120422046.08831231</v>
      </c>
      <c r="E257">
        <v>13513.513513514001</v>
      </c>
      <c r="F257">
        <v>188288.28828828901</v>
      </c>
      <c r="G257">
        <v>102</v>
      </c>
      <c r="H257">
        <v>93</v>
      </c>
      <c r="I257">
        <v>4</v>
      </c>
      <c r="J257">
        <v>4</v>
      </c>
      <c r="M257">
        <v>108</v>
      </c>
      <c r="N257">
        <v>98</v>
      </c>
      <c r="O257">
        <v>10136036.036036037</v>
      </c>
      <c r="P257">
        <v>9046306.3063063081</v>
      </c>
      <c r="Q257">
        <v>128</v>
      </c>
      <c r="R257">
        <v>55</v>
      </c>
      <c r="S257">
        <v>20892297.297297295</v>
      </c>
      <c r="T257">
        <v>22703175.675675675</v>
      </c>
      <c r="U257">
        <v>9437027.0270270277</v>
      </c>
      <c r="V257">
        <v>8032792.7927927934</v>
      </c>
      <c r="W257">
        <v>2241</v>
      </c>
      <c r="X257">
        <v>1490</v>
      </c>
    </row>
    <row r="258" spans="1:24">
      <c r="A258" s="7" t="s">
        <v>351</v>
      </c>
      <c r="B258" s="16" t="s">
        <v>50</v>
      </c>
      <c r="C258">
        <v>316018287.3708992</v>
      </c>
      <c r="D258">
        <v>322819187.93328375</v>
      </c>
      <c r="E258">
        <v>430180.18018018501</v>
      </c>
      <c r="F258">
        <v>3980855.855855857</v>
      </c>
      <c r="G258">
        <v>49</v>
      </c>
      <c r="H258">
        <v>85</v>
      </c>
      <c r="I258">
        <v>17</v>
      </c>
      <c r="J258">
        <v>12</v>
      </c>
      <c r="M258">
        <v>51</v>
      </c>
      <c r="N258">
        <v>92</v>
      </c>
      <c r="O258">
        <v>66579279.279279277</v>
      </c>
      <c r="P258">
        <v>55979639.639639638</v>
      </c>
      <c r="Q258">
        <v>78</v>
      </c>
      <c r="R258">
        <v>225</v>
      </c>
      <c r="S258">
        <v>125030360.36036035</v>
      </c>
      <c r="T258">
        <v>125674779.27927928</v>
      </c>
      <c r="U258">
        <v>66530000</v>
      </c>
      <c r="V258">
        <v>53345765.765765771</v>
      </c>
      <c r="W258">
        <v>5236</v>
      </c>
      <c r="X258">
        <v>4312</v>
      </c>
    </row>
    <row r="259" spans="1:24">
      <c r="A259" s="7" t="s">
        <v>352</v>
      </c>
      <c r="B259" s="16" t="s">
        <v>123</v>
      </c>
      <c r="C259">
        <v>1146622.98992627</v>
      </c>
      <c r="D259">
        <v>1940694.8891945351</v>
      </c>
      <c r="G259">
        <v>1</v>
      </c>
      <c r="H259">
        <v>1</v>
      </c>
      <c r="M259">
        <v>1</v>
      </c>
      <c r="N259">
        <v>2</v>
      </c>
      <c r="O259">
        <v>81081.081081081007</v>
      </c>
      <c r="P259">
        <v>189189.189189189</v>
      </c>
      <c r="S259">
        <v>438783.78378378402</v>
      </c>
      <c r="T259">
        <v>748738.73873873905</v>
      </c>
      <c r="W259">
        <v>1</v>
      </c>
      <c r="X259">
        <v>122</v>
      </c>
    </row>
    <row r="260" spans="1:24">
      <c r="A260" s="7" t="s">
        <v>353</v>
      </c>
      <c r="B260" s="16" t="s">
        <v>354</v>
      </c>
      <c r="C260">
        <v>596581819.8133862</v>
      </c>
      <c r="D260">
        <v>556522919.67202771</v>
      </c>
      <c r="E260">
        <v>2527927.9279279262</v>
      </c>
      <c r="F260">
        <v>11150450.450450452</v>
      </c>
      <c r="G260">
        <v>240</v>
      </c>
      <c r="H260">
        <v>465</v>
      </c>
      <c r="I260">
        <v>38</v>
      </c>
      <c r="J260">
        <v>17</v>
      </c>
      <c r="M260">
        <v>272</v>
      </c>
      <c r="N260">
        <v>625</v>
      </c>
      <c r="O260">
        <v>196607837.83783782</v>
      </c>
      <c r="P260">
        <v>350147162.16216218</v>
      </c>
      <c r="Q260">
        <v>375</v>
      </c>
      <c r="R260">
        <v>453</v>
      </c>
      <c r="S260">
        <v>348373331.53153151</v>
      </c>
      <c r="T260">
        <v>332244810.8108108</v>
      </c>
      <c r="U260">
        <v>190187117.11711711</v>
      </c>
      <c r="V260">
        <v>368826441.44144148</v>
      </c>
      <c r="W260">
        <v>10001</v>
      </c>
      <c r="X260">
        <v>9204</v>
      </c>
    </row>
    <row r="261" spans="1:24">
      <c r="A261" s="7" t="s">
        <v>355</v>
      </c>
      <c r="B261" s="16" t="s">
        <v>48</v>
      </c>
      <c r="C261">
        <v>388108521.92418092</v>
      </c>
      <c r="D261">
        <v>390895362.3480317</v>
      </c>
      <c r="E261">
        <v>298717072.97297299</v>
      </c>
      <c r="F261">
        <v>228614648.64864865</v>
      </c>
      <c r="G261">
        <v>71</v>
      </c>
      <c r="H261">
        <v>43</v>
      </c>
      <c r="I261">
        <v>13</v>
      </c>
      <c r="J261">
        <v>6</v>
      </c>
      <c r="K261">
        <v>1</v>
      </c>
      <c r="M261">
        <v>77</v>
      </c>
      <c r="N261">
        <v>44</v>
      </c>
      <c r="O261">
        <v>13846126.126126125</v>
      </c>
      <c r="P261">
        <v>24329600.9009009</v>
      </c>
      <c r="R261">
        <v>153</v>
      </c>
      <c r="S261">
        <v>28679351.351351351</v>
      </c>
      <c r="T261">
        <v>29246909.909909911</v>
      </c>
      <c r="U261">
        <v>1164954.954954952</v>
      </c>
      <c r="V261">
        <v>8622072.072072072</v>
      </c>
      <c r="W261">
        <v>5506</v>
      </c>
      <c r="X261">
        <v>5707</v>
      </c>
    </row>
    <row r="262" spans="1:24">
      <c r="A262" s="7" t="s">
        <v>356</v>
      </c>
      <c r="B262" s="16" t="s">
        <v>123</v>
      </c>
      <c r="C262">
        <v>443032774.86269075</v>
      </c>
      <c r="D262">
        <v>421761709.67575938</v>
      </c>
      <c r="E262">
        <v>71171.171171171998</v>
      </c>
      <c r="F262">
        <v>209909.90990991099</v>
      </c>
      <c r="G262">
        <v>102</v>
      </c>
      <c r="H262">
        <v>99</v>
      </c>
      <c r="I262">
        <v>3</v>
      </c>
      <c r="J262">
        <v>4</v>
      </c>
      <c r="M262">
        <v>104</v>
      </c>
      <c r="N262">
        <v>104</v>
      </c>
      <c r="O262">
        <v>12975315.315315315</v>
      </c>
      <c r="P262">
        <v>22667477.477477476</v>
      </c>
      <c r="Q262">
        <v>29</v>
      </c>
      <c r="R262">
        <v>165</v>
      </c>
      <c r="S262">
        <v>93909178.378378391</v>
      </c>
      <c r="T262">
        <v>91092270.270270273</v>
      </c>
      <c r="U262">
        <v>12321171.17117117</v>
      </c>
      <c r="V262">
        <v>21077747.747747745</v>
      </c>
      <c r="W262">
        <v>5813</v>
      </c>
      <c r="X262">
        <v>6061</v>
      </c>
    </row>
    <row r="263" spans="1:24">
      <c r="A263" s="7" t="s">
        <v>357</v>
      </c>
      <c r="B263" s="16" t="s">
        <v>62</v>
      </c>
      <c r="C263">
        <v>239575404.73432067</v>
      </c>
      <c r="D263">
        <v>233207006.65409374</v>
      </c>
      <c r="E263">
        <v>689189.189189189</v>
      </c>
      <c r="F263">
        <v>3087387.3873873898</v>
      </c>
      <c r="G263">
        <v>44</v>
      </c>
      <c r="H263">
        <v>50</v>
      </c>
      <c r="I263">
        <v>4</v>
      </c>
      <c r="J263">
        <v>13</v>
      </c>
      <c r="M263">
        <v>48</v>
      </c>
      <c r="N263">
        <v>53</v>
      </c>
      <c r="O263">
        <v>19795135.135135137</v>
      </c>
      <c r="P263">
        <v>37336576.576576576</v>
      </c>
      <c r="Q263">
        <v>48</v>
      </c>
      <c r="R263">
        <v>115</v>
      </c>
      <c r="S263">
        <v>65684729.729729727</v>
      </c>
      <c r="T263">
        <v>65431549.54954955</v>
      </c>
      <c r="U263">
        <v>20909369.369369369</v>
      </c>
      <c r="V263">
        <v>36799369.369369365</v>
      </c>
      <c r="W263">
        <v>3956</v>
      </c>
      <c r="X263">
        <v>3870</v>
      </c>
    </row>
    <row r="264" spans="1:24">
      <c r="A264" s="7" t="s">
        <v>358</v>
      </c>
      <c r="B264" s="16" t="s">
        <v>315</v>
      </c>
      <c r="C264">
        <v>17201372.687647827</v>
      </c>
      <c r="D264">
        <v>5707898.8190408694</v>
      </c>
      <c r="G264">
        <v>13</v>
      </c>
      <c r="H264">
        <v>10</v>
      </c>
      <c r="M264">
        <v>13</v>
      </c>
      <c r="N264">
        <v>11</v>
      </c>
      <c r="S264">
        <v>8946441.441441441</v>
      </c>
      <c r="T264">
        <v>2316846.8468468469</v>
      </c>
      <c r="W264">
        <v>689</v>
      </c>
    </row>
    <row r="265" spans="1:24">
      <c r="A265" s="7" t="s">
        <v>359</v>
      </c>
      <c r="B265" s="16" t="s">
        <v>315</v>
      </c>
      <c r="C265">
        <v>267163081.00115433</v>
      </c>
      <c r="D265">
        <v>235538329.97014651</v>
      </c>
      <c r="E265">
        <v>41058391.891891897</v>
      </c>
      <c r="F265">
        <v>92702702.702702701</v>
      </c>
      <c r="G265">
        <v>44</v>
      </c>
      <c r="H265">
        <v>52</v>
      </c>
      <c r="I265">
        <v>15</v>
      </c>
      <c r="J265">
        <v>8</v>
      </c>
      <c r="M265">
        <v>45</v>
      </c>
      <c r="N265">
        <v>61</v>
      </c>
      <c r="O265">
        <v>47064684.684684679</v>
      </c>
      <c r="P265">
        <v>61367027.027027026</v>
      </c>
      <c r="Q265">
        <v>130</v>
      </c>
      <c r="R265">
        <v>32</v>
      </c>
      <c r="S265">
        <v>94649234.234234244</v>
      </c>
      <c r="T265">
        <v>85149711.711711705</v>
      </c>
      <c r="U265">
        <v>52058918.918918915</v>
      </c>
      <c r="V265">
        <v>54525405.40540541</v>
      </c>
      <c r="W265">
        <v>3122</v>
      </c>
      <c r="X265">
        <v>3274</v>
      </c>
    </row>
    <row r="266" spans="1:24">
      <c r="A266" s="7" t="s">
        <v>360</v>
      </c>
      <c r="B266" s="16" t="s">
        <v>92</v>
      </c>
      <c r="C266">
        <v>447653102.14638615</v>
      </c>
      <c r="D266">
        <v>430927922.31436372</v>
      </c>
      <c r="E266">
        <v>2461306.3063063072</v>
      </c>
      <c r="F266">
        <v>8376576.5765765756</v>
      </c>
      <c r="G266">
        <v>180</v>
      </c>
      <c r="H266">
        <v>222</v>
      </c>
      <c r="I266">
        <v>6</v>
      </c>
      <c r="J266">
        <v>9</v>
      </c>
      <c r="M266">
        <v>215</v>
      </c>
      <c r="N266">
        <v>260</v>
      </c>
      <c r="O266">
        <v>38310090.090090089</v>
      </c>
      <c r="P266">
        <v>104780360.36036037</v>
      </c>
      <c r="Q266">
        <v>79</v>
      </c>
      <c r="R266">
        <v>277</v>
      </c>
      <c r="S266">
        <v>128029540.54054055</v>
      </c>
      <c r="T266">
        <v>125201763.96396397</v>
      </c>
      <c r="U266">
        <v>40535675.675675675</v>
      </c>
      <c r="V266">
        <v>101972565.76576576</v>
      </c>
      <c r="W266">
        <v>6873</v>
      </c>
      <c r="X266">
        <v>6651</v>
      </c>
    </row>
    <row r="267" spans="1:24">
      <c r="A267" s="7" t="s">
        <v>361</v>
      </c>
      <c r="B267" s="16" t="s">
        <v>58</v>
      </c>
      <c r="C267">
        <v>883586244.74216747</v>
      </c>
      <c r="D267">
        <v>837003851.10685277</v>
      </c>
      <c r="E267">
        <v>58639639.639639638</v>
      </c>
      <c r="F267">
        <v>1686261.261261262</v>
      </c>
      <c r="G267">
        <v>135</v>
      </c>
      <c r="H267">
        <v>136</v>
      </c>
      <c r="I267">
        <v>20</v>
      </c>
      <c r="J267">
        <v>15</v>
      </c>
      <c r="M267">
        <v>144</v>
      </c>
      <c r="N267">
        <v>150</v>
      </c>
      <c r="O267">
        <v>47958018.018018015</v>
      </c>
      <c r="P267">
        <v>35207207.20720721</v>
      </c>
      <c r="Q267">
        <v>434</v>
      </c>
      <c r="R267">
        <v>53</v>
      </c>
      <c r="S267">
        <v>133036702.7027027</v>
      </c>
      <c r="T267">
        <v>132704972.97297297</v>
      </c>
      <c r="U267">
        <v>39863423.423423424</v>
      </c>
      <c r="V267">
        <v>32475135.135135137</v>
      </c>
      <c r="W267">
        <v>12722</v>
      </c>
      <c r="X267">
        <v>13066</v>
      </c>
    </row>
    <row r="268" spans="1:24">
      <c r="A268" s="7" t="s">
        <v>362</v>
      </c>
      <c r="B268" s="16" t="s">
        <v>48</v>
      </c>
      <c r="C268">
        <v>272259475.91640633</v>
      </c>
      <c r="D268">
        <v>297223820.81251287</v>
      </c>
      <c r="E268">
        <v>227927.92792792901</v>
      </c>
      <c r="F268">
        <v>2090090.090090092</v>
      </c>
      <c r="G268">
        <v>26</v>
      </c>
      <c r="H268">
        <v>25</v>
      </c>
      <c r="I268">
        <v>13</v>
      </c>
      <c r="J268">
        <v>4</v>
      </c>
      <c r="M268">
        <v>30</v>
      </c>
      <c r="N268">
        <v>32</v>
      </c>
      <c r="O268">
        <v>23997117.117117114</v>
      </c>
      <c r="P268">
        <v>57006846.846846849</v>
      </c>
      <c r="R268">
        <v>146</v>
      </c>
      <c r="S268">
        <v>50257333.333333336</v>
      </c>
      <c r="T268">
        <v>48611783.783783786</v>
      </c>
      <c r="U268">
        <v>19206486.486486487</v>
      </c>
      <c r="V268">
        <v>48320360.360360362</v>
      </c>
      <c r="W268">
        <v>3198</v>
      </c>
      <c r="X268">
        <v>3723</v>
      </c>
    </row>
    <row r="269" spans="1:24">
      <c r="A269" s="7" t="s">
        <v>363</v>
      </c>
      <c r="B269" s="16" t="s">
        <v>52</v>
      </c>
      <c r="C269">
        <v>121901252.81307696</v>
      </c>
      <c r="D269">
        <v>126087225.25682312</v>
      </c>
      <c r="E269">
        <v>373513.51351351303</v>
      </c>
      <c r="F269">
        <v>378378.37837837898</v>
      </c>
      <c r="G269">
        <v>22</v>
      </c>
      <c r="H269">
        <v>68</v>
      </c>
      <c r="I269">
        <v>6</v>
      </c>
      <c r="J269">
        <v>8</v>
      </c>
      <c r="M269">
        <v>30</v>
      </c>
      <c r="N269">
        <v>84</v>
      </c>
      <c r="O269">
        <v>7186126.1261261236</v>
      </c>
      <c r="P269">
        <v>2648648.648648649</v>
      </c>
      <c r="Q269">
        <v>82</v>
      </c>
      <c r="R269">
        <v>65</v>
      </c>
      <c r="S269">
        <v>60016216.216216214</v>
      </c>
      <c r="T269">
        <v>60115990.990990989</v>
      </c>
      <c r="U269">
        <v>6935675.6756756743</v>
      </c>
      <c r="V269">
        <v>2528558.5585585581</v>
      </c>
      <c r="W269">
        <v>2510</v>
      </c>
      <c r="X269">
        <v>2347</v>
      </c>
    </row>
    <row r="270" spans="1:24">
      <c r="A270" s="7" t="s">
        <v>364</v>
      </c>
      <c r="B270" s="16" t="s">
        <v>52</v>
      </c>
      <c r="C270">
        <v>98048636.483382478</v>
      </c>
      <c r="D270">
        <v>96535670.977365553</v>
      </c>
      <c r="E270">
        <v>4088963.963963965</v>
      </c>
      <c r="F270">
        <v>3530630.6306306329</v>
      </c>
      <c r="G270">
        <v>71</v>
      </c>
      <c r="H270">
        <v>106</v>
      </c>
      <c r="I270">
        <v>4</v>
      </c>
      <c r="J270">
        <v>10</v>
      </c>
      <c r="M270">
        <v>161</v>
      </c>
      <c r="N270">
        <v>411</v>
      </c>
      <c r="O270">
        <v>19700900.9009009</v>
      </c>
      <c r="P270">
        <v>10405225.225225225</v>
      </c>
      <c r="Q270">
        <v>220</v>
      </c>
      <c r="R270">
        <v>467</v>
      </c>
      <c r="S270">
        <v>55628945.945945941</v>
      </c>
      <c r="T270">
        <v>53827864.864864863</v>
      </c>
      <c r="U270">
        <v>19086846.846846849</v>
      </c>
      <c r="V270">
        <v>14717117.117117116</v>
      </c>
      <c r="W270">
        <v>2440</v>
      </c>
      <c r="X270">
        <v>2375</v>
      </c>
    </row>
    <row r="271" spans="1:24">
      <c r="A271" s="7" t="s">
        <v>365</v>
      </c>
      <c r="B271" s="16" t="s">
        <v>52</v>
      </c>
      <c r="C271">
        <v>1065137090.9803057</v>
      </c>
      <c r="D271">
        <v>1096323825.1465621</v>
      </c>
      <c r="E271">
        <v>544337153.15315318</v>
      </c>
      <c r="F271">
        <v>341210380.18018013</v>
      </c>
      <c r="G271">
        <v>278</v>
      </c>
      <c r="H271">
        <v>381</v>
      </c>
      <c r="I271">
        <v>33</v>
      </c>
      <c r="J271">
        <v>71</v>
      </c>
      <c r="K271">
        <v>2</v>
      </c>
      <c r="M271">
        <v>446</v>
      </c>
      <c r="N271">
        <v>740</v>
      </c>
      <c r="O271">
        <v>99638378.378378361</v>
      </c>
      <c r="P271">
        <v>74685232.432432428</v>
      </c>
      <c r="Q271">
        <v>1232</v>
      </c>
      <c r="R271">
        <v>4572</v>
      </c>
      <c r="S271">
        <v>383718310.8108108</v>
      </c>
      <c r="T271">
        <v>397609143.24324328</v>
      </c>
      <c r="U271">
        <v>95195675.675675675</v>
      </c>
      <c r="V271">
        <v>86015495.495495483</v>
      </c>
      <c r="W271">
        <v>20810</v>
      </c>
      <c r="X271">
        <v>21059</v>
      </c>
    </row>
    <row r="272" spans="1:24">
      <c r="A272" s="7" t="s">
        <v>366</v>
      </c>
      <c r="B272" s="16" t="s">
        <v>293</v>
      </c>
      <c r="C272">
        <v>702852018.83481634</v>
      </c>
      <c r="D272">
        <v>632112564.99255478</v>
      </c>
      <c r="E272">
        <v>83661936.936936945</v>
      </c>
      <c r="F272">
        <v>60502841.441441439</v>
      </c>
      <c r="G272">
        <v>333</v>
      </c>
      <c r="H272">
        <v>343</v>
      </c>
      <c r="I272">
        <v>26</v>
      </c>
      <c r="J272">
        <v>25</v>
      </c>
      <c r="K272">
        <v>2</v>
      </c>
      <c r="M272">
        <v>385</v>
      </c>
      <c r="N272">
        <v>411</v>
      </c>
      <c r="O272">
        <v>115147027.02702703</v>
      </c>
      <c r="P272">
        <v>87174324.32432434</v>
      </c>
      <c r="Q272">
        <v>397</v>
      </c>
      <c r="R272">
        <v>53</v>
      </c>
      <c r="S272">
        <v>218556124.32432431</v>
      </c>
      <c r="T272">
        <v>203909696.3963964</v>
      </c>
      <c r="U272">
        <v>99055855.855855852</v>
      </c>
      <c r="V272">
        <v>75958018.018018022</v>
      </c>
      <c r="W272">
        <v>11777</v>
      </c>
      <c r="X272">
        <v>11081</v>
      </c>
    </row>
    <row r="273" spans="1:24">
      <c r="A273" s="7" t="s">
        <v>367</v>
      </c>
      <c r="B273" s="16" t="s">
        <v>368</v>
      </c>
      <c r="C273">
        <v>289702629.91095579</v>
      </c>
      <c r="D273">
        <v>267446753.43887517</v>
      </c>
      <c r="E273">
        <v>53629229.729729734</v>
      </c>
      <c r="F273">
        <v>93164639.639639646</v>
      </c>
      <c r="G273">
        <v>48</v>
      </c>
      <c r="H273">
        <v>72</v>
      </c>
      <c r="I273">
        <v>21</v>
      </c>
      <c r="J273">
        <v>10</v>
      </c>
      <c r="K273">
        <v>1</v>
      </c>
      <c r="M273">
        <v>54</v>
      </c>
      <c r="N273">
        <v>87</v>
      </c>
      <c r="O273">
        <v>56936036.036036029</v>
      </c>
      <c r="P273">
        <v>83398198.198198199</v>
      </c>
      <c r="Q273">
        <v>512</v>
      </c>
      <c r="R273">
        <v>284</v>
      </c>
      <c r="S273">
        <v>118701637.83783785</v>
      </c>
      <c r="T273">
        <v>113942063.06306306</v>
      </c>
      <c r="U273">
        <v>56454864.864864863</v>
      </c>
      <c r="V273">
        <v>86100090.090090081</v>
      </c>
      <c r="W273">
        <v>3922</v>
      </c>
      <c r="X273">
        <v>4031</v>
      </c>
    </row>
    <row r="274" spans="1:24">
      <c r="A274" s="7" t="s">
        <v>369</v>
      </c>
      <c r="B274" s="16" t="s">
        <v>70</v>
      </c>
      <c r="C274">
        <v>76991229.21318312</v>
      </c>
      <c r="D274">
        <v>76867441.384859964</v>
      </c>
      <c r="E274">
        <v>1218693.693693693</v>
      </c>
      <c r="F274">
        <v>2217117.1171171181</v>
      </c>
      <c r="G274">
        <v>22</v>
      </c>
      <c r="H274">
        <v>48</v>
      </c>
      <c r="I274">
        <v>2</v>
      </c>
      <c r="J274">
        <v>7</v>
      </c>
      <c r="M274">
        <v>22</v>
      </c>
      <c r="N274">
        <v>80</v>
      </c>
      <c r="O274">
        <v>14193243.243243244</v>
      </c>
      <c r="P274">
        <v>15775675.675675675</v>
      </c>
      <c r="Q274">
        <v>30</v>
      </c>
      <c r="R274">
        <v>50</v>
      </c>
      <c r="S274">
        <v>25139189.189189192</v>
      </c>
      <c r="T274">
        <v>25324873.873873871</v>
      </c>
      <c r="U274">
        <v>13802792.792792792</v>
      </c>
      <c r="V274">
        <v>14760270.270270271</v>
      </c>
      <c r="W274">
        <v>905</v>
      </c>
      <c r="X274">
        <v>1259</v>
      </c>
    </row>
    <row r="275" spans="1:24">
      <c r="A275" s="7" t="s">
        <v>370</v>
      </c>
      <c r="B275" s="16" t="s">
        <v>50</v>
      </c>
      <c r="C275">
        <v>157397844.10741979</v>
      </c>
      <c r="D275">
        <v>161378989.82732743</v>
      </c>
      <c r="E275">
        <v>911711.711711713</v>
      </c>
      <c r="F275">
        <v>1318918.9189189209</v>
      </c>
      <c r="G275">
        <v>33</v>
      </c>
      <c r="H275">
        <v>40</v>
      </c>
      <c r="I275">
        <v>8</v>
      </c>
      <c r="J275">
        <v>8</v>
      </c>
      <c r="M275">
        <v>35</v>
      </c>
      <c r="N275">
        <v>43</v>
      </c>
      <c r="O275">
        <v>16014414.414414413</v>
      </c>
      <c r="P275">
        <v>14055585.585585585</v>
      </c>
      <c r="Q275">
        <v>13</v>
      </c>
      <c r="R275">
        <v>13</v>
      </c>
      <c r="S275">
        <v>71431612.61261262</v>
      </c>
      <c r="T275">
        <v>73175306.306306303</v>
      </c>
      <c r="U275">
        <v>14804144.144144144</v>
      </c>
      <c r="V275">
        <v>13170720.72072072</v>
      </c>
      <c r="W275">
        <v>2797</v>
      </c>
      <c r="X275">
        <v>2623</v>
      </c>
    </row>
    <row r="276" spans="1:24">
      <c r="A276" s="7" t="s">
        <v>371</v>
      </c>
      <c r="B276" s="16" t="s">
        <v>121</v>
      </c>
      <c r="C276">
        <v>169546545.1996831</v>
      </c>
      <c r="D276">
        <v>158644295.41732395</v>
      </c>
      <c r="E276">
        <v>14558558.558558561</v>
      </c>
      <c r="F276">
        <v>6395495.4954954954</v>
      </c>
      <c r="G276">
        <v>61</v>
      </c>
      <c r="H276">
        <v>67</v>
      </c>
      <c r="I276">
        <v>7</v>
      </c>
      <c r="J276">
        <v>5</v>
      </c>
      <c r="M276">
        <v>70</v>
      </c>
      <c r="N276">
        <v>76</v>
      </c>
      <c r="O276">
        <v>3765765.7657657671</v>
      </c>
      <c r="P276">
        <v>6373873.8738738727</v>
      </c>
      <c r="Q276">
        <v>40</v>
      </c>
      <c r="R276">
        <v>116</v>
      </c>
      <c r="S276">
        <v>15855855.855855856</v>
      </c>
      <c r="T276">
        <v>15843234.234234236</v>
      </c>
      <c r="U276">
        <v>2495675.6756756762</v>
      </c>
      <c r="V276">
        <v>5091261.2612612611</v>
      </c>
      <c r="W276">
        <v>2866</v>
      </c>
      <c r="X276">
        <v>2752</v>
      </c>
    </row>
    <row r="277" spans="1:24">
      <c r="A277" s="7" t="s">
        <v>372</v>
      </c>
      <c r="B277" s="16" t="s">
        <v>373</v>
      </c>
      <c r="C277">
        <v>428916851.31829935</v>
      </c>
      <c r="D277">
        <v>366263647.82172608</v>
      </c>
      <c r="E277">
        <v>66619580.180180185</v>
      </c>
      <c r="F277">
        <v>51353463.963963971</v>
      </c>
      <c r="G277">
        <v>509</v>
      </c>
      <c r="H277">
        <v>54</v>
      </c>
      <c r="I277">
        <v>21</v>
      </c>
      <c r="J277">
        <v>6</v>
      </c>
      <c r="K277">
        <v>1</v>
      </c>
      <c r="M277">
        <v>538</v>
      </c>
      <c r="N277">
        <v>58</v>
      </c>
      <c r="O277">
        <v>71635225.225225225</v>
      </c>
      <c r="P277">
        <v>77148018.018018022</v>
      </c>
      <c r="Q277">
        <v>34</v>
      </c>
      <c r="R277">
        <v>47</v>
      </c>
      <c r="S277">
        <v>170496651.35135135</v>
      </c>
      <c r="T277">
        <v>140387540.54054055</v>
      </c>
      <c r="U277">
        <v>77307340.540540546</v>
      </c>
      <c r="V277">
        <v>65637297.297297299</v>
      </c>
      <c r="W277">
        <v>10125</v>
      </c>
      <c r="X277">
        <v>10075</v>
      </c>
    </row>
    <row r="278" spans="1:24">
      <c r="A278" s="7" t="s">
        <v>374</v>
      </c>
      <c r="B278" s="16" t="s">
        <v>66</v>
      </c>
      <c r="C278">
        <v>270283407.05783647</v>
      </c>
      <c r="D278">
        <v>271169206.57979685</v>
      </c>
      <c r="E278">
        <v>1847297.297297297</v>
      </c>
      <c r="F278">
        <v>13380180.180180181</v>
      </c>
      <c r="G278">
        <v>113</v>
      </c>
      <c r="H278">
        <v>113</v>
      </c>
      <c r="I278">
        <v>15</v>
      </c>
      <c r="J278">
        <v>19</v>
      </c>
      <c r="M278">
        <v>155</v>
      </c>
      <c r="N278">
        <v>129</v>
      </c>
      <c r="O278">
        <v>50629234.234234244</v>
      </c>
      <c r="P278">
        <v>206273153.15315315</v>
      </c>
      <c r="Q278">
        <v>478</v>
      </c>
      <c r="R278">
        <v>1599</v>
      </c>
      <c r="S278">
        <v>97134099.0990991</v>
      </c>
      <c r="T278">
        <v>99337972.972972974</v>
      </c>
      <c r="U278">
        <v>41481981.981981985</v>
      </c>
      <c r="V278">
        <v>188133153.15315315</v>
      </c>
      <c r="W278">
        <v>7107</v>
      </c>
      <c r="X278">
        <v>7219</v>
      </c>
    </row>
    <row r="279" spans="1:24">
      <c r="A279" s="7" t="s">
        <v>375</v>
      </c>
      <c r="B279" s="16" t="s">
        <v>354</v>
      </c>
      <c r="C279">
        <v>420879565.06197643</v>
      </c>
      <c r="D279">
        <v>406244581.21374553</v>
      </c>
      <c r="E279">
        <v>200473612.61261261</v>
      </c>
      <c r="F279">
        <v>287608818.01801801</v>
      </c>
      <c r="G279">
        <v>525</v>
      </c>
      <c r="H279">
        <v>557</v>
      </c>
      <c r="I279">
        <v>8</v>
      </c>
      <c r="J279">
        <v>10</v>
      </c>
      <c r="M279">
        <v>544</v>
      </c>
      <c r="N279">
        <v>574</v>
      </c>
      <c r="O279">
        <v>73604144.144144148</v>
      </c>
      <c r="P279">
        <v>97886576.576576576</v>
      </c>
      <c r="Q279">
        <v>205</v>
      </c>
      <c r="R279">
        <v>310</v>
      </c>
      <c r="S279">
        <v>251591117.11711711</v>
      </c>
      <c r="T279">
        <v>249487900.9009009</v>
      </c>
      <c r="U279">
        <v>76066666.666666672</v>
      </c>
      <c r="V279">
        <v>106583423.42342342</v>
      </c>
      <c r="W279">
        <v>7184</v>
      </c>
      <c r="X279">
        <v>7059</v>
      </c>
    </row>
    <row r="280" spans="1:24">
      <c r="A280" s="7" t="s">
        <v>376</v>
      </c>
      <c r="B280" s="16" t="s">
        <v>66</v>
      </c>
      <c r="C280">
        <v>144113365.88491413</v>
      </c>
      <c r="D280">
        <v>155477728.52931479</v>
      </c>
      <c r="E280">
        <v>47747.747747747999</v>
      </c>
      <c r="F280">
        <v>1865765.765765768</v>
      </c>
      <c r="G280">
        <v>61</v>
      </c>
      <c r="H280">
        <v>64</v>
      </c>
      <c r="I280">
        <v>5</v>
      </c>
      <c r="J280">
        <v>6</v>
      </c>
      <c r="M280">
        <v>90</v>
      </c>
      <c r="N280">
        <v>76</v>
      </c>
      <c r="O280">
        <v>19438468.468468465</v>
      </c>
      <c r="P280">
        <v>26236576.576576576</v>
      </c>
      <c r="Q280">
        <v>138</v>
      </c>
      <c r="R280">
        <v>200</v>
      </c>
      <c r="S280">
        <v>64884971.171171166</v>
      </c>
      <c r="T280">
        <v>73046824.324324325</v>
      </c>
      <c r="U280">
        <v>18255765.765765764</v>
      </c>
      <c r="V280">
        <v>21185225.225225225</v>
      </c>
      <c r="W280">
        <v>4797</v>
      </c>
      <c r="X280">
        <v>4993</v>
      </c>
    </row>
    <row r="281" spans="1:24">
      <c r="A281" s="7" t="s">
        <v>377</v>
      </c>
      <c r="B281" s="16" t="s">
        <v>260</v>
      </c>
      <c r="C281">
        <v>138644503.2262131</v>
      </c>
      <c r="D281">
        <v>129848504.47067012</v>
      </c>
      <c r="E281">
        <v>183783.78378378399</v>
      </c>
      <c r="F281">
        <v>213513.51351351399</v>
      </c>
      <c r="G281">
        <v>9</v>
      </c>
      <c r="H281">
        <v>10</v>
      </c>
      <c r="I281">
        <v>1</v>
      </c>
      <c r="J281">
        <v>0</v>
      </c>
      <c r="M281">
        <v>9</v>
      </c>
      <c r="N281">
        <v>10</v>
      </c>
      <c r="O281">
        <v>6760360.3603603598</v>
      </c>
      <c r="P281">
        <v>7745045.0450450443</v>
      </c>
      <c r="Q281">
        <v>4</v>
      </c>
      <c r="R281">
        <v>41</v>
      </c>
      <c r="S281">
        <v>23269324.324324325</v>
      </c>
      <c r="T281">
        <v>21090288.288288288</v>
      </c>
      <c r="U281">
        <v>7931351.3513513505</v>
      </c>
      <c r="V281">
        <v>3807117.1171171172</v>
      </c>
      <c r="W281">
        <v>1670</v>
      </c>
      <c r="X281">
        <v>1695</v>
      </c>
    </row>
    <row r="282" spans="1:24">
      <c r="A282" s="7" t="s">
        <v>378</v>
      </c>
      <c r="B282" s="16" t="s">
        <v>354</v>
      </c>
      <c r="C282">
        <v>347841519.32460207</v>
      </c>
      <c r="D282">
        <v>339026944.86577415</v>
      </c>
      <c r="E282">
        <v>205877623.42342341</v>
      </c>
      <c r="F282">
        <v>147502702.7027027</v>
      </c>
      <c r="G282">
        <v>57</v>
      </c>
      <c r="H282">
        <v>67</v>
      </c>
      <c r="I282">
        <v>4</v>
      </c>
      <c r="J282">
        <v>10</v>
      </c>
      <c r="M282">
        <v>59</v>
      </c>
      <c r="N282">
        <v>73</v>
      </c>
      <c r="O282">
        <v>86009639.639639646</v>
      </c>
      <c r="P282">
        <v>76171846.846846849</v>
      </c>
      <c r="Q282">
        <v>145</v>
      </c>
      <c r="R282">
        <v>43</v>
      </c>
      <c r="S282">
        <v>183593423.42342341</v>
      </c>
      <c r="T282">
        <v>186748518.91891891</v>
      </c>
      <c r="U282">
        <v>77113963.963963971</v>
      </c>
      <c r="V282">
        <v>59686396.396396391</v>
      </c>
      <c r="W282">
        <v>4825</v>
      </c>
      <c r="X282">
        <v>4759</v>
      </c>
    </row>
    <row r="283" spans="1:24">
      <c r="A283" s="7" t="s">
        <v>379</v>
      </c>
      <c r="B283" s="16" t="s">
        <v>87</v>
      </c>
      <c r="C283">
        <v>7431856.143390106</v>
      </c>
      <c r="D283">
        <v>8596261.0654389914</v>
      </c>
      <c r="H283">
        <v>2</v>
      </c>
      <c r="N283">
        <v>3</v>
      </c>
      <c r="S283">
        <v>245270.27027027</v>
      </c>
      <c r="T283">
        <v>518378.37837837799</v>
      </c>
      <c r="W283">
        <v>203</v>
      </c>
      <c r="X283">
        <v>144</v>
      </c>
    </row>
    <row r="284" spans="1:24">
      <c r="A284" s="7" t="s">
        <v>380</v>
      </c>
      <c r="B284" s="16" t="s">
        <v>87</v>
      </c>
      <c r="C284">
        <v>29688610.671761498</v>
      </c>
      <c r="D284">
        <v>11867577.259366641</v>
      </c>
      <c r="E284">
        <v>25225.225225225</v>
      </c>
      <c r="G284">
        <v>190</v>
      </c>
      <c r="H284">
        <v>25</v>
      </c>
      <c r="I284">
        <v>1</v>
      </c>
      <c r="M284">
        <v>191</v>
      </c>
      <c r="N284">
        <v>27</v>
      </c>
      <c r="O284">
        <v>92792.792792793</v>
      </c>
      <c r="Q284">
        <v>3</v>
      </c>
      <c r="S284">
        <v>4757657.6576576577</v>
      </c>
      <c r="T284">
        <v>1473477.4774774769</v>
      </c>
      <c r="U284">
        <v>86036.036036036006</v>
      </c>
      <c r="W284">
        <v>519</v>
      </c>
      <c r="X284">
        <v>366</v>
      </c>
    </row>
    <row r="285" spans="1:24">
      <c r="A285" s="7" t="s">
        <v>381</v>
      </c>
      <c r="B285" s="16" t="s">
        <v>80</v>
      </c>
      <c r="C285">
        <v>2329997582.0091591</v>
      </c>
      <c r="D285">
        <v>2267919425.3932581</v>
      </c>
      <c r="E285">
        <v>1893818801.8018017</v>
      </c>
      <c r="F285">
        <v>1384452871.1711712</v>
      </c>
      <c r="G285">
        <v>739</v>
      </c>
      <c r="H285">
        <v>901</v>
      </c>
      <c r="I285">
        <v>81</v>
      </c>
      <c r="J285">
        <v>71</v>
      </c>
      <c r="K285">
        <v>1</v>
      </c>
      <c r="M285">
        <v>864</v>
      </c>
      <c r="N285">
        <v>1059</v>
      </c>
      <c r="O285">
        <v>305420540.54054052</v>
      </c>
      <c r="P285">
        <v>368490540.54054052</v>
      </c>
      <c r="Q285">
        <v>1576</v>
      </c>
      <c r="R285">
        <v>1125</v>
      </c>
      <c r="S285">
        <v>573173834.23423421</v>
      </c>
      <c r="T285">
        <v>591587613.06306303</v>
      </c>
      <c r="U285">
        <v>266395045.04504502</v>
      </c>
      <c r="V285">
        <v>329402972.97297299</v>
      </c>
      <c r="W285">
        <v>36618</v>
      </c>
      <c r="X285">
        <v>36765</v>
      </c>
    </row>
    <row r="286" spans="1:24">
      <c r="A286" s="7" t="s">
        <v>382</v>
      </c>
      <c r="B286" s="16" t="s">
        <v>80</v>
      </c>
      <c r="C286">
        <v>636504374.14334297</v>
      </c>
      <c r="D286">
        <v>624330828.81409061</v>
      </c>
      <c r="E286">
        <v>3973873.8738738741</v>
      </c>
      <c r="F286">
        <v>8096621.6216216246</v>
      </c>
      <c r="G286">
        <v>182</v>
      </c>
      <c r="H286">
        <v>211</v>
      </c>
      <c r="I286">
        <v>21</v>
      </c>
      <c r="J286">
        <v>23</v>
      </c>
      <c r="K286">
        <v>2</v>
      </c>
      <c r="M286">
        <v>203</v>
      </c>
      <c r="N286">
        <v>239</v>
      </c>
      <c r="O286">
        <v>124846396.3963964</v>
      </c>
      <c r="P286">
        <v>128085585.58558558</v>
      </c>
      <c r="Q286">
        <v>281</v>
      </c>
      <c r="R286">
        <v>227</v>
      </c>
      <c r="S286">
        <v>264547180.18018019</v>
      </c>
      <c r="T286">
        <v>257800861.7117117</v>
      </c>
      <c r="U286">
        <v>115172252.25225225</v>
      </c>
      <c r="V286">
        <v>112759769.36936936</v>
      </c>
      <c r="W286">
        <v>10608</v>
      </c>
      <c r="X286">
        <v>9903</v>
      </c>
    </row>
    <row r="287" spans="1:24">
      <c r="A287" s="7" t="s">
        <v>383</v>
      </c>
      <c r="B287" s="16" t="s">
        <v>80</v>
      </c>
      <c r="C287">
        <v>875936847.12286389</v>
      </c>
      <c r="D287">
        <v>787818972.72987401</v>
      </c>
      <c r="E287">
        <v>73198.198198198996</v>
      </c>
      <c r="F287">
        <v>884303.60360360495</v>
      </c>
      <c r="G287">
        <v>212</v>
      </c>
      <c r="H287">
        <v>116</v>
      </c>
      <c r="I287">
        <v>3</v>
      </c>
      <c r="J287">
        <v>3</v>
      </c>
      <c r="M287">
        <v>227</v>
      </c>
      <c r="N287">
        <v>127</v>
      </c>
      <c r="O287">
        <v>40067567.567567565</v>
      </c>
      <c r="P287">
        <v>58802301.801801801</v>
      </c>
      <c r="Q287">
        <v>105</v>
      </c>
      <c r="R287">
        <v>45</v>
      </c>
      <c r="S287">
        <v>164473596.3963964</v>
      </c>
      <c r="T287">
        <v>160107963.96396396</v>
      </c>
      <c r="U287">
        <v>35829099.0990991</v>
      </c>
      <c r="V287">
        <v>61794414.414414413</v>
      </c>
      <c r="W287">
        <v>9900</v>
      </c>
      <c r="X287">
        <v>9783</v>
      </c>
    </row>
    <row r="288" spans="1:24">
      <c r="A288" s="7" t="s">
        <v>384</v>
      </c>
      <c r="B288" s="16" t="s">
        <v>68</v>
      </c>
      <c r="C288">
        <v>346852019.32317454</v>
      </c>
      <c r="D288">
        <v>340437609.66214502</v>
      </c>
      <c r="E288">
        <v>136762517.11711711</v>
      </c>
      <c r="F288">
        <v>108743841.44144145</v>
      </c>
      <c r="G288">
        <v>109</v>
      </c>
      <c r="H288">
        <v>71</v>
      </c>
      <c r="I288">
        <v>5</v>
      </c>
      <c r="J288">
        <v>4</v>
      </c>
      <c r="M288">
        <v>127</v>
      </c>
      <c r="N288">
        <v>78</v>
      </c>
      <c r="O288">
        <v>17411711.711711708</v>
      </c>
      <c r="P288">
        <v>13862612.612612613</v>
      </c>
      <c r="Q288">
        <v>80</v>
      </c>
      <c r="R288">
        <v>52</v>
      </c>
      <c r="S288">
        <v>47429621.621621624</v>
      </c>
      <c r="T288">
        <v>48563036.036036037</v>
      </c>
      <c r="U288">
        <v>16144414.414414415</v>
      </c>
      <c r="V288">
        <v>12382972.972972972</v>
      </c>
      <c r="W288">
        <v>4970</v>
      </c>
      <c r="X288">
        <v>5209</v>
      </c>
    </row>
    <row r="289" spans="1:24">
      <c r="A289" s="7" t="s">
        <v>385</v>
      </c>
      <c r="B289" s="16" t="s">
        <v>167</v>
      </c>
      <c r="C289">
        <v>126756641.57745767</v>
      </c>
      <c r="D289">
        <v>115618231.64793944</v>
      </c>
      <c r="E289">
        <v>27027.027027028998</v>
      </c>
      <c r="F289">
        <v>1997297.297297298</v>
      </c>
      <c r="G289">
        <v>59</v>
      </c>
      <c r="H289">
        <v>42</v>
      </c>
      <c r="I289">
        <v>5</v>
      </c>
      <c r="J289">
        <v>7</v>
      </c>
      <c r="M289">
        <v>64</v>
      </c>
      <c r="N289">
        <v>51</v>
      </c>
      <c r="O289">
        <v>37491700</v>
      </c>
      <c r="P289">
        <v>27446912.612612616</v>
      </c>
      <c r="Q289">
        <v>257</v>
      </c>
      <c r="R289">
        <v>56</v>
      </c>
      <c r="S289">
        <v>50941664.864864863</v>
      </c>
      <c r="T289">
        <v>49397855.855855852</v>
      </c>
      <c r="U289">
        <v>29714684.684684686</v>
      </c>
      <c r="V289">
        <v>23525135.135135137</v>
      </c>
      <c r="W289">
        <v>2432</v>
      </c>
      <c r="X289">
        <v>2424</v>
      </c>
    </row>
    <row r="290" spans="1:24">
      <c r="A290" s="7" t="s">
        <v>386</v>
      </c>
      <c r="B290" s="16" t="s">
        <v>94</v>
      </c>
      <c r="C290">
        <v>684504588.08135724</v>
      </c>
      <c r="D290">
        <v>671057590.2430644</v>
      </c>
      <c r="E290">
        <v>2182882.8828828819</v>
      </c>
      <c r="F290">
        <v>806306.30630630697</v>
      </c>
      <c r="G290">
        <v>174</v>
      </c>
      <c r="H290">
        <v>157</v>
      </c>
      <c r="I290">
        <v>6</v>
      </c>
      <c r="J290">
        <v>8</v>
      </c>
      <c r="K290">
        <v>2</v>
      </c>
      <c r="M290">
        <v>191</v>
      </c>
      <c r="N290">
        <v>171</v>
      </c>
      <c r="O290">
        <v>23005405.405405402</v>
      </c>
      <c r="P290">
        <v>23696396.396396395</v>
      </c>
      <c r="Q290">
        <v>43</v>
      </c>
      <c r="R290">
        <v>144</v>
      </c>
      <c r="S290">
        <v>71345401.801801801</v>
      </c>
      <c r="T290">
        <v>78295583.783783793</v>
      </c>
      <c r="U290">
        <v>16061621.62162162</v>
      </c>
      <c r="V290">
        <v>19112432.432432432</v>
      </c>
      <c r="W290">
        <v>8275</v>
      </c>
      <c r="X290">
        <v>8350</v>
      </c>
    </row>
    <row r="291" spans="1:24">
      <c r="A291" s="7" t="s">
        <v>387</v>
      </c>
      <c r="B291" s="16" t="s">
        <v>214</v>
      </c>
      <c r="C291">
        <v>128574769.58138712</v>
      </c>
      <c r="D291">
        <v>122259232.90406387</v>
      </c>
      <c r="E291">
        <v>18018.018018018</v>
      </c>
      <c r="F291">
        <v>1183783.7837837839</v>
      </c>
      <c r="G291">
        <v>46</v>
      </c>
      <c r="H291">
        <v>48</v>
      </c>
      <c r="I291">
        <v>1</v>
      </c>
      <c r="J291">
        <v>1</v>
      </c>
      <c r="M291">
        <v>49</v>
      </c>
      <c r="N291">
        <v>53</v>
      </c>
      <c r="O291">
        <v>117117.117117117</v>
      </c>
      <c r="P291">
        <v>2985585.5855855858</v>
      </c>
      <c r="S291">
        <v>58267477.477477483</v>
      </c>
      <c r="T291">
        <v>58485567.567567565</v>
      </c>
      <c r="U291">
        <v>89639.639639639994</v>
      </c>
      <c r="V291">
        <v>2582882.8828828828</v>
      </c>
      <c r="W291">
        <v>2271</v>
      </c>
      <c r="X291">
        <v>2318</v>
      </c>
    </row>
    <row r="292" spans="1:24">
      <c r="A292" s="7" t="s">
        <v>388</v>
      </c>
      <c r="B292" s="16" t="s">
        <v>117</v>
      </c>
      <c r="C292">
        <v>52071201.399392568</v>
      </c>
      <c r="D292">
        <v>50003942.922290489</v>
      </c>
      <c r="E292">
        <v>58558.558558559998</v>
      </c>
      <c r="F292">
        <v>826126.12612612499</v>
      </c>
      <c r="G292">
        <v>40</v>
      </c>
      <c r="H292">
        <v>37</v>
      </c>
      <c r="I292">
        <v>7</v>
      </c>
      <c r="J292">
        <v>7</v>
      </c>
      <c r="M292">
        <v>48</v>
      </c>
      <c r="N292">
        <v>45</v>
      </c>
      <c r="O292">
        <v>5434543.2432432417</v>
      </c>
      <c r="P292">
        <v>15465881.081081079</v>
      </c>
      <c r="Q292">
        <v>30</v>
      </c>
      <c r="S292">
        <v>24625450.450450446</v>
      </c>
      <c r="T292">
        <v>23466540.540540539</v>
      </c>
      <c r="U292">
        <v>3320630.6306306291</v>
      </c>
      <c r="V292">
        <v>13552072.072072072</v>
      </c>
      <c r="W292">
        <v>1713</v>
      </c>
      <c r="X292">
        <v>1936</v>
      </c>
    </row>
    <row r="293" spans="1:24">
      <c r="A293" s="7" t="s">
        <v>389</v>
      </c>
      <c r="B293" s="16" t="s">
        <v>315</v>
      </c>
      <c r="C293">
        <v>230246642.08082327</v>
      </c>
      <c r="D293">
        <v>218707524.63497326</v>
      </c>
      <c r="E293">
        <v>2892342.3423423432</v>
      </c>
      <c r="F293">
        <v>678378.37837837799</v>
      </c>
      <c r="G293">
        <v>29</v>
      </c>
      <c r="H293">
        <v>23</v>
      </c>
      <c r="I293">
        <v>0</v>
      </c>
      <c r="J293">
        <v>1</v>
      </c>
      <c r="M293">
        <v>33</v>
      </c>
      <c r="N293">
        <v>23</v>
      </c>
      <c r="O293">
        <v>13313963.963963963</v>
      </c>
      <c r="P293">
        <v>8245945.9459459456</v>
      </c>
      <c r="S293">
        <v>46957162.162162162</v>
      </c>
      <c r="T293">
        <v>44690684.684684686</v>
      </c>
      <c r="U293">
        <v>11799189.189189188</v>
      </c>
      <c r="V293">
        <v>9052072.072072072</v>
      </c>
      <c r="W293">
        <v>2758</v>
      </c>
      <c r="X293">
        <v>2667</v>
      </c>
    </row>
    <row r="294" spans="1:24">
      <c r="A294" s="7" t="s">
        <v>390</v>
      </c>
      <c r="B294" s="16" t="s">
        <v>224</v>
      </c>
      <c r="C294">
        <v>122220514.46818849</v>
      </c>
      <c r="D294">
        <v>89470454.975322247</v>
      </c>
      <c r="G294">
        <v>117</v>
      </c>
      <c r="H294">
        <v>11</v>
      </c>
      <c r="M294">
        <v>121</v>
      </c>
      <c r="N294">
        <v>11</v>
      </c>
      <c r="S294">
        <v>23254585.585585583</v>
      </c>
      <c r="T294">
        <v>16885315.315315317</v>
      </c>
      <c r="W294">
        <v>1634</v>
      </c>
      <c r="X294">
        <v>1480</v>
      </c>
    </row>
    <row r="295" spans="1:24">
      <c r="A295" s="7" t="s">
        <v>6</v>
      </c>
      <c r="B295" s="16" t="s">
        <v>193</v>
      </c>
      <c r="C295">
        <v>808847343.41191638</v>
      </c>
      <c r="D295">
        <v>802439872.73643887</v>
      </c>
      <c r="E295">
        <v>6758108.1081081014</v>
      </c>
      <c r="F295">
        <v>10413988.288288295</v>
      </c>
      <c r="G295">
        <v>732</v>
      </c>
      <c r="H295">
        <v>528</v>
      </c>
      <c r="I295">
        <v>25</v>
      </c>
      <c r="J295">
        <v>18</v>
      </c>
      <c r="K295">
        <v>2</v>
      </c>
      <c r="M295">
        <v>1256</v>
      </c>
      <c r="N295">
        <v>976</v>
      </c>
      <c r="O295">
        <v>319759909.9099099</v>
      </c>
      <c r="P295">
        <v>357263183.78378379</v>
      </c>
      <c r="Q295">
        <v>728</v>
      </c>
      <c r="R295">
        <v>1019</v>
      </c>
      <c r="S295">
        <v>543419864.86486495</v>
      </c>
      <c r="T295">
        <v>540595252.25225222</v>
      </c>
      <c r="U295">
        <v>288366666.66666669</v>
      </c>
      <c r="V295">
        <v>321065675.67567563</v>
      </c>
      <c r="W295">
        <v>13148</v>
      </c>
      <c r="X295">
        <v>13508</v>
      </c>
    </row>
    <row r="296" spans="1:24">
      <c r="A296" s="7" t="s">
        <v>391</v>
      </c>
      <c r="B296" s="16" t="s">
        <v>121</v>
      </c>
      <c r="C296">
        <v>31115509.3177743</v>
      </c>
      <c r="D296">
        <v>34564112.993867479</v>
      </c>
      <c r="E296">
        <v>9009.0090090089998</v>
      </c>
      <c r="G296">
        <v>21</v>
      </c>
      <c r="H296">
        <v>10</v>
      </c>
      <c r="M296">
        <v>22</v>
      </c>
      <c r="N296">
        <v>12</v>
      </c>
      <c r="O296">
        <v>90090.090090090001</v>
      </c>
      <c r="Q296">
        <v>9</v>
      </c>
      <c r="S296">
        <v>1651936.936936937</v>
      </c>
      <c r="T296">
        <v>1738855.8558558561</v>
      </c>
      <c r="U296">
        <v>81081.081081081007</v>
      </c>
      <c r="W296">
        <v>568</v>
      </c>
      <c r="X296">
        <v>584</v>
      </c>
    </row>
    <row r="297" spans="1:24">
      <c r="A297" s="7" t="s">
        <v>392</v>
      </c>
      <c r="B297" s="16" t="s">
        <v>134</v>
      </c>
      <c r="C297">
        <v>109800393.13774519</v>
      </c>
      <c r="D297">
        <v>105492852.37725011</v>
      </c>
      <c r="E297">
        <v>7207.2072072069996</v>
      </c>
      <c r="F297">
        <v>67567.567567567996</v>
      </c>
      <c r="G297">
        <v>38</v>
      </c>
      <c r="H297">
        <v>33</v>
      </c>
      <c r="I297">
        <v>2</v>
      </c>
      <c r="J297">
        <v>1</v>
      </c>
      <c r="M297">
        <v>43</v>
      </c>
      <c r="N297">
        <v>39</v>
      </c>
      <c r="O297">
        <v>10971171.171171168</v>
      </c>
      <c r="P297">
        <v>7067567.5675675664</v>
      </c>
      <c r="Q297">
        <v>44</v>
      </c>
      <c r="R297">
        <v>20</v>
      </c>
      <c r="S297">
        <v>23480520.72072072</v>
      </c>
      <c r="T297">
        <v>21515935.135135137</v>
      </c>
      <c r="U297">
        <v>3418918.9189189202</v>
      </c>
      <c r="V297">
        <v>2258738.7387387399</v>
      </c>
      <c r="W297">
        <v>3406</v>
      </c>
      <c r="X297">
        <v>3563</v>
      </c>
    </row>
    <row r="298" spans="1:24">
      <c r="A298" s="7" t="s">
        <v>393</v>
      </c>
      <c r="B298" s="16" t="s">
        <v>58</v>
      </c>
      <c r="C298">
        <v>537879723.94902062</v>
      </c>
      <c r="D298">
        <v>520321363.53289545</v>
      </c>
      <c r="E298">
        <v>12108783.783783788</v>
      </c>
      <c r="F298">
        <v>14211261.261261264</v>
      </c>
      <c r="G298">
        <v>280</v>
      </c>
      <c r="H298">
        <v>186</v>
      </c>
      <c r="I298">
        <v>21</v>
      </c>
      <c r="J298">
        <v>23</v>
      </c>
      <c r="K298">
        <v>4</v>
      </c>
      <c r="M298">
        <v>313</v>
      </c>
      <c r="N298">
        <v>213</v>
      </c>
      <c r="O298">
        <v>68648198.198198199</v>
      </c>
      <c r="P298">
        <v>46737837.837837838</v>
      </c>
      <c r="Q298">
        <v>407</v>
      </c>
      <c r="R298">
        <v>68</v>
      </c>
      <c r="S298">
        <v>84491816.216216207</v>
      </c>
      <c r="T298">
        <v>83935297.297297299</v>
      </c>
      <c r="U298">
        <v>61989052.252252258</v>
      </c>
      <c r="V298">
        <v>52149189.189189196</v>
      </c>
      <c r="W298">
        <v>9055</v>
      </c>
      <c r="X298">
        <v>9104</v>
      </c>
    </row>
    <row r="299" spans="1:24">
      <c r="A299" s="7" t="s">
        <v>394</v>
      </c>
      <c r="B299" s="16" t="s">
        <v>134</v>
      </c>
      <c r="C299">
        <v>188741551.04025075</v>
      </c>
      <c r="D299">
        <v>179655640.84359518</v>
      </c>
      <c r="E299">
        <v>49774.774774776</v>
      </c>
      <c r="F299">
        <v>1098648.6486486499</v>
      </c>
      <c r="G299">
        <v>31</v>
      </c>
      <c r="H299">
        <v>28</v>
      </c>
      <c r="I299">
        <v>9</v>
      </c>
      <c r="J299">
        <v>6</v>
      </c>
      <c r="M299">
        <v>33</v>
      </c>
      <c r="N299">
        <v>32</v>
      </c>
      <c r="O299">
        <v>19320720.72072072</v>
      </c>
      <c r="P299">
        <v>25977477.477477476</v>
      </c>
      <c r="Q299">
        <v>185</v>
      </c>
      <c r="R299">
        <v>215</v>
      </c>
      <c r="S299">
        <v>34141250.45045045</v>
      </c>
      <c r="T299">
        <v>32583980.180180181</v>
      </c>
      <c r="U299">
        <v>11914594.594594594</v>
      </c>
      <c r="V299">
        <v>18029459.459459461</v>
      </c>
      <c r="W299">
        <v>3808</v>
      </c>
      <c r="X299">
        <v>3885</v>
      </c>
    </row>
    <row r="300" spans="1:24">
      <c r="A300" s="7" t="s">
        <v>395</v>
      </c>
      <c r="B300" s="16" t="s">
        <v>54</v>
      </c>
      <c r="C300">
        <v>79720302.108121514</v>
      </c>
      <c r="D300">
        <v>75611412.184443653</v>
      </c>
      <c r="E300">
        <v>281081.081081082</v>
      </c>
      <c r="F300">
        <v>56756.756756757</v>
      </c>
      <c r="G300">
        <v>16</v>
      </c>
      <c r="H300">
        <v>20</v>
      </c>
      <c r="I300">
        <v>1</v>
      </c>
      <c r="J300">
        <v>2</v>
      </c>
      <c r="M300">
        <v>19</v>
      </c>
      <c r="N300">
        <v>21</v>
      </c>
      <c r="O300">
        <v>4213513.5135135138</v>
      </c>
      <c r="P300">
        <v>3281981.981981982</v>
      </c>
      <c r="Q300">
        <v>24</v>
      </c>
      <c r="R300">
        <v>7</v>
      </c>
      <c r="S300">
        <v>13674099.0990991</v>
      </c>
      <c r="T300">
        <v>12327864.864864863</v>
      </c>
      <c r="U300">
        <v>4607747.7477477472</v>
      </c>
      <c r="V300">
        <v>3571621.6216216218</v>
      </c>
      <c r="W300">
        <v>1553</v>
      </c>
      <c r="X300">
        <v>1596</v>
      </c>
    </row>
    <row r="301" spans="1:24">
      <c r="A301" s="7" t="s">
        <v>396</v>
      </c>
      <c r="B301" s="16" t="s">
        <v>397</v>
      </c>
      <c r="C301">
        <v>551748268.35604763</v>
      </c>
      <c r="D301">
        <v>534564690.49189609</v>
      </c>
      <c r="E301">
        <v>69042072.072072074</v>
      </c>
      <c r="F301">
        <v>90252702.702702701</v>
      </c>
      <c r="G301">
        <v>275</v>
      </c>
      <c r="H301">
        <v>431</v>
      </c>
      <c r="I301">
        <v>15</v>
      </c>
      <c r="J301">
        <v>20</v>
      </c>
      <c r="M301">
        <v>449</v>
      </c>
      <c r="N301">
        <v>627</v>
      </c>
      <c r="O301">
        <v>61607567.567567565</v>
      </c>
      <c r="P301">
        <v>68936261.261261269</v>
      </c>
      <c r="Q301">
        <v>547</v>
      </c>
      <c r="R301">
        <v>502</v>
      </c>
      <c r="S301">
        <v>106652088.2882883</v>
      </c>
      <c r="T301">
        <v>107792136.93693693</v>
      </c>
      <c r="U301">
        <v>62380045.045045048</v>
      </c>
      <c r="V301">
        <v>61772207.20720721</v>
      </c>
      <c r="W301">
        <v>9458</v>
      </c>
      <c r="X301">
        <v>9764</v>
      </c>
    </row>
    <row r="302" spans="1:24">
      <c r="A302" s="7" t="s">
        <v>398</v>
      </c>
      <c r="B302" s="16" t="s">
        <v>399</v>
      </c>
      <c r="C302">
        <v>618190612.54373968</v>
      </c>
      <c r="D302">
        <v>582610906.3314749</v>
      </c>
      <c r="E302">
        <v>12329279.279279282</v>
      </c>
      <c r="F302">
        <v>25345945.945945948</v>
      </c>
      <c r="G302">
        <v>165</v>
      </c>
      <c r="H302">
        <v>126</v>
      </c>
      <c r="I302">
        <v>25</v>
      </c>
      <c r="J302">
        <v>19</v>
      </c>
      <c r="K302">
        <v>1</v>
      </c>
      <c r="M302">
        <v>191</v>
      </c>
      <c r="N302">
        <v>139</v>
      </c>
      <c r="O302">
        <v>130278648.64864863</v>
      </c>
      <c r="P302">
        <v>58884909.909909904</v>
      </c>
      <c r="Q302">
        <v>662</v>
      </c>
      <c r="R302">
        <v>339</v>
      </c>
      <c r="S302">
        <v>110793167.56756757</v>
      </c>
      <c r="T302">
        <v>106668891.89189188</v>
      </c>
      <c r="U302">
        <v>124777567.56756757</v>
      </c>
      <c r="V302">
        <v>52671981.981981985</v>
      </c>
      <c r="W302">
        <v>11389</v>
      </c>
      <c r="X302">
        <v>11629</v>
      </c>
    </row>
    <row r="303" spans="1:24">
      <c r="A303" s="7" t="s">
        <v>400</v>
      </c>
      <c r="B303" s="16" t="s">
        <v>140</v>
      </c>
      <c r="C303">
        <v>197994048.7185798</v>
      </c>
      <c r="D303">
        <v>187180738.00827312</v>
      </c>
      <c r="E303">
        <v>708108.10810810898</v>
      </c>
      <c r="F303">
        <v>2670270.2702702712</v>
      </c>
      <c r="G303">
        <v>41</v>
      </c>
      <c r="H303">
        <v>51</v>
      </c>
      <c r="I303">
        <v>5</v>
      </c>
      <c r="J303">
        <v>9</v>
      </c>
      <c r="M303">
        <v>47</v>
      </c>
      <c r="N303">
        <v>56</v>
      </c>
      <c r="O303">
        <v>39679279.279279277</v>
      </c>
      <c r="P303">
        <v>39286666.666666672</v>
      </c>
      <c r="Q303">
        <v>21</v>
      </c>
      <c r="R303">
        <v>11</v>
      </c>
      <c r="S303">
        <v>58724009.009009011</v>
      </c>
      <c r="T303">
        <v>57678644.144144148</v>
      </c>
      <c r="U303">
        <v>35117297.297297299</v>
      </c>
      <c r="V303">
        <v>36728108.108108103</v>
      </c>
      <c r="W303">
        <v>3390</v>
      </c>
      <c r="X303">
        <v>3298</v>
      </c>
    </row>
    <row r="304" spans="1:24">
      <c r="A304" s="7" t="s">
        <v>401</v>
      </c>
      <c r="B304" s="16" t="s">
        <v>121</v>
      </c>
      <c r="C304">
        <v>58428295.988767996</v>
      </c>
      <c r="D304">
        <v>51513642.291098274</v>
      </c>
      <c r="E304">
        <v>3603.603603604</v>
      </c>
      <c r="F304">
        <v>414414.41441441502</v>
      </c>
      <c r="G304">
        <v>33</v>
      </c>
      <c r="H304">
        <v>17</v>
      </c>
      <c r="I304">
        <v>1</v>
      </c>
      <c r="J304">
        <v>1</v>
      </c>
      <c r="M304">
        <v>41</v>
      </c>
      <c r="N304">
        <v>22</v>
      </c>
      <c r="O304">
        <v>57657.657657657997</v>
      </c>
      <c r="P304">
        <v>2216216.2162162168</v>
      </c>
      <c r="Q304">
        <v>7</v>
      </c>
      <c r="R304">
        <v>2</v>
      </c>
      <c r="S304">
        <v>3969234.2342342339</v>
      </c>
      <c r="T304">
        <v>4879155.405405405</v>
      </c>
      <c r="U304">
        <v>1512882.8828828831</v>
      </c>
      <c r="V304">
        <v>1302702.702702702</v>
      </c>
      <c r="W304">
        <v>1072</v>
      </c>
      <c r="X304">
        <v>1095</v>
      </c>
    </row>
    <row r="305" spans="1:24">
      <c r="A305" s="7" t="s">
        <v>402</v>
      </c>
      <c r="B305" s="16" t="s">
        <v>290</v>
      </c>
      <c r="C305">
        <v>108408985.49559474</v>
      </c>
      <c r="D305">
        <v>81303402.432795808</v>
      </c>
      <c r="E305">
        <v>79279.279279280003</v>
      </c>
      <c r="F305">
        <v>466216.21621621703</v>
      </c>
      <c r="G305">
        <v>55</v>
      </c>
      <c r="H305">
        <v>18</v>
      </c>
      <c r="I305">
        <v>5</v>
      </c>
      <c r="J305">
        <v>3</v>
      </c>
      <c r="K305">
        <v>1</v>
      </c>
      <c r="M305">
        <v>57</v>
      </c>
      <c r="N305">
        <v>22</v>
      </c>
      <c r="O305">
        <v>5232432.4324324327</v>
      </c>
      <c r="P305">
        <v>3552252.2522522528</v>
      </c>
      <c r="Q305">
        <v>59</v>
      </c>
      <c r="R305">
        <v>45</v>
      </c>
      <c r="S305">
        <v>13190540.540540541</v>
      </c>
      <c r="T305">
        <v>10783882.882882884</v>
      </c>
      <c r="U305">
        <v>5726756.7567567565</v>
      </c>
      <c r="V305">
        <v>3927117.1171171172</v>
      </c>
      <c r="W305">
        <v>1638</v>
      </c>
      <c r="X305">
        <v>1698</v>
      </c>
    </row>
    <row r="306" spans="1:24">
      <c r="A306" s="7" t="s">
        <v>403</v>
      </c>
      <c r="B306" s="16" t="s">
        <v>121</v>
      </c>
      <c r="C306">
        <v>94465264.203889817</v>
      </c>
      <c r="D306">
        <v>89378409.976130426</v>
      </c>
      <c r="F306">
        <v>57432.432432431997</v>
      </c>
      <c r="G306">
        <v>14</v>
      </c>
      <c r="H306">
        <v>16</v>
      </c>
      <c r="I306">
        <v>1</v>
      </c>
      <c r="J306">
        <v>0</v>
      </c>
      <c r="M306">
        <v>17</v>
      </c>
      <c r="N306">
        <v>18</v>
      </c>
      <c r="O306">
        <v>162162.16216216201</v>
      </c>
      <c r="P306">
        <v>60360.360360359999</v>
      </c>
      <c r="Q306">
        <v>20</v>
      </c>
      <c r="R306">
        <v>1</v>
      </c>
      <c r="S306">
        <v>7189504.5045045046</v>
      </c>
      <c r="T306">
        <v>6626747.7477477482</v>
      </c>
      <c r="U306">
        <v>198198.19819819799</v>
      </c>
      <c r="V306">
        <v>13513.513513514001</v>
      </c>
      <c r="W306">
        <v>1095</v>
      </c>
      <c r="X306">
        <v>1052</v>
      </c>
    </row>
    <row r="307" spans="1:24">
      <c r="A307" s="7" t="s">
        <v>404</v>
      </c>
      <c r="B307" s="16" t="s">
        <v>368</v>
      </c>
      <c r="C307">
        <v>225782696.14139098</v>
      </c>
      <c r="D307">
        <v>199437724.28101605</v>
      </c>
      <c r="E307">
        <v>53763645.945945948</v>
      </c>
      <c r="F307">
        <v>36799232.432432435</v>
      </c>
      <c r="G307">
        <v>70</v>
      </c>
      <c r="H307">
        <v>130</v>
      </c>
      <c r="I307">
        <v>14</v>
      </c>
      <c r="J307">
        <v>11</v>
      </c>
      <c r="K307">
        <v>1</v>
      </c>
      <c r="M307">
        <v>77</v>
      </c>
      <c r="N307">
        <v>173</v>
      </c>
      <c r="O307">
        <v>45649819.819819815</v>
      </c>
      <c r="P307">
        <v>55774144.144144148</v>
      </c>
      <c r="Q307">
        <v>485</v>
      </c>
      <c r="R307">
        <v>147</v>
      </c>
      <c r="S307">
        <v>70444256.756756753</v>
      </c>
      <c r="T307">
        <v>71599166.666666672</v>
      </c>
      <c r="U307">
        <v>40646576.576576576</v>
      </c>
      <c r="V307">
        <v>48906126.126126125</v>
      </c>
      <c r="W307">
        <v>4225</v>
      </c>
      <c r="X307">
        <v>4413</v>
      </c>
    </row>
    <row r="308" spans="1:24">
      <c r="A308" s="7" t="s">
        <v>405</v>
      </c>
      <c r="B308" s="16" t="s">
        <v>140</v>
      </c>
      <c r="C308">
        <v>96125434.240102842</v>
      </c>
      <c r="D308">
        <v>97686125.724080265</v>
      </c>
      <c r="E308">
        <v>16666.666666666999</v>
      </c>
      <c r="F308">
        <v>255630.63063063001</v>
      </c>
      <c r="G308">
        <v>2</v>
      </c>
      <c r="H308">
        <v>20</v>
      </c>
      <c r="I308">
        <v>0</v>
      </c>
      <c r="J308">
        <v>1</v>
      </c>
      <c r="M308">
        <v>4</v>
      </c>
      <c r="N308">
        <v>21</v>
      </c>
      <c r="O308">
        <v>13439639.63963964</v>
      </c>
      <c r="P308">
        <v>12647207.207207208</v>
      </c>
      <c r="Q308">
        <v>15</v>
      </c>
      <c r="R308">
        <v>16</v>
      </c>
      <c r="S308">
        <v>25668603.603603605</v>
      </c>
      <c r="T308">
        <v>26301836.036036037</v>
      </c>
      <c r="U308">
        <v>13503333.333333334</v>
      </c>
      <c r="V308">
        <v>13677387.387387387</v>
      </c>
      <c r="W308">
        <v>1482</v>
      </c>
      <c r="X308">
        <v>1453</v>
      </c>
    </row>
    <row r="309" spans="1:24">
      <c r="A309" s="7" t="s">
        <v>406</v>
      </c>
      <c r="B309" s="16" t="s">
        <v>54</v>
      </c>
      <c r="C309">
        <v>139521165.12072819</v>
      </c>
      <c r="D309">
        <v>134958694.1390745</v>
      </c>
      <c r="E309">
        <v>688423.42342342495</v>
      </c>
      <c r="F309">
        <v>2716216.2162162182</v>
      </c>
      <c r="G309">
        <v>13</v>
      </c>
      <c r="H309">
        <v>115</v>
      </c>
      <c r="I309">
        <v>11</v>
      </c>
      <c r="J309">
        <v>8</v>
      </c>
      <c r="M309">
        <v>33</v>
      </c>
      <c r="N309">
        <v>194</v>
      </c>
      <c r="O309">
        <v>8778558.5585585572</v>
      </c>
      <c r="P309">
        <v>11840900.900900902</v>
      </c>
      <c r="Q309">
        <v>85</v>
      </c>
      <c r="R309">
        <v>110</v>
      </c>
      <c r="S309">
        <v>29989594.594594598</v>
      </c>
      <c r="T309">
        <v>30165036.036036037</v>
      </c>
      <c r="U309">
        <v>9258918.9189189207</v>
      </c>
      <c r="V309">
        <v>12632972.972972972</v>
      </c>
      <c r="W309">
        <v>2165</v>
      </c>
      <c r="X309">
        <v>2173</v>
      </c>
    </row>
    <row r="310" spans="1:24">
      <c r="A310" s="7" t="s">
        <v>407</v>
      </c>
      <c r="B310" s="16" t="s">
        <v>134</v>
      </c>
      <c r="C310">
        <v>57493284.707483418</v>
      </c>
      <c r="D310">
        <v>60651274.850479811</v>
      </c>
      <c r="E310">
        <v>24324.324324325</v>
      </c>
      <c r="F310">
        <v>27027.027027027001</v>
      </c>
      <c r="G310">
        <v>13</v>
      </c>
      <c r="H310">
        <v>7</v>
      </c>
      <c r="I310">
        <v>3</v>
      </c>
      <c r="J310">
        <v>2</v>
      </c>
      <c r="M310">
        <v>15</v>
      </c>
      <c r="N310">
        <v>7</v>
      </c>
      <c r="O310">
        <v>3384684.684684685</v>
      </c>
      <c r="P310">
        <v>1873873.8738738729</v>
      </c>
      <c r="Q310">
        <v>5</v>
      </c>
      <c r="R310">
        <v>5</v>
      </c>
      <c r="S310">
        <v>6560270.2702702703</v>
      </c>
      <c r="T310">
        <v>5222945.9459459456</v>
      </c>
      <c r="U310">
        <v>2450540.5405405411</v>
      </c>
      <c r="V310">
        <v>1542522.5225225219</v>
      </c>
      <c r="W310">
        <v>993</v>
      </c>
      <c r="X310">
        <v>925</v>
      </c>
    </row>
    <row r="311" spans="1:24">
      <c r="A311" s="7" t="s">
        <v>408</v>
      </c>
      <c r="B311" s="16" t="s">
        <v>290</v>
      </c>
      <c r="C311">
        <v>38039295.229106776</v>
      </c>
      <c r="D311">
        <v>33893735.889687173</v>
      </c>
      <c r="E311">
        <v>122522.522522523</v>
      </c>
      <c r="F311">
        <v>880180.18018018105</v>
      </c>
      <c r="G311">
        <v>24</v>
      </c>
      <c r="H311">
        <v>16</v>
      </c>
      <c r="I311">
        <v>3</v>
      </c>
      <c r="J311">
        <v>3</v>
      </c>
      <c r="M311">
        <v>28</v>
      </c>
      <c r="N311">
        <v>17</v>
      </c>
      <c r="O311">
        <v>6554954.9549549548</v>
      </c>
      <c r="P311">
        <v>11225225.225225225</v>
      </c>
      <c r="Q311">
        <v>36</v>
      </c>
      <c r="R311">
        <v>52</v>
      </c>
      <c r="S311">
        <v>7535531.5315315323</v>
      </c>
      <c r="T311">
        <v>6875522.5225225231</v>
      </c>
      <c r="U311">
        <v>3161801.8018018021</v>
      </c>
      <c r="V311">
        <v>7528288.2882882878</v>
      </c>
      <c r="W311">
        <v>958</v>
      </c>
      <c r="X311">
        <v>928</v>
      </c>
    </row>
    <row r="312" spans="1:24">
      <c r="A312" s="7" t="s">
        <v>409</v>
      </c>
      <c r="B312" s="16" t="s">
        <v>178</v>
      </c>
      <c r="C312">
        <v>641031858.6658926</v>
      </c>
      <c r="D312">
        <v>602813569.71291018</v>
      </c>
      <c r="E312">
        <v>3007432.4324324341</v>
      </c>
      <c r="F312">
        <v>4565765.7657657657</v>
      </c>
      <c r="G312">
        <v>191</v>
      </c>
      <c r="H312">
        <v>214</v>
      </c>
      <c r="I312">
        <v>5</v>
      </c>
      <c r="J312">
        <v>8</v>
      </c>
      <c r="M312">
        <v>266</v>
      </c>
      <c r="N312">
        <v>386</v>
      </c>
      <c r="O312">
        <v>57024414.414414413</v>
      </c>
      <c r="P312">
        <v>65201702.702702701</v>
      </c>
      <c r="Q312">
        <v>26</v>
      </c>
      <c r="R312">
        <v>105</v>
      </c>
      <c r="S312">
        <v>205647421.62162164</v>
      </c>
      <c r="T312">
        <v>205809815.31531534</v>
      </c>
      <c r="U312">
        <v>51826846.846846849</v>
      </c>
      <c r="V312">
        <v>57504324.324324325</v>
      </c>
      <c r="W312">
        <v>9411</v>
      </c>
      <c r="X312">
        <v>9793</v>
      </c>
    </row>
    <row r="313" spans="1:24">
      <c r="A313" s="7" t="s">
        <v>666</v>
      </c>
      <c r="B313" s="16" t="s">
        <v>87</v>
      </c>
      <c r="X313">
        <v>1</v>
      </c>
    </row>
    <row r="314" spans="1:24">
      <c r="A314" s="7" t="s">
        <v>410</v>
      </c>
      <c r="B314" s="16" t="s">
        <v>54</v>
      </c>
      <c r="C314">
        <v>1120884987.1266906</v>
      </c>
      <c r="D314">
        <v>1101416687.8712418</v>
      </c>
      <c r="E314">
        <v>217212996.39639643</v>
      </c>
      <c r="F314">
        <v>179094701.8018018</v>
      </c>
      <c r="G314">
        <v>280</v>
      </c>
      <c r="H314">
        <v>406</v>
      </c>
      <c r="I314">
        <v>55</v>
      </c>
      <c r="J314">
        <v>41</v>
      </c>
      <c r="K314">
        <v>4</v>
      </c>
      <c r="M314">
        <v>351</v>
      </c>
      <c r="N314">
        <v>867</v>
      </c>
      <c r="O314">
        <v>74579099.0990991</v>
      </c>
      <c r="P314">
        <v>85557207.207207218</v>
      </c>
      <c r="Q314">
        <v>658</v>
      </c>
      <c r="R314">
        <v>609</v>
      </c>
      <c r="S314">
        <v>222000160.36036035</v>
      </c>
      <c r="T314">
        <v>226918549.54954955</v>
      </c>
      <c r="U314">
        <v>72827790.990990996</v>
      </c>
      <c r="V314">
        <v>77124414.414414421</v>
      </c>
      <c r="W314">
        <v>19420</v>
      </c>
      <c r="X314">
        <v>19334</v>
      </c>
    </row>
    <row r="315" spans="1:24">
      <c r="A315" s="7" t="s">
        <v>411</v>
      </c>
      <c r="B315" s="16" t="s">
        <v>224</v>
      </c>
      <c r="C315">
        <v>683844557.5612669</v>
      </c>
      <c r="D315">
        <v>552781404.74511015</v>
      </c>
      <c r="E315">
        <v>1869729.729729733</v>
      </c>
      <c r="F315">
        <v>2089189.1891891931</v>
      </c>
      <c r="G315">
        <v>210</v>
      </c>
      <c r="H315">
        <v>206</v>
      </c>
      <c r="I315">
        <v>11</v>
      </c>
      <c r="J315">
        <v>9</v>
      </c>
      <c r="M315">
        <v>239</v>
      </c>
      <c r="N315">
        <v>237</v>
      </c>
      <c r="O315">
        <v>93156936.93693693</v>
      </c>
      <c r="P315">
        <v>69242342.342342347</v>
      </c>
      <c r="Q315">
        <v>139</v>
      </c>
      <c r="R315">
        <v>182</v>
      </c>
      <c r="S315">
        <v>179133795.4954955</v>
      </c>
      <c r="T315">
        <v>157874584.68468466</v>
      </c>
      <c r="U315">
        <v>83665045.045045033</v>
      </c>
      <c r="V315">
        <v>75719592.792792797</v>
      </c>
      <c r="W315">
        <v>13763</v>
      </c>
      <c r="X315">
        <v>13609</v>
      </c>
    </row>
    <row r="316" spans="1:24">
      <c r="A316" s="7" t="s">
        <v>412</v>
      </c>
      <c r="B316" s="16" t="s">
        <v>413</v>
      </c>
      <c r="C316">
        <v>215208464.31609473</v>
      </c>
      <c r="D316">
        <v>219040878.75354907</v>
      </c>
      <c r="E316">
        <v>154054.05405405501</v>
      </c>
      <c r="F316">
        <v>612162.16216216597</v>
      </c>
      <c r="G316">
        <v>98</v>
      </c>
      <c r="H316">
        <v>22</v>
      </c>
      <c r="I316">
        <v>1</v>
      </c>
      <c r="J316">
        <v>4</v>
      </c>
      <c r="M316">
        <v>114</v>
      </c>
      <c r="N316">
        <v>22</v>
      </c>
      <c r="O316">
        <v>5090990.9909909908</v>
      </c>
      <c r="P316">
        <v>3720720.7207207242</v>
      </c>
      <c r="Q316">
        <v>32</v>
      </c>
      <c r="R316">
        <v>39</v>
      </c>
      <c r="S316">
        <v>93663243.243243247</v>
      </c>
      <c r="T316">
        <v>87613414.414414421</v>
      </c>
      <c r="U316">
        <v>4614324.3243243238</v>
      </c>
      <c r="V316">
        <v>4368558.558558559</v>
      </c>
      <c r="W316">
        <v>3985</v>
      </c>
      <c r="X316">
        <v>4199</v>
      </c>
    </row>
    <row r="317" spans="1:24">
      <c r="A317" s="7" t="s">
        <v>414</v>
      </c>
      <c r="B317" s="16" t="s">
        <v>214</v>
      </c>
      <c r="C317">
        <v>1324807599.4190385</v>
      </c>
      <c r="D317">
        <v>1414194566.55054</v>
      </c>
      <c r="E317">
        <v>574947054.05405402</v>
      </c>
      <c r="F317">
        <v>614530881.08108103</v>
      </c>
      <c r="G317">
        <v>597</v>
      </c>
      <c r="H317">
        <v>1283</v>
      </c>
      <c r="I317">
        <v>29</v>
      </c>
      <c r="J317">
        <v>29</v>
      </c>
      <c r="M317">
        <v>686</v>
      </c>
      <c r="N317">
        <v>1425</v>
      </c>
      <c r="O317">
        <v>197199738.73873875</v>
      </c>
      <c r="P317">
        <v>202835810.8108108</v>
      </c>
      <c r="Q317">
        <v>710</v>
      </c>
      <c r="R317">
        <v>577</v>
      </c>
      <c r="S317">
        <v>562268230.63063061</v>
      </c>
      <c r="T317">
        <v>628557367.56756759</v>
      </c>
      <c r="U317">
        <v>174538378.37837836</v>
      </c>
      <c r="V317">
        <v>181259099.0990991</v>
      </c>
      <c r="W317">
        <v>23921</v>
      </c>
      <c r="X317">
        <v>23966</v>
      </c>
    </row>
    <row r="318" spans="1:24">
      <c r="A318" s="7" t="s">
        <v>415</v>
      </c>
      <c r="B318" s="16" t="s">
        <v>413</v>
      </c>
      <c r="C318">
        <v>125279876.28092881</v>
      </c>
      <c r="D318">
        <v>123143814.88044673</v>
      </c>
      <c r="E318">
        <v>614414.41441441502</v>
      </c>
      <c r="F318">
        <v>790540.54054054199</v>
      </c>
      <c r="G318">
        <v>44</v>
      </c>
      <c r="H318">
        <v>41</v>
      </c>
      <c r="I318">
        <v>3</v>
      </c>
      <c r="J318">
        <v>3</v>
      </c>
      <c r="M318">
        <v>47</v>
      </c>
      <c r="N318">
        <v>47</v>
      </c>
      <c r="O318">
        <v>26019900.9009009</v>
      </c>
      <c r="P318">
        <v>19224542.342342339</v>
      </c>
      <c r="Q318">
        <v>57</v>
      </c>
      <c r="R318">
        <v>32</v>
      </c>
      <c r="S318">
        <v>41956621.621621624</v>
      </c>
      <c r="T318">
        <v>44814182.432432435</v>
      </c>
      <c r="U318">
        <v>19076666.666666664</v>
      </c>
      <c r="V318">
        <v>17097477.477477476</v>
      </c>
      <c r="W318">
        <v>2966</v>
      </c>
      <c r="X318">
        <v>2972</v>
      </c>
    </row>
    <row r="319" spans="1:24">
      <c r="A319" s="7" t="s">
        <v>416</v>
      </c>
      <c r="B319" s="16" t="s">
        <v>236</v>
      </c>
      <c r="C319">
        <v>944476465.1252805</v>
      </c>
      <c r="D319">
        <v>881875932.46330869</v>
      </c>
      <c r="E319">
        <v>730180.18018018198</v>
      </c>
      <c r="F319">
        <v>5198198.1981981946</v>
      </c>
      <c r="G319">
        <v>446</v>
      </c>
      <c r="H319">
        <v>330</v>
      </c>
      <c r="I319">
        <v>25</v>
      </c>
      <c r="J319">
        <v>12</v>
      </c>
      <c r="K319">
        <v>5</v>
      </c>
      <c r="M319">
        <v>480</v>
      </c>
      <c r="N319">
        <v>458</v>
      </c>
      <c r="O319">
        <v>133957837.83783785</v>
      </c>
      <c r="P319">
        <v>176747630.63063061</v>
      </c>
      <c r="Q319">
        <v>275</v>
      </c>
      <c r="R319">
        <v>334</v>
      </c>
      <c r="S319">
        <v>219977900.9009009</v>
      </c>
      <c r="T319">
        <v>205908693.6936937</v>
      </c>
      <c r="U319">
        <v>115978648.64864865</v>
      </c>
      <c r="V319">
        <v>171025225.22522521</v>
      </c>
      <c r="W319">
        <v>10918</v>
      </c>
      <c r="X319">
        <v>10845</v>
      </c>
    </row>
    <row r="320" spans="1:24">
      <c r="A320" s="7" t="s">
        <v>417</v>
      </c>
      <c r="B320" s="16" t="s">
        <v>117</v>
      </c>
      <c r="C320">
        <v>893345981.6342119</v>
      </c>
      <c r="D320">
        <v>853237995.74876964</v>
      </c>
      <c r="E320">
        <v>854548862.16216218</v>
      </c>
      <c r="F320">
        <v>651047220.72072077</v>
      </c>
      <c r="G320">
        <v>726</v>
      </c>
      <c r="H320">
        <v>723</v>
      </c>
      <c r="I320">
        <v>63</v>
      </c>
      <c r="J320">
        <v>62</v>
      </c>
      <c r="K320">
        <v>12</v>
      </c>
      <c r="M320">
        <v>897</v>
      </c>
      <c r="N320">
        <v>1127</v>
      </c>
      <c r="O320">
        <v>188469347.74774775</v>
      </c>
      <c r="P320">
        <v>219872041.44144145</v>
      </c>
      <c r="Q320">
        <v>708</v>
      </c>
      <c r="R320">
        <v>904</v>
      </c>
      <c r="S320">
        <v>393758234.23423421</v>
      </c>
      <c r="T320">
        <v>391232318.01801807</v>
      </c>
      <c r="U320">
        <v>183365675.67567569</v>
      </c>
      <c r="V320">
        <v>218316666.66666666</v>
      </c>
      <c r="W320">
        <v>18466</v>
      </c>
      <c r="X320">
        <v>17245</v>
      </c>
    </row>
    <row r="321" spans="1:24">
      <c r="A321" s="7" t="s">
        <v>418</v>
      </c>
      <c r="B321" s="16" t="s">
        <v>147</v>
      </c>
      <c r="C321">
        <v>23584520.791714486</v>
      </c>
      <c r="D321">
        <v>20979600.377438776</v>
      </c>
      <c r="G321">
        <v>11</v>
      </c>
      <c r="H321">
        <v>3</v>
      </c>
      <c r="M321">
        <v>11</v>
      </c>
      <c r="N321">
        <v>3</v>
      </c>
      <c r="S321">
        <v>8542342.3423423413</v>
      </c>
      <c r="T321">
        <v>7003774.774774774</v>
      </c>
      <c r="W321">
        <v>493</v>
      </c>
      <c r="X321">
        <v>508</v>
      </c>
    </row>
    <row r="322" spans="1:24">
      <c r="A322" s="7" t="s">
        <v>419</v>
      </c>
      <c r="B322" s="16" t="s">
        <v>304</v>
      </c>
      <c r="C322">
        <v>179918252.4525784</v>
      </c>
      <c r="D322">
        <v>187899676.43115449</v>
      </c>
      <c r="E322">
        <v>1327477.47747748</v>
      </c>
      <c r="F322">
        <v>4789864.8648648644</v>
      </c>
      <c r="G322">
        <v>92</v>
      </c>
      <c r="H322">
        <v>136</v>
      </c>
      <c r="I322">
        <v>18</v>
      </c>
      <c r="J322">
        <v>16</v>
      </c>
      <c r="M322">
        <v>103</v>
      </c>
      <c r="N322">
        <v>152</v>
      </c>
      <c r="O322">
        <v>35904504.504504502</v>
      </c>
      <c r="P322">
        <v>33911711.711711712</v>
      </c>
      <c r="Q322">
        <v>232</v>
      </c>
      <c r="R322">
        <v>200</v>
      </c>
      <c r="S322">
        <v>40623513.513513513</v>
      </c>
      <c r="T322">
        <v>42080498.198198199</v>
      </c>
      <c r="U322">
        <v>38658828.828828827</v>
      </c>
      <c r="V322">
        <v>33269729.729729731</v>
      </c>
      <c r="W322">
        <v>2456</v>
      </c>
      <c r="X322">
        <v>2423</v>
      </c>
    </row>
    <row r="323" spans="1:24">
      <c r="A323" s="7" t="s">
        <v>420</v>
      </c>
      <c r="B323" s="16" t="s">
        <v>304</v>
      </c>
      <c r="C323">
        <v>215934108.55289552</v>
      </c>
      <c r="D323">
        <v>210227075.15858141</v>
      </c>
      <c r="E323">
        <v>1665540.540540542</v>
      </c>
      <c r="F323">
        <v>8183558.5585585563</v>
      </c>
      <c r="G323">
        <v>191</v>
      </c>
      <c r="H323">
        <v>651</v>
      </c>
      <c r="I323">
        <v>16</v>
      </c>
      <c r="J323">
        <v>12</v>
      </c>
      <c r="K323">
        <v>17</v>
      </c>
      <c r="M323">
        <v>227</v>
      </c>
      <c r="N323">
        <v>931</v>
      </c>
      <c r="O323">
        <v>33080180.180180177</v>
      </c>
      <c r="P323">
        <v>39513513.513513513</v>
      </c>
      <c r="Q323">
        <v>574</v>
      </c>
      <c r="R323">
        <v>423</v>
      </c>
      <c r="S323">
        <v>47474836.036036029</v>
      </c>
      <c r="T323">
        <v>63234230.630630635</v>
      </c>
      <c r="U323">
        <v>38418468.468468472</v>
      </c>
      <c r="V323">
        <v>34458151.351351358</v>
      </c>
      <c r="W323">
        <v>3076</v>
      </c>
      <c r="X323">
        <v>2994</v>
      </c>
    </row>
    <row r="324" spans="1:24">
      <c r="A324" s="7" t="s">
        <v>421</v>
      </c>
      <c r="B324" s="16" t="s">
        <v>121</v>
      </c>
      <c r="C324">
        <v>15608516.687778918</v>
      </c>
      <c r="D324">
        <v>9872836.033958124</v>
      </c>
      <c r="E324">
        <v>12612.612612613</v>
      </c>
      <c r="F324">
        <v>123648.648648649</v>
      </c>
      <c r="G324">
        <v>3</v>
      </c>
      <c r="H324">
        <v>5</v>
      </c>
      <c r="I324">
        <v>1</v>
      </c>
      <c r="J324">
        <v>0</v>
      </c>
      <c r="M324">
        <v>4</v>
      </c>
      <c r="N324">
        <v>5</v>
      </c>
      <c r="O324">
        <v>5472072.072072072</v>
      </c>
      <c r="P324">
        <v>127927.927927928</v>
      </c>
      <c r="Q324">
        <v>326</v>
      </c>
      <c r="S324">
        <v>1808828.8288288291</v>
      </c>
      <c r="T324">
        <v>1190531.5315315321</v>
      </c>
      <c r="U324">
        <v>5466666.666666667</v>
      </c>
      <c r="V324">
        <v>169369.369369369</v>
      </c>
      <c r="W324">
        <v>364</v>
      </c>
      <c r="X324">
        <v>442</v>
      </c>
    </row>
    <row r="325" spans="1:24">
      <c r="A325" s="7" t="s">
        <v>422</v>
      </c>
      <c r="B325" s="16" t="s">
        <v>60</v>
      </c>
      <c r="C325">
        <v>109589419.17971559</v>
      </c>
      <c r="D325">
        <v>110769057.61395094</v>
      </c>
      <c r="E325">
        <v>364864.86486486602</v>
      </c>
      <c r="F325">
        <v>1228828.82882883</v>
      </c>
      <c r="G325">
        <v>50</v>
      </c>
      <c r="H325">
        <v>48</v>
      </c>
      <c r="I325">
        <v>6</v>
      </c>
      <c r="J325">
        <v>8</v>
      </c>
      <c r="M325">
        <v>53</v>
      </c>
      <c r="N325">
        <v>54</v>
      </c>
      <c r="O325">
        <v>19159459.459459458</v>
      </c>
      <c r="P325">
        <v>24663063.063063063</v>
      </c>
      <c r="Q325">
        <v>97</v>
      </c>
      <c r="R325">
        <v>38</v>
      </c>
      <c r="S325">
        <v>36888738.738738738</v>
      </c>
      <c r="T325">
        <v>38955810.810810819</v>
      </c>
      <c r="U325">
        <v>18625765.765765764</v>
      </c>
      <c r="V325">
        <v>24642342.342342343</v>
      </c>
      <c r="W325">
        <v>2118</v>
      </c>
      <c r="X325">
        <v>2146</v>
      </c>
    </row>
    <row r="326" spans="1:24">
      <c r="A326" s="7" t="s">
        <v>423</v>
      </c>
      <c r="B326" s="16" t="s">
        <v>181</v>
      </c>
      <c r="C326">
        <v>1128610451.2658379</v>
      </c>
      <c r="D326">
        <v>1080828979.228817</v>
      </c>
      <c r="E326">
        <v>3289189.189189198</v>
      </c>
      <c r="F326">
        <v>13476126.126126124</v>
      </c>
      <c r="G326">
        <v>706</v>
      </c>
      <c r="H326">
        <v>445</v>
      </c>
      <c r="I326">
        <v>76</v>
      </c>
      <c r="J326">
        <v>61</v>
      </c>
      <c r="K326">
        <v>18</v>
      </c>
      <c r="M326">
        <v>1080</v>
      </c>
      <c r="N326">
        <v>627</v>
      </c>
      <c r="O326">
        <v>140327927.92792791</v>
      </c>
      <c r="P326">
        <v>193182882.88288289</v>
      </c>
      <c r="Q326">
        <v>1141</v>
      </c>
      <c r="R326">
        <v>1479</v>
      </c>
      <c r="S326">
        <v>309319333.33333331</v>
      </c>
      <c r="T326">
        <v>311246536.93693697</v>
      </c>
      <c r="U326">
        <v>148848018.01801801</v>
      </c>
      <c r="V326">
        <v>185317477.47747746</v>
      </c>
      <c r="W326">
        <v>22346</v>
      </c>
      <c r="X326">
        <v>22341</v>
      </c>
    </row>
    <row r="327" spans="1:24">
      <c r="A327" s="7" t="s">
        <v>424</v>
      </c>
      <c r="B327" s="16" t="s">
        <v>76</v>
      </c>
      <c r="C327">
        <v>48784993.270048529</v>
      </c>
      <c r="D327">
        <v>36453186.195683666</v>
      </c>
      <c r="E327">
        <v>4504.5045045050001</v>
      </c>
      <c r="F327">
        <v>81081.081081081997</v>
      </c>
      <c r="G327">
        <v>8</v>
      </c>
      <c r="H327">
        <v>8</v>
      </c>
      <c r="I327">
        <v>2</v>
      </c>
      <c r="J327">
        <v>2</v>
      </c>
      <c r="M327">
        <v>9</v>
      </c>
      <c r="N327">
        <v>9</v>
      </c>
      <c r="O327">
        <v>3851351.351351351</v>
      </c>
      <c r="P327">
        <v>2450450.4504504502</v>
      </c>
      <c r="Q327">
        <v>9</v>
      </c>
      <c r="R327">
        <v>4</v>
      </c>
      <c r="S327">
        <v>4315216.2162162159</v>
      </c>
      <c r="T327">
        <v>3292270.2702702698</v>
      </c>
      <c r="U327">
        <v>3841801.8018018012</v>
      </c>
      <c r="V327">
        <v>2684684.684684685</v>
      </c>
      <c r="W327">
        <v>945</v>
      </c>
      <c r="X327">
        <v>924</v>
      </c>
    </row>
    <row r="328" spans="1:24">
      <c r="A328" s="7" t="s">
        <v>425</v>
      </c>
      <c r="B328" s="16" t="s">
        <v>76</v>
      </c>
      <c r="C328">
        <v>132831299.45620304</v>
      </c>
      <c r="D328">
        <v>125332069.07311416</v>
      </c>
      <c r="E328">
        <v>148648.64864865001</v>
      </c>
      <c r="F328">
        <v>199099.09909910001</v>
      </c>
      <c r="G328">
        <v>41</v>
      </c>
      <c r="H328">
        <v>31</v>
      </c>
      <c r="I328">
        <v>2</v>
      </c>
      <c r="J328">
        <v>2</v>
      </c>
      <c r="M328">
        <v>48</v>
      </c>
      <c r="N328">
        <v>34</v>
      </c>
      <c r="O328">
        <v>13008108.108108111</v>
      </c>
      <c r="P328">
        <v>14122612.612612613</v>
      </c>
      <c r="Q328">
        <v>20</v>
      </c>
      <c r="R328">
        <v>31</v>
      </c>
      <c r="S328">
        <v>29911711.711711712</v>
      </c>
      <c r="T328">
        <v>27951864.864864863</v>
      </c>
      <c r="U328">
        <v>10219639.63963964</v>
      </c>
      <c r="V328">
        <v>11844954.954954952</v>
      </c>
      <c r="W328">
        <v>1479</v>
      </c>
      <c r="X328">
        <v>1496</v>
      </c>
    </row>
    <row r="329" spans="1:24">
      <c r="A329" s="7" t="s">
        <v>426</v>
      </c>
      <c r="B329" s="16" t="s">
        <v>330</v>
      </c>
      <c r="C329">
        <v>622463796.3984195</v>
      </c>
      <c r="D329">
        <v>654505614.43083715</v>
      </c>
      <c r="E329">
        <v>2104909.9099099119</v>
      </c>
      <c r="F329">
        <v>6393468.4684684677</v>
      </c>
      <c r="G329">
        <v>252</v>
      </c>
      <c r="H329">
        <v>259</v>
      </c>
      <c r="I329">
        <v>28</v>
      </c>
      <c r="J329">
        <v>27</v>
      </c>
      <c r="K329">
        <v>2</v>
      </c>
      <c r="M329">
        <v>281</v>
      </c>
      <c r="N329">
        <v>288</v>
      </c>
      <c r="O329">
        <v>19971441.441441439</v>
      </c>
      <c r="P329">
        <v>43323423.423423424</v>
      </c>
      <c r="Q329">
        <v>78</v>
      </c>
      <c r="R329">
        <v>283</v>
      </c>
      <c r="S329">
        <v>106088061.26126127</v>
      </c>
      <c r="T329">
        <v>166282587.83783782</v>
      </c>
      <c r="U329">
        <v>21027837.83783783</v>
      </c>
      <c r="V329">
        <v>37623513.513513513</v>
      </c>
      <c r="W329">
        <v>11722</v>
      </c>
      <c r="X329">
        <v>11630</v>
      </c>
    </row>
    <row r="330" spans="1:24">
      <c r="A330" s="7" t="s">
        <v>427</v>
      </c>
      <c r="B330" s="16" t="s">
        <v>241</v>
      </c>
      <c r="C330">
        <v>167757377.47905007</v>
      </c>
      <c r="D330">
        <v>166636987.80789399</v>
      </c>
      <c r="E330">
        <v>1531531.5315315309</v>
      </c>
      <c r="F330">
        <v>1190990.9909909919</v>
      </c>
      <c r="G330">
        <v>79</v>
      </c>
      <c r="H330">
        <v>61</v>
      </c>
      <c r="I330">
        <v>5</v>
      </c>
      <c r="J330">
        <v>4</v>
      </c>
      <c r="K330">
        <v>1</v>
      </c>
      <c r="M330">
        <v>90</v>
      </c>
      <c r="N330">
        <v>70</v>
      </c>
      <c r="O330">
        <v>31300360.360360362</v>
      </c>
      <c r="P330">
        <v>44064324.324324325</v>
      </c>
      <c r="Q330">
        <v>5</v>
      </c>
      <c r="R330">
        <v>61</v>
      </c>
      <c r="S330">
        <v>64114018.018018015</v>
      </c>
      <c r="T330">
        <v>63792108.108108111</v>
      </c>
      <c r="U330">
        <v>31708108.108108107</v>
      </c>
      <c r="V330">
        <v>42705135.135135137</v>
      </c>
      <c r="W330">
        <v>5339</v>
      </c>
      <c r="X330">
        <v>5149</v>
      </c>
    </row>
    <row r="331" spans="1:24">
      <c r="A331" s="7" t="s">
        <v>428</v>
      </c>
      <c r="B331" s="16" t="s">
        <v>283</v>
      </c>
      <c r="C331">
        <v>69270862.525895149</v>
      </c>
      <c r="D331">
        <v>70646756.845945686</v>
      </c>
      <c r="E331">
        <v>52477.477477478002</v>
      </c>
      <c r="F331">
        <v>727927.92792792898</v>
      </c>
      <c r="G331">
        <v>15</v>
      </c>
      <c r="H331">
        <v>20</v>
      </c>
      <c r="I331">
        <v>4</v>
      </c>
      <c r="J331">
        <v>5</v>
      </c>
      <c r="M331">
        <v>18</v>
      </c>
      <c r="N331">
        <v>52</v>
      </c>
      <c r="O331">
        <v>4206306.3063063072</v>
      </c>
      <c r="P331">
        <v>26729369.369369369</v>
      </c>
      <c r="Q331">
        <v>12</v>
      </c>
      <c r="R331">
        <v>60</v>
      </c>
      <c r="S331">
        <v>11984189.189189188</v>
      </c>
      <c r="T331">
        <v>13581288.288288288</v>
      </c>
      <c r="U331">
        <v>4252612.6126126116</v>
      </c>
      <c r="V331">
        <v>28699009.009009007</v>
      </c>
      <c r="W331">
        <v>1238</v>
      </c>
      <c r="X331">
        <v>1118</v>
      </c>
    </row>
    <row r="332" spans="1:24">
      <c r="A332" s="7" t="s">
        <v>429</v>
      </c>
      <c r="B332" s="16" t="s">
        <v>283</v>
      </c>
      <c r="C332">
        <v>23068706.385891289</v>
      </c>
      <c r="D332">
        <v>22104919.654378083</v>
      </c>
      <c r="E332">
        <v>10810.810810810999</v>
      </c>
      <c r="F332">
        <v>255855.85585585501</v>
      </c>
      <c r="G332">
        <v>1</v>
      </c>
      <c r="H332">
        <v>1</v>
      </c>
      <c r="I332">
        <v>1</v>
      </c>
      <c r="J332">
        <v>1</v>
      </c>
      <c r="M332">
        <v>1</v>
      </c>
      <c r="N332">
        <v>1</v>
      </c>
      <c r="O332">
        <v>371171.17117117101</v>
      </c>
      <c r="P332">
        <v>3138738.7387387389</v>
      </c>
      <c r="S332">
        <v>2136666.666666667</v>
      </c>
      <c r="T332">
        <v>1610621.621621622</v>
      </c>
      <c r="U332">
        <v>378378.37837837799</v>
      </c>
      <c r="V332">
        <v>3806576.576576577</v>
      </c>
      <c r="W332">
        <v>456</v>
      </c>
      <c r="X332">
        <v>581</v>
      </c>
    </row>
    <row r="333" spans="1:24">
      <c r="A333" s="7" t="s">
        <v>430</v>
      </c>
      <c r="B333" s="16" t="s">
        <v>283</v>
      </c>
      <c r="C333">
        <v>41264614.666783519</v>
      </c>
      <c r="D333">
        <v>47426395.192682691</v>
      </c>
      <c r="E333">
        <v>33747072.072072074</v>
      </c>
      <c r="F333">
        <v>135085585.58558559</v>
      </c>
      <c r="G333">
        <v>5</v>
      </c>
      <c r="H333">
        <v>5</v>
      </c>
      <c r="I333">
        <v>1</v>
      </c>
      <c r="J333">
        <v>2</v>
      </c>
      <c r="M333">
        <v>5</v>
      </c>
      <c r="N333">
        <v>5</v>
      </c>
      <c r="O333">
        <v>28082432.432432432</v>
      </c>
      <c r="P333">
        <v>3977477.4774774779</v>
      </c>
      <c r="Q333">
        <v>2</v>
      </c>
      <c r="R333">
        <v>4</v>
      </c>
      <c r="S333">
        <v>3357117.1171171172</v>
      </c>
      <c r="T333">
        <v>3990225.2252252251</v>
      </c>
      <c r="V333">
        <v>173423.423423423</v>
      </c>
      <c r="W333">
        <v>805</v>
      </c>
      <c r="X333">
        <v>813</v>
      </c>
    </row>
    <row r="334" spans="1:24">
      <c r="A334" s="7" t="s">
        <v>431</v>
      </c>
      <c r="B334" s="16" t="s">
        <v>78</v>
      </c>
      <c r="C334">
        <v>284742891.18672055</v>
      </c>
      <c r="D334">
        <v>283627668.24235058</v>
      </c>
      <c r="E334">
        <v>2349549.5495495521</v>
      </c>
      <c r="F334">
        <v>4700900.900900905</v>
      </c>
      <c r="G334">
        <v>69</v>
      </c>
      <c r="H334">
        <v>300</v>
      </c>
      <c r="I334">
        <v>3</v>
      </c>
      <c r="J334">
        <v>19</v>
      </c>
      <c r="M334">
        <v>85</v>
      </c>
      <c r="N334">
        <v>385</v>
      </c>
      <c r="O334">
        <v>23399099.099099096</v>
      </c>
      <c r="P334">
        <v>30088288.288288288</v>
      </c>
      <c r="Q334">
        <v>96</v>
      </c>
      <c r="R334">
        <v>411</v>
      </c>
      <c r="S334">
        <v>119495792.7927928</v>
      </c>
      <c r="T334">
        <v>125256747.74774775</v>
      </c>
      <c r="U334">
        <v>24052072.072072074</v>
      </c>
      <c r="V334">
        <v>28150720.72072072</v>
      </c>
      <c r="W334">
        <v>6251</v>
      </c>
      <c r="X334">
        <v>6434</v>
      </c>
    </row>
    <row r="335" spans="1:24">
      <c r="A335" s="7" t="s">
        <v>432</v>
      </c>
      <c r="B335" s="16" t="s">
        <v>105</v>
      </c>
      <c r="C335">
        <v>262359317.25208458</v>
      </c>
      <c r="D335">
        <v>252016342.16276863</v>
      </c>
      <c r="E335">
        <v>123423.423423424</v>
      </c>
      <c r="F335">
        <v>1172972.9729729739</v>
      </c>
      <c r="G335">
        <v>75</v>
      </c>
      <c r="H335">
        <v>31</v>
      </c>
      <c r="I335">
        <v>4</v>
      </c>
      <c r="J335">
        <v>3</v>
      </c>
      <c r="M335">
        <v>100</v>
      </c>
      <c r="N335">
        <v>36</v>
      </c>
      <c r="O335">
        <v>27792432.432432432</v>
      </c>
      <c r="P335">
        <v>31087522.52252252</v>
      </c>
      <c r="Q335">
        <v>84</v>
      </c>
      <c r="R335">
        <v>121</v>
      </c>
      <c r="S335">
        <v>60854897.297297299</v>
      </c>
      <c r="T335">
        <v>59993531.531531528</v>
      </c>
      <c r="U335">
        <v>29193153.153153151</v>
      </c>
      <c r="V335">
        <v>32282387.387387387</v>
      </c>
      <c r="W335">
        <v>3805</v>
      </c>
      <c r="X335">
        <v>3132</v>
      </c>
    </row>
    <row r="336" spans="1:24">
      <c r="A336" s="7" t="s">
        <v>433</v>
      </c>
      <c r="B336" s="16" t="s">
        <v>72</v>
      </c>
      <c r="C336">
        <v>1408305548.7663565</v>
      </c>
      <c r="D336">
        <v>1346015540.9763119</v>
      </c>
      <c r="E336">
        <v>3911261.2612612708</v>
      </c>
      <c r="F336">
        <v>8916666.6666666791</v>
      </c>
      <c r="G336">
        <v>389</v>
      </c>
      <c r="H336">
        <v>402</v>
      </c>
      <c r="I336">
        <v>74</v>
      </c>
      <c r="J336">
        <v>68</v>
      </c>
      <c r="K336">
        <v>2</v>
      </c>
      <c r="M336">
        <v>492</v>
      </c>
      <c r="N336">
        <v>516</v>
      </c>
      <c r="O336">
        <v>202172522.52252254</v>
      </c>
      <c r="P336">
        <v>199619369.36936939</v>
      </c>
      <c r="Q336">
        <v>622</v>
      </c>
      <c r="R336">
        <v>746</v>
      </c>
      <c r="S336">
        <v>292878048.64864862</v>
      </c>
      <c r="T336">
        <v>281793195.94594598</v>
      </c>
      <c r="U336">
        <v>160597293.6936937</v>
      </c>
      <c r="V336">
        <v>150200720.72072074</v>
      </c>
      <c r="W336">
        <v>18470</v>
      </c>
      <c r="X336">
        <v>18501</v>
      </c>
    </row>
    <row r="337" spans="1:24">
      <c r="A337" s="7" t="s">
        <v>434</v>
      </c>
      <c r="B337" s="16" t="s">
        <v>72</v>
      </c>
      <c r="C337">
        <v>971979236.38754463</v>
      </c>
      <c r="D337">
        <v>919149241.47762609</v>
      </c>
      <c r="E337">
        <v>3721621.6216216241</v>
      </c>
      <c r="F337">
        <v>5782207.2072072141</v>
      </c>
      <c r="G337">
        <v>195</v>
      </c>
      <c r="H337">
        <v>224</v>
      </c>
      <c r="I337">
        <v>23</v>
      </c>
      <c r="J337">
        <v>26</v>
      </c>
      <c r="K337">
        <v>4</v>
      </c>
      <c r="M337">
        <v>210</v>
      </c>
      <c r="N337">
        <v>254</v>
      </c>
      <c r="O337">
        <v>116944774.77477479</v>
      </c>
      <c r="P337">
        <v>107645045.04504503</v>
      </c>
      <c r="Q337">
        <v>326</v>
      </c>
      <c r="R337">
        <v>108</v>
      </c>
      <c r="S337">
        <v>174265139.63963965</v>
      </c>
      <c r="T337">
        <v>172733288.2882883</v>
      </c>
      <c r="U337">
        <v>85521981.981981978</v>
      </c>
      <c r="V337">
        <v>76339729.729729727</v>
      </c>
      <c r="W337">
        <v>13357</v>
      </c>
      <c r="X337">
        <v>13737</v>
      </c>
    </row>
    <row r="338" spans="1:24">
      <c r="A338" s="7" t="s">
        <v>435</v>
      </c>
      <c r="B338" s="16" t="s">
        <v>94</v>
      </c>
      <c r="C338">
        <v>73964363.510001913</v>
      </c>
      <c r="D338">
        <v>64687811.434134074</v>
      </c>
      <c r="E338">
        <v>900.900900901</v>
      </c>
      <c r="F338">
        <v>13513.513513514001</v>
      </c>
      <c r="G338">
        <v>13</v>
      </c>
      <c r="H338">
        <v>5</v>
      </c>
      <c r="I338">
        <v>0</v>
      </c>
      <c r="J338">
        <v>0</v>
      </c>
      <c r="M338">
        <v>13</v>
      </c>
      <c r="N338">
        <v>5</v>
      </c>
      <c r="O338">
        <v>991891.89189189195</v>
      </c>
      <c r="P338">
        <v>554054.05405405397</v>
      </c>
      <c r="S338">
        <v>16556306.306306306</v>
      </c>
      <c r="T338">
        <v>15879477.477477476</v>
      </c>
      <c r="U338">
        <v>470270.27027027</v>
      </c>
      <c r="V338">
        <v>484774.77477477503</v>
      </c>
      <c r="W338">
        <v>898</v>
      </c>
      <c r="X338">
        <v>892</v>
      </c>
    </row>
    <row r="339" spans="1:24">
      <c r="A339" s="7" t="s">
        <v>436</v>
      </c>
      <c r="B339" s="16" t="s">
        <v>89</v>
      </c>
      <c r="C339">
        <v>333822586.91759437</v>
      </c>
      <c r="D339">
        <v>341137955.71419168</v>
      </c>
      <c r="E339">
        <v>3335090.0900900951</v>
      </c>
      <c r="F339">
        <v>5309909.9099099161</v>
      </c>
      <c r="G339">
        <v>78</v>
      </c>
      <c r="H339">
        <v>97</v>
      </c>
      <c r="I339">
        <v>23</v>
      </c>
      <c r="J339">
        <v>28</v>
      </c>
      <c r="K339">
        <v>1</v>
      </c>
      <c r="M339">
        <v>85</v>
      </c>
      <c r="N339">
        <v>107</v>
      </c>
      <c r="O339">
        <v>46173063.063063055</v>
      </c>
      <c r="P339">
        <v>75949549.54954955</v>
      </c>
      <c r="Q339">
        <v>220</v>
      </c>
      <c r="R339">
        <v>233</v>
      </c>
      <c r="S339">
        <v>145018108.1081081</v>
      </c>
      <c r="T339">
        <v>154373463.96396396</v>
      </c>
      <c r="U339">
        <v>45087027.027027026</v>
      </c>
      <c r="V339">
        <v>74495945.945945948</v>
      </c>
      <c r="W339">
        <v>5000</v>
      </c>
      <c r="X339">
        <v>5556</v>
      </c>
    </row>
    <row r="340" spans="1:24">
      <c r="A340" s="7" t="s">
        <v>437</v>
      </c>
      <c r="B340" s="16" t="s">
        <v>70</v>
      </c>
      <c r="C340">
        <v>11524500.040502952</v>
      </c>
      <c r="D340">
        <v>10780300.479983104</v>
      </c>
      <c r="G340">
        <v>21</v>
      </c>
      <c r="H340">
        <v>8</v>
      </c>
      <c r="M340">
        <v>22</v>
      </c>
      <c r="N340">
        <v>10</v>
      </c>
      <c r="S340">
        <v>6854639.6396396402</v>
      </c>
      <c r="T340">
        <v>7551387.3873873875</v>
      </c>
      <c r="W340">
        <v>1256</v>
      </c>
      <c r="X340">
        <v>1329</v>
      </c>
    </row>
    <row r="341" spans="1:24">
      <c r="A341" s="7" t="s">
        <v>438</v>
      </c>
      <c r="B341" s="16" t="s">
        <v>195</v>
      </c>
      <c r="C341">
        <v>1660622493.1129489</v>
      </c>
      <c r="D341">
        <v>1617594267.6407256</v>
      </c>
      <c r="E341">
        <v>212198112.61261261</v>
      </c>
      <c r="F341">
        <v>185295519.81981981</v>
      </c>
      <c r="G341">
        <v>507</v>
      </c>
      <c r="H341">
        <v>438</v>
      </c>
      <c r="I341">
        <v>29</v>
      </c>
      <c r="J341">
        <v>27</v>
      </c>
      <c r="M341">
        <v>581</v>
      </c>
      <c r="N341">
        <v>595</v>
      </c>
      <c r="O341">
        <v>161839189.1891892</v>
      </c>
      <c r="P341">
        <v>184025765.76576576</v>
      </c>
      <c r="Q341">
        <v>422</v>
      </c>
      <c r="R341">
        <v>474</v>
      </c>
      <c r="S341">
        <v>262704151.35135135</v>
      </c>
      <c r="T341">
        <v>275207612.61261261</v>
      </c>
      <c r="U341">
        <v>139242522.52252254</v>
      </c>
      <c r="V341">
        <v>157188288.2882883</v>
      </c>
      <c r="W341">
        <v>20829</v>
      </c>
      <c r="X341">
        <v>20700</v>
      </c>
    </row>
    <row r="342" spans="1:24">
      <c r="A342" s="7" t="s">
        <v>439</v>
      </c>
      <c r="B342" s="16" t="s">
        <v>178</v>
      </c>
      <c r="C342">
        <v>785391112.39946675</v>
      </c>
      <c r="D342">
        <v>805991248.68100905</v>
      </c>
      <c r="E342">
        <v>858828.82882883004</v>
      </c>
      <c r="F342">
        <v>5954954.9549549548</v>
      </c>
      <c r="G342">
        <v>257</v>
      </c>
      <c r="H342">
        <v>243</v>
      </c>
      <c r="I342">
        <v>17</v>
      </c>
      <c r="J342">
        <v>46</v>
      </c>
      <c r="K342">
        <v>1</v>
      </c>
      <c r="M342">
        <v>364</v>
      </c>
      <c r="N342">
        <v>484</v>
      </c>
      <c r="O342">
        <v>137072754.05405405</v>
      </c>
      <c r="P342">
        <v>140597242.34234235</v>
      </c>
      <c r="Q342">
        <v>542</v>
      </c>
      <c r="R342">
        <v>407</v>
      </c>
      <c r="S342">
        <v>315403279.27927929</v>
      </c>
      <c r="T342">
        <v>327678734.23423421</v>
      </c>
      <c r="U342">
        <v>129025809.00900902</v>
      </c>
      <c r="V342">
        <v>132085630.63063064</v>
      </c>
      <c r="W342">
        <v>14265</v>
      </c>
      <c r="X342">
        <v>15035</v>
      </c>
    </row>
    <row r="343" spans="1:24">
      <c r="A343" s="7" t="s">
        <v>440</v>
      </c>
      <c r="B343" s="16" t="s">
        <v>78</v>
      </c>
      <c r="C343">
        <v>344963341.00136077</v>
      </c>
      <c r="D343">
        <v>345710033.43923098</v>
      </c>
      <c r="E343">
        <v>3059189.1891891882</v>
      </c>
      <c r="F343">
        <v>4504279.2792792823</v>
      </c>
      <c r="G343">
        <v>74</v>
      </c>
      <c r="H343">
        <v>83</v>
      </c>
      <c r="I343">
        <v>8</v>
      </c>
      <c r="J343">
        <v>16</v>
      </c>
      <c r="K343">
        <v>1</v>
      </c>
      <c r="M343">
        <v>95</v>
      </c>
      <c r="N343">
        <v>188</v>
      </c>
      <c r="O343">
        <v>27390720.720720716</v>
      </c>
      <c r="P343">
        <v>37482882.882882878</v>
      </c>
      <c r="Q343">
        <v>104</v>
      </c>
      <c r="R343">
        <v>148</v>
      </c>
      <c r="S343">
        <v>70332945.945945948</v>
      </c>
      <c r="T343">
        <v>71339225.225225225</v>
      </c>
      <c r="U343">
        <v>33302432.432432428</v>
      </c>
      <c r="V343">
        <v>35563783.783783786</v>
      </c>
      <c r="W343">
        <v>5013</v>
      </c>
      <c r="X343">
        <v>4842</v>
      </c>
    </row>
    <row r="344" spans="1:24">
      <c r="A344" s="7" t="s">
        <v>441</v>
      </c>
      <c r="B344" s="16" t="s">
        <v>78</v>
      </c>
      <c r="C344">
        <v>158739748.89935124</v>
      </c>
      <c r="D344">
        <v>146965372.14710122</v>
      </c>
      <c r="E344">
        <v>347747.74774775002</v>
      </c>
      <c r="F344">
        <v>2687387.3873873889</v>
      </c>
      <c r="G344">
        <v>36</v>
      </c>
      <c r="H344">
        <v>48</v>
      </c>
      <c r="I344">
        <v>5</v>
      </c>
      <c r="J344">
        <v>18</v>
      </c>
      <c r="M344">
        <v>37</v>
      </c>
      <c r="N344">
        <v>54</v>
      </c>
      <c r="O344">
        <v>16916126.126126129</v>
      </c>
      <c r="P344">
        <v>71752882.882882878</v>
      </c>
      <c r="Q344">
        <v>64</v>
      </c>
      <c r="R344">
        <v>65</v>
      </c>
      <c r="S344">
        <v>32466288.288288288</v>
      </c>
      <c r="T344">
        <v>32395558.558558561</v>
      </c>
      <c r="U344">
        <v>22345135.135135137</v>
      </c>
      <c r="V344">
        <v>70122612.61261262</v>
      </c>
      <c r="W344">
        <v>2298</v>
      </c>
      <c r="X344">
        <v>2345</v>
      </c>
    </row>
    <row r="345" spans="1:24">
      <c r="A345" s="7" t="s">
        <v>442</v>
      </c>
      <c r="B345" s="16" t="s">
        <v>123</v>
      </c>
      <c r="C345">
        <v>2406173.8834537319</v>
      </c>
      <c r="D345">
        <v>1954924.9893428611</v>
      </c>
      <c r="G345">
        <v>1</v>
      </c>
      <c r="M345">
        <v>1</v>
      </c>
      <c r="N345">
        <v>1</v>
      </c>
      <c r="S345">
        <v>1111171.1711711709</v>
      </c>
      <c r="T345">
        <v>740450.45045044995</v>
      </c>
      <c r="W345">
        <v>395</v>
      </c>
      <c r="X345">
        <v>285</v>
      </c>
    </row>
    <row r="346" spans="1:24">
      <c r="A346" s="7" t="s">
        <v>443</v>
      </c>
      <c r="B346" s="16" t="s">
        <v>140</v>
      </c>
      <c r="C346">
        <v>348583528.95061982</v>
      </c>
      <c r="D346">
        <v>351271844.70930743</v>
      </c>
      <c r="E346">
        <v>1943018.0180180201</v>
      </c>
      <c r="F346">
        <v>3903153.153153155</v>
      </c>
      <c r="G346">
        <v>28</v>
      </c>
      <c r="H346">
        <v>59</v>
      </c>
      <c r="I346">
        <v>14</v>
      </c>
      <c r="J346">
        <v>8</v>
      </c>
      <c r="K346">
        <v>1</v>
      </c>
      <c r="M346">
        <v>37</v>
      </c>
      <c r="N346">
        <v>108</v>
      </c>
      <c r="O346">
        <v>40879279.279279277</v>
      </c>
      <c r="P346">
        <v>43272432.432432435</v>
      </c>
      <c r="Q346">
        <v>263</v>
      </c>
      <c r="R346">
        <v>281</v>
      </c>
      <c r="S346">
        <v>88081621.621621609</v>
      </c>
      <c r="T346">
        <v>94304873.873873875</v>
      </c>
      <c r="U346">
        <v>36835135.135135137</v>
      </c>
      <c r="V346">
        <v>38117747.747747749</v>
      </c>
      <c r="W346">
        <v>5761</v>
      </c>
      <c r="X346">
        <v>5580</v>
      </c>
    </row>
    <row r="347" spans="1:24">
      <c r="A347" s="7" t="s">
        <v>444</v>
      </c>
      <c r="B347" s="16" t="s">
        <v>76</v>
      </c>
      <c r="C347">
        <v>39531543.435383581</v>
      </c>
      <c r="D347">
        <v>39744035.990142398</v>
      </c>
      <c r="E347">
        <v>175675.675675676</v>
      </c>
      <c r="F347">
        <v>302702.70270270301</v>
      </c>
      <c r="G347">
        <v>10</v>
      </c>
      <c r="H347">
        <v>6</v>
      </c>
      <c r="I347">
        <v>1</v>
      </c>
      <c r="J347">
        <v>2</v>
      </c>
      <c r="M347">
        <v>11</v>
      </c>
      <c r="N347">
        <v>7</v>
      </c>
      <c r="O347">
        <v>9310810.8108108118</v>
      </c>
      <c r="P347">
        <v>5442342.3423423423</v>
      </c>
      <c r="Q347">
        <v>12</v>
      </c>
      <c r="R347">
        <v>72</v>
      </c>
      <c r="S347">
        <v>8496306.3063063063</v>
      </c>
      <c r="T347">
        <v>9098351.3513513524</v>
      </c>
      <c r="U347">
        <v>7823783.7837837841</v>
      </c>
      <c r="V347">
        <v>5687477.4774774769</v>
      </c>
      <c r="W347">
        <v>580</v>
      </c>
      <c r="X347">
        <v>702</v>
      </c>
    </row>
    <row r="348" spans="1:24">
      <c r="A348" s="7" t="s">
        <v>445</v>
      </c>
      <c r="B348" s="16" t="s">
        <v>89</v>
      </c>
      <c r="C348">
        <v>1088012615.1096442</v>
      </c>
      <c r="D348">
        <v>1089294787.3822906</v>
      </c>
      <c r="E348">
        <v>422582667.56756753</v>
      </c>
      <c r="F348">
        <v>419881562.16216218</v>
      </c>
      <c r="G348">
        <v>886</v>
      </c>
      <c r="H348">
        <v>883</v>
      </c>
      <c r="I348">
        <v>87</v>
      </c>
      <c r="J348">
        <v>88</v>
      </c>
      <c r="K348">
        <v>7</v>
      </c>
      <c r="M348">
        <v>1134</v>
      </c>
      <c r="N348">
        <v>1946</v>
      </c>
      <c r="O348">
        <v>118471351.35135135</v>
      </c>
      <c r="P348">
        <v>345821441.44144148</v>
      </c>
      <c r="Q348">
        <v>857</v>
      </c>
      <c r="R348">
        <v>1108</v>
      </c>
      <c r="S348">
        <v>342169027.02702701</v>
      </c>
      <c r="T348">
        <v>359209187.38738739</v>
      </c>
      <c r="U348">
        <v>122093693.6936937</v>
      </c>
      <c r="V348">
        <v>245928558.55855855</v>
      </c>
      <c r="W348">
        <v>16720</v>
      </c>
      <c r="X348">
        <v>16445</v>
      </c>
    </row>
    <row r="349" spans="1:24">
      <c r="A349" s="7" t="s">
        <v>446</v>
      </c>
      <c r="B349" s="16" t="s">
        <v>48</v>
      </c>
      <c r="C349">
        <v>114172143.20328206</v>
      </c>
      <c r="D349">
        <v>107649041.89803521</v>
      </c>
      <c r="E349">
        <v>1106306.306306307</v>
      </c>
      <c r="F349">
        <v>2626126.1261261269</v>
      </c>
      <c r="G349">
        <v>24</v>
      </c>
      <c r="H349">
        <v>16</v>
      </c>
      <c r="I349">
        <v>3</v>
      </c>
      <c r="J349">
        <v>2</v>
      </c>
      <c r="M349">
        <v>27</v>
      </c>
      <c r="N349">
        <v>19</v>
      </c>
      <c r="O349">
        <v>27623423.423423424</v>
      </c>
      <c r="P349">
        <v>28733513.513513513</v>
      </c>
      <c r="Q349">
        <v>290</v>
      </c>
      <c r="R349">
        <v>95</v>
      </c>
      <c r="S349">
        <v>39378468.468468465</v>
      </c>
      <c r="T349">
        <v>36699441.441441439</v>
      </c>
      <c r="U349">
        <v>27232792.792792793</v>
      </c>
      <c r="V349">
        <v>28298918.918918919</v>
      </c>
      <c r="W349">
        <v>1268</v>
      </c>
      <c r="X349">
        <v>1102</v>
      </c>
    </row>
    <row r="350" spans="1:24">
      <c r="A350" s="7" t="s">
        <v>447</v>
      </c>
      <c r="B350" s="16" t="s">
        <v>448</v>
      </c>
      <c r="C350">
        <v>220101591.34808511</v>
      </c>
      <c r="D350">
        <v>215336577.02933303</v>
      </c>
      <c r="E350">
        <v>128488513.51351352</v>
      </c>
      <c r="F350">
        <v>521112612.61261261</v>
      </c>
      <c r="G350">
        <v>639</v>
      </c>
      <c r="H350">
        <v>188</v>
      </c>
      <c r="I350">
        <v>9</v>
      </c>
      <c r="J350">
        <v>10</v>
      </c>
      <c r="M350">
        <v>657</v>
      </c>
      <c r="N350">
        <v>218</v>
      </c>
      <c r="O350">
        <v>88054414.414414421</v>
      </c>
      <c r="P350">
        <v>30057027.027027026</v>
      </c>
      <c r="Q350">
        <v>483</v>
      </c>
      <c r="R350">
        <v>19</v>
      </c>
      <c r="S350">
        <v>87217972.972972974</v>
      </c>
      <c r="T350">
        <v>86229639.639639646</v>
      </c>
      <c r="U350">
        <v>85120720.720720723</v>
      </c>
      <c r="V350">
        <v>26388018.018018018</v>
      </c>
      <c r="W350">
        <v>5647</v>
      </c>
      <c r="X350">
        <v>5698</v>
      </c>
    </row>
    <row r="351" spans="1:24">
      <c r="A351" s="7" t="s">
        <v>449</v>
      </c>
      <c r="B351" s="16" t="s">
        <v>76</v>
      </c>
      <c r="C351">
        <v>56446085.036072984</v>
      </c>
      <c r="D351">
        <v>52771177.910807997</v>
      </c>
      <c r="E351">
        <v>431531.53153153299</v>
      </c>
      <c r="F351">
        <v>624324.32432432706</v>
      </c>
      <c r="G351">
        <v>19</v>
      </c>
      <c r="H351">
        <v>29</v>
      </c>
      <c r="I351">
        <v>2</v>
      </c>
      <c r="J351">
        <v>6</v>
      </c>
      <c r="M351">
        <v>21</v>
      </c>
      <c r="N351">
        <v>30</v>
      </c>
      <c r="O351">
        <v>14355855.855855856</v>
      </c>
      <c r="P351">
        <v>18466036.036036041</v>
      </c>
      <c r="Q351">
        <v>26</v>
      </c>
      <c r="R351">
        <v>16</v>
      </c>
      <c r="S351">
        <v>20486891.891891893</v>
      </c>
      <c r="T351">
        <v>18639637.837837841</v>
      </c>
      <c r="U351">
        <v>11063783.783783784</v>
      </c>
      <c r="V351">
        <v>15245855.855855856</v>
      </c>
      <c r="W351">
        <v>1863</v>
      </c>
      <c r="X351">
        <v>1895</v>
      </c>
    </row>
    <row r="352" spans="1:24">
      <c r="A352" s="7" t="s">
        <v>450</v>
      </c>
      <c r="B352" s="16" t="s">
        <v>83</v>
      </c>
      <c r="C352">
        <v>1973306257.2448833</v>
      </c>
      <c r="D352">
        <v>1927348494.1337149</v>
      </c>
      <c r="E352">
        <v>1019794541.4414414</v>
      </c>
      <c r="F352">
        <v>771437505.4054054</v>
      </c>
      <c r="G352">
        <v>479</v>
      </c>
      <c r="H352">
        <v>826</v>
      </c>
      <c r="I352">
        <v>43</v>
      </c>
      <c r="J352">
        <v>46</v>
      </c>
      <c r="K352">
        <v>8</v>
      </c>
      <c r="M352">
        <v>689</v>
      </c>
      <c r="N352">
        <v>997</v>
      </c>
      <c r="O352">
        <v>209074729.72972974</v>
      </c>
      <c r="P352">
        <v>293039054.05405408</v>
      </c>
      <c r="Q352">
        <v>349</v>
      </c>
      <c r="R352">
        <v>1038</v>
      </c>
      <c r="S352">
        <v>420757531.53153151</v>
      </c>
      <c r="T352">
        <v>410779227.47747749</v>
      </c>
      <c r="U352">
        <v>202951126.12612614</v>
      </c>
      <c r="V352">
        <v>282379504.5045045</v>
      </c>
      <c r="W352">
        <v>31398</v>
      </c>
      <c r="X352">
        <v>31171</v>
      </c>
    </row>
    <row r="353" spans="1:24">
      <c r="A353" s="7" t="s">
        <v>451</v>
      </c>
      <c r="B353" s="16" t="s">
        <v>70</v>
      </c>
      <c r="C353">
        <v>138611454.07472</v>
      </c>
      <c r="D353">
        <v>130489897.80135573</v>
      </c>
      <c r="E353">
        <v>602027.02702702698</v>
      </c>
      <c r="F353">
        <v>719819.81981982104</v>
      </c>
      <c r="G353">
        <v>22</v>
      </c>
      <c r="H353">
        <v>30</v>
      </c>
      <c r="I353">
        <v>1</v>
      </c>
      <c r="J353">
        <v>3</v>
      </c>
      <c r="M353">
        <v>23</v>
      </c>
      <c r="N353">
        <v>32</v>
      </c>
      <c r="O353">
        <v>2898198.1981981979</v>
      </c>
      <c r="P353">
        <v>4559459.4594594575</v>
      </c>
      <c r="R353">
        <v>22</v>
      </c>
      <c r="S353">
        <v>83877162.162162155</v>
      </c>
      <c r="T353">
        <v>79179585.585585579</v>
      </c>
      <c r="U353">
        <v>4682702.702702703</v>
      </c>
      <c r="V353">
        <v>3674954.9549549529</v>
      </c>
      <c r="W353">
        <v>2914</v>
      </c>
      <c r="X353">
        <v>2899</v>
      </c>
    </row>
    <row r="354" spans="1:24">
      <c r="A354" s="7" t="s">
        <v>452</v>
      </c>
      <c r="B354" s="16" t="s">
        <v>167</v>
      </c>
      <c r="C354">
        <v>158493471.36255005</v>
      </c>
      <c r="D354">
        <v>153372641.28923267</v>
      </c>
      <c r="E354">
        <v>39639.639639640001</v>
      </c>
      <c r="F354">
        <v>3269369.369369369</v>
      </c>
      <c r="G354">
        <v>26</v>
      </c>
      <c r="H354">
        <v>6</v>
      </c>
      <c r="I354">
        <v>1</v>
      </c>
      <c r="J354">
        <v>1</v>
      </c>
      <c r="K354">
        <v>1</v>
      </c>
      <c r="M354">
        <v>35</v>
      </c>
      <c r="N354">
        <v>6</v>
      </c>
      <c r="O354">
        <v>16923603.603603601</v>
      </c>
      <c r="P354">
        <v>8630180.1801801808</v>
      </c>
      <c r="Q354">
        <v>314</v>
      </c>
      <c r="R354">
        <v>12</v>
      </c>
      <c r="S354">
        <v>28820675.675675675</v>
      </c>
      <c r="T354">
        <v>29183522.52252252</v>
      </c>
      <c r="U354">
        <v>18264864.864864863</v>
      </c>
      <c r="V354">
        <v>7498648.6486486476</v>
      </c>
      <c r="W354">
        <v>2767</v>
      </c>
      <c r="X354">
        <v>3061</v>
      </c>
    </row>
    <row r="355" spans="1:24">
      <c r="A355" s="7" t="s">
        <v>453</v>
      </c>
      <c r="B355" s="16" t="s">
        <v>121</v>
      </c>
      <c r="C355">
        <v>9753766.7748162113</v>
      </c>
      <c r="D355">
        <v>6133842.0754647041</v>
      </c>
      <c r="E355">
        <v>16216.216216216</v>
      </c>
      <c r="F355">
        <v>34234.234234233998</v>
      </c>
      <c r="G355">
        <v>4</v>
      </c>
      <c r="H355">
        <v>2</v>
      </c>
      <c r="I355">
        <v>1</v>
      </c>
      <c r="J355">
        <v>0</v>
      </c>
      <c r="M355">
        <v>4</v>
      </c>
      <c r="N355">
        <v>2</v>
      </c>
      <c r="O355">
        <v>160360.36036036001</v>
      </c>
      <c r="P355">
        <v>36036.036036035999</v>
      </c>
      <c r="Q355">
        <v>16</v>
      </c>
      <c r="S355">
        <v>700936.93693693704</v>
      </c>
      <c r="T355">
        <v>630765.76576576603</v>
      </c>
      <c r="U355">
        <v>144144.144144144</v>
      </c>
      <c r="W355">
        <v>169</v>
      </c>
      <c r="X355">
        <v>138</v>
      </c>
    </row>
    <row r="356" spans="1:24">
      <c r="A356" s="7" t="s">
        <v>454</v>
      </c>
      <c r="B356" s="16" t="s">
        <v>224</v>
      </c>
      <c r="C356">
        <v>57493441.185340337</v>
      </c>
      <c r="D356">
        <v>51874302.351968862</v>
      </c>
      <c r="G356">
        <v>1</v>
      </c>
      <c r="H356">
        <v>1</v>
      </c>
      <c r="M356">
        <v>1</v>
      </c>
      <c r="N356">
        <v>3</v>
      </c>
      <c r="R356">
        <v>10</v>
      </c>
      <c r="S356">
        <v>10840540.540540541</v>
      </c>
      <c r="T356">
        <v>9964855.8558558561</v>
      </c>
      <c r="U356">
        <v>212612.61261261301</v>
      </c>
      <c r="V356">
        <v>257027.02702702701</v>
      </c>
      <c r="W356">
        <v>1301</v>
      </c>
      <c r="X356">
        <v>1412</v>
      </c>
    </row>
    <row r="357" spans="1:24">
      <c r="A357" s="7" t="s">
        <v>455</v>
      </c>
      <c r="B357" s="16" t="s">
        <v>94</v>
      </c>
      <c r="C357">
        <v>64401656.74720785</v>
      </c>
      <c r="D357">
        <v>77147170.803478912</v>
      </c>
      <c r="E357">
        <v>217117.117117118</v>
      </c>
      <c r="F357">
        <v>698198.19819819904</v>
      </c>
      <c r="G357">
        <v>22</v>
      </c>
      <c r="H357">
        <v>25</v>
      </c>
      <c r="I357">
        <v>4</v>
      </c>
      <c r="J357">
        <v>5</v>
      </c>
      <c r="M357">
        <v>26</v>
      </c>
      <c r="N357">
        <v>26</v>
      </c>
      <c r="O357">
        <v>10889189.189189188</v>
      </c>
      <c r="P357">
        <v>30060810.810810812</v>
      </c>
      <c r="Q357">
        <v>102</v>
      </c>
      <c r="R357">
        <v>213</v>
      </c>
      <c r="S357">
        <v>13751936.936936935</v>
      </c>
      <c r="T357">
        <v>17924743.243243244</v>
      </c>
      <c r="U357">
        <v>11438108.108108105</v>
      </c>
      <c r="V357">
        <v>29614864.864864863</v>
      </c>
      <c r="W357">
        <v>1990</v>
      </c>
      <c r="X357">
        <v>2108</v>
      </c>
    </row>
    <row r="358" spans="1:24">
      <c r="A358" s="7" t="s">
        <v>456</v>
      </c>
      <c r="B358" s="16" t="s">
        <v>60</v>
      </c>
      <c r="C358">
        <v>15548914.186971208</v>
      </c>
      <c r="D358">
        <v>11298289.268439103</v>
      </c>
      <c r="E358">
        <v>304504.50450450502</v>
      </c>
      <c r="F358">
        <v>193693.69369369399</v>
      </c>
      <c r="G358">
        <v>14</v>
      </c>
      <c r="H358">
        <v>5</v>
      </c>
      <c r="I358">
        <v>2</v>
      </c>
      <c r="J358">
        <v>1</v>
      </c>
      <c r="M358">
        <v>14</v>
      </c>
      <c r="N358">
        <v>6</v>
      </c>
      <c r="O358">
        <v>2556756.756756756</v>
      </c>
      <c r="P358">
        <v>1229729.7297297299</v>
      </c>
      <c r="R358">
        <v>15</v>
      </c>
      <c r="S358">
        <v>9256216.2162162159</v>
      </c>
      <c r="T358">
        <v>5145396.3963963967</v>
      </c>
      <c r="U358">
        <v>1964054.0540540549</v>
      </c>
      <c r="V358">
        <v>753063.06306306296</v>
      </c>
      <c r="W358">
        <v>661</v>
      </c>
      <c r="X358">
        <v>617</v>
      </c>
    </row>
    <row r="359" spans="1:24">
      <c r="A359" s="7" t="s">
        <v>457</v>
      </c>
      <c r="B359" s="16" t="s">
        <v>214</v>
      </c>
      <c r="C359">
        <v>194504475.68977624</v>
      </c>
      <c r="D359">
        <v>212486539.86472774</v>
      </c>
      <c r="F359">
        <v>473873.87387387402</v>
      </c>
      <c r="G359">
        <v>41</v>
      </c>
      <c r="H359">
        <v>43</v>
      </c>
      <c r="J359">
        <v>1</v>
      </c>
      <c r="M359">
        <v>44</v>
      </c>
      <c r="N359">
        <v>45</v>
      </c>
      <c r="O359">
        <v>450450.45045045001</v>
      </c>
      <c r="P359">
        <v>1014414.414414414</v>
      </c>
      <c r="R359">
        <v>7</v>
      </c>
      <c r="S359">
        <v>100433963.96396397</v>
      </c>
      <c r="T359">
        <v>109794783.78378378</v>
      </c>
      <c r="U359">
        <v>432432.43243243202</v>
      </c>
      <c r="V359">
        <v>1794144.1441441439</v>
      </c>
      <c r="W359">
        <v>2991</v>
      </c>
      <c r="X359">
        <v>3034</v>
      </c>
    </row>
    <row r="360" spans="1:24">
      <c r="A360" s="7" t="s">
        <v>458</v>
      </c>
      <c r="B360" s="16" t="s">
        <v>459</v>
      </c>
      <c r="C360">
        <v>877071679.81844866</v>
      </c>
      <c r="D360">
        <v>831628796.17371821</v>
      </c>
      <c r="E360">
        <v>221915135.13513514</v>
      </c>
      <c r="F360">
        <v>497165270.27027029</v>
      </c>
      <c r="G360">
        <v>430</v>
      </c>
      <c r="H360">
        <v>583</v>
      </c>
      <c r="I360">
        <v>40</v>
      </c>
      <c r="J360">
        <v>54</v>
      </c>
      <c r="K360">
        <v>2</v>
      </c>
      <c r="M360">
        <v>512</v>
      </c>
      <c r="N360">
        <v>715</v>
      </c>
      <c r="O360">
        <v>104448018.01801802</v>
      </c>
      <c r="P360">
        <v>290869459.45945948</v>
      </c>
      <c r="Q360">
        <v>927</v>
      </c>
      <c r="R360">
        <v>1136</v>
      </c>
      <c r="S360">
        <v>287530457.65765768</v>
      </c>
      <c r="T360">
        <v>294852650.9009009</v>
      </c>
      <c r="U360">
        <v>91496306.306306303</v>
      </c>
      <c r="V360">
        <v>225587297.29729727</v>
      </c>
      <c r="W360">
        <v>25445</v>
      </c>
      <c r="X360">
        <v>25024</v>
      </c>
    </row>
    <row r="361" spans="1:24">
      <c r="A361" s="7" t="s">
        <v>460</v>
      </c>
      <c r="B361" s="16" t="s">
        <v>459</v>
      </c>
      <c r="C361">
        <v>3183062037.038744</v>
      </c>
      <c r="D361">
        <v>2699404815.557497</v>
      </c>
      <c r="E361">
        <v>7906486.486486489</v>
      </c>
      <c r="F361">
        <v>19530630.630630638</v>
      </c>
      <c r="G361">
        <v>772</v>
      </c>
      <c r="H361">
        <v>856</v>
      </c>
      <c r="I361">
        <v>30</v>
      </c>
      <c r="J361">
        <v>38</v>
      </c>
      <c r="K361">
        <v>3</v>
      </c>
      <c r="M361">
        <v>933</v>
      </c>
      <c r="N361">
        <v>997</v>
      </c>
      <c r="O361">
        <v>109046036.03603603</v>
      </c>
      <c r="P361">
        <v>144633693.6936937</v>
      </c>
      <c r="Q361">
        <v>618</v>
      </c>
      <c r="R361">
        <v>873</v>
      </c>
      <c r="S361">
        <v>2112423529.7297299</v>
      </c>
      <c r="T361">
        <v>1687419644.5945945</v>
      </c>
      <c r="U361">
        <v>101993828.82882881</v>
      </c>
      <c r="V361">
        <v>133558468.46846846</v>
      </c>
      <c r="W361">
        <v>32198</v>
      </c>
      <c r="X361">
        <v>31481</v>
      </c>
    </row>
    <row r="362" spans="1:24">
      <c r="A362" s="7" t="s">
        <v>461</v>
      </c>
      <c r="B362" s="16" t="s">
        <v>459</v>
      </c>
      <c r="C362">
        <v>1298157709.2443302</v>
      </c>
      <c r="D362">
        <v>1304794920.0650501</v>
      </c>
      <c r="E362">
        <v>22946638.738738745</v>
      </c>
      <c r="F362">
        <v>30737325.225225236</v>
      </c>
      <c r="G362">
        <v>654</v>
      </c>
      <c r="H362">
        <v>790</v>
      </c>
      <c r="I362">
        <v>29</v>
      </c>
      <c r="J362">
        <v>28</v>
      </c>
      <c r="K362">
        <v>8</v>
      </c>
      <c r="M362">
        <v>790</v>
      </c>
      <c r="N362">
        <v>932</v>
      </c>
      <c r="O362">
        <v>1036774641.4414414</v>
      </c>
      <c r="P362">
        <v>1544099181.981982</v>
      </c>
      <c r="Q362">
        <v>681</v>
      </c>
      <c r="R362">
        <v>1926</v>
      </c>
      <c r="S362">
        <v>345990445.94594592</v>
      </c>
      <c r="T362">
        <v>358077031.53153151</v>
      </c>
      <c r="U362">
        <v>1041479099.0990992</v>
      </c>
      <c r="V362">
        <v>1522991576.5765765</v>
      </c>
      <c r="W362">
        <v>24325</v>
      </c>
      <c r="X362">
        <v>24302</v>
      </c>
    </row>
    <row r="363" spans="1:24">
      <c r="A363" s="7" t="s">
        <v>462</v>
      </c>
      <c r="B363" s="16" t="s">
        <v>459</v>
      </c>
      <c r="C363">
        <v>997922479.59251964</v>
      </c>
      <c r="D363">
        <v>956500034.65746689</v>
      </c>
      <c r="E363">
        <v>603513.51351351803</v>
      </c>
      <c r="F363">
        <v>7381531.5315315472</v>
      </c>
      <c r="G363">
        <v>344</v>
      </c>
      <c r="H363">
        <v>402</v>
      </c>
      <c r="I363">
        <v>25</v>
      </c>
      <c r="J363">
        <v>24</v>
      </c>
      <c r="K363">
        <v>1</v>
      </c>
      <c r="M363">
        <v>405</v>
      </c>
      <c r="N363">
        <v>459</v>
      </c>
      <c r="O363">
        <v>61901891.891891889</v>
      </c>
      <c r="P363">
        <v>151577387.38738739</v>
      </c>
      <c r="Q363">
        <v>486</v>
      </c>
      <c r="R363">
        <v>803</v>
      </c>
      <c r="S363">
        <v>222201230.63063061</v>
      </c>
      <c r="T363">
        <v>214818477.47747746</v>
      </c>
      <c r="U363">
        <v>60921711.711711712</v>
      </c>
      <c r="V363">
        <v>104396846.84684685</v>
      </c>
      <c r="W363">
        <v>19806</v>
      </c>
      <c r="X363">
        <v>19569</v>
      </c>
    </row>
    <row r="364" spans="1:24">
      <c r="A364" s="7" t="s">
        <v>463</v>
      </c>
      <c r="B364" s="16" t="s">
        <v>459</v>
      </c>
      <c r="C364">
        <v>926150310.89010918</v>
      </c>
      <c r="D364">
        <v>914634115.8756758</v>
      </c>
      <c r="E364">
        <v>2141441.441441447</v>
      </c>
      <c r="F364">
        <v>17036261.261261269</v>
      </c>
      <c r="G364">
        <v>649</v>
      </c>
      <c r="H364">
        <v>1520</v>
      </c>
      <c r="I364">
        <v>38</v>
      </c>
      <c r="J364">
        <v>39</v>
      </c>
      <c r="M364">
        <v>769</v>
      </c>
      <c r="N364">
        <v>1758</v>
      </c>
      <c r="O364">
        <v>67591981.981981978</v>
      </c>
      <c r="P364">
        <v>191231711.7117117</v>
      </c>
      <c r="Q364">
        <v>513</v>
      </c>
      <c r="R364">
        <v>1121</v>
      </c>
      <c r="S364">
        <v>352003828.82882881</v>
      </c>
      <c r="T364">
        <v>370383700.45045042</v>
      </c>
      <c r="U364">
        <v>64883423.423423417</v>
      </c>
      <c r="V364">
        <v>176340000</v>
      </c>
      <c r="W364">
        <v>26529</v>
      </c>
      <c r="X364">
        <v>26520</v>
      </c>
    </row>
    <row r="365" spans="1:24">
      <c r="A365" s="7" t="s">
        <v>464</v>
      </c>
      <c r="B365" s="16" t="s">
        <v>459</v>
      </c>
      <c r="C365">
        <v>1039186291.7686427</v>
      </c>
      <c r="D365">
        <v>1059536470.7993782</v>
      </c>
      <c r="E365">
        <v>1768595009.90991</v>
      </c>
      <c r="F365">
        <v>1975099870.2702701</v>
      </c>
      <c r="G365">
        <v>554</v>
      </c>
      <c r="H365">
        <v>444</v>
      </c>
      <c r="I365">
        <v>52</v>
      </c>
      <c r="J365">
        <v>53</v>
      </c>
      <c r="K365">
        <v>1</v>
      </c>
      <c r="M365">
        <v>643</v>
      </c>
      <c r="N365">
        <v>516</v>
      </c>
      <c r="O365">
        <v>147255405.4054054</v>
      </c>
      <c r="P365">
        <v>165820701.8018018</v>
      </c>
      <c r="Q365">
        <v>1493</v>
      </c>
      <c r="R365">
        <v>1631</v>
      </c>
      <c r="S365">
        <v>461105331.53153151</v>
      </c>
      <c r="T365">
        <v>455418491.44144142</v>
      </c>
      <c r="U365">
        <v>139837297.2972973</v>
      </c>
      <c r="V365">
        <v>159950000</v>
      </c>
      <c r="W365">
        <v>28338</v>
      </c>
      <c r="X365">
        <v>27852</v>
      </c>
    </row>
    <row r="366" spans="1:24">
      <c r="A366" s="7" t="s">
        <v>465</v>
      </c>
      <c r="B366" s="16" t="s">
        <v>54</v>
      </c>
      <c r="C366">
        <v>74445933.296227783</v>
      </c>
      <c r="D366">
        <v>70819334.872953936</v>
      </c>
      <c r="E366">
        <v>231756.75675675701</v>
      </c>
      <c r="F366">
        <v>941441.44144144095</v>
      </c>
      <c r="G366">
        <v>46</v>
      </c>
      <c r="H366">
        <v>25</v>
      </c>
      <c r="I366">
        <v>3</v>
      </c>
      <c r="J366">
        <v>4</v>
      </c>
      <c r="M366">
        <v>46</v>
      </c>
      <c r="N366">
        <v>35</v>
      </c>
      <c r="O366">
        <v>6425225.2252252251</v>
      </c>
      <c r="P366">
        <v>7440360.3603603607</v>
      </c>
      <c r="Q366">
        <v>55</v>
      </c>
      <c r="R366">
        <v>62</v>
      </c>
      <c r="S366">
        <v>15327297.297297299</v>
      </c>
      <c r="T366">
        <v>14505216.216216216</v>
      </c>
      <c r="U366">
        <v>6620630.6306306301</v>
      </c>
      <c r="V366">
        <v>7025135.1351351328</v>
      </c>
      <c r="W366">
        <v>1084</v>
      </c>
      <c r="X366">
        <v>1234</v>
      </c>
    </row>
    <row r="367" spans="1:24">
      <c r="A367" s="7" t="s">
        <v>466</v>
      </c>
      <c r="B367" s="16" t="s">
        <v>87</v>
      </c>
      <c r="C367">
        <v>2926115.335713387</v>
      </c>
      <c r="D367">
        <v>2590005.5196158919</v>
      </c>
      <c r="S367">
        <v>457432.43243243202</v>
      </c>
      <c r="T367">
        <v>389864.86486486503</v>
      </c>
      <c r="W367">
        <v>84</v>
      </c>
      <c r="X367">
        <v>96</v>
      </c>
    </row>
    <row r="368" spans="1:24">
      <c r="A368" s="7" t="s">
        <v>467</v>
      </c>
      <c r="B368" s="16" t="s">
        <v>143</v>
      </c>
      <c r="C368">
        <v>336770217.33061349</v>
      </c>
      <c r="D368">
        <v>331600368.03884739</v>
      </c>
      <c r="E368">
        <v>71171.171171170994</v>
      </c>
      <c r="F368">
        <v>317117.11711711797</v>
      </c>
      <c r="G368">
        <v>83</v>
      </c>
      <c r="H368">
        <v>74</v>
      </c>
      <c r="I368">
        <v>2</v>
      </c>
      <c r="J368">
        <v>3</v>
      </c>
      <c r="M368">
        <v>95</v>
      </c>
      <c r="N368">
        <v>84</v>
      </c>
      <c r="O368">
        <v>16976576.576576576</v>
      </c>
      <c r="P368">
        <v>20028828.828828827</v>
      </c>
      <c r="Q368">
        <v>48</v>
      </c>
      <c r="R368">
        <v>40</v>
      </c>
      <c r="S368">
        <v>51525097.297297299</v>
      </c>
      <c r="T368">
        <v>52129491.891891889</v>
      </c>
      <c r="U368">
        <v>17020630.630630631</v>
      </c>
      <c r="V368">
        <v>15222162.162162161</v>
      </c>
      <c r="W368">
        <v>5023</v>
      </c>
      <c r="X368">
        <v>5096</v>
      </c>
    </row>
    <row r="369" spans="1:24">
      <c r="A369" s="7" t="s">
        <v>468</v>
      </c>
      <c r="B369" s="16" t="s">
        <v>80</v>
      </c>
      <c r="C369">
        <v>297537396.86230248</v>
      </c>
      <c r="D369">
        <v>283842439.91680324</v>
      </c>
      <c r="E369">
        <v>244819.81981982</v>
      </c>
      <c r="F369">
        <v>85135.135135138</v>
      </c>
      <c r="G369">
        <v>55</v>
      </c>
      <c r="H369">
        <v>41</v>
      </c>
      <c r="I369">
        <v>6</v>
      </c>
      <c r="J369">
        <v>0</v>
      </c>
      <c r="M369">
        <v>61</v>
      </c>
      <c r="N369">
        <v>45</v>
      </c>
      <c r="O369">
        <v>10023693.693693692</v>
      </c>
      <c r="P369">
        <v>7635585.5855855858</v>
      </c>
      <c r="Q369">
        <v>35</v>
      </c>
      <c r="R369">
        <v>33</v>
      </c>
      <c r="S369">
        <v>113512133.33333333</v>
      </c>
      <c r="T369">
        <v>106948198.1981982</v>
      </c>
      <c r="U369">
        <v>9171441.4414414391</v>
      </c>
      <c r="V369">
        <v>6216846.8468468478</v>
      </c>
      <c r="W369">
        <v>5094</v>
      </c>
      <c r="X369">
        <v>5028</v>
      </c>
    </row>
    <row r="370" spans="1:24">
      <c r="A370" s="7" t="s">
        <v>469</v>
      </c>
      <c r="B370" s="16" t="s">
        <v>470</v>
      </c>
      <c r="C370">
        <v>333531196.08149546</v>
      </c>
      <c r="D370">
        <v>342822612.19635916</v>
      </c>
      <c r="E370">
        <v>33603648.648648649</v>
      </c>
      <c r="F370">
        <v>110581081.08108109</v>
      </c>
      <c r="G370">
        <v>62</v>
      </c>
      <c r="H370">
        <v>43</v>
      </c>
      <c r="I370">
        <v>2</v>
      </c>
      <c r="J370">
        <v>5</v>
      </c>
      <c r="M370">
        <v>69</v>
      </c>
      <c r="N370">
        <v>47</v>
      </c>
      <c r="O370">
        <v>22170270.270270269</v>
      </c>
      <c r="P370">
        <v>32814414.414414417</v>
      </c>
      <c r="Q370">
        <v>30</v>
      </c>
      <c r="R370">
        <v>46</v>
      </c>
      <c r="S370">
        <v>101997981.98198198</v>
      </c>
      <c r="T370">
        <v>108459385.58558558</v>
      </c>
      <c r="U370">
        <v>12855945.945945948</v>
      </c>
      <c r="V370">
        <v>28780854.054054055</v>
      </c>
      <c r="W370">
        <v>5195</v>
      </c>
      <c r="X370">
        <v>5544</v>
      </c>
    </row>
    <row r="371" spans="1:24">
      <c r="A371" s="7" t="s">
        <v>471</v>
      </c>
      <c r="B371" s="16" t="s">
        <v>470</v>
      </c>
      <c r="C371">
        <v>31156637.439403784</v>
      </c>
      <c r="D371">
        <v>28552682.745793529</v>
      </c>
      <c r="E371">
        <v>162162.16216216201</v>
      </c>
      <c r="F371">
        <v>220720.720720721</v>
      </c>
      <c r="H371">
        <v>3</v>
      </c>
      <c r="I371">
        <v>0</v>
      </c>
      <c r="J371">
        <v>1</v>
      </c>
      <c r="N371">
        <v>4</v>
      </c>
      <c r="O371">
        <v>209729.72972973</v>
      </c>
      <c r="P371">
        <v>3049549.5495495489</v>
      </c>
      <c r="Q371">
        <v>6</v>
      </c>
      <c r="R371">
        <v>2</v>
      </c>
      <c r="S371">
        <v>2647252.2522522518</v>
      </c>
      <c r="T371">
        <v>2472702.702702703</v>
      </c>
      <c r="U371">
        <v>178648.64864864899</v>
      </c>
      <c r="V371">
        <v>3069909.9099099091</v>
      </c>
      <c r="W371">
        <v>589</v>
      </c>
      <c r="X371">
        <v>624</v>
      </c>
    </row>
    <row r="372" spans="1:24">
      <c r="A372" s="7" t="s">
        <v>472</v>
      </c>
      <c r="B372" s="16" t="s">
        <v>470</v>
      </c>
      <c r="C372">
        <v>4067633.5134623982</v>
      </c>
      <c r="D372">
        <v>3445942.334294505</v>
      </c>
      <c r="E372">
        <v>1801.801801802</v>
      </c>
      <c r="F372">
        <v>393693.69369369402</v>
      </c>
      <c r="H372">
        <v>1</v>
      </c>
      <c r="J372">
        <v>2</v>
      </c>
      <c r="N372">
        <v>1</v>
      </c>
      <c r="O372">
        <v>96936.936936936996</v>
      </c>
      <c r="P372">
        <v>2943243.243243244</v>
      </c>
      <c r="Q372">
        <v>6</v>
      </c>
      <c r="S372">
        <v>653153.15315315302</v>
      </c>
      <c r="T372">
        <v>765450.45045044995</v>
      </c>
      <c r="U372">
        <v>232072.072072073</v>
      </c>
      <c r="V372">
        <v>2703603.6036036038</v>
      </c>
      <c r="W372">
        <v>366</v>
      </c>
      <c r="X372">
        <v>430</v>
      </c>
    </row>
    <row r="373" spans="1:24">
      <c r="A373" s="7" t="s">
        <v>473</v>
      </c>
      <c r="B373" s="16" t="s">
        <v>470</v>
      </c>
      <c r="C373">
        <v>114117791.02611722</v>
      </c>
      <c r="D373">
        <v>120728188.76552141</v>
      </c>
      <c r="E373">
        <v>554954.95495495503</v>
      </c>
      <c r="F373">
        <v>989189.18918919004</v>
      </c>
      <c r="G373">
        <v>19</v>
      </c>
      <c r="H373">
        <v>15</v>
      </c>
      <c r="I373">
        <v>2</v>
      </c>
      <c r="J373">
        <v>2</v>
      </c>
      <c r="M373">
        <v>21</v>
      </c>
      <c r="N373">
        <v>16</v>
      </c>
      <c r="O373">
        <v>989279.27927927906</v>
      </c>
      <c r="P373">
        <v>71631081.081081077</v>
      </c>
      <c r="Q373">
        <v>6</v>
      </c>
      <c r="R373">
        <v>4</v>
      </c>
      <c r="S373">
        <v>16090034.234234232</v>
      </c>
      <c r="T373">
        <v>16534980.180180181</v>
      </c>
      <c r="U373">
        <v>9116306.3063063063</v>
      </c>
      <c r="V373">
        <v>32710360.360360362</v>
      </c>
      <c r="W373">
        <v>2216</v>
      </c>
      <c r="X373">
        <v>2208</v>
      </c>
    </row>
    <row r="374" spans="1:24">
      <c r="A374" s="7" t="s">
        <v>474</v>
      </c>
      <c r="B374" s="16" t="s">
        <v>470</v>
      </c>
      <c r="C374">
        <v>164459497.15368226</v>
      </c>
      <c r="D374">
        <v>169589912.73961234</v>
      </c>
      <c r="E374">
        <v>121232628.82882883</v>
      </c>
      <c r="F374">
        <v>254371849.54954955</v>
      </c>
      <c r="G374">
        <v>26</v>
      </c>
      <c r="H374">
        <v>35</v>
      </c>
      <c r="I374">
        <v>2</v>
      </c>
      <c r="J374">
        <v>4</v>
      </c>
      <c r="M374">
        <v>28</v>
      </c>
      <c r="N374">
        <v>36</v>
      </c>
      <c r="O374">
        <v>24042406.306306303</v>
      </c>
      <c r="P374">
        <v>35903389.189189188</v>
      </c>
      <c r="Q374">
        <v>37</v>
      </c>
      <c r="R374">
        <v>19</v>
      </c>
      <c r="S374">
        <v>37883063.063063063</v>
      </c>
      <c r="T374">
        <v>36616990.990990989</v>
      </c>
      <c r="U374">
        <v>7496486.4864864862</v>
      </c>
      <c r="V374">
        <v>13167027.027027028</v>
      </c>
      <c r="W374">
        <v>2344</v>
      </c>
      <c r="X374">
        <v>2363</v>
      </c>
    </row>
    <row r="375" spans="1:24">
      <c r="A375" s="7" t="s">
        <v>475</v>
      </c>
      <c r="B375" s="16" t="s">
        <v>470</v>
      </c>
      <c r="C375">
        <v>63857665.443003118</v>
      </c>
      <c r="D375">
        <v>62699545.828682773</v>
      </c>
      <c r="E375">
        <v>11711.711711712</v>
      </c>
      <c r="F375">
        <v>400000.00000000099</v>
      </c>
      <c r="G375">
        <v>12</v>
      </c>
      <c r="H375">
        <v>6</v>
      </c>
      <c r="I375">
        <v>3</v>
      </c>
      <c r="J375">
        <v>6</v>
      </c>
      <c r="M375">
        <v>12</v>
      </c>
      <c r="N375">
        <v>6</v>
      </c>
      <c r="O375">
        <v>5343603.6036036052</v>
      </c>
      <c r="P375">
        <v>8309909.9099099096</v>
      </c>
      <c r="Q375">
        <v>10</v>
      </c>
      <c r="S375">
        <v>13753513.513513515</v>
      </c>
      <c r="T375">
        <v>13296187.387387387</v>
      </c>
      <c r="U375">
        <v>5597387.3873873884</v>
      </c>
      <c r="V375">
        <v>7253153.1531531531</v>
      </c>
      <c r="W375">
        <v>1392</v>
      </c>
      <c r="X375">
        <v>1366</v>
      </c>
    </row>
    <row r="376" spans="1:24">
      <c r="A376" s="7" t="s">
        <v>476</v>
      </c>
      <c r="B376" s="16" t="s">
        <v>470</v>
      </c>
      <c r="C376">
        <v>637144461.79976845</v>
      </c>
      <c r="D376">
        <v>643810156.05886149</v>
      </c>
      <c r="E376">
        <v>3145180.1801801892</v>
      </c>
      <c r="F376">
        <v>12466666.666666672</v>
      </c>
      <c r="G376">
        <v>219</v>
      </c>
      <c r="H376">
        <v>258</v>
      </c>
      <c r="I376">
        <v>52</v>
      </c>
      <c r="J376">
        <v>64</v>
      </c>
      <c r="M376">
        <v>358</v>
      </c>
      <c r="N376">
        <v>536</v>
      </c>
      <c r="O376">
        <v>119502530.63063064</v>
      </c>
      <c r="P376">
        <v>212742252.25225225</v>
      </c>
      <c r="Q376">
        <v>286</v>
      </c>
      <c r="R376">
        <v>399</v>
      </c>
      <c r="S376">
        <v>159237281.08108109</v>
      </c>
      <c r="T376">
        <v>168942187.38738739</v>
      </c>
      <c r="U376">
        <v>117632162.16216215</v>
      </c>
      <c r="V376">
        <v>206649639.63963965</v>
      </c>
      <c r="W376">
        <v>15828</v>
      </c>
      <c r="X376">
        <v>16080</v>
      </c>
    </row>
    <row r="377" spans="1:24">
      <c r="A377" s="7" t="s">
        <v>477</v>
      </c>
      <c r="B377" s="16" t="s">
        <v>260</v>
      </c>
      <c r="C377">
        <v>804823719.81392169</v>
      </c>
      <c r="D377">
        <v>751644314.05823565</v>
      </c>
      <c r="E377">
        <v>1107297.297297298</v>
      </c>
      <c r="F377">
        <v>2970045.0450450461</v>
      </c>
      <c r="G377">
        <v>168</v>
      </c>
      <c r="H377">
        <v>195</v>
      </c>
      <c r="I377">
        <v>6</v>
      </c>
      <c r="J377">
        <v>8</v>
      </c>
      <c r="M377">
        <v>175</v>
      </c>
      <c r="N377">
        <v>206</v>
      </c>
      <c r="O377">
        <v>113075765.76576576</v>
      </c>
      <c r="P377">
        <v>95944144.144144148</v>
      </c>
      <c r="Q377">
        <v>85</v>
      </c>
      <c r="R377">
        <v>158</v>
      </c>
      <c r="S377">
        <v>208358990.99099097</v>
      </c>
      <c r="T377">
        <v>202588130.63063061</v>
      </c>
      <c r="U377">
        <v>115807027.02702703</v>
      </c>
      <c r="V377">
        <v>96492162.162162155</v>
      </c>
      <c r="W377">
        <v>11773</v>
      </c>
      <c r="X377">
        <v>11037</v>
      </c>
    </row>
    <row r="378" spans="1:24">
      <c r="A378" s="7" t="s">
        <v>478</v>
      </c>
      <c r="B378" s="16" t="s">
        <v>479</v>
      </c>
      <c r="C378">
        <v>63520970.13345404</v>
      </c>
      <c r="D378">
        <v>56366206.465610653</v>
      </c>
      <c r="E378">
        <v>534234.23423423397</v>
      </c>
      <c r="F378">
        <v>816216.21621621703</v>
      </c>
      <c r="G378">
        <v>22</v>
      </c>
      <c r="H378">
        <v>15</v>
      </c>
      <c r="I378">
        <v>1</v>
      </c>
      <c r="J378">
        <v>3</v>
      </c>
      <c r="M378">
        <v>24</v>
      </c>
      <c r="N378">
        <v>15</v>
      </c>
      <c r="O378">
        <v>26839639.639639638</v>
      </c>
      <c r="P378">
        <v>17840540.540540542</v>
      </c>
      <c r="R378">
        <v>10</v>
      </c>
      <c r="S378">
        <v>14629639.63963964</v>
      </c>
      <c r="T378">
        <v>13578513.513513515</v>
      </c>
      <c r="U378">
        <v>27016666.666666668</v>
      </c>
      <c r="V378">
        <v>17698018.018018018</v>
      </c>
      <c r="W378">
        <v>903</v>
      </c>
      <c r="X378">
        <v>868</v>
      </c>
    </row>
    <row r="379" spans="1:24">
      <c r="A379" s="7" t="s">
        <v>480</v>
      </c>
      <c r="B379" s="16" t="s">
        <v>123</v>
      </c>
      <c r="C379">
        <v>420685515.07486945</v>
      </c>
      <c r="D379">
        <v>408956747.61599272</v>
      </c>
      <c r="E379">
        <v>2473423.4234234239</v>
      </c>
      <c r="F379">
        <v>2664864.8648648672</v>
      </c>
      <c r="G379">
        <v>86</v>
      </c>
      <c r="H379">
        <v>85</v>
      </c>
      <c r="I379">
        <v>6</v>
      </c>
      <c r="J379">
        <v>6</v>
      </c>
      <c r="M379">
        <v>94</v>
      </c>
      <c r="N379">
        <v>92</v>
      </c>
      <c r="O379">
        <v>32328738.738738734</v>
      </c>
      <c r="P379">
        <v>27681801.801801804</v>
      </c>
      <c r="Q379">
        <v>59</v>
      </c>
      <c r="R379">
        <v>39</v>
      </c>
      <c r="S379">
        <v>157083549.54954955</v>
      </c>
      <c r="T379">
        <v>153922274.77477479</v>
      </c>
      <c r="U379">
        <v>30161261.261261258</v>
      </c>
      <c r="V379">
        <v>26667117.117117122</v>
      </c>
      <c r="W379">
        <v>5619</v>
      </c>
      <c r="X379">
        <v>5533</v>
      </c>
    </row>
    <row r="380" spans="1:24">
      <c r="A380" s="7" t="s">
        <v>481</v>
      </c>
      <c r="B380" s="16" t="s">
        <v>470</v>
      </c>
      <c r="C380">
        <v>34214713.064927466</v>
      </c>
      <c r="D380">
        <v>32346111.482717879</v>
      </c>
      <c r="E380">
        <v>27477.477477478002</v>
      </c>
      <c r="F380">
        <v>95495.495495495998</v>
      </c>
      <c r="G380">
        <v>7</v>
      </c>
      <c r="H380">
        <v>3</v>
      </c>
      <c r="I380">
        <v>3</v>
      </c>
      <c r="J380">
        <v>2</v>
      </c>
      <c r="M380">
        <v>7</v>
      </c>
      <c r="N380">
        <v>4</v>
      </c>
      <c r="O380">
        <v>936486.48648648697</v>
      </c>
      <c r="P380">
        <v>1897297.297297297</v>
      </c>
      <c r="Q380">
        <v>5</v>
      </c>
      <c r="S380">
        <v>4552963.963963964</v>
      </c>
      <c r="T380">
        <v>4315126.1261261264</v>
      </c>
      <c r="U380">
        <v>1045225.225225225</v>
      </c>
      <c r="V380">
        <v>1041351.351351351</v>
      </c>
      <c r="W380">
        <v>604</v>
      </c>
      <c r="X380">
        <v>621</v>
      </c>
    </row>
    <row r="381" spans="1:24">
      <c r="A381" s="7" t="s">
        <v>677</v>
      </c>
      <c r="B381" s="16" t="s">
        <v>85</v>
      </c>
      <c r="E381">
        <v>212093581.08108109</v>
      </c>
      <c r="F381">
        <v>136013513.51351351</v>
      </c>
      <c r="O381">
        <v>4621621.6216216218</v>
      </c>
      <c r="P381">
        <v>2027027.027027027</v>
      </c>
    </row>
    <row r="382" spans="1:24">
      <c r="A382" s="7" t="s">
        <v>482</v>
      </c>
      <c r="B382" s="16" t="s">
        <v>167</v>
      </c>
      <c r="C382">
        <v>356024805.70912886</v>
      </c>
      <c r="D382">
        <v>339769469.27856088</v>
      </c>
      <c r="E382">
        <v>398198.19819819898</v>
      </c>
      <c r="F382">
        <v>4134234.2342342339</v>
      </c>
      <c r="G382">
        <v>227</v>
      </c>
      <c r="H382">
        <v>302</v>
      </c>
      <c r="I382">
        <v>19</v>
      </c>
      <c r="J382">
        <v>9</v>
      </c>
      <c r="M382">
        <v>266</v>
      </c>
      <c r="N382">
        <v>376</v>
      </c>
      <c r="O382">
        <v>24491506.306306306</v>
      </c>
      <c r="P382">
        <v>36013550.45045045</v>
      </c>
      <c r="Q382">
        <v>44</v>
      </c>
      <c r="R382">
        <v>315</v>
      </c>
      <c r="S382">
        <v>137043825.22522524</v>
      </c>
      <c r="T382">
        <v>139791747.74774775</v>
      </c>
      <c r="U382">
        <v>26154594.59459459</v>
      </c>
      <c r="V382">
        <v>32797387.387387391</v>
      </c>
      <c r="W382">
        <v>9008</v>
      </c>
      <c r="X382">
        <v>9380</v>
      </c>
    </row>
    <row r="383" spans="1:24">
      <c r="A383" s="7" t="s">
        <v>483</v>
      </c>
      <c r="B383" s="16" t="s">
        <v>167</v>
      </c>
      <c r="C383">
        <v>353799051.4389171</v>
      </c>
      <c r="D383">
        <v>385552841.55067903</v>
      </c>
      <c r="E383">
        <v>531646979.27927929</v>
      </c>
      <c r="F383">
        <v>478896105.40540546</v>
      </c>
      <c r="G383">
        <v>417</v>
      </c>
      <c r="H383">
        <v>799</v>
      </c>
      <c r="I383">
        <v>13</v>
      </c>
      <c r="J383">
        <v>15</v>
      </c>
      <c r="M383">
        <v>552</v>
      </c>
      <c r="N383">
        <v>1467</v>
      </c>
      <c r="O383">
        <v>70721446.846846849</v>
      </c>
      <c r="P383">
        <v>65885811.711711712</v>
      </c>
      <c r="Q383">
        <v>419</v>
      </c>
      <c r="R383">
        <v>68</v>
      </c>
      <c r="S383">
        <v>136743016.21621624</v>
      </c>
      <c r="T383">
        <v>149269128.82882884</v>
      </c>
      <c r="U383">
        <v>64653556.756756753</v>
      </c>
      <c r="V383">
        <v>56812565.765765771</v>
      </c>
      <c r="W383">
        <v>9228</v>
      </c>
      <c r="X383">
        <v>8893</v>
      </c>
    </row>
    <row r="384" spans="1:24">
      <c r="A384" s="7" t="s">
        <v>484</v>
      </c>
      <c r="B384" s="16" t="s">
        <v>50</v>
      </c>
      <c r="C384">
        <v>240876696.91585442</v>
      </c>
      <c r="D384">
        <v>229152413.21998835</v>
      </c>
      <c r="E384">
        <v>451100271.17117119</v>
      </c>
      <c r="F384">
        <v>574982814.41441441</v>
      </c>
      <c r="G384">
        <v>66</v>
      </c>
      <c r="H384">
        <v>67</v>
      </c>
      <c r="I384">
        <v>20</v>
      </c>
      <c r="J384">
        <v>9</v>
      </c>
      <c r="M384">
        <v>67</v>
      </c>
      <c r="N384">
        <v>72</v>
      </c>
      <c r="O384">
        <v>137585905.4054054</v>
      </c>
      <c r="P384">
        <v>142798108.1081081</v>
      </c>
      <c r="Q384">
        <v>161</v>
      </c>
      <c r="R384">
        <v>71</v>
      </c>
      <c r="S384">
        <v>105196081.08108109</v>
      </c>
      <c r="T384">
        <v>100600628.82882883</v>
      </c>
      <c r="U384">
        <v>64139729.729729727</v>
      </c>
      <c r="V384">
        <v>44122342.342342347</v>
      </c>
      <c r="W384">
        <v>3671</v>
      </c>
      <c r="X384">
        <v>3586</v>
      </c>
    </row>
    <row r="385" spans="1:24">
      <c r="A385" s="7" t="s">
        <v>485</v>
      </c>
      <c r="B385" s="16" t="s">
        <v>134</v>
      </c>
      <c r="C385">
        <v>324197384.10044503</v>
      </c>
      <c r="D385">
        <v>306546777.50917268</v>
      </c>
      <c r="E385">
        <v>900900.90090090199</v>
      </c>
      <c r="F385">
        <v>2865990.9909909898</v>
      </c>
      <c r="G385">
        <v>84</v>
      </c>
      <c r="H385">
        <v>68</v>
      </c>
      <c r="I385">
        <v>10</v>
      </c>
      <c r="J385">
        <v>5</v>
      </c>
      <c r="M385">
        <v>93</v>
      </c>
      <c r="N385">
        <v>68</v>
      </c>
      <c r="O385">
        <v>66243243.24324324</v>
      </c>
      <c r="P385">
        <v>48137837.837837838</v>
      </c>
      <c r="Q385">
        <v>239</v>
      </c>
      <c r="R385">
        <v>101</v>
      </c>
      <c r="S385">
        <v>62070630.630630635</v>
      </c>
      <c r="T385">
        <v>59513309.009009011</v>
      </c>
      <c r="U385">
        <v>35642522.522522517</v>
      </c>
      <c r="V385">
        <v>32130810.810810808</v>
      </c>
      <c r="W385">
        <v>4686</v>
      </c>
      <c r="X385">
        <v>4664</v>
      </c>
    </row>
    <row r="386" spans="1:24">
      <c r="A386" s="7" t="s">
        <v>486</v>
      </c>
      <c r="B386" s="16" t="s">
        <v>76</v>
      </c>
      <c r="C386">
        <v>79950866.871873721</v>
      </c>
      <c r="D386">
        <v>66828871.218771331</v>
      </c>
      <c r="E386">
        <v>2641441.4414414419</v>
      </c>
      <c r="F386">
        <v>1490990.9909909919</v>
      </c>
      <c r="G386">
        <v>25</v>
      </c>
      <c r="H386">
        <v>19</v>
      </c>
      <c r="I386">
        <v>2</v>
      </c>
      <c r="J386">
        <v>2</v>
      </c>
      <c r="M386">
        <v>28</v>
      </c>
      <c r="N386">
        <v>19</v>
      </c>
      <c r="O386">
        <v>27253333.333333336</v>
      </c>
      <c r="P386">
        <v>13566756.756756758</v>
      </c>
      <c r="Q386">
        <v>17</v>
      </c>
      <c r="R386">
        <v>38</v>
      </c>
      <c r="S386">
        <v>30479563.063063063</v>
      </c>
      <c r="T386">
        <v>25770990.090090089</v>
      </c>
      <c r="U386">
        <v>26645945.945945945</v>
      </c>
      <c r="V386">
        <v>13468688.288288288</v>
      </c>
      <c r="W386">
        <v>1498</v>
      </c>
      <c r="X386">
        <v>1461</v>
      </c>
    </row>
    <row r="387" spans="1:24">
      <c r="A387" s="7" t="s">
        <v>487</v>
      </c>
      <c r="B387" s="16" t="s">
        <v>307</v>
      </c>
      <c r="C387">
        <v>509133688.586487</v>
      </c>
      <c r="D387">
        <v>519711900.95108604</v>
      </c>
      <c r="E387">
        <v>1546846.8468468471</v>
      </c>
      <c r="F387">
        <v>6519819.8198198229</v>
      </c>
      <c r="G387">
        <v>226</v>
      </c>
      <c r="H387">
        <v>198</v>
      </c>
      <c r="I387">
        <v>5</v>
      </c>
      <c r="J387">
        <v>10</v>
      </c>
      <c r="M387">
        <v>251</v>
      </c>
      <c r="N387">
        <v>221</v>
      </c>
      <c r="O387">
        <v>77007657.657657668</v>
      </c>
      <c r="P387">
        <v>118084774.77477479</v>
      </c>
      <c r="Q387">
        <v>248</v>
      </c>
      <c r="R387">
        <v>361</v>
      </c>
      <c r="S387">
        <v>209347809.00900903</v>
      </c>
      <c r="T387">
        <v>219804567.56756756</v>
      </c>
      <c r="U387">
        <v>77206036.036036029</v>
      </c>
      <c r="V387">
        <v>113084054.05405405</v>
      </c>
      <c r="W387">
        <v>11565</v>
      </c>
      <c r="X387">
        <v>11385</v>
      </c>
    </row>
    <row r="388" spans="1:24">
      <c r="A388" s="7" t="s">
        <v>488</v>
      </c>
      <c r="B388" s="16" t="s">
        <v>315</v>
      </c>
      <c r="C388">
        <v>142743396.22508025</v>
      </c>
      <c r="D388">
        <v>119431096.7076546</v>
      </c>
      <c r="E388">
        <v>660360.36036036105</v>
      </c>
      <c r="F388">
        <v>1779279.2792792791</v>
      </c>
      <c r="G388">
        <v>22</v>
      </c>
      <c r="H388">
        <v>10</v>
      </c>
      <c r="I388">
        <v>6</v>
      </c>
      <c r="J388">
        <v>3</v>
      </c>
      <c r="M388">
        <v>23</v>
      </c>
      <c r="N388">
        <v>11</v>
      </c>
      <c r="O388">
        <v>107199279.27927928</v>
      </c>
      <c r="P388">
        <v>54862072.072072074</v>
      </c>
      <c r="Q388">
        <v>71</v>
      </c>
      <c r="R388">
        <v>12</v>
      </c>
      <c r="S388">
        <v>60318360.360360362</v>
      </c>
      <c r="T388">
        <v>51508864.864864863</v>
      </c>
      <c r="U388">
        <v>108642612.61261261</v>
      </c>
      <c r="V388">
        <v>49977657.657657653</v>
      </c>
      <c r="W388">
        <v>1713</v>
      </c>
      <c r="X388">
        <v>1612</v>
      </c>
    </row>
    <row r="389" spans="1:24">
      <c r="A389" s="7" t="s">
        <v>489</v>
      </c>
      <c r="B389" s="16" t="s">
        <v>181</v>
      </c>
      <c r="C389">
        <v>295747220.37363666</v>
      </c>
      <c r="D389">
        <v>276228654.56106454</v>
      </c>
      <c r="E389">
        <v>82882.882882885999</v>
      </c>
      <c r="F389">
        <v>1608558.558558559</v>
      </c>
      <c r="G389">
        <v>137</v>
      </c>
      <c r="H389">
        <v>147</v>
      </c>
      <c r="I389">
        <v>11</v>
      </c>
      <c r="J389">
        <v>10</v>
      </c>
      <c r="M389">
        <v>149</v>
      </c>
      <c r="N389">
        <v>189</v>
      </c>
      <c r="O389">
        <v>25789729.729729731</v>
      </c>
      <c r="P389">
        <v>31660360.360360362</v>
      </c>
      <c r="Q389">
        <v>155</v>
      </c>
      <c r="R389">
        <v>284</v>
      </c>
      <c r="S389">
        <v>78901423.423423424</v>
      </c>
      <c r="T389">
        <v>80480252.252252251</v>
      </c>
      <c r="U389">
        <v>24978378.37837838</v>
      </c>
      <c r="V389">
        <v>29359009.009009007</v>
      </c>
      <c r="W389">
        <v>6759</v>
      </c>
      <c r="X389">
        <v>6414</v>
      </c>
    </row>
    <row r="390" spans="1:24">
      <c r="A390" s="7" t="s">
        <v>490</v>
      </c>
      <c r="B390" s="16" t="s">
        <v>220</v>
      </c>
      <c r="C390">
        <v>170553945.63853469</v>
      </c>
      <c r="D390">
        <v>162199830.0774214</v>
      </c>
      <c r="E390">
        <v>10810.810810810999</v>
      </c>
      <c r="F390">
        <v>102702.702702703</v>
      </c>
      <c r="G390">
        <v>54</v>
      </c>
      <c r="H390">
        <v>57</v>
      </c>
      <c r="I390">
        <v>1</v>
      </c>
      <c r="J390">
        <v>2</v>
      </c>
      <c r="M390">
        <v>67</v>
      </c>
      <c r="N390">
        <v>67</v>
      </c>
      <c r="O390">
        <v>5837117.1171171181</v>
      </c>
      <c r="P390">
        <v>4973333.333333334</v>
      </c>
      <c r="Q390">
        <v>43</v>
      </c>
      <c r="S390">
        <v>42820909.909909911</v>
      </c>
      <c r="T390">
        <v>40206484.684684686</v>
      </c>
      <c r="U390">
        <v>4608918.9189189197</v>
      </c>
      <c r="V390">
        <v>3753783.7837837851</v>
      </c>
      <c r="W390">
        <v>3954</v>
      </c>
      <c r="X390">
        <v>4055</v>
      </c>
    </row>
    <row r="391" spans="1:24">
      <c r="A391" s="7" t="s">
        <v>491</v>
      </c>
      <c r="B391" s="16" t="s">
        <v>220</v>
      </c>
      <c r="C391">
        <v>42470756.937799007</v>
      </c>
      <c r="D391">
        <v>52215956.251680851</v>
      </c>
      <c r="E391">
        <v>20720.720720722002</v>
      </c>
      <c r="F391">
        <v>492792.79279279301</v>
      </c>
      <c r="G391">
        <v>36</v>
      </c>
      <c r="H391">
        <v>27</v>
      </c>
      <c r="I391">
        <v>6</v>
      </c>
      <c r="J391">
        <v>2</v>
      </c>
      <c r="M391">
        <v>41</v>
      </c>
      <c r="N391">
        <v>30</v>
      </c>
      <c r="O391">
        <v>9032792.7927927915</v>
      </c>
      <c r="P391">
        <v>16157207.207207208</v>
      </c>
      <c r="Q391">
        <v>40</v>
      </c>
      <c r="R391">
        <v>16</v>
      </c>
      <c r="S391">
        <v>14085000</v>
      </c>
      <c r="T391">
        <v>15220846.846846849</v>
      </c>
      <c r="U391">
        <v>9383423.4234234225</v>
      </c>
      <c r="V391">
        <v>15955945.945945946</v>
      </c>
      <c r="W391">
        <v>1233</v>
      </c>
      <c r="X391">
        <v>1247</v>
      </c>
    </row>
    <row r="392" spans="1:24">
      <c r="A392" s="7" t="s">
        <v>492</v>
      </c>
      <c r="B392" s="16" t="s">
        <v>60</v>
      </c>
      <c r="C392">
        <v>201811575.10004666</v>
      </c>
      <c r="D392">
        <v>185307052.83539987</v>
      </c>
      <c r="E392">
        <v>1454054.0540540579</v>
      </c>
      <c r="F392">
        <v>2972072.0720720771</v>
      </c>
      <c r="G392">
        <v>46</v>
      </c>
      <c r="H392">
        <v>54</v>
      </c>
      <c r="I392">
        <v>12</v>
      </c>
      <c r="J392">
        <v>21</v>
      </c>
      <c r="M392">
        <v>51</v>
      </c>
      <c r="N392">
        <v>89</v>
      </c>
      <c r="O392">
        <v>44360360.360360362</v>
      </c>
      <c r="P392">
        <v>39862792.79279279</v>
      </c>
      <c r="Q392">
        <v>199</v>
      </c>
      <c r="R392">
        <v>83</v>
      </c>
      <c r="S392">
        <v>88328513.51351352</v>
      </c>
      <c r="T392">
        <v>83170720.720720723</v>
      </c>
      <c r="U392">
        <v>41058468.468468472</v>
      </c>
      <c r="V392">
        <v>35878288.288288288</v>
      </c>
      <c r="W392">
        <v>3692</v>
      </c>
      <c r="X392">
        <v>3689</v>
      </c>
    </row>
    <row r="393" spans="1:24">
      <c r="A393" s="7" t="s">
        <v>493</v>
      </c>
      <c r="B393" s="16" t="s">
        <v>448</v>
      </c>
      <c r="C393">
        <v>244796355.73469326</v>
      </c>
      <c r="D393">
        <v>222417856.57264102</v>
      </c>
      <c r="E393">
        <v>119819.819819821</v>
      </c>
      <c r="F393">
        <v>765765.76576576801</v>
      </c>
      <c r="G393">
        <v>126</v>
      </c>
      <c r="H393">
        <v>144</v>
      </c>
      <c r="I393">
        <v>9</v>
      </c>
      <c r="J393">
        <v>3</v>
      </c>
      <c r="K393">
        <v>1</v>
      </c>
      <c r="M393">
        <v>132</v>
      </c>
      <c r="N393">
        <v>223</v>
      </c>
      <c r="O393">
        <v>57897522.522522517</v>
      </c>
      <c r="P393">
        <v>37339639.639639638</v>
      </c>
      <c r="Q393">
        <v>84</v>
      </c>
      <c r="R393">
        <v>20</v>
      </c>
      <c r="S393">
        <v>87323414.414414421</v>
      </c>
      <c r="T393">
        <v>79518729.729729727</v>
      </c>
      <c r="U393">
        <v>60656531.531531528</v>
      </c>
      <c r="V393">
        <v>36841891.891891897</v>
      </c>
      <c r="W393">
        <v>4879</v>
      </c>
      <c r="X393">
        <v>4922</v>
      </c>
    </row>
    <row r="394" spans="1:24">
      <c r="A394" s="7" t="s">
        <v>7</v>
      </c>
      <c r="B394" s="16" t="s">
        <v>193</v>
      </c>
      <c r="C394">
        <v>179038167.84582007</v>
      </c>
      <c r="D394">
        <v>187068654.98503476</v>
      </c>
      <c r="E394">
        <v>43693.693693693</v>
      </c>
      <c r="F394">
        <v>457657.65765765897</v>
      </c>
      <c r="G394">
        <v>54</v>
      </c>
      <c r="H394">
        <v>61</v>
      </c>
      <c r="I394">
        <v>14</v>
      </c>
      <c r="J394">
        <v>3</v>
      </c>
      <c r="M394">
        <v>58</v>
      </c>
      <c r="N394">
        <v>75</v>
      </c>
      <c r="O394">
        <v>46491441.441441439</v>
      </c>
      <c r="P394">
        <v>38869819.819819823</v>
      </c>
      <c r="Q394">
        <v>252</v>
      </c>
      <c r="R394">
        <v>157</v>
      </c>
      <c r="S394">
        <v>123181378.37837839</v>
      </c>
      <c r="T394">
        <v>129994144.14414415</v>
      </c>
      <c r="U394">
        <v>46429099.099099107</v>
      </c>
      <c r="V394">
        <v>36896756.756756753</v>
      </c>
      <c r="W394">
        <v>4780</v>
      </c>
      <c r="X394">
        <v>4763</v>
      </c>
    </row>
    <row r="395" spans="1:24">
      <c r="A395" s="7" t="s">
        <v>494</v>
      </c>
      <c r="B395" s="16" t="s">
        <v>330</v>
      </c>
      <c r="C395">
        <v>220947882.99432626</v>
      </c>
      <c r="D395">
        <v>215699465.56446424</v>
      </c>
      <c r="E395">
        <v>98198.198198198006</v>
      </c>
      <c r="F395">
        <v>878378.37837837799</v>
      </c>
      <c r="G395">
        <v>242</v>
      </c>
      <c r="H395">
        <v>105</v>
      </c>
      <c r="I395">
        <v>4</v>
      </c>
      <c r="J395">
        <v>4</v>
      </c>
      <c r="M395">
        <v>264</v>
      </c>
      <c r="N395">
        <v>178</v>
      </c>
      <c r="O395">
        <v>11506216.216216216</v>
      </c>
      <c r="P395">
        <v>12848108.108108109</v>
      </c>
      <c r="Q395">
        <v>124</v>
      </c>
      <c r="R395">
        <v>144</v>
      </c>
      <c r="S395">
        <v>58110054.054054059</v>
      </c>
      <c r="T395">
        <v>52956108.108108111</v>
      </c>
      <c r="U395">
        <v>10793603.603603603</v>
      </c>
      <c r="V395">
        <v>11851801.801801801</v>
      </c>
      <c r="W395">
        <v>5963</v>
      </c>
      <c r="X395">
        <v>6232</v>
      </c>
    </row>
    <row r="396" spans="1:24">
      <c r="A396" s="7" t="s">
        <v>495</v>
      </c>
      <c r="B396" s="16" t="s">
        <v>330</v>
      </c>
      <c r="C396">
        <v>399149267.73702472</v>
      </c>
      <c r="D396">
        <v>368285227.38077241</v>
      </c>
      <c r="E396">
        <v>142342.342342344</v>
      </c>
      <c r="F396">
        <v>3758108.1081081112</v>
      </c>
      <c r="G396">
        <v>137</v>
      </c>
      <c r="H396">
        <v>163</v>
      </c>
      <c r="I396">
        <v>9</v>
      </c>
      <c r="J396">
        <v>10</v>
      </c>
      <c r="M396">
        <v>152</v>
      </c>
      <c r="N396">
        <v>185</v>
      </c>
      <c r="O396">
        <v>11607837.837837836</v>
      </c>
      <c r="P396">
        <v>25485765.765765768</v>
      </c>
      <c r="Q396">
        <v>176</v>
      </c>
      <c r="R396">
        <v>216</v>
      </c>
      <c r="S396">
        <v>79741603.603603601</v>
      </c>
      <c r="T396">
        <v>83593788.288288295</v>
      </c>
      <c r="U396">
        <v>12843873.873873876</v>
      </c>
      <c r="V396">
        <v>24039099.0990991</v>
      </c>
      <c r="W396">
        <v>7350</v>
      </c>
      <c r="X396">
        <v>7387</v>
      </c>
    </row>
    <row r="397" spans="1:24">
      <c r="A397" s="7" t="s">
        <v>496</v>
      </c>
      <c r="B397" s="16" t="s">
        <v>330</v>
      </c>
      <c r="C397">
        <v>382976047.91976434</v>
      </c>
      <c r="D397">
        <v>370265196.90466219</v>
      </c>
      <c r="E397">
        <v>1224099.099099102</v>
      </c>
      <c r="F397">
        <v>7548198.1981982002</v>
      </c>
      <c r="G397">
        <v>191</v>
      </c>
      <c r="H397">
        <v>188</v>
      </c>
      <c r="I397">
        <v>19</v>
      </c>
      <c r="J397">
        <v>18</v>
      </c>
      <c r="K397">
        <v>1</v>
      </c>
      <c r="M397">
        <v>228</v>
      </c>
      <c r="N397">
        <v>270</v>
      </c>
      <c r="O397">
        <v>104800180.18018018</v>
      </c>
      <c r="P397">
        <v>53949369.369369365</v>
      </c>
      <c r="Q397">
        <v>229</v>
      </c>
      <c r="R397">
        <v>297</v>
      </c>
      <c r="S397">
        <v>81924576.576576576</v>
      </c>
      <c r="T397">
        <v>81814702.702702701</v>
      </c>
      <c r="U397">
        <v>106865135.13513513</v>
      </c>
      <c r="V397">
        <v>49836396.396396399</v>
      </c>
      <c r="W397">
        <v>8518</v>
      </c>
      <c r="X397">
        <v>8573</v>
      </c>
    </row>
    <row r="398" spans="1:24">
      <c r="A398" s="7" t="s">
        <v>497</v>
      </c>
      <c r="B398" s="16" t="s">
        <v>330</v>
      </c>
      <c r="C398">
        <v>1790885989.7176785</v>
      </c>
      <c r="D398">
        <v>1642883814.6463926</v>
      </c>
      <c r="E398">
        <v>1480258793.6936936</v>
      </c>
      <c r="F398">
        <v>1338401716.2162163</v>
      </c>
      <c r="G398">
        <v>1358</v>
      </c>
      <c r="H398">
        <v>1110</v>
      </c>
      <c r="I398">
        <v>73</v>
      </c>
      <c r="J398">
        <v>48</v>
      </c>
      <c r="K398">
        <v>51</v>
      </c>
      <c r="M398">
        <v>1899</v>
      </c>
      <c r="N398">
        <v>2175</v>
      </c>
      <c r="O398">
        <v>536885315.31531537</v>
      </c>
      <c r="P398">
        <v>678486456.75675678</v>
      </c>
      <c r="Q398">
        <v>747</v>
      </c>
      <c r="R398">
        <v>702</v>
      </c>
      <c r="S398">
        <v>574827025.22522521</v>
      </c>
      <c r="T398">
        <v>418441675.67567563</v>
      </c>
      <c r="U398">
        <v>183507297.2972973</v>
      </c>
      <c r="V398">
        <v>276419279.27927929</v>
      </c>
      <c r="W398">
        <v>30406</v>
      </c>
      <c r="X398">
        <v>29352</v>
      </c>
    </row>
    <row r="399" spans="1:24">
      <c r="A399" s="7" t="s">
        <v>498</v>
      </c>
      <c r="B399" s="16" t="s">
        <v>330</v>
      </c>
      <c r="C399">
        <v>1245132875.7854438</v>
      </c>
      <c r="D399">
        <v>1178737579.7704167</v>
      </c>
      <c r="E399">
        <v>2233063.0630630702</v>
      </c>
      <c r="F399">
        <v>14576576.576576581</v>
      </c>
      <c r="G399">
        <v>445</v>
      </c>
      <c r="H399">
        <v>466</v>
      </c>
      <c r="I399">
        <v>62</v>
      </c>
      <c r="J399">
        <v>43</v>
      </c>
      <c r="K399">
        <v>3</v>
      </c>
      <c r="M399">
        <v>516</v>
      </c>
      <c r="N399">
        <v>646</v>
      </c>
      <c r="O399">
        <v>210624774.77477479</v>
      </c>
      <c r="P399">
        <v>333520765.76576579</v>
      </c>
      <c r="Q399">
        <v>768</v>
      </c>
      <c r="R399">
        <v>751</v>
      </c>
      <c r="S399">
        <v>333860045.04504508</v>
      </c>
      <c r="T399">
        <v>334897849.0990991</v>
      </c>
      <c r="U399">
        <v>209702432.43243241</v>
      </c>
      <c r="V399">
        <v>325049279.27927929</v>
      </c>
      <c r="W399">
        <v>27279</v>
      </c>
      <c r="X399">
        <v>26697</v>
      </c>
    </row>
    <row r="400" spans="1:24">
      <c r="A400" s="7" t="s">
        <v>499</v>
      </c>
      <c r="B400" s="16" t="s">
        <v>143</v>
      </c>
      <c r="C400">
        <v>511672165.59603727</v>
      </c>
      <c r="D400">
        <v>473641883.80618441</v>
      </c>
      <c r="E400">
        <v>302477.47747748002</v>
      </c>
      <c r="F400">
        <v>2423648.6486486509</v>
      </c>
      <c r="G400">
        <v>277</v>
      </c>
      <c r="H400">
        <v>262</v>
      </c>
      <c r="I400">
        <v>21</v>
      </c>
      <c r="J400">
        <v>16</v>
      </c>
      <c r="K400">
        <v>7</v>
      </c>
      <c r="M400">
        <v>307</v>
      </c>
      <c r="N400">
        <v>279</v>
      </c>
      <c r="O400">
        <v>41056396.396396391</v>
      </c>
      <c r="P400">
        <v>44235135.135135129</v>
      </c>
      <c r="Q400">
        <v>210</v>
      </c>
      <c r="R400">
        <v>163</v>
      </c>
      <c r="S400">
        <v>74145652.252252251</v>
      </c>
      <c r="T400">
        <v>72908304.504504517</v>
      </c>
      <c r="U400">
        <v>27339909.909909911</v>
      </c>
      <c r="V400">
        <v>28930180.180180177</v>
      </c>
      <c r="W400">
        <v>8823</v>
      </c>
      <c r="X400">
        <v>8093</v>
      </c>
    </row>
    <row r="401" spans="1:24">
      <c r="A401" s="7" t="s">
        <v>500</v>
      </c>
      <c r="B401" s="16" t="s">
        <v>220</v>
      </c>
      <c r="C401">
        <v>593778406.23106205</v>
      </c>
      <c r="D401">
        <v>564456930.7610122</v>
      </c>
      <c r="E401">
        <v>2063513.5135135171</v>
      </c>
      <c r="F401">
        <v>8279504.5045045102</v>
      </c>
      <c r="G401">
        <v>433</v>
      </c>
      <c r="H401">
        <v>250</v>
      </c>
      <c r="I401">
        <v>35</v>
      </c>
      <c r="J401">
        <v>19</v>
      </c>
      <c r="K401">
        <v>3</v>
      </c>
      <c r="M401">
        <v>1325</v>
      </c>
      <c r="N401">
        <v>322</v>
      </c>
      <c r="O401">
        <v>144285135.13513514</v>
      </c>
      <c r="P401">
        <v>213428468.46846849</v>
      </c>
      <c r="Q401">
        <v>448</v>
      </c>
      <c r="R401">
        <v>649</v>
      </c>
      <c r="S401">
        <v>188802342.34234235</v>
      </c>
      <c r="T401">
        <v>173341022.52252254</v>
      </c>
      <c r="U401">
        <v>148143963.96396396</v>
      </c>
      <c r="V401">
        <v>202250270.27027026</v>
      </c>
      <c r="W401">
        <v>13374</v>
      </c>
      <c r="X401">
        <v>11610</v>
      </c>
    </row>
    <row r="402" spans="1:24">
      <c r="A402" s="7" t="s">
        <v>501</v>
      </c>
      <c r="B402" s="16" t="s">
        <v>397</v>
      </c>
      <c r="C402">
        <v>1564711816.5742311</v>
      </c>
      <c r="D402">
        <v>1597568149.9361954</v>
      </c>
      <c r="E402">
        <v>340217746.84684682</v>
      </c>
      <c r="F402">
        <v>179845147.74774775</v>
      </c>
      <c r="G402">
        <v>534</v>
      </c>
      <c r="H402">
        <v>494</v>
      </c>
      <c r="I402">
        <v>35</v>
      </c>
      <c r="J402">
        <v>60</v>
      </c>
      <c r="M402">
        <v>683</v>
      </c>
      <c r="N402">
        <v>658</v>
      </c>
      <c r="O402">
        <v>223102747.74774775</v>
      </c>
      <c r="P402">
        <v>176973198.1981982</v>
      </c>
      <c r="Q402">
        <v>860</v>
      </c>
      <c r="R402">
        <v>820</v>
      </c>
      <c r="S402">
        <v>332117699.0990991</v>
      </c>
      <c r="T402">
        <v>337439514.41441441</v>
      </c>
      <c r="U402">
        <v>210738333.33333334</v>
      </c>
      <c r="V402">
        <v>167221846.84684685</v>
      </c>
      <c r="W402">
        <v>26577</v>
      </c>
      <c r="X402">
        <v>26622</v>
      </c>
    </row>
    <row r="403" spans="1:24">
      <c r="A403" s="7" t="s">
        <v>502</v>
      </c>
      <c r="B403" s="16" t="s">
        <v>70</v>
      </c>
      <c r="C403">
        <v>24433005.921773847</v>
      </c>
      <c r="D403">
        <v>24813170.568393473</v>
      </c>
      <c r="E403">
        <v>77927.927927928002</v>
      </c>
      <c r="F403">
        <v>252252.25225225301</v>
      </c>
      <c r="G403">
        <v>5</v>
      </c>
      <c r="H403">
        <v>10</v>
      </c>
      <c r="I403">
        <v>0</v>
      </c>
      <c r="J403">
        <v>2</v>
      </c>
      <c r="M403">
        <v>6</v>
      </c>
      <c r="N403">
        <v>10</v>
      </c>
      <c r="O403">
        <v>820720.72072072094</v>
      </c>
      <c r="P403">
        <v>1111711.711711711</v>
      </c>
      <c r="Q403">
        <v>1</v>
      </c>
      <c r="R403">
        <v>51</v>
      </c>
      <c r="S403">
        <v>17636351.351351351</v>
      </c>
      <c r="T403">
        <v>17951747.747747749</v>
      </c>
      <c r="U403">
        <v>2287837.8378378372</v>
      </c>
      <c r="V403">
        <v>915585.58558558498</v>
      </c>
      <c r="W403">
        <v>645</v>
      </c>
      <c r="X403">
        <v>713</v>
      </c>
    </row>
    <row r="404" spans="1:24">
      <c r="A404" s="7" t="s">
        <v>503</v>
      </c>
      <c r="B404" s="16" t="s">
        <v>330</v>
      </c>
      <c r="C404">
        <v>697765199.1140635</v>
      </c>
      <c r="D404">
        <v>673971081.36857975</v>
      </c>
      <c r="E404">
        <v>107359459.45945945</v>
      </c>
      <c r="F404">
        <v>417854279.27927929</v>
      </c>
      <c r="G404">
        <v>269</v>
      </c>
      <c r="H404">
        <v>293</v>
      </c>
      <c r="I404">
        <v>22</v>
      </c>
      <c r="J404">
        <v>23</v>
      </c>
      <c r="M404">
        <v>329</v>
      </c>
      <c r="N404">
        <v>417</v>
      </c>
      <c r="O404">
        <v>66284234.234234244</v>
      </c>
      <c r="P404">
        <v>81284864.864864871</v>
      </c>
      <c r="Q404">
        <v>378</v>
      </c>
      <c r="R404">
        <v>197</v>
      </c>
      <c r="S404">
        <v>193487309.90990993</v>
      </c>
      <c r="T404">
        <v>207526939.1891892</v>
      </c>
      <c r="U404">
        <v>62351711.711711712</v>
      </c>
      <c r="V404">
        <v>76128468.468468457</v>
      </c>
      <c r="W404">
        <v>16044</v>
      </c>
      <c r="X404">
        <v>16006</v>
      </c>
    </row>
    <row r="405" spans="1:24">
      <c r="A405" s="7" t="s">
        <v>504</v>
      </c>
      <c r="B405" s="16" t="s">
        <v>283</v>
      </c>
      <c r="C405">
        <v>216459366.37685484</v>
      </c>
      <c r="D405">
        <v>208478741.27843592</v>
      </c>
      <c r="E405">
        <v>574774.77477477503</v>
      </c>
      <c r="F405">
        <v>344144.14414414403</v>
      </c>
      <c r="G405">
        <v>24</v>
      </c>
      <c r="H405">
        <v>39</v>
      </c>
      <c r="I405">
        <v>2</v>
      </c>
      <c r="J405">
        <v>1</v>
      </c>
      <c r="M405">
        <v>27</v>
      </c>
      <c r="N405">
        <v>43</v>
      </c>
      <c r="O405">
        <v>16011711.711711712</v>
      </c>
      <c r="P405">
        <v>16398198.198198199</v>
      </c>
      <c r="Q405">
        <v>35</v>
      </c>
      <c r="R405">
        <v>3</v>
      </c>
      <c r="S405">
        <v>39627387.387387395</v>
      </c>
      <c r="T405">
        <v>35924216.216216214</v>
      </c>
      <c r="U405">
        <v>17056576.576576576</v>
      </c>
      <c r="V405">
        <v>14568738.738738738</v>
      </c>
      <c r="W405">
        <v>3100</v>
      </c>
      <c r="X405">
        <v>3070</v>
      </c>
    </row>
    <row r="406" spans="1:24">
      <c r="A406" s="7" t="s">
        <v>505</v>
      </c>
      <c r="B406" s="16" t="s">
        <v>260</v>
      </c>
      <c r="C406">
        <v>125096443.60313322</v>
      </c>
      <c r="D406">
        <v>127242171.37332776</v>
      </c>
      <c r="E406">
        <v>9909.9099099100004</v>
      </c>
      <c r="F406">
        <v>100000</v>
      </c>
      <c r="G406">
        <v>8</v>
      </c>
      <c r="H406">
        <v>6</v>
      </c>
      <c r="I406">
        <v>3</v>
      </c>
      <c r="J406">
        <v>1</v>
      </c>
      <c r="K406">
        <v>1</v>
      </c>
      <c r="M406">
        <v>10</v>
      </c>
      <c r="N406">
        <v>8</v>
      </c>
      <c r="O406">
        <v>1640540.5405405399</v>
      </c>
      <c r="P406">
        <v>1991891.891891893</v>
      </c>
      <c r="Q406">
        <v>12</v>
      </c>
      <c r="R406">
        <v>9</v>
      </c>
      <c r="S406">
        <v>28752837.837837841</v>
      </c>
      <c r="T406">
        <v>28745792.792792793</v>
      </c>
      <c r="U406">
        <v>1469369.3693693699</v>
      </c>
      <c r="V406">
        <v>2265405.4054054059</v>
      </c>
      <c r="W406">
        <v>2367</v>
      </c>
      <c r="X406">
        <v>2154</v>
      </c>
    </row>
    <row r="407" spans="1:24">
      <c r="A407" s="7" t="s">
        <v>506</v>
      </c>
      <c r="B407" s="16" t="s">
        <v>236</v>
      </c>
      <c r="C407">
        <v>336871171.36208093</v>
      </c>
      <c r="D407">
        <v>310538917.59275365</v>
      </c>
      <c r="E407">
        <v>70847283.783783779</v>
      </c>
      <c r="F407">
        <v>81595164.864864871</v>
      </c>
      <c r="G407">
        <v>105</v>
      </c>
      <c r="H407">
        <v>79</v>
      </c>
      <c r="I407">
        <v>13</v>
      </c>
      <c r="J407">
        <v>12</v>
      </c>
      <c r="K407">
        <v>1</v>
      </c>
      <c r="M407">
        <v>134</v>
      </c>
      <c r="N407">
        <v>233</v>
      </c>
      <c r="O407">
        <v>95788828.828828827</v>
      </c>
      <c r="P407">
        <v>116495360.36036037</v>
      </c>
      <c r="Q407">
        <v>222</v>
      </c>
      <c r="R407">
        <v>325</v>
      </c>
      <c r="S407">
        <v>75661409.909909904</v>
      </c>
      <c r="T407">
        <v>69894869.369369373</v>
      </c>
      <c r="U407">
        <v>75479009.009009004</v>
      </c>
      <c r="V407">
        <v>90074549.54954955</v>
      </c>
      <c r="W407">
        <v>4633</v>
      </c>
      <c r="X407">
        <v>4662</v>
      </c>
    </row>
    <row r="408" spans="1:24">
      <c r="A408" s="7" t="s">
        <v>507</v>
      </c>
      <c r="B408" s="16" t="s">
        <v>134</v>
      </c>
      <c r="C408">
        <v>53719202.151580088</v>
      </c>
      <c r="D408">
        <v>36894099.030265905</v>
      </c>
      <c r="G408">
        <v>1</v>
      </c>
      <c r="H408">
        <v>2</v>
      </c>
      <c r="I408">
        <v>1</v>
      </c>
      <c r="M408">
        <v>2</v>
      </c>
      <c r="N408">
        <v>2</v>
      </c>
      <c r="O408">
        <v>90090.090090090001</v>
      </c>
      <c r="Q408">
        <v>5</v>
      </c>
      <c r="S408">
        <v>9079909.9099099096</v>
      </c>
      <c r="T408">
        <v>6660171.1711711707</v>
      </c>
      <c r="U408">
        <v>90090.090090090001</v>
      </c>
      <c r="W408">
        <v>1274</v>
      </c>
      <c r="X408">
        <v>1267</v>
      </c>
    </row>
    <row r="409" spans="1:24">
      <c r="A409" s="7" t="s">
        <v>508</v>
      </c>
      <c r="B409" s="16" t="s">
        <v>397</v>
      </c>
      <c r="C409">
        <v>337913087.288858</v>
      </c>
      <c r="D409">
        <v>326713444.52010643</v>
      </c>
      <c r="E409">
        <v>220270.27027027099</v>
      </c>
      <c r="F409">
        <v>1713063.0630630639</v>
      </c>
      <c r="G409">
        <v>75</v>
      </c>
      <c r="H409">
        <v>61</v>
      </c>
      <c r="I409">
        <v>4</v>
      </c>
      <c r="J409">
        <v>9</v>
      </c>
      <c r="M409">
        <v>81</v>
      </c>
      <c r="N409">
        <v>86</v>
      </c>
      <c r="O409">
        <v>30025000</v>
      </c>
      <c r="P409">
        <v>39335135.135135137</v>
      </c>
      <c r="Q409">
        <v>51</v>
      </c>
      <c r="R409">
        <v>321</v>
      </c>
      <c r="S409">
        <v>48184369.369369365</v>
      </c>
      <c r="T409">
        <v>48647162.162162162</v>
      </c>
      <c r="U409">
        <v>26555720.72072072</v>
      </c>
      <c r="V409">
        <v>35569729.729729727</v>
      </c>
      <c r="W409">
        <v>4477</v>
      </c>
      <c r="X409">
        <v>4433</v>
      </c>
    </row>
    <row r="410" spans="1:24">
      <c r="A410" s="7" t="s">
        <v>509</v>
      </c>
      <c r="B410" s="16" t="s">
        <v>134</v>
      </c>
      <c r="C410">
        <v>364713883.97057825</v>
      </c>
      <c r="D410">
        <v>359253189.04635668</v>
      </c>
      <c r="E410">
        <v>1670945.945945947</v>
      </c>
      <c r="F410">
        <v>1958558.55855856</v>
      </c>
      <c r="G410">
        <v>100</v>
      </c>
      <c r="H410">
        <v>93</v>
      </c>
      <c r="I410">
        <v>18</v>
      </c>
      <c r="J410">
        <v>11</v>
      </c>
      <c r="K410">
        <v>2</v>
      </c>
      <c r="M410">
        <v>105</v>
      </c>
      <c r="N410">
        <v>104</v>
      </c>
      <c r="O410">
        <v>43444144.144144148</v>
      </c>
      <c r="P410">
        <v>33992792.79279279</v>
      </c>
      <c r="Q410">
        <v>295</v>
      </c>
      <c r="R410">
        <v>163</v>
      </c>
      <c r="S410">
        <v>64517714.414414413</v>
      </c>
      <c r="T410">
        <v>57766993.24324324</v>
      </c>
      <c r="U410">
        <v>32275315.315315314</v>
      </c>
      <c r="V410">
        <v>28154684.684684683</v>
      </c>
      <c r="W410">
        <v>4819</v>
      </c>
      <c r="X410">
        <v>5437</v>
      </c>
    </row>
    <row r="411" spans="1:24">
      <c r="A411" s="7" t="s">
        <v>510</v>
      </c>
      <c r="B411" s="16" t="s">
        <v>134</v>
      </c>
      <c r="C411">
        <v>1002812210.8582954</v>
      </c>
      <c r="D411">
        <v>993107327.32015634</v>
      </c>
      <c r="E411">
        <v>2110765.7657657731</v>
      </c>
      <c r="F411">
        <v>6376801.8018018082</v>
      </c>
      <c r="G411">
        <v>364</v>
      </c>
      <c r="H411">
        <v>212</v>
      </c>
      <c r="I411">
        <v>36</v>
      </c>
      <c r="J411">
        <v>29</v>
      </c>
      <c r="K411">
        <v>10</v>
      </c>
      <c r="M411">
        <v>408</v>
      </c>
      <c r="N411">
        <v>278</v>
      </c>
      <c r="O411">
        <v>77794414.414414421</v>
      </c>
      <c r="P411">
        <v>86454954.954954967</v>
      </c>
      <c r="Q411">
        <v>530</v>
      </c>
      <c r="R411">
        <v>838</v>
      </c>
      <c r="S411">
        <v>117950486.48648648</v>
      </c>
      <c r="T411">
        <v>103831234.23423424</v>
      </c>
      <c r="U411">
        <v>73669009.009009004</v>
      </c>
      <c r="V411">
        <v>85375135.135135129</v>
      </c>
      <c r="W411">
        <v>17193</v>
      </c>
      <c r="X411">
        <v>16444</v>
      </c>
    </row>
    <row r="412" spans="1:24">
      <c r="A412" s="7" t="s">
        <v>8</v>
      </c>
      <c r="B412" s="16" t="s">
        <v>158</v>
      </c>
      <c r="C412">
        <v>270058114.1620962</v>
      </c>
      <c r="D412">
        <v>262717233.48696548</v>
      </c>
      <c r="E412">
        <v>2483783.7837837869</v>
      </c>
      <c r="F412">
        <v>5693693.6936936947</v>
      </c>
      <c r="G412">
        <v>29</v>
      </c>
      <c r="H412">
        <v>28</v>
      </c>
      <c r="I412">
        <v>11</v>
      </c>
      <c r="J412">
        <v>5</v>
      </c>
      <c r="M412">
        <v>30</v>
      </c>
      <c r="N412">
        <v>29</v>
      </c>
      <c r="O412">
        <v>34754504.504504502</v>
      </c>
      <c r="P412">
        <v>45001801.801801801</v>
      </c>
      <c r="Q412">
        <v>117</v>
      </c>
      <c r="R412">
        <v>54</v>
      </c>
      <c r="S412">
        <v>78617738.738738731</v>
      </c>
      <c r="T412">
        <v>77684297.297297299</v>
      </c>
      <c r="U412">
        <v>34062522.522522517</v>
      </c>
      <c r="V412">
        <v>41715585.585585587</v>
      </c>
      <c r="W412">
        <v>3899</v>
      </c>
      <c r="X412">
        <v>3881</v>
      </c>
    </row>
    <row r="413" spans="1:24">
      <c r="A413" s="7" t="s">
        <v>511</v>
      </c>
      <c r="B413" s="16" t="s">
        <v>134</v>
      </c>
      <c r="C413">
        <v>177865578.76948756</v>
      </c>
      <c r="D413">
        <v>189247614.91208559</v>
      </c>
      <c r="E413">
        <v>284684.68468468502</v>
      </c>
      <c r="F413">
        <v>743243.24324324296</v>
      </c>
      <c r="G413">
        <v>63</v>
      </c>
      <c r="H413">
        <v>13</v>
      </c>
      <c r="I413">
        <v>4</v>
      </c>
      <c r="J413">
        <v>3</v>
      </c>
      <c r="M413">
        <v>104</v>
      </c>
      <c r="N413">
        <v>16</v>
      </c>
      <c r="O413">
        <v>8437837.8378378376</v>
      </c>
      <c r="P413">
        <v>6148648.6486486495</v>
      </c>
      <c r="Q413">
        <v>30</v>
      </c>
      <c r="S413">
        <v>24065846.846846849</v>
      </c>
      <c r="T413">
        <v>26009162.162162159</v>
      </c>
      <c r="U413">
        <v>5081891.8918918921</v>
      </c>
      <c r="V413">
        <v>5103243.2432432435</v>
      </c>
      <c r="W413">
        <v>3922</v>
      </c>
      <c r="X413">
        <v>3674</v>
      </c>
    </row>
    <row r="414" spans="1:24">
      <c r="A414" s="7" t="s">
        <v>512</v>
      </c>
      <c r="B414" s="16" t="s">
        <v>62</v>
      </c>
      <c r="C414">
        <v>856253081.94243848</v>
      </c>
      <c r="D414">
        <v>838819085.81279695</v>
      </c>
      <c r="E414">
        <v>4104504.5045045079</v>
      </c>
      <c r="F414">
        <v>5809009.0090090157</v>
      </c>
      <c r="G414">
        <v>102</v>
      </c>
      <c r="H414">
        <v>260</v>
      </c>
      <c r="I414">
        <v>16</v>
      </c>
      <c r="J414">
        <v>28</v>
      </c>
      <c r="M414">
        <v>131</v>
      </c>
      <c r="N414">
        <v>339</v>
      </c>
      <c r="O414">
        <v>37700000</v>
      </c>
      <c r="P414">
        <v>115696306.3063063</v>
      </c>
      <c r="Q414">
        <v>239</v>
      </c>
      <c r="R414">
        <v>209</v>
      </c>
      <c r="S414">
        <v>163919576.57657659</v>
      </c>
      <c r="T414">
        <v>173269829.72972974</v>
      </c>
      <c r="U414">
        <v>36490000</v>
      </c>
      <c r="V414">
        <v>113263423.42342342</v>
      </c>
      <c r="W414">
        <v>14657</v>
      </c>
      <c r="X414">
        <v>14413</v>
      </c>
    </row>
    <row r="415" spans="1:24">
      <c r="A415" s="7" t="s">
        <v>513</v>
      </c>
      <c r="B415" s="16" t="s">
        <v>117</v>
      </c>
      <c r="C415">
        <v>94537853.440656766</v>
      </c>
      <c r="D415">
        <v>86216285.721320778</v>
      </c>
      <c r="E415">
        <v>17117.117117119</v>
      </c>
      <c r="F415">
        <v>329729.72972973</v>
      </c>
      <c r="G415">
        <v>99</v>
      </c>
      <c r="H415">
        <v>35</v>
      </c>
      <c r="I415">
        <v>5</v>
      </c>
      <c r="J415">
        <v>3</v>
      </c>
      <c r="M415">
        <v>100</v>
      </c>
      <c r="N415">
        <v>37</v>
      </c>
      <c r="O415">
        <v>4765045.0450450452</v>
      </c>
      <c r="P415">
        <v>3948738.7387387389</v>
      </c>
      <c r="Q415">
        <v>82</v>
      </c>
      <c r="R415">
        <v>4</v>
      </c>
      <c r="S415">
        <v>44775450.45045045</v>
      </c>
      <c r="T415">
        <v>37697090.090090089</v>
      </c>
      <c r="U415">
        <v>4302432.4324324308</v>
      </c>
      <c r="V415">
        <v>3516576.576576578</v>
      </c>
      <c r="W415">
        <v>1998</v>
      </c>
      <c r="X415">
        <v>2057</v>
      </c>
    </row>
    <row r="416" spans="1:24">
      <c r="A416" s="7" t="s">
        <v>514</v>
      </c>
      <c r="B416" s="16" t="s">
        <v>304</v>
      </c>
      <c r="C416">
        <v>161037995.43417028</v>
      </c>
      <c r="D416">
        <v>155335348.14249402</v>
      </c>
      <c r="E416">
        <v>436036.03603603598</v>
      </c>
      <c r="F416">
        <v>1819819.8198198189</v>
      </c>
      <c r="G416">
        <v>66</v>
      </c>
      <c r="H416">
        <v>83</v>
      </c>
      <c r="I416">
        <v>6</v>
      </c>
      <c r="J416">
        <v>6</v>
      </c>
      <c r="M416">
        <v>68</v>
      </c>
      <c r="N416">
        <v>85</v>
      </c>
      <c r="O416">
        <v>5129729.7297297297</v>
      </c>
      <c r="P416">
        <v>12536486.486486487</v>
      </c>
      <c r="Q416">
        <v>96</v>
      </c>
      <c r="R416">
        <v>61</v>
      </c>
      <c r="S416">
        <v>14561846.846846849</v>
      </c>
      <c r="T416">
        <v>15436891.891891891</v>
      </c>
      <c r="U416">
        <v>5559009.0090090092</v>
      </c>
      <c r="V416">
        <v>12322162.162162162</v>
      </c>
      <c r="W416">
        <v>1548</v>
      </c>
      <c r="X416">
        <v>1485</v>
      </c>
    </row>
    <row r="417" spans="1:24">
      <c r="A417" s="7" t="s">
        <v>515</v>
      </c>
      <c r="B417" s="16" t="s">
        <v>304</v>
      </c>
      <c r="C417">
        <v>46720180.523442335</v>
      </c>
      <c r="D417">
        <v>43388417.755408019</v>
      </c>
      <c r="E417">
        <v>197657.65765765801</v>
      </c>
      <c r="F417">
        <v>442342.34234234202</v>
      </c>
      <c r="G417">
        <v>13</v>
      </c>
      <c r="H417">
        <v>10</v>
      </c>
      <c r="I417">
        <v>3</v>
      </c>
      <c r="J417">
        <v>2</v>
      </c>
      <c r="M417">
        <v>13</v>
      </c>
      <c r="N417">
        <v>12</v>
      </c>
      <c r="O417">
        <v>5576036.036036035</v>
      </c>
      <c r="P417">
        <v>5308108.1081081079</v>
      </c>
      <c r="Q417">
        <v>18</v>
      </c>
      <c r="R417">
        <v>28</v>
      </c>
      <c r="S417">
        <v>7041441.4414414419</v>
      </c>
      <c r="T417">
        <v>6366180.1801801799</v>
      </c>
      <c r="U417">
        <v>5591711.7117117113</v>
      </c>
      <c r="V417">
        <v>3783513.5135135129</v>
      </c>
      <c r="W417">
        <v>587</v>
      </c>
      <c r="X417">
        <v>608</v>
      </c>
    </row>
    <row r="418" spans="1:24">
      <c r="A418" s="7" t="s">
        <v>516</v>
      </c>
      <c r="B418" s="16" t="s">
        <v>304</v>
      </c>
      <c r="C418">
        <v>85189408.437084615</v>
      </c>
      <c r="D418">
        <v>90871533.734801874</v>
      </c>
      <c r="E418">
        <v>122050002.7027027</v>
      </c>
      <c r="F418">
        <v>130273663.06306306</v>
      </c>
      <c r="G418">
        <v>35</v>
      </c>
      <c r="H418">
        <v>42</v>
      </c>
      <c r="I418">
        <v>2</v>
      </c>
      <c r="J418">
        <v>5</v>
      </c>
      <c r="M418">
        <v>38</v>
      </c>
      <c r="N418">
        <v>47</v>
      </c>
      <c r="O418">
        <v>37618558.558558561</v>
      </c>
      <c r="P418">
        <v>4998198.1981981993</v>
      </c>
      <c r="Q418">
        <v>60</v>
      </c>
      <c r="R418">
        <v>29</v>
      </c>
      <c r="S418">
        <v>12657522.522522522</v>
      </c>
      <c r="T418">
        <v>14344243.243243244</v>
      </c>
      <c r="U418">
        <v>5862882.8828828828</v>
      </c>
      <c r="V418">
        <v>4560360.3603603588</v>
      </c>
      <c r="W418">
        <v>1100</v>
      </c>
      <c r="X418">
        <v>1071</v>
      </c>
    </row>
    <row r="419" spans="1:24">
      <c r="A419" s="7" t="s">
        <v>517</v>
      </c>
      <c r="B419" s="16" t="s">
        <v>304</v>
      </c>
      <c r="C419">
        <v>73340837.693824276</v>
      </c>
      <c r="D419">
        <v>71969218.900512621</v>
      </c>
      <c r="E419">
        <v>156756.75675675701</v>
      </c>
      <c r="F419">
        <v>102702.702702703</v>
      </c>
      <c r="G419">
        <v>21</v>
      </c>
      <c r="H419">
        <v>26</v>
      </c>
      <c r="I419">
        <v>3</v>
      </c>
      <c r="J419">
        <v>2</v>
      </c>
      <c r="M419">
        <v>22</v>
      </c>
      <c r="N419">
        <v>26</v>
      </c>
      <c r="O419">
        <v>2895495.4954954949</v>
      </c>
      <c r="P419">
        <v>1731531.5315315309</v>
      </c>
      <c r="Q419">
        <v>12</v>
      </c>
      <c r="R419">
        <v>8</v>
      </c>
      <c r="S419">
        <v>9461441.4414414428</v>
      </c>
      <c r="T419">
        <v>9201747.7477477472</v>
      </c>
      <c r="U419">
        <v>2259279.2792792781</v>
      </c>
      <c r="V419">
        <v>1294504.5045045039</v>
      </c>
      <c r="W419">
        <v>811</v>
      </c>
      <c r="X419">
        <v>827</v>
      </c>
    </row>
    <row r="420" spans="1:24">
      <c r="A420" s="7" t="s">
        <v>518</v>
      </c>
      <c r="B420" s="16" t="s">
        <v>448</v>
      </c>
      <c r="C420">
        <v>77254513.311157957</v>
      </c>
      <c r="D420">
        <v>73765129.632380038</v>
      </c>
      <c r="E420">
        <v>444144.14414414403</v>
      </c>
      <c r="F420">
        <v>409909.90990991</v>
      </c>
      <c r="G420">
        <v>43</v>
      </c>
      <c r="H420">
        <v>19</v>
      </c>
      <c r="I420">
        <v>4</v>
      </c>
      <c r="M420">
        <v>53</v>
      </c>
      <c r="N420">
        <v>24</v>
      </c>
      <c r="O420">
        <v>7583243.2432432435</v>
      </c>
      <c r="P420">
        <v>4782432.4324324317</v>
      </c>
      <c r="Q420">
        <v>20</v>
      </c>
      <c r="S420">
        <v>26936423.423423424</v>
      </c>
      <c r="T420">
        <v>25082921.171171173</v>
      </c>
      <c r="U420">
        <v>7742702.702702703</v>
      </c>
      <c r="V420">
        <v>5083423.4234234234</v>
      </c>
      <c r="W420">
        <v>1783</v>
      </c>
      <c r="X420">
        <v>1823</v>
      </c>
    </row>
    <row r="421" spans="1:24">
      <c r="A421" s="7" t="s">
        <v>519</v>
      </c>
      <c r="B421" s="16" t="s">
        <v>85</v>
      </c>
      <c r="C421">
        <v>224388521.54589754</v>
      </c>
      <c r="D421">
        <v>228220066.10000572</v>
      </c>
      <c r="E421">
        <v>231531.53153153299</v>
      </c>
      <c r="F421">
        <v>2147747.7477477482</v>
      </c>
      <c r="G421">
        <v>46</v>
      </c>
      <c r="H421">
        <v>43</v>
      </c>
      <c r="I421">
        <v>8</v>
      </c>
      <c r="J421">
        <v>7</v>
      </c>
      <c r="K421">
        <v>1</v>
      </c>
      <c r="M421">
        <v>49</v>
      </c>
      <c r="N421">
        <v>48</v>
      </c>
      <c r="O421">
        <v>33853153.153153151</v>
      </c>
      <c r="P421">
        <v>53095045.045045048</v>
      </c>
      <c r="Q421">
        <v>65</v>
      </c>
      <c r="R421">
        <v>69</v>
      </c>
      <c r="S421">
        <v>53945270.270270273</v>
      </c>
      <c r="T421">
        <v>56280457.657657653</v>
      </c>
      <c r="U421">
        <v>25061081.081081081</v>
      </c>
      <c r="V421">
        <v>43613376.576576576</v>
      </c>
      <c r="W421">
        <v>3942</v>
      </c>
      <c r="X421">
        <v>4148</v>
      </c>
    </row>
    <row r="422" spans="1:24">
      <c r="A422" s="7" t="s">
        <v>520</v>
      </c>
      <c r="B422" s="16" t="s">
        <v>304</v>
      </c>
      <c r="C422">
        <v>110696748.59530546</v>
      </c>
      <c r="D422">
        <v>114468383.08282627</v>
      </c>
      <c r="E422">
        <v>372972.97297297302</v>
      </c>
      <c r="F422">
        <v>84684.684684684995</v>
      </c>
      <c r="G422">
        <v>53</v>
      </c>
      <c r="H422">
        <v>15</v>
      </c>
      <c r="I422">
        <v>2</v>
      </c>
      <c r="J422">
        <v>1</v>
      </c>
      <c r="M422">
        <v>56</v>
      </c>
      <c r="N422">
        <v>15</v>
      </c>
      <c r="O422">
        <v>8102702.702702702</v>
      </c>
      <c r="P422">
        <v>7736936.9369369382</v>
      </c>
      <c r="Q422">
        <v>18</v>
      </c>
      <c r="R422">
        <v>8</v>
      </c>
      <c r="S422">
        <v>19463153.153153151</v>
      </c>
      <c r="T422">
        <v>20276184.684684683</v>
      </c>
      <c r="U422">
        <v>4108018.0180180189</v>
      </c>
      <c r="V422">
        <v>4452702.702702703</v>
      </c>
      <c r="W422">
        <v>1543</v>
      </c>
      <c r="X422">
        <v>1362</v>
      </c>
    </row>
    <row r="423" spans="1:24">
      <c r="A423" s="7" t="s">
        <v>521</v>
      </c>
      <c r="B423" s="16" t="s">
        <v>399</v>
      </c>
      <c r="C423">
        <v>825554004.9864459</v>
      </c>
      <c r="D423">
        <v>808916540.99375057</v>
      </c>
      <c r="E423">
        <v>257861898.1981982</v>
      </c>
      <c r="F423">
        <v>171203890.09009013</v>
      </c>
      <c r="G423">
        <v>482</v>
      </c>
      <c r="H423">
        <v>316</v>
      </c>
      <c r="I423">
        <v>52</v>
      </c>
      <c r="J423">
        <v>46</v>
      </c>
      <c r="K423">
        <v>6</v>
      </c>
      <c r="M423">
        <v>533</v>
      </c>
      <c r="N423">
        <v>671</v>
      </c>
      <c r="O423">
        <v>159387117.11711711</v>
      </c>
      <c r="P423">
        <v>139370720.72072071</v>
      </c>
      <c r="Q423">
        <v>579</v>
      </c>
      <c r="R423">
        <v>1091</v>
      </c>
      <c r="S423">
        <v>205488774.77477479</v>
      </c>
      <c r="T423">
        <v>205321518.01801801</v>
      </c>
      <c r="U423">
        <v>137042162.16216215</v>
      </c>
      <c r="V423">
        <v>122248108.10810812</v>
      </c>
      <c r="W423">
        <v>13801</v>
      </c>
      <c r="X423">
        <v>13829</v>
      </c>
    </row>
    <row r="424" spans="1:24">
      <c r="A424" s="7" t="s">
        <v>522</v>
      </c>
      <c r="B424" s="16" t="s">
        <v>143</v>
      </c>
      <c r="C424">
        <v>229490759.48640442</v>
      </c>
      <c r="D424">
        <v>227554392.09389707</v>
      </c>
      <c r="E424">
        <v>294594.59459459601</v>
      </c>
      <c r="F424">
        <v>573873.87387387396</v>
      </c>
      <c r="G424">
        <v>44</v>
      </c>
      <c r="H424">
        <v>61</v>
      </c>
      <c r="I424">
        <v>6</v>
      </c>
      <c r="J424">
        <v>2</v>
      </c>
      <c r="M424">
        <v>51</v>
      </c>
      <c r="N424">
        <v>62</v>
      </c>
      <c r="O424">
        <v>12853153.153153151</v>
      </c>
      <c r="P424">
        <v>14357657.657657661</v>
      </c>
      <c r="Q424">
        <v>18</v>
      </c>
      <c r="S424">
        <v>25942783.783783782</v>
      </c>
      <c r="T424">
        <v>28959549.549549554</v>
      </c>
      <c r="U424">
        <v>11957027.027027028</v>
      </c>
      <c r="V424">
        <v>12790630.630630629</v>
      </c>
      <c r="W424">
        <v>2907</v>
      </c>
      <c r="X424">
        <v>3044</v>
      </c>
    </row>
    <row r="425" spans="1:24">
      <c r="A425" s="7" t="s">
        <v>523</v>
      </c>
      <c r="B425" s="16" t="s">
        <v>66</v>
      </c>
      <c r="C425">
        <v>154421205.20962784</v>
      </c>
      <c r="D425">
        <v>157723732.87543723</v>
      </c>
      <c r="E425">
        <v>70810.810810811003</v>
      </c>
      <c r="F425">
        <v>4255855.855855857</v>
      </c>
      <c r="G425">
        <v>45</v>
      </c>
      <c r="H425">
        <v>37</v>
      </c>
      <c r="I425">
        <v>3</v>
      </c>
      <c r="J425">
        <v>7</v>
      </c>
      <c r="K425">
        <v>1</v>
      </c>
      <c r="M425">
        <v>47</v>
      </c>
      <c r="N425">
        <v>43</v>
      </c>
      <c r="O425">
        <v>16284774.774774771</v>
      </c>
      <c r="P425">
        <v>67005405.40540541</v>
      </c>
      <c r="Q425">
        <v>164</v>
      </c>
      <c r="R425">
        <v>113</v>
      </c>
      <c r="S425">
        <v>72587432.432432428</v>
      </c>
      <c r="T425">
        <v>75264009.009009004</v>
      </c>
      <c r="U425">
        <v>15782072.07207207</v>
      </c>
      <c r="V425">
        <v>61513783.783783786</v>
      </c>
      <c r="W425">
        <v>3677</v>
      </c>
      <c r="X425">
        <v>3716</v>
      </c>
    </row>
    <row r="426" spans="1:24">
      <c r="A426" s="7" t="s">
        <v>524</v>
      </c>
      <c r="B426" s="16" t="s">
        <v>220</v>
      </c>
      <c r="C426">
        <v>223195569.85183597</v>
      </c>
      <c r="D426">
        <v>203689670.233585</v>
      </c>
      <c r="E426">
        <v>624324.32432432601</v>
      </c>
      <c r="F426">
        <v>860360.36036036001</v>
      </c>
      <c r="G426">
        <v>88</v>
      </c>
      <c r="H426">
        <v>73</v>
      </c>
      <c r="I426">
        <v>7</v>
      </c>
      <c r="J426">
        <v>3</v>
      </c>
      <c r="M426">
        <v>94</v>
      </c>
      <c r="N426">
        <v>83</v>
      </c>
      <c r="O426">
        <v>15354954.954954956</v>
      </c>
      <c r="P426">
        <v>13031531.53153153</v>
      </c>
      <c r="Q426">
        <v>10</v>
      </c>
      <c r="R426">
        <v>7</v>
      </c>
      <c r="S426">
        <v>54012360.360360362</v>
      </c>
      <c r="T426">
        <v>51549360.360360362</v>
      </c>
      <c r="U426">
        <v>11685765.765765768</v>
      </c>
      <c r="V426">
        <v>10504054.054054052</v>
      </c>
      <c r="W426">
        <v>4484</v>
      </c>
      <c r="X426">
        <v>4398</v>
      </c>
    </row>
    <row r="427" spans="1:24">
      <c r="A427" s="7" t="s">
        <v>525</v>
      </c>
      <c r="B427" s="16" t="s">
        <v>413</v>
      </c>
      <c r="C427">
        <v>2344539898.2784324</v>
      </c>
      <c r="D427">
        <v>2249848080.835825</v>
      </c>
      <c r="E427">
        <v>1112128340.5405405</v>
      </c>
      <c r="F427">
        <v>682448597.29729724</v>
      </c>
      <c r="G427">
        <v>600</v>
      </c>
      <c r="H427">
        <v>695</v>
      </c>
      <c r="I427">
        <v>33</v>
      </c>
      <c r="J427">
        <v>48</v>
      </c>
      <c r="K427">
        <v>1</v>
      </c>
      <c r="M427">
        <v>849</v>
      </c>
      <c r="N427">
        <v>1281</v>
      </c>
      <c r="O427">
        <v>194975911.7117117</v>
      </c>
      <c r="P427">
        <v>185291477.47747746</v>
      </c>
      <c r="Q427">
        <v>1556</v>
      </c>
      <c r="R427">
        <v>902</v>
      </c>
      <c r="S427">
        <v>663828441.44144142</v>
      </c>
      <c r="T427">
        <v>655129400.90090084</v>
      </c>
      <c r="U427">
        <v>181933286.48648649</v>
      </c>
      <c r="V427">
        <v>186895855.85585588</v>
      </c>
      <c r="W427">
        <v>32709</v>
      </c>
      <c r="X427">
        <v>31627</v>
      </c>
    </row>
    <row r="428" spans="1:24">
      <c r="A428" s="7" t="s">
        <v>526</v>
      </c>
      <c r="B428" s="16" t="s">
        <v>413</v>
      </c>
      <c r="C428">
        <v>275221913.55796677</v>
      </c>
      <c r="D428">
        <v>253375690.3373138</v>
      </c>
      <c r="E428">
        <v>16216.216216217001</v>
      </c>
      <c r="F428">
        <v>2777702.702702703</v>
      </c>
      <c r="G428">
        <v>44</v>
      </c>
      <c r="H428">
        <v>44</v>
      </c>
      <c r="I428">
        <v>1</v>
      </c>
      <c r="J428">
        <v>3</v>
      </c>
      <c r="M428">
        <v>50</v>
      </c>
      <c r="N428">
        <v>48</v>
      </c>
      <c r="O428">
        <v>13584504.504504504</v>
      </c>
      <c r="P428">
        <v>14938606.306306308</v>
      </c>
      <c r="Q428">
        <v>42</v>
      </c>
      <c r="R428">
        <v>30</v>
      </c>
      <c r="S428">
        <v>79249043.243243247</v>
      </c>
      <c r="T428">
        <v>79949711.711711705</v>
      </c>
      <c r="U428">
        <v>11609009.009009007</v>
      </c>
      <c r="V428">
        <v>13138828.828828828</v>
      </c>
      <c r="W428">
        <v>4598</v>
      </c>
      <c r="X428">
        <v>4740</v>
      </c>
    </row>
    <row r="429" spans="1:24">
      <c r="A429" s="7" t="s">
        <v>661</v>
      </c>
      <c r="B429" s="16" t="s">
        <v>189</v>
      </c>
      <c r="C429">
        <v>4731835.7851991672</v>
      </c>
      <c r="D429">
        <v>1389893.401793666</v>
      </c>
      <c r="G429">
        <v>8</v>
      </c>
      <c r="H429">
        <v>3</v>
      </c>
      <c r="M429">
        <v>8</v>
      </c>
      <c r="N429">
        <v>4</v>
      </c>
      <c r="S429">
        <v>1450900.9009009011</v>
      </c>
      <c r="T429">
        <v>866486.48648648604</v>
      </c>
      <c r="W429">
        <v>138</v>
      </c>
      <c r="X429">
        <v>118</v>
      </c>
    </row>
    <row r="430" spans="1:24">
      <c r="A430" s="7" t="s">
        <v>527</v>
      </c>
      <c r="B430" s="16" t="s">
        <v>147</v>
      </c>
      <c r="C430">
        <v>534659500.23709756</v>
      </c>
      <c r="D430">
        <v>527081654.10614908</v>
      </c>
      <c r="E430">
        <v>205611936.93693691</v>
      </c>
      <c r="F430">
        <v>96004729.729729727</v>
      </c>
      <c r="G430">
        <v>104</v>
      </c>
      <c r="H430">
        <v>324</v>
      </c>
      <c r="I430">
        <v>12</v>
      </c>
      <c r="J430">
        <v>9</v>
      </c>
      <c r="M430">
        <v>113</v>
      </c>
      <c r="N430">
        <v>508</v>
      </c>
      <c r="O430">
        <v>113464414.41441442</v>
      </c>
      <c r="P430">
        <v>160498857.65765765</v>
      </c>
      <c r="Q430">
        <v>243</v>
      </c>
      <c r="R430">
        <v>415</v>
      </c>
      <c r="S430">
        <v>171632558.55855855</v>
      </c>
      <c r="T430">
        <v>186270007.2072072</v>
      </c>
      <c r="U430">
        <v>102398738.73873873</v>
      </c>
      <c r="V430">
        <v>139423873.87387386</v>
      </c>
      <c r="W430">
        <v>10149</v>
      </c>
      <c r="X430">
        <v>9974</v>
      </c>
    </row>
    <row r="431" spans="1:24">
      <c r="A431" s="7" t="s">
        <v>528</v>
      </c>
      <c r="B431" s="16" t="s">
        <v>121</v>
      </c>
      <c r="C431">
        <v>59893937.945036218</v>
      </c>
      <c r="D431">
        <v>58645190.90895813</v>
      </c>
      <c r="E431">
        <v>153828.82882883001</v>
      </c>
      <c r="F431">
        <v>494594.59459459502</v>
      </c>
      <c r="G431">
        <v>31</v>
      </c>
      <c r="H431">
        <v>27</v>
      </c>
      <c r="I431">
        <v>4</v>
      </c>
      <c r="J431">
        <v>4</v>
      </c>
      <c r="M431">
        <v>33</v>
      </c>
      <c r="N431">
        <v>31</v>
      </c>
      <c r="O431">
        <v>3068468.4684684691</v>
      </c>
      <c r="P431">
        <v>5760360.3603603607</v>
      </c>
      <c r="Q431">
        <v>13</v>
      </c>
      <c r="R431">
        <v>7</v>
      </c>
      <c r="S431">
        <v>6650900.9009009013</v>
      </c>
      <c r="T431">
        <v>7702175.6756756762</v>
      </c>
      <c r="U431">
        <v>2955945.945945946</v>
      </c>
      <c r="V431">
        <v>5158738.7387387389</v>
      </c>
      <c r="W431">
        <v>1091</v>
      </c>
      <c r="X431">
        <v>943</v>
      </c>
    </row>
    <row r="432" spans="1:24">
      <c r="A432" s="7" t="s">
        <v>529</v>
      </c>
      <c r="B432" s="16" t="s">
        <v>448</v>
      </c>
      <c r="C432">
        <v>141000935.96990341</v>
      </c>
      <c r="D432">
        <v>108401650.38028944</v>
      </c>
      <c r="E432">
        <v>910090.09009009099</v>
      </c>
      <c r="F432">
        <v>1125225.2252252251</v>
      </c>
      <c r="G432">
        <v>50</v>
      </c>
      <c r="H432">
        <v>113</v>
      </c>
      <c r="I432">
        <v>1</v>
      </c>
      <c r="J432">
        <v>3</v>
      </c>
      <c r="M432">
        <v>51</v>
      </c>
      <c r="N432">
        <v>153</v>
      </c>
      <c r="O432">
        <v>12556126.126126127</v>
      </c>
      <c r="P432">
        <v>20558558.558558561</v>
      </c>
      <c r="Q432">
        <v>59</v>
      </c>
      <c r="R432">
        <v>44</v>
      </c>
      <c r="S432">
        <v>65806288.288288288</v>
      </c>
      <c r="T432">
        <v>53062362.612612613</v>
      </c>
      <c r="U432">
        <v>12719279.279279282</v>
      </c>
      <c r="V432">
        <v>22211801.801801801</v>
      </c>
      <c r="W432">
        <v>2301</v>
      </c>
      <c r="X432">
        <v>2328</v>
      </c>
    </row>
    <row r="433" spans="1:24">
      <c r="A433" s="7" t="s">
        <v>530</v>
      </c>
      <c r="B433" s="16" t="s">
        <v>448</v>
      </c>
      <c r="C433">
        <v>246652592.77885693</v>
      </c>
      <c r="D433">
        <v>245378935.30805832</v>
      </c>
      <c r="E433">
        <v>107207.207207208</v>
      </c>
      <c r="F433">
        <v>1948648.648648649</v>
      </c>
      <c r="G433">
        <v>225</v>
      </c>
      <c r="H433">
        <v>222</v>
      </c>
      <c r="I433">
        <v>9</v>
      </c>
      <c r="J433">
        <v>9</v>
      </c>
      <c r="M433">
        <v>245</v>
      </c>
      <c r="N433">
        <v>235</v>
      </c>
      <c r="O433">
        <v>55958108.108108111</v>
      </c>
      <c r="P433">
        <v>45861711.711711712</v>
      </c>
      <c r="Q433">
        <v>240</v>
      </c>
      <c r="R433">
        <v>70</v>
      </c>
      <c r="S433">
        <v>115751711.7117117</v>
      </c>
      <c r="T433">
        <v>116997225.22522523</v>
      </c>
      <c r="U433">
        <v>56556486.486486487</v>
      </c>
      <c r="V433">
        <v>45868288.288288288</v>
      </c>
      <c r="W433">
        <v>5088</v>
      </c>
      <c r="X433">
        <v>5216</v>
      </c>
    </row>
    <row r="434" spans="1:24">
      <c r="A434" s="7" t="s">
        <v>531</v>
      </c>
      <c r="B434" s="16" t="s">
        <v>123</v>
      </c>
      <c r="C434">
        <v>642097377.57980287</v>
      </c>
      <c r="D434">
        <v>646460163.7796762</v>
      </c>
      <c r="E434">
        <v>159305781.98198199</v>
      </c>
      <c r="F434">
        <v>317874767.56756753</v>
      </c>
      <c r="G434">
        <v>286</v>
      </c>
      <c r="H434">
        <v>457</v>
      </c>
      <c r="I434">
        <v>50</v>
      </c>
      <c r="J434">
        <v>42</v>
      </c>
      <c r="K434">
        <v>13</v>
      </c>
      <c r="M434">
        <v>1462</v>
      </c>
      <c r="N434">
        <v>962</v>
      </c>
      <c r="O434">
        <v>239837207.2072072</v>
      </c>
      <c r="P434">
        <v>265240090.09009007</v>
      </c>
      <c r="Q434">
        <v>1595</v>
      </c>
      <c r="R434">
        <v>2783</v>
      </c>
      <c r="S434">
        <v>227356685.58558559</v>
      </c>
      <c r="T434">
        <v>227767637.83783782</v>
      </c>
      <c r="U434">
        <v>242651891.8918919</v>
      </c>
      <c r="V434">
        <v>263740180.18018019</v>
      </c>
      <c r="W434">
        <v>11834</v>
      </c>
      <c r="X434">
        <v>11235</v>
      </c>
    </row>
    <row r="435" spans="1:24">
      <c r="A435" s="7" t="s">
        <v>532</v>
      </c>
      <c r="B435" s="16" t="s">
        <v>85</v>
      </c>
      <c r="C435">
        <v>204338709.02490556</v>
      </c>
      <c r="D435">
        <v>188115636.19006827</v>
      </c>
      <c r="E435">
        <v>5167567.5675675683</v>
      </c>
      <c r="F435">
        <v>2018018.0180180189</v>
      </c>
      <c r="G435">
        <v>17</v>
      </c>
      <c r="H435">
        <v>46</v>
      </c>
      <c r="I435">
        <v>6</v>
      </c>
      <c r="J435">
        <v>3</v>
      </c>
      <c r="M435">
        <v>26</v>
      </c>
      <c r="N435">
        <v>55</v>
      </c>
      <c r="O435">
        <v>33780180.180180177</v>
      </c>
      <c r="P435">
        <v>34181621.621621624</v>
      </c>
      <c r="Q435">
        <v>27</v>
      </c>
      <c r="R435">
        <v>24</v>
      </c>
      <c r="S435">
        <v>46205495.495495498</v>
      </c>
      <c r="T435">
        <v>41073558.558558561</v>
      </c>
      <c r="U435">
        <v>26284414.414414417</v>
      </c>
      <c r="V435">
        <v>26900180.180180181</v>
      </c>
      <c r="W435">
        <v>3763</v>
      </c>
      <c r="X435">
        <v>3842</v>
      </c>
    </row>
    <row r="436" spans="1:24">
      <c r="A436" s="7" t="s">
        <v>9</v>
      </c>
      <c r="B436" s="16" t="s">
        <v>158</v>
      </c>
      <c r="C436">
        <v>521549319.19600952</v>
      </c>
      <c r="D436">
        <v>506136910.44786489</v>
      </c>
      <c r="E436">
        <v>7480768.4684684742</v>
      </c>
      <c r="F436">
        <v>13739057.657657661</v>
      </c>
      <c r="G436">
        <v>116</v>
      </c>
      <c r="H436">
        <v>83</v>
      </c>
      <c r="I436">
        <v>44</v>
      </c>
      <c r="J436">
        <v>13</v>
      </c>
      <c r="K436">
        <v>4</v>
      </c>
      <c r="M436">
        <v>133</v>
      </c>
      <c r="N436">
        <v>89</v>
      </c>
      <c r="O436">
        <v>749391410.8108108</v>
      </c>
      <c r="P436">
        <v>714869320.72072077</v>
      </c>
      <c r="Q436">
        <v>488</v>
      </c>
      <c r="R436">
        <v>344</v>
      </c>
      <c r="S436">
        <v>187325387.38738739</v>
      </c>
      <c r="T436">
        <v>183045459.45945945</v>
      </c>
      <c r="U436">
        <v>629701531.53153157</v>
      </c>
      <c r="V436">
        <v>623499279.27927923</v>
      </c>
      <c r="W436">
        <v>7372</v>
      </c>
      <c r="X436">
        <v>7163</v>
      </c>
    </row>
    <row r="437" spans="1:24">
      <c r="A437" s="7" t="s">
        <v>533</v>
      </c>
      <c r="B437" s="16" t="s">
        <v>94</v>
      </c>
      <c r="C437">
        <v>511466869.98260725</v>
      </c>
      <c r="D437">
        <v>485413710.08584756</v>
      </c>
      <c r="E437">
        <v>294594.59459459601</v>
      </c>
      <c r="F437">
        <v>1548648.648648652</v>
      </c>
      <c r="G437">
        <v>92</v>
      </c>
      <c r="H437">
        <v>98</v>
      </c>
      <c r="I437">
        <v>13</v>
      </c>
      <c r="J437">
        <v>13</v>
      </c>
      <c r="K437">
        <v>2</v>
      </c>
      <c r="M437">
        <v>99</v>
      </c>
      <c r="N437">
        <v>111</v>
      </c>
      <c r="O437">
        <v>43362162.162162162</v>
      </c>
      <c r="P437">
        <v>45667567.567567565</v>
      </c>
      <c r="Q437">
        <v>148</v>
      </c>
      <c r="R437">
        <v>321</v>
      </c>
      <c r="S437">
        <v>61147338.738738738</v>
      </c>
      <c r="T437">
        <v>63947918.918918923</v>
      </c>
      <c r="U437">
        <v>30448828.828828827</v>
      </c>
      <c r="V437">
        <v>28605225.225225229</v>
      </c>
      <c r="W437">
        <v>6367</v>
      </c>
      <c r="X437">
        <v>6407</v>
      </c>
    </row>
    <row r="438" spans="1:24">
      <c r="A438" s="7" t="s">
        <v>534</v>
      </c>
      <c r="B438" s="16" t="s">
        <v>304</v>
      </c>
      <c r="C438">
        <v>13078052.886348555</v>
      </c>
      <c r="D438">
        <v>13612348.050507659</v>
      </c>
      <c r="G438">
        <v>8</v>
      </c>
      <c r="H438">
        <v>7</v>
      </c>
      <c r="M438">
        <v>10</v>
      </c>
      <c r="N438">
        <v>8</v>
      </c>
      <c r="S438">
        <v>1113648.6486486481</v>
      </c>
      <c r="T438">
        <v>2464054.054054054</v>
      </c>
      <c r="W438">
        <v>251</v>
      </c>
      <c r="X438">
        <v>428</v>
      </c>
    </row>
    <row r="439" spans="1:24">
      <c r="A439" s="7" t="s">
        <v>535</v>
      </c>
      <c r="B439" s="16" t="s">
        <v>304</v>
      </c>
      <c r="C439">
        <v>208308218.42031726</v>
      </c>
      <c r="D439">
        <v>198772865.15446252</v>
      </c>
      <c r="E439">
        <v>1056756.7567567581</v>
      </c>
      <c r="F439">
        <v>1072972.9729729739</v>
      </c>
      <c r="G439">
        <v>61</v>
      </c>
      <c r="H439">
        <v>22</v>
      </c>
      <c r="I439">
        <v>7</v>
      </c>
      <c r="J439">
        <v>5</v>
      </c>
      <c r="M439">
        <v>63</v>
      </c>
      <c r="N439">
        <v>31</v>
      </c>
      <c r="O439">
        <v>14354054.054054055</v>
      </c>
      <c r="P439">
        <v>15939639.63963964</v>
      </c>
      <c r="Q439">
        <v>120</v>
      </c>
      <c r="R439">
        <v>136</v>
      </c>
      <c r="S439">
        <v>18264414.414414417</v>
      </c>
      <c r="T439">
        <v>17835045.045045044</v>
      </c>
      <c r="U439">
        <v>8481171.1711711716</v>
      </c>
      <c r="V439">
        <v>8735135.1351351365</v>
      </c>
      <c r="W439">
        <v>2829</v>
      </c>
      <c r="X439">
        <v>2771</v>
      </c>
    </row>
    <row r="440" spans="1:24">
      <c r="A440" s="7" t="s">
        <v>536</v>
      </c>
      <c r="B440" s="16" t="s">
        <v>85</v>
      </c>
      <c r="C440">
        <v>183656689.05418843</v>
      </c>
      <c r="D440">
        <v>177991049.15872577</v>
      </c>
      <c r="E440">
        <v>306306.30630630598</v>
      </c>
      <c r="F440">
        <v>1168468.46846847</v>
      </c>
      <c r="G440">
        <v>178</v>
      </c>
      <c r="H440">
        <v>85</v>
      </c>
      <c r="I440">
        <v>6</v>
      </c>
      <c r="J440">
        <v>5</v>
      </c>
      <c r="M440">
        <v>192</v>
      </c>
      <c r="N440">
        <v>100</v>
      </c>
      <c r="O440">
        <v>62702702.702702701</v>
      </c>
      <c r="P440">
        <v>68734144.144144148</v>
      </c>
      <c r="Q440">
        <v>66</v>
      </c>
      <c r="R440">
        <v>111</v>
      </c>
      <c r="S440">
        <v>82354189.189189181</v>
      </c>
      <c r="T440">
        <v>78022954.954954967</v>
      </c>
      <c r="U440">
        <v>56951801.801801801</v>
      </c>
      <c r="V440">
        <v>57642612.612612613</v>
      </c>
      <c r="W440">
        <v>3214</v>
      </c>
      <c r="X440">
        <v>3026</v>
      </c>
    </row>
    <row r="441" spans="1:24">
      <c r="A441" s="7" t="s">
        <v>537</v>
      </c>
      <c r="B441" s="16" t="s">
        <v>448</v>
      </c>
      <c r="C441">
        <v>247276277.53029901</v>
      </c>
      <c r="D441">
        <v>243835056.48881313</v>
      </c>
      <c r="E441">
        <v>171171.17117117401</v>
      </c>
      <c r="F441">
        <v>2581981.981981982</v>
      </c>
      <c r="G441">
        <v>411</v>
      </c>
      <c r="H441">
        <v>232</v>
      </c>
      <c r="I441">
        <v>6</v>
      </c>
      <c r="J441">
        <v>7</v>
      </c>
      <c r="M441">
        <v>419</v>
      </c>
      <c r="N441">
        <v>278</v>
      </c>
      <c r="O441">
        <v>16353018.01801802</v>
      </c>
      <c r="P441">
        <v>26993423.423423424</v>
      </c>
      <c r="Q441">
        <v>88</v>
      </c>
      <c r="R441">
        <v>16</v>
      </c>
      <c r="S441">
        <v>71075549.54954955</v>
      </c>
      <c r="T441">
        <v>67915772.972972974</v>
      </c>
      <c r="U441">
        <v>16562702.702702705</v>
      </c>
      <c r="V441">
        <v>27788378.378378376</v>
      </c>
      <c r="W441">
        <v>4950</v>
      </c>
      <c r="X441">
        <v>4973</v>
      </c>
    </row>
    <row r="442" spans="1:24">
      <c r="A442" s="7" t="s">
        <v>538</v>
      </c>
      <c r="B442" s="16" t="s">
        <v>117</v>
      </c>
      <c r="C442">
        <v>552312993.23523653</v>
      </c>
      <c r="D442">
        <v>550350667.61694026</v>
      </c>
      <c r="E442">
        <v>1901846.8468468541</v>
      </c>
      <c r="F442">
        <v>12331756.756756758</v>
      </c>
      <c r="G442">
        <v>275</v>
      </c>
      <c r="H442">
        <v>186</v>
      </c>
      <c r="I442">
        <v>43</v>
      </c>
      <c r="J442">
        <v>41</v>
      </c>
      <c r="K442">
        <v>1</v>
      </c>
      <c r="M442">
        <v>315</v>
      </c>
      <c r="N442">
        <v>225</v>
      </c>
      <c r="O442">
        <v>103397966.66666666</v>
      </c>
      <c r="P442">
        <v>131479728.82882883</v>
      </c>
      <c r="Q442">
        <v>356</v>
      </c>
      <c r="R442">
        <v>253</v>
      </c>
      <c r="S442">
        <v>297125360.36036038</v>
      </c>
      <c r="T442">
        <v>314162094.5945946</v>
      </c>
      <c r="U442">
        <v>101141261.26126127</v>
      </c>
      <c r="V442">
        <v>115847927.92792793</v>
      </c>
      <c r="W442">
        <v>10649</v>
      </c>
      <c r="X442">
        <v>11088</v>
      </c>
    </row>
    <row r="443" spans="1:24">
      <c r="A443" s="7" t="s">
        <v>539</v>
      </c>
      <c r="B443" s="16" t="s">
        <v>83</v>
      </c>
      <c r="C443">
        <v>1761151349.1840069</v>
      </c>
      <c r="D443">
        <v>1730026967.9595106</v>
      </c>
      <c r="E443">
        <v>2539414.4144144198</v>
      </c>
      <c r="F443">
        <v>8661338.7387387417</v>
      </c>
      <c r="G443">
        <v>291</v>
      </c>
      <c r="H443">
        <v>341</v>
      </c>
      <c r="I443">
        <v>25</v>
      </c>
      <c r="J443">
        <v>25</v>
      </c>
      <c r="K443">
        <v>1</v>
      </c>
      <c r="M443">
        <v>323</v>
      </c>
      <c r="N443">
        <v>380</v>
      </c>
      <c r="O443">
        <v>89835585.585585579</v>
      </c>
      <c r="P443">
        <v>127013594.5945946</v>
      </c>
      <c r="Q443">
        <v>264</v>
      </c>
      <c r="R443">
        <v>429</v>
      </c>
      <c r="S443">
        <v>178972609.009009</v>
      </c>
      <c r="T443">
        <v>186739255.4054054</v>
      </c>
      <c r="U443">
        <v>82767070.270270273</v>
      </c>
      <c r="V443">
        <v>119073646.84684685</v>
      </c>
      <c r="W443">
        <v>21734</v>
      </c>
      <c r="X443">
        <v>21739</v>
      </c>
    </row>
    <row r="444" spans="1:24">
      <c r="A444" s="7" t="s">
        <v>540</v>
      </c>
      <c r="B444" s="16" t="s">
        <v>315</v>
      </c>
      <c r="C444">
        <v>207424849.45469379</v>
      </c>
      <c r="D444">
        <v>210268761.40872192</v>
      </c>
      <c r="E444">
        <v>158700181.98198199</v>
      </c>
      <c r="F444">
        <v>142901013.51351351</v>
      </c>
      <c r="G444">
        <v>26</v>
      </c>
      <c r="H444">
        <v>46</v>
      </c>
      <c r="I444">
        <v>1</v>
      </c>
      <c r="J444">
        <v>2</v>
      </c>
      <c r="K444">
        <v>1</v>
      </c>
      <c r="M444">
        <v>27</v>
      </c>
      <c r="N444">
        <v>50</v>
      </c>
      <c r="O444">
        <v>54772072.072072074</v>
      </c>
      <c r="P444">
        <v>15640540.540540541</v>
      </c>
      <c r="R444">
        <v>51</v>
      </c>
      <c r="S444">
        <v>38276709.909909911</v>
      </c>
      <c r="T444">
        <v>39721846.846846849</v>
      </c>
      <c r="U444">
        <v>18670043.243243244</v>
      </c>
      <c r="V444">
        <v>12808018.018018018</v>
      </c>
      <c r="W444">
        <v>2575</v>
      </c>
      <c r="X444">
        <v>2446</v>
      </c>
    </row>
    <row r="445" spans="1:24">
      <c r="A445" s="7" t="s">
        <v>541</v>
      </c>
      <c r="B445" s="16" t="s">
        <v>169</v>
      </c>
      <c r="C445">
        <v>1520318574.1652019</v>
      </c>
      <c r="D445">
        <v>1460554824.891798</v>
      </c>
      <c r="E445">
        <v>1805855.8558558549</v>
      </c>
      <c r="F445">
        <v>3867567.567567565</v>
      </c>
      <c r="G445">
        <v>197</v>
      </c>
      <c r="H445">
        <v>181</v>
      </c>
      <c r="I445">
        <v>9</v>
      </c>
      <c r="J445">
        <v>7</v>
      </c>
      <c r="K445">
        <v>2</v>
      </c>
      <c r="M445">
        <v>256</v>
      </c>
      <c r="N445">
        <v>238</v>
      </c>
      <c r="O445">
        <v>69265917.117117107</v>
      </c>
      <c r="P445">
        <v>89285292.792792797</v>
      </c>
      <c r="Q445">
        <v>466</v>
      </c>
      <c r="R445">
        <v>322</v>
      </c>
      <c r="S445">
        <v>541741360.36036038</v>
      </c>
      <c r="T445">
        <v>537662024.77477479</v>
      </c>
      <c r="U445">
        <v>67784594.594594598</v>
      </c>
      <c r="V445">
        <v>89510540.540540546</v>
      </c>
      <c r="W445">
        <v>21555</v>
      </c>
      <c r="X445">
        <v>21677</v>
      </c>
    </row>
    <row r="446" spans="1:24">
      <c r="A446" s="7" t="s">
        <v>542</v>
      </c>
      <c r="B446" s="16" t="s">
        <v>479</v>
      </c>
      <c r="C446">
        <v>465049908.24109572</v>
      </c>
      <c r="D446">
        <v>452905611.49060327</v>
      </c>
      <c r="E446">
        <v>144154572.07207206</v>
      </c>
      <c r="F446">
        <v>156649358.55855855</v>
      </c>
      <c r="G446">
        <v>40</v>
      </c>
      <c r="H446">
        <v>50</v>
      </c>
      <c r="I446">
        <v>0</v>
      </c>
      <c r="J446">
        <v>0</v>
      </c>
      <c r="M446">
        <v>50</v>
      </c>
      <c r="N446">
        <v>54</v>
      </c>
      <c r="O446">
        <v>19223893.693693686</v>
      </c>
      <c r="P446">
        <v>7716130.6306306301</v>
      </c>
      <c r="Q446">
        <v>3</v>
      </c>
      <c r="R446">
        <v>80</v>
      </c>
      <c r="S446">
        <v>58824045.045045041</v>
      </c>
      <c r="T446">
        <v>57850054.054054059</v>
      </c>
      <c r="U446">
        <v>8658108.1081081033</v>
      </c>
      <c r="V446">
        <v>2818198.1981981969</v>
      </c>
      <c r="W446">
        <v>5711</v>
      </c>
      <c r="X446">
        <v>5551</v>
      </c>
    </row>
    <row r="447" spans="1:24">
      <c r="A447" s="7" t="s">
        <v>543</v>
      </c>
      <c r="B447" s="16" t="s">
        <v>80</v>
      </c>
      <c r="C447">
        <v>130580820.73465472</v>
      </c>
      <c r="D447">
        <v>111661545.31972712</v>
      </c>
      <c r="E447">
        <v>175675.67567567501</v>
      </c>
      <c r="F447">
        <v>979729.72972973005</v>
      </c>
      <c r="G447">
        <v>35</v>
      </c>
      <c r="H447">
        <v>38</v>
      </c>
      <c r="I447">
        <v>5</v>
      </c>
      <c r="J447">
        <v>4</v>
      </c>
      <c r="M447">
        <v>37</v>
      </c>
      <c r="N447">
        <v>42</v>
      </c>
      <c r="O447">
        <v>13309909.90990991</v>
      </c>
      <c r="P447">
        <v>28917567.567567568</v>
      </c>
      <c r="Q447">
        <v>44</v>
      </c>
      <c r="R447">
        <v>55</v>
      </c>
      <c r="S447">
        <v>45674135.135135137</v>
      </c>
      <c r="T447">
        <v>41396801.801801801</v>
      </c>
      <c r="U447">
        <v>10752792.792792795</v>
      </c>
      <c r="V447">
        <v>28622342.342342343</v>
      </c>
      <c r="W447">
        <v>2294</v>
      </c>
      <c r="X447">
        <v>2390</v>
      </c>
    </row>
    <row r="448" spans="1:24">
      <c r="A448" s="7" t="s">
        <v>544</v>
      </c>
      <c r="B448" s="16" t="s">
        <v>169</v>
      </c>
      <c r="C448">
        <v>163363697.78971207</v>
      </c>
      <c r="D448">
        <v>113297806.86451104</v>
      </c>
      <c r="E448">
        <v>135135.135135135</v>
      </c>
      <c r="F448">
        <v>277477.47747747699</v>
      </c>
      <c r="G448">
        <v>45</v>
      </c>
      <c r="H448">
        <v>17</v>
      </c>
      <c r="J448">
        <v>0</v>
      </c>
      <c r="M448">
        <v>45</v>
      </c>
      <c r="N448">
        <v>18</v>
      </c>
      <c r="O448">
        <v>4639639.6396396402</v>
      </c>
      <c r="P448">
        <v>1178378.378378378</v>
      </c>
      <c r="S448">
        <v>63833412.612612613</v>
      </c>
      <c r="T448">
        <v>47018953.153153151</v>
      </c>
      <c r="U448">
        <v>4050990.9909909908</v>
      </c>
      <c r="V448">
        <v>814054.05405405397</v>
      </c>
      <c r="W448">
        <v>2571</v>
      </c>
      <c r="X448">
        <v>2452</v>
      </c>
    </row>
    <row r="449" spans="1:24">
      <c r="A449" s="7" t="s">
        <v>545</v>
      </c>
      <c r="B449" s="16" t="s">
        <v>224</v>
      </c>
      <c r="C449">
        <v>27832.725951851</v>
      </c>
      <c r="D449">
        <v>14736.473542234</v>
      </c>
      <c r="S449">
        <v>10585.585585586001</v>
      </c>
      <c r="T449">
        <v>6081.0810810809999</v>
      </c>
      <c r="X449">
        <v>1</v>
      </c>
    </row>
    <row r="450" spans="1:24">
      <c r="A450" s="7" t="s">
        <v>546</v>
      </c>
      <c r="B450" s="16" t="s">
        <v>136</v>
      </c>
      <c r="C450">
        <v>293002664.47155046</v>
      </c>
      <c r="D450">
        <v>284890683.36704904</v>
      </c>
      <c r="E450">
        <v>480630.63063063199</v>
      </c>
      <c r="F450">
        <v>1072972.9729729709</v>
      </c>
      <c r="G450">
        <v>108</v>
      </c>
      <c r="H450">
        <v>95</v>
      </c>
      <c r="I450">
        <v>8</v>
      </c>
      <c r="J450">
        <v>7</v>
      </c>
      <c r="M450">
        <v>117</v>
      </c>
      <c r="N450">
        <v>100</v>
      </c>
      <c r="O450">
        <v>67152522.522522524</v>
      </c>
      <c r="P450">
        <v>66895495.495495498</v>
      </c>
      <c r="Q450">
        <v>56</v>
      </c>
      <c r="R450">
        <v>152</v>
      </c>
      <c r="S450">
        <v>96416612.612612605</v>
      </c>
      <c r="T450">
        <v>94127763.963963971</v>
      </c>
      <c r="U450">
        <v>56719729.729729727</v>
      </c>
      <c r="V450">
        <v>52749279.279279277</v>
      </c>
      <c r="W450">
        <v>4474</v>
      </c>
      <c r="X450">
        <v>4453</v>
      </c>
    </row>
    <row r="451" spans="1:24">
      <c r="A451" s="7" t="s">
        <v>547</v>
      </c>
      <c r="B451" s="16" t="s">
        <v>136</v>
      </c>
      <c r="C451">
        <v>541740305.65466428</v>
      </c>
      <c r="D451">
        <v>535750964.21029633</v>
      </c>
      <c r="E451">
        <v>357333498.1981982</v>
      </c>
      <c r="F451">
        <v>364905131.53153151</v>
      </c>
      <c r="G451">
        <v>353</v>
      </c>
      <c r="H451">
        <v>262</v>
      </c>
      <c r="I451">
        <v>21</v>
      </c>
      <c r="J451">
        <v>20</v>
      </c>
      <c r="K451">
        <v>4</v>
      </c>
      <c r="M451">
        <v>383</v>
      </c>
      <c r="N451">
        <v>304</v>
      </c>
      <c r="O451">
        <v>134178378.37837836</v>
      </c>
      <c r="P451">
        <v>136329729.72972974</v>
      </c>
      <c r="Q451">
        <v>396</v>
      </c>
      <c r="R451">
        <v>272</v>
      </c>
      <c r="S451">
        <v>178746655.85585585</v>
      </c>
      <c r="T451">
        <v>177507137.83783782</v>
      </c>
      <c r="U451">
        <v>119063736.93693693</v>
      </c>
      <c r="V451">
        <v>114996702.7027027</v>
      </c>
      <c r="W451">
        <v>12902</v>
      </c>
      <c r="X451">
        <v>12578</v>
      </c>
    </row>
    <row r="452" spans="1:24">
      <c r="A452" s="7" t="s">
        <v>548</v>
      </c>
      <c r="B452" s="16" t="s">
        <v>136</v>
      </c>
      <c r="C452">
        <v>630600957.66330457</v>
      </c>
      <c r="D452">
        <v>604294026.25753284</v>
      </c>
      <c r="E452">
        <v>2680180.180180179</v>
      </c>
      <c r="F452">
        <v>4530630.6306306329</v>
      </c>
      <c r="G452">
        <v>171</v>
      </c>
      <c r="H452">
        <v>93</v>
      </c>
      <c r="I452">
        <v>7</v>
      </c>
      <c r="J452">
        <v>3</v>
      </c>
      <c r="M452">
        <v>183</v>
      </c>
      <c r="N452">
        <v>103</v>
      </c>
      <c r="O452">
        <v>29446396.396396399</v>
      </c>
      <c r="P452">
        <v>23089189.189189192</v>
      </c>
      <c r="Q452">
        <v>79</v>
      </c>
      <c r="R452">
        <v>13</v>
      </c>
      <c r="S452">
        <v>98546297.297297299</v>
      </c>
      <c r="T452">
        <v>97975250.45045045</v>
      </c>
      <c r="U452">
        <v>26485225.225225225</v>
      </c>
      <c r="V452">
        <v>21082432.432432432</v>
      </c>
      <c r="W452">
        <v>7955</v>
      </c>
      <c r="X452">
        <v>8020</v>
      </c>
    </row>
    <row r="453" spans="1:24">
      <c r="A453" s="7" t="s">
        <v>549</v>
      </c>
      <c r="B453" s="16" t="s">
        <v>136</v>
      </c>
      <c r="C453">
        <v>298560442.41506016</v>
      </c>
      <c r="D453">
        <v>254286501.35441351</v>
      </c>
      <c r="E453">
        <v>353153.15315315401</v>
      </c>
      <c r="F453">
        <v>633333.33333333302</v>
      </c>
      <c r="G453">
        <v>63</v>
      </c>
      <c r="H453">
        <v>44</v>
      </c>
      <c r="I453">
        <v>6</v>
      </c>
      <c r="J453">
        <v>3</v>
      </c>
      <c r="M453">
        <v>67</v>
      </c>
      <c r="N453">
        <v>48</v>
      </c>
      <c r="O453">
        <v>22039819.819819819</v>
      </c>
      <c r="P453">
        <v>19182882.882882878</v>
      </c>
      <c r="Q453">
        <v>18</v>
      </c>
      <c r="R453">
        <v>10</v>
      </c>
      <c r="S453">
        <v>51082790.990990989</v>
      </c>
      <c r="T453">
        <v>41714882.882882878</v>
      </c>
      <c r="U453">
        <v>20210944.144144144</v>
      </c>
      <c r="V453">
        <v>15003513.513513513</v>
      </c>
      <c r="W453">
        <v>3745</v>
      </c>
      <c r="X453">
        <v>3772</v>
      </c>
    </row>
    <row r="454" spans="1:24">
      <c r="A454" s="7" t="s">
        <v>550</v>
      </c>
      <c r="B454" s="16" t="s">
        <v>87</v>
      </c>
      <c r="C454">
        <v>120015504.4948535</v>
      </c>
      <c r="D454">
        <v>106016723.96077372</v>
      </c>
      <c r="E454">
        <v>916216.21621621598</v>
      </c>
      <c r="F454">
        <v>158558.55855855899</v>
      </c>
      <c r="G454">
        <v>76</v>
      </c>
      <c r="H454">
        <v>58</v>
      </c>
      <c r="I454">
        <v>2</v>
      </c>
      <c r="J454">
        <v>2</v>
      </c>
      <c r="M454">
        <v>78</v>
      </c>
      <c r="N454">
        <v>66</v>
      </c>
      <c r="O454">
        <v>7380180.1801801799</v>
      </c>
      <c r="P454">
        <v>7190990.9909909917</v>
      </c>
      <c r="Q454">
        <v>9</v>
      </c>
      <c r="R454">
        <v>21</v>
      </c>
      <c r="S454">
        <v>20001059.459459461</v>
      </c>
      <c r="T454">
        <v>17191646.846846849</v>
      </c>
      <c r="U454">
        <v>6458918.9189189188</v>
      </c>
      <c r="V454">
        <v>6221171.1711711707</v>
      </c>
      <c r="W454">
        <v>1431</v>
      </c>
      <c r="X454">
        <v>1378</v>
      </c>
    </row>
    <row r="455" spans="1:24">
      <c r="A455" s="7" t="s">
        <v>551</v>
      </c>
      <c r="B455" s="16" t="s">
        <v>87</v>
      </c>
      <c r="C455">
        <v>174505638.55170906</v>
      </c>
      <c r="D455">
        <v>158575434.61587328</v>
      </c>
      <c r="E455">
        <v>52252.252252252998</v>
      </c>
      <c r="F455">
        <v>549549.54954955005</v>
      </c>
      <c r="G455">
        <v>149</v>
      </c>
      <c r="H455">
        <v>97</v>
      </c>
      <c r="I455">
        <v>4</v>
      </c>
      <c r="J455">
        <v>3</v>
      </c>
      <c r="K455">
        <v>1</v>
      </c>
      <c r="M455">
        <v>163</v>
      </c>
      <c r="N455">
        <v>111</v>
      </c>
      <c r="O455">
        <v>17412612.612612613</v>
      </c>
      <c r="P455">
        <v>11915315.315315315</v>
      </c>
      <c r="Q455">
        <v>6</v>
      </c>
      <c r="R455">
        <v>13</v>
      </c>
      <c r="S455">
        <v>23491666.666666664</v>
      </c>
      <c r="T455">
        <v>22631700.9009009</v>
      </c>
      <c r="U455">
        <v>10870540.540540541</v>
      </c>
      <c r="V455">
        <v>9040900.9009009004</v>
      </c>
      <c r="W455">
        <v>2760</v>
      </c>
      <c r="X455">
        <v>2596</v>
      </c>
    </row>
    <row r="456" spans="1:24">
      <c r="A456" s="7" t="s">
        <v>552</v>
      </c>
      <c r="B456" s="16" t="s">
        <v>66</v>
      </c>
      <c r="C456">
        <v>325621953.77216792</v>
      </c>
      <c r="D456">
        <v>319551794.08023703</v>
      </c>
      <c r="E456">
        <v>2406036.0360360369</v>
      </c>
      <c r="F456">
        <v>12541441.441441445</v>
      </c>
      <c r="G456">
        <v>232</v>
      </c>
      <c r="H456">
        <v>202</v>
      </c>
      <c r="I456">
        <v>14</v>
      </c>
      <c r="J456">
        <v>15</v>
      </c>
      <c r="K456">
        <v>1</v>
      </c>
      <c r="M456">
        <v>284</v>
      </c>
      <c r="N456">
        <v>230</v>
      </c>
      <c r="O456">
        <v>65883783.783783786</v>
      </c>
      <c r="P456">
        <v>226876126.12612611</v>
      </c>
      <c r="Q456">
        <v>514</v>
      </c>
      <c r="R456">
        <v>522</v>
      </c>
      <c r="S456">
        <v>138262162.16216215</v>
      </c>
      <c r="T456">
        <v>136892200.45045045</v>
      </c>
      <c r="U456">
        <v>63291531.531531535</v>
      </c>
      <c r="V456">
        <v>205353333.33333334</v>
      </c>
      <c r="W456">
        <v>8931</v>
      </c>
      <c r="X456">
        <v>9014</v>
      </c>
    </row>
    <row r="457" spans="1:24">
      <c r="A457" s="7" t="s">
        <v>553</v>
      </c>
      <c r="B457" s="16" t="s">
        <v>554</v>
      </c>
      <c r="C457">
        <v>677908838.11210597</v>
      </c>
      <c r="D457">
        <v>634001943.55912542</v>
      </c>
      <c r="E457">
        <v>772072.07207207102</v>
      </c>
      <c r="F457">
        <v>8857207.2072072085</v>
      </c>
      <c r="G457">
        <v>308</v>
      </c>
      <c r="H457">
        <v>144</v>
      </c>
      <c r="I457">
        <v>20</v>
      </c>
      <c r="J457">
        <v>18</v>
      </c>
      <c r="K457">
        <v>1</v>
      </c>
      <c r="M457">
        <v>406</v>
      </c>
      <c r="N457">
        <v>177</v>
      </c>
      <c r="O457">
        <v>117321261.26126127</v>
      </c>
      <c r="P457">
        <v>220384234.23423424</v>
      </c>
      <c r="Q457">
        <v>183</v>
      </c>
      <c r="R457">
        <v>343</v>
      </c>
      <c r="S457">
        <v>179143135.13513514</v>
      </c>
      <c r="T457">
        <v>173856135.13513514</v>
      </c>
      <c r="U457">
        <v>113953693.6936937</v>
      </c>
      <c r="V457">
        <v>212523333.33333334</v>
      </c>
      <c r="W457">
        <v>9320</v>
      </c>
      <c r="X457">
        <v>9245</v>
      </c>
    </row>
    <row r="458" spans="1:24">
      <c r="A458" s="7" t="s">
        <v>555</v>
      </c>
      <c r="B458" s="16" t="s">
        <v>554</v>
      </c>
      <c r="C458">
        <v>109070355.80145527</v>
      </c>
      <c r="D458">
        <v>97942196.647983313</v>
      </c>
      <c r="E458">
        <v>115081411.7117117</v>
      </c>
      <c r="F458">
        <v>217902450.45045045</v>
      </c>
      <c r="G458">
        <v>56</v>
      </c>
      <c r="H458">
        <v>34</v>
      </c>
      <c r="I458">
        <v>3</v>
      </c>
      <c r="J458">
        <v>3</v>
      </c>
      <c r="M458">
        <v>57</v>
      </c>
      <c r="N458">
        <v>36</v>
      </c>
      <c r="O458">
        <v>15490810.810810812</v>
      </c>
      <c r="P458">
        <v>24932432.432432432</v>
      </c>
      <c r="Q458">
        <v>20</v>
      </c>
      <c r="R458">
        <v>23</v>
      </c>
      <c r="S458">
        <v>40298063.063063063</v>
      </c>
      <c r="T458">
        <v>35043819.819819823</v>
      </c>
      <c r="U458">
        <v>11022792.792792792</v>
      </c>
      <c r="V458">
        <v>12633063.063063065</v>
      </c>
      <c r="W458">
        <v>1667</v>
      </c>
      <c r="X458">
        <v>1575</v>
      </c>
    </row>
    <row r="459" spans="1:24">
      <c r="A459" s="7" t="s">
        <v>556</v>
      </c>
      <c r="B459" s="16" t="s">
        <v>121</v>
      </c>
      <c r="C459">
        <v>78971965.548517779</v>
      </c>
      <c r="D459">
        <v>71374512.231812894</v>
      </c>
      <c r="E459">
        <v>315315.31531531498</v>
      </c>
      <c r="F459">
        <v>450450.45045045001</v>
      </c>
      <c r="G459">
        <v>65</v>
      </c>
      <c r="H459">
        <v>36</v>
      </c>
      <c r="I459">
        <v>1</v>
      </c>
      <c r="M459">
        <v>68</v>
      </c>
      <c r="N459">
        <v>40</v>
      </c>
      <c r="O459">
        <v>423423.42342342302</v>
      </c>
      <c r="P459">
        <v>450450.45045045001</v>
      </c>
      <c r="Q459">
        <v>13</v>
      </c>
      <c r="S459">
        <v>7653963.9639639631</v>
      </c>
      <c r="T459">
        <v>6396477.4774774769</v>
      </c>
      <c r="U459">
        <v>550900.90090090095</v>
      </c>
      <c r="V459">
        <v>243693.69369369399</v>
      </c>
      <c r="W459">
        <v>1495</v>
      </c>
      <c r="X459">
        <v>1440</v>
      </c>
    </row>
    <row r="460" spans="1:24">
      <c r="A460" s="7" t="s">
        <v>557</v>
      </c>
      <c r="B460" s="16" t="s">
        <v>70</v>
      </c>
      <c r="C460">
        <v>592210132.77068222</v>
      </c>
      <c r="D460">
        <v>583586641.00373185</v>
      </c>
      <c r="E460">
        <v>2879684.684684684</v>
      </c>
      <c r="F460">
        <v>7578378.3783783866</v>
      </c>
      <c r="G460">
        <v>132</v>
      </c>
      <c r="H460">
        <v>138</v>
      </c>
      <c r="I460">
        <v>12</v>
      </c>
      <c r="J460">
        <v>24</v>
      </c>
      <c r="M460">
        <v>148</v>
      </c>
      <c r="N460">
        <v>203</v>
      </c>
      <c r="O460">
        <v>67159189.189189196</v>
      </c>
      <c r="P460">
        <v>95393693.693693697</v>
      </c>
      <c r="Q460">
        <v>331</v>
      </c>
      <c r="R460">
        <v>283</v>
      </c>
      <c r="S460">
        <v>242846468.46846849</v>
      </c>
      <c r="T460">
        <v>243818756.75675678</v>
      </c>
      <c r="U460">
        <v>79620090.090090096</v>
      </c>
      <c r="V460">
        <v>77956036.036036029</v>
      </c>
      <c r="W460">
        <v>10448</v>
      </c>
      <c r="X460">
        <v>10471</v>
      </c>
    </row>
    <row r="461" spans="1:24">
      <c r="A461" s="7" t="s">
        <v>558</v>
      </c>
      <c r="B461" s="16" t="s">
        <v>62</v>
      </c>
      <c r="C461">
        <v>1060008793.0620606</v>
      </c>
      <c r="D461">
        <v>1057698006.085778</v>
      </c>
      <c r="E461">
        <v>6650450.4504504623</v>
      </c>
      <c r="F461">
        <v>16625225.225225236</v>
      </c>
      <c r="G461">
        <v>339</v>
      </c>
      <c r="H461">
        <v>560</v>
      </c>
      <c r="I461">
        <v>45</v>
      </c>
      <c r="J461">
        <v>35</v>
      </c>
      <c r="K461">
        <v>12</v>
      </c>
      <c r="M461">
        <v>419</v>
      </c>
      <c r="N461">
        <v>883</v>
      </c>
      <c r="O461">
        <v>84581711.711711705</v>
      </c>
      <c r="P461">
        <v>149527027.02702701</v>
      </c>
      <c r="Q461">
        <v>424</v>
      </c>
      <c r="R461">
        <v>340</v>
      </c>
      <c r="S461">
        <v>251012277.47747746</v>
      </c>
      <c r="T461">
        <v>249827337.83783782</v>
      </c>
      <c r="U461">
        <v>81682432.432432428</v>
      </c>
      <c r="V461">
        <v>144164864.86486486</v>
      </c>
      <c r="W461">
        <v>18155</v>
      </c>
      <c r="X461">
        <v>18196</v>
      </c>
    </row>
    <row r="462" spans="1:24">
      <c r="A462" s="7" t="s">
        <v>559</v>
      </c>
      <c r="B462" s="16" t="s">
        <v>479</v>
      </c>
      <c r="C462">
        <v>560764483.75042951</v>
      </c>
      <c r="D462">
        <v>498999262.83686715</v>
      </c>
      <c r="E462">
        <v>956756.75675675599</v>
      </c>
      <c r="F462">
        <v>5286486.4864864834</v>
      </c>
      <c r="G462">
        <v>261</v>
      </c>
      <c r="H462">
        <v>212</v>
      </c>
      <c r="I462">
        <v>22</v>
      </c>
      <c r="J462">
        <v>27</v>
      </c>
      <c r="K462">
        <v>2</v>
      </c>
      <c r="M462">
        <v>269</v>
      </c>
      <c r="N462">
        <v>248</v>
      </c>
      <c r="O462">
        <v>53091531.531531535</v>
      </c>
      <c r="P462">
        <v>74819009.009009004</v>
      </c>
      <c r="Q462">
        <v>20</v>
      </c>
      <c r="R462">
        <v>191</v>
      </c>
      <c r="S462">
        <v>159958754.95495495</v>
      </c>
      <c r="T462">
        <v>152921921.62162164</v>
      </c>
      <c r="U462">
        <v>52539099.099099107</v>
      </c>
      <c r="V462">
        <v>66693513.51351352</v>
      </c>
      <c r="W462">
        <v>7982</v>
      </c>
      <c r="X462">
        <v>7868</v>
      </c>
    </row>
    <row r="463" spans="1:24">
      <c r="A463" s="7" t="s">
        <v>560</v>
      </c>
      <c r="B463" s="16" t="s">
        <v>236</v>
      </c>
      <c r="C463">
        <v>90023405.663708076</v>
      </c>
      <c r="D463">
        <v>85600099.455940813</v>
      </c>
      <c r="E463">
        <v>50450.450450452001</v>
      </c>
      <c r="F463">
        <v>1427927.927927928</v>
      </c>
      <c r="G463">
        <v>49</v>
      </c>
      <c r="H463">
        <v>35</v>
      </c>
      <c r="I463">
        <v>6</v>
      </c>
      <c r="J463">
        <v>1</v>
      </c>
      <c r="M463">
        <v>53</v>
      </c>
      <c r="N463">
        <v>60</v>
      </c>
      <c r="O463">
        <v>5490990.9909909908</v>
      </c>
      <c r="P463">
        <v>7042072.072072072</v>
      </c>
      <c r="Q463">
        <v>3</v>
      </c>
      <c r="R463">
        <v>20</v>
      </c>
      <c r="S463">
        <v>34828198.198198199</v>
      </c>
      <c r="T463">
        <v>31156772.97297297</v>
      </c>
      <c r="U463">
        <v>6165225.2252252251</v>
      </c>
      <c r="V463">
        <v>7106756.7567567546</v>
      </c>
      <c r="W463">
        <v>2517</v>
      </c>
      <c r="X463">
        <v>2178</v>
      </c>
    </row>
    <row r="464" spans="1:24">
      <c r="A464" s="7" t="s">
        <v>561</v>
      </c>
      <c r="B464" s="16" t="s">
        <v>60</v>
      </c>
      <c r="C464">
        <v>82291270.915058449</v>
      </c>
      <c r="D464">
        <v>81476914.356645748</v>
      </c>
      <c r="E464">
        <v>769819.81981982198</v>
      </c>
      <c r="F464">
        <v>3351351.3513513501</v>
      </c>
      <c r="G464">
        <v>26</v>
      </c>
      <c r="H464">
        <v>27</v>
      </c>
      <c r="I464">
        <v>4</v>
      </c>
      <c r="J464">
        <v>8</v>
      </c>
      <c r="M464">
        <v>29</v>
      </c>
      <c r="N464">
        <v>46</v>
      </c>
      <c r="O464">
        <v>16868918.918918915</v>
      </c>
      <c r="P464">
        <v>23215315.315315317</v>
      </c>
      <c r="Q464">
        <v>76</v>
      </c>
      <c r="R464">
        <v>88</v>
      </c>
      <c r="S464">
        <v>28387567.567567568</v>
      </c>
      <c r="T464">
        <v>29103243.243243244</v>
      </c>
      <c r="U464">
        <v>17203963.963963963</v>
      </c>
      <c r="V464">
        <v>22111891.891891893</v>
      </c>
      <c r="W464">
        <v>1200</v>
      </c>
      <c r="X464">
        <v>1274</v>
      </c>
    </row>
    <row r="465" spans="1:24">
      <c r="A465" s="7" t="s">
        <v>562</v>
      </c>
      <c r="B465" s="16" t="s">
        <v>563</v>
      </c>
      <c r="C465">
        <v>459787723.38729078</v>
      </c>
      <c r="D465">
        <v>455470550.07481736</v>
      </c>
      <c r="E465">
        <v>1655118065.7657659</v>
      </c>
      <c r="F465">
        <v>1038961637.8378378</v>
      </c>
      <c r="G465">
        <v>540</v>
      </c>
      <c r="H465">
        <v>711</v>
      </c>
      <c r="I465">
        <v>26</v>
      </c>
      <c r="J465">
        <v>28</v>
      </c>
      <c r="K465">
        <v>4</v>
      </c>
      <c r="M465">
        <v>1307</v>
      </c>
      <c r="N465">
        <v>1135</v>
      </c>
      <c r="O465">
        <v>737212306.30630636</v>
      </c>
      <c r="P465">
        <v>735724520.72072077</v>
      </c>
      <c r="Q465">
        <v>532</v>
      </c>
      <c r="R465">
        <v>409</v>
      </c>
      <c r="S465">
        <v>245192783.78378376</v>
      </c>
      <c r="T465">
        <v>192621306.3063063</v>
      </c>
      <c r="U465">
        <v>729636754.95495498</v>
      </c>
      <c r="V465">
        <v>573488106.30630636</v>
      </c>
      <c r="W465">
        <v>9185</v>
      </c>
      <c r="X465">
        <v>8682</v>
      </c>
    </row>
    <row r="466" spans="1:24">
      <c r="A466" s="7" t="s">
        <v>564</v>
      </c>
      <c r="B466" s="16" t="s">
        <v>563</v>
      </c>
      <c r="C466">
        <v>621819544.56196558</v>
      </c>
      <c r="D466">
        <v>621968383.21124804</v>
      </c>
      <c r="E466">
        <v>38453513.51351352</v>
      </c>
      <c r="F466">
        <v>119880720.72072072</v>
      </c>
      <c r="G466">
        <v>257</v>
      </c>
      <c r="H466">
        <v>219</v>
      </c>
      <c r="I466">
        <v>35</v>
      </c>
      <c r="J466">
        <v>29</v>
      </c>
      <c r="K466">
        <v>1</v>
      </c>
      <c r="M466">
        <v>298</v>
      </c>
      <c r="N466">
        <v>255</v>
      </c>
      <c r="O466">
        <v>119655945.94594595</v>
      </c>
      <c r="P466">
        <v>88358875.675675675</v>
      </c>
      <c r="Q466">
        <v>653</v>
      </c>
      <c r="R466">
        <v>238</v>
      </c>
      <c r="S466">
        <v>254911891.8918919</v>
      </c>
      <c r="T466">
        <v>257449099.0990991</v>
      </c>
      <c r="U466">
        <v>80830810.810810819</v>
      </c>
      <c r="V466">
        <v>80120000</v>
      </c>
      <c r="W466">
        <v>11844</v>
      </c>
      <c r="X466">
        <v>12037</v>
      </c>
    </row>
    <row r="467" spans="1:24">
      <c r="A467" s="7" t="s">
        <v>565</v>
      </c>
      <c r="B467" s="16" t="s">
        <v>563</v>
      </c>
      <c r="C467">
        <v>463784509.71484917</v>
      </c>
      <c r="D467">
        <v>447486643.9860332</v>
      </c>
      <c r="E467">
        <v>2583513.5135135148</v>
      </c>
      <c r="F467">
        <v>7672252.2522522602</v>
      </c>
      <c r="G467">
        <v>242</v>
      </c>
      <c r="H467">
        <v>358</v>
      </c>
      <c r="I467">
        <v>26</v>
      </c>
      <c r="J467">
        <v>29</v>
      </c>
      <c r="K467">
        <v>1</v>
      </c>
      <c r="M467">
        <v>635</v>
      </c>
      <c r="N467">
        <v>424</v>
      </c>
      <c r="O467">
        <v>266586846.84684685</v>
      </c>
      <c r="P467">
        <v>59376712.612612605</v>
      </c>
      <c r="Q467">
        <v>441</v>
      </c>
      <c r="R467">
        <v>503</v>
      </c>
      <c r="S467">
        <v>206369045.04504505</v>
      </c>
      <c r="T467">
        <v>197014819.81981981</v>
      </c>
      <c r="U467">
        <v>260355225.22522521</v>
      </c>
      <c r="V467">
        <v>57327297.297297299</v>
      </c>
      <c r="W467">
        <v>12065</v>
      </c>
      <c r="X467">
        <v>11458</v>
      </c>
    </row>
    <row r="468" spans="1:24">
      <c r="A468" s="7" t="s">
        <v>566</v>
      </c>
      <c r="B468" s="16" t="s">
        <v>563</v>
      </c>
      <c r="C468">
        <v>287295599.27784783</v>
      </c>
      <c r="D468">
        <v>295833482.19561499</v>
      </c>
      <c r="E468">
        <v>418918.91891891998</v>
      </c>
      <c r="F468">
        <v>5754954.9549549567</v>
      </c>
      <c r="G468">
        <v>68</v>
      </c>
      <c r="H468">
        <v>35</v>
      </c>
      <c r="I468">
        <v>16</v>
      </c>
      <c r="J468">
        <v>16</v>
      </c>
      <c r="M468">
        <v>76</v>
      </c>
      <c r="N468">
        <v>43</v>
      </c>
      <c r="O468">
        <v>42563020.720720723</v>
      </c>
      <c r="P468">
        <v>62802718.918918923</v>
      </c>
      <c r="Q468">
        <v>87</v>
      </c>
      <c r="R468">
        <v>626</v>
      </c>
      <c r="S468">
        <v>165703621.62162164</v>
      </c>
      <c r="T468">
        <v>174657351.35135135</v>
      </c>
      <c r="U468">
        <v>41883378.378378384</v>
      </c>
      <c r="V468">
        <v>62019414.414414413</v>
      </c>
      <c r="W468">
        <v>6640</v>
      </c>
      <c r="X468">
        <v>6776</v>
      </c>
    </row>
    <row r="469" spans="1:24">
      <c r="A469" s="7" t="s">
        <v>567</v>
      </c>
      <c r="B469" s="16" t="s">
        <v>563</v>
      </c>
      <c r="C469">
        <v>173096230.80660135</v>
      </c>
      <c r="D469">
        <v>172408938.30761543</v>
      </c>
      <c r="E469">
        <v>540090.09009008901</v>
      </c>
      <c r="F469">
        <v>4718918.9189189188</v>
      </c>
      <c r="G469">
        <v>67</v>
      </c>
      <c r="H469">
        <v>54</v>
      </c>
      <c r="I469">
        <v>19</v>
      </c>
      <c r="J469">
        <v>18</v>
      </c>
      <c r="K469">
        <v>6</v>
      </c>
      <c r="M469">
        <v>74</v>
      </c>
      <c r="N469">
        <v>64</v>
      </c>
      <c r="O469">
        <v>45013108.108108111</v>
      </c>
      <c r="P469">
        <v>37006974.774774775</v>
      </c>
      <c r="Q469">
        <v>529</v>
      </c>
      <c r="R469">
        <v>116</v>
      </c>
      <c r="S469">
        <v>70103873.873873875</v>
      </c>
      <c r="T469">
        <v>70458682.882882878</v>
      </c>
      <c r="U469">
        <v>46526261.261261262</v>
      </c>
      <c r="V469">
        <v>37055045.045045048</v>
      </c>
      <c r="W469">
        <v>4655</v>
      </c>
      <c r="X469">
        <v>4682</v>
      </c>
    </row>
    <row r="470" spans="1:24">
      <c r="A470" s="7" t="s">
        <v>568</v>
      </c>
      <c r="B470" s="16" t="s">
        <v>48</v>
      </c>
      <c r="C470">
        <v>405378268.35252041</v>
      </c>
      <c r="D470">
        <v>387107231.73187482</v>
      </c>
      <c r="E470">
        <v>207657.657657659</v>
      </c>
      <c r="F470">
        <v>1468468.4684684691</v>
      </c>
      <c r="G470">
        <v>25</v>
      </c>
      <c r="H470">
        <v>48</v>
      </c>
      <c r="I470">
        <v>8</v>
      </c>
      <c r="J470">
        <v>7</v>
      </c>
      <c r="M470">
        <v>30</v>
      </c>
      <c r="N470">
        <v>66</v>
      </c>
      <c r="O470">
        <v>17324774.774774775</v>
      </c>
      <c r="P470">
        <v>16666666.666666668</v>
      </c>
      <c r="R470">
        <v>32</v>
      </c>
      <c r="S470">
        <v>46300169.369369365</v>
      </c>
      <c r="T470">
        <v>48351418.018018015</v>
      </c>
      <c r="U470">
        <v>19763783.783783782</v>
      </c>
      <c r="V470">
        <v>19762162.162162162</v>
      </c>
      <c r="W470">
        <v>6311</v>
      </c>
      <c r="X470">
        <v>6159</v>
      </c>
    </row>
    <row r="471" spans="1:24">
      <c r="A471" s="7" t="s">
        <v>569</v>
      </c>
      <c r="B471" s="16" t="s">
        <v>169</v>
      </c>
      <c r="C471">
        <v>5258977084.1878662</v>
      </c>
      <c r="D471">
        <v>5209509979.4213362</v>
      </c>
      <c r="E471">
        <v>4083904536.9369369</v>
      </c>
      <c r="F471">
        <v>3345185752.2522521</v>
      </c>
      <c r="G471">
        <v>1535</v>
      </c>
      <c r="H471">
        <v>1922</v>
      </c>
      <c r="I471">
        <v>106</v>
      </c>
      <c r="J471">
        <v>73</v>
      </c>
      <c r="K471">
        <v>10</v>
      </c>
      <c r="M471">
        <v>1964</v>
      </c>
      <c r="N471">
        <v>2412</v>
      </c>
      <c r="O471">
        <v>1569381988.2882884</v>
      </c>
      <c r="P471">
        <v>723520819.81981981</v>
      </c>
      <c r="Q471">
        <v>2194</v>
      </c>
      <c r="R471">
        <v>1591</v>
      </c>
      <c r="S471">
        <v>3311327264.8648648</v>
      </c>
      <c r="T471">
        <v>3119181991.8918915</v>
      </c>
      <c r="U471">
        <v>1533773196.3963964</v>
      </c>
      <c r="V471">
        <v>694977877.47747755</v>
      </c>
      <c r="W471">
        <v>57322</v>
      </c>
      <c r="X471">
        <v>54249</v>
      </c>
    </row>
    <row r="472" spans="1:24">
      <c r="A472" s="7" t="s">
        <v>570</v>
      </c>
      <c r="B472" s="16" t="s">
        <v>220</v>
      </c>
      <c r="C472">
        <v>378226779.68796921</v>
      </c>
      <c r="D472">
        <v>337013867.7406106</v>
      </c>
      <c r="E472">
        <v>966666.66666666896</v>
      </c>
      <c r="F472">
        <v>1590990.9909909931</v>
      </c>
      <c r="G472">
        <v>48</v>
      </c>
      <c r="H472">
        <v>34</v>
      </c>
      <c r="I472">
        <v>9</v>
      </c>
      <c r="J472">
        <v>6</v>
      </c>
      <c r="M472">
        <v>55</v>
      </c>
      <c r="N472">
        <v>36</v>
      </c>
      <c r="O472">
        <v>12940090.090090092</v>
      </c>
      <c r="P472">
        <v>14541171.171171172</v>
      </c>
      <c r="Q472">
        <v>151</v>
      </c>
      <c r="S472">
        <v>62063783.783783786</v>
      </c>
      <c r="T472">
        <v>55307369.369369365</v>
      </c>
      <c r="U472">
        <v>13868198.198198197</v>
      </c>
      <c r="V472">
        <v>13677027.027027026</v>
      </c>
      <c r="W472">
        <v>5107</v>
      </c>
      <c r="X472">
        <v>5143</v>
      </c>
    </row>
    <row r="473" spans="1:24">
      <c r="A473" s="7" t="s">
        <v>571</v>
      </c>
      <c r="B473" s="16" t="s">
        <v>85</v>
      </c>
      <c r="C473">
        <v>417703638.50040454</v>
      </c>
      <c r="D473">
        <v>419453228.9869836</v>
      </c>
      <c r="E473">
        <v>839639.63963963895</v>
      </c>
      <c r="F473">
        <v>818918.91891892103</v>
      </c>
      <c r="G473">
        <v>26</v>
      </c>
      <c r="H473">
        <v>53</v>
      </c>
      <c r="I473">
        <v>3</v>
      </c>
      <c r="J473">
        <v>3</v>
      </c>
      <c r="K473">
        <v>1</v>
      </c>
      <c r="M473">
        <v>29</v>
      </c>
      <c r="N473">
        <v>57</v>
      </c>
      <c r="O473">
        <v>19578378.37837838</v>
      </c>
      <c r="P473">
        <v>52838817.117117122</v>
      </c>
      <c r="Q473">
        <v>190</v>
      </c>
      <c r="R473">
        <v>12</v>
      </c>
      <c r="S473">
        <v>95366560.360360369</v>
      </c>
      <c r="T473">
        <v>94771052.252252251</v>
      </c>
      <c r="U473">
        <v>19194504.504504506</v>
      </c>
      <c r="V473">
        <v>41373963.963963971</v>
      </c>
      <c r="W473">
        <v>5030</v>
      </c>
      <c r="X473">
        <v>4997</v>
      </c>
    </row>
    <row r="474" spans="1:24">
      <c r="A474" s="7" t="s">
        <v>572</v>
      </c>
      <c r="B474" s="16" t="s">
        <v>479</v>
      </c>
      <c r="C474">
        <v>210232093.10339737</v>
      </c>
      <c r="D474">
        <v>216688146.53451741</v>
      </c>
      <c r="E474">
        <v>2655855.855855858</v>
      </c>
      <c r="F474">
        <v>3854054.0540540451</v>
      </c>
      <c r="G474">
        <v>117</v>
      </c>
      <c r="H474">
        <v>147</v>
      </c>
      <c r="I474">
        <v>7</v>
      </c>
      <c r="J474">
        <v>8</v>
      </c>
      <c r="M474">
        <v>226</v>
      </c>
      <c r="N474">
        <v>192</v>
      </c>
      <c r="O474">
        <v>41181621.621621624</v>
      </c>
      <c r="P474">
        <v>38196126.126126118</v>
      </c>
      <c r="Q474">
        <v>18</v>
      </c>
      <c r="R474">
        <v>207</v>
      </c>
      <c r="S474">
        <v>76945270.270270273</v>
      </c>
      <c r="T474">
        <v>89269715.315315306</v>
      </c>
      <c r="U474">
        <v>39940900.900900893</v>
      </c>
      <c r="V474">
        <v>38337297.297297306</v>
      </c>
      <c r="W474">
        <v>5313</v>
      </c>
      <c r="X474">
        <v>5077</v>
      </c>
    </row>
    <row r="475" spans="1:24">
      <c r="A475" s="7" t="s">
        <v>573</v>
      </c>
      <c r="B475" s="16" t="s">
        <v>94</v>
      </c>
      <c r="C475">
        <v>587722446.18216729</v>
      </c>
      <c r="D475">
        <v>561810086.25737679</v>
      </c>
      <c r="E475">
        <v>61213513.513513513</v>
      </c>
      <c r="F475">
        <v>72167117.117117122</v>
      </c>
      <c r="G475">
        <v>155</v>
      </c>
      <c r="H475">
        <v>112</v>
      </c>
      <c r="I475">
        <v>13</v>
      </c>
      <c r="J475">
        <v>11</v>
      </c>
      <c r="K475">
        <v>2</v>
      </c>
      <c r="M475">
        <v>173</v>
      </c>
      <c r="N475">
        <v>144</v>
      </c>
      <c r="O475">
        <v>513267567.56756753</v>
      </c>
      <c r="P475">
        <v>873535135.13513505</v>
      </c>
      <c r="Q475">
        <v>216</v>
      </c>
      <c r="R475">
        <v>207</v>
      </c>
      <c r="S475">
        <v>127307409.9099099</v>
      </c>
      <c r="T475">
        <v>119949802.25225225</v>
      </c>
      <c r="U475">
        <v>43549639.639639638</v>
      </c>
      <c r="V475">
        <v>45294144.144144148</v>
      </c>
      <c r="W475">
        <v>9557</v>
      </c>
      <c r="X475">
        <v>9648</v>
      </c>
    </row>
    <row r="476" spans="1:24">
      <c r="A476" s="7" t="s">
        <v>678</v>
      </c>
      <c r="B476" s="16" t="s">
        <v>136</v>
      </c>
      <c r="E476">
        <v>39707207.20720721</v>
      </c>
      <c r="F476">
        <v>18227927.927927926</v>
      </c>
      <c r="O476">
        <v>282432.43243243202</v>
      </c>
      <c r="P476">
        <v>27027.027027027001</v>
      </c>
    </row>
    <row r="477" spans="1:24">
      <c r="A477" s="7" t="s">
        <v>574</v>
      </c>
      <c r="B477" s="16" t="s">
        <v>307</v>
      </c>
      <c r="C477">
        <v>1330570762.5873821</v>
      </c>
      <c r="D477">
        <v>1305325386.85747</v>
      </c>
      <c r="E477">
        <v>15108648.648648648</v>
      </c>
      <c r="F477">
        <v>23738468.46846848</v>
      </c>
      <c r="G477">
        <v>522</v>
      </c>
      <c r="H477">
        <v>622</v>
      </c>
      <c r="I477">
        <v>20</v>
      </c>
      <c r="J477">
        <v>29</v>
      </c>
      <c r="K477">
        <v>3</v>
      </c>
      <c r="M477">
        <v>572</v>
      </c>
      <c r="N477">
        <v>729</v>
      </c>
      <c r="O477">
        <v>1832438918.9189188</v>
      </c>
      <c r="P477">
        <v>1484262252.2522521</v>
      </c>
      <c r="Q477">
        <v>1594</v>
      </c>
      <c r="R477">
        <v>1787</v>
      </c>
      <c r="S477">
        <v>527757945.94594592</v>
      </c>
      <c r="T477">
        <v>536837070.72072071</v>
      </c>
      <c r="U477">
        <v>114378693.6936937</v>
      </c>
      <c r="V477">
        <v>286576756.75675678</v>
      </c>
      <c r="W477">
        <v>32792</v>
      </c>
      <c r="X477">
        <v>32869</v>
      </c>
    </row>
    <row r="478" spans="1:24">
      <c r="A478" s="7" t="s">
        <v>673</v>
      </c>
      <c r="B478" s="16" t="s">
        <v>224</v>
      </c>
      <c r="E478">
        <v>148918873.87387389</v>
      </c>
      <c r="F478">
        <v>148433873.87387389</v>
      </c>
      <c r="O478">
        <v>7278378.3783783782</v>
      </c>
      <c r="P478">
        <v>3872072.072072072</v>
      </c>
    </row>
    <row r="479" spans="1:24">
      <c r="A479" s="7" t="s">
        <v>10</v>
      </c>
      <c r="B479" s="16" t="s">
        <v>193</v>
      </c>
      <c r="C479">
        <v>227280311.20126522</v>
      </c>
      <c r="D479">
        <v>212903205.19938436</v>
      </c>
      <c r="G479">
        <v>20</v>
      </c>
      <c r="H479">
        <v>30</v>
      </c>
      <c r="J479">
        <v>0</v>
      </c>
      <c r="M479">
        <v>21</v>
      </c>
      <c r="N479">
        <v>33</v>
      </c>
      <c r="S479">
        <v>131250270.27027027</v>
      </c>
      <c r="T479">
        <v>127014565.76576576</v>
      </c>
      <c r="V479">
        <v>19639.639639640001</v>
      </c>
      <c r="W479">
        <v>3856</v>
      </c>
      <c r="X479">
        <v>3755</v>
      </c>
    </row>
    <row r="480" spans="1:24">
      <c r="A480" s="7" t="s">
        <v>575</v>
      </c>
      <c r="B480" s="16" t="s">
        <v>87</v>
      </c>
      <c r="C480">
        <v>5012279.3494683588</v>
      </c>
      <c r="D480">
        <v>4581389.4128333395</v>
      </c>
      <c r="G480">
        <v>7</v>
      </c>
      <c r="H480">
        <v>22</v>
      </c>
      <c r="M480">
        <v>9</v>
      </c>
      <c r="N480">
        <v>23</v>
      </c>
      <c r="S480">
        <v>1492342.342342342</v>
      </c>
      <c r="T480">
        <v>1589926.1261261259</v>
      </c>
      <c r="W480">
        <v>241</v>
      </c>
      <c r="X480">
        <v>254</v>
      </c>
    </row>
    <row r="481" spans="1:24">
      <c r="A481" s="7" t="s">
        <v>576</v>
      </c>
      <c r="B481" s="16" t="s">
        <v>283</v>
      </c>
      <c r="C481">
        <v>319315436.86295396</v>
      </c>
      <c r="D481">
        <v>298197164.96326131</v>
      </c>
      <c r="E481">
        <v>35135.135135135002</v>
      </c>
      <c r="F481">
        <v>413513.51351351402</v>
      </c>
      <c r="G481">
        <v>42</v>
      </c>
      <c r="H481">
        <v>56</v>
      </c>
      <c r="I481">
        <v>2</v>
      </c>
      <c r="J481">
        <v>1</v>
      </c>
      <c r="M481">
        <v>42</v>
      </c>
      <c r="N481">
        <v>58</v>
      </c>
      <c r="O481">
        <v>16881981.981981982</v>
      </c>
      <c r="P481">
        <v>20737837.837837841</v>
      </c>
      <c r="Q481">
        <v>7</v>
      </c>
      <c r="R481">
        <v>8</v>
      </c>
      <c r="S481">
        <v>43038648.648648649</v>
      </c>
      <c r="T481">
        <v>46992180.180180177</v>
      </c>
      <c r="U481">
        <v>14399099.0990991</v>
      </c>
      <c r="V481">
        <v>20659729.729729731</v>
      </c>
      <c r="W481">
        <v>3654</v>
      </c>
      <c r="X481">
        <v>3580</v>
      </c>
    </row>
    <row r="482" spans="1:24">
      <c r="A482" s="7" t="s">
        <v>577</v>
      </c>
      <c r="B482" s="16" t="s">
        <v>307</v>
      </c>
      <c r="C482">
        <v>1323773473.6716182</v>
      </c>
      <c r="D482">
        <v>1285106292.8197043</v>
      </c>
      <c r="E482">
        <v>3796666.6666666712</v>
      </c>
      <c r="F482">
        <v>14874324.32432434</v>
      </c>
      <c r="G482">
        <v>726</v>
      </c>
      <c r="H482">
        <v>636</v>
      </c>
      <c r="I482">
        <v>39</v>
      </c>
      <c r="J482">
        <v>40</v>
      </c>
      <c r="K482">
        <v>1</v>
      </c>
      <c r="M482">
        <v>855</v>
      </c>
      <c r="N482">
        <v>737</v>
      </c>
      <c r="O482">
        <v>110358873.87387387</v>
      </c>
      <c r="P482">
        <v>151430090.09009007</v>
      </c>
      <c r="Q482">
        <v>1254</v>
      </c>
      <c r="R482">
        <v>1367</v>
      </c>
      <c r="S482">
        <v>518256738.73873878</v>
      </c>
      <c r="T482">
        <v>537626954.95495498</v>
      </c>
      <c r="U482">
        <v>108559189.18918918</v>
      </c>
      <c r="V482">
        <v>136909819.81981984</v>
      </c>
      <c r="W482">
        <v>39616</v>
      </c>
      <c r="X482">
        <v>38930</v>
      </c>
    </row>
    <row r="483" spans="1:24">
      <c r="A483" s="7" t="s">
        <v>578</v>
      </c>
      <c r="B483" s="16" t="s">
        <v>330</v>
      </c>
      <c r="C483">
        <v>1251366106.525058</v>
      </c>
      <c r="D483">
        <v>1186639644.8393447</v>
      </c>
      <c r="E483">
        <v>3360810.8108108179</v>
      </c>
      <c r="F483">
        <v>13437837.837837834</v>
      </c>
      <c r="G483">
        <v>470</v>
      </c>
      <c r="H483">
        <v>459</v>
      </c>
      <c r="I483">
        <v>60</v>
      </c>
      <c r="J483">
        <v>40</v>
      </c>
      <c r="K483">
        <v>17</v>
      </c>
      <c r="M483">
        <v>561</v>
      </c>
      <c r="N483">
        <v>677</v>
      </c>
      <c r="O483">
        <v>193899819.81981981</v>
      </c>
      <c r="P483">
        <v>289570450.45045042</v>
      </c>
      <c r="Q483">
        <v>783</v>
      </c>
      <c r="R483">
        <v>669</v>
      </c>
      <c r="S483">
        <v>251108441.44144145</v>
      </c>
      <c r="T483">
        <v>255747756.75675678</v>
      </c>
      <c r="U483">
        <v>189102882.88288289</v>
      </c>
      <c r="V483">
        <v>285195585.58558559</v>
      </c>
      <c r="W483">
        <v>27697</v>
      </c>
      <c r="X483">
        <v>28265</v>
      </c>
    </row>
    <row r="484" spans="1:24">
      <c r="A484" s="7" t="s">
        <v>579</v>
      </c>
      <c r="B484" s="16" t="s">
        <v>66</v>
      </c>
      <c r="C484">
        <v>194974198.23662707</v>
      </c>
      <c r="D484">
        <v>184620500.14690965</v>
      </c>
      <c r="E484">
        <v>145495.495495496</v>
      </c>
      <c r="F484">
        <v>448198.19819819898</v>
      </c>
      <c r="G484">
        <v>41</v>
      </c>
      <c r="H484">
        <v>33</v>
      </c>
      <c r="I484">
        <v>1</v>
      </c>
      <c r="J484">
        <v>2</v>
      </c>
      <c r="M484">
        <v>46</v>
      </c>
      <c r="N484">
        <v>35</v>
      </c>
      <c r="O484">
        <v>3194774.774774774</v>
      </c>
      <c r="P484">
        <v>4815315.3153153174</v>
      </c>
      <c r="Q484">
        <v>24</v>
      </c>
      <c r="R484">
        <v>15</v>
      </c>
      <c r="S484">
        <v>47288963.963963963</v>
      </c>
      <c r="T484">
        <v>49621481.981981985</v>
      </c>
      <c r="U484">
        <v>3248558.5585585581</v>
      </c>
      <c r="V484">
        <v>4421081.081081084</v>
      </c>
      <c r="W484">
        <v>3332</v>
      </c>
      <c r="X484">
        <v>3393</v>
      </c>
    </row>
    <row r="485" spans="1:24">
      <c r="A485" s="7" t="s">
        <v>580</v>
      </c>
      <c r="B485" s="16" t="s">
        <v>236</v>
      </c>
      <c r="C485">
        <v>542315.49578673998</v>
      </c>
      <c r="D485">
        <v>12051.991542125999</v>
      </c>
      <c r="E485">
        <v>103557882.88288288</v>
      </c>
      <c r="F485">
        <v>115833333.33333333</v>
      </c>
      <c r="M485">
        <v>1</v>
      </c>
      <c r="O485">
        <v>1468918.9189189191</v>
      </c>
      <c r="P485">
        <v>2507432.4324324322</v>
      </c>
      <c r="S485">
        <v>425450.45045045001</v>
      </c>
      <c r="W485">
        <v>854</v>
      </c>
    </row>
    <row r="486" spans="1:24">
      <c r="A486" s="7" t="s">
        <v>581</v>
      </c>
      <c r="B486" s="16" t="s">
        <v>62</v>
      </c>
      <c r="C486">
        <v>475393217.81729561</v>
      </c>
      <c r="D486">
        <v>473239704.75628984</v>
      </c>
      <c r="E486">
        <v>2102252.2522522602</v>
      </c>
      <c r="F486">
        <v>4310810.8108108211</v>
      </c>
      <c r="G486">
        <v>101</v>
      </c>
      <c r="H486">
        <v>276</v>
      </c>
      <c r="I486">
        <v>19</v>
      </c>
      <c r="J486">
        <v>21</v>
      </c>
      <c r="M486">
        <v>105</v>
      </c>
      <c r="N486">
        <v>283</v>
      </c>
      <c r="O486">
        <v>44902252.252252258</v>
      </c>
      <c r="P486">
        <v>44115135.135135137</v>
      </c>
      <c r="Q486">
        <v>197</v>
      </c>
      <c r="R486">
        <v>188</v>
      </c>
      <c r="S486">
        <v>105493774.77477479</v>
      </c>
      <c r="T486">
        <v>107866333.33333333</v>
      </c>
      <c r="U486">
        <v>40688648.648648649</v>
      </c>
      <c r="V486">
        <v>42778828.828828834</v>
      </c>
      <c r="W486">
        <v>6701</v>
      </c>
      <c r="X486">
        <v>6759</v>
      </c>
    </row>
    <row r="487" spans="1:24">
      <c r="A487" s="7" t="s">
        <v>582</v>
      </c>
      <c r="B487" s="16" t="s">
        <v>48</v>
      </c>
      <c r="C487">
        <v>471607384.55595213</v>
      </c>
      <c r="D487">
        <v>425677278.39350581</v>
      </c>
      <c r="E487">
        <v>2769459.4594594599</v>
      </c>
      <c r="F487">
        <v>3206801.801801804</v>
      </c>
      <c r="G487">
        <v>176</v>
      </c>
      <c r="H487">
        <v>53</v>
      </c>
      <c r="I487">
        <v>9</v>
      </c>
      <c r="J487">
        <v>5</v>
      </c>
      <c r="M487">
        <v>182</v>
      </c>
      <c r="N487">
        <v>63</v>
      </c>
      <c r="O487">
        <v>213879639.63963965</v>
      </c>
      <c r="P487">
        <v>152415585.58558559</v>
      </c>
      <c r="Q487">
        <v>165</v>
      </c>
      <c r="R487">
        <v>114</v>
      </c>
      <c r="S487">
        <v>68829549.54954955</v>
      </c>
      <c r="T487">
        <v>62495851.351351351</v>
      </c>
      <c r="U487">
        <v>180888648.64864865</v>
      </c>
      <c r="V487">
        <v>145387297.2972973</v>
      </c>
      <c r="W487">
        <v>5047</v>
      </c>
      <c r="X487">
        <v>5289</v>
      </c>
    </row>
    <row r="488" spans="1:24">
      <c r="A488" s="7" t="s">
        <v>583</v>
      </c>
      <c r="B488" s="16" t="s">
        <v>54</v>
      </c>
      <c r="C488">
        <v>85626886.429809958</v>
      </c>
      <c r="D488">
        <v>84245328.378460869</v>
      </c>
      <c r="E488">
        <v>926351.35135135404</v>
      </c>
      <c r="F488">
        <v>1990990.9909909931</v>
      </c>
      <c r="G488">
        <v>21</v>
      </c>
      <c r="H488">
        <v>27</v>
      </c>
      <c r="I488">
        <v>8</v>
      </c>
      <c r="J488">
        <v>15</v>
      </c>
      <c r="M488">
        <v>24</v>
      </c>
      <c r="N488">
        <v>79</v>
      </c>
      <c r="O488">
        <v>15448648.648648648</v>
      </c>
      <c r="P488">
        <v>14377117.117117116</v>
      </c>
      <c r="Q488">
        <v>134</v>
      </c>
      <c r="R488">
        <v>242</v>
      </c>
      <c r="S488">
        <v>21549504.504504506</v>
      </c>
      <c r="T488">
        <v>21798119.369369369</v>
      </c>
      <c r="U488">
        <v>15627297.297297295</v>
      </c>
      <c r="V488">
        <v>11828378.378378378</v>
      </c>
      <c r="W488">
        <v>1965</v>
      </c>
      <c r="X488">
        <v>2069</v>
      </c>
    </row>
    <row r="489" spans="1:24">
      <c r="A489" s="7" t="s">
        <v>584</v>
      </c>
      <c r="B489" s="16" t="s">
        <v>70</v>
      </c>
      <c r="C489">
        <v>223555155.05166</v>
      </c>
      <c r="D489">
        <v>217749801.13354641</v>
      </c>
      <c r="E489">
        <v>1000000</v>
      </c>
      <c r="F489">
        <v>133333.33333333401</v>
      </c>
      <c r="G489">
        <v>32</v>
      </c>
      <c r="H489">
        <v>57</v>
      </c>
      <c r="J489">
        <v>1</v>
      </c>
      <c r="K489">
        <v>2</v>
      </c>
      <c r="M489">
        <v>36</v>
      </c>
      <c r="N489">
        <v>59</v>
      </c>
      <c r="O489">
        <v>2433333.333333334</v>
      </c>
      <c r="P489">
        <v>1981981.9819819841</v>
      </c>
      <c r="Q489">
        <v>11</v>
      </c>
      <c r="R489">
        <v>8</v>
      </c>
      <c r="S489">
        <v>96797432.432432428</v>
      </c>
      <c r="T489">
        <v>100124108.10810812</v>
      </c>
      <c r="U489">
        <v>2485135.1351351351</v>
      </c>
      <c r="V489">
        <v>2165765.7657657671</v>
      </c>
      <c r="W489">
        <v>3697</v>
      </c>
      <c r="X489">
        <v>3743</v>
      </c>
    </row>
    <row r="490" spans="1:24">
      <c r="A490" s="7" t="s">
        <v>585</v>
      </c>
      <c r="B490" s="16" t="s">
        <v>330</v>
      </c>
      <c r="C490">
        <v>864321297.88877118</v>
      </c>
      <c r="D490">
        <v>820799047.40688562</v>
      </c>
      <c r="E490">
        <v>3338063.0630630641</v>
      </c>
      <c r="F490">
        <v>10211486.486486487</v>
      </c>
      <c r="G490">
        <v>417</v>
      </c>
      <c r="H490">
        <v>361</v>
      </c>
      <c r="I490">
        <v>27</v>
      </c>
      <c r="J490">
        <v>20</v>
      </c>
      <c r="K490">
        <v>16</v>
      </c>
      <c r="M490">
        <v>479</v>
      </c>
      <c r="N490">
        <v>421</v>
      </c>
      <c r="O490">
        <v>53238018.018018015</v>
      </c>
      <c r="P490">
        <v>106717837.83783785</v>
      </c>
      <c r="Q490">
        <v>406</v>
      </c>
      <c r="R490">
        <v>411</v>
      </c>
      <c r="S490">
        <v>215588140.54054055</v>
      </c>
      <c r="T490">
        <v>238734904.5045045</v>
      </c>
      <c r="U490">
        <v>51618241.441441439</v>
      </c>
      <c r="V490">
        <v>97088558.558558553</v>
      </c>
      <c r="W490">
        <v>20471</v>
      </c>
      <c r="X490">
        <v>20174</v>
      </c>
    </row>
    <row r="491" spans="1:24">
      <c r="A491" s="7" t="s">
        <v>586</v>
      </c>
      <c r="B491" s="16" t="s">
        <v>66</v>
      </c>
      <c r="C491">
        <v>375960880.52176619</v>
      </c>
      <c r="D491">
        <v>393073434.34165287</v>
      </c>
      <c r="E491">
        <v>314418493.6936937</v>
      </c>
      <c r="F491">
        <v>1168136686.4864864</v>
      </c>
      <c r="G491">
        <v>267</v>
      </c>
      <c r="H491">
        <v>269</v>
      </c>
      <c r="I491">
        <v>14</v>
      </c>
      <c r="J491">
        <v>21</v>
      </c>
      <c r="K491">
        <v>1</v>
      </c>
      <c r="M491">
        <v>637</v>
      </c>
      <c r="N491">
        <v>614</v>
      </c>
      <c r="O491">
        <v>66679864.864864863</v>
      </c>
      <c r="P491">
        <v>103218558.55855855</v>
      </c>
      <c r="Q491">
        <v>389</v>
      </c>
      <c r="R491">
        <v>164</v>
      </c>
      <c r="S491">
        <v>196449657.65765765</v>
      </c>
      <c r="T491">
        <v>194826520.72072071</v>
      </c>
      <c r="U491">
        <v>42997387.387387395</v>
      </c>
      <c r="V491">
        <v>82409637.837837845</v>
      </c>
      <c r="W491">
        <v>10493</v>
      </c>
      <c r="X491">
        <v>10808</v>
      </c>
    </row>
    <row r="492" spans="1:24">
      <c r="A492" s="7" t="s">
        <v>11</v>
      </c>
      <c r="B492" s="16" t="s">
        <v>193</v>
      </c>
      <c r="C492">
        <v>174905785.84565765</v>
      </c>
      <c r="D492">
        <v>186153567.32108951</v>
      </c>
      <c r="E492">
        <v>343243.24324324197</v>
      </c>
      <c r="F492">
        <v>636936.93693693797</v>
      </c>
      <c r="G492">
        <v>58</v>
      </c>
      <c r="H492">
        <v>43</v>
      </c>
      <c r="I492">
        <v>6</v>
      </c>
      <c r="J492">
        <v>0</v>
      </c>
      <c r="M492">
        <v>62</v>
      </c>
      <c r="N492">
        <v>49</v>
      </c>
      <c r="O492">
        <v>5757657.6576576559</v>
      </c>
      <c r="P492">
        <v>15006306.306306308</v>
      </c>
      <c r="Q492">
        <v>44</v>
      </c>
      <c r="S492">
        <v>59066936.936936937</v>
      </c>
      <c r="T492">
        <v>63002641.891891889</v>
      </c>
      <c r="U492">
        <v>6391261.2612612601</v>
      </c>
      <c r="V492">
        <v>15645225.225225223</v>
      </c>
      <c r="W492">
        <v>3785</v>
      </c>
      <c r="X492">
        <v>3978</v>
      </c>
    </row>
    <row r="493" spans="1:24">
      <c r="A493" s="7" t="s">
        <v>12</v>
      </c>
      <c r="B493" s="16" t="s">
        <v>193</v>
      </c>
      <c r="C493">
        <v>124661326.29518302</v>
      </c>
      <c r="D493">
        <v>126603178.68930535</v>
      </c>
      <c r="E493">
        <v>67567.567567564998</v>
      </c>
      <c r="F493">
        <v>5449549.5495495489</v>
      </c>
      <c r="G493">
        <v>47</v>
      </c>
      <c r="H493">
        <v>21</v>
      </c>
      <c r="I493">
        <v>8</v>
      </c>
      <c r="J493">
        <v>6</v>
      </c>
      <c r="M493">
        <v>56</v>
      </c>
      <c r="N493">
        <v>22</v>
      </c>
      <c r="O493">
        <v>10420270.270270268</v>
      </c>
      <c r="P493">
        <v>22656756.756756756</v>
      </c>
      <c r="Q493">
        <v>70</v>
      </c>
      <c r="S493">
        <v>49077378.378378376</v>
      </c>
      <c r="T493">
        <v>49368486.486486487</v>
      </c>
      <c r="U493">
        <v>6641351.3513513487</v>
      </c>
      <c r="V493">
        <v>26363243.243243244</v>
      </c>
      <c r="W493">
        <v>2801</v>
      </c>
      <c r="X493">
        <v>2878</v>
      </c>
    </row>
    <row r="494" spans="1:24">
      <c r="A494" s="7" t="s">
        <v>587</v>
      </c>
      <c r="B494" s="16" t="s">
        <v>60</v>
      </c>
      <c r="C494">
        <v>98482157.575604081</v>
      </c>
      <c r="D494">
        <v>99107680.540759102</v>
      </c>
      <c r="E494">
        <v>209909.90990991099</v>
      </c>
      <c r="F494">
        <v>1747747.7477477479</v>
      </c>
      <c r="G494">
        <v>56</v>
      </c>
      <c r="H494">
        <v>46</v>
      </c>
      <c r="I494">
        <v>6</v>
      </c>
      <c r="J494">
        <v>10</v>
      </c>
      <c r="K494">
        <v>1</v>
      </c>
      <c r="M494">
        <v>60</v>
      </c>
      <c r="N494">
        <v>65</v>
      </c>
      <c r="O494">
        <v>15137837.837837836</v>
      </c>
      <c r="P494">
        <v>16945945.945945948</v>
      </c>
      <c r="Q494">
        <v>99</v>
      </c>
      <c r="R494">
        <v>161</v>
      </c>
      <c r="S494">
        <v>37485810.810810804</v>
      </c>
      <c r="T494">
        <v>36389722.972972974</v>
      </c>
      <c r="U494">
        <v>14661531.53153153</v>
      </c>
      <c r="V494">
        <v>15597207.207207208</v>
      </c>
      <c r="W494">
        <v>1755</v>
      </c>
      <c r="X494">
        <v>1829</v>
      </c>
    </row>
    <row r="495" spans="1:24">
      <c r="A495" s="7" t="s">
        <v>588</v>
      </c>
      <c r="B495" s="16" t="s">
        <v>307</v>
      </c>
      <c r="C495">
        <v>2864716119.6598001</v>
      </c>
      <c r="D495">
        <v>2792609602.9369602</v>
      </c>
      <c r="E495">
        <v>2413588254.9549546</v>
      </c>
      <c r="F495">
        <v>2488631727.0270271</v>
      </c>
      <c r="G495">
        <v>1340</v>
      </c>
      <c r="H495">
        <v>1599</v>
      </c>
      <c r="I495">
        <v>93</v>
      </c>
      <c r="J495">
        <v>98</v>
      </c>
      <c r="K495">
        <v>5</v>
      </c>
      <c r="M495">
        <v>1584</v>
      </c>
      <c r="N495">
        <v>1874</v>
      </c>
      <c r="O495">
        <v>275054909.9099099</v>
      </c>
      <c r="P495">
        <v>615296068.46846843</v>
      </c>
      <c r="Q495">
        <v>2354</v>
      </c>
      <c r="R495">
        <v>3765</v>
      </c>
      <c r="S495">
        <v>889935502.70270276</v>
      </c>
      <c r="T495">
        <v>895684463.96396387</v>
      </c>
      <c r="U495">
        <v>277247387.38738739</v>
      </c>
      <c r="V495">
        <v>567042837.83783782</v>
      </c>
      <c r="W495">
        <v>65719</v>
      </c>
      <c r="X495">
        <v>65426</v>
      </c>
    </row>
    <row r="496" spans="1:24">
      <c r="A496" s="7" t="s">
        <v>589</v>
      </c>
      <c r="B496" s="16" t="s">
        <v>52</v>
      </c>
      <c r="C496">
        <v>694186125.59266973</v>
      </c>
      <c r="D496">
        <v>675417511.99175024</v>
      </c>
      <c r="E496">
        <v>16016486.486486487</v>
      </c>
      <c r="F496">
        <v>11767865.765765768</v>
      </c>
      <c r="G496">
        <v>147</v>
      </c>
      <c r="H496">
        <v>186</v>
      </c>
      <c r="I496">
        <v>15</v>
      </c>
      <c r="J496">
        <v>23</v>
      </c>
      <c r="M496">
        <v>228</v>
      </c>
      <c r="N496">
        <v>515</v>
      </c>
      <c r="O496">
        <v>69193153.153153151</v>
      </c>
      <c r="P496">
        <v>188620666.66666666</v>
      </c>
      <c r="Q496">
        <v>605</v>
      </c>
      <c r="R496">
        <v>1923</v>
      </c>
      <c r="S496">
        <v>274640725.22522521</v>
      </c>
      <c r="T496">
        <v>268686135.13513511</v>
      </c>
      <c r="U496">
        <v>67705855.855855852</v>
      </c>
      <c r="V496">
        <v>212874459.45945945</v>
      </c>
      <c r="W496">
        <v>14275</v>
      </c>
      <c r="X496">
        <v>14351</v>
      </c>
    </row>
    <row r="497" spans="1:24">
      <c r="A497" s="7" t="s">
        <v>590</v>
      </c>
      <c r="B497" s="16" t="s">
        <v>54</v>
      </c>
      <c r="C497">
        <v>54890223.788677789</v>
      </c>
      <c r="D497">
        <v>57272249.884412542</v>
      </c>
      <c r="E497">
        <v>918693.69369369396</v>
      </c>
      <c r="F497">
        <v>1236036.036036036</v>
      </c>
      <c r="G497">
        <v>15</v>
      </c>
      <c r="H497">
        <v>23</v>
      </c>
      <c r="I497">
        <v>3</v>
      </c>
      <c r="J497">
        <v>3</v>
      </c>
      <c r="M497">
        <v>19</v>
      </c>
      <c r="N497">
        <v>29</v>
      </c>
      <c r="O497">
        <v>14190090.090090089</v>
      </c>
      <c r="P497">
        <v>15164414.414414415</v>
      </c>
      <c r="Q497">
        <v>24</v>
      </c>
      <c r="R497">
        <v>19</v>
      </c>
      <c r="S497">
        <v>18499360.360360362</v>
      </c>
      <c r="T497">
        <v>18109121.62162162</v>
      </c>
      <c r="U497">
        <v>9649459.4594594594</v>
      </c>
      <c r="V497">
        <v>13507927.927927928</v>
      </c>
      <c r="W497">
        <v>1500</v>
      </c>
      <c r="X497">
        <v>1578</v>
      </c>
    </row>
    <row r="498" spans="1:24">
      <c r="A498" s="7" t="s">
        <v>591</v>
      </c>
      <c r="B498" s="16" t="s">
        <v>169</v>
      </c>
      <c r="C498">
        <v>1664655917.2035577</v>
      </c>
      <c r="D498">
        <v>1630636582.299674</v>
      </c>
      <c r="E498">
        <v>7847927.9279279318</v>
      </c>
      <c r="F498">
        <v>9883558.5585585609</v>
      </c>
      <c r="G498">
        <v>194</v>
      </c>
      <c r="H498">
        <v>171</v>
      </c>
      <c r="I498">
        <v>31</v>
      </c>
      <c r="J498">
        <v>15</v>
      </c>
      <c r="K498">
        <v>3</v>
      </c>
      <c r="M498">
        <v>239</v>
      </c>
      <c r="N498">
        <v>230</v>
      </c>
      <c r="O498">
        <v>717738954.05405402</v>
      </c>
      <c r="P498">
        <v>312341619.81981987</v>
      </c>
      <c r="Q498">
        <v>430</v>
      </c>
      <c r="R498">
        <v>324</v>
      </c>
      <c r="S498">
        <v>556765800</v>
      </c>
      <c r="T498">
        <v>550857833.33333325</v>
      </c>
      <c r="U498">
        <v>195655855.85585588</v>
      </c>
      <c r="V498">
        <v>281721981.98198199</v>
      </c>
      <c r="W498">
        <v>23844</v>
      </c>
      <c r="X498">
        <v>23496</v>
      </c>
    </row>
    <row r="499" spans="1:24">
      <c r="A499" s="7" t="s">
        <v>592</v>
      </c>
      <c r="B499" s="16" t="s">
        <v>87</v>
      </c>
      <c r="C499">
        <v>9044899.7912750356</v>
      </c>
      <c r="D499">
        <v>8151432.1648944151</v>
      </c>
      <c r="G499">
        <v>1</v>
      </c>
      <c r="H499">
        <v>2</v>
      </c>
      <c r="M499">
        <v>1</v>
      </c>
      <c r="N499">
        <v>2</v>
      </c>
      <c r="S499">
        <v>2655036.036036035</v>
      </c>
      <c r="T499">
        <v>1995675.675675675</v>
      </c>
      <c r="W499">
        <v>295</v>
      </c>
      <c r="X499">
        <v>352</v>
      </c>
    </row>
    <row r="500" spans="1:24">
      <c r="A500" s="7" t="s">
        <v>593</v>
      </c>
      <c r="B500" s="16" t="s">
        <v>143</v>
      </c>
      <c r="C500">
        <v>113845026.00403529</v>
      </c>
      <c r="D500">
        <v>114151296.48841074</v>
      </c>
      <c r="E500">
        <v>30630.630630632</v>
      </c>
      <c r="F500">
        <v>345720.72072072199</v>
      </c>
      <c r="G500">
        <v>22</v>
      </c>
      <c r="H500">
        <v>30</v>
      </c>
      <c r="I500">
        <v>4</v>
      </c>
      <c r="J500">
        <v>3</v>
      </c>
      <c r="M500">
        <v>23</v>
      </c>
      <c r="N500">
        <v>31</v>
      </c>
      <c r="O500">
        <v>15147747.747747747</v>
      </c>
      <c r="P500">
        <v>10923423.423423424</v>
      </c>
      <c r="Q500">
        <v>50</v>
      </c>
      <c r="R500">
        <v>27</v>
      </c>
      <c r="S500">
        <v>10392072.072072072</v>
      </c>
      <c r="T500">
        <v>11824180.180180181</v>
      </c>
      <c r="U500">
        <v>5210540.5405405397</v>
      </c>
      <c r="V500">
        <v>6222252.2522522518</v>
      </c>
      <c r="W500">
        <v>1662</v>
      </c>
      <c r="X500">
        <v>1554</v>
      </c>
    </row>
    <row r="501" spans="1:24">
      <c r="A501" s="7" t="s">
        <v>594</v>
      </c>
      <c r="B501" s="16" t="s">
        <v>290</v>
      </c>
      <c r="C501">
        <v>31410283.313278191</v>
      </c>
      <c r="D501">
        <v>31074088.935717121</v>
      </c>
      <c r="E501">
        <v>18702702.702702705</v>
      </c>
      <c r="F501">
        <v>18693693.693693697</v>
      </c>
      <c r="G501">
        <v>1</v>
      </c>
      <c r="H501">
        <v>1</v>
      </c>
      <c r="I501">
        <v>1</v>
      </c>
      <c r="M501">
        <v>1</v>
      </c>
      <c r="N501">
        <v>2</v>
      </c>
      <c r="O501">
        <v>99099.099099098996</v>
      </c>
      <c r="P501">
        <v>54054.054054054002</v>
      </c>
      <c r="S501">
        <v>1096711.7117117119</v>
      </c>
      <c r="T501">
        <v>1722792.7927927929</v>
      </c>
      <c r="W501">
        <v>668</v>
      </c>
      <c r="X501">
        <v>685</v>
      </c>
    </row>
    <row r="502" spans="1:24">
      <c r="A502" s="7" t="s">
        <v>595</v>
      </c>
      <c r="B502" s="16" t="s">
        <v>92</v>
      </c>
      <c r="C502">
        <v>41969250.089266255</v>
      </c>
      <c r="D502">
        <v>42270454.307438858</v>
      </c>
      <c r="E502">
        <v>46256326.126126125</v>
      </c>
      <c r="F502">
        <v>158911790.09009007</v>
      </c>
      <c r="G502">
        <v>15</v>
      </c>
      <c r="H502">
        <v>29</v>
      </c>
      <c r="I502">
        <v>1</v>
      </c>
      <c r="J502">
        <v>2</v>
      </c>
      <c r="M502">
        <v>15</v>
      </c>
      <c r="N502">
        <v>29</v>
      </c>
      <c r="O502">
        <v>6763333.333333334</v>
      </c>
      <c r="P502">
        <v>13375135.135135137</v>
      </c>
      <c r="Q502">
        <v>27</v>
      </c>
      <c r="R502">
        <v>14</v>
      </c>
      <c r="S502">
        <v>6341036.036036036</v>
      </c>
      <c r="T502">
        <v>7157468.4684684686</v>
      </c>
      <c r="U502">
        <v>1538738.738738738</v>
      </c>
      <c r="V502">
        <v>4309099.0990990987</v>
      </c>
      <c r="W502">
        <v>553</v>
      </c>
      <c r="X502">
        <v>678</v>
      </c>
    </row>
    <row r="503" spans="1:24">
      <c r="A503" s="7" t="s">
        <v>596</v>
      </c>
      <c r="B503" s="16" t="s">
        <v>50</v>
      </c>
      <c r="C503">
        <v>150859863.76162609</v>
      </c>
      <c r="D503">
        <v>140140209.3484078</v>
      </c>
      <c r="E503">
        <v>1357657.6576576601</v>
      </c>
      <c r="F503">
        <v>4754729.7297297278</v>
      </c>
      <c r="G503">
        <v>17</v>
      </c>
      <c r="H503">
        <v>12</v>
      </c>
      <c r="I503">
        <v>5</v>
      </c>
      <c r="J503">
        <v>9</v>
      </c>
      <c r="M503">
        <v>19</v>
      </c>
      <c r="N503">
        <v>14</v>
      </c>
      <c r="O503">
        <v>25116396.396396395</v>
      </c>
      <c r="P503">
        <v>46505405.40540541</v>
      </c>
      <c r="Q503">
        <v>225</v>
      </c>
      <c r="R503">
        <v>72</v>
      </c>
      <c r="S503">
        <v>31460309.909909911</v>
      </c>
      <c r="T503">
        <v>30394771.171171173</v>
      </c>
      <c r="U503">
        <v>25995585.585585587</v>
      </c>
      <c r="V503">
        <v>44356216.216216214</v>
      </c>
      <c r="W503">
        <v>1634</v>
      </c>
      <c r="X503">
        <v>1646</v>
      </c>
    </row>
    <row r="504" spans="1:24">
      <c r="A504" s="7" t="s">
        <v>597</v>
      </c>
      <c r="B504" s="16" t="s">
        <v>89</v>
      </c>
      <c r="C504">
        <v>214521753.99092278</v>
      </c>
      <c r="D504">
        <v>212908495.52233225</v>
      </c>
      <c r="E504">
        <v>1106756.7567567599</v>
      </c>
      <c r="F504">
        <v>2794594.5945945992</v>
      </c>
      <c r="G504">
        <v>88</v>
      </c>
      <c r="H504">
        <v>58</v>
      </c>
      <c r="I504">
        <v>22</v>
      </c>
      <c r="J504">
        <v>19</v>
      </c>
      <c r="K504">
        <v>2</v>
      </c>
      <c r="M504">
        <v>135</v>
      </c>
      <c r="N504">
        <v>373</v>
      </c>
      <c r="O504">
        <v>13930630.630630627</v>
      </c>
      <c r="P504">
        <v>17041801.801801801</v>
      </c>
      <c r="Q504">
        <v>192</v>
      </c>
      <c r="R504">
        <v>292</v>
      </c>
      <c r="S504">
        <v>51357331.531531535</v>
      </c>
      <c r="T504">
        <v>53174211.711711712</v>
      </c>
      <c r="U504">
        <v>14849099.0990991</v>
      </c>
      <c r="V504">
        <v>16339729.729729723</v>
      </c>
      <c r="W504">
        <v>3579</v>
      </c>
      <c r="X504">
        <v>3480</v>
      </c>
    </row>
    <row r="505" spans="1:24">
      <c r="A505" s="7" t="s">
        <v>598</v>
      </c>
      <c r="B505" s="16" t="s">
        <v>143</v>
      </c>
      <c r="C505">
        <v>80653778.503058806</v>
      </c>
      <c r="D505">
        <v>81495461.740768284</v>
      </c>
      <c r="E505">
        <v>1254954.9549549541</v>
      </c>
      <c r="F505">
        <v>1420945.945945946</v>
      </c>
      <c r="G505">
        <v>16</v>
      </c>
      <c r="H505">
        <v>12</v>
      </c>
      <c r="I505">
        <v>4</v>
      </c>
      <c r="J505">
        <v>3</v>
      </c>
      <c r="M505">
        <v>16</v>
      </c>
      <c r="N505">
        <v>13</v>
      </c>
      <c r="O505">
        <v>6668557.6576576577</v>
      </c>
      <c r="P505">
        <v>7397297.297297297</v>
      </c>
      <c r="Q505">
        <v>42</v>
      </c>
      <c r="R505">
        <v>173</v>
      </c>
      <c r="S505">
        <v>5240720.7207207214</v>
      </c>
      <c r="T505">
        <v>7796495.4954954972</v>
      </c>
      <c r="U505">
        <v>4361711.7117117122</v>
      </c>
      <c r="V505">
        <v>5634504.5045045046</v>
      </c>
      <c r="W505">
        <v>1141</v>
      </c>
      <c r="X505">
        <v>1180</v>
      </c>
    </row>
    <row r="506" spans="1:24">
      <c r="A506" s="7" t="s">
        <v>599</v>
      </c>
      <c r="B506" s="16" t="s">
        <v>125</v>
      </c>
      <c r="C506">
        <v>217209764.35044494</v>
      </c>
      <c r="D506">
        <v>211092571.43009737</v>
      </c>
      <c r="E506">
        <v>114159459.45945945</v>
      </c>
      <c r="F506">
        <v>210579279.27927926</v>
      </c>
      <c r="G506">
        <v>16</v>
      </c>
      <c r="H506">
        <v>24</v>
      </c>
      <c r="I506">
        <v>0</v>
      </c>
      <c r="J506">
        <v>1</v>
      </c>
      <c r="M506">
        <v>19</v>
      </c>
      <c r="N506">
        <v>28</v>
      </c>
      <c r="O506">
        <v>53255045.045045048</v>
      </c>
      <c r="P506">
        <v>24194954.954954956</v>
      </c>
      <c r="Q506">
        <v>45</v>
      </c>
      <c r="R506">
        <v>45</v>
      </c>
      <c r="S506">
        <v>81532972.972972974</v>
      </c>
      <c r="T506">
        <v>81456340.540540546</v>
      </c>
      <c r="U506">
        <v>30541081.081081081</v>
      </c>
      <c r="V506">
        <v>19642342.342342343</v>
      </c>
      <c r="W506">
        <v>3197</v>
      </c>
      <c r="X506">
        <v>3466</v>
      </c>
    </row>
    <row r="507" spans="1:24">
      <c r="A507" s="7" t="s">
        <v>600</v>
      </c>
      <c r="B507" s="16" t="s">
        <v>50</v>
      </c>
      <c r="C507">
        <v>516005252.5300321</v>
      </c>
      <c r="D507">
        <v>514919500.23152119</v>
      </c>
      <c r="E507">
        <v>2911351.3513513538</v>
      </c>
      <c r="F507">
        <v>6972072.072072072</v>
      </c>
      <c r="G507">
        <v>74</v>
      </c>
      <c r="H507">
        <v>50</v>
      </c>
      <c r="I507">
        <v>12</v>
      </c>
      <c r="J507">
        <v>11</v>
      </c>
      <c r="K507">
        <v>1</v>
      </c>
      <c r="M507">
        <v>80</v>
      </c>
      <c r="N507">
        <v>62</v>
      </c>
      <c r="O507">
        <v>80677747.747747749</v>
      </c>
      <c r="P507">
        <v>94418018.018018022</v>
      </c>
      <c r="Q507">
        <v>190</v>
      </c>
      <c r="R507">
        <v>59</v>
      </c>
      <c r="S507">
        <v>216231288.2882883</v>
      </c>
      <c r="T507">
        <v>215792864.86486486</v>
      </c>
      <c r="U507">
        <v>81874864.864864871</v>
      </c>
      <c r="V507">
        <v>93873063.06306307</v>
      </c>
      <c r="W507">
        <v>7560</v>
      </c>
      <c r="X507">
        <v>7777</v>
      </c>
    </row>
    <row r="508" spans="1:24">
      <c r="A508" s="7" t="s">
        <v>601</v>
      </c>
      <c r="B508" s="16" t="s">
        <v>89</v>
      </c>
      <c r="C508">
        <v>155134404.09740484</v>
      </c>
      <c r="D508">
        <v>150792452.90855926</v>
      </c>
      <c r="E508">
        <v>91833063.06306307</v>
      </c>
      <c r="F508">
        <v>142268468.46846849</v>
      </c>
      <c r="G508">
        <v>20</v>
      </c>
      <c r="H508">
        <v>15</v>
      </c>
      <c r="I508">
        <v>11</v>
      </c>
      <c r="J508">
        <v>13</v>
      </c>
      <c r="M508">
        <v>20</v>
      </c>
      <c r="N508">
        <v>15</v>
      </c>
      <c r="O508">
        <v>19219099.0990991</v>
      </c>
      <c r="P508">
        <v>33260540.540540542</v>
      </c>
      <c r="Q508">
        <v>92</v>
      </c>
      <c r="R508">
        <v>774</v>
      </c>
      <c r="S508">
        <v>45601756.756756753</v>
      </c>
      <c r="T508">
        <v>45676009.009009011</v>
      </c>
      <c r="U508">
        <v>13598918.918918919</v>
      </c>
      <c r="V508">
        <v>31058198.198198199</v>
      </c>
      <c r="W508">
        <v>2508</v>
      </c>
      <c r="X508">
        <v>2506</v>
      </c>
    </row>
    <row r="509" spans="1:24">
      <c r="A509" s="7" t="s">
        <v>602</v>
      </c>
      <c r="B509" s="16" t="s">
        <v>87</v>
      </c>
      <c r="C509">
        <v>141487266.76971495</v>
      </c>
      <c r="D509">
        <v>132275344.91843332</v>
      </c>
      <c r="E509">
        <v>763063.06306306296</v>
      </c>
      <c r="F509">
        <v>1157657.657657658</v>
      </c>
      <c r="G509">
        <v>23</v>
      </c>
      <c r="H509">
        <v>15</v>
      </c>
      <c r="I509">
        <v>1</v>
      </c>
      <c r="J509">
        <v>1</v>
      </c>
      <c r="K509">
        <v>1</v>
      </c>
      <c r="M509">
        <v>24</v>
      </c>
      <c r="N509">
        <v>17</v>
      </c>
      <c r="O509">
        <v>2078378.378378378</v>
      </c>
      <c r="P509">
        <v>2202702.702702702</v>
      </c>
      <c r="S509">
        <v>11245763.963963963</v>
      </c>
      <c r="T509">
        <v>10738090.09009009</v>
      </c>
      <c r="U509">
        <v>1484727.927927928</v>
      </c>
      <c r="V509">
        <v>1888378.378378378</v>
      </c>
      <c r="W509">
        <v>1276</v>
      </c>
      <c r="X509">
        <v>1270</v>
      </c>
    </row>
    <row r="510" spans="1:24">
      <c r="A510" s="7" t="s">
        <v>603</v>
      </c>
      <c r="B510" s="16" t="s">
        <v>140</v>
      </c>
      <c r="C510">
        <v>1069833986.2303694</v>
      </c>
      <c r="D510">
        <v>1072187299.2673285</v>
      </c>
      <c r="E510">
        <v>650822813.51351345</v>
      </c>
      <c r="F510">
        <v>858967172.97297287</v>
      </c>
      <c r="G510">
        <v>431</v>
      </c>
      <c r="H510">
        <v>849</v>
      </c>
      <c r="I510">
        <v>33</v>
      </c>
      <c r="J510">
        <v>50</v>
      </c>
      <c r="K510">
        <v>15</v>
      </c>
      <c r="M510">
        <v>711</v>
      </c>
      <c r="N510">
        <v>1236</v>
      </c>
      <c r="O510">
        <v>206410720.72072071</v>
      </c>
      <c r="P510">
        <v>218208378.37837836</v>
      </c>
      <c r="Q510">
        <v>920</v>
      </c>
      <c r="R510">
        <v>726</v>
      </c>
      <c r="S510">
        <v>261629805.4054054</v>
      </c>
      <c r="T510">
        <v>265726900.9009009</v>
      </c>
      <c r="U510">
        <v>201937927.92792794</v>
      </c>
      <c r="V510">
        <v>214605135.13513514</v>
      </c>
      <c r="W510">
        <v>19012</v>
      </c>
      <c r="X510">
        <v>18854</v>
      </c>
    </row>
    <row r="511" spans="1:24">
      <c r="A511" s="7" t="s">
        <v>679</v>
      </c>
      <c r="B511" s="16" t="s">
        <v>214</v>
      </c>
      <c r="E511">
        <v>178848648.64864865</v>
      </c>
      <c r="F511">
        <v>99977477.477477476</v>
      </c>
      <c r="O511">
        <v>391891.89189189201</v>
      </c>
      <c r="P511">
        <v>1803603.603603604</v>
      </c>
    </row>
    <row r="512" spans="1:24">
      <c r="A512" s="7" t="s">
        <v>604</v>
      </c>
      <c r="B512" s="16" t="s">
        <v>224</v>
      </c>
      <c r="C512">
        <v>215413947.20989075</v>
      </c>
      <c r="D512">
        <v>177406465.17997989</v>
      </c>
      <c r="E512">
        <v>1825225.2252252251</v>
      </c>
      <c r="F512">
        <v>86486.486486485999</v>
      </c>
      <c r="G512">
        <v>39</v>
      </c>
      <c r="H512">
        <v>29</v>
      </c>
      <c r="I512">
        <v>1</v>
      </c>
      <c r="J512">
        <v>1</v>
      </c>
      <c r="M512">
        <v>44</v>
      </c>
      <c r="N512">
        <v>36</v>
      </c>
      <c r="O512">
        <v>6937297.297297297</v>
      </c>
      <c r="P512">
        <v>5311711.7117117113</v>
      </c>
      <c r="Q512">
        <v>15</v>
      </c>
      <c r="S512">
        <v>71131045.045045048</v>
      </c>
      <c r="T512">
        <v>58149018.018018015</v>
      </c>
      <c r="U512">
        <v>7199279.2792792786</v>
      </c>
      <c r="V512">
        <v>5984684.6846846836</v>
      </c>
      <c r="W512">
        <v>3744</v>
      </c>
      <c r="X512">
        <v>3598</v>
      </c>
    </row>
    <row r="513" spans="1:24">
      <c r="A513" s="7" t="s">
        <v>605</v>
      </c>
      <c r="B513" s="16" t="s">
        <v>224</v>
      </c>
      <c r="C513">
        <v>121245876.44014113</v>
      </c>
      <c r="D513">
        <v>116742077.19811587</v>
      </c>
      <c r="E513">
        <v>12612.612612613</v>
      </c>
      <c r="F513">
        <v>84684.684684684005</v>
      </c>
      <c r="G513">
        <v>33</v>
      </c>
      <c r="H513">
        <v>44</v>
      </c>
      <c r="I513">
        <v>1</v>
      </c>
      <c r="J513">
        <v>1</v>
      </c>
      <c r="M513">
        <v>35</v>
      </c>
      <c r="N513">
        <v>45</v>
      </c>
      <c r="O513">
        <v>8073873.8738738727</v>
      </c>
      <c r="P513">
        <v>6390990.9909909908</v>
      </c>
      <c r="Q513">
        <v>10</v>
      </c>
      <c r="R513">
        <v>3</v>
      </c>
      <c r="S513">
        <v>34946081.081081077</v>
      </c>
      <c r="T513">
        <v>35460936.936936937</v>
      </c>
      <c r="U513">
        <v>7910270.2702702703</v>
      </c>
      <c r="V513">
        <v>7133963.963963964</v>
      </c>
      <c r="W513">
        <v>2949</v>
      </c>
      <c r="X513">
        <v>3052</v>
      </c>
    </row>
    <row r="514" spans="1:24">
      <c r="A514" s="7" t="s">
        <v>606</v>
      </c>
      <c r="B514" s="16" t="s">
        <v>241</v>
      </c>
      <c r="C514">
        <v>109680926.91185912</v>
      </c>
      <c r="D514">
        <v>103301533.73385331</v>
      </c>
      <c r="E514">
        <v>14414.414414415</v>
      </c>
      <c r="F514">
        <v>857657.65765765798</v>
      </c>
      <c r="G514">
        <v>53</v>
      </c>
      <c r="H514">
        <v>55</v>
      </c>
      <c r="I514">
        <v>2</v>
      </c>
      <c r="J514">
        <v>1</v>
      </c>
      <c r="M514">
        <v>57</v>
      </c>
      <c r="N514">
        <v>61</v>
      </c>
      <c r="O514">
        <v>8126486.4864864852</v>
      </c>
      <c r="P514">
        <v>12950450.450450448</v>
      </c>
      <c r="R514">
        <v>93</v>
      </c>
      <c r="S514">
        <v>31759945.945945945</v>
      </c>
      <c r="T514">
        <v>31241495.495495494</v>
      </c>
      <c r="U514">
        <v>8653063.0630630609</v>
      </c>
      <c r="V514">
        <v>12140810.810810808</v>
      </c>
      <c r="W514">
        <v>2227</v>
      </c>
      <c r="X514">
        <v>2338</v>
      </c>
    </row>
    <row r="515" spans="1:24">
      <c r="A515" s="7" t="s">
        <v>607</v>
      </c>
      <c r="B515" s="16" t="s">
        <v>140</v>
      </c>
      <c r="C515">
        <v>31884199.44393291</v>
      </c>
      <c r="D515">
        <v>30699133.453099489</v>
      </c>
      <c r="F515">
        <v>2702.7027027029999</v>
      </c>
      <c r="G515">
        <v>1</v>
      </c>
      <c r="H515">
        <v>4</v>
      </c>
      <c r="M515">
        <v>1</v>
      </c>
      <c r="N515">
        <v>4</v>
      </c>
      <c r="O515">
        <v>947747.74774774804</v>
      </c>
      <c r="P515">
        <v>678378.37837837799</v>
      </c>
      <c r="S515">
        <v>3708063.0630630632</v>
      </c>
      <c r="T515">
        <v>3542873.8738738741</v>
      </c>
      <c r="U515">
        <v>881081.08108108095</v>
      </c>
      <c r="V515">
        <v>687117.11711711704</v>
      </c>
      <c r="W515">
        <v>344</v>
      </c>
      <c r="X515">
        <v>343</v>
      </c>
    </row>
    <row r="516" spans="1:24">
      <c r="A516" s="7" t="s">
        <v>608</v>
      </c>
      <c r="B516" s="16" t="s">
        <v>189</v>
      </c>
      <c r="C516">
        <v>123855437.70379633</v>
      </c>
      <c r="D516">
        <v>111745802.55909508</v>
      </c>
      <c r="E516">
        <v>512387.38738738699</v>
      </c>
      <c r="F516">
        <v>2184684.684684685</v>
      </c>
      <c r="G516">
        <v>46</v>
      </c>
      <c r="H516">
        <v>63</v>
      </c>
      <c r="I516">
        <v>4</v>
      </c>
      <c r="J516">
        <v>3</v>
      </c>
      <c r="M516">
        <v>47</v>
      </c>
      <c r="N516">
        <v>67</v>
      </c>
      <c r="O516">
        <v>15559459.459459459</v>
      </c>
      <c r="P516">
        <v>17157657.657657657</v>
      </c>
      <c r="Q516">
        <v>54</v>
      </c>
      <c r="R516">
        <v>4</v>
      </c>
      <c r="S516">
        <v>25507027.02702703</v>
      </c>
      <c r="T516">
        <v>28049247.747747749</v>
      </c>
      <c r="U516">
        <v>10784594.594594596</v>
      </c>
      <c r="V516">
        <v>10876936.936936935</v>
      </c>
      <c r="W516">
        <v>1662</v>
      </c>
      <c r="X516">
        <v>1660</v>
      </c>
    </row>
    <row r="517" spans="1:24">
      <c r="A517" s="7" t="s">
        <v>609</v>
      </c>
      <c r="B517" s="16" t="s">
        <v>189</v>
      </c>
      <c r="C517">
        <v>304279865.94698399</v>
      </c>
      <c r="D517">
        <v>298020594.38279527</v>
      </c>
      <c r="E517">
        <v>27927.927927928002</v>
      </c>
      <c r="F517">
        <v>459459.45945946098</v>
      </c>
      <c r="G517">
        <v>125</v>
      </c>
      <c r="H517">
        <v>91</v>
      </c>
      <c r="I517">
        <v>6</v>
      </c>
      <c r="J517">
        <v>6</v>
      </c>
      <c r="M517">
        <v>139</v>
      </c>
      <c r="N517">
        <v>97</v>
      </c>
      <c r="O517">
        <v>17333333.333333332</v>
      </c>
      <c r="P517">
        <v>19341081.081081081</v>
      </c>
      <c r="Q517">
        <v>50</v>
      </c>
      <c r="R517">
        <v>54</v>
      </c>
      <c r="S517">
        <v>42944234.234234229</v>
      </c>
      <c r="T517">
        <v>43414756.75675676</v>
      </c>
      <c r="U517">
        <v>11656126.126126125</v>
      </c>
      <c r="V517">
        <v>11135315.315315315</v>
      </c>
      <c r="W517">
        <v>4035</v>
      </c>
      <c r="X517">
        <v>3980</v>
      </c>
    </row>
    <row r="518" spans="1:24">
      <c r="A518" s="7" t="s">
        <v>610</v>
      </c>
      <c r="B518" s="16" t="s">
        <v>189</v>
      </c>
      <c r="C518">
        <v>135925995.39242458</v>
      </c>
      <c r="D518">
        <v>127915809.2800779</v>
      </c>
      <c r="E518">
        <v>412837.83783783898</v>
      </c>
      <c r="F518">
        <v>798648.64864865004</v>
      </c>
      <c r="G518">
        <v>37</v>
      </c>
      <c r="H518">
        <v>22</v>
      </c>
      <c r="I518">
        <v>4</v>
      </c>
      <c r="J518">
        <v>3</v>
      </c>
      <c r="M518">
        <v>37</v>
      </c>
      <c r="N518">
        <v>24</v>
      </c>
      <c r="O518">
        <v>8100900.9009009004</v>
      </c>
      <c r="P518">
        <v>8205585.5855855849</v>
      </c>
      <c r="Q518">
        <v>42</v>
      </c>
      <c r="R518">
        <v>186</v>
      </c>
      <c r="S518">
        <v>16277882.88288288</v>
      </c>
      <c r="T518">
        <v>15879450.45045045</v>
      </c>
      <c r="U518">
        <v>6219279.2792792777</v>
      </c>
      <c r="V518">
        <v>6794144.1441441448</v>
      </c>
      <c r="W518">
        <v>1690</v>
      </c>
      <c r="X518">
        <v>1686</v>
      </c>
    </row>
    <row r="519" spans="1:24">
      <c r="A519" s="7" t="s">
        <v>611</v>
      </c>
      <c r="B519" s="16" t="s">
        <v>189</v>
      </c>
      <c r="C519">
        <v>42299934.063190654</v>
      </c>
      <c r="D519">
        <v>48227039.459167063</v>
      </c>
      <c r="E519">
        <v>5416216.2162162159</v>
      </c>
      <c r="F519">
        <v>42328378.378378376</v>
      </c>
      <c r="G519">
        <v>25</v>
      </c>
      <c r="H519">
        <v>23</v>
      </c>
      <c r="I519">
        <v>2</v>
      </c>
      <c r="J519">
        <v>2</v>
      </c>
      <c r="M519">
        <v>27</v>
      </c>
      <c r="N519">
        <v>26</v>
      </c>
      <c r="O519">
        <v>2768468.4684684691</v>
      </c>
      <c r="P519">
        <v>8298738.7387387389</v>
      </c>
      <c r="Q519">
        <v>17</v>
      </c>
      <c r="R519">
        <v>6</v>
      </c>
      <c r="S519">
        <v>6999369.369369369</v>
      </c>
      <c r="T519">
        <v>8760423.4234234225</v>
      </c>
      <c r="U519">
        <v>1762972.9729729739</v>
      </c>
      <c r="V519">
        <v>7435585.5855855849</v>
      </c>
      <c r="W519">
        <v>876</v>
      </c>
      <c r="X519">
        <v>832</v>
      </c>
    </row>
    <row r="520" spans="1:24">
      <c r="A520" s="7" t="s">
        <v>612</v>
      </c>
      <c r="B520" s="16" t="s">
        <v>143</v>
      </c>
      <c r="C520">
        <v>391420085.77697003</v>
      </c>
      <c r="D520">
        <v>370949294.99820095</v>
      </c>
      <c r="E520">
        <v>720589.18918919098</v>
      </c>
      <c r="F520">
        <v>4151432.4324324331</v>
      </c>
      <c r="G520">
        <v>255</v>
      </c>
      <c r="H520">
        <v>510</v>
      </c>
      <c r="I520">
        <v>20</v>
      </c>
      <c r="J520">
        <v>15</v>
      </c>
      <c r="K520">
        <v>9</v>
      </c>
      <c r="M520">
        <v>298</v>
      </c>
      <c r="N520">
        <v>547</v>
      </c>
      <c r="O520">
        <v>40007567.567567565</v>
      </c>
      <c r="P520">
        <v>35359459.459459461</v>
      </c>
      <c r="Q520">
        <v>217</v>
      </c>
      <c r="R520">
        <v>193</v>
      </c>
      <c r="S520">
        <v>45717529.729729727</v>
      </c>
      <c r="T520">
        <v>48566887.387387387</v>
      </c>
      <c r="U520">
        <v>41814234.234234229</v>
      </c>
      <c r="V520">
        <v>36852836.036036029</v>
      </c>
      <c r="W520">
        <v>6859</v>
      </c>
      <c r="X520">
        <v>6831</v>
      </c>
    </row>
    <row r="521" spans="1:24">
      <c r="A521" s="7" t="s">
        <v>613</v>
      </c>
      <c r="B521" s="16" t="s">
        <v>189</v>
      </c>
      <c r="C521">
        <v>452375187.89806974</v>
      </c>
      <c r="D521">
        <v>429074735.85067737</v>
      </c>
      <c r="E521">
        <v>621396.39639639796</v>
      </c>
      <c r="F521">
        <v>2218918.9189189188</v>
      </c>
      <c r="G521">
        <v>171</v>
      </c>
      <c r="H521">
        <v>172</v>
      </c>
      <c r="I521">
        <v>13</v>
      </c>
      <c r="J521">
        <v>11</v>
      </c>
      <c r="K521">
        <v>2</v>
      </c>
      <c r="M521">
        <v>199</v>
      </c>
      <c r="N521">
        <v>209</v>
      </c>
      <c r="O521">
        <v>16354954.954954954</v>
      </c>
      <c r="P521">
        <v>17321081.081081081</v>
      </c>
      <c r="Q521">
        <v>371</v>
      </c>
      <c r="R521">
        <v>463</v>
      </c>
      <c r="S521">
        <v>41089733.333333336</v>
      </c>
      <c r="T521">
        <v>42105663.063063063</v>
      </c>
      <c r="U521">
        <v>15022111.71171171</v>
      </c>
      <c r="V521">
        <v>15834367.567567568</v>
      </c>
      <c r="W521">
        <v>7698</v>
      </c>
      <c r="X521">
        <v>7624</v>
      </c>
    </row>
    <row r="522" spans="1:24">
      <c r="A522" s="7" t="s">
        <v>614</v>
      </c>
      <c r="B522" s="16" t="s">
        <v>54</v>
      </c>
      <c r="C522">
        <v>321668421.34566909</v>
      </c>
      <c r="D522">
        <v>306988119.65067035</v>
      </c>
      <c r="E522">
        <v>4128828.8288288321</v>
      </c>
      <c r="F522">
        <v>6251351.3513513561</v>
      </c>
      <c r="G522">
        <v>91</v>
      </c>
      <c r="H522">
        <v>109</v>
      </c>
      <c r="I522">
        <v>13</v>
      </c>
      <c r="J522">
        <v>16</v>
      </c>
      <c r="M522">
        <v>105</v>
      </c>
      <c r="N522">
        <v>217</v>
      </c>
      <c r="O522">
        <v>52556306.306306303</v>
      </c>
      <c r="P522">
        <v>50735135.135135137</v>
      </c>
      <c r="Q522">
        <v>193</v>
      </c>
      <c r="R522">
        <v>164</v>
      </c>
      <c r="S522">
        <v>93645630.630630627</v>
      </c>
      <c r="T522">
        <v>96693522.522522524</v>
      </c>
      <c r="U522">
        <v>53714864.864864863</v>
      </c>
      <c r="V522">
        <v>48241531.531531528</v>
      </c>
      <c r="W522">
        <v>6543</v>
      </c>
      <c r="X522">
        <v>6734</v>
      </c>
    </row>
    <row r="523" spans="1:24">
      <c r="A523" s="7" t="s">
        <v>615</v>
      </c>
      <c r="B523" s="16" t="s">
        <v>54</v>
      </c>
      <c r="C523">
        <v>168805276.03252015</v>
      </c>
      <c r="D523">
        <v>166298856.51362529</v>
      </c>
      <c r="E523">
        <v>106081.08108108101</v>
      </c>
      <c r="F523">
        <v>814414.41441441595</v>
      </c>
      <c r="G523">
        <v>14</v>
      </c>
      <c r="H523">
        <v>20</v>
      </c>
      <c r="I523">
        <v>1</v>
      </c>
      <c r="J523">
        <v>5</v>
      </c>
      <c r="M523">
        <v>17</v>
      </c>
      <c r="N523">
        <v>25</v>
      </c>
      <c r="O523">
        <v>9054054.0540540516</v>
      </c>
      <c r="P523">
        <v>7776576.5765765766</v>
      </c>
      <c r="Q523">
        <v>48</v>
      </c>
      <c r="R523">
        <v>49</v>
      </c>
      <c r="S523">
        <v>27188549.54954955</v>
      </c>
      <c r="T523">
        <v>27831504.504504506</v>
      </c>
      <c r="U523">
        <v>8341711.7117117113</v>
      </c>
      <c r="V523">
        <v>7034414.4144144151</v>
      </c>
      <c r="W523">
        <v>2792</v>
      </c>
      <c r="X523">
        <v>2856</v>
      </c>
    </row>
    <row r="524" spans="1:24">
      <c r="A524" s="7" t="s">
        <v>616</v>
      </c>
      <c r="B524" s="16" t="s">
        <v>60</v>
      </c>
      <c r="C524">
        <v>261232097.28167525</v>
      </c>
      <c r="D524">
        <v>247948217.47027203</v>
      </c>
      <c r="E524">
        <v>706306.30630630895</v>
      </c>
      <c r="F524">
        <v>4152702.702702702</v>
      </c>
      <c r="G524">
        <v>52</v>
      </c>
      <c r="H524">
        <v>104</v>
      </c>
      <c r="I524">
        <v>11</v>
      </c>
      <c r="J524">
        <v>24</v>
      </c>
      <c r="M524">
        <v>60</v>
      </c>
      <c r="N524">
        <v>136</v>
      </c>
      <c r="O524">
        <v>36925225.225225225</v>
      </c>
      <c r="P524">
        <v>39744594.59459459</v>
      </c>
      <c r="Q524">
        <v>196</v>
      </c>
      <c r="R524">
        <v>116</v>
      </c>
      <c r="S524">
        <v>80435630.630630627</v>
      </c>
      <c r="T524">
        <v>80786927.927927941</v>
      </c>
      <c r="U524">
        <v>36141441.441441439</v>
      </c>
      <c r="V524">
        <v>38161531.531531528</v>
      </c>
      <c r="W524">
        <v>4309</v>
      </c>
      <c r="X524">
        <v>3854</v>
      </c>
    </row>
    <row r="525" spans="1:24">
      <c r="A525" s="7" t="s">
        <v>617</v>
      </c>
      <c r="B525" s="16" t="s">
        <v>60</v>
      </c>
      <c r="C525">
        <v>283541782.98592335</v>
      </c>
      <c r="D525">
        <v>276139496.32701743</v>
      </c>
      <c r="E525">
        <v>877027.02702703001</v>
      </c>
      <c r="F525">
        <v>2240540.5405405429</v>
      </c>
      <c r="G525">
        <v>56</v>
      </c>
      <c r="H525">
        <v>67</v>
      </c>
      <c r="I525">
        <v>8</v>
      </c>
      <c r="J525">
        <v>9</v>
      </c>
      <c r="K525">
        <v>2</v>
      </c>
      <c r="M525">
        <v>62</v>
      </c>
      <c r="N525">
        <v>74</v>
      </c>
      <c r="O525">
        <v>29826126.126126125</v>
      </c>
      <c r="P525">
        <v>36253153.153153151</v>
      </c>
      <c r="Q525">
        <v>129</v>
      </c>
      <c r="R525">
        <v>220</v>
      </c>
      <c r="S525">
        <v>145503153.15315315</v>
      </c>
      <c r="T525">
        <v>142426355.85585585</v>
      </c>
      <c r="U525">
        <v>32701441.441441439</v>
      </c>
      <c r="V525">
        <v>35260360.360360362</v>
      </c>
      <c r="W525">
        <v>5262</v>
      </c>
      <c r="X525">
        <v>5617</v>
      </c>
    </row>
    <row r="526" spans="1:24">
      <c r="A526" s="7" t="s">
        <v>618</v>
      </c>
      <c r="B526" s="16" t="s">
        <v>60</v>
      </c>
      <c r="C526">
        <v>363234383.75592256</v>
      </c>
      <c r="D526">
        <v>349079419.17923355</v>
      </c>
      <c r="E526">
        <v>2685135.1351351398</v>
      </c>
      <c r="F526">
        <v>6470945.9459459484</v>
      </c>
      <c r="G526">
        <v>118</v>
      </c>
      <c r="H526">
        <v>55</v>
      </c>
      <c r="I526">
        <v>20</v>
      </c>
      <c r="J526">
        <v>12</v>
      </c>
      <c r="M526">
        <v>132</v>
      </c>
      <c r="N526">
        <v>65</v>
      </c>
      <c r="O526">
        <v>24576126.126126125</v>
      </c>
      <c r="P526">
        <v>52464864.864864863</v>
      </c>
      <c r="Q526">
        <v>139</v>
      </c>
      <c r="R526">
        <v>332</v>
      </c>
      <c r="S526">
        <v>114358135.13513513</v>
      </c>
      <c r="T526">
        <v>114722203.15315315</v>
      </c>
      <c r="U526">
        <v>22935225.225225225</v>
      </c>
      <c r="V526">
        <v>48801531.531531535</v>
      </c>
      <c r="W526">
        <v>5763</v>
      </c>
      <c r="X526">
        <v>5822</v>
      </c>
    </row>
    <row r="527" spans="1:24">
      <c r="A527" s="7" t="s">
        <v>619</v>
      </c>
      <c r="B527" s="16" t="s">
        <v>620</v>
      </c>
      <c r="C527">
        <v>406699904.84800047</v>
      </c>
      <c r="D527">
        <v>411547848.13816875</v>
      </c>
      <c r="E527">
        <v>3216400.9009009022</v>
      </c>
      <c r="F527">
        <v>81670687.387387395</v>
      </c>
      <c r="G527">
        <v>151</v>
      </c>
      <c r="H527">
        <v>266</v>
      </c>
      <c r="I527">
        <v>13</v>
      </c>
      <c r="J527">
        <v>15</v>
      </c>
      <c r="K527">
        <v>16</v>
      </c>
      <c r="M527">
        <v>179</v>
      </c>
      <c r="N527">
        <v>441</v>
      </c>
      <c r="O527">
        <v>41992833.333333336</v>
      </c>
      <c r="P527">
        <v>38735512.612612605</v>
      </c>
      <c r="Q527">
        <v>401</v>
      </c>
      <c r="R527">
        <v>69</v>
      </c>
      <c r="S527">
        <v>53146621.621621624</v>
      </c>
      <c r="T527">
        <v>49713711.711711712</v>
      </c>
      <c r="U527">
        <v>40774054.054054059</v>
      </c>
      <c r="V527">
        <v>30544954.954954952</v>
      </c>
      <c r="W527">
        <v>7185</v>
      </c>
      <c r="X527">
        <v>7717</v>
      </c>
    </row>
    <row r="528" spans="1:24">
      <c r="A528" s="7" t="s">
        <v>621</v>
      </c>
      <c r="B528" s="16" t="s">
        <v>620</v>
      </c>
      <c r="C528">
        <v>324796563.9954915</v>
      </c>
      <c r="D528">
        <v>300710964.58015883</v>
      </c>
      <c r="E528">
        <v>1379729.7297297299</v>
      </c>
      <c r="F528">
        <v>4713963.9639639659</v>
      </c>
      <c r="G528">
        <v>150</v>
      </c>
      <c r="H528">
        <v>108</v>
      </c>
      <c r="I528">
        <v>9</v>
      </c>
      <c r="J528">
        <v>12</v>
      </c>
      <c r="K528">
        <v>2</v>
      </c>
      <c r="M528">
        <v>172</v>
      </c>
      <c r="N528">
        <v>129</v>
      </c>
      <c r="O528">
        <v>27485405.40540541</v>
      </c>
      <c r="P528">
        <v>26737837.837837841</v>
      </c>
      <c r="Q528">
        <v>89</v>
      </c>
      <c r="R528">
        <v>26</v>
      </c>
      <c r="S528">
        <v>48103831.531531528</v>
      </c>
      <c r="T528">
        <v>48298816.216216214</v>
      </c>
      <c r="U528">
        <v>28936396.396396399</v>
      </c>
      <c r="V528">
        <v>23323333.333333336</v>
      </c>
      <c r="W528">
        <v>6236</v>
      </c>
      <c r="X528">
        <v>5961</v>
      </c>
    </row>
    <row r="529" spans="1:24">
      <c r="A529" s="7" t="s">
        <v>622</v>
      </c>
      <c r="B529" s="16" t="s">
        <v>620</v>
      </c>
      <c r="C529">
        <v>345684618.43354082</v>
      </c>
      <c r="D529">
        <v>314994165.72336322</v>
      </c>
      <c r="E529">
        <v>128444910.81081082</v>
      </c>
      <c r="F529">
        <v>1704954.954954955</v>
      </c>
      <c r="G529">
        <v>178</v>
      </c>
      <c r="H529">
        <v>134</v>
      </c>
      <c r="I529">
        <v>7</v>
      </c>
      <c r="J529">
        <v>8</v>
      </c>
      <c r="K529">
        <v>2</v>
      </c>
      <c r="M529">
        <v>201</v>
      </c>
      <c r="N529">
        <v>161</v>
      </c>
      <c r="O529">
        <v>37138558.558558561</v>
      </c>
      <c r="P529">
        <v>23396846.846846845</v>
      </c>
      <c r="Q529">
        <v>426</v>
      </c>
      <c r="R529">
        <v>62</v>
      </c>
      <c r="S529">
        <v>47183765.765765756</v>
      </c>
      <c r="T529">
        <v>48290777.477477469</v>
      </c>
      <c r="U529">
        <v>32687924.324324328</v>
      </c>
      <c r="V529">
        <v>18323423.423423424</v>
      </c>
      <c r="W529">
        <v>6021</v>
      </c>
      <c r="X529">
        <v>5676</v>
      </c>
    </row>
    <row r="530" spans="1:24">
      <c r="A530" s="7" t="s">
        <v>623</v>
      </c>
      <c r="B530" s="16" t="s">
        <v>620</v>
      </c>
      <c r="C530">
        <v>246447824.67061022</v>
      </c>
      <c r="D530">
        <v>231592283.74932817</v>
      </c>
      <c r="E530">
        <v>21384909.909909911</v>
      </c>
      <c r="F530">
        <v>842342.34234234097</v>
      </c>
      <c r="G530">
        <v>140</v>
      </c>
      <c r="H530">
        <v>59</v>
      </c>
      <c r="I530">
        <v>6</v>
      </c>
      <c r="J530">
        <v>5</v>
      </c>
      <c r="K530">
        <v>2</v>
      </c>
      <c r="M530">
        <v>151</v>
      </c>
      <c r="N530">
        <v>75</v>
      </c>
      <c r="O530">
        <v>29079909.909909911</v>
      </c>
      <c r="P530">
        <v>23510810.810810812</v>
      </c>
      <c r="Q530">
        <v>59</v>
      </c>
      <c r="R530">
        <v>24</v>
      </c>
      <c r="S530">
        <v>31510216.216216218</v>
      </c>
      <c r="T530">
        <v>29683031.531531531</v>
      </c>
      <c r="U530">
        <v>23892072.072072078</v>
      </c>
      <c r="V530">
        <v>18609369.369369369</v>
      </c>
      <c r="W530">
        <v>3725</v>
      </c>
      <c r="X530">
        <v>3626</v>
      </c>
    </row>
    <row r="531" spans="1:24">
      <c r="A531" s="7" t="s">
        <v>624</v>
      </c>
      <c r="B531" s="16" t="s">
        <v>260</v>
      </c>
      <c r="C531">
        <v>136243734.12568408</v>
      </c>
      <c r="D531">
        <v>121698753.51179706</v>
      </c>
      <c r="E531">
        <v>18918.918918919</v>
      </c>
      <c r="F531">
        <v>830630.630630631</v>
      </c>
      <c r="G531">
        <v>15</v>
      </c>
      <c r="H531">
        <v>18</v>
      </c>
      <c r="I531">
        <v>5</v>
      </c>
      <c r="J531">
        <v>2</v>
      </c>
      <c r="M531">
        <v>17</v>
      </c>
      <c r="N531">
        <v>18</v>
      </c>
      <c r="O531">
        <v>19163063.063063063</v>
      </c>
      <c r="P531">
        <v>14679279.279279279</v>
      </c>
      <c r="Q531">
        <v>20</v>
      </c>
      <c r="R531">
        <v>205</v>
      </c>
      <c r="S531">
        <v>47371738.738738738</v>
      </c>
      <c r="T531">
        <v>40174639.639639638</v>
      </c>
      <c r="U531">
        <v>14772072.072072072</v>
      </c>
      <c r="V531">
        <v>16876036.036036037</v>
      </c>
      <c r="W531">
        <v>2071</v>
      </c>
      <c r="X531">
        <v>1984</v>
      </c>
    </row>
    <row r="532" spans="1:24">
      <c r="A532" s="7" t="s">
        <v>625</v>
      </c>
      <c r="B532" s="16" t="s">
        <v>52</v>
      </c>
      <c r="C532">
        <v>195153959.1636416</v>
      </c>
      <c r="D532">
        <v>189975252.72279701</v>
      </c>
      <c r="E532">
        <v>547927.92792792805</v>
      </c>
      <c r="F532">
        <v>602702.702702704</v>
      </c>
      <c r="G532">
        <v>90</v>
      </c>
      <c r="H532">
        <v>74</v>
      </c>
      <c r="I532">
        <v>3</v>
      </c>
      <c r="J532">
        <v>7</v>
      </c>
      <c r="M532">
        <v>107</v>
      </c>
      <c r="N532">
        <v>158</v>
      </c>
      <c r="O532">
        <v>6150630.630630631</v>
      </c>
      <c r="P532">
        <v>6332432.4324324336</v>
      </c>
      <c r="Q532">
        <v>142</v>
      </c>
      <c r="R532">
        <v>26</v>
      </c>
      <c r="S532">
        <v>68196072.072072074</v>
      </c>
      <c r="T532">
        <v>68046531.531531528</v>
      </c>
      <c r="U532">
        <v>7140540.5405405387</v>
      </c>
      <c r="V532">
        <v>4641531.5315315332</v>
      </c>
      <c r="W532">
        <v>4690</v>
      </c>
      <c r="X532">
        <v>4317</v>
      </c>
    </row>
    <row r="533" spans="1:24">
      <c r="A533" s="7" t="s">
        <v>626</v>
      </c>
      <c r="B533" s="16" t="s">
        <v>96</v>
      </c>
      <c r="C533">
        <v>491505054.41306865</v>
      </c>
      <c r="D533">
        <v>481766301.07179368</v>
      </c>
      <c r="E533">
        <v>4989549.5495495517</v>
      </c>
      <c r="F533">
        <v>8289189.189189191</v>
      </c>
      <c r="G533">
        <v>278</v>
      </c>
      <c r="H533">
        <v>225</v>
      </c>
      <c r="I533">
        <v>10</v>
      </c>
      <c r="J533">
        <v>10</v>
      </c>
      <c r="K533">
        <v>1</v>
      </c>
      <c r="M533">
        <v>327</v>
      </c>
      <c r="N533">
        <v>265</v>
      </c>
      <c r="O533">
        <v>80787477.477477476</v>
      </c>
      <c r="P533">
        <v>102072072.07207207</v>
      </c>
      <c r="Q533">
        <v>159</v>
      </c>
      <c r="R533">
        <v>350</v>
      </c>
      <c r="S533">
        <v>156170855.85585588</v>
      </c>
      <c r="T533">
        <v>155880995.94594595</v>
      </c>
      <c r="U533">
        <v>77980900.9009009</v>
      </c>
      <c r="V533">
        <v>85971801.801801801</v>
      </c>
      <c r="W533">
        <v>10748</v>
      </c>
      <c r="X533">
        <v>10511</v>
      </c>
    </row>
    <row r="534" spans="1:24">
      <c r="A534" s="7" t="s">
        <v>627</v>
      </c>
      <c r="B534" s="16" t="s">
        <v>96</v>
      </c>
      <c r="C534">
        <v>861067205.12854016</v>
      </c>
      <c r="D534">
        <v>801035134.58941066</v>
      </c>
      <c r="E534">
        <v>120737048.64864865</v>
      </c>
      <c r="F534">
        <v>209860447.74774775</v>
      </c>
      <c r="G534">
        <v>290</v>
      </c>
      <c r="H534">
        <v>218</v>
      </c>
      <c r="I534">
        <v>11</v>
      </c>
      <c r="J534">
        <v>7</v>
      </c>
      <c r="K534">
        <v>1</v>
      </c>
      <c r="M534">
        <v>343</v>
      </c>
      <c r="N534">
        <v>338</v>
      </c>
      <c r="O534">
        <v>237397750.45045045</v>
      </c>
      <c r="P534">
        <v>309344675.67567563</v>
      </c>
      <c r="Q534">
        <v>143</v>
      </c>
      <c r="R534">
        <v>327</v>
      </c>
      <c r="S534">
        <v>341098117.11711711</v>
      </c>
      <c r="T534">
        <v>324649331.08108109</v>
      </c>
      <c r="U534">
        <v>213185945.94594595</v>
      </c>
      <c r="V534">
        <v>186736486.48648649</v>
      </c>
      <c r="W534">
        <v>13652</v>
      </c>
      <c r="X534">
        <v>13805</v>
      </c>
    </row>
    <row r="535" spans="1:24">
      <c r="A535" s="7" t="s">
        <v>628</v>
      </c>
      <c r="B535" s="16" t="s">
        <v>448</v>
      </c>
      <c r="C535">
        <v>606900059.79857492</v>
      </c>
      <c r="D535">
        <v>582684733.40715015</v>
      </c>
      <c r="E535">
        <v>164142580.18018019</v>
      </c>
      <c r="F535">
        <v>170422012.61261261</v>
      </c>
      <c r="G535">
        <v>285</v>
      </c>
      <c r="H535">
        <v>217</v>
      </c>
      <c r="I535">
        <v>19</v>
      </c>
      <c r="J535">
        <v>20</v>
      </c>
      <c r="K535">
        <v>3</v>
      </c>
      <c r="M535">
        <v>359</v>
      </c>
      <c r="N535">
        <v>270</v>
      </c>
      <c r="O535">
        <v>248043513.51351351</v>
      </c>
      <c r="P535">
        <v>323950090.0900901</v>
      </c>
      <c r="Q535">
        <v>557</v>
      </c>
      <c r="R535">
        <v>2065</v>
      </c>
      <c r="S535">
        <v>177959225.22522521</v>
      </c>
      <c r="T535">
        <v>172678691.8918919</v>
      </c>
      <c r="U535">
        <v>232122612.61261261</v>
      </c>
      <c r="V535">
        <v>323180900.9009009</v>
      </c>
      <c r="W535">
        <v>11443</v>
      </c>
      <c r="X535">
        <v>11552</v>
      </c>
    </row>
    <row r="536" spans="1:24">
      <c r="A536" s="7" t="s">
        <v>629</v>
      </c>
      <c r="B536" s="16" t="s">
        <v>78</v>
      </c>
      <c r="C536">
        <v>27568245.377139159</v>
      </c>
      <c r="D536">
        <v>26357664.973691002</v>
      </c>
      <c r="E536">
        <v>186486.48648648601</v>
      </c>
      <c r="F536">
        <v>529729.72972972901</v>
      </c>
      <c r="G536">
        <v>2</v>
      </c>
      <c r="H536">
        <v>3</v>
      </c>
      <c r="I536">
        <v>0</v>
      </c>
      <c r="K536">
        <v>1</v>
      </c>
      <c r="M536">
        <v>2</v>
      </c>
      <c r="N536">
        <v>4</v>
      </c>
      <c r="O536">
        <v>790090.09009008994</v>
      </c>
      <c r="P536">
        <v>2754954.9549549539</v>
      </c>
      <c r="Q536">
        <v>12</v>
      </c>
      <c r="R536">
        <v>12</v>
      </c>
      <c r="S536">
        <v>7221081.0810810812</v>
      </c>
      <c r="T536">
        <v>7201018.0180180185</v>
      </c>
      <c r="U536">
        <v>869099.09909909905</v>
      </c>
      <c r="V536">
        <v>2367747.7477477482</v>
      </c>
      <c r="W536">
        <v>420</v>
      </c>
      <c r="X536">
        <v>376</v>
      </c>
    </row>
    <row r="537" spans="1:24">
      <c r="A537" s="7" t="s">
        <v>630</v>
      </c>
      <c r="B537" s="16" t="s">
        <v>241</v>
      </c>
      <c r="C537">
        <v>158580980.32219973</v>
      </c>
      <c r="D537">
        <v>153767052.30321091</v>
      </c>
      <c r="E537">
        <v>77657.657657657997</v>
      </c>
      <c r="F537">
        <v>1098873.8738738741</v>
      </c>
      <c r="G537">
        <v>119</v>
      </c>
      <c r="H537">
        <v>67</v>
      </c>
      <c r="I537">
        <v>7</v>
      </c>
      <c r="J537">
        <v>4</v>
      </c>
      <c r="K537">
        <v>1</v>
      </c>
      <c r="M537">
        <v>159</v>
      </c>
      <c r="N537">
        <v>75</v>
      </c>
      <c r="O537">
        <v>32235405.40540541</v>
      </c>
      <c r="P537">
        <v>27957477.47747748</v>
      </c>
      <c r="Q537">
        <v>242</v>
      </c>
      <c r="R537">
        <v>64</v>
      </c>
      <c r="S537">
        <v>38681756.75675676</v>
      </c>
      <c r="T537">
        <v>36029603.603603601</v>
      </c>
      <c r="U537">
        <v>33377747.747747749</v>
      </c>
      <c r="V537">
        <v>27395675.675675675</v>
      </c>
      <c r="W537">
        <v>2616</v>
      </c>
      <c r="X537">
        <v>2580</v>
      </c>
    </row>
    <row r="538" spans="1:24">
      <c r="A538" s="7" t="s">
        <v>631</v>
      </c>
      <c r="B538" s="16" t="s">
        <v>68</v>
      </c>
      <c r="C538">
        <v>710190081.0176667</v>
      </c>
      <c r="D538">
        <v>664368108.80378032</v>
      </c>
      <c r="E538">
        <v>2778153.153153155</v>
      </c>
      <c r="F538">
        <v>7064414.4144144151</v>
      </c>
      <c r="G538">
        <v>332</v>
      </c>
      <c r="H538">
        <v>438</v>
      </c>
      <c r="I538">
        <v>20</v>
      </c>
      <c r="J538">
        <v>16</v>
      </c>
      <c r="M538">
        <v>353</v>
      </c>
      <c r="N538">
        <v>503</v>
      </c>
      <c r="O538">
        <v>71560540.540540546</v>
      </c>
      <c r="P538">
        <v>67909009.009009004</v>
      </c>
      <c r="Q538">
        <v>401</v>
      </c>
      <c r="R538">
        <v>329</v>
      </c>
      <c r="S538">
        <v>119433279.27927928</v>
      </c>
      <c r="T538">
        <v>113751174.77477479</v>
      </c>
      <c r="U538">
        <v>54102612.612612605</v>
      </c>
      <c r="V538">
        <v>51314774.774774775</v>
      </c>
      <c r="W538">
        <v>8954</v>
      </c>
      <c r="X538">
        <v>8882</v>
      </c>
    </row>
    <row r="539" spans="1:24">
      <c r="A539" s="7" t="s">
        <v>632</v>
      </c>
      <c r="B539" s="16" t="s">
        <v>70</v>
      </c>
      <c r="C539">
        <v>4930815.4011346344</v>
      </c>
      <c r="D539">
        <v>4848775.248952277</v>
      </c>
      <c r="E539">
        <v>266216.21621621598</v>
      </c>
      <c r="F539">
        <v>54054.054054054002</v>
      </c>
      <c r="G539">
        <v>7</v>
      </c>
      <c r="H539">
        <v>2</v>
      </c>
      <c r="J539">
        <v>1</v>
      </c>
      <c r="M539">
        <v>7</v>
      </c>
      <c r="N539">
        <v>2</v>
      </c>
      <c r="O539">
        <v>279279.279279279</v>
      </c>
      <c r="P539">
        <v>54054.054054054002</v>
      </c>
      <c r="R539">
        <v>18</v>
      </c>
      <c r="S539">
        <v>3275945.945945946</v>
      </c>
      <c r="T539">
        <v>2843513.5135135138</v>
      </c>
      <c r="U539">
        <v>252162.16216216201</v>
      </c>
      <c r="V539">
        <v>164864.864864865</v>
      </c>
      <c r="W539">
        <v>201</v>
      </c>
      <c r="X539">
        <v>191</v>
      </c>
    </row>
    <row r="540" spans="1:24">
      <c r="A540" s="7" t="s">
        <v>633</v>
      </c>
      <c r="B540" s="16" t="s">
        <v>60</v>
      </c>
      <c r="C540">
        <v>51083673.671018288</v>
      </c>
      <c r="D540">
        <v>51274676.431798801</v>
      </c>
      <c r="E540">
        <v>145045.04504504599</v>
      </c>
      <c r="F540">
        <v>151351.351351352</v>
      </c>
      <c r="G540">
        <v>10</v>
      </c>
      <c r="H540">
        <v>15</v>
      </c>
      <c r="I540">
        <v>3</v>
      </c>
      <c r="J540">
        <v>2</v>
      </c>
      <c r="M540">
        <v>10</v>
      </c>
      <c r="N540">
        <v>16</v>
      </c>
      <c r="O540">
        <v>2172072.072072072</v>
      </c>
      <c r="P540">
        <v>1953153.1531531529</v>
      </c>
      <c r="Q540">
        <v>33</v>
      </c>
      <c r="R540">
        <v>21</v>
      </c>
      <c r="S540">
        <v>19619954.954954956</v>
      </c>
      <c r="T540">
        <v>21652891.891891893</v>
      </c>
      <c r="U540">
        <v>1472522.5225225219</v>
      </c>
      <c r="V540">
        <v>256306.30630630601</v>
      </c>
      <c r="W540">
        <v>1041</v>
      </c>
      <c r="X540">
        <v>988</v>
      </c>
    </row>
    <row r="541" spans="1:24">
      <c r="A541" s="7" t="s">
        <v>634</v>
      </c>
      <c r="B541" s="16" t="s">
        <v>80</v>
      </c>
      <c r="C541">
        <v>542791609.18488538</v>
      </c>
      <c r="D541">
        <v>518264887.6214112</v>
      </c>
      <c r="E541">
        <v>5548648.6486486495</v>
      </c>
      <c r="F541">
        <v>6215765.7657657675</v>
      </c>
      <c r="G541">
        <v>178</v>
      </c>
      <c r="H541">
        <v>76</v>
      </c>
      <c r="I541">
        <v>5</v>
      </c>
      <c r="J541">
        <v>4</v>
      </c>
      <c r="M541">
        <v>199</v>
      </c>
      <c r="N541">
        <v>85</v>
      </c>
      <c r="O541">
        <v>65876936.936936937</v>
      </c>
      <c r="P541">
        <v>60998648.648648649</v>
      </c>
      <c r="Q541">
        <v>13</v>
      </c>
      <c r="R541">
        <v>28</v>
      </c>
      <c r="S541">
        <v>96983774.774774775</v>
      </c>
      <c r="T541">
        <v>103650067.56756757</v>
      </c>
      <c r="U541">
        <v>64248198.198198199</v>
      </c>
      <c r="V541">
        <v>55254504.504504502</v>
      </c>
      <c r="W541">
        <v>6761</v>
      </c>
      <c r="X541">
        <v>6599</v>
      </c>
    </row>
    <row r="542" spans="1:24">
      <c r="A542" s="7" t="s">
        <v>635</v>
      </c>
      <c r="B542" s="16" t="s">
        <v>134</v>
      </c>
      <c r="C542">
        <v>90393503.665122077</v>
      </c>
      <c r="D542">
        <v>94644997.244011894</v>
      </c>
      <c r="E542">
        <v>4504.5045045050001</v>
      </c>
      <c r="F542">
        <v>874774.77477477503</v>
      </c>
      <c r="G542">
        <v>11</v>
      </c>
      <c r="H542">
        <v>19</v>
      </c>
      <c r="I542">
        <v>2</v>
      </c>
      <c r="J542">
        <v>1</v>
      </c>
      <c r="M542">
        <v>11</v>
      </c>
      <c r="N542">
        <v>19</v>
      </c>
      <c r="O542">
        <v>905405.40540540498</v>
      </c>
      <c r="P542">
        <v>10933333.333333332</v>
      </c>
      <c r="R542">
        <v>86</v>
      </c>
      <c r="S542">
        <v>4072252.2522522518</v>
      </c>
      <c r="T542">
        <v>5309540.5405405406</v>
      </c>
      <c r="U542">
        <v>1275855.8558558561</v>
      </c>
      <c r="V542">
        <v>10183513.513513515</v>
      </c>
      <c r="W542">
        <v>1354</v>
      </c>
      <c r="X542">
        <v>1459</v>
      </c>
    </row>
    <row r="543" spans="1:24">
      <c r="A543" s="7" t="s">
        <v>636</v>
      </c>
      <c r="B543" s="16" t="s">
        <v>479</v>
      </c>
      <c r="C543">
        <v>306047123.75192159</v>
      </c>
      <c r="D543">
        <v>284286164.87974781</v>
      </c>
      <c r="E543">
        <v>41130630.630630635</v>
      </c>
      <c r="F543">
        <v>51987387.387387395</v>
      </c>
      <c r="G543">
        <v>62</v>
      </c>
      <c r="H543">
        <v>88</v>
      </c>
      <c r="I543">
        <v>4</v>
      </c>
      <c r="J543">
        <v>7</v>
      </c>
      <c r="M543">
        <v>65</v>
      </c>
      <c r="N543">
        <v>99</v>
      </c>
      <c r="O543">
        <v>53169511.711711712</v>
      </c>
      <c r="P543">
        <v>75611422.522522524</v>
      </c>
      <c r="Q543">
        <v>29</v>
      </c>
      <c r="R543">
        <v>192</v>
      </c>
      <c r="S543">
        <v>107363869.36936937</v>
      </c>
      <c r="T543">
        <v>101283351.35135135</v>
      </c>
      <c r="U543">
        <v>57792252.252252251</v>
      </c>
      <c r="V543">
        <v>72062927.927927941</v>
      </c>
      <c r="W543">
        <v>5665</v>
      </c>
      <c r="X543">
        <v>5837</v>
      </c>
    </row>
    <row r="544" spans="1:24">
      <c r="A544" s="7" t="s">
        <v>637</v>
      </c>
      <c r="B544" s="16" t="s">
        <v>143</v>
      </c>
      <c r="C544">
        <v>483930038.19056201</v>
      </c>
      <c r="D544">
        <v>483255083.47231334</v>
      </c>
      <c r="E544">
        <v>3337162.1621621661</v>
      </c>
      <c r="F544">
        <v>4046846.846846845</v>
      </c>
      <c r="G544">
        <v>145</v>
      </c>
      <c r="H544">
        <v>121</v>
      </c>
      <c r="I544">
        <v>30</v>
      </c>
      <c r="J544">
        <v>20</v>
      </c>
      <c r="K544">
        <v>1</v>
      </c>
      <c r="M544">
        <v>175</v>
      </c>
      <c r="N544">
        <v>152</v>
      </c>
      <c r="O544">
        <v>55468468.468468472</v>
      </c>
      <c r="P544">
        <v>32384234.234234232</v>
      </c>
      <c r="Q544">
        <v>297</v>
      </c>
      <c r="R544">
        <v>291</v>
      </c>
      <c r="S544">
        <v>50964630.630630635</v>
      </c>
      <c r="T544">
        <v>60779195.945945948</v>
      </c>
      <c r="U544">
        <v>39285135.135135137</v>
      </c>
      <c r="V544">
        <v>25804594.594594598</v>
      </c>
      <c r="W544">
        <v>9439</v>
      </c>
      <c r="X544">
        <v>9853</v>
      </c>
    </row>
    <row r="545" spans="1:24">
      <c r="A545" s="7" t="s">
        <v>638</v>
      </c>
      <c r="B545" s="16" t="s">
        <v>241</v>
      </c>
      <c r="C545">
        <v>557071702.56355643</v>
      </c>
      <c r="D545">
        <v>527742659.8687011</v>
      </c>
      <c r="E545">
        <v>77216441.441441447</v>
      </c>
      <c r="F545">
        <v>183231531.53153151</v>
      </c>
      <c r="G545">
        <v>305</v>
      </c>
      <c r="H545">
        <v>264</v>
      </c>
      <c r="I545">
        <v>21</v>
      </c>
      <c r="J545">
        <v>20</v>
      </c>
      <c r="K545">
        <v>2</v>
      </c>
      <c r="M545">
        <v>321</v>
      </c>
      <c r="N545">
        <v>312</v>
      </c>
      <c r="O545">
        <v>51778828.828828834</v>
      </c>
      <c r="P545">
        <v>53854954.954954959</v>
      </c>
      <c r="Q545">
        <v>476</v>
      </c>
      <c r="R545">
        <v>272</v>
      </c>
      <c r="S545">
        <v>183274756.75675678</v>
      </c>
      <c r="T545">
        <v>170973771.17117116</v>
      </c>
      <c r="U545">
        <v>52471981.981981978</v>
      </c>
      <c r="V545">
        <v>49276936.936936937</v>
      </c>
      <c r="W545">
        <v>12644</v>
      </c>
      <c r="X545">
        <v>12906</v>
      </c>
    </row>
    <row r="546" spans="1:24">
      <c r="A546" s="7" t="s">
        <v>639</v>
      </c>
      <c r="B546" s="16" t="s">
        <v>132</v>
      </c>
      <c r="C546">
        <v>232665243.82897031</v>
      </c>
      <c r="D546">
        <v>202704277.5776681</v>
      </c>
      <c r="E546">
        <v>6766666.6666666679</v>
      </c>
      <c r="F546">
        <v>20190990.990990993</v>
      </c>
      <c r="G546">
        <v>112</v>
      </c>
      <c r="H546">
        <v>82</v>
      </c>
      <c r="I546">
        <v>3</v>
      </c>
      <c r="J546">
        <v>2</v>
      </c>
      <c r="M546">
        <v>124</v>
      </c>
      <c r="N546">
        <v>95</v>
      </c>
      <c r="O546">
        <v>12465765.765765764</v>
      </c>
      <c r="P546">
        <v>8847072.072072072</v>
      </c>
      <c r="Q546">
        <v>1</v>
      </c>
      <c r="R546">
        <v>3</v>
      </c>
      <c r="S546">
        <v>81389783.783783779</v>
      </c>
      <c r="T546">
        <v>72525234.234234244</v>
      </c>
      <c r="U546">
        <v>10299189.189189188</v>
      </c>
      <c r="V546">
        <v>4946486.4864864862</v>
      </c>
      <c r="W546">
        <v>5489</v>
      </c>
      <c r="X546">
        <v>5688</v>
      </c>
    </row>
    <row r="547" spans="1:24">
      <c r="A547" s="7" t="s">
        <v>640</v>
      </c>
      <c r="B547" s="16" t="s">
        <v>134</v>
      </c>
      <c r="C547">
        <v>646551847.08807194</v>
      </c>
      <c r="D547">
        <v>609980176.91196537</v>
      </c>
      <c r="E547">
        <v>3167567.5675675701</v>
      </c>
      <c r="F547">
        <v>1841441.441441444</v>
      </c>
      <c r="G547">
        <v>153</v>
      </c>
      <c r="H547">
        <v>102</v>
      </c>
      <c r="I547">
        <v>18</v>
      </c>
      <c r="J547">
        <v>17</v>
      </c>
      <c r="M547">
        <v>158</v>
      </c>
      <c r="N547">
        <v>109</v>
      </c>
      <c r="O547">
        <v>48477657.657657653</v>
      </c>
      <c r="P547">
        <v>50937657.657657653</v>
      </c>
      <c r="Q547">
        <v>164</v>
      </c>
      <c r="R547">
        <v>174</v>
      </c>
      <c r="S547">
        <v>79354227.927927926</v>
      </c>
      <c r="T547">
        <v>80996053.153153151</v>
      </c>
      <c r="U547">
        <v>43049369.369369365</v>
      </c>
      <c r="V547">
        <v>41275358.558558553</v>
      </c>
      <c r="W547">
        <v>7660</v>
      </c>
      <c r="X547">
        <v>7489</v>
      </c>
    </row>
    <row r="548" spans="1:24">
      <c r="A548" s="7" t="s">
        <v>641</v>
      </c>
      <c r="B548" s="16" t="s">
        <v>80</v>
      </c>
      <c r="C548">
        <v>310655894.59871644</v>
      </c>
      <c r="D548">
        <v>319399452.60730517</v>
      </c>
      <c r="E548">
        <v>579279.27927927999</v>
      </c>
      <c r="F548">
        <v>1260360.3603603591</v>
      </c>
      <c r="G548">
        <v>64</v>
      </c>
      <c r="H548">
        <v>59</v>
      </c>
      <c r="I548">
        <v>7</v>
      </c>
      <c r="J548">
        <v>2</v>
      </c>
      <c r="K548">
        <v>3</v>
      </c>
      <c r="M548">
        <v>70</v>
      </c>
      <c r="N548">
        <v>74</v>
      </c>
      <c r="O548">
        <v>36757567.567567565</v>
      </c>
      <c r="P548">
        <v>36119819.819819815</v>
      </c>
      <c r="Q548">
        <v>37</v>
      </c>
      <c r="R548">
        <v>42</v>
      </c>
      <c r="S548">
        <v>107930520.72072072</v>
      </c>
      <c r="T548">
        <v>115064462.16216215</v>
      </c>
      <c r="U548">
        <v>35868468.468468465</v>
      </c>
      <c r="V548">
        <v>33994324.324324325</v>
      </c>
      <c r="W548">
        <v>4088</v>
      </c>
      <c r="X548">
        <v>4975</v>
      </c>
    </row>
    <row r="549" spans="1:24">
      <c r="A549" s="7" t="s">
        <v>642</v>
      </c>
      <c r="B549" s="16" t="s">
        <v>169</v>
      </c>
      <c r="C549">
        <v>611839595.03799641</v>
      </c>
      <c r="D549">
        <v>532648306.48818982</v>
      </c>
      <c r="E549">
        <v>2238288.2882882892</v>
      </c>
      <c r="F549">
        <v>1891891.8918918909</v>
      </c>
      <c r="G549">
        <v>67</v>
      </c>
      <c r="H549">
        <v>54</v>
      </c>
      <c r="I549">
        <v>0</v>
      </c>
      <c r="J549">
        <v>1</v>
      </c>
      <c r="K549">
        <v>2</v>
      </c>
      <c r="M549">
        <v>75</v>
      </c>
      <c r="N549">
        <v>61</v>
      </c>
      <c r="O549">
        <v>42598648.648648649</v>
      </c>
      <c r="P549">
        <v>45446141.441441439</v>
      </c>
      <c r="Q549">
        <v>15</v>
      </c>
      <c r="R549">
        <v>4</v>
      </c>
      <c r="S549">
        <v>207224927.92792794</v>
      </c>
      <c r="T549">
        <v>189523369.36936939</v>
      </c>
      <c r="U549">
        <v>43863063.063063063</v>
      </c>
      <c r="V549">
        <v>43509369.369369365</v>
      </c>
      <c r="W549">
        <v>8544</v>
      </c>
      <c r="X549">
        <v>8915</v>
      </c>
    </row>
    <row r="550" spans="1:24">
      <c r="A550" s="7" t="s">
        <v>643</v>
      </c>
      <c r="B550" s="16" t="s">
        <v>58</v>
      </c>
      <c r="C550">
        <v>928645689.82770979</v>
      </c>
      <c r="D550">
        <v>913685291.20318747</v>
      </c>
      <c r="E550">
        <v>4674099.0990991024</v>
      </c>
      <c r="F550">
        <v>11925450.450450448</v>
      </c>
      <c r="G550">
        <v>289</v>
      </c>
      <c r="H550">
        <v>277</v>
      </c>
      <c r="I550">
        <v>31</v>
      </c>
      <c r="J550">
        <v>36</v>
      </c>
      <c r="K550">
        <v>1</v>
      </c>
      <c r="M550">
        <v>322</v>
      </c>
      <c r="N550">
        <v>319</v>
      </c>
      <c r="O550">
        <v>113993243.24324325</v>
      </c>
      <c r="P550">
        <v>116781531.53153154</v>
      </c>
      <c r="Q550">
        <v>559</v>
      </c>
      <c r="R550">
        <v>111</v>
      </c>
      <c r="S550">
        <v>183156962.16216218</v>
      </c>
      <c r="T550">
        <v>189334851.35135135</v>
      </c>
      <c r="U550">
        <v>80430180.180180177</v>
      </c>
      <c r="V550">
        <v>63656666.666666664</v>
      </c>
      <c r="W550">
        <v>17353</v>
      </c>
      <c r="X550">
        <v>17320</v>
      </c>
    </row>
    <row r="551" spans="1:24">
      <c r="A551" s="7" t="s">
        <v>644</v>
      </c>
      <c r="B551" s="16" t="s">
        <v>58</v>
      </c>
      <c r="C551">
        <v>1186686589.5577669</v>
      </c>
      <c r="D551">
        <v>1139927135.2886951</v>
      </c>
      <c r="E551">
        <v>377243848.64864862</v>
      </c>
      <c r="F551">
        <v>35192342.342342347</v>
      </c>
      <c r="G551">
        <v>552</v>
      </c>
      <c r="H551">
        <v>1250</v>
      </c>
      <c r="I551">
        <v>70</v>
      </c>
      <c r="J551">
        <v>51</v>
      </c>
      <c r="K551">
        <v>3</v>
      </c>
      <c r="M551">
        <v>704</v>
      </c>
      <c r="N551">
        <v>1451</v>
      </c>
      <c r="O551">
        <v>196863063.06306309</v>
      </c>
      <c r="P551">
        <v>203591891.8918919</v>
      </c>
      <c r="Q551">
        <v>1488</v>
      </c>
      <c r="R551">
        <v>222</v>
      </c>
      <c r="S551">
        <v>325227266.66666669</v>
      </c>
      <c r="T551">
        <v>344698734.23423421</v>
      </c>
      <c r="U551">
        <v>179674954.95495495</v>
      </c>
      <c r="V551">
        <v>171645225.22522521</v>
      </c>
      <c r="W551">
        <v>22106</v>
      </c>
      <c r="X551">
        <v>22314</v>
      </c>
    </row>
    <row r="552" spans="1:24">
      <c r="A552" s="7" t="s">
        <v>645</v>
      </c>
      <c r="B552" s="16" t="s">
        <v>307</v>
      </c>
      <c r="C552">
        <v>396898076.78403026</v>
      </c>
      <c r="D552">
        <v>372779470.64343685</v>
      </c>
      <c r="E552">
        <v>186559684.68468466</v>
      </c>
      <c r="F552">
        <v>582749549.54954958</v>
      </c>
      <c r="G552">
        <v>66</v>
      </c>
      <c r="H552">
        <v>58</v>
      </c>
      <c r="I552">
        <v>1</v>
      </c>
      <c r="J552">
        <v>1</v>
      </c>
      <c r="K552">
        <v>1</v>
      </c>
      <c r="M552">
        <v>70</v>
      </c>
      <c r="N552">
        <v>61</v>
      </c>
      <c r="O552">
        <v>25862612.612612613</v>
      </c>
      <c r="P552">
        <v>8477117.1171171181</v>
      </c>
      <c r="Q552">
        <v>38</v>
      </c>
      <c r="R552">
        <v>21</v>
      </c>
      <c r="S552">
        <v>63587027.027027026</v>
      </c>
      <c r="T552">
        <v>62010903.603603601</v>
      </c>
      <c r="U552">
        <v>7707837.8378378358</v>
      </c>
      <c r="V552">
        <v>6799549.5495495498</v>
      </c>
      <c r="W552">
        <v>5218</v>
      </c>
      <c r="X552">
        <v>5169</v>
      </c>
    </row>
    <row r="553" spans="1:24">
      <c r="A553" s="7" t="s">
        <v>13</v>
      </c>
      <c r="B553" s="16" t="s">
        <v>158</v>
      </c>
      <c r="C553">
        <v>435146150.75954127</v>
      </c>
      <c r="D553">
        <v>426179007.71770316</v>
      </c>
      <c r="E553">
        <v>1372072.0720720759</v>
      </c>
      <c r="F553">
        <v>4528828.8288288368</v>
      </c>
      <c r="G553">
        <v>310</v>
      </c>
      <c r="H553">
        <v>170</v>
      </c>
      <c r="I553">
        <v>37</v>
      </c>
      <c r="J553">
        <v>10</v>
      </c>
      <c r="K553">
        <v>2</v>
      </c>
      <c r="M553">
        <v>682</v>
      </c>
      <c r="N553">
        <v>603</v>
      </c>
      <c r="O553">
        <v>80723063.06306307</v>
      </c>
      <c r="P553">
        <v>101385810.81081082</v>
      </c>
      <c r="Q553">
        <v>436</v>
      </c>
      <c r="R553">
        <v>309</v>
      </c>
      <c r="S553">
        <v>258245229.72972974</v>
      </c>
      <c r="T553">
        <v>252802297.2972973</v>
      </c>
      <c r="U553">
        <v>88489549.54954955</v>
      </c>
      <c r="V553">
        <v>102991439.63963963</v>
      </c>
      <c r="W553">
        <v>6845</v>
      </c>
      <c r="X553">
        <v>7200</v>
      </c>
    </row>
    <row r="554" spans="1:24">
      <c r="A554" s="7" t="s">
        <v>646</v>
      </c>
      <c r="B554" s="16" t="s">
        <v>121</v>
      </c>
      <c r="C554">
        <v>282166739.15480417</v>
      </c>
      <c r="D554">
        <v>287080169.43446815</v>
      </c>
      <c r="E554">
        <v>14639.63963964</v>
      </c>
      <c r="F554">
        <v>163063.06306306299</v>
      </c>
      <c r="G554">
        <v>71</v>
      </c>
      <c r="H554">
        <v>68</v>
      </c>
      <c r="I554">
        <v>2</v>
      </c>
      <c r="J554">
        <v>2</v>
      </c>
      <c r="M554">
        <v>76</v>
      </c>
      <c r="N554">
        <v>73</v>
      </c>
      <c r="O554">
        <v>799099.09909909905</v>
      </c>
      <c r="P554">
        <v>1157657.657657658</v>
      </c>
      <c r="Q554">
        <v>27</v>
      </c>
      <c r="R554">
        <v>7</v>
      </c>
      <c r="S554">
        <v>24093648.648648649</v>
      </c>
      <c r="T554">
        <v>25127250</v>
      </c>
      <c r="U554">
        <v>1147387.387387387</v>
      </c>
      <c r="V554">
        <v>1054864.8648648651</v>
      </c>
      <c r="W554">
        <v>3308</v>
      </c>
      <c r="X554">
        <v>3188</v>
      </c>
    </row>
    <row r="555" spans="1:24">
      <c r="A555" s="7" t="s">
        <v>647</v>
      </c>
      <c r="B555" s="16" t="s">
        <v>315</v>
      </c>
      <c r="C555">
        <v>102366014.69186223</v>
      </c>
      <c r="D555">
        <v>104113846.14673455</v>
      </c>
      <c r="E555">
        <v>463063.06306306302</v>
      </c>
      <c r="F555">
        <v>1547747.7477477479</v>
      </c>
      <c r="G555">
        <v>110</v>
      </c>
      <c r="H555">
        <v>43</v>
      </c>
      <c r="I555">
        <v>7</v>
      </c>
      <c r="J555">
        <v>9</v>
      </c>
      <c r="M555">
        <v>113</v>
      </c>
      <c r="N555">
        <v>45</v>
      </c>
      <c r="O555">
        <v>25000000</v>
      </c>
      <c r="P555">
        <v>18428828.828828827</v>
      </c>
      <c r="Q555">
        <v>131</v>
      </c>
      <c r="S555">
        <v>27506914.414414417</v>
      </c>
      <c r="T555">
        <v>26589603.603603605</v>
      </c>
      <c r="U555">
        <v>23958018.018018018</v>
      </c>
      <c r="V555">
        <v>19641891.891891893</v>
      </c>
      <c r="W555">
        <v>1306</v>
      </c>
      <c r="X555">
        <v>1357</v>
      </c>
    </row>
    <row r="556" spans="1:24">
      <c r="A556" s="7" t="s">
        <v>648</v>
      </c>
      <c r="B556" s="16" t="s">
        <v>260</v>
      </c>
      <c r="C556">
        <v>286267563.44197625</v>
      </c>
      <c r="D556">
        <v>264149594.04261747</v>
      </c>
      <c r="E556">
        <v>209954.954954955</v>
      </c>
      <c r="F556">
        <v>1438738.738738738</v>
      </c>
      <c r="G556">
        <v>78</v>
      </c>
      <c r="H556">
        <v>90</v>
      </c>
      <c r="I556">
        <v>5</v>
      </c>
      <c r="J556">
        <v>2</v>
      </c>
      <c r="M556">
        <v>85</v>
      </c>
      <c r="N556">
        <v>99</v>
      </c>
      <c r="O556">
        <v>49616486.486486487</v>
      </c>
      <c r="P556">
        <v>49216216.216216214</v>
      </c>
      <c r="Q556">
        <v>61</v>
      </c>
      <c r="R556">
        <v>155</v>
      </c>
      <c r="S556">
        <v>92370765.765765756</v>
      </c>
      <c r="T556">
        <v>87531567.567567572</v>
      </c>
      <c r="U556">
        <v>44316846.846846849</v>
      </c>
      <c r="V556">
        <v>49659189.189189196</v>
      </c>
      <c r="W556">
        <v>4318</v>
      </c>
      <c r="X556">
        <v>4331</v>
      </c>
    </row>
    <row r="557" spans="1:24">
      <c r="A557" s="7" t="s">
        <v>649</v>
      </c>
      <c r="B557" s="16" t="s">
        <v>224</v>
      </c>
      <c r="C557">
        <v>295467796.66547149</v>
      </c>
      <c r="D557">
        <v>257938522.53704649</v>
      </c>
      <c r="E557">
        <v>95945.945945946994</v>
      </c>
      <c r="F557">
        <v>5224099.0990991006</v>
      </c>
      <c r="G557">
        <v>71</v>
      </c>
      <c r="H557">
        <v>75</v>
      </c>
      <c r="I557">
        <v>12</v>
      </c>
      <c r="J557">
        <v>8</v>
      </c>
      <c r="M557">
        <v>88</v>
      </c>
      <c r="N557">
        <v>85</v>
      </c>
      <c r="O557">
        <v>31068918.918918919</v>
      </c>
      <c r="P557">
        <v>84658558.558558553</v>
      </c>
      <c r="Q557">
        <v>124</v>
      </c>
      <c r="R557">
        <v>131</v>
      </c>
      <c r="S557">
        <v>60889484.684684686</v>
      </c>
      <c r="T557">
        <v>59417466.666666664</v>
      </c>
      <c r="U557">
        <v>29558198.198198199</v>
      </c>
      <c r="V557">
        <v>77955315.315315306</v>
      </c>
      <c r="W557">
        <v>5565</v>
      </c>
      <c r="X557">
        <v>5523</v>
      </c>
    </row>
    <row r="558" spans="1:24">
      <c r="A558" s="7" t="s">
        <v>650</v>
      </c>
      <c r="B558" s="16" t="s">
        <v>224</v>
      </c>
      <c r="C558">
        <v>240074398.92906913</v>
      </c>
      <c r="D558">
        <v>208088296.46628544</v>
      </c>
      <c r="E558">
        <v>28828.828828828999</v>
      </c>
      <c r="F558">
        <v>63963.963963964998</v>
      </c>
      <c r="G558">
        <v>40</v>
      </c>
      <c r="H558">
        <v>41</v>
      </c>
      <c r="I558">
        <v>2</v>
      </c>
      <c r="J558">
        <v>0</v>
      </c>
      <c r="K558">
        <v>1</v>
      </c>
      <c r="M558">
        <v>42</v>
      </c>
      <c r="N558">
        <v>46</v>
      </c>
      <c r="O558">
        <v>13956576.576576577</v>
      </c>
      <c r="P558">
        <v>10274414.414414413</v>
      </c>
      <c r="Q558">
        <v>53</v>
      </c>
      <c r="R558">
        <v>103</v>
      </c>
      <c r="S558">
        <v>31834774.774774775</v>
      </c>
      <c r="T558">
        <v>29094315.315315317</v>
      </c>
      <c r="U558">
        <v>10936846.846846849</v>
      </c>
      <c r="V558">
        <v>9469549.5495495517</v>
      </c>
      <c r="W558">
        <v>3090</v>
      </c>
      <c r="X558">
        <v>3086</v>
      </c>
    </row>
    <row r="559" spans="1:24">
      <c r="A559" s="7" t="s">
        <v>651</v>
      </c>
      <c r="B559" s="16" t="s">
        <v>224</v>
      </c>
      <c r="C559">
        <v>929811927.53423381</v>
      </c>
      <c r="D559">
        <v>804144767.26814246</v>
      </c>
      <c r="E559">
        <v>208860799.0990991</v>
      </c>
      <c r="F559">
        <v>296123279.27927929</v>
      </c>
      <c r="G559">
        <v>333</v>
      </c>
      <c r="H559">
        <v>304</v>
      </c>
      <c r="I559">
        <v>54</v>
      </c>
      <c r="J559">
        <v>44</v>
      </c>
      <c r="K559">
        <v>4</v>
      </c>
      <c r="M559">
        <v>412</v>
      </c>
      <c r="N559">
        <v>467</v>
      </c>
      <c r="O559">
        <v>182301891.8918919</v>
      </c>
      <c r="P559">
        <v>246258558.55855855</v>
      </c>
      <c r="Q559">
        <v>621</v>
      </c>
      <c r="R559">
        <v>927</v>
      </c>
      <c r="S559">
        <v>211643664.86486486</v>
      </c>
      <c r="T559">
        <v>199382878.37837836</v>
      </c>
      <c r="U559">
        <v>167028962.16216218</v>
      </c>
      <c r="V559">
        <v>230074684.68468466</v>
      </c>
      <c r="W559">
        <v>18333</v>
      </c>
      <c r="X559">
        <v>18345</v>
      </c>
    </row>
    <row r="560" spans="1:24">
      <c r="A560" s="7" t="s">
        <v>652</v>
      </c>
      <c r="B560" s="16" t="s">
        <v>224</v>
      </c>
      <c r="C560">
        <v>108538121.5278632</v>
      </c>
      <c r="D560">
        <v>96344597.210375741</v>
      </c>
      <c r="E560">
        <v>273873.87387387402</v>
      </c>
      <c r="F560">
        <v>207207.207207208</v>
      </c>
      <c r="G560">
        <v>15</v>
      </c>
      <c r="H560">
        <v>25</v>
      </c>
      <c r="I560">
        <v>2</v>
      </c>
      <c r="J560">
        <v>1</v>
      </c>
      <c r="M560">
        <v>15</v>
      </c>
      <c r="N560">
        <v>27</v>
      </c>
      <c r="O560">
        <v>2375495.4954954959</v>
      </c>
      <c r="P560">
        <v>1648648.6486486481</v>
      </c>
      <c r="Q560">
        <v>9</v>
      </c>
      <c r="S560">
        <v>16123108.108108109</v>
      </c>
      <c r="T560">
        <v>15482423.423423424</v>
      </c>
      <c r="U560">
        <v>1707837.8378378369</v>
      </c>
      <c r="V560">
        <v>1591981.981981982</v>
      </c>
      <c r="W560">
        <v>1778</v>
      </c>
      <c r="X560">
        <v>1771</v>
      </c>
    </row>
    <row r="561" spans="1:24">
      <c r="A561" s="7" t="s">
        <v>653</v>
      </c>
      <c r="B561" s="16" t="s">
        <v>96</v>
      </c>
      <c r="C561">
        <v>543939220.68221998</v>
      </c>
      <c r="D561">
        <v>509143990.40543866</v>
      </c>
      <c r="E561">
        <v>15929729.729729732</v>
      </c>
      <c r="F561">
        <v>223055855.85585588</v>
      </c>
      <c r="G561">
        <v>129</v>
      </c>
      <c r="H561">
        <v>236</v>
      </c>
      <c r="I561">
        <v>1</v>
      </c>
      <c r="J561">
        <v>1</v>
      </c>
      <c r="M561">
        <v>143</v>
      </c>
      <c r="N561">
        <v>251</v>
      </c>
      <c r="O561">
        <v>17933153.153153151</v>
      </c>
      <c r="P561">
        <v>16234684.684684685</v>
      </c>
      <c r="Q561">
        <v>51</v>
      </c>
      <c r="R561">
        <v>94</v>
      </c>
      <c r="S561">
        <v>65706567.567567565</v>
      </c>
      <c r="T561">
        <v>68423459.459459454</v>
      </c>
      <c r="U561">
        <v>14265765.765765764</v>
      </c>
      <c r="V561">
        <v>10554234.234234236</v>
      </c>
      <c r="W561">
        <v>8517</v>
      </c>
      <c r="X561">
        <v>9185</v>
      </c>
    </row>
    <row r="562" spans="1:24">
      <c r="A562" s="7" t="s">
        <v>654</v>
      </c>
      <c r="B562" s="16" t="s">
        <v>66</v>
      </c>
      <c r="C562">
        <v>329208308.82557178</v>
      </c>
      <c r="D562">
        <v>314759595.58825934</v>
      </c>
      <c r="E562">
        <v>4097297.2972972961</v>
      </c>
      <c r="F562">
        <v>10123423.423423426</v>
      </c>
      <c r="G562">
        <v>132</v>
      </c>
      <c r="H562">
        <v>110</v>
      </c>
      <c r="I562">
        <v>6</v>
      </c>
      <c r="J562">
        <v>8</v>
      </c>
      <c r="M562">
        <v>139</v>
      </c>
      <c r="N562">
        <v>122</v>
      </c>
      <c r="O562">
        <v>39019549.54954955</v>
      </c>
      <c r="P562">
        <v>147497297.2972973</v>
      </c>
      <c r="Q562">
        <v>100</v>
      </c>
      <c r="R562">
        <v>37</v>
      </c>
      <c r="S562">
        <v>210052792.7927928</v>
      </c>
      <c r="T562">
        <v>204648756.75675678</v>
      </c>
      <c r="U562">
        <v>40592252.252252251</v>
      </c>
      <c r="V562">
        <v>139670270.27027026</v>
      </c>
      <c r="W562">
        <v>5439</v>
      </c>
      <c r="X562">
        <v>5510</v>
      </c>
    </row>
    <row r="563" spans="1:24">
      <c r="A563" s="7" t="s">
        <v>655</v>
      </c>
      <c r="B563" s="16" t="s">
        <v>68</v>
      </c>
      <c r="C563">
        <v>567981816.86928105</v>
      </c>
      <c r="D563">
        <v>501909551.3471213</v>
      </c>
      <c r="E563">
        <v>799369.36936937098</v>
      </c>
      <c r="F563">
        <v>1230180.180180179</v>
      </c>
      <c r="G563">
        <v>159</v>
      </c>
      <c r="H563">
        <v>87</v>
      </c>
      <c r="I563">
        <v>8</v>
      </c>
      <c r="J563">
        <v>6</v>
      </c>
      <c r="K563">
        <v>4</v>
      </c>
      <c r="M563">
        <v>172</v>
      </c>
      <c r="N563">
        <v>96</v>
      </c>
      <c r="O563">
        <v>30688828.828828827</v>
      </c>
      <c r="P563">
        <v>20859545.045045044</v>
      </c>
      <c r="Q563">
        <v>64</v>
      </c>
      <c r="R563">
        <v>93</v>
      </c>
      <c r="S563">
        <v>71692130.630630627</v>
      </c>
      <c r="T563">
        <v>66653990.990990989</v>
      </c>
      <c r="U563">
        <v>23558558.558558561</v>
      </c>
      <c r="V563">
        <v>16317567.567567568</v>
      </c>
      <c r="W563">
        <v>7162</v>
      </c>
      <c r="X563">
        <v>6818</v>
      </c>
    </row>
    <row r="564" spans="1:24">
      <c r="A564" s="7" t="s">
        <v>14</v>
      </c>
      <c r="B564" s="16" t="s">
        <v>158</v>
      </c>
      <c r="C564">
        <v>236469797.35560384</v>
      </c>
      <c r="D564">
        <v>215956119.35286278</v>
      </c>
      <c r="E564">
        <v>847973142.34234238</v>
      </c>
      <c r="F564">
        <v>1181322043.2432432</v>
      </c>
      <c r="G564">
        <v>24</v>
      </c>
      <c r="H564">
        <v>32</v>
      </c>
      <c r="I564">
        <v>9</v>
      </c>
      <c r="J564">
        <v>5</v>
      </c>
      <c r="M564">
        <v>27</v>
      </c>
      <c r="N564">
        <v>34</v>
      </c>
      <c r="O564">
        <v>133379463.96396397</v>
      </c>
      <c r="P564">
        <v>143881531.53153154</v>
      </c>
      <c r="Q564">
        <v>202</v>
      </c>
      <c r="R564">
        <v>113</v>
      </c>
      <c r="S564">
        <v>77498234.234234244</v>
      </c>
      <c r="T564">
        <v>72480945.945945948</v>
      </c>
      <c r="U564">
        <v>26918558.558558561</v>
      </c>
      <c r="V564">
        <v>46376036.036036029</v>
      </c>
      <c r="W564">
        <v>4048</v>
      </c>
      <c r="X564">
        <v>3969</v>
      </c>
    </row>
    <row r="565" spans="1:24">
      <c r="A565" s="7" t="s">
        <v>656</v>
      </c>
      <c r="B565" s="16" t="s">
        <v>304</v>
      </c>
      <c r="C565">
        <v>204388141.03392726</v>
      </c>
      <c r="D565">
        <v>231292512.10091624</v>
      </c>
      <c r="E565">
        <v>983783.783783786</v>
      </c>
      <c r="F565">
        <v>974774.77477477398</v>
      </c>
      <c r="G565">
        <v>93</v>
      </c>
      <c r="H565">
        <v>295</v>
      </c>
      <c r="I565">
        <v>8</v>
      </c>
      <c r="J565">
        <v>8</v>
      </c>
      <c r="M565">
        <v>97</v>
      </c>
      <c r="N565">
        <v>314</v>
      </c>
      <c r="O565">
        <v>37866666.666666664</v>
      </c>
      <c r="P565">
        <v>38444144.144144148</v>
      </c>
      <c r="Q565">
        <v>86</v>
      </c>
      <c r="R565">
        <v>65</v>
      </c>
      <c r="S565">
        <v>64113405.40540541</v>
      </c>
      <c r="T565">
        <v>70762698.198198199</v>
      </c>
      <c r="U565">
        <v>35802072.072072074</v>
      </c>
      <c r="V565">
        <v>38003153.153153151</v>
      </c>
      <c r="W565">
        <v>3219</v>
      </c>
      <c r="X565">
        <v>3226</v>
      </c>
    </row>
    <row r="566" spans="1:24">
      <c r="A566" s="7" t="s">
        <v>657</v>
      </c>
      <c r="B566" s="16" t="s">
        <v>48</v>
      </c>
      <c r="C566">
        <v>336412810.91248065</v>
      </c>
      <c r="D566">
        <v>288398301.24581861</v>
      </c>
      <c r="E566">
        <v>47518918.918918923</v>
      </c>
      <c r="F566">
        <v>106254954.95495497</v>
      </c>
      <c r="G566">
        <v>111</v>
      </c>
      <c r="H566">
        <v>89</v>
      </c>
      <c r="I566">
        <v>7</v>
      </c>
      <c r="J566">
        <v>5</v>
      </c>
      <c r="M566">
        <v>122</v>
      </c>
      <c r="N566">
        <v>159</v>
      </c>
      <c r="O566">
        <v>74576981.981981978</v>
      </c>
      <c r="P566">
        <v>59730720.720720723</v>
      </c>
      <c r="Q566">
        <v>41</v>
      </c>
      <c r="R566">
        <v>30</v>
      </c>
      <c r="S566">
        <v>102079225.22522523</v>
      </c>
      <c r="T566">
        <v>92162675.675675675</v>
      </c>
      <c r="U566">
        <v>68472882.882882878</v>
      </c>
      <c r="V566">
        <v>58176126.126126125</v>
      </c>
      <c r="W566">
        <v>3756</v>
      </c>
      <c r="X566">
        <v>3271</v>
      </c>
    </row>
    <row r="567" spans="1:24">
      <c r="A567" s="7" t="s">
        <v>658</v>
      </c>
      <c r="B567" s="16" t="s">
        <v>54</v>
      </c>
      <c r="C567">
        <v>94897301.39033097</v>
      </c>
      <c r="D567">
        <v>94938571.236686572</v>
      </c>
      <c r="E567">
        <v>469369.369369369</v>
      </c>
      <c r="F567">
        <v>909909.90990991006</v>
      </c>
      <c r="G567">
        <v>12</v>
      </c>
      <c r="H567">
        <v>1</v>
      </c>
      <c r="I567">
        <v>3</v>
      </c>
      <c r="J567">
        <v>2</v>
      </c>
      <c r="M567">
        <v>14</v>
      </c>
      <c r="N567">
        <v>2</v>
      </c>
      <c r="O567">
        <v>11787387.387387387</v>
      </c>
      <c r="P567">
        <v>7413513.5135135138</v>
      </c>
      <c r="Q567">
        <v>26</v>
      </c>
      <c r="R567">
        <v>15</v>
      </c>
      <c r="S567">
        <v>21522027.02702703</v>
      </c>
      <c r="T567">
        <v>21844864.864864863</v>
      </c>
      <c r="U567">
        <v>10473243.243243244</v>
      </c>
      <c r="V567">
        <v>6808648.6486486504</v>
      </c>
      <c r="W567">
        <v>1524</v>
      </c>
      <c r="X567">
        <v>1574</v>
      </c>
    </row>
    <row r="568" spans="1:24">
      <c r="A568" s="7" t="s">
        <v>659</v>
      </c>
      <c r="B568" s="16" t="s">
        <v>50</v>
      </c>
      <c r="C568">
        <v>434939212.89189625</v>
      </c>
      <c r="D568">
        <v>421236003.36680949</v>
      </c>
      <c r="E568">
        <v>1029459.459459461</v>
      </c>
      <c r="F568">
        <v>1909009.009009012</v>
      </c>
      <c r="G568">
        <v>79</v>
      </c>
      <c r="H568">
        <v>85</v>
      </c>
      <c r="I568">
        <v>21</v>
      </c>
      <c r="J568">
        <v>10</v>
      </c>
      <c r="M568">
        <v>82</v>
      </c>
      <c r="N568">
        <v>96</v>
      </c>
      <c r="O568">
        <v>91737927.927927926</v>
      </c>
      <c r="P568">
        <v>106477657.65765767</v>
      </c>
      <c r="Q568">
        <v>66</v>
      </c>
      <c r="R568">
        <v>45</v>
      </c>
      <c r="S568">
        <v>216575691.8918919</v>
      </c>
      <c r="T568">
        <v>210097648.64864865</v>
      </c>
      <c r="U568">
        <v>92264097.297297299</v>
      </c>
      <c r="V568">
        <v>100920540.54054055</v>
      </c>
      <c r="W568">
        <v>5831</v>
      </c>
      <c r="X568">
        <v>6009</v>
      </c>
    </row>
    <row r="569" spans="1:24">
      <c r="A569" s="7" t="s">
        <v>660</v>
      </c>
      <c r="B569" s="16" t="s">
        <v>83</v>
      </c>
      <c r="C569">
        <v>494184634.42165208</v>
      </c>
      <c r="D569">
        <v>510873950.93429458</v>
      </c>
      <c r="E569">
        <v>2578918.9189189202</v>
      </c>
      <c r="F569">
        <v>3794386.4864864871</v>
      </c>
      <c r="G569">
        <v>166</v>
      </c>
      <c r="H569">
        <v>135</v>
      </c>
      <c r="I569">
        <v>10</v>
      </c>
      <c r="J569">
        <v>12</v>
      </c>
      <c r="K569">
        <v>2</v>
      </c>
      <c r="M569">
        <v>270</v>
      </c>
      <c r="N569">
        <v>155</v>
      </c>
      <c r="O569">
        <v>54270360.360360362</v>
      </c>
      <c r="P569">
        <v>71617479.279279277</v>
      </c>
      <c r="Q569">
        <v>312</v>
      </c>
      <c r="R569">
        <v>142</v>
      </c>
      <c r="S569">
        <v>126141549.54954955</v>
      </c>
      <c r="T569">
        <v>129991027.02702703</v>
      </c>
      <c r="U569">
        <v>48789009.009009011</v>
      </c>
      <c r="V569">
        <v>44045990.990990989</v>
      </c>
      <c r="W569">
        <v>8849</v>
      </c>
      <c r="X569">
        <v>9088</v>
      </c>
    </row>
    <row r="570" spans="1:24">
      <c r="A570" s="12" t="s">
        <v>665</v>
      </c>
      <c r="B570" s="13"/>
      <c r="C570" s="14">
        <v>218742322435.08124</v>
      </c>
      <c r="D570" s="14">
        <v>210585963116.63852</v>
      </c>
      <c r="E570" s="14">
        <v>46923730186.486473</v>
      </c>
      <c r="F570" s="14">
        <v>49027359734.234314</v>
      </c>
      <c r="G570" s="14">
        <v>77316</v>
      </c>
      <c r="H570" s="14">
        <v>80188</v>
      </c>
      <c r="I570" s="14">
        <v>7049</v>
      </c>
      <c r="J570" s="14">
        <v>6925</v>
      </c>
      <c r="K570" s="14">
        <v>790</v>
      </c>
      <c r="L570" s="14"/>
      <c r="M570" s="14">
        <v>102017</v>
      </c>
      <c r="N570" s="14">
        <v>113645</v>
      </c>
      <c r="O570" s="14">
        <v>44142537345.94593</v>
      </c>
      <c r="P570" s="14">
        <v>45694220857.657646</v>
      </c>
      <c r="Q570" s="14">
        <v>118117</v>
      </c>
      <c r="R570" s="14">
        <v>138555</v>
      </c>
      <c r="S570" s="14">
        <v>64183696614.414436</v>
      </c>
      <c r="T570" s="14">
        <v>62810272295.495491</v>
      </c>
      <c r="U570" s="14">
        <v>32880472574.774742</v>
      </c>
      <c r="V570" s="14">
        <v>35613526882.882881</v>
      </c>
      <c r="W570" s="14">
        <v>3726761</v>
      </c>
      <c r="X570" s="14">
        <v>3714011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2026-09-30T09:17:23Z</dcterms:modified>
</cp:coreProperties>
</file>