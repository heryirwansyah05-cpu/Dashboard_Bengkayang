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7" i="1" l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<sst xmlns="http://schemas.openxmlformats.org/spreadsheetml/2006/main" count="1237" uniqueCount="678">
  <si>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</si>
  <si>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</si>
  <si>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</si>
  <si>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</si>
  <si>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</si>
  <si>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</si>
  <si>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</si>
  <si>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</si>
  <si>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</si>
  <si>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</si>
  <si>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</si>
  <si>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</si>
  <si>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</si>
  <si>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</si>
  <si>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</si>
  <si>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</si>
  <si>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</si>
  <si>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</si>
  <si>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</si>
  <si>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</si>
  <si>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</si>
  <si>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</si>
  <si>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</si>
  <si>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</si>
  <si>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</si>
  <si>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</si>
  <si>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</si>
  <si>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</si>
  <si>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</si>
  <si>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</si>
  <si>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</si>
  <si>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</si>
  <si>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</si>
  <si>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</si>
  <si>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</si>
  <si>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</si>
  <si>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</si>
  <si>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</si>
  <si>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</si>
  <si>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</si>
  <si>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</si>
  <si>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 FWA ALL CHANNEL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</si>
  <si>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</si>
  <si>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</si>
  <si>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</si>
  <si>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</si>
  <si>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</si>
  <si>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</si>
  <si>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</si>
  <si>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</si>
  <si>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</si>
  <si>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</si>
  <si>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</si>
  <si>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</si>
  <si>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</si>
  <si>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</si>
  <si>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</si>
  <si>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</si>
  <si>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</si>
  <si>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</si>
  <si>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</si>
  <si>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</si>
  <si>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</si>
  <si>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</si>
  <si>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</si>
  <si>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</si>
  <si>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</si>
  <si>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</si>
  <si>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</si>
  <si>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</si>
  <si>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</si>
  <si>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</si>
  <si>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</si>
  <si>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</si>
  <si>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</si>
  <si>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</si>
  <si>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</si>
  <si>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</si>
  <si>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</si>
  <si>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</si>
  <si>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</si>
  <si>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</si>
  <si>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</si>
  <si>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</si>
  <si>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</si>
  <si>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</si>
  <si>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</si>
  <si>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</si>
  <si>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</si>
  <si>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</si>
  <si>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</si>
  <si>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</si>
  <si>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</si>
  <si>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</si>
  <si>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</si>
  <si>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</si>
  <si>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</si>
  <si>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</si>
  <si>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</si>
  <si>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</si>
  <si>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</si>
  <si>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</si>
  <si>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</si>
  <si>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</si>
  <si>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</si>
  <si>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</si>
  <si>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</si>
  <si>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</si>
  <si>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</si>
  <si>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</si>
  <si>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</si>
  <si>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</si>
  <si>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</si>
  <si>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</si>
  <si>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</si>
  <si>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</si>
  <si>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</si>
  <si>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</si>
  <si>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</si>
  <si>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</si>
  <si>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</si>
  <si>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</si>
  <si>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</si>
  <si>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</si>
  <si>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</si>
  <si>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</si>
  <si>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</si>
  <si>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</si>
  <si>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</si>
  <si>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</si>
  <si>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</si>
  <si>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</si>
  <si>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</si>
  <si>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</si>
  <si>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</si>
  <si>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</si>
  <si>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</si>
  <si>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</si>
  <si>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</si>
  <si>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</si>
  <si>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</si>
  <si>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</si>
  <si>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</si>
  <si>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</si>
  <si>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</si>
  <si>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</si>
  <si>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</si>
  <si>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</si>
  <si>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</si>
  <si>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</si>
  <si>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</si>
  <si>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</si>
  <si>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</si>
  <si>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</si>
  <si>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</si>
  <si>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</si>
  <si>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</si>
  <si>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</si>
  <si>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</si>
  <si>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</si>
  <si>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</si>
  <si>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</si>
  <si>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</si>
  <si>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</si>
  <si>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</si>
  <si>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</si>
  <si>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</si>
  <si>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</si>
  <si>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</si>
  <si>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</si>
  <si>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</si>
  <si>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</si>
  <si>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</si>
  <si>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</si>
  <si>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</si>
  <si>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</si>
  <si>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</si>
  <si>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</si>
  <si>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</si>
  <si>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</si>
  <si>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</si>
  <si>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</si>
  <si>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</si>
  <si>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</si>
  <si>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</si>
  <si>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</si>
  <si>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</si>
  <si>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</si>
  <si>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</si>
  <si>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</si>
  <si>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</si>
  <si>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</si>
  <si>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</si>
  <si>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</si>
  <si>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</si>
  <si>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</si>
  <si>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</si>
  <si>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</si>
  <si>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</si>
  <si>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</si>
  <si>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</si>
  <si>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</si>
  <si>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</si>
  <si>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</si>
  <si>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</si>
  <si>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</si>
  <si>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</si>
  <si>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</si>
  <si>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</si>
  <si>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</si>
  <si>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</si>
  <si>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</si>
  <si>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</si>
  <si>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</si>
  <si>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</si>
  <si>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</si>
  <si>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</si>
  <si>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</si>
  <si>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</si>
  <si>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</si>
  <si>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</si>
  <si>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</si>
  <si>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</si>
  <si>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</si>
  <si>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</si>
  <si>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</si>
  <si>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</si>
  <si>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</si>
  <si>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</si>
  <si>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</si>
  <si>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</si>
  <si>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</si>
  <si>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</si>
  <si>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</si>
  <si>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</si>
  <si>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</si>
  <si>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</si>
  <si>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</si>
  <si>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</si>
  <si>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</si>
  <si>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</si>
  <si>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</si>
  <si>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</si>
  <si>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</si>
  <si>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</si>
  <si>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</si>
  <si>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</si>
  <si>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</si>
  <si>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</si>
  <si>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</si>
  <si>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</si>
  <si>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</si>
  <si>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</si>
  <si>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</si>
  <si>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</si>
  <si>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</si>
  <si>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</si>
  <si>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</si>
  <si>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</si>
  <si>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</si>
  <si>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</si>
  <si>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</si>
  <si>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</si>
  <si>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</si>
  <si>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</si>
  <si>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</si>
  <si>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</si>
  <si>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</si>
  <si>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</si>
  <si>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</si>
  <si>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</si>
  <si>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</si>
  <si>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</si>
  <si>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</si>
  <si>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</si>
  <si>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</si>
  <si>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</si>
  <si>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</si>
  <si>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</si>
  <si>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</si>
  <si>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</si>
  <si>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</si>
  <si>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</si>
  <si>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</si>
  <si>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</si>
  <si>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</si>
  <si>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</si>
  <si>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</si>
  <si>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</si>
  <si>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</si>
  <si>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</si>
  <si>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</si>
  <si>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</si>
  <si>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</si>
  <si>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</si>
  <si>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</si>
  <si>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</si>
  <si>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</si>
  <si>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</si>
  <si>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</si>
  <si>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</si>
  <si>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</si>
  <si>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</si>
  <si>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</si>
  <si>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</si>
  <si>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</si>
  <si>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</si>
  <si>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</si>
  <si>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</si>
  <si>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</si>
  <si>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</si>
  <si>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</si>
  <si>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</si>
  <si>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</si>
  <si>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</si>
  <si>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</si>
  <si>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</si>
  <si>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</si>
  <si>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</si>
  <si>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</si>
  <si>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</si>
  <si>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</si>
  <si>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</si>
  <si>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</si>
  <si>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</si>
  <si>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</si>
  <si>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</si>
  <si>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</si>
  <si>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</si>
  <si>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</si>
  <si>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</si>
  <si>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</si>
  <si>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</si>
  <si>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</si>
  <si>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</si>
  <si>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</si>
  <si>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</si>
  <si>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</si>
  <si>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</si>
  <si>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</si>
  <si>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</si>
  <si>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</si>
  <si>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</si>
  <si>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</si>
  <si>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</si>
  <si>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</si>
  <si>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</si>
  <si>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</si>
  <si>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</si>
  <si>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</si>
  <si>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</si>
  <si>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</si>
  <si>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</si>
  <si>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</si>
  <si>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</si>
  <si>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</si>
  <si>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</si>
  <si>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</si>
  <si>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</si>
  <si>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</si>
  <si>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</si>
  <si>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</si>
  <si>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</si>
  <si>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</si>
  <si>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</si>
  <si>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</si>
  <si>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</si>
  <si>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</si>
  <si>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</si>
  <si>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</si>
  <si>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</si>
  <si>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</si>
  <si>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</si>
  <si>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</si>
  <si>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</si>
  <si>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</si>
  <si>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</si>
  <si>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</si>
  <si>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</si>
  <si>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</si>
  <si>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</si>
  <si>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</si>
  <si>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</si>
  <si>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</si>
  <si>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</si>
  <si>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</si>
  <si>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</si>
  <si>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</si>
  <si>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</si>
  <si>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</si>
  <si>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</si>
  <si>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</si>
  <si>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</si>
  <si>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</si>
  <si>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</si>
  <si>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</si>
  <si>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</si>
  <si>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</si>
  <si>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</si>
  <si>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</si>
  <si>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</si>
  <si>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</si>
  <si>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</si>
  <si>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</si>
  <si>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</si>
  <si>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</si>
  <si>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</si>
  <si>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</si>
  <si>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</si>
  <si>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</si>
  <si>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</si>
  <si>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</si>
  <si>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</si>
  <si>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</si>
  <si>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</si>
  <si>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</si>
  <si>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</si>
  <si>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</si>
  <si>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</si>
  <si>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</si>
  <si>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</si>
  <si>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</si>
  <si>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</si>
  <si>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</si>
  <si>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</si>
  <si>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</si>
  <si>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</si>
  <si>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</si>
  <si>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</si>
  <si>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</si>
  <si>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</si>
  <si>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</si>
  <si>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</si>
  <si>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</si>
  <si>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</si>
  <si>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</si>
  <si>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</si>
  <si>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</si>
  <si>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</si>
  <si>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</si>
  <si>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</si>
  <si>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</si>
  <si>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</si>
  <si>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</si>
  <si>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</si>
  <si>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</si>
  <si>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</si>
  <si>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</si>
  <si>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</si>
  <si>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</si>
  <si>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</si>
  <si>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</si>
  <si>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</si>
  <si>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</si>
  <si>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</si>
  <si>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</si>
  <si>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</si>
  <si>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</si>
  <si>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</si>
  <si>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</si>
  <si>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</si>
  <si>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</si>
  <si>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</si>
  <si>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</si>
  <si>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</si>
  <si>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</si>
  <si>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</si>
  <si>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</si>
  <si>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</si>
  <si>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</si>
  <si>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</si>
  <si>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</si>
  <si>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</si>
  <si>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</si>
  <si>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</si>
  <si>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</si>
  <si>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</si>
  <si>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</si>
  <si>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</si>
  <si>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</si>
  <si>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</si>
  <si>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</si>
  <si>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</si>
  <si>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</si>
  <si>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</si>
  <si>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</si>
  <si>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</si>
  <si>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</si>
  <si>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</si>
  <si>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</si>
  <si>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</si>
  <si>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</si>
  <si>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</si>
  <si>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</si>
  <si>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</si>
  <si>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</si>
  <si>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</si>
  <si>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</si>
  <si>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</si>
  <si>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</si>
  <si>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</si>
  <si>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</si>
  <si>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</si>
  <si>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</si>
  <si>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</si>
  <si>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</si>
  <si>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</si>
  <si>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</si>
  <si>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</si>
  <si>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</si>
  <si>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</si>
  <si>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</si>
  <si>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</si>
  <si>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</si>
  <si>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</si>
  <si>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</si>
  <si>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</si>
  <si>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</si>
  <si>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</si>
  <si>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</si>
  <si>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</si>
  <si>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</si>
  <si>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</si>
  <si>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</si>
  <si>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</si>
  <si>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</si>
  <si>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</si>
  <si>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</si>
  <si>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</si>
  <si>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</si>
  <si>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</si>
  <si>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</si>
  <si>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</si>
  <si>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</si>
  <si>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</si>
  <si>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</si>
  <si>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</si>
  <si>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</si>
  <si>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</si>
  <si>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</si>
  <si>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</si>
  <si>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</si>
  <si>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</si>
  <si>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</si>
  <si>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</si>
  <si>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</si>
  <si>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</si>
  <si>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</si>
  <si>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</si>
  <si>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</si>
  <si>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</si>
  <si>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</si>
  <si>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</si>
  <si>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</si>
  <si>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</si>
  <si>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</si>
  <si>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</si>
  <si>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</si>
  <si>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</si>
  <si>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</si>
  <si>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</si>
  <si>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</si>
  <si>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</si>
  <si>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</si>
  <si>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</si>
  <si>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</si>
  <si>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</si>
  <si>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</si>
  <si>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</si>
  <si>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</si>
  <si>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</si>
  <si>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</si>
  <si>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</si>
  <si>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</si>
  <si>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</si>
  <si>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</si>
  <si>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</si>
  <si>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</si>
  <si>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</si>
  <si>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</si>
  <si>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</si>
  <si>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</si>
  <si>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</si>
  <si>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</si>
  <si>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</si>
  <si>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</si>
  <si>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</si>
  <si>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</si>
  <si>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</si>
  <si>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</si>
  <si>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</si>
  <si>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</si>
  <si>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</si>
  <si>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</si>
  <si>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</si>
  <si>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</si>
  <si>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</si>
  <si>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</si>
  <si>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</si>
  <si>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</si>
  <si>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</si>
  <si>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</si>
  <si>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</si>
  <si>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</si>
  <si>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</si>
  <si>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</si>
  <si>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</si>
  <si>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</si>
  <si>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</si>
  <si>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</si>
  <si>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</si>
  <si>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</si>
  <si>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</si>
  <si>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</si>
  <si>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</si>
  <si>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</si>
  <si>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</si>
  <si>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</si>
  <si>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</si>
  <si>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</si>
  <si>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</si>
  <si>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</si>
  <si>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</si>
  <si>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</si>
  <si>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</si>
  <si>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</si>
  <si>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</si>
  <si>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</si>
  <si>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</si>
  <si>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</si>
  <si>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</si>
  <si>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</si>
  <si>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</si>
  <si>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</si>
  <si>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</si>
  <si>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</si>
  <si>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</si>
  <si>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</si>
  <si>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</si>
  <si>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</si>
  <si>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</si>
  <si>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</si>
  <si>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</si>
  <si>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</si>
  <si>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</si>
  <si>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</si>
  <si>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</si>
  <si>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</si>
  <si>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</si>
  <si>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</si>
  <si>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</si>
  <si>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</si>
  <si>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</si>
  <si>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</si>
  <si>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</si>
  <si>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</si>
  <si>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</si>
  <si>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</si>
  <si>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</si>
  <si>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</si>
  <si>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</si>
  <si>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</si>
  <si>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Total</t>
  </si>
  <si>
    <t>SEKATAK|BULUNGAN</t>
  </si>
  <si>
    <t>TANJUNG PALAS BARAT|BULUNGAN</t>
  </si>
  <si>
    <t>BUKIT SANTUAI|KOTAWARINGIN TIMUR</t>
  </si>
  <si>
    <t>KAYAN HULU|MALINAU</t>
  </si>
  <si>
    <t>PESO HILIR|BULUNGAN</t>
  </si>
  <si>
    <t>AIR BESAR|LANDAK</t>
  </si>
  <si>
    <t>BIDUK BIDUK|BERAU</t>
  </si>
  <si>
    <t>KRAYAN TIMUR|NUNUKAN</t>
  </si>
  <si>
    <t>PINOH SELATAN|MELAWI</t>
  </si>
  <si>
    <t>PULAU SEMBILAN|KOTABARU</t>
  </si>
  <si>
    <t>PURING KENCANA|KAPUAS HULU</t>
  </si>
  <si>
    <t>SADANIANG|MEMPAWAH</t>
  </si>
  <si>
    <t>BUKIT RAYA|KATINGAN</t>
  </si>
  <si>
    <t>RAKUMPIT|KOTA PALANGKARAYA</t>
  </si>
  <si>
    <t>RUNGAN BARAT|GUNUNG 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</si>
</sst>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b/>
      <sz val="11"/>
      <name val="Calibri"/>
      <family val="2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6" fillId="0" borderId="0" xfId="0" applyFont="1" applyAlignment="1">
      <alignment vertical="top"/>
    </xf>
    <xf numFmtId="0" fontId="0" fillId="0" borderId="4" xfId="0" applyBorder="1" applyAlignment="1"/>
    <xf numFmtId="0" fontId="6" fillId="0" borderId="0" xfId="0" applyFont="1"/>
    <xf numFmtId="0" fontId="7" fillId="0" borderId="0" xfId="0" applyFont="1" applyAlignment="1">
      <alignment vertical="top"/>
    </xf>
    <xf numFmtId="0" fontId="7" fillId="0" borderId="0" xfId="0" applyFont="1"/>
  </cellXfs>
  <cellStyles count="2">
    <cellStyle name="Normal" xfId="0" builtinId="0"/>
    <cellStyle name="Percent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T22"/>
  <sheetViews>
    <sheetView zoomScale="44" workbookViewId="0">
      <pane xSplit="1" ySplit="5" topLeftCell="I12" activePane="bottomRight" state="frozen"/>
      <selection pane="topRight" activeCell="B1" sqref="B1"/>
      <selection pane="bottomLeft" activeCell="A6" sqref="A6"/>
      <selection pane="bottomRight" activeCell="A5" sqref="A5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28.6328125" style="5" customWidth="1"/>
    <col min="18" max="18" width="18" style="2" bestFit="1" customWidth="1"/>
    <col min="19" max="19" width="19.08984375" style="2" bestFit="1" customWidth="1"/>
    <col min="20" max="20" width="25.453125" style="2" customWidth="1"/>
    <col min="21" max="16384" width="11.7265625" style="2"/>
  </cols>
  <sheetData>
    <row r="4" spans="1:20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0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</row>
    <row r="6" spans="1:20" ht="64.5" customHeight="1" x14ac:dyDescent="0.35">
      <c r="A6" s="10" t="s">
        <v>1</v>
      </c>
      <c r="B6" s="1" t="s">
        <v>16</v>
      </c>
      <c r="C6" s="4">
        <f>IFERROR(VLOOKUP($A:$A,MASTER!$A:$T,3,0),0)</f>
        <v>383247848.26428044</v>
      </c>
      <c r="D6" s="4">
        <f>IFERROR(VLOOKUP($A:$A,MASTER!$A:$T,4,0),0)</f>
        <v>382211882.19388151</v>
      </c>
      <c r="E6" s="9">
        <f>IFERROR(C6/D6-1,0)</f>
        <v>2.710449671141868E-3</v>
      </c>
      <c r="F6" s="4">
        <f>IFERROR(VLOOKUP(A:A,MASTER!A:E,5,0),0)</f>
        <v>2646846.8468468501</v>
      </c>
      <c r="G6" s="4">
        <f>IFERROR(VLOOKUP(A:A,MASTER!A:F,6,0),0)</f>
        <v>3279279.27927928</v>
      </c>
      <c r="H6" s="9">
        <f>IFERROR(F6/G6-1,0)</f>
        <v>-0.19285714285714206</v>
      </c>
      <c r="I6" s="4">
        <f>IFERROR(VLOOKUP(A:A,MASTER!A:M,13,0),0)</f>
        <v>46691261.261261262</v>
      </c>
      <c r="J6" s="4">
        <f>IFERROR(VLOOKUP($A:$A,MASTER!$A:$T,14,0),0)</f>
        <v>55774099.0990991</v>
      </c>
      <c r="K6" s="9">
        <f>IFERROR(I6/J6-1,0)</f>
        <v>-0.16285046257223279</v>
      </c>
      <c r="L6" s="4">
        <f>IFERROR(VLOOKUP($A:$A,MASTER!$A:$T,15,0),0)</f>
        <v>182507738.73873875</v>
      </c>
      <c r="M6" s="4">
        <f>IFERROR(VLOOKUP($A:$A,MASTER!$A:$T,16,0),0)</f>
        <v>182612396.3963964</v>
      </c>
      <c r="N6" s="9">
        <f>IFERROR(L6/M6-1,0)</f>
        <v>-5.7311365341528031E-4</v>
      </c>
      <c r="O6" s="4">
        <f>IFERROR(VLOOKUP($A:$A,MASTER!$A:$T,17,0),0)</f>
        <v>43369819.819819823</v>
      </c>
      <c r="P6" s="4">
        <f>IFERROR(VLOOKUP($A:$A,MASTER!$A:$T,18,0),0)</f>
        <v>55122657.657657653</v>
      </c>
      <c r="Q6" s="9">
        <f>IFERROR(O6/P6-1,0)</f>
        <v>-0.21321246720050191</v>
      </c>
      <c r="R6" s="4">
        <f>IFERROR(VLOOKUP($A:$A,MASTER!$A:$T,19,0),0)</f>
        <v>8600</v>
      </c>
      <c r="S6" s="4">
        <f>IFERROR(VLOOKUP($A:$A,MASTER!$A:$T,20,0),0)</f>
        <v>8233</v>
      </c>
      <c r="T6" s="9">
        <f>IFERROR(R6/S6-1,0)</f>
        <v>4.4576703510263549E-2</v>
      </c>
    </row>
    <row r="7" spans="1:20" ht="64.5" customHeight="1" x14ac:dyDescent="0.35">
      <c r="A7" s="10" t="s">
        <v>2</v>
      </c>
      <c r="B7" s="1" t="s">
        <v>17</v>
      </c>
      <c r="C7" s="4">
        <f>IFERROR(VLOOKUP($A:$A,MASTER!$A:$T,3,0),0)</f>
        <v>36638252.177251168</v>
      </c>
      <c r="D7" s="4">
        <f>IFERROR(VLOOKUP($A:$A,MASTER!$A:$T,4,0),0)</f>
        <v>20015075.218439002</v>
      </c>
      <c r="E7" s="9">
        <f t="shared" ref="E7:E22" si="0">IFERROR(C7/D7-1,0)</f>
        <v>0.83053282475291268</v>
      </c>
      <c r="F7" s="4">
        <f>IFERROR(VLOOKUP(A:A,MASTER!A:E,5,0),0)</f>
        <v>310810.81081081199</v>
      </c>
      <c r="G7" s="4">
        <f>IFERROR(VLOOKUP(A:A,MASTER!A:F,6,0),0)</f>
        <v>373873.87387387402</v>
      </c>
      <c r="H7" s="9">
        <f t="shared" ref="H7:H22" si="1">IFERROR(F7/G7-1,0)</f>
        <v>-0.16867469879517794</v>
      </c>
      <c r="I7" s="4">
        <f>IFERROR(VLOOKUP(A:A,MASTER!A:M,13,0),0)</f>
        <v>6662162.1621621633</v>
      </c>
      <c r="J7" s="4">
        <f>IFERROR(VLOOKUP($A:$A,MASTER!$A:$T,14,0),0)</f>
        <v>3256756.7567567569</v>
      </c>
      <c r="K7" s="9">
        <f t="shared" ref="K7:K22" si="2">IFERROR(I7/J7-1,0)</f>
        <v>1.0456431535269712</v>
      </c>
      <c r="L7" s="4">
        <f>IFERROR(VLOOKUP($A:$A,MASTER!$A:$T,15,0),0)</f>
        <v>20820756.756756756</v>
      </c>
      <c r="M7" s="4">
        <f>IFERROR(VLOOKUP($A:$A,MASTER!$A:$T,16,0),0)</f>
        <v>12503243.243243244</v>
      </c>
      <c r="N7" s="9">
        <f t="shared" ref="N7:N22" si="3">IFERROR(L7/M7-1,0)</f>
        <v>0.66522848125891665</v>
      </c>
      <c r="O7" s="4">
        <f>IFERROR(VLOOKUP($A:$A,MASTER!$A:$T,17,0),0)</f>
        <v>6509009.0090090092</v>
      </c>
      <c r="P7" s="4">
        <f>IFERROR(VLOOKUP($A:$A,MASTER!$A:$T,18,0),0)</f>
        <v>3175225.2252252251</v>
      </c>
      <c r="Q7" s="9">
        <f t="shared" ref="Q7:Q22" si="4">IFERROR(O7/P7-1,0)</f>
        <v>1.049936161157611</v>
      </c>
      <c r="R7" s="4">
        <f>IFERROR(VLOOKUP($A:$A,MASTER!$A:$T,19,0),0)</f>
        <v>1120</v>
      </c>
      <c r="S7" s="4">
        <f>IFERROR(VLOOKUP($A:$A,MASTER!$A:$T,20,0),0)</f>
        <v>1192</v>
      </c>
      <c r="T7" s="9">
        <f t="shared" ref="T7:T22" si="5">IFERROR(R7/S7-1,0)</f>
        <v>-6.0402684563758413E-2</v>
      </c>
    </row>
    <row r="8" spans="1:20" ht="64.5" customHeight="1" x14ac:dyDescent="0.35">
      <c r="A8" s="10" t="s">
        <v>3</v>
      </c>
      <c r="B8" s="1" t="s">
        <v>16</v>
      </c>
      <c r="C8" s="4">
        <f>IFERROR(VLOOKUP($A:$A,MASTER!$A:$T,3,0),0)</f>
        <v>287898491.37791538</v>
      </c>
      <c r="D8" s="4">
        <f>IFERROR(VLOOKUP($A:$A,MASTER!$A:$T,4,0),0)</f>
        <v>257332181.88175741</v>
      </c>
      <c r="E8" s="9">
        <f t="shared" si="0"/>
        <v>0.11878152694559985</v>
      </c>
      <c r="F8" s="4">
        <f>IFERROR(VLOOKUP(A:A,MASTER!A:E,5,0),0)</f>
        <v>771272782.88288295</v>
      </c>
      <c r="G8" s="4">
        <f>IFERROR(VLOOKUP(A:A,MASTER!A:F,6,0),0)</f>
        <v>941876592.7927928</v>
      </c>
      <c r="H8" s="9">
        <f t="shared" si="1"/>
        <v>-0.18113180772870274</v>
      </c>
      <c r="I8" s="4">
        <f>IFERROR(VLOOKUP(A:A,MASTER!A:M,13,0),0)</f>
        <v>142607882.88288289</v>
      </c>
      <c r="J8" s="4">
        <f>IFERROR(VLOOKUP($A:$A,MASTER!$A:$T,14,0),0)</f>
        <v>171025225.22522521</v>
      </c>
      <c r="K8" s="9">
        <f t="shared" si="2"/>
        <v>-0.16615877748395991</v>
      </c>
      <c r="L8" s="4">
        <f>IFERROR(VLOOKUP($A:$A,MASTER!$A:$T,15,0),0)</f>
        <v>81413765.765765756</v>
      </c>
      <c r="M8" s="4">
        <f>IFERROR(VLOOKUP($A:$A,MASTER!$A:$T,16,0),0)</f>
        <v>74176702.702702701</v>
      </c>
      <c r="N8" s="9">
        <f t="shared" si="3"/>
        <v>9.7565176118287633E-2</v>
      </c>
      <c r="O8" s="4">
        <f>IFERROR(VLOOKUP($A:$A,MASTER!$A:$T,17,0),0)</f>
        <v>56251171.171171166</v>
      </c>
      <c r="P8" s="4">
        <f>IFERROR(VLOOKUP($A:$A,MASTER!$A:$T,18,0),0)</f>
        <v>79794234.234234244</v>
      </c>
      <c r="Q8" s="9">
        <f t="shared" si="4"/>
        <v>-0.29504717087644361</v>
      </c>
      <c r="R8" s="4">
        <f>IFERROR(VLOOKUP($A:$A,MASTER!$A:$T,19,0),0)</f>
        <v>3905</v>
      </c>
      <c r="S8" s="4">
        <f>IFERROR(VLOOKUP($A:$A,MASTER!$A:$T,20,0),0)</f>
        <v>3785</v>
      </c>
      <c r="T8" s="9">
        <f t="shared" si="5"/>
        <v>3.1704095112285335E-2</v>
      </c>
    </row>
    <row r="9" spans="1:20" ht="64.5" customHeight="1" x14ac:dyDescent="0.35">
      <c r="A9" s="10" t="s">
        <v>4</v>
      </c>
      <c r="B9" s="1" t="s">
        <v>16</v>
      </c>
      <c r="C9" s="4">
        <f>IFERROR(VLOOKUP($A:$A,MASTER!$A:$T,3,0),0)</f>
        <v>170323909.55299854</v>
      </c>
      <c r="D9" s="4">
        <f>IFERROR(VLOOKUP($A:$A,MASTER!$A:$T,4,0),0)</f>
        <v>164409247.7493127</v>
      </c>
      <c r="E9" s="9">
        <f t="shared" si="0"/>
        <v>3.5975237917908132E-2</v>
      </c>
      <c r="F9" s="4">
        <f>IFERROR(VLOOKUP(A:A,MASTER!A:E,5,0),0)</f>
        <v>2141441.4414414442</v>
      </c>
      <c r="G9" s="4">
        <f>IFERROR(VLOOKUP(A:A,MASTER!A:F,6,0),0)</f>
        <v>3249549.5495495498</v>
      </c>
      <c r="H9" s="9">
        <f t="shared" si="1"/>
        <v>-0.34100360410313202</v>
      </c>
      <c r="I9" s="4">
        <f>IFERROR(VLOOKUP(A:A,MASTER!A:M,13,0),0)</f>
        <v>27266666.666666668</v>
      </c>
      <c r="J9" s="4">
        <f>IFERROR(VLOOKUP($A:$A,MASTER!$A:$T,14,0),0)</f>
        <v>57846396.396396399</v>
      </c>
      <c r="K9" s="9">
        <f t="shared" si="2"/>
        <v>-0.52863672821000007</v>
      </c>
      <c r="L9" s="4">
        <f>IFERROR(VLOOKUP($A:$A,MASTER!$A:$T,15,0),0)</f>
        <v>59857909.909909911</v>
      </c>
      <c r="M9" s="4">
        <f>IFERROR(VLOOKUP($A:$A,MASTER!$A:$T,16,0),0)</f>
        <v>61177090.090090089</v>
      </c>
      <c r="N9" s="9">
        <f t="shared" si="3"/>
        <v>-2.1563303815816282E-2</v>
      </c>
      <c r="O9" s="4">
        <f>IFERROR(VLOOKUP($A:$A,MASTER!$A:$T,17,0),0)</f>
        <v>35637837.837837838</v>
      </c>
      <c r="P9" s="4">
        <f>IFERROR(VLOOKUP($A:$A,MASTER!$A:$T,18,0),0)</f>
        <v>48554774.774774775</v>
      </c>
      <c r="Q9" s="9">
        <f t="shared" si="4"/>
        <v>-0.26602815061656016</v>
      </c>
      <c r="R9" s="4">
        <f>IFERROR(VLOOKUP($A:$A,MASTER!$A:$T,19,0),0)</f>
        <v>3843</v>
      </c>
      <c r="S9" s="4">
        <f>IFERROR(VLOOKUP($A:$A,MASTER!$A:$T,20,0),0)</f>
        <v>3549</v>
      </c>
      <c r="T9" s="9">
        <f t="shared" si="5"/>
        <v>8.2840236686390512E-2</v>
      </c>
    </row>
    <row r="10" spans="1:20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0</v>
      </c>
      <c r="G10" s="4">
        <f>IFERROR(VLOOKUP(A:A,MASTER!A:F,6,0),0)</f>
        <v>0</v>
      </c>
      <c r="H10" s="9">
        <f t="shared" si="1"/>
        <v>0</v>
      </c>
      <c r="I10" s="4">
        <f>IFERROR(VLOOKUP(A:A,MASTER!A:M,13,0),0)</f>
        <v>0</v>
      </c>
      <c r="J10" s="4">
        <f>IFERROR(VLOOKUP($A:$A,MASTER!$A:$T,14,0),0)</f>
        <v>0</v>
      </c>
      <c r="K10" s="9">
        <f t="shared" si="2"/>
        <v>0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</row>
    <row r="11" spans="1:20" ht="64.5" customHeight="1" x14ac:dyDescent="0.35">
      <c r="A11" s="10" t="s">
        <v>5</v>
      </c>
      <c r="B11" s="1" t="s">
        <v>16</v>
      </c>
      <c r="C11" s="4">
        <f>IFERROR(VLOOKUP($A:$A,MASTER!$A:$T,3,0),0)</f>
        <v>179683053.78613251</v>
      </c>
      <c r="D11" s="4">
        <f>IFERROR(VLOOKUP($A:$A,MASTER!$A:$T,4,0),0)</f>
        <v>183807708.76067135</v>
      </c>
      <c r="E11" s="9">
        <f t="shared" si="0"/>
        <v>-2.2440054350002181E-2</v>
      </c>
      <c r="F11" s="4">
        <f>IFERROR(VLOOKUP(A:A,MASTER!A:E,5,0),0)</f>
        <v>872072.072072073</v>
      </c>
      <c r="G11" s="4">
        <f>IFERROR(VLOOKUP(A:A,MASTER!A:F,6,0),0)</f>
        <v>128828.82882883</v>
      </c>
      <c r="H11" s="9">
        <f t="shared" si="1"/>
        <v>5.769230769230715</v>
      </c>
      <c r="I11" s="4">
        <f>IFERROR(VLOOKUP(A:A,MASTER!A:M,13,0),0)</f>
        <v>13428828.828828828</v>
      </c>
      <c r="J11" s="4">
        <f>IFERROR(VLOOKUP($A:$A,MASTER!$A:$T,14,0),0)</f>
        <v>17077477.477477476</v>
      </c>
      <c r="K11" s="9">
        <f t="shared" si="2"/>
        <v>-0.21365266933952309</v>
      </c>
      <c r="L11" s="4">
        <f>IFERROR(VLOOKUP($A:$A,MASTER!$A:$T,15,0),0)</f>
        <v>76714180.180180177</v>
      </c>
      <c r="M11" s="4">
        <f>IFERROR(VLOOKUP($A:$A,MASTER!$A:$T,16,0),0)</f>
        <v>77784882.882882878</v>
      </c>
      <c r="N11" s="9">
        <f t="shared" si="3"/>
        <v>-1.3764920162119498E-2</v>
      </c>
      <c r="O11" s="4">
        <f>IFERROR(VLOOKUP($A:$A,MASTER!$A:$T,17,0),0)</f>
        <v>12499099.0990991</v>
      </c>
      <c r="P11" s="4">
        <f>IFERROR(VLOOKUP($A:$A,MASTER!$A:$T,18,0),0)</f>
        <v>15390630.630630629</v>
      </c>
      <c r="Q11" s="9">
        <f t="shared" si="4"/>
        <v>-0.18787609169027597</v>
      </c>
      <c r="R11" s="4">
        <f>IFERROR(VLOOKUP($A:$A,MASTER!$A:$T,19,0),0)</f>
        <v>3080</v>
      </c>
      <c r="S11" s="4">
        <f>IFERROR(VLOOKUP($A:$A,MASTER!$A:$T,20,0),0)</f>
        <v>3050</v>
      </c>
      <c r="T11" s="9">
        <f t="shared" si="5"/>
        <v>9.8360655737705915E-3</v>
      </c>
    </row>
    <row r="12" spans="1:20" ht="64.5" customHeight="1" x14ac:dyDescent="0.35">
      <c r="A12" s="10" t="s">
        <v>6</v>
      </c>
      <c r="B12" s="1" t="s">
        <v>17</v>
      </c>
      <c r="C12" s="4">
        <f>IFERROR(VLOOKUP($A:$A,MASTER!$A:$T,3,0),0)</f>
        <v>653027983.397434</v>
      </c>
      <c r="D12" s="4">
        <f>IFERROR(VLOOKUP($A:$A,MASTER!$A:$T,4,0),0)</f>
        <v>624016657.31114459</v>
      </c>
      <c r="E12" s="9">
        <f t="shared" si="0"/>
        <v>4.6491268696732702E-2</v>
      </c>
      <c r="F12" s="4">
        <f>IFERROR(VLOOKUP(A:A,MASTER!A:E,5,0),0)</f>
        <v>6634709.0090090176</v>
      </c>
      <c r="G12" s="4">
        <f>IFERROR(VLOOKUP(A:A,MASTER!A:F,6,0),0)</f>
        <v>27926950.45045045</v>
      </c>
      <c r="H12" s="9">
        <f t="shared" si="1"/>
        <v>-0.76242629782364935</v>
      </c>
      <c r="I12" s="4">
        <f>IFERROR(VLOOKUP(A:A,MASTER!A:M,13,0),0)</f>
        <v>226579400</v>
      </c>
      <c r="J12" s="4">
        <f>IFERROR(VLOOKUP($A:$A,MASTER!$A:$T,14,0),0)</f>
        <v>448448301.8018018</v>
      </c>
      <c r="K12" s="9">
        <f t="shared" si="2"/>
        <v>-0.49474800308165723</v>
      </c>
      <c r="L12" s="4">
        <f>IFERROR(VLOOKUP($A:$A,MASTER!$A:$T,15,0),0)</f>
        <v>442775882.88288289</v>
      </c>
      <c r="M12" s="4">
        <f>IFERROR(VLOOKUP($A:$A,MASTER!$A:$T,16,0),0)</f>
        <v>422623414.41441441</v>
      </c>
      <c r="N12" s="9">
        <f t="shared" si="3"/>
        <v>4.7684221415871253E-2</v>
      </c>
      <c r="O12" s="4">
        <f>IFERROR(VLOOKUP($A:$A,MASTER!$A:$T,17,0),0)</f>
        <v>199225405.4054054</v>
      </c>
      <c r="P12" s="4">
        <f>IFERROR(VLOOKUP($A:$A,MASTER!$A:$T,18,0),0)</f>
        <v>411788828.82882881</v>
      </c>
      <c r="Q12" s="9">
        <f t="shared" si="4"/>
        <v>-0.51619521595079787</v>
      </c>
      <c r="R12" s="4">
        <f>IFERROR(VLOOKUP($A:$A,MASTER!$A:$T,19,0),0)</f>
        <v>13215</v>
      </c>
      <c r="S12" s="4">
        <f>IFERROR(VLOOKUP($A:$A,MASTER!$A:$T,20,0),0)</f>
        <v>12924</v>
      </c>
      <c r="T12" s="9">
        <f t="shared" si="5"/>
        <v>2.2516248839368647E-2</v>
      </c>
    </row>
    <row r="13" spans="1:20" ht="64.5" customHeight="1" x14ac:dyDescent="0.35">
      <c r="A13" s="10" t="s">
        <v>7</v>
      </c>
      <c r="B13" s="1" t="s">
        <v>17</v>
      </c>
      <c r="C13" s="4">
        <f>IFERROR(VLOOKUP($A:$A,MASTER!$A:$T,3,0),0)</f>
        <v>155038068.88621864</v>
      </c>
      <c r="D13" s="4">
        <f>IFERROR(VLOOKUP($A:$A,MASTER!$A:$T,4,0),0)</f>
        <v>150940519.11541036</v>
      </c>
      <c r="E13" s="9">
        <f t="shared" si="0"/>
        <v>2.7146784672678059E-2</v>
      </c>
      <c r="F13" s="4">
        <f>IFERROR(VLOOKUP(A:A,MASTER!A:E,5,0),0)</f>
        <v>403603.603603606</v>
      </c>
      <c r="G13" s="4">
        <f>IFERROR(VLOOKUP(A:A,MASTER!A:F,6,0),0)</f>
        <v>352252.25225225301</v>
      </c>
      <c r="H13" s="9">
        <f t="shared" si="1"/>
        <v>0.14578005115089954</v>
      </c>
      <c r="I13" s="4">
        <f>IFERROR(VLOOKUP(A:A,MASTER!A:M,13,0),0)</f>
        <v>28275225.225225225</v>
      </c>
      <c r="J13" s="4">
        <f>IFERROR(VLOOKUP($A:$A,MASTER!$A:$T,14,0),0)</f>
        <v>51628828.828828827</v>
      </c>
      <c r="K13" s="9">
        <f t="shared" si="2"/>
        <v>-0.45233649752216099</v>
      </c>
      <c r="L13" s="4">
        <f>IFERROR(VLOOKUP($A:$A,MASTER!$A:$T,15,0),0)</f>
        <v>108227531.53153154</v>
      </c>
      <c r="M13" s="4">
        <f>IFERROR(VLOOKUP($A:$A,MASTER!$A:$T,16,0),0)</f>
        <v>100922000</v>
      </c>
      <c r="N13" s="9">
        <f t="shared" si="3"/>
        <v>7.2387898887571911E-2</v>
      </c>
      <c r="O13" s="4">
        <f>IFERROR(VLOOKUP($A:$A,MASTER!$A:$T,17,0),0)</f>
        <v>29408918.918918919</v>
      </c>
      <c r="P13" s="4">
        <f>IFERROR(VLOOKUP($A:$A,MASTER!$A:$T,18,0),0)</f>
        <v>51034594.59459459</v>
      </c>
      <c r="Q13" s="9">
        <f t="shared" si="4"/>
        <v>-0.42374541911157237</v>
      </c>
      <c r="R13" s="4">
        <f>IFERROR(VLOOKUP($A:$A,MASTER!$A:$T,19,0),0)</f>
        <v>5034</v>
      </c>
      <c r="S13" s="4">
        <f>IFERROR(VLOOKUP($A:$A,MASTER!$A:$T,20,0),0)</f>
        <v>5031</v>
      </c>
      <c r="T13" s="9">
        <f t="shared" si="5"/>
        <v>5.9630292188428413E-4</v>
      </c>
    </row>
    <row r="14" spans="1:20" ht="64.5" customHeight="1" x14ac:dyDescent="0.35">
      <c r="A14" s="10" t="s">
        <v>8</v>
      </c>
      <c r="B14" s="1" t="s">
        <v>16</v>
      </c>
      <c r="C14" s="4">
        <f>IFERROR(VLOOKUP($A:$A,MASTER!$A:$T,3,0),0)</f>
        <v>214199739.30538321</v>
      </c>
      <c r="D14" s="4">
        <f>IFERROR(VLOOKUP($A:$A,MASTER!$A:$T,4,0),0)</f>
        <v>217635913.23497584</v>
      </c>
      <c r="E14" s="9">
        <f t="shared" si="0"/>
        <v>-1.5788634690464431E-2</v>
      </c>
      <c r="F14" s="4">
        <f>IFERROR(VLOOKUP(A:A,MASTER!A:E,5,0),0)</f>
        <v>4509009.0090090111</v>
      </c>
      <c r="G14" s="4">
        <f>IFERROR(VLOOKUP(A:A,MASTER!A:F,6,0),0)</f>
        <v>3748648.6486486509</v>
      </c>
      <c r="H14" s="9">
        <f t="shared" si="1"/>
        <v>0.20283585676520044</v>
      </c>
      <c r="I14" s="4">
        <f>IFERROR(VLOOKUP(A:A,MASTER!A:M,13,0),0)</f>
        <v>42172072.072072074</v>
      </c>
      <c r="J14" s="4">
        <f>IFERROR(VLOOKUP($A:$A,MASTER!$A:$T,14,0),0)</f>
        <v>40614864.864864863</v>
      </c>
      <c r="K14" s="9">
        <f t="shared" si="2"/>
        <v>3.8340819608495558E-2</v>
      </c>
      <c r="L14" s="4">
        <f>IFERROR(VLOOKUP($A:$A,MASTER!$A:$T,15,0),0)</f>
        <v>63042090.090090089</v>
      </c>
      <c r="M14" s="4">
        <f>IFERROR(VLOOKUP($A:$A,MASTER!$A:$T,16,0),0)</f>
        <v>66141189.189189196</v>
      </c>
      <c r="N14" s="9">
        <f t="shared" si="3"/>
        <v>-4.6855811591692054E-2</v>
      </c>
      <c r="O14" s="4">
        <f>IFERROR(VLOOKUP($A:$A,MASTER!$A:$T,17,0),0)</f>
        <v>38611261.261261255</v>
      </c>
      <c r="P14" s="4">
        <f>IFERROR(VLOOKUP($A:$A,MASTER!$A:$T,18,0),0)</f>
        <v>37047657.657657653</v>
      </c>
      <c r="Q14" s="9">
        <f t="shared" si="4"/>
        <v>4.2205194672554569E-2</v>
      </c>
      <c r="R14" s="4">
        <f>IFERROR(VLOOKUP($A:$A,MASTER!$A:$T,19,0),0)</f>
        <v>3811</v>
      </c>
      <c r="S14" s="4">
        <f>IFERROR(VLOOKUP($A:$A,MASTER!$A:$T,20,0),0)</f>
        <v>3475</v>
      </c>
      <c r="T14" s="9">
        <f t="shared" si="5"/>
        <v>9.6690647482014391E-2</v>
      </c>
    </row>
    <row r="15" spans="1:20" ht="64.5" customHeight="1" x14ac:dyDescent="0.35">
      <c r="A15" s="10" t="s">
        <v>9</v>
      </c>
      <c r="B15" s="1" t="s">
        <v>16</v>
      </c>
      <c r="C15" s="4">
        <f>IFERROR(VLOOKUP($A:$A,MASTER!$A:$T,3,0),0)</f>
        <v>416930124.30310625</v>
      </c>
      <c r="D15" s="4">
        <f>IFERROR(VLOOKUP($A:$A,MASTER!$A:$T,4,0),0)</f>
        <v>397734721.36512661</v>
      </c>
      <c r="E15" s="9">
        <f t="shared" si="0"/>
        <v>4.8261823539308191E-2</v>
      </c>
      <c r="F15" s="4">
        <f>IFERROR(VLOOKUP(A:A,MASTER!A:E,5,0),0)</f>
        <v>11229372.97297298</v>
      </c>
      <c r="G15" s="4">
        <f>IFERROR(VLOOKUP(A:A,MASTER!A:F,6,0),0)</f>
        <v>6966829.7297297334</v>
      </c>
      <c r="H15" s="9">
        <f t="shared" si="1"/>
        <v>0.61183399172992337</v>
      </c>
      <c r="I15" s="4">
        <f>IFERROR(VLOOKUP(A:A,MASTER!A:M,13,0),0)</f>
        <v>582118329.72972977</v>
      </c>
      <c r="J15" s="4">
        <f>IFERROR(VLOOKUP($A:$A,MASTER!$A:$T,14,0),0)</f>
        <v>557254802.70270276</v>
      </c>
      <c r="K15" s="9">
        <f t="shared" si="2"/>
        <v>4.461787840398701E-2</v>
      </c>
      <c r="L15" s="4">
        <f>IFERROR(VLOOKUP($A:$A,MASTER!$A:$T,15,0),0)</f>
        <v>152273027.02702704</v>
      </c>
      <c r="M15" s="4">
        <f>IFERROR(VLOOKUP($A:$A,MASTER!$A:$T,16,0),0)</f>
        <v>145470763.96396396</v>
      </c>
      <c r="N15" s="9">
        <f t="shared" si="3"/>
        <v>4.6760344674811272E-2</v>
      </c>
      <c r="O15" s="4">
        <f>IFERROR(VLOOKUP($A:$A,MASTER!$A:$T,17,0),0)</f>
        <v>502583333.33333331</v>
      </c>
      <c r="P15" s="4">
        <f>IFERROR(VLOOKUP($A:$A,MASTER!$A:$T,18,0),0)</f>
        <v>504794279.27927929</v>
      </c>
      <c r="Q15" s="9">
        <f t="shared" si="4"/>
        <v>-4.3798950120882418E-3</v>
      </c>
      <c r="R15" s="4">
        <f>IFERROR(VLOOKUP($A:$A,MASTER!$A:$T,19,0),0)</f>
        <v>7349</v>
      </c>
      <c r="S15" s="4">
        <f>IFERROR(VLOOKUP($A:$A,MASTER!$A:$T,20,0),0)</f>
        <v>6985</v>
      </c>
      <c r="T15" s="9">
        <f t="shared" si="5"/>
        <v>5.211166785969934E-2</v>
      </c>
    </row>
    <row r="16" spans="1:20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0</v>
      </c>
      <c r="G16" s="4">
        <f>IFERROR(VLOOKUP(A:A,MASTER!A:F,6,0),0)</f>
        <v>0</v>
      </c>
      <c r="H16" s="9">
        <f t="shared" si="1"/>
        <v>0</v>
      </c>
      <c r="I16" s="4">
        <f>IFERROR(VLOOKUP(A:A,MASTER!A:M,13,0),0)</f>
        <v>0</v>
      </c>
      <c r="J16" s="4">
        <f>IFERROR(VLOOKUP($A:$A,MASTER!$A:$T,14,0),0)</f>
        <v>0</v>
      </c>
      <c r="K16" s="9">
        <f t="shared" si="2"/>
        <v>0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</row>
    <row r="17" spans="1:20" ht="64.5" customHeight="1" x14ac:dyDescent="0.35">
      <c r="A17" s="10" t="s">
        <v>10</v>
      </c>
      <c r="B17" s="1" t="s">
        <v>17</v>
      </c>
      <c r="C17" s="4">
        <f>IFERROR(VLOOKUP($A:$A,MASTER!$A:$T,3,0),0)</f>
        <v>175150300.96920884</v>
      </c>
      <c r="D17" s="4">
        <f>IFERROR(VLOOKUP($A:$A,MASTER!$A:$T,4,0),0)</f>
        <v>174572246.81269041</v>
      </c>
      <c r="E17" s="9">
        <f t="shared" si="0"/>
        <v>3.3112603353193659E-3</v>
      </c>
      <c r="F17" s="4">
        <f>IFERROR(VLOOKUP(A:A,MASTER!A:E,5,0),0)</f>
        <v>0</v>
      </c>
      <c r="G17" s="4">
        <f>IFERROR(VLOOKUP(A:A,MASTER!A:F,6,0),0)</f>
        <v>0</v>
      </c>
      <c r="H17" s="9">
        <f t="shared" si="1"/>
        <v>0</v>
      </c>
      <c r="I17" s="4">
        <f>IFERROR(VLOOKUP(A:A,MASTER!A:M,13,0),0)</f>
        <v>0</v>
      </c>
      <c r="J17" s="4">
        <f>IFERROR(VLOOKUP($A:$A,MASTER!$A:$T,14,0),0)</f>
        <v>0</v>
      </c>
      <c r="K17" s="9">
        <f t="shared" si="2"/>
        <v>0</v>
      </c>
      <c r="L17" s="4">
        <f>IFERROR(VLOOKUP($A:$A,MASTER!$A:$T,15,0),0)</f>
        <v>104928259.45945945</v>
      </c>
      <c r="M17" s="4">
        <f>IFERROR(VLOOKUP($A:$A,MASTER!$A:$T,16,0),0)</f>
        <v>103431405.4054054</v>
      </c>
      <c r="N17" s="9">
        <f t="shared" si="3"/>
        <v>1.4471949290324693E-2</v>
      </c>
      <c r="O17" s="4">
        <f>IFERROR(VLOOKUP($A:$A,MASTER!$A:$T,17,0),0)</f>
        <v>19639.639639640001</v>
      </c>
      <c r="P17" s="4">
        <f>IFERROR(VLOOKUP($A:$A,MASTER!$A:$T,18,0),0)</f>
        <v>576486.48648648604</v>
      </c>
      <c r="Q17" s="9">
        <f t="shared" si="4"/>
        <v>-0.96593217690264033</v>
      </c>
      <c r="R17" s="4">
        <f>IFERROR(VLOOKUP($A:$A,MASTER!$A:$T,19,0),0)</f>
        <v>3897</v>
      </c>
      <c r="S17" s="4">
        <f>IFERROR(VLOOKUP($A:$A,MASTER!$A:$T,20,0),0)</f>
        <v>3615</v>
      </c>
      <c r="T17" s="9">
        <f t="shared" si="5"/>
        <v>7.8008298755186667E-2</v>
      </c>
    </row>
    <row r="18" spans="1:20" ht="64.5" customHeight="1" x14ac:dyDescent="0.35">
      <c r="A18" s="10" t="s">
        <v>11</v>
      </c>
      <c r="B18" s="1" t="s">
        <v>17</v>
      </c>
      <c r="C18" s="4">
        <f>IFERROR(VLOOKUP($A:$A,MASTER!$A:$T,3,0),0)</f>
        <v>152715838.22034073</v>
      </c>
      <c r="D18" s="4">
        <f>IFERROR(VLOOKUP($A:$A,MASTER!$A:$T,4,0),0)</f>
        <v>141906739.46041289</v>
      </c>
      <c r="E18" s="9">
        <f t="shared" si="0"/>
        <v>7.6170439832726977E-2</v>
      </c>
      <c r="F18" s="4">
        <f>IFERROR(VLOOKUP(A:A,MASTER!A:E,5,0),0)</f>
        <v>397046458.55855858</v>
      </c>
      <c r="G18" s="4">
        <f>IFERROR(VLOOKUP(A:A,MASTER!A:F,6,0),0)</f>
        <v>408921902.7027027</v>
      </c>
      <c r="H18" s="9">
        <f t="shared" si="1"/>
        <v>-2.9040861019317687E-2</v>
      </c>
      <c r="I18" s="4">
        <f>IFERROR(VLOOKUP(A:A,MASTER!A:M,13,0),0)</f>
        <v>17400675.675675675</v>
      </c>
      <c r="J18" s="4">
        <f>IFERROR(VLOOKUP($A:$A,MASTER!$A:$T,14,0),0)</f>
        <v>14258783.783783784</v>
      </c>
      <c r="K18" s="9">
        <f t="shared" si="2"/>
        <v>0.22034781784580382</v>
      </c>
      <c r="L18" s="4">
        <f>IFERROR(VLOOKUP($A:$A,MASTER!$A:$T,15,0),0)</f>
        <v>51964317.567567565</v>
      </c>
      <c r="M18" s="4">
        <f>IFERROR(VLOOKUP($A:$A,MASTER!$A:$T,16,0),0)</f>
        <v>55559720.720720723</v>
      </c>
      <c r="N18" s="9">
        <f t="shared" si="3"/>
        <v>-6.4712405075360135E-2</v>
      </c>
      <c r="O18" s="4">
        <f>IFERROR(VLOOKUP($A:$A,MASTER!$A:$T,17,0),0)</f>
        <v>14823603.603603603</v>
      </c>
      <c r="P18" s="4">
        <f>IFERROR(VLOOKUP($A:$A,MASTER!$A:$T,18,0),0)</f>
        <v>12541621.621621622</v>
      </c>
      <c r="Q18" s="9">
        <f t="shared" si="4"/>
        <v>0.18195270522656082</v>
      </c>
      <c r="R18" s="4">
        <f>IFERROR(VLOOKUP($A:$A,MASTER!$A:$T,19,0),0)</f>
        <v>5056</v>
      </c>
      <c r="S18" s="4">
        <f>IFERROR(VLOOKUP($A:$A,MASTER!$A:$T,20,0),0)</f>
        <v>3968</v>
      </c>
      <c r="T18" s="9">
        <f t="shared" si="5"/>
        <v>0.27419354838709675</v>
      </c>
    </row>
    <row r="19" spans="1:20" ht="64.5" customHeight="1" x14ac:dyDescent="0.35">
      <c r="A19" s="10" t="s">
        <v>12</v>
      </c>
      <c r="B19" s="1" t="s">
        <v>17</v>
      </c>
      <c r="C19" s="4">
        <f>IFERROR(VLOOKUP($A:$A,MASTER!$A:$T,3,0),0)</f>
        <v>102631868.17780325</v>
      </c>
      <c r="D19" s="4">
        <f>IFERROR(VLOOKUP($A:$A,MASTER!$A:$T,4,0),0)</f>
        <v>92679086.465392783</v>
      </c>
      <c r="E19" s="9">
        <f t="shared" si="0"/>
        <v>0.10738972611827502</v>
      </c>
      <c r="F19" s="4">
        <f>IFERROR(VLOOKUP(A:A,MASTER!A:E,5,0),0)</f>
        <v>4344144.1441441448</v>
      </c>
      <c r="G19" s="4">
        <f>IFERROR(VLOOKUP(A:A,MASTER!A:F,6,0),0)</f>
        <v>479279.27927927999</v>
      </c>
      <c r="H19" s="9">
        <f t="shared" si="1"/>
        <v>8.0639097744360786</v>
      </c>
      <c r="I19" s="4">
        <f>IFERROR(VLOOKUP(A:A,MASTER!A:M,13,0),0)</f>
        <v>20650450.45045045</v>
      </c>
      <c r="J19" s="4">
        <f>IFERROR(VLOOKUP($A:$A,MASTER!$A:$T,14,0),0)</f>
        <v>6515315.3153153164</v>
      </c>
      <c r="K19" s="9">
        <f t="shared" si="2"/>
        <v>2.1695243362831853</v>
      </c>
      <c r="L19" s="4">
        <f>IFERROR(VLOOKUP($A:$A,MASTER!$A:$T,15,0),0)</f>
        <v>41299072.072072074</v>
      </c>
      <c r="M19" s="4">
        <f>IFERROR(VLOOKUP($A:$A,MASTER!$A:$T,16,0),0)</f>
        <v>40615729.729729727</v>
      </c>
      <c r="N19" s="9">
        <f t="shared" si="3"/>
        <v>1.6824573801567322E-2</v>
      </c>
      <c r="O19" s="4">
        <f>IFERROR(VLOOKUP($A:$A,MASTER!$A:$T,17,0),0)</f>
        <v>22983063.063063063</v>
      </c>
      <c r="P19" s="4">
        <f>IFERROR(VLOOKUP($A:$A,MASTER!$A:$T,18,0),0)</f>
        <v>8243603.6036036042</v>
      </c>
      <c r="Q19" s="9">
        <f t="shared" si="4"/>
        <v>1.7879874103864308</v>
      </c>
      <c r="R19" s="4">
        <f>IFERROR(VLOOKUP($A:$A,MASTER!$A:$T,19,0),0)</f>
        <v>4095</v>
      </c>
      <c r="S19" s="4">
        <f>IFERROR(VLOOKUP($A:$A,MASTER!$A:$T,20,0),0)</f>
        <v>2709</v>
      </c>
      <c r="T19" s="9">
        <f t="shared" si="5"/>
        <v>0.51162790697674421</v>
      </c>
    </row>
    <row r="20" spans="1:20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0</v>
      </c>
      <c r="G20" s="4">
        <f>IFERROR(VLOOKUP(A:A,MASTER!A:F,6,0),0)</f>
        <v>0</v>
      </c>
      <c r="H20" s="9">
        <f t="shared" si="1"/>
        <v>0</v>
      </c>
      <c r="I20" s="4">
        <f>IFERROR(VLOOKUP(A:A,MASTER!A:M,13,0),0)</f>
        <v>0</v>
      </c>
      <c r="J20" s="4">
        <f>IFERROR(VLOOKUP($A:$A,MASTER!$A:$T,14,0),0)</f>
        <v>0</v>
      </c>
      <c r="K20" s="9">
        <f t="shared" si="2"/>
        <v>0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</row>
    <row r="21" spans="1:20" ht="64.5" customHeight="1" x14ac:dyDescent="0.35">
      <c r="A21" s="10" t="s">
        <v>13</v>
      </c>
      <c r="B21" s="1" t="s">
        <v>16</v>
      </c>
      <c r="C21" s="4">
        <f>IFERROR(VLOOKUP($A:$A,MASTER!$A:$T,3,0),0)</f>
        <v>349856326.29565728</v>
      </c>
      <c r="D21" s="4">
        <f>IFERROR(VLOOKUP($A:$A,MASTER!$A:$T,4,0),0)</f>
        <v>329789577.42852956</v>
      </c>
      <c r="E21" s="9">
        <f t="shared" si="0"/>
        <v>6.0847128716420729E-2</v>
      </c>
      <c r="F21" s="4">
        <f>IFERROR(VLOOKUP(A:A,MASTER!A:E,5,0),0)</f>
        <v>3457657.6576576661</v>
      </c>
      <c r="G21" s="4">
        <f>IFERROR(VLOOKUP(A:A,MASTER!A:F,6,0),0)</f>
        <v>2021621.621621625</v>
      </c>
      <c r="H21" s="9">
        <f t="shared" si="1"/>
        <v>0.71033868092691743</v>
      </c>
      <c r="I21" s="4">
        <f>IFERROR(VLOOKUP(A:A,MASTER!A:M,13,0),0)</f>
        <v>72470000</v>
      </c>
      <c r="J21" s="4">
        <f>IFERROR(VLOOKUP($A:$A,MASTER!$A:$T,14,0),0)</f>
        <v>71555405.405405402</v>
      </c>
      <c r="K21" s="9">
        <f t="shared" si="2"/>
        <v>1.2781628297860337E-2</v>
      </c>
      <c r="L21" s="4">
        <f>IFERROR(VLOOKUP($A:$A,MASTER!$A:$T,15,0),0)</f>
        <v>202251621.62162164</v>
      </c>
      <c r="M21" s="4">
        <f>IFERROR(VLOOKUP($A:$A,MASTER!$A:$T,16,0),0)</f>
        <v>193679108.1081081</v>
      </c>
      <c r="N21" s="9">
        <f t="shared" si="3"/>
        <v>4.4261426011568128E-2</v>
      </c>
      <c r="O21" s="4">
        <f>IFERROR(VLOOKUP($A:$A,MASTER!$A:$T,17,0),0)</f>
        <v>70465809.009009004</v>
      </c>
      <c r="P21" s="4">
        <f>IFERROR(VLOOKUP($A:$A,MASTER!$A:$T,18,0),0)</f>
        <v>77409729.729729727</v>
      </c>
      <c r="Q21" s="9">
        <f t="shared" si="4"/>
        <v>-8.9703461631566284E-2</v>
      </c>
      <c r="R21" s="4">
        <f>IFERROR(VLOOKUP($A:$A,MASTER!$A:$T,19,0),0)</f>
        <v>8299</v>
      </c>
      <c r="S21" s="4">
        <f>IFERROR(VLOOKUP($A:$A,MASTER!$A:$T,20,0),0)</f>
        <v>7143</v>
      </c>
      <c r="T21" s="9">
        <f t="shared" si="5"/>
        <v>0.16183676326473462</v>
      </c>
    </row>
    <row r="22" spans="1:20" ht="64.5" customHeight="1" x14ac:dyDescent="0.35">
      <c r="A22" s="10" t="s">
        <v>14</v>
      </c>
      <c r="B22" s="1" t="s">
        <v>16</v>
      </c>
      <c r="C22" s="4">
        <f>IFERROR(VLOOKUP($A:$A,MASTER!$A:$T,3,0),0)</f>
        <v>178039518.19080633</v>
      </c>
      <c r="D22" s="4">
        <f>IFERROR(VLOOKUP($A:$A,MASTER!$A:$T,4,0),0)</f>
        <v>181267891.03823027</v>
      </c>
      <c r="E22" s="9">
        <f t="shared" si="0"/>
        <v>-1.7809954255732285E-2</v>
      </c>
      <c r="F22" s="4">
        <f>IFERROR(VLOOKUP(A:A,MASTER!A:E,5,0),0)</f>
        <v>933333.33333333698</v>
      </c>
      <c r="G22" s="4">
        <f>IFERROR(VLOOKUP(A:A,MASTER!A:F,6,0),0)</f>
        <v>602702.702702704</v>
      </c>
      <c r="H22" s="9">
        <f t="shared" si="1"/>
        <v>0.54857997010463655</v>
      </c>
      <c r="I22" s="4">
        <f>IFERROR(VLOOKUP(A:A,MASTER!A:M,13,0),0)</f>
        <v>36453153.153153151</v>
      </c>
      <c r="J22" s="4">
        <f>IFERROR(VLOOKUP($A:$A,MASTER!$A:$T,14,0),0)</f>
        <v>30550900.9009009</v>
      </c>
      <c r="K22" s="9">
        <f t="shared" si="2"/>
        <v>0.19319404921634242</v>
      </c>
      <c r="L22" s="4">
        <f>IFERROR(VLOOKUP($A:$A,MASTER!$A:$T,15,0),0)</f>
        <v>60251216.216216214</v>
      </c>
      <c r="M22" s="4">
        <f>IFERROR(VLOOKUP($A:$A,MASTER!$A:$T,16,0),0)</f>
        <v>64125891.891891889</v>
      </c>
      <c r="N22" s="9">
        <f t="shared" si="3"/>
        <v>-6.0422951811849868E-2</v>
      </c>
      <c r="O22" s="4">
        <f>IFERROR(VLOOKUP($A:$A,MASTER!$A:$T,17,0),0)</f>
        <v>39893333.333333336</v>
      </c>
      <c r="P22" s="4">
        <f>IFERROR(VLOOKUP($A:$A,MASTER!$A:$T,18,0),0)</f>
        <v>25914234.234234236</v>
      </c>
      <c r="Q22" s="9">
        <f t="shared" si="4"/>
        <v>0.53943708977639337</v>
      </c>
      <c r="R22" s="4">
        <f>IFERROR(VLOOKUP($A:$A,MASTER!$A:$T,19,0),0)</f>
        <v>3938</v>
      </c>
      <c r="S22" s="4">
        <f>IFERROR(VLOOKUP($A:$A,MASTER!$A:$T,20,0),0)</f>
        <v>4011</v>
      </c>
      <c r="T22" s="9">
        <f t="shared" si="5"/>
        <v>-1.8199950137122944E-2</v>
      </c>
    </row>
  </sheetData>
  <autoFilter ref="A5:T22"/>
  <conditionalFormatting sqref="E6:E22">
    <cfRule type="cellIs" dxfId="5" priority="11" operator="lessThan">
      <formula>0</formula>
    </cfRule>
  </conditionalFormatting>
  <conditionalFormatting sqref="H6:H22">
    <cfRule type="cellIs" dxfId="4" priority="5" operator="lessThan">
      <formula>0</formula>
    </cfRule>
  </conditionalFormatting>
  <conditionalFormatting sqref="K6:K22">
    <cfRule type="cellIs" dxfId="3" priority="4" operator="lessThan">
      <formula>0</formula>
    </cfRule>
  </conditionalFormatting>
  <conditionalFormatting sqref="N6:N22">
    <cfRule type="cellIs" dxfId="2" priority="3" operator="lessThan">
      <formula>0</formula>
    </cfRule>
  </conditionalFormatting>
  <conditionalFormatting sqref="Q6:Q22">
    <cfRule type="cellIs" dxfId="1" priority="2" operator="lessThan">
      <formula>0</formula>
    </cfRule>
  </conditionalFormatting>
  <conditionalFormatting sqref="T6:T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6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3" sqref="A3:T573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7.1796875" bestFit="1" customWidth="1"/>
    <col min="7" max="7" width="18.1796875" hidden="1" customWidth="1"/>
    <col min="8" max="8" width="15" hidden="1" customWidth="1"/>
    <col min="9" max="9" width="16" hidden="1" customWidth="1"/>
    <col min="10" max="10" width="18.453125" hidden="1" customWidth="1"/>
    <col min="11" max="11" width="19.453125" hidden="1" customWidth="1"/>
    <col min="12" max="12" width="0" hidden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41</v>
      </c>
      <c r="J2" s="7" t="s">
        <v>41</v>
      </c>
      <c r="K2" s="7" t="s">
        <v>42</v>
      </c>
      <c r="L2" s="7" t="s">
        <v>42</v>
      </c>
      <c r="M2" s="7" t="s">
        <v>43</v>
      </c>
      <c r="N2" s="7" t="s">
        <v>43</v>
      </c>
      <c r="O2" s="7" t="s">
        <v>44</v>
      </c>
      <c r="P2" s="7" t="s">
        <v>44</v>
      </c>
      <c r="Q2" s="7" t="s">
        <v>45</v>
      </c>
      <c r="R2" s="7" t="s">
        <v>45</v>
      </c>
      <c r="S2" s="7" t="s">
        <v>30</v>
      </c>
      <c r="T2" s="7" t="s">
        <v>30</v>
      </c>
    </row>
    <row r="3" spans="1:20" x14ac:dyDescent="0.35">
      <c r="A3" s="8" t="s">
        <v>46</v>
      </c>
      <c r="B3" s="8" t="s">
        <v>47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668</v>
      </c>
      <c r="B4" s="12" t="s">
        <v>118</v>
      </c>
      <c r="E4">
        <v>4617117.1171171172</v>
      </c>
      <c r="F4">
        <v>91066846.846846849</v>
      </c>
      <c r="M4">
        <v>2555405.405405405</v>
      </c>
      <c r="N4">
        <v>1386486.4864864859</v>
      </c>
    </row>
    <row r="5" spans="1:20" x14ac:dyDescent="0.35">
      <c r="A5" s="7" t="s">
        <v>48</v>
      </c>
      <c r="B5" s="12" t="s">
        <v>49</v>
      </c>
      <c r="C5">
        <v>551673634.95668328</v>
      </c>
      <c r="D5">
        <v>608780160.11758673</v>
      </c>
      <c r="E5">
        <v>2414189.189189191</v>
      </c>
      <c r="F5">
        <v>1800900.9009009029</v>
      </c>
      <c r="G5">
        <v>55</v>
      </c>
      <c r="H5">
        <v>23</v>
      </c>
      <c r="K5">
        <v>95</v>
      </c>
      <c r="L5">
        <v>40</v>
      </c>
      <c r="M5">
        <v>49281981.981981985</v>
      </c>
      <c r="N5">
        <v>25506756.756756756</v>
      </c>
      <c r="O5">
        <v>69203845.045045048</v>
      </c>
      <c r="P5">
        <v>86439448.648648649</v>
      </c>
      <c r="Q5">
        <v>46566486.486486487</v>
      </c>
      <c r="R5">
        <v>28961981.981981985</v>
      </c>
      <c r="S5">
        <v>8393</v>
      </c>
      <c r="T5">
        <v>8423</v>
      </c>
    </row>
    <row r="6" spans="1:20" x14ac:dyDescent="0.35">
      <c r="A6" s="7" t="s">
        <v>50</v>
      </c>
      <c r="B6" s="12" t="s">
        <v>51</v>
      </c>
      <c r="C6">
        <v>827141595.19319475</v>
      </c>
      <c r="D6">
        <v>863406867.02505708</v>
      </c>
      <c r="E6">
        <v>13935135.135135146</v>
      </c>
      <c r="F6">
        <v>11552047.747747757</v>
      </c>
      <c r="G6">
        <v>493</v>
      </c>
      <c r="H6">
        <v>531</v>
      </c>
      <c r="I6">
        <v>1</v>
      </c>
      <c r="K6">
        <v>807</v>
      </c>
      <c r="L6">
        <v>697</v>
      </c>
      <c r="M6">
        <v>234692432.43243244</v>
      </c>
      <c r="N6">
        <v>282314369.36936939</v>
      </c>
      <c r="O6">
        <v>269102545.04504508</v>
      </c>
      <c r="P6">
        <v>276731963.96396399</v>
      </c>
      <c r="Q6">
        <v>225603783.78378376</v>
      </c>
      <c r="R6">
        <v>273953423.42342341</v>
      </c>
      <c r="S6">
        <v>21520</v>
      </c>
      <c r="T6">
        <v>19455</v>
      </c>
    </row>
    <row r="7" spans="1:20" x14ac:dyDescent="0.35">
      <c r="A7" s="7" t="s">
        <v>52</v>
      </c>
      <c r="B7" s="12" t="s">
        <v>53</v>
      </c>
      <c r="C7">
        <v>209387951.5019179</v>
      </c>
      <c r="D7">
        <v>218403377.16066092</v>
      </c>
      <c r="E7">
        <v>4726126.1261261264</v>
      </c>
      <c r="F7">
        <v>4417567.5675675701</v>
      </c>
      <c r="G7">
        <v>107</v>
      </c>
      <c r="H7">
        <v>144</v>
      </c>
      <c r="K7">
        <v>119</v>
      </c>
      <c r="L7">
        <v>163</v>
      </c>
      <c r="M7">
        <v>67665315.315315306</v>
      </c>
      <c r="N7">
        <v>35893063.063063063</v>
      </c>
      <c r="O7">
        <v>70644045.045045048</v>
      </c>
      <c r="P7">
        <v>73348378.378378391</v>
      </c>
      <c r="Q7">
        <v>55997477.477477483</v>
      </c>
      <c r="R7">
        <v>33819909.909909911</v>
      </c>
      <c r="S7">
        <v>4856</v>
      </c>
      <c r="T7">
        <v>4851</v>
      </c>
    </row>
    <row r="8" spans="1:20" x14ac:dyDescent="0.35">
      <c r="A8" s="7" t="s">
        <v>54</v>
      </c>
      <c r="B8" s="12" t="s">
        <v>55</v>
      </c>
      <c r="C8">
        <v>113289092.41579008</v>
      </c>
      <c r="D8">
        <v>104202541.55492039</v>
      </c>
      <c r="E8">
        <v>2427927.9279279318</v>
      </c>
      <c r="F8">
        <v>2322072.0720720752</v>
      </c>
      <c r="G8">
        <v>26</v>
      </c>
      <c r="H8">
        <v>54</v>
      </c>
      <c r="K8">
        <v>56</v>
      </c>
      <c r="L8">
        <v>71</v>
      </c>
      <c r="M8">
        <v>11706036.036036041</v>
      </c>
      <c r="N8">
        <v>17393513.513513513</v>
      </c>
      <c r="O8">
        <v>36061740.990990989</v>
      </c>
      <c r="P8">
        <v>34120324.324324325</v>
      </c>
      <c r="Q8">
        <v>12250630.630630633</v>
      </c>
      <c r="R8">
        <v>16367117.117117116</v>
      </c>
      <c r="S8">
        <v>4463</v>
      </c>
      <c r="T8">
        <v>2838</v>
      </c>
    </row>
    <row r="9" spans="1:20" x14ac:dyDescent="0.35">
      <c r="A9" s="7" t="s">
        <v>56</v>
      </c>
      <c r="B9" s="12" t="s">
        <v>55</v>
      </c>
      <c r="C9">
        <v>186408042.96961764</v>
      </c>
      <c r="D9">
        <v>193846631.40442622</v>
      </c>
      <c r="E9">
        <v>3687387.3873873879</v>
      </c>
      <c r="F9">
        <v>3456756.7567567588</v>
      </c>
      <c r="G9">
        <v>95</v>
      </c>
      <c r="H9">
        <v>132</v>
      </c>
      <c r="K9">
        <v>515</v>
      </c>
      <c r="L9">
        <v>404</v>
      </c>
      <c r="M9">
        <v>33547927.927927926</v>
      </c>
      <c r="N9">
        <v>138012342.34234235</v>
      </c>
      <c r="O9">
        <v>54560531.531531535</v>
      </c>
      <c r="P9">
        <v>58668971.171171166</v>
      </c>
      <c r="Q9">
        <v>58627837.837837838</v>
      </c>
      <c r="R9">
        <v>63395945.945945941</v>
      </c>
      <c r="S9">
        <v>5446</v>
      </c>
      <c r="T9">
        <v>6407</v>
      </c>
    </row>
    <row r="10" spans="1:20" x14ac:dyDescent="0.35">
      <c r="A10" s="7" t="s">
        <v>57</v>
      </c>
      <c r="B10" s="12" t="s">
        <v>55</v>
      </c>
      <c r="C10">
        <v>91764876.167296395</v>
      </c>
      <c r="D10">
        <v>97043934.828647122</v>
      </c>
      <c r="E10">
        <v>1549549.549549551</v>
      </c>
      <c r="F10">
        <v>2755855.8558558561</v>
      </c>
      <c r="G10">
        <v>23</v>
      </c>
      <c r="H10">
        <v>55</v>
      </c>
      <c r="K10">
        <v>25</v>
      </c>
      <c r="L10">
        <v>87</v>
      </c>
      <c r="M10">
        <v>9081621.6216216218</v>
      </c>
      <c r="N10">
        <v>15950810.81081081</v>
      </c>
      <c r="O10">
        <v>27318396.396396395</v>
      </c>
      <c r="P10">
        <v>31655837.837837838</v>
      </c>
      <c r="Q10">
        <v>8665855.8558558561</v>
      </c>
      <c r="R10">
        <v>14145135.135135135</v>
      </c>
      <c r="S10">
        <v>2538</v>
      </c>
      <c r="T10">
        <v>2094</v>
      </c>
    </row>
    <row r="11" spans="1:20" x14ac:dyDescent="0.35">
      <c r="A11" s="7" t="s">
        <v>58</v>
      </c>
      <c r="B11" s="12" t="s">
        <v>59</v>
      </c>
      <c r="C11">
        <v>244980527.90526149</v>
      </c>
      <c r="D11">
        <v>241842317.79063937</v>
      </c>
      <c r="E11">
        <v>1081981.9819819829</v>
      </c>
      <c r="F11">
        <v>306306.30630630802</v>
      </c>
      <c r="G11">
        <v>85</v>
      </c>
      <c r="H11">
        <v>62</v>
      </c>
      <c r="I11">
        <v>1</v>
      </c>
      <c r="K11">
        <v>89</v>
      </c>
      <c r="L11">
        <v>74</v>
      </c>
      <c r="M11">
        <v>4514414.4144144142</v>
      </c>
      <c r="N11">
        <v>6972972.9729729723</v>
      </c>
      <c r="O11">
        <v>45398682.882882878</v>
      </c>
      <c r="P11">
        <v>49327873.873873875</v>
      </c>
      <c r="Q11">
        <v>3973513.5135135148</v>
      </c>
      <c r="R11">
        <v>4882792.7927927943</v>
      </c>
      <c r="S11">
        <v>5697</v>
      </c>
      <c r="T11">
        <v>5464</v>
      </c>
    </row>
    <row r="12" spans="1:20" x14ac:dyDescent="0.35">
      <c r="A12" s="7" t="s">
        <v>60</v>
      </c>
      <c r="B12" s="12" t="s">
        <v>61</v>
      </c>
      <c r="C12">
        <v>105434585.04540311</v>
      </c>
      <c r="D12">
        <v>108791532.58214532</v>
      </c>
      <c r="E12">
        <v>1073873.8738738771</v>
      </c>
      <c r="F12">
        <v>1122972.9729729721</v>
      </c>
      <c r="G12">
        <v>39</v>
      </c>
      <c r="H12">
        <v>37</v>
      </c>
      <c r="I12">
        <v>1</v>
      </c>
      <c r="K12">
        <v>68</v>
      </c>
      <c r="L12">
        <v>81</v>
      </c>
      <c r="M12">
        <v>16803603.603603601</v>
      </c>
      <c r="N12">
        <v>20681531.531531535</v>
      </c>
      <c r="O12">
        <v>49248972.972972974</v>
      </c>
      <c r="P12">
        <v>52655495.495495498</v>
      </c>
      <c r="Q12">
        <v>11385405.405405406</v>
      </c>
      <c r="R12">
        <v>14124954.954954956</v>
      </c>
      <c r="S12">
        <v>3215</v>
      </c>
      <c r="T12">
        <v>2638</v>
      </c>
    </row>
    <row r="13" spans="1:20" x14ac:dyDescent="0.35">
      <c r="A13" s="7" t="s">
        <v>62</v>
      </c>
      <c r="B13" s="12" t="s">
        <v>63</v>
      </c>
      <c r="C13">
        <v>480907823.47772914</v>
      </c>
      <c r="D13">
        <v>495584172.5447607</v>
      </c>
      <c r="E13">
        <v>5136486.4864864964</v>
      </c>
      <c r="F13">
        <v>4699099.0990991062</v>
      </c>
      <c r="G13">
        <v>64</v>
      </c>
      <c r="H13">
        <v>30</v>
      </c>
      <c r="K13">
        <v>66</v>
      </c>
      <c r="L13">
        <v>57</v>
      </c>
      <c r="M13">
        <v>68552072.072072074</v>
      </c>
      <c r="N13">
        <v>72188288.288288295</v>
      </c>
      <c r="O13">
        <v>50545322.522522531</v>
      </c>
      <c r="P13">
        <v>60666313.513513513</v>
      </c>
      <c r="Q13">
        <v>67419999.999999985</v>
      </c>
      <c r="R13">
        <v>63294414.414414406</v>
      </c>
      <c r="S13">
        <v>8844</v>
      </c>
      <c r="T13">
        <v>9036</v>
      </c>
    </row>
    <row r="14" spans="1:20" x14ac:dyDescent="0.35">
      <c r="A14" s="7" t="s">
        <v>64</v>
      </c>
      <c r="B14" s="12" t="s">
        <v>51</v>
      </c>
      <c r="C14">
        <v>255843074.52030766</v>
      </c>
      <c r="D14">
        <v>252940218.60444856</v>
      </c>
      <c r="E14">
        <v>2988288.2882882929</v>
      </c>
      <c r="F14">
        <v>3816666.6666666721</v>
      </c>
      <c r="G14">
        <v>79</v>
      </c>
      <c r="H14">
        <v>75</v>
      </c>
      <c r="K14">
        <v>117</v>
      </c>
      <c r="L14">
        <v>84</v>
      </c>
      <c r="M14">
        <v>82993873.873873875</v>
      </c>
      <c r="N14">
        <v>51887189.189189196</v>
      </c>
      <c r="O14">
        <v>99853882.882882878</v>
      </c>
      <c r="P14">
        <v>101233576.57657658</v>
      </c>
      <c r="Q14">
        <v>81160630.630630627</v>
      </c>
      <c r="R14">
        <v>51230900.900900893</v>
      </c>
      <c r="S14">
        <v>5589</v>
      </c>
      <c r="T14">
        <v>5493</v>
      </c>
    </row>
    <row r="15" spans="1:20" x14ac:dyDescent="0.35">
      <c r="A15" s="7" t="s">
        <v>65</v>
      </c>
      <c r="B15" s="12" t="s">
        <v>51</v>
      </c>
      <c r="C15">
        <v>261571689.69835454</v>
      </c>
      <c r="D15">
        <v>258889140.68431276</v>
      </c>
      <c r="E15">
        <v>3515315.3153153169</v>
      </c>
      <c r="F15">
        <v>3864864.8648648672</v>
      </c>
      <c r="G15">
        <v>59</v>
      </c>
      <c r="H15">
        <v>37</v>
      </c>
      <c r="K15">
        <v>77</v>
      </c>
      <c r="L15">
        <v>45</v>
      </c>
      <c r="M15">
        <v>31076846.846846849</v>
      </c>
      <c r="N15">
        <v>43088648.648648649</v>
      </c>
      <c r="O15">
        <v>99899693.693693697</v>
      </c>
      <c r="P15">
        <v>100512045.04504503</v>
      </c>
      <c r="Q15">
        <v>29019639.639639638</v>
      </c>
      <c r="R15">
        <v>33505405.405405402</v>
      </c>
      <c r="S15">
        <v>5669</v>
      </c>
      <c r="T15">
        <v>5481</v>
      </c>
    </row>
    <row r="16" spans="1:20" x14ac:dyDescent="0.35">
      <c r="A16" s="7" t="s">
        <v>66</v>
      </c>
      <c r="B16" s="12" t="s">
        <v>67</v>
      </c>
      <c r="C16">
        <v>266426339.78425619</v>
      </c>
      <c r="D16">
        <v>262274753.31919849</v>
      </c>
      <c r="E16">
        <v>6736936.9369369401</v>
      </c>
      <c r="F16">
        <v>12418468.468468469</v>
      </c>
      <c r="G16">
        <v>53</v>
      </c>
      <c r="H16">
        <v>73</v>
      </c>
      <c r="K16">
        <v>61</v>
      </c>
      <c r="L16">
        <v>84</v>
      </c>
      <c r="M16">
        <v>147275765.76576576</v>
      </c>
      <c r="N16">
        <v>178943693.6936937</v>
      </c>
      <c r="O16">
        <v>134934891.8918919</v>
      </c>
      <c r="P16">
        <v>131966630.63063063</v>
      </c>
      <c r="Q16">
        <v>126860450.45045045</v>
      </c>
      <c r="R16">
        <v>169279009.00900903</v>
      </c>
      <c r="S16">
        <v>6684</v>
      </c>
      <c r="T16">
        <v>5572</v>
      </c>
    </row>
    <row r="17" spans="1:20" x14ac:dyDescent="0.35">
      <c r="A17" s="7" t="s">
        <v>68</v>
      </c>
      <c r="B17" s="12" t="s">
        <v>69</v>
      </c>
      <c r="C17">
        <v>154011194.68179917</v>
      </c>
      <c r="D17">
        <v>157933556.77802289</v>
      </c>
      <c r="E17">
        <v>36293693.693693697</v>
      </c>
      <c r="F17">
        <v>24104504.504504506</v>
      </c>
      <c r="G17">
        <v>53</v>
      </c>
      <c r="H17">
        <v>30</v>
      </c>
      <c r="K17">
        <v>56</v>
      </c>
      <c r="L17">
        <v>36</v>
      </c>
      <c r="M17">
        <v>30100990.990990993</v>
      </c>
      <c r="N17">
        <v>27464144.144144144</v>
      </c>
      <c r="O17">
        <v>41530990.990990989</v>
      </c>
      <c r="P17">
        <v>46801342.342342347</v>
      </c>
      <c r="Q17">
        <v>20234504.504504506</v>
      </c>
      <c r="R17">
        <v>20639729.729729727</v>
      </c>
      <c r="S17">
        <v>3282</v>
      </c>
      <c r="T17">
        <v>3117</v>
      </c>
    </row>
    <row r="18" spans="1:20" x14ac:dyDescent="0.35">
      <c r="A18" s="7" t="s">
        <v>70</v>
      </c>
      <c r="B18" s="12" t="s">
        <v>71</v>
      </c>
      <c r="C18">
        <v>12132109.193725402</v>
      </c>
      <c r="D18">
        <v>11962589.481165441</v>
      </c>
      <c r="E18">
        <v>116216.216216217</v>
      </c>
      <c r="F18">
        <v>531531.53153153195</v>
      </c>
      <c r="G18">
        <v>3</v>
      </c>
      <c r="H18">
        <v>3</v>
      </c>
      <c r="K18">
        <v>3</v>
      </c>
      <c r="L18">
        <v>3</v>
      </c>
      <c r="M18">
        <v>404504.50450450502</v>
      </c>
      <c r="N18">
        <v>2117117.1171171172</v>
      </c>
      <c r="O18">
        <v>3631409.9099099101</v>
      </c>
      <c r="P18">
        <v>3829135.1351351351</v>
      </c>
      <c r="Q18">
        <v>404054.05405405402</v>
      </c>
      <c r="R18">
        <v>1709909.9099099101</v>
      </c>
      <c r="S18">
        <v>401</v>
      </c>
      <c r="T18">
        <v>307</v>
      </c>
    </row>
    <row r="19" spans="1:20" x14ac:dyDescent="0.35">
      <c r="A19" s="7" t="s">
        <v>72</v>
      </c>
      <c r="B19" s="12" t="s">
        <v>73</v>
      </c>
      <c r="C19">
        <v>2073444805.0885296</v>
      </c>
      <c r="D19">
        <v>2139910193.6133161</v>
      </c>
      <c r="E19">
        <v>497187827.92792791</v>
      </c>
      <c r="F19">
        <v>791112627.02702713</v>
      </c>
      <c r="G19">
        <v>630</v>
      </c>
      <c r="H19">
        <v>800</v>
      </c>
      <c r="I19">
        <v>21</v>
      </c>
      <c r="K19">
        <v>901</v>
      </c>
      <c r="L19">
        <v>1255</v>
      </c>
      <c r="M19">
        <v>225677034.23423424</v>
      </c>
      <c r="N19">
        <v>274377477.47747749</v>
      </c>
      <c r="O19">
        <v>425559684.68468469</v>
      </c>
      <c r="P19">
        <v>541837146.84684682</v>
      </c>
      <c r="Q19">
        <v>196495718.91891891</v>
      </c>
      <c r="R19">
        <v>224941664.86486486</v>
      </c>
      <c r="S19">
        <v>47628</v>
      </c>
      <c r="T19">
        <v>49367</v>
      </c>
    </row>
    <row r="20" spans="1:20" x14ac:dyDescent="0.35">
      <c r="A20" s="7" t="s">
        <v>74</v>
      </c>
      <c r="B20" s="12" t="s">
        <v>73</v>
      </c>
      <c r="C20">
        <v>197701273.2595033</v>
      </c>
      <c r="D20">
        <v>203151143.74778205</v>
      </c>
      <c r="E20">
        <v>254954.95495495599</v>
      </c>
      <c r="F20">
        <v>108108.108108108</v>
      </c>
      <c r="G20">
        <v>43</v>
      </c>
      <c r="H20">
        <v>39</v>
      </c>
      <c r="I20">
        <v>1</v>
      </c>
      <c r="K20">
        <v>45</v>
      </c>
      <c r="L20">
        <v>43</v>
      </c>
      <c r="M20">
        <v>5345045.0450450461</v>
      </c>
      <c r="N20">
        <v>6594594.5945945941</v>
      </c>
      <c r="O20">
        <v>28840513.513513513</v>
      </c>
      <c r="P20">
        <v>31208918.918918919</v>
      </c>
      <c r="Q20">
        <v>5666486.4864864871</v>
      </c>
      <c r="R20">
        <v>4541441.441441441</v>
      </c>
      <c r="S20">
        <v>3348</v>
      </c>
      <c r="T20">
        <v>3724</v>
      </c>
    </row>
    <row r="21" spans="1:20" x14ac:dyDescent="0.35">
      <c r="A21" s="7" t="s">
        <v>75</v>
      </c>
      <c r="B21" s="12" t="s">
        <v>71</v>
      </c>
      <c r="C21">
        <v>212386473.79488826</v>
      </c>
      <c r="D21">
        <v>211402875.33766803</v>
      </c>
      <c r="E21">
        <v>5711711.7117117178</v>
      </c>
      <c r="F21">
        <v>8845945.9459459428</v>
      </c>
      <c r="G21">
        <v>63</v>
      </c>
      <c r="H21">
        <v>48</v>
      </c>
      <c r="I21">
        <v>1</v>
      </c>
      <c r="K21">
        <v>78</v>
      </c>
      <c r="L21">
        <v>85</v>
      </c>
      <c r="M21">
        <v>49094594.594594598</v>
      </c>
      <c r="N21">
        <v>255960360.36036035</v>
      </c>
      <c r="O21">
        <v>77393576.576576576</v>
      </c>
      <c r="P21">
        <v>77852567.567567572</v>
      </c>
      <c r="Q21">
        <v>45229729.729729727</v>
      </c>
      <c r="R21">
        <v>250165495.4954955</v>
      </c>
      <c r="S21">
        <v>5004</v>
      </c>
      <c r="T21">
        <v>5043</v>
      </c>
    </row>
    <row r="22" spans="1:20" x14ac:dyDescent="0.35">
      <c r="A22" s="7" t="s">
        <v>76</v>
      </c>
      <c r="B22" s="12" t="s">
        <v>77</v>
      </c>
      <c r="C22">
        <v>61086172.975958139</v>
      </c>
      <c r="D22">
        <v>64540248.502858721</v>
      </c>
      <c r="E22">
        <v>557657.65765765798</v>
      </c>
      <c r="F22">
        <v>449549.54954954999</v>
      </c>
      <c r="G22">
        <v>18</v>
      </c>
      <c r="H22">
        <v>31</v>
      </c>
      <c r="K22">
        <v>19</v>
      </c>
      <c r="L22">
        <v>33</v>
      </c>
      <c r="M22">
        <v>7553513.5135135129</v>
      </c>
      <c r="N22">
        <v>9955855.8558558561</v>
      </c>
      <c r="O22">
        <v>15329018.018018017</v>
      </c>
      <c r="P22">
        <v>18798819.819819819</v>
      </c>
      <c r="Q22">
        <v>5626756.7567567574</v>
      </c>
      <c r="R22">
        <v>7785495.4954954972</v>
      </c>
      <c r="S22">
        <v>1493</v>
      </c>
      <c r="T22">
        <v>1488</v>
      </c>
    </row>
    <row r="23" spans="1:20" x14ac:dyDescent="0.35">
      <c r="A23" s="7" t="s">
        <v>78</v>
      </c>
      <c r="B23" s="12" t="s">
        <v>79</v>
      </c>
      <c r="C23">
        <v>131532525.31667702</v>
      </c>
      <c r="D23">
        <v>137402216.53001493</v>
      </c>
      <c r="E23">
        <v>1863963.9639639619</v>
      </c>
      <c r="F23">
        <v>2661711.7117117131</v>
      </c>
      <c r="G23">
        <v>24</v>
      </c>
      <c r="H23">
        <v>49</v>
      </c>
      <c r="K23">
        <v>26</v>
      </c>
      <c r="L23">
        <v>75</v>
      </c>
      <c r="M23">
        <v>15800900.9009009</v>
      </c>
      <c r="N23">
        <v>23927477.477477476</v>
      </c>
      <c r="O23">
        <v>43264558.558558561</v>
      </c>
      <c r="P23">
        <v>44964792.79279279</v>
      </c>
      <c r="Q23">
        <v>16480900.900900899</v>
      </c>
      <c r="R23">
        <v>23123513.513513513</v>
      </c>
      <c r="S23">
        <v>2617</v>
      </c>
      <c r="T23">
        <v>2484</v>
      </c>
    </row>
    <row r="24" spans="1:20" x14ac:dyDescent="0.35">
      <c r="A24" s="7" t="s">
        <v>80</v>
      </c>
      <c r="B24" s="12" t="s">
        <v>81</v>
      </c>
      <c r="C24">
        <v>1227155489.5867455</v>
      </c>
      <c r="D24">
        <v>1364902162.8212018</v>
      </c>
      <c r="E24">
        <v>7477477.4774774881</v>
      </c>
      <c r="F24">
        <v>13973423.423423434</v>
      </c>
      <c r="G24">
        <v>798</v>
      </c>
      <c r="H24">
        <v>835</v>
      </c>
      <c r="I24">
        <v>6</v>
      </c>
      <c r="K24">
        <v>904</v>
      </c>
      <c r="L24">
        <v>1160</v>
      </c>
      <c r="M24">
        <v>175008108.1081081</v>
      </c>
      <c r="N24">
        <v>168295045.04504502</v>
      </c>
      <c r="O24">
        <v>320917840.0900901</v>
      </c>
      <c r="P24">
        <v>422211428.82882881</v>
      </c>
      <c r="Q24">
        <v>161650810.8108108</v>
      </c>
      <c r="R24">
        <v>146826936.93693691</v>
      </c>
      <c r="S24">
        <v>29088</v>
      </c>
      <c r="T24">
        <v>26296</v>
      </c>
    </row>
    <row r="25" spans="1:20" x14ac:dyDescent="0.35">
      <c r="A25" s="7" t="s">
        <v>82</v>
      </c>
      <c r="B25" s="12" t="s">
        <v>55</v>
      </c>
      <c r="C25">
        <v>38254721.320915446</v>
      </c>
      <c r="D25">
        <v>35109858.496394232</v>
      </c>
      <c r="E25">
        <v>445045.04504504701</v>
      </c>
      <c r="F25">
        <v>315315.31531531602</v>
      </c>
      <c r="G25">
        <v>10</v>
      </c>
      <c r="H25">
        <v>9</v>
      </c>
      <c r="K25">
        <v>16</v>
      </c>
      <c r="L25">
        <v>9</v>
      </c>
      <c r="M25">
        <v>3132252.2522522518</v>
      </c>
      <c r="N25">
        <v>3523423.4234234239</v>
      </c>
      <c r="O25">
        <v>9018090.0900900904</v>
      </c>
      <c r="P25">
        <v>9831378.3783783782</v>
      </c>
      <c r="Q25">
        <v>2619459.4594594599</v>
      </c>
      <c r="R25">
        <v>2808018.0180180171</v>
      </c>
      <c r="S25">
        <v>1530</v>
      </c>
      <c r="T25">
        <v>1442</v>
      </c>
    </row>
    <row r="26" spans="1:20" x14ac:dyDescent="0.35">
      <c r="A26" s="7" t="s">
        <v>83</v>
      </c>
      <c r="B26" s="12" t="s">
        <v>84</v>
      </c>
      <c r="C26">
        <v>879243321.64899385</v>
      </c>
      <c r="D26">
        <v>871314696.94226944</v>
      </c>
      <c r="E26">
        <v>9820945.9459459484</v>
      </c>
      <c r="F26">
        <v>14376576.576576581</v>
      </c>
      <c r="G26">
        <v>168</v>
      </c>
      <c r="H26">
        <v>139</v>
      </c>
      <c r="I26">
        <v>2</v>
      </c>
      <c r="K26">
        <v>211</v>
      </c>
      <c r="L26">
        <v>187</v>
      </c>
      <c r="M26">
        <v>176545495.4954955</v>
      </c>
      <c r="N26">
        <v>186077927.92792794</v>
      </c>
      <c r="O26">
        <v>257938687.83783782</v>
      </c>
      <c r="P26">
        <v>272504443.24324322</v>
      </c>
      <c r="Q26">
        <v>132329459.45945945</v>
      </c>
      <c r="R26">
        <v>148980360.36036035</v>
      </c>
      <c r="S26">
        <v>15112</v>
      </c>
      <c r="T26">
        <v>15036</v>
      </c>
    </row>
    <row r="27" spans="1:20" x14ac:dyDescent="0.35">
      <c r="A27" s="7" t="s">
        <v>85</v>
      </c>
      <c r="B27" s="12" t="s">
        <v>86</v>
      </c>
      <c r="C27">
        <v>81341731.095945731</v>
      </c>
      <c r="D27">
        <v>78933574.324314356</v>
      </c>
      <c r="E27">
        <v>1681756.7567567569</v>
      </c>
      <c r="F27">
        <v>3060360.3603603621</v>
      </c>
      <c r="G27">
        <v>45</v>
      </c>
      <c r="H27">
        <v>133</v>
      </c>
      <c r="K27">
        <v>54</v>
      </c>
      <c r="L27">
        <v>151</v>
      </c>
      <c r="M27">
        <v>170168018.01801801</v>
      </c>
      <c r="N27">
        <v>138011261.26126125</v>
      </c>
      <c r="O27">
        <v>29135567.567567568</v>
      </c>
      <c r="P27">
        <v>38184990.990990989</v>
      </c>
      <c r="Q27">
        <v>146466396.3963964</v>
      </c>
      <c r="R27">
        <v>109475762.16216215</v>
      </c>
      <c r="S27">
        <v>2300</v>
      </c>
      <c r="T27">
        <v>2222</v>
      </c>
    </row>
    <row r="28" spans="1:20" x14ac:dyDescent="0.35">
      <c r="A28" s="7" t="s">
        <v>87</v>
      </c>
      <c r="B28" s="12" t="s">
        <v>88</v>
      </c>
      <c r="C28">
        <v>3135690.1566716889</v>
      </c>
      <c r="D28">
        <v>3875845.2217165888</v>
      </c>
      <c r="G28">
        <v>1</v>
      </c>
      <c r="K28">
        <v>2</v>
      </c>
      <c r="O28">
        <v>1526855.8558558561</v>
      </c>
      <c r="P28">
        <v>2114054.054054054</v>
      </c>
      <c r="S28">
        <v>178</v>
      </c>
      <c r="T28">
        <v>151</v>
      </c>
    </row>
    <row r="29" spans="1:20" x14ac:dyDescent="0.35">
      <c r="A29" s="7" t="s">
        <v>89</v>
      </c>
      <c r="B29" s="12" t="s">
        <v>90</v>
      </c>
      <c r="C29">
        <v>179370192.18532577</v>
      </c>
      <c r="D29">
        <v>192350227.27350521</v>
      </c>
      <c r="E29">
        <v>3054054.0540540582</v>
      </c>
      <c r="F29">
        <v>3081081.0810810849</v>
      </c>
      <c r="G29">
        <v>25</v>
      </c>
      <c r="H29">
        <v>30</v>
      </c>
      <c r="K29">
        <v>29</v>
      </c>
      <c r="L29">
        <v>43</v>
      </c>
      <c r="M29">
        <v>26418378.378378376</v>
      </c>
      <c r="N29">
        <v>33784864.864864863</v>
      </c>
      <c r="O29">
        <v>64314018.018018015</v>
      </c>
      <c r="P29">
        <v>69085198.198198199</v>
      </c>
      <c r="Q29">
        <v>26090720.72072072</v>
      </c>
      <c r="R29">
        <v>35331081.081081077</v>
      </c>
      <c r="S29">
        <v>3585</v>
      </c>
      <c r="T29">
        <v>3037</v>
      </c>
    </row>
    <row r="30" spans="1:20" x14ac:dyDescent="0.35">
      <c r="A30" s="7" t="s">
        <v>91</v>
      </c>
      <c r="B30" s="12" t="s">
        <v>61</v>
      </c>
      <c r="C30">
        <v>64323236.24961064</v>
      </c>
      <c r="D30">
        <v>65609896.875204042</v>
      </c>
      <c r="E30">
        <v>122522.522522524</v>
      </c>
      <c r="F30">
        <v>1177477.4774774781</v>
      </c>
      <c r="G30">
        <v>14</v>
      </c>
      <c r="H30">
        <v>42</v>
      </c>
      <c r="K30">
        <v>146</v>
      </c>
      <c r="L30">
        <v>156</v>
      </c>
      <c r="M30">
        <v>4284684.6846846854</v>
      </c>
      <c r="N30">
        <v>8348648.6486486476</v>
      </c>
      <c r="O30">
        <v>37939585.585585587</v>
      </c>
      <c r="P30">
        <v>39368918.918918923</v>
      </c>
      <c r="Q30">
        <v>3996216.2162162159</v>
      </c>
      <c r="R30">
        <v>8040990.9909909898</v>
      </c>
      <c r="S30">
        <v>1731</v>
      </c>
      <c r="T30">
        <v>2030</v>
      </c>
    </row>
    <row r="31" spans="1:20" x14ac:dyDescent="0.35">
      <c r="A31" s="7" t="s">
        <v>92</v>
      </c>
      <c r="B31" s="12" t="s">
        <v>93</v>
      </c>
      <c r="C31">
        <v>53368372.451091312</v>
      </c>
      <c r="D31">
        <v>49445689.642685167</v>
      </c>
      <c r="E31">
        <v>2318018.018018018</v>
      </c>
      <c r="F31">
        <v>1295495.4954954961</v>
      </c>
      <c r="G31">
        <v>11</v>
      </c>
      <c r="H31">
        <v>6</v>
      </c>
      <c r="K31">
        <v>13</v>
      </c>
      <c r="L31">
        <v>7</v>
      </c>
      <c r="M31">
        <v>16535675.675675675</v>
      </c>
      <c r="N31">
        <v>19757207.207207207</v>
      </c>
      <c r="O31">
        <v>17180684.684684683</v>
      </c>
      <c r="P31">
        <v>17848252.252252251</v>
      </c>
      <c r="Q31">
        <v>16602342.342342343</v>
      </c>
      <c r="R31">
        <v>19377117.117117114</v>
      </c>
      <c r="S31">
        <v>1077</v>
      </c>
      <c r="T31">
        <v>1076</v>
      </c>
    </row>
    <row r="32" spans="1:20" x14ac:dyDescent="0.35">
      <c r="A32" s="7" t="s">
        <v>94</v>
      </c>
      <c r="B32" s="12" t="s">
        <v>95</v>
      </c>
      <c r="C32">
        <v>230531892.83672416</v>
      </c>
      <c r="D32">
        <v>247750656.62907228</v>
      </c>
      <c r="E32">
        <v>466216.21621621802</v>
      </c>
      <c r="F32">
        <v>243243.24324324401</v>
      </c>
      <c r="G32">
        <v>39</v>
      </c>
      <c r="H32">
        <v>19</v>
      </c>
      <c r="K32">
        <v>46</v>
      </c>
      <c r="L32">
        <v>23</v>
      </c>
      <c r="M32">
        <v>31150900.9009009</v>
      </c>
      <c r="N32">
        <v>32342342.342342336</v>
      </c>
      <c r="O32">
        <v>33660205.40540541</v>
      </c>
      <c r="P32">
        <v>42976768.468468472</v>
      </c>
      <c r="Q32">
        <v>25598108.108108107</v>
      </c>
      <c r="R32">
        <v>31176126.126126122</v>
      </c>
      <c r="S32">
        <v>4707</v>
      </c>
      <c r="T32">
        <v>4493</v>
      </c>
    </row>
    <row r="33" spans="1:20" x14ac:dyDescent="0.35">
      <c r="A33" s="7" t="s">
        <v>96</v>
      </c>
      <c r="B33" s="12" t="s">
        <v>97</v>
      </c>
      <c r="C33">
        <v>244473870.5010809</v>
      </c>
      <c r="D33">
        <v>251843484.80737707</v>
      </c>
      <c r="E33">
        <v>1640540.5405405411</v>
      </c>
      <c r="F33">
        <v>3004504.5045045069</v>
      </c>
      <c r="G33">
        <v>56</v>
      </c>
      <c r="H33">
        <v>91</v>
      </c>
      <c r="I33">
        <v>3</v>
      </c>
      <c r="K33">
        <v>62</v>
      </c>
      <c r="L33">
        <v>103</v>
      </c>
      <c r="M33">
        <v>46210810.810810819</v>
      </c>
      <c r="N33">
        <v>44492342.342342347</v>
      </c>
      <c r="O33">
        <v>122676009.009009</v>
      </c>
      <c r="P33">
        <v>127478459.45945945</v>
      </c>
      <c r="Q33">
        <v>45331981.981981985</v>
      </c>
      <c r="R33">
        <v>45119639.639639638</v>
      </c>
      <c r="S33">
        <v>6336</v>
      </c>
      <c r="T33">
        <v>6057</v>
      </c>
    </row>
    <row r="34" spans="1:20" x14ac:dyDescent="0.35">
      <c r="A34" s="7" t="s">
        <v>98</v>
      </c>
      <c r="B34" s="12" t="s">
        <v>99</v>
      </c>
      <c r="C34">
        <v>845123175.06491852</v>
      </c>
      <c r="D34">
        <v>839388615.16973877</v>
      </c>
      <c r="E34">
        <v>188761261.26126125</v>
      </c>
      <c r="F34">
        <v>212354054.05405405</v>
      </c>
      <c r="G34">
        <v>337</v>
      </c>
      <c r="H34">
        <v>203</v>
      </c>
      <c r="K34">
        <v>442</v>
      </c>
      <c r="L34">
        <v>238</v>
      </c>
      <c r="M34">
        <v>183683558.55855855</v>
      </c>
      <c r="N34">
        <v>233994414.41441441</v>
      </c>
      <c r="O34">
        <v>220725102.25225225</v>
      </c>
      <c r="P34">
        <v>236457846.84684685</v>
      </c>
      <c r="Q34">
        <v>109494324.32432432</v>
      </c>
      <c r="R34">
        <v>171139819.81981981</v>
      </c>
      <c r="S34">
        <v>24313</v>
      </c>
      <c r="T34">
        <v>23165</v>
      </c>
    </row>
    <row r="35" spans="1:20" x14ac:dyDescent="0.35">
      <c r="A35" s="7" t="s">
        <v>100</v>
      </c>
      <c r="B35" s="12" t="s">
        <v>99</v>
      </c>
      <c r="C35">
        <v>1362699637.5588779</v>
      </c>
      <c r="D35">
        <v>1375898539.1715121</v>
      </c>
      <c r="E35">
        <v>5651659.459459465</v>
      </c>
      <c r="F35">
        <v>7092072.0720720747</v>
      </c>
      <c r="G35">
        <v>408</v>
      </c>
      <c r="H35">
        <v>433</v>
      </c>
      <c r="I35">
        <v>15</v>
      </c>
      <c r="K35">
        <v>703</v>
      </c>
      <c r="L35">
        <v>573</v>
      </c>
      <c r="M35">
        <v>79341441.441441447</v>
      </c>
      <c r="N35">
        <v>275646891.8918919</v>
      </c>
      <c r="O35">
        <v>263938275.22522521</v>
      </c>
      <c r="P35">
        <v>282619619.81981981</v>
      </c>
      <c r="Q35">
        <v>75297207.207207203</v>
      </c>
      <c r="R35">
        <v>93659144.144144148</v>
      </c>
      <c r="S35">
        <v>31719</v>
      </c>
      <c r="T35">
        <v>29246</v>
      </c>
    </row>
    <row r="36" spans="1:20" x14ac:dyDescent="0.35">
      <c r="A36" s="7" t="s">
        <v>101</v>
      </c>
      <c r="B36" s="12" t="s">
        <v>99</v>
      </c>
      <c r="C36">
        <v>1705523115.7211831</v>
      </c>
      <c r="D36">
        <v>1924391144.7540765</v>
      </c>
      <c r="E36">
        <v>13925225.225225233</v>
      </c>
      <c r="F36">
        <v>16191073.873873876</v>
      </c>
      <c r="G36">
        <v>369</v>
      </c>
      <c r="H36">
        <v>506</v>
      </c>
      <c r="I36">
        <v>20</v>
      </c>
      <c r="K36">
        <v>947</v>
      </c>
      <c r="L36">
        <v>601</v>
      </c>
      <c r="M36">
        <v>538292927.92792797</v>
      </c>
      <c r="N36">
        <v>258707515.31531534</v>
      </c>
      <c r="O36">
        <v>681957569.81981981</v>
      </c>
      <c r="P36">
        <v>872786385.58558559</v>
      </c>
      <c r="Q36">
        <v>166380045.04504505</v>
      </c>
      <c r="R36">
        <v>159983108.1081081</v>
      </c>
      <c r="S36">
        <v>37696</v>
      </c>
      <c r="T36">
        <v>32617</v>
      </c>
    </row>
    <row r="37" spans="1:20" x14ac:dyDescent="0.35">
      <c r="A37" s="7" t="s">
        <v>102</v>
      </c>
      <c r="B37" s="12" t="s">
        <v>99</v>
      </c>
      <c r="C37">
        <v>786964079.84323716</v>
      </c>
      <c r="D37">
        <v>794982835.58490801</v>
      </c>
      <c r="E37">
        <v>4254954.9549549539</v>
      </c>
      <c r="F37">
        <v>4995495.4954954972</v>
      </c>
      <c r="G37">
        <v>228</v>
      </c>
      <c r="H37">
        <v>172</v>
      </c>
      <c r="I37">
        <v>6</v>
      </c>
      <c r="K37">
        <v>270</v>
      </c>
      <c r="L37">
        <v>227</v>
      </c>
      <c r="M37">
        <v>61661261.261261255</v>
      </c>
      <c r="N37">
        <v>71436653.153153151</v>
      </c>
      <c r="O37">
        <v>174137270.27027026</v>
      </c>
      <c r="P37">
        <v>180163513.51351351</v>
      </c>
      <c r="Q37">
        <v>57888648.648648649</v>
      </c>
      <c r="R37">
        <v>67241261.261261269</v>
      </c>
      <c r="S37">
        <v>24563</v>
      </c>
      <c r="T37">
        <v>21841</v>
      </c>
    </row>
    <row r="38" spans="1:20" x14ac:dyDescent="0.35">
      <c r="A38" s="7" t="s">
        <v>103</v>
      </c>
      <c r="B38" s="12" t="s">
        <v>99</v>
      </c>
      <c r="C38">
        <v>891145348.52000535</v>
      </c>
      <c r="D38">
        <v>914916610.34487593</v>
      </c>
      <c r="E38">
        <v>9196396.3963963967</v>
      </c>
      <c r="F38">
        <v>12059909.909909908</v>
      </c>
      <c r="G38">
        <v>202</v>
      </c>
      <c r="H38">
        <v>74</v>
      </c>
      <c r="I38">
        <v>1</v>
      </c>
      <c r="K38">
        <v>255</v>
      </c>
      <c r="L38">
        <v>111</v>
      </c>
      <c r="M38">
        <v>150422522.52252254</v>
      </c>
      <c r="N38">
        <v>211379099.0990991</v>
      </c>
      <c r="O38">
        <v>261264887.38738739</v>
      </c>
      <c r="P38">
        <v>265408900.9009009</v>
      </c>
      <c r="Q38">
        <v>173396306.3063063</v>
      </c>
      <c r="R38">
        <v>172536576.57657659</v>
      </c>
      <c r="S38">
        <v>29329</v>
      </c>
      <c r="T38">
        <v>25378</v>
      </c>
    </row>
    <row r="39" spans="1:20" x14ac:dyDescent="0.35">
      <c r="A39" s="7" t="s">
        <v>104</v>
      </c>
      <c r="B39" s="12" t="s">
        <v>99</v>
      </c>
      <c r="C39">
        <v>2291511128.3168135</v>
      </c>
      <c r="D39">
        <v>2288925052.6772804</v>
      </c>
      <c r="E39">
        <v>942839344.14414418</v>
      </c>
      <c r="F39">
        <v>1602577876.5765765</v>
      </c>
      <c r="G39">
        <v>648</v>
      </c>
      <c r="H39">
        <v>395</v>
      </c>
      <c r="I39">
        <v>17</v>
      </c>
      <c r="K39">
        <v>1022</v>
      </c>
      <c r="L39">
        <v>479</v>
      </c>
      <c r="M39">
        <v>242225072.97297296</v>
      </c>
      <c r="N39">
        <v>1173393243.2432432</v>
      </c>
      <c r="O39">
        <v>490097403.6036036</v>
      </c>
      <c r="P39">
        <v>505316873.87387383</v>
      </c>
      <c r="Q39">
        <v>220363783.78378376</v>
      </c>
      <c r="R39">
        <v>521546936.93693697</v>
      </c>
      <c r="S39">
        <v>62066</v>
      </c>
      <c r="T39">
        <v>54948</v>
      </c>
    </row>
    <row r="40" spans="1:20" x14ac:dyDescent="0.35">
      <c r="A40" s="7" t="s">
        <v>105</v>
      </c>
      <c r="B40" s="12" t="s">
        <v>106</v>
      </c>
      <c r="C40">
        <v>158970655.74686417</v>
      </c>
      <c r="D40">
        <v>150706707.0896298</v>
      </c>
      <c r="E40">
        <v>6660360.3603603588</v>
      </c>
      <c r="F40">
        <v>119670270.27027027</v>
      </c>
      <c r="G40">
        <v>33</v>
      </c>
      <c r="H40">
        <v>14</v>
      </c>
      <c r="K40">
        <v>37</v>
      </c>
      <c r="L40">
        <v>14</v>
      </c>
      <c r="M40">
        <v>8296396.3963963958</v>
      </c>
      <c r="N40">
        <v>409009.00900900899</v>
      </c>
      <c r="O40">
        <v>34814846.846846849</v>
      </c>
      <c r="P40">
        <v>37317072.072072074</v>
      </c>
      <c r="Q40">
        <v>1101261.2612612611</v>
      </c>
      <c r="R40">
        <v>283783.78378378402</v>
      </c>
      <c r="S40">
        <v>2572</v>
      </c>
      <c r="T40">
        <v>2491</v>
      </c>
    </row>
    <row r="41" spans="1:20" x14ac:dyDescent="0.35">
      <c r="A41" s="7" t="s">
        <v>107</v>
      </c>
      <c r="B41" s="12" t="s">
        <v>55</v>
      </c>
      <c r="C41">
        <v>54505084.802204691</v>
      </c>
      <c r="D41">
        <v>52403868.654743165</v>
      </c>
      <c r="E41">
        <v>48648.648648649003</v>
      </c>
      <c r="F41">
        <v>724324.32432432496</v>
      </c>
      <c r="G41">
        <v>30</v>
      </c>
      <c r="H41">
        <v>56</v>
      </c>
      <c r="I41">
        <v>8</v>
      </c>
      <c r="K41">
        <v>36</v>
      </c>
      <c r="L41">
        <v>69</v>
      </c>
      <c r="M41">
        <v>1791171.1711711721</v>
      </c>
      <c r="N41">
        <v>3938738.7387387389</v>
      </c>
      <c r="O41">
        <v>14194126.126126125</v>
      </c>
      <c r="P41">
        <v>14172540.540540541</v>
      </c>
      <c r="Q41">
        <v>1812162.1621621619</v>
      </c>
      <c r="R41">
        <v>3090000</v>
      </c>
      <c r="S41">
        <v>1693</v>
      </c>
      <c r="T41">
        <v>1336</v>
      </c>
    </row>
    <row r="42" spans="1:20" x14ac:dyDescent="0.35">
      <c r="A42" s="7" t="s">
        <v>108</v>
      </c>
      <c r="B42" s="12" t="s">
        <v>109</v>
      </c>
      <c r="C42">
        <v>441323719.65729827</v>
      </c>
      <c r="D42">
        <v>460618495.05321282</v>
      </c>
      <c r="E42">
        <v>5103603.6036036089</v>
      </c>
      <c r="F42">
        <v>7210360.3603603616</v>
      </c>
      <c r="G42">
        <v>120</v>
      </c>
      <c r="H42">
        <v>99</v>
      </c>
      <c r="I42">
        <v>1</v>
      </c>
      <c r="K42">
        <v>147</v>
      </c>
      <c r="L42">
        <v>116</v>
      </c>
      <c r="M42">
        <v>66042522.522522517</v>
      </c>
      <c r="N42">
        <v>66869819.819819823</v>
      </c>
      <c r="O42">
        <v>98698567.567567572</v>
      </c>
      <c r="P42">
        <v>99759225.225225225</v>
      </c>
      <c r="Q42">
        <v>56245765.765765756</v>
      </c>
      <c r="R42">
        <v>57717657.657657661</v>
      </c>
      <c r="S42">
        <v>11350</v>
      </c>
      <c r="T42">
        <v>9954</v>
      </c>
    </row>
    <row r="43" spans="1:20" x14ac:dyDescent="0.35">
      <c r="A43" s="7" t="s">
        <v>110</v>
      </c>
      <c r="B43" s="12" t="s">
        <v>109</v>
      </c>
      <c r="C43">
        <v>627567837.42981291</v>
      </c>
      <c r="D43">
        <v>638896850.92397165</v>
      </c>
      <c r="E43">
        <v>6146923.4234234281</v>
      </c>
      <c r="F43">
        <v>14216072.072072079</v>
      </c>
      <c r="G43">
        <v>206</v>
      </c>
      <c r="H43">
        <v>152</v>
      </c>
      <c r="K43">
        <v>306</v>
      </c>
      <c r="L43">
        <v>323</v>
      </c>
      <c r="M43">
        <v>46694494.59459459</v>
      </c>
      <c r="N43">
        <v>330147603.6036036</v>
      </c>
      <c r="O43">
        <v>180302891.8918919</v>
      </c>
      <c r="P43">
        <v>176341216.21621624</v>
      </c>
      <c r="Q43">
        <v>167064864.86486486</v>
      </c>
      <c r="R43">
        <v>227116576.57657659</v>
      </c>
      <c r="S43">
        <v>17153</v>
      </c>
      <c r="T43">
        <v>15839</v>
      </c>
    </row>
    <row r="44" spans="1:20" x14ac:dyDescent="0.35">
      <c r="A44" s="7" t="s">
        <v>111</v>
      </c>
      <c r="B44" s="12" t="s">
        <v>112</v>
      </c>
      <c r="C44">
        <v>716599909.31094885</v>
      </c>
      <c r="D44">
        <v>745193882.33910382</v>
      </c>
      <c r="E44">
        <v>8709909.9099099133</v>
      </c>
      <c r="F44">
        <v>9901801.8018018045</v>
      </c>
      <c r="G44">
        <v>229</v>
      </c>
      <c r="H44">
        <v>212</v>
      </c>
      <c r="K44">
        <v>490</v>
      </c>
      <c r="L44">
        <v>394</v>
      </c>
      <c r="M44">
        <v>68750654.954954952</v>
      </c>
      <c r="N44">
        <v>69381081.081081077</v>
      </c>
      <c r="O44">
        <v>251071693.6936937</v>
      </c>
      <c r="P44">
        <v>270034180.18018019</v>
      </c>
      <c r="Q44">
        <v>63957971.171171166</v>
      </c>
      <c r="R44">
        <v>65684414.414414413</v>
      </c>
      <c r="S44">
        <v>22733</v>
      </c>
      <c r="T44">
        <v>20465</v>
      </c>
    </row>
    <row r="45" spans="1:20" x14ac:dyDescent="0.35">
      <c r="A45" s="7" t="s">
        <v>113</v>
      </c>
      <c r="B45" s="12" t="s">
        <v>112</v>
      </c>
      <c r="C45">
        <v>930791737.43774247</v>
      </c>
      <c r="D45">
        <v>945512909.11770833</v>
      </c>
      <c r="E45">
        <v>12682882.882882887</v>
      </c>
      <c r="F45">
        <v>48744361.261261262</v>
      </c>
      <c r="G45">
        <v>359</v>
      </c>
      <c r="H45">
        <v>227</v>
      </c>
      <c r="I45">
        <v>1</v>
      </c>
      <c r="K45">
        <v>609</v>
      </c>
      <c r="L45">
        <v>321</v>
      </c>
      <c r="M45">
        <v>72159562.162162155</v>
      </c>
      <c r="N45">
        <v>124371208.10810812</v>
      </c>
      <c r="O45">
        <v>347130599.0990991</v>
      </c>
      <c r="P45">
        <v>350689189.1891892</v>
      </c>
      <c r="Q45">
        <v>74456036.036036029</v>
      </c>
      <c r="R45">
        <v>147999412.61261261</v>
      </c>
      <c r="S45">
        <v>32125</v>
      </c>
      <c r="T45">
        <v>28295</v>
      </c>
    </row>
    <row r="46" spans="1:20" x14ac:dyDescent="0.35">
      <c r="A46" s="7" t="s">
        <v>114</v>
      </c>
      <c r="B46" s="12" t="s">
        <v>112</v>
      </c>
      <c r="C46">
        <v>1064228443.7382214</v>
      </c>
      <c r="D46">
        <v>645094191.31886315</v>
      </c>
      <c r="E46">
        <v>7208783.7837837897</v>
      </c>
      <c r="F46">
        <v>16583793.693693697</v>
      </c>
      <c r="G46">
        <v>324</v>
      </c>
      <c r="H46">
        <v>220</v>
      </c>
      <c r="K46">
        <v>561</v>
      </c>
      <c r="L46">
        <v>470</v>
      </c>
      <c r="M46">
        <v>489268663.96396399</v>
      </c>
      <c r="N46">
        <v>657970550.45045042</v>
      </c>
      <c r="O46">
        <v>636380097.29729724</v>
      </c>
      <c r="P46">
        <v>214121423.42342341</v>
      </c>
      <c r="Q46">
        <v>38550450.45045045</v>
      </c>
      <c r="R46">
        <v>59475315.315315314</v>
      </c>
      <c r="S46">
        <v>16379</v>
      </c>
      <c r="T46">
        <v>14187</v>
      </c>
    </row>
    <row r="47" spans="1:20" x14ac:dyDescent="0.35">
      <c r="A47" s="7" t="s">
        <v>115</v>
      </c>
      <c r="B47" s="12" t="s">
        <v>112</v>
      </c>
      <c r="C47">
        <v>743311023.38987076</v>
      </c>
      <c r="D47">
        <v>1348565589.8030427</v>
      </c>
      <c r="E47">
        <v>92334009.009009019</v>
      </c>
      <c r="F47">
        <v>933495495.49549556</v>
      </c>
      <c r="G47">
        <v>417</v>
      </c>
      <c r="H47">
        <v>206</v>
      </c>
      <c r="I47">
        <v>11</v>
      </c>
      <c r="K47">
        <v>904</v>
      </c>
      <c r="L47">
        <v>351</v>
      </c>
      <c r="M47">
        <v>76139639.639639646</v>
      </c>
      <c r="N47">
        <v>76199459.459459454</v>
      </c>
      <c r="O47">
        <v>218481045.04504505</v>
      </c>
      <c r="P47">
        <v>816298738.73873866</v>
      </c>
      <c r="Q47">
        <v>68778288.288288295</v>
      </c>
      <c r="R47">
        <v>70398108.108108103</v>
      </c>
      <c r="S47">
        <v>22747</v>
      </c>
      <c r="T47">
        <v>19831</v>
      </c>
    </row>
    <row r="48" spans="1:20" x14ac:dyDescent="0.35">
      <c r="A48" s="7" t="s">
        <v>116</v>
      </c>
      <c r="B48" s="12" t="s">
        <v>112</v>
      </c>
      <c r="C48">
        <v>909459826.27107823</v>
      </c>
      <c r="D48">
        <v>891832231.50166941</v>
      </c>
      <c r="E48">
        <v>1678767399.0990992</v>
      </c>
      <c r="F48">
        <v>1663426847.7477479</v>
      </c>
      <c r="G48">
        <v>393</v>
      </c>
      <c r="H48">
        <v>329</v>
      </c>
      <c r="K48">
        <v>640</v>
      </c>
      <c r="L48">
        <v>587</v>
      </c>
      <c r="M48">
        <v>737009468.46846843</v>
      </c>
      <c r="N48">
        <v>311111063.96396399</v>
      </c>
      <c r="O48">
        <v>271962953.6036036</v>
      </c>
      <c r="P48">
        <v>250792585.58558559</v>
      </c>
      <c r="Q48">
        <v>154455041.44144145</v>
      </c>
      <c r="R48">
        <v>192805045.04504505</v>
      </c>
      <c r="S48">
        <v>27331</v>
      </c>
      <c r="T48">
        <v>22825</v>
      </c>
    </row>
    <row r="49" spans="1:20" x14ac:dyDescent="0.35">
      <c r="A49" s="7" t="s">
        <v>117</v>
      </c>
      <c r="B49" s="12" t="s">
        <v>55</v>
      </c>
      <c r="C49">
        <v>50460751.549472205</v>
      </c>
      <c r="D49">
        <v>49086370.941203423</v>
      </c>
      <c r="E49">
        <v>53024819.819819815</v>
      </c>
      <c r="F49">
        <v>302277477.47747749</v>
      </c>
      <c r="G49">
        <v>10</v>
      </c>
      <c r="H49">
        <v>8</v>
      </c>
      <c r="K49">
        <v>10</v>
      </c>
      <c r="L49">
        <v>10</v>
      </c>
      <c r="M49">
        <v>4958108.1081081079</v>
      </c>
      <c r="N49">
        <v>7338558.5585585581</v>
      </c>
      <c r="O49">
        <v>12547720.720720721</v>
      </c>
      <c r="P49">
        <v>12284558.558558557</v>
      </c>
      <c r="Q49">
        <v>4220810.81081081</v>
      </c>
      <c r="R49">
        <v>5900990.9909909917</v>
      </c>
      <c r="S49">
        <v>1143</v>
      </c>
      <c r="T49">
        <v>958</v>
      </c>
    </row>
    <row r="50" spans="1:20" x14ac:dyDescent="0.35">
      <c r="A50" s="7" t="s">
        <v>119</v>
      </c>
      <c r="B50" s="12" t="s">
        <v>79</v>
      </c>
      <c r="C50">
        <v>427176454.76125813</v>
      </c>
      <c r="D50">
        <v>461197446.75948977</v>
      </c>
      <c r="E50">
        <v>271777409.009009</v>
      </c>
      <c r="F50">
        <v>826697841.44144142</v>
      </c>
      <c r="G50">
        <v>146</v>
      </c>
      <c r="H50">
        <v>191</v>
      </c>
      <c r="I50">
        <v>5</v>
      </c>
      <c r="K50">
        <v>186</v>
      </c>
      <c r="L50">
        <v>258</v>
      </c>
      <c r="M50">
        <v>93254504.504504517</v>
      </c>
      <c r="N50">
        <v>111635585.58558558</v>
      </c>
      <c r="O50">
        <v>172330730.18018019</v>
      </c>
      <c r="P50">
        <v>183442927.92792794</v>
      </c>
      <c r="Q50">
        <v>92457747.747747749</v>
      </c>
      <c r="R50">
        <v>106747657.65765767</v>
      </c>
      <c r="S50">
        <v>12246</v>
      </c>
      <c r="T50">
        <v>11897</v>
      </c>
    </row>
    <row r="51" spans="1:20" x14ac:dyDescent="0.35">
      <c r="A51" s="7" t="s">
        <v>120</v>
      </c>
      <c r="B51" s="12" t="s">
        <v>51</v>
      </c>
      <c r="C51">
        <v>135506152.71571529</v>
      </c>
      <c r="D51">
        <v>133716569.87439623</v>
      </c>
      <c r="E51">
        <v>693625541.44144142</v>
      </c>
      <c r="F51">
        <v>708365598.1981982</v>
      </c>
      <c r="G51">
        <v>43</v>
      </c>
      <c r="H51">
        <v>22</v>
      </c>
      <c r="K51">
        <v>46</v>
      </c>
      <c r="L51">
        <v>25</v>
      </c>
      <c r="M51">
        <v>159712792.7927928</v>
      </c>
      <c r="N51">
        <v>125715090.09009008</v>
      </c>
      <c r="O51">
        <v>49422531.531531535</v>
      </c>
      <c r="P51">
        <v>52085495.495495498</v>
      </c>
      <c r="Q51">
        <v>67931261.261261269</v>
      </c>
      <c r="R51">
        <v>20887567.567567568</v>
      </c>
      <c r="S51">
        <v>2571</v>
      </c>
      <c r="T51">
        <v>2510</v>
      </c>
    </row>
    <row r="52" spans="1:20" x14ac:dyDescent="0.35">
      <c r="A52" s="7" t="s">
        <v>121</v>
      </c>
      <c r="B52" s="12" t="s">
        <v>122</v>
      </c>
      <c r="C52">
        <v>458815941.28952962</v>
      </c>
      <c r="D52">
        <v>429518660.64331466</v>
      </c>
      <c r="E52">
        <v>3333558.5585585618</v>
      </c>
      <c r="F52">
        <v>2309009.0090090148</v>
      </c>
      <c r="G52">
        <v>174</v>
      </c>
      <c r="H52">
        <v>173</v>
      </c>
      <c r="K52">
        <v>192</v>
      </c>
      <c r="L52">
        <v>250</v>
      </c>
      <c r="M52">
        <v>19314414.414414417</v>
      </c>
      <c r="N52">
        <v>16697297.297297301</v>
      </c>
      <c r="O52">
        <v>38143198.198198199</v>
      </c>
      <c r="P52">
        <v>40762540.540540546</v>
      </c>
      <c r="Q52">
        <v>16350360.36036036</v>
      </c>
      <c r="R52">
        <v>15992612.612612611</v>
      </c>
      <c r="S52">
        <v>8098</v>
      </c>
      <c r="T52">
        <v>8584</v>
      </c>
    </row>
    <row r="53" spans="1:20" x14ac:dyDescent="0.35">
      <c r="A53" s="7" t="s">
        <v>123</v>
      </c>
      <c r="B53" s="12" t="s">
        <v>124</v>
      </c>
      <c r="C53">
        <v>241001081.84439984</v>
      </c>
      <c r="D53">
        <v>246815652.43299901</v>
      </c>
      <c r="E53">
        <v>1048423.4234234249</v>
      </c>
      <c r="F53">
        <v>2490990.9909909908</v>
      </c>
      <c r="G53">
        <v>34</v>
      </c>
      <c r="H53">
        <v>21</v>
      </c>
      <c r="K53">
        <v>42</v>
      </c>
      <c r="L53">
        <v>24</v>
      </c>
      <c r="M53">
        <v>42752792.79279279</v>
      </c>
      <c r="N53">
        <v>55586936.936936937</v>
      </c>
      <c r="O53">
        <v>108978630.63063063</v>
      </c>
      <c r="P53">
        <v>112006670.27027027</v>
      </c>
      <c r="Q53">
        <v>43395045.045045048</v>
      </c>
      <c r="R53">
        <v>51826345.945945941</v>
      </c>
      <c r="S53">
        <v>4929</v>
      </c>
      <c r="T53">
        <v>4352</v>
      </c>
    </row>
    <row r="54" spans="1:20" x14ac:dyDescent="0.35">
      <c r="A54" s="7" t="s">
        <v>125</v>
      </c>
      <c r="B54" s="12" t="s">
        <v>126</v>
      </c>
      <c r="C54">
        <v>317787039.19643074</v>
      </c>
      <c r="D54">
        <v>345725226.01028007</v>
      </c>
      <c r="E54">
        <v>148883294.5945946</v>
      </c>
      <c r="F54">
        <v>162636335.13513514</v>
      </c>
      <c r="G54">
        <v>65</v>
      </c>
      <c r="H54">
        <v>61</v>
      </c>
      <c r="K54">
        <v>100</v>
      </c>
      <c r="L54">
        <v>70</v>
      </c>
      <c r="M54">
        <v>104583333.33333333</v>
      </c>
      <c r="N54">
        <v>69422162.162162155</v>
      </c>
      <c r="O54">
        <v>99700881.981981978</v>
      </c>
      <c r="P54">
        <v>107601138.73873873</v>
      </c>
      <c r="Q54">
        <v>102657117.11711712</v>
      </c>
      <c r="R54">
        <v>63605855.855855852</v>
      </c>
      <c r="S54">
        <v>6616</v>
      </c>
      <c r="T54">
        <v>6675</v>
      </c>
    </row>
    <row r="55" spans="1:20" x14ac:dyDescent="0.35">
      <c r="A55" s="7" t="s">
        <v>127</v>
      </c>
      <c r="B55" s="12" t="s">
        <v>79</v>
      </c>
      <c r="C55">
        <v>206733876.31083667</v>
      </c>
      <c r="D55">
        <v>201758404.08970833</v>
      </c>
      <c r="E55">
        <v>4382882.8828828866</v>
      </c>
      <c r="F55">
        <v>5401801.8018018017</v>
      </c>
      <c r="G55">
        <v>60</v>
      </c>
      <c r="H55">
        <v>42</v>
      </c>
      <c r="I55">
        <v>1</v>
      </c>
      <c r="K55">
        <v>73</v>
      </c>
      <c r="L55">
        <v>47</v>
      </c>
      <c r="M55">
        <v>35747747.747747749</v>
      </c>
      <c r="N55">
        <v>43520720.720720723</v>
      </c>
      <c r="O55">
        <v>85193261.261261269</v>
      </c>
      <c r="P55">
        <v>83541036.036036029</v>
      </c>
      <c r="Q55">
        <v>35060900.9009009</v>
      </c>
      <c r="R55">
        <v>40345225.225225225</v>
      </c>
      <c r="S55">
        <v>5099</v>
      </c>
      <c r="T55">
        <v>5181</v>
      </c>
    </row>
    <row r="56" spans="1:20" x14ac:dyDescent="0.35">
      <c r="A56" s="7" t="s">
        <v>128</v>
      </c>
      <c r="B56" s="12" t="s">
        <v>79</v>
      </c>
      <c r="C56">
        <v>34423997.150422953</v>
      </c>
      <c r="D56">
        <v>34671030.590371646</v>
      </c>
      <c r="E56">
        <v>708108.108108107</v>
      </c>
      <c r="F56">
        <v>685585.58558558696</v>
      </c>
      <c r="G56">
        <v>14</v>
      </c>
      <c r="H56">
        <v>9</v>
      </c>
      <c r="K56">
        <v>18</v>
      </c>
      <c r="L56">
        <v>10</v>
      </c>
      <c r="M56">
        <v>12014414.414414413</v>
      </c>
      <c r="N56">
        <v>16090990.990990993</v>
      </c>
      <c r="O56">
        <v>20062477.47747748</v>
      </c>
      <c r="P56">
        <v>19198630.630630631</v>
      </c>
      <c r="Q56">
        <v>12939459.459459458</v>
      </c>
      <c r="R56">
        <v>10837117.117117118</v>
      </c>
      <c r="S56">
        <v>1240</v>
      </c>
      <c r="T56">
        <v>1123</v>
      </c>
    </row>
    <row r="57" spans="1:20" x14ac:dyDescent="0.35">
      <c r="A57" s="7" t="s">
        <v>129</v>
      </c>
      <c r="B57" s="12" t="s">
        <v>79</v>
      </c>
      <c r="C57">
        <v>198579877.64391834</v>
      </c>
      <c r="D57">
        <v>199556777.76990637</v>
      </c>
      <c r="E57">
        <v>2412612.6126126149</v>
      </c>
      <c r="F57">
        <v>3160810.8108108169</v>
      </c>
      <c r="G57">
        <v>141</v>
      </c>
      <c r="H57">
        <v>60</v>
      </c>
      <c r="K57">
        <v>176</v>
      </c>
      <c r="L57">
        <v>81</v>
      </c>
      <c r="M57">
        <v>24664864.864864863</v>
      </c>
      <c r="N57">
        <v>35638288.288288288</v>
      </c>
      <c r="O57">
        <v>77828754.954954967</v>
      </c>
      <c r="P57">
        <v>81085729.729729727</v>
      </c>
      <c r="Q57">
        <v>26353513.513513513</v>
      </c>
      <c r="R57">
        <v>35965135.135135137</v>
      </c>
      <c r="S57">
        <v>6021</v>
      </c>
      <c r="T57">
        <v>5243</v>
      </c>
    </row>
    <row r="58" spans="1:20" x14ac:dyDescent="0.35">
      <c r="A58" s="7" t="s">
        <v>130</v>
      </c>
      <c r="B58" s="12" t="s">
        <v>86</v>
      </c>
      <c r="C58">
        <v>58370226.562398359</v>
      </c>
      <c r="D58">
        <v>61049161.402790762</v>
      </c>
      <c r="E58">
        <v>169369.36936937101</v>
      </c>
      <c r="F58">
        <v>637837.83783783903</v>
      </c>
      <c r="G58">
        <v>12</v>
      </c>
      <c r="H58">
        <v>48</v>
      </c>
      <c r="K58">
        <v>14</v>
      </c>
      <c r="L58">
        <v>52</v>
      </c>
      <c r="M58">
        <v>77624954.954954967</v>
      </c>
      <c r="N58">
        <v>77259009.009009004</v>
      </c>
      <c r="O58">
        <v>27925027.02702703</v>
      </c>
      <c r="P58">
        <v>35461801.801801801</v>
      </c>
      <c r="Q58">
        <v>65871351.351351351</v>
      </c>
      <c r="R58">
        <v>61964324.324324317</v>
      </c>
      <c r="S58">
        <v>1288</v>
      </c>
      <c r="T58">
        <v>1175</v>
      </c>
    </row>
    <row r="59" spans="1:20" x14ac:dyDescent="0.35">
      <c r="A59" s="7" t="s">
        <v>131</v>
      </c>
      <c r="B59" s="12" t="s">
        <v>90</v>
      </c>
      <c r="C59">
        <v>542419997.71519613</v>
      </c>
      <c r="D59">
        <v>548575139.61721528</v>
      </c>
      <c r="E59">
        <v>4296846.8468468534</v>
      </c>
      <c r="F59">
        <v>7155855.8558558663</v>
      </c>
      <c r="G59">
        <v>70</v>
      </c>
      <c r="H59">
        <v>69</v>
      </c>
      <c r="K59">
        <v>99</v>
      </c>
      <c r="L59">
        <v>83</v>
      </c>
      <c r="M59">
        <v>37035225.225225233</v>
      </c>
      <c r="N59">
        <v>54241171.171171173</v>
      </c>
      <c r="O59">
        <v>171691935.13513514</v>
      </c>
      <c r="P59">
        <v>176380486.48648649</v>
      </c>
      <c r="Q59">
        <v>35287160.360360354</v>
      </c>
      <c r="R59">
        <v>53737927.927927926</v>
      </c>
      <c r="S59">
        <v>11469</v>
      </c>
      <c r="T59">
        <v>10347</v>
      </c>
    </row>
    <row r="60" spans="1:20" x14ac:dyDescent="0.35">
      <c r="A60" s="7" t="s">
        <v>132</v>
      </c>
      <c r="B60" s="12" t="s">
        <v>133</v>
      </c>
      <c r="C60">
        <v>297328022.84748149</v>
      </c>
      <c r="D60">
        <v>292486568.12403041</v>
      </c>
      <c r="E60">
        <v>45961660.360360362</v>
      </c>
      <c r="F60">
        <v>70570596.396396399</v>
      </c>
      <c r="G60">
        <v>175</v>
      </c>
      <c r="H60">
        <v>119</v>
      </c>
      <c r="K60">
        <v>183</v>
      </c>
      <c r="L60">
        <v>131</v>
      </c>
      <c r="M60">
        <v>33664864.864864871</v>
      </c>
      <c r="N60">
        <v>61904504.504504502</v>
      </c>
      <c r="O60">
        <v>93943835.585585579</v>
      </c>
      <c r="P60">
        <v>98284729.729729727</v>
      </c>
      <c r="Q60">
        <v>30136216.216216218</v>
      </c>
      <c r="R60">
        <v>49710000</v>
      </c>
      <c r="S60">
        <v>7385</v>
      </c>
      <c r="T60">
        <v>8131</v>
      </c>
    </row>
    <row r="61" spans="1:20" x14ac:dyDescent="0.35">
      <c r="A61" s="7" t="s">
        <v>134</v>
      </c>
      <c r="B61" s="12" t="s">
        <v>135</v>
      </c>
      <c r="C61">
        <v>31742431.338363457</v>
      </c>
      <c r="D61">
        <v>49412941.173131585</v>
      </c>
      <c r="G61">
        <v>2</v>
      </c>
      <c r="H61">
        <v>4</v>
      </c>
      <c r="K61">
        <v>2</v>
      </c>
      <c r="L61">
        <v>6</v>
      </c>
      <c r="O61">
        <v>5568863.0630630627</v>
      </c>
      <c r="P61">
        <v>8403657.6576576587</v>
      </c>
      <c r="S61">
        <v>2167</v>
      </c>
      <c r="T61">
        <v>2277</v>
      </c>
    </row>
    <row r="62" spans="1:20" x14ac:dyDescent="0.35">
      <c r="A62" s="7" t="s">
        <v>136</v>
      </c>
      <c r="B62" s="12" t="s">
        <v>137</v>
      </c>
      <c r="C62">
        <v>247169358.07603657</v>
      </c>
      <c r="D62">
        <v>249708919.82452816</v>
      </c>
      <c r="E62">
        <v>948648.64864865202</v>
      </c>
      <c r="F62">
        <v>1351351.351351354</v>
      </c>
      <c r="G62">
        <v>63</v>
      </c>
      <c r="H62">
        <v>53</v>
      </c>
      <c r="I62">
        <v>4</v>
      </c>
      <c r="K62">
        <v>70</v>
      </c>
      <c r="L62">
        <v>57</v>
      </c>
      <c r="M62">
        <v>20498198.198198199</v>
      </c>
      <c r="N62">
        <v>26148648.648648653</v>
      </c>
      <c r="O62">
        <v>38607090.090090089</v>
      </c>
      <c r="P62">
        <v>43757610.810810804</v>
      </c>
      <c r="Q62">
        <v>18162162.162162159</v>
      </c>
      <c r="R62">
        <v>21245585.585585583</v>
      </c>
      <c r="S62">
        <v>3679</v>
      </c>
      <c r="T62">
        <v>3589</v>
      </c>
    </row>
    <row r="63" spans="1:20" x14ac:dyDescent="0.35">
      <c r="A63" s="7" t="s">
        <v>138</v>
      </c>
      <c r="B63" s="12" t="s">
        <v>90</v>
      </c>
      <c r="C63">
        <v>266615114.73262349</v>
      </c>
      <c r="D63">
        <v>276062133.23069197</v>
      </c>
      <c r="E63">
        <v>3068243.243243251</v>
      </c>
      <c r="F63">
        <v>5153153.1531531578</v>
      </c>
      <c r="G63">
        <v>51</v>
      </c>
      <c r="H63">
        <v>31</v>
      </c>
      <c r="I63">
        <v>7</v>
      </c>
      <c r="K63">
        <v>219</v>
      </c>
      <c r="L63">
        <v>33</v>
      </c>
      <c r="M63">
        <v>43103873.873873875</v>
      </c>
      <c r="N63">
        <v>59082522.522522517</v>
      </c>
      <c r="O63">
        <v>96351718.918918908</v>
      </c>
      <c r="P63">
        <v>103894189.18918918</v>
      </c>
      <c r="Q63">
        <v>32376126.126126129</v>
      </c>
      <c r="R63">
        <v>58712882.882882878</v>
      </c>
      <c r="S63">
        <v>4944</v>
      </c>
      <c r="T63">
        <v>4984</v>
      </c>
    </row>
    <row r="64" spans="1:20" x14ac:dyDescent="0.35">
      <c r="A64" s="7" t="s">
        <v>139</v>
      </c>
      <c r="B64" s="12" t="s">
        <v>79</v>
      </c>
      <c r="C64">
        <v>193149510.59239486</v>
      </c>
      <c r="D64">
        <v>193708433.41175276</v>
      </c>
      <c r="E64">
        <v>5340540.5405405443</v>
      </c>
      <c r="F64">
        <v>4575225.2252252307</v>
      </c>
      <c r="G64">
        <v>78</v>
      </c>
      <c r="H64">
        <v>66</v>
      </c>
      <c r="I64">
        <v>2</v>
      </c>
      <c r="K64">
        <v>94</v>
      </c>
      <c r="L64">
        <v>72</v>
      </c>
      <c r="M64">
        <v>25124324.324324325</v>
      </c>
      <c r="N64">
        <v>35890540.540540546</v>
      </c>
      <c r="O64">
        <v>84505191.441441447</v>
      </c>
      <c r="P64">
        <v>84446063.063063055</v>
      </c>
      <c r="Q64">
        <v>25050360.360360362</v>
      </c>
      <c r="R64">
        <v>31029909.909909911</v>
      </c>
      <c r="S64">
        <v>5386</v>
      </c>
      <c r="T64">
        <v>5137</v>
      </c>
    </row>
    <row r="65" spans="1:20" x14ac:dyDescent="0.35">
      <c r="A65" s="7" t="s">
        <v>140</v>
      </c>
      <c r="B65" s="12" t="s">
        <v>141</v>
      </c>
      <c r="C65">
        <v>266069490.32637188</v>
      </c>
      <c r="D65">
        <v>293422981.64083314</v>
      </c>
      <c r="E65">
        <v>2945045.0450450461</v>
      </c>
      <c r="F65">
        <v>3050450.450450452</v>
      </c>
      <c r="G65">
        <v>23</v>
      </c>
      <c r="H65">
        <v>22</v>
      </c>
      <c r="K65">
        <v>25</v>
      </c>
      <c r="L65">
        <v>32</v>
      </c>
      <c r="M65">
        <v>25648468.468468469</v>
      </c>
      <c r="N65">
        <v>29632432.432432432</v>
      </c>
      <c r="O65">
        <v>48705621.621621624</v>
      </c>
      <c r="P65">
        <v>54440419.819819823</v>
      </c>
      <c r="Q65">
        <v>23047297.297297295</v>
      </c>
      <c r="R65">
        <v>23967297.297297299</v>
      </c>
      <c r="S65">
        <v>4354</v>
      </c>
      <c r="T65">
        <v>5467</v>
      </c>
    </row>
    <row r="66" spans="1:20" x14ac:dyDescent="0.35">
      <c r="A66" s="7" t="s">
        <v>142</v>
      </c>
      <c r="B66" s="12" t="s">
        <v>63</v>
      </c>
      <c r="C66">
        <v>177838130.01780263</v>
      </c>
      <c r="D66">
        <v>184757571.46119443</v>
      </c>
      <c r="E66">
        <v>3155745.0450450489</v>
      </c>
      <c r="F66">
        <v>7672068.4684684696</v>
      </c>
      <c r="G66">
        <v>82</v>
      </c>
      <c r="H66">
        <v>19</v>
      </c>
      <c r="I66">
        <v>4</v>
      </c>
      <c r="K66">
        <v>106</v>
      </c>
      <c r="L66">
        <v>31</v>
      </c>
      <c r="M66">
        <v>94631794.594594598</v>
      </c>
      <c r="N66">
        <v>217226677.47747746</v>
      </c>
      <c r="O66">
        <v>39558621.621621624</v>
      </c>
      <c r="P66">
        <v>43085090.090090089</v>
      </c>
      <c r="Q66">
        <v>96478108.108108103</v>
      </c>
      <c r="R66">
        <v>205231441.44144145</v>
      </c>
      <c r="S66">
        <v>3988</v>
      </c>
      <c r="T66">
        <v>3897</v>
      </c>
    </row>
    <row r="67" spans="1:20" x14ac:dyDescent="0.35">
      <c r="A67" s="7" t="s">
        <v>143</v>
      </c>
      <c r="B67" s="12" t="s">
        <v>144</v>
      </c>
      <c r="C67">
        <v>1772286.7880629071</v>
      </c>
      <c r="D67">
        <v>2014353.697679708</v>
      </c>
      <c r="G67">
        <v>1</v>
      </c>
      <c r="K67">
        <v>1</v>
      </c>
      <c r="O67">
        <v>164504.50450450499</v>
      </c>
      <c r="P67">
        <v>254009.00900900899</v>
      </c>
      <c r="S67">
        <v>150</v>
      </c>
      <c r="T67">
        <v>138</v>
      </c>
    </row>
    <row r="68" spans="1:20" x14ac:dyDescent="0.35">
      <c r="A68" s="7" t="s">
        <v>145</v>
      </c>
      <c r="B68" s="12" t="s">
        <v>141</v>
      </c>
      <c r="C68">
        <v>379818966.75559115</v>
      </c>
      <c r="D68">
        <v>381100706.71800661</v>
      </c>
      <c r="E68">
        <v>1907657.657657658</v>
      </c>
      <c r="F68">
        <v>3192792.7927927952</v>
      </c>
      <c r="G68">
        <v>83</v>
      </c>
      <c r="H68">
        <v>41</v>
      </c>
      <c r="K68">
        <v>106</v>
      </c>
      <c r="L68">
        <v>47</v>
      </c>
      <c r="M68">
        <v>39813873.873873875</v>
      </c>
      <c r="N68">
        <v>52953423.423423424</v>
      </c>
      <c r="O68">
        <v>70959801.801801801</v>
      </c>
      <c r="P68">
        <v>78003315.315315306</v>
      </c>
      <c r="Q68">
        <v>39004054.054054052</v>
      </c>
      <c r="R68">
        <v>50071981.981981985</v>
      </c>
      <c r="S68">
        <v>7479</v>
      </c>
      <c r="T68">
        <v>7886</v>
      </c>
    </row>
    <row r="69" spans="1:20" x14ac:dyDescent="0.35">
      <c r="A69" s="7" t="s">
        <v>146</v>
      </c>
      <c r="B69" s="12" t="s">
        <v>79</v>
      </c>
      <c r="C69">
        <v>270807228.34381455</v>
      </c>
      <c r="D69">
        <v>271305122.27638257</v>
      </c>
      <c r="E69">
        <v>2965765.7657657661</v>
      </c>
      <c r="F69">
        <v>4040540.5405405462</v>
      </c>
      <c r="G69">
        <v>85</v>
      </c>
      <c r="H69">
        <v>68</v>
      </c>
      <c r="K69">
        <v>97</v>
      </c>
      <c r="L69">
        <v>77</v>
      </c>
      <c r="M69">
        <v>22988288.288288288</v>
      </c>
      <c r="N69">
        <v>32094594.594594598</v>
      </c>
      <c r="O69">
        <v>78012891.891891882</v>
      </c>
      <c r="P69">
        <v>79642115.315315306</v>
      </c>
      <c r="Q69">
        <v>27524054.054054052</v>
      </c>
      <c r="R69">
        <v>29455585.585585587</v>
      </c>
      <c r="S69">
        <v>6423</v>
      </c>
      <c r="T69">
        <v>6448</v>
      </c>
    </row>
    <row r="70" spans="1:20" x14ac:dyDescent="0.35">
      <c r="A70" s="7" t="s">
        <v>147</v>
      </c>
      <c r="B70" s="12" t="s">
        <v>148</v>
      </c>
      <c r="C70">
        <v>178161817.21762314</v>
      </c>
      <c r="D70">
        <v>174960669.31604284</v>
      </c>
      <c r="E70">
        <v>404211863.06306303</v>
      </c>
      <c r="F70">
        <v>456646016.21621621</v>
      </c>
      <c r="G70">
        <v>33</v>
      </c>
      <c r="H70">
        <v>27</v>
      </c>
      <c r="K70">
        <v>37</v>
      </c>
      <c r="L70">
        <v>28</v>
      </c>
      <c r="M70">
        <v>57303687.387387387</v>
      </c>
      <c r="N70">
        <v>91614864.864864871</v>
      </c>
      <c r="O70">
        <v>57858774.774774775</v>
      </c>
      <c r="P70">
        <v>57500484.684684686</v>
      </c>
      <c r="Q70">
        <v>46194324.324324325</v>
      </c>
      <c r="R70">
        <v>66729279.279279277</v>
      </c>
      <c r="S70">
        <v>3838</v>
      </c>
      <c r="T70">
        <v>3704</v>
      </c>
    </row>
    <row r="71" spans="1:20" x14ac:dyDescent="0.35">
      <c r="A71" s="7" t="s">
        <v>149</v>
      </c>
      <c r="B71" s="12" t="s">
        <v>95</v>
      </c>
      <c r="C71">
        <v>17.531949365999999</v>
      </c>
      <c r="D71">
        <v>22.077324659999999</v>
      </c>
      <c r="T71">
        <v>1</v>
      </c>
    </row>
    <row r="72" spans="1:20" x14ac:dyDescent="0.35">
      <c r="A72" s="7" t="s">
        <v>150</v>
      </c>
      <c r="B72" s="12" t="s">
        <v>51</v>
      </c>
      <c r="C72">
        <v>157265690.99654886</v>
      </c>
      <c r="D72">
        <v>158217389.98242068</v>
      </c>
      <c r="E72">
        <v>694594.59459459397</v>
      </c>
      <c r="F72">
        <v>945045.045045048</v>
      </c>
      <c r="G72">
        <v>41</v>
      </c>
      <c r="H72">
        <v>20</v>
      </c>
      <c r="K72">
        <v>42</v>
      </c>
      <c r="L72">
        <v>24</v>
      </c>
      <c r="M72">
        <v>9761711.7117117122</v>
      </c>
      <c r="N72">
        <v>14731621.621621624</v>
      </c>
      <c r="O72">
        <v>71141801.801801801</v>
      </c>
      <c r="P72">
        <v>72386792.792792797</v>
      </c>
      <c r="Q72">
        <v>9761801.8018018007</v>
      </c>
      <c r="R72">
        <v>13533693.693693692</v>
      </c>
      <c r="S72">
        <v>3609</v>
      </c>
      <c r="T72">
        <v>3540</v>
      </c>
    </row>
    <row r="73" spans="1:20" x14ac:dyDescent="0.35">
      <c r="A73" s="7" t="s">
        <v>151</v>
      </c>
      <c r="B73" s="12" t="s">
        <v>152</v>
      </c>
      <c r="C73">
        <v>47935517.404379249</v>
      </c>
      <c r="D73">
        <v>45805900.252740853</v>
      </c>
      <c r="E73">
        <v>589754924.32432437</v>
      </c>
      <c r="F73">
        <v>493931027.92792791</v>
      </c>
      <c r="G73">
        <v>6</v>
      </c>
      <c r="H73">
        <v>3</v>
      </c>
      <c r="K73">
        <v>7</v>
      </c>
      <c r="L73">
        <v>3</v>
      </c>
      <c r="M73">
        <v>89940765.765765756</v>
      </c>
      <c r="N73">
        <v>65659459.459459454</v>
      </c>
      <c r="O73">
        <v>13443099.0990991</v>
      </c>
      <c r="P73">
        <v>12784765.765765766</v>
      </c>
      <c r="Q73">
        <v>17819729.729729731</v>
      </c>
      <c r="R73">
        <v>32147117.117117114</v>
      </c>
      <c r="S73">
        <v>792</v>
      </c>
      <c r="T73">
        <v>606</v>
      </c>
    </row>
    <row r="74" spans="1:20" x14ac:dyDescent="0.35">
      <c r="A74" s="7" t="s">
        <v>153</v>
      </c>
      <c r="B74" s="12" t="s">
        <v>152</v>
      </c>
      <c r="C74">
        <v>470318777.82036108</v>
      </c>
      <c r="D74">
        <v>459620557.41173673</v>
      </c>
      <c r="E74">
        <v>8066891.8918918958</v>
      </c>
      <c r="F74">
        <v>4316246.8468468571</v>
      </c>
      <c r="G74">
        <v>227</v>
      </c>
      <c r="H74">
        <v>141</v>
      </c>
      <c r="I74">
        <v>2</v>
      </c>
      <c r="K74">
        <v>238</v>
      </c>
      <c r="L74">
        <v>155</v>
      </c>
      <c r="M74">
        <v>305023045.04504508</v>
      </c>
      <c r="N74">
        <v>340209490.0900901</v>
      </c>
      <c r="O74">
        <v>167469945.94594595</v>
      </c>
      <c r="P74">
        <v>169646414.41441441</v>
      </c>
      <c r="Q74">
        <v>254718007.2072072</v>
      </c>
      <c r="R74">
        <v>272647881.08108109</v>
      </c>
      <c r="S74">
        <v>7796</v>
      </c>
      <c r="T74">
        <v>8310</v>
      </c>
    </row>
    <row r="75" spans="1:20" x14ac:dyDescent="0.35">
      <c r="A75" s="7" t="s">
        <v>154</v>
      </c>
      <c r="B75" s="12" t="s">
        <v>155</v>
      </c>
      <c r="C75">
        <v>405132257.24822748</v>
      </c>
      <c r="D75">
        <v>386291652.33881605</v>
      </c>
      <c r="E75">
        <v>91534452.252252251</v>
      </c>
      <c r="F75">
        <v>160726973.87387389</v>
      </c>
      <c r="G75">
        <v>58</v>
      </c>
      <c r="H75">
        <v>25</v>
      </c>
      <c r="K75">
        <v>66</v>
      </c>
      <c r="L75">
        <v>41</v>
      </c>
      <c r="M75">
        <v>76254954.954954967</v>
      </c>
      <c r="N75">
        <v>72300900.9009009</v>
      </c>
      <c r="O75">
        <v>167847117.11711711</v>
      </c>
      <c r="P75">
        <v>173015378.37837836</v>
      </c>
      <c r="Q75">
        <v>48244054.054054059</v>
      </c>
      <c r="R75">
        <v>61364774.774774775</v>
      </c>
      <c r="S75">
        <v>7231</v>
      </c>
      <c r="T75">
        <v>7017</v>
      </c>
    </row>
    <row r="76" spans="1:20" x14ac:dyDescent="0.35">
      <c r="A76" s="7" t="s">
        <v>156</v>
      </c>
      <c r="B76" s="12" t="s">
        <v>155</v>
      </c>
      <c r="C76">
        <v>42805752.692355551</v>
      </c>
      <c r="D76">
        <v>46123140.702343017</v>
      </c>
      <c r="E76">
        <v>223423.423423425</v>
      </c>
      <c r="F76">
        <v>477477.47747747798</v>
      </c>
      <c r="G76">
        <v>11</v>
      </c>
      <c r="H76">
        <v>7</v>
      </c>
      <c r="K76">
        <v>12</v>
      </c>
      <c r="L76">
        <v>8</v>
      </c>
      <c r="M76">
        <v>5332432.4324324336</v>
      </c>
      <c r="N76">
        <v>18097297.297297295</v>
      </c>
      <c r="O76">
        <v>10953909.90990991</v>
      </c>
      <c r="P76">
        <v>14554711.711711712</v>
      </c>
      <c r="Q76">
        <v>3980090.0900900899</v>
      </c>
      <c r="R76">
        <v>16233153.153153157</v>
      </c>
      <c r="S76">
        <v>992</v>
      </c>
      <c r="T76">
        <v>1912</v>
      </c>
    </row>
    <row r="77" spans="1:20" x14ac:dyDescent="0.35">
      <c r="A77" s="7" t="s">
        <v>157</v>
      </c>
      <c r="B77" s="12" t="s">
        <v>155</v>
      </c>
      <c r="C77">
        <v>455175536.84603482</v>
      </c>
      <c r="D77">
        <v>445584047.58953685</v>
      </c>
      <c r="E77">
        <v>132629954.95495497</v>
      </c>
      <c r="F77">
        <v>28987387.387387395</v>
      </c>
      <c r="G77">
        <v>34</v>
      </c>
      <c r="H77">
        <v>26</v>
      </c>
      <c r="K77">
        <v>126</v>
      </c>
      <c r="L77">
        <v>30</v>
      </c>
      <c r="M77">
        <v>91166666.666666672</v>
      </c>
      <c r="N77">
        <v>123731171.17117117</v>
      </c>
      <c r="O77">
        <v>176980891.8918919</v>
      </c>
      <c r="P77">
        <v>186696450.45045045</v>
      </c>
      <c r="Q77">
        <v>97636666.666666672</v>
      </c>
      <c r="R77">
        <v>104629909.90990992</v>
      </c>
      <c r="S77">
        <v>8404</v>
      </c>
      <c r="T77">
        <v>7908</v>
      </c>
    </row>
    <row r="78" spans="1:20" x14ac:dyDescent="0.35">
      <c r="A78" s="7" t="s">
        <v>158</v>
      </c>
      <c r="B78" s="12" t="s">
        <v>135</v>
      </c>
      <c r="C78">
        <v>211634800.33075801</v>
      </c>
      <c r="D78">
        <v>204581101.44872838</v>
      </c>
      <c r="E78">
        <v>1062162.1621621649</v>
      </c>
      <c r="F78">
        <v>2330630.6306306319</v>
      </c>
      <c r="G78">
        <v>38</v>
      </c>
      <c r="H78">
        <v>32</v>
      </c>
      <c r="K78">
        <v>42</v>
      </c>
      <c r="L78">
        <v>49</v>
      </c>
      <c r="M78">
        <v>24927035.135135137</v>
      </c>
      <c r="N78">
        <v>24727027.02702703</v>
      </c>
      <c r="O78">
        <v>21177081.081081081</v>
      </c>
      <c r="P78">
        <v>21439792.792792793</v>
      </c>
      <c r="Q78">
        <v>10975855.855855856</v>
      </c>
      <c r="R78">
        <v>15498288.288288288</v>
      </c>
      <c r="S78">
        <v>4600</v>
      </c>
      <c r="T78">
        <v>4522</v>
      </c>
    </row>
    <row r="79" spans="1:20" x14ac:dyDescent="0.35">
      <c r="A79" s="7" t="s">
        <v>1</v>
      </c>
      <c r="B79" s="12" t="s">
        <v>159</v>
      </c>
      <c r="C79">
        <v>383247848.26428044</v>
      </c>
      <c r="D79">
        <v>382211882.19388151</v>
      </c>
      <c r="E79">
        <v>2646846.8468468501</v>
      </c>
      <c r="F79">
        <v>3279279.27927928</v>
      </c>
      <c r="G79">
        <v>115</v>
      </c>
      <c r="H79">
        <v>66</v>
      </c>
      <c r="I79">
        <v>1</v>
      </c>
      <c r="K79">
        <v>251</v>
      </c>
      <c r="L79">
        <v>213</v>
      </c>
      <c r="M79">
        <v>46691261.261261262</v>
      </c>
      <c r="N79">
        <v>55774099.0990991</v>
      </c>
      <c r="O79">
        <v>182507738.73873875</v>
      </c>
      <c r="P79">
        <v>182612396.3963964</v>
      </c>
      <c r="Q79">
        <v>43369819.819819823</v>
      </c>
      <c r="R79">
        <v>55122657.657657653</v>
      </c>
      <c r="S79">
        <v>8600</v>
      </c>
      <c r="T79">
        <v>8233</v>
      </c>
    </row>
    <row r="80" spans="1:20" x14ac:dyDescent="0.35">
      <c r="A80" s="7" t="s">
        <v>160</v>
      </c>
      <c r="B80" s="12" t="s">
        <v>122</v>
      </c>
      <c r="C80">
        <v>14359117.780343659</v>
      </c>
      <c r="D80">
        <v>12028323.399301482</v>
      </c>
      <c r="G80">
        <v>7</v>
      </c>
      <c r="H80">
        <v>9</v>
      </c>
      <c r="K80">
        <v>8</v>
      </c>
      <c r="L80">
        <v>10</v>
      </c>
      <c r="O80">
        <v>1245765.7657657659</v>
      </c>
      <c r="P80">
        <v>1679054.054054054</v>
      </c>
      <c r="Q80">
        <v>29729.729729729999</v>
      </c>
      <c r="R80">
        <v>74324.324324323999</v>
      </c>
      <c r="S80">
        <v>504</v>
      </c>
      <c r="T80">
        <v>514</v>
      </c>
    </row>
    <row r="81" spans="1:20" x14ac:dyDescent="0.35">
      <c r="A81" s="7" t="s">
        <v>161</v>
      </c>
      <c r="B81" s="12" t="s">
        <v>162</v>
      </c>
      <c r="C81">
        <v>203422332.87545028</v>
      </c>
      <c r="D81">
        <v>213798540.31812117</v>
      </c>
      <c r="E81">
        <v>133913745.04504506</v>
      </c>
      <c r="F81">
        <v>169151180.18018019</v>
      </c>
      <c r="G81">
        <v>120</v>
      </c>
      <c r="H81">
        <v>288</v>
      </c>
      <c r="K81">
        <v>199</v>
      </c>
      <c r="L81">
        <v>481</v>
      </c>
      <c r="M81">
        <v>76160737.837837845</v>
      </c>
      <c r="N81">
        <v>91272622.522522524</v>
      </c>
      <c r="O81">
        <v>89641369.369369373</v>
      </c>
      <c r="P81">
        <v>96761621.621621609</v>
      </c>
      <c r="Q81">
        <v>61154504.504504509</v>
      </c>
      <c r="R81">
        <v>67597432.432432428</v>
      </c>
      <c r="S81">
        <v>10685</v>
      </c>
      <c r="T81">
        <v>6146</v>
      </c>
    </row>
    <row r="82" spans="1:20" x14ac:dyDescent="0.35">
      <c r="A82" s="7" t="s">
        <v>163</v>
      </c>
      <c r="B82" s="12" t="s">
        <v>77</v>
      </c>
      <c r="C82">
        <v>90096521.768713415</v>
      </c>
      <c r="D82">
        <v>93171515.326352224</v>
      </c>
      <c r="E82">
        <v>354054.05405405501</v>
      </c>
      <c r="F82">
        <v>216216.21621621601</v>
      </c>
      <c r="G82">
        <v>41</v>
      </c>
      <c r="H82">
        <v>15</v>
      </c>
      <c r="K82">
        <v>43</v>
      </c>
      <c r="L82">
        <v>15</v>
      </c>
      <c r="M82">
        <v>1498198.1981981981</v>
      </c>
      <c r="N82">
        <v>1279279.2792792791</v>
      </c>
      <c r="O82">
        <v>5091981.9819819815</v>
      </c>
      <c r="P82">
        <v>4896468.4684684677</v>
      </c>
      <c r="Q82">
        <v>1294774.7747747749</v>
      </c>
      <c r="R82">
        <v>1349009.009009009</v>
      </c>
      <c r="S82">
        <v>988</v>
      </c>
      <c r="T82">
        <v>954</v>
      </c>
    </row>
    <row r="83" spans="1:20" x14ac:dyDescent="0.35">
      <c r="A83" s="7" t="s">
        <v>164</v>
      </c>
      <c r="B83" s="12" t="s">
        <v>53</v>
      </c>
      <c r="C83">
        <v>70259413.975687221</v>
      </c>
      <c r="D83">
        <v>66815122.671941385</v>
      </c>
      <c r="E83">
        <v>1116216.216216217</v>
      </c>
      <c r="F83">
        <v>1123423.4234234251</v>
      </c>
      <c r="G83">
        <v>23</v>
      </c>
      <c r="H83">
        <v>5</v>
      </c>
      <c r="K83">
        <v>25</v>
      </c>
      <c r="L83">
        <v>7</v>
      </c>
      <c r="M83">
        <v>1368468.4684684691</v>
      </c>
      <c r="N83">
        <v>2475495.4954954949</v>
      </c>
      <c r="O83">
        <v>34401666.666666664</v>
      </c>
      <c r="P83">
        <v>31195342.342342343</v>
      </c>
      <c r="Q83">
        <v>1515945.945945946</v>
      </c>
      <c r="R83">
        <v>2392522.5225225231</v>
      </c>
      <c r="S83">
        <v>1771</v>
      </c>
      <c r="T83">
        <v>1484</v>
      </c>
    </row>
    <row r="84" spans="1:20" x14ac:dyDescent="0.35">
      <c r="A84" s="7" t="s">
        <v>165</v>
      </c>
      <c r="B84" s="12" t="s">
        <v>88</v>
      </c>
      <c r="C84">
        <v>36751724.450661041</v>
      </c>
      <c r="D84">
        <v>49508866.027191587</v>
      </c>
      <c r="E84">
        <v>144144.144144144</v>
      </c>
      <c r="F84">
        <v>65765.765765766002</v>
      </c>
      <c r="G84">
        <v>11</v>
      </c>
      <c r="H84">
        <v>16</v>
      </c>
      <c r="K84">
        <v>12</v>
      </c>
      <c r="L84">
        <v>17</v>
      </c>
      <c r="M84">
        <v>1526126.1261261259</v>
      </c>
      <c r="N84">
        <v>1881081.0810810821</v>
      </c>
      <c r="O84">
        <v>3589684.684684685</v>
      </c>
      <c r="P84">
        <v>7666261.2612612611</v>
      </c>
      <c r="Q84">
        <v>1398288.2882882881</v>
      </c>
      <c r="R84">
        <v>1941621.621621622</v>
      </c>
      <c r="S84">
        <v>1167</v>
      </c>
      <c r="T84">
        <v>1200</v>
      </c>
    </row>
    <row r="85" spans="1:20" x14ac:dyDescent="0.35">
      <c r="A85" s="7" t="s">
        <v>166</v>
      </c>
      <c r="B85" s="12" t="s">
        <v>144</v>
      </c>
      <c r="C85">
        <v>12231429.728356063</v>
      </c>
      <c r="D85">
        <v>11861860.693570863</v>
      </c>
      <c r="E85">
        <v>130630.630630631</v>
      </c>
      <c r="F85">
        <v>297297.29729729798</v>
      </c>
      <c r="G85">
        <v>10</v>
      </c>
      <c r="K85">
        <v>10</v>
      </c>
      <c r="M85">
        <v>1635135.1351351349</v>
      </c>
      <c r="N85">
        <v>747747.74774774804</v>
      </c>
      <c r="O85">
        <v>1451639.63963964</v>
      </c>
      <c r="P85">
        <v>1364405.405405405</v>
      </c>
      <c r="Q85">
        <v>712972.97297297302</v>
      </c>
      <c r="R85">
        <v>962972.97297297302</v>
      </c>
      <c r="S85">
        <v>340</v>
      </c>
      <c r="T85">
        <v>357</v>
      </c>
    </row>
    <row r="86" spans="1:20" x14ac:dyDescent="0.35">
      <c r="A86" s="7" t="s">
        <v>669</v>
      </c>
      <c r="B86" s="12" t="s">
        <v>144</v>
      </c>
      <c r="E86">
        <v>140212920.72072071</v>
      </c>
      <c r="F86">
        <v>162036202.7027027</v>
      </c>
      <c r="M86">
        <v>8126126.1261261264</v>
      </c>
      <c r="N86">
        <v>27126126.126126129</v>
      </c>
    </row>
    <row r="87" spans="1:20" x14ac:dyDescent="0.35">
      <c r="A87" s="7" t="s">
        <v>167</v>
      </c>
      <c r="B87" s="12" t="s">
        <v>168</v>
      </c>
      <c r="C87">
        <v>49414713.602936283</v>
      </c>
      <c r="D87">
        <v>45714616.167474419</v>
      </c>
      <c r="E87">
        <v>723423.42342342401</v>
      </c>
      <c r="F87">
        <v>753153.15315315302</v>
      </c>
      <c r="G87">
        <v>11</v>
      </c>
      <c r="H87">
        <v>6</v>
      </c>
      <c r="K87">
        <v>11</v>
      </c>
      <c r="L87">
        <v>10</v>
      </c>
      <c r="M87">
        <v>4559009.0090090092</v>
      </c>
      <c r="N87">
        <v>4900000.0000000009</v>
      </c>
      <c r="O87">
        <v>24180953.153153151</v>
      </c>
      <c r="P87">
        <v>24490630.630630631</v>
      </c>
      <c r="Q87">
        <v>4064774.774774774</v>
      </c>
      <c r="R87">
        <v>3286126.1261261259</v>
      </c>
      <c r="S87">
        <v>1394</v>
      </c>
      <c r="T87">
        <v>1342</v>
      </c>
    </row>
    <row r="88" spans="1:20" x14ac:dyDescent="0.35">
      <c r="A88" s="7" t="s">
        <v>169</v>
      </c>
      <c r="B88" s="12" t="s">
        <v>170</v>
      </c>
      <c r="C88">
        <v>231978823.13853994</v>
      </c>
      <c r="D88">
        <v>243211864.06545392</v>
      </c>
      <c r="E88">
        <v>1498198.1981982</v>
      </c>
      <c r="F88">
        <v>3473873.8738738759</v>
      </c>
      <c r="G88">
        <v>32</v>
      </c>
      <c r="H88">
        <v>33</v>
      </c>
      <c r="K88">
        <v>37</v>
      </c>
      <c r="L88">
        <v>41</v>
      </c>
      <c r="M88">
        <v>37282231.531531528</v>
      </c>
      <c r="N88">
        <v>51554954.954954952</v>
      </c>
      <c r="O88">
        <v>71225443.693693697</v>
      </c>
      <c r="P88">
        <v>79513639.639639646</v>
      </c>
      <c r="Q88">
        <v>35565765.765765764</v>
      </c>
      <c r="R88">
        <v>48685765.765765756</v>
      </c>
      <c r="S88">
        <v>7280</v>
      </c>
      <c r="T88">
        <v>6602</v>
      </c>
    </row>
    <row r="89" spans="1:20" x14ac:dyDescent="0.35">
      <c r="A89" s="7" t="s">
        <v>171</v>
      </c>
      <c r="B89" s="12" t="s">
        <v>55</v>
      </c>
      <c r="C89">
        <v>34182966.943797521</v>
      </c>
      <c r="D89">
        <v>41323688.73276896</v>
      </c>
      <c r="E89">
        <v>381081.08108108101</v>
      </c>
      <c r="F89">
        <v>118918.918918918</v>
      </c>
      <c r="G89">
        <v>3</v>
      </c>
      <c r="H89">
        <v>4</v>
      </c>
      <c r="K89">
        <v>3</v>
      </c>
      <c r="L89">
        <v>5</v>
      </c>
      <c r="M89">
        <v>2680630.630630631</v>
      </c>
      <c r="N89">
        <v>5848648.6486486495</v>
      </c>
      <c r="O89">
        <v>5457342.3423423432</v>
      </c>
      <c r="P89">
        <v>6533243.2432432426</v>
      </c>
      <c r="Q89">
        <v>3640540.5405405401</v>
      </c>
      <c r="R89">
        <v>5198558.558558559</v>
      </c>
      <c r="S89">
        <v>723</v>
      </c>
      <c r="T89">
        <v>733</v>
      </c>
    </row>
    <row r="90" spans="1:20" x14ac:dyDescent="0.35">
      <c r="A90" s="7" t="s">
        <v>172</v>
      </c>
      <c r="B90" s="12" t="s">
        <v>61</v>
      </c>
      <c r="C90">
        <v>713809326.02690935</v>
      </c>
      <c r="D90">
        <v>703920083.8881135</v>
      </c>
      <c r="E90">
        <v>8054954.9549549567</v>
      </c>
      <c r="F90">
        <v>6288288.2882882953</v>
      </c>
      <c r="G90">
        <v>185</v>
      </c>
      <c r="H90">
        <v>46</v>
      </c>
      <c r="K90">
        <v>211</v>
      </c>
      <c r="L90">
        <v>61</v>
      </c>
      <c r="M90">
        <v>33222522.52252252</v>
      </c>
      <c r="N90">
        <v>42333333.333333336</v>
      </c>
      <c r="O90">
        <v>264820882.88288289</v>
      </c>
      <c r="P90">
        <v>258577349.54954955</v>
      </c>
      <c r="Q90">
        <v>33498378.37837838</v>
      </c>
      <c r="R90">
        <v>36214414.414414413</v>
      </c>
      <c r="S90">
        <v>12460</v>
      </c>
      <c r="T90">
        <v>11130</v>
      </c>
    </row>
    <row r="91" spans="1:20" x14ac:dyDescent="0.35">
      <c r="A91" s="7" t="s">
        <v>173</v>
      </c>
      <c r="B91" s="12" t="s">
        <v>122</v>
      </c>
      <c r="C91">
        <v>293634232.27982926</v>
      </c>
      <c r="D91">
        <v>277247706.30428988</v>
      </c>
      <c r="E91">
        <v>1856756.7567567581</v>
      </c>
      <c r="F91">
        <v>1153153.1531531611</v>
      </c>
      <c r="G91">
        <v>116</v>
      </c>
      <c r="H91">
        <v>105</v>
      </c>
      <c r="K91">
        <v>124</v>
      </c>
      <c r="L91">
        <v>117</v>
      </c>
      <c r="M91">
        <v>19619819.819819819</v>
      </c>
      <c r="N91">
        <v>20567567.567567568</v>
      </c>
      <c r="O91">
        <v>40233772.522522517</v>
      </c>
      <c r="P91">
        <v>46222360.360360362</v>
      </c>
      <c r="Q91">
        <v>13928378.378378376</v>
      </c>
      <c r="R91">
        <v>13811891.891891889</v>
      </c>
      <c r="S91">
        <v>5746</v>
      </c>
      <c r="T91">
        <v>5676</v>
      </c>
    </row>
    <row r="92" spans="1:20" x14ac:dyDescent="0.35">
      <c r="A92" s="7" t="s">
        <v>174</v>
      </c>
      <c r="B92" s="12" t="s">
        <v>175</v>
      </c>
      <c r="C92">
        <v>210575174.33351356</v>
      </c>
      <c r="D92">
        <v>220750798.96195838</v>
      </c>
      <c r="E92">
        <v>5626801.8018018007</v>
      </c>
      <c r="F92">
        <v>3738738.7387387431</v>
      </c>
      <c r="G92">
        <v>43</v>
      </c>
      <c r="H92">
        <v>33</v>
      </c>
      <c r="K92">
        <v>58</v>
      </c>
      <c r="L92">
        <v>49</v>
      </c>
      <c r="M92">
        <v>36286936.936936937</v>
      </c>
      <c r="N92">
        <v>36972072.072072074</v>
      </c>
      <c r="O92">
        <v>27195468.468468469</v>
      </c>
      <c r="P92">
        <v>28589747.747747753</v>
      </c>
      <c r="Q92">
        <v>31712432.432432432</v>
      </c>
      <c r="R92">
        <v>32071441.441441443</v>
      </c>
      <c r="S92">
        <v>5031</v>
      </c>
      <c r="T92">
        <v>6154</v>
      </c>
    </row>
    <row r="93" spans="1:20" x14ac:dyDescent="0.35">
      <c r="A93" s="7" t="s">
        <v>176</v>
      </c>
      <c r="B93" s="12" t="s">
        <v>175</v>
      </c>
      <c r="C93">
        <v>330491586.77520001</v>
      </c>
      <c r="D93">
        <v>342772581.80036074</v>
      </c>
      <c r="E93">
        <v>118734927.92792794</v>
      </c>
      <c r="F93">
        <v>138908189.1891892</v>
      </c>
      <c r="G93">
        <v>127</v>
      </c>
      <c r="H93">
        <v>161</v>
      </c>
      <c r="I93">
        <v>1</v>
      </c>
      <c r="K93">
        <v>153</v>
      </c>
      <c r="L93">
        <v>202</v>
      </c>
      <c r="M93">
        <v>57095495.495495491</v>
      </c>
      <c r="N93">
        <v>55013645.945945948</v>
      </c>
      <c r="O93">
        <v>54967918.918918923</v>
      </c>
      <c r="P93">
        <v>56326072.072072074</v>
      </c>
      <c r="Q93">
        <v>37598378.378378384</v>
      </c>
      <c r="R93">
        <v>39657747.747747749</v>
      </c>
      <c r="S93">
        <v>10123</v>
      </c>
      <c r="T93">
        <v>8680</v>
      </c>
    </row>
    <row r="94" spans="1:20" x14ac:dyDescent="0.35">
      <c r="A94" s="7" t="s">
        <v>177</v>
      </c>
      <c r="B94" s="12" t="s">
        <v>175</v>
      </c>
      <c r="C94">
        <v>450722430.96324205</v>
      </c>
      <c r="D94">
        <v>455520225.05248141</v>
      </c>
      <c r="E94">
        <v>1821846.846846852</v>
      </c>
      <c r="F94">
        <v>2577477.4774774872</v>
      </c>
      <c r="G94">
        <v>217</v>
      </c>
      <c r="H94">
        <v>223</v>
      </c>
      <c r="K94">
        <v>261</v>
      </c>
      <c r="L94">
        <v>275</v>
      </c>
      <c r="M94">
        <v>42310810.810810804</v>
      </c>
      <c r="N94">
        <v>54565322.522522531</v>
      </c>
      <c r="O94">
        <v>68759851.351351351</v>
      </c>
      <c r="P94">
        <v>73687315.315315306</v>
      </c>
      <c r="Q94">
        <v>36485585.585585587</v>
      </c>
      <c r="R94">
        <v>47466036.036036037</v>
      </c>
      <c r="S94">
        <v>13651</v>
      </c>
      <c r="T94">
        <v>12110</v>
      </c>
    </row>
    <row r="95" spans="1:20" x14ac:dyDescent="0.35">
      <c r="A95" s="7" t="s">
        <v>178</v>
      </c>
      <c r="B95" s="12" t="s">
        <v>179</v>
      </c>
      <c r="C95">
        <v>153772714.99770027</v>
      </c>
      <c r="D95">
        <v>139724833.41476715</v>
      </c>
      <c r="E95">
        <v>499099.099099099</v>
      </c>
      <c r="F95">
        <v>1604504.504504506</v>
      </c>
      <c r="G95">
        <v>30</v>
      </c>
      <c r="H95">
        <v>19</v>
      </c>
      <c r="K95">
        <v>36</v>
      </c>
      <c r="L95">
        <v>84</v>
      </c>
      <c r="M95">
        <v>9615540.5405405406</v>
      </c>
      <c r="N95">
        <v>9626576.5765765756</v>
      </c>
      <c r="O95">
        <v>62816205.40540541</v>
      </c>
      <c r="P95">
        <v>55172027.027027026</v>
      </c>
      <c r="Q95">
        <v>9152297.2972972952</v>
      </c>
      <c r="R95">
        <v>7832072.072072071</v>
      </c>
      <c r="S95">
        <v>3843</v>
      </c>
      <c r="T95">
        <v>3407</v>
      </c>
    </row>
    <row r="96" spans="1:20" x14ac:dyDescent="0.35">
      <c r="A96" s="7" t="s">
        <v>180</v>
      </c>
      <c r="B96" s="12" t="s">
        <v>168</v>
      </c>
      <c r="C96">
        <v>179030722.6461941</v>
      </c>
      <c r="D96">
        <v>199121105.93104768</v>
      </c>
      <c r="E96">
        <v>2044819.8198198201</v>
      </c>
      <c r="F96">
        <v>5226576.5765765766</v>
      </c>
      <c r="G96">
        <v>26</v>
      </c>
      <c r="H96">
        <v>18</v>
      </c>
      <c r="K96">
        <v>34</v>
      </c>
      <c r="L96">
        <v>20</v>
      </c>
      <c r="M96">
        <v>4609909.9099099115</v>
      </c>
      <c r="N96">
        <v>16524324.324324325</v>
      </c>
      <c r="O96">
        <v>45484018.018018015</v>
      </c>
      <c r="P96">
        <v>64519918.918918923</v>
      </c>
      <c r="Q96">
        <v>2644144.1441441472</v>
      </c>
      <c r="R96">
        <v>10869909.909909911</v>
      </c>
      <c r="S96">
        <v>4655</v>
      </c>
      <c r="T96">
        <v>4309</v>
      </c>
    </row>
    <row r="97" spans="1:20" x14ac:dyDescent="0.35">
      <c r="A97" s="7" t="s">
        <v>181</v>
      </c>
      <c r="B97" s="12" t="s">
        <v>182</v>
      </c>
      <c r="C97">
        <v>145259295.87606788</v>
      </c>
      <c r="D97">
        <v>151819062.45030746</v>
      </c>
      <c r="E97">
        <v>357657.65765765798</v>
      </c>
      <c r="F97">
        <v>2327027.0270270291</v>
      </c>
      <c r="G97">
        <v>20</v>
      </c>
      <c r="H97">
        <v>30</v>
      </c>
      <c r="K97">
        <v>23</v>
      </c>
      <c r="L97">
        <v>32</v>
      </c>
      <c r="M97">
        <v>7767387.3873873837</v>
      </c>
      <c r="N97">
        <v>29752702.702702705</v>
      </c>
      <c r="O97">
        <v>36589551.801801801</v>
      </c>
      <c r="P97">
        <v>37532477.477477483</v>
      </c>
      <c r="Q97">
        <v>9894144.1441441402</v>
      </c>
      <c r="R97">
        <v>28661081.081081081</v>
      </c>
      <c r="S97">
        <v>3109</v>
      </c>
      <c r="T97">
        <v>3072</v>
      </c>
    </row>
    <row r="98" spans="1:20" x14ac:dyDescent="0.35">
      <c r="A98" s="7" t="s">
        <v>675</v>
      </c>
      <c r="B98" s="12" t="s">
        <v>261</v>
      </c>
      <c r="E98">
        <v>345977604.5045045</v>
      </c>
      <c r="F98">
        <v>417076414.41441441</v>
      </c>
      <c r="M98">
        <v>54846846.846846849</v>
      </c>
      <c r="N98">
        <v>32792792.792792793</v>
      </c>
    </row>
    <row r="99" spans="1:20" x14ac:dyDescent="0.35">
      <c r="A99" s="7" t="s">
        <v>665</v>
      </c>
      <c r="B99" s="12" t="s">
        <v>69</v>
      </c>
      <c r="E99">
        <v>104461425.22522523</v>
      </c>
      <c r="F99">
        <v>104839515.31531531</v>
      </c>
      <c r="N99">
        <v>25533333.333333332</v>
      </c>
      <c r="T99">
        <v>2</v>
      </c>
    </row>
    <row r="100" spans="1:20" x14ac:dyDescent="0.35">
      <c r="A100" s="7" t="s">
        <v>183</v>
      </c>
      <c r="B100" s="12" t="s">
        <v>95</v>
      </c>
      <c r="C100">
        <v>141664514.75704378</v>
      </c>
      <c r="D100">
        <v>150876573.75524247</v>
      </c>
      <c r="E100">
        <v>54054.054054054002</v>
      </c>
      <c r="F100">
        <v>90090.090090090001</v>
      </c>
      <c r="G100">
        <v>43</v>
      </c>
      <c r="H100">
        <v>34</v>
      </c>
      <c r="I100">
        <v>1</v>
      </c>
      <c r="K100">
        <v>53</v>
      </c>
      <c r="L100">
        <v>43</v>
      </c>
      <c r="M100">
        <v>4477477.4774774769</v>
      </c>
      <c r="N100">
        <v>1891891.8918918921</v>
      </c>
      <c r="O100">
        <v>15245981.981981982</v>
      </c>
      <c r="P100">
        <v>22970405.40540541</v>
      </c>
      <c r="Q100">
        <v>1633963.963963964</v>
      </c>
      <c r="R100">
        <v>654504.50450450496</v>
      </c>
      <c r="S100">
        <v>3564</v>
      </c>
      <c r="T100">
        <v>3744</v>
      </c>
    </row>
    <row r="101" spans="1:20" x14ac:dyDescent="0.35">
      <c r="A101" s="7" t="s">
        <v>184</v>
      </c>
      <c r="B101" s="12" t="s">
        <v>95</v>
      </c>
      <c r="C101">
        <v>866951297.43665874</v>
      </c>
      <c r="D101">
        <v>940209383.28481221</v>
      </c>
      <c r="E101">
        <v>962797861.26126134</v>
      </c>
      <c r="F101">
        <v>206365577.47747749</v>
      </c>
      <c r="G101">
        <v>169</v>
      </c>
      <c r="H101">
        <v>246</v>
      </c>
      <c r="K101">
        <v>206</v>
      </c>
      <c r="L101">
        <v>313</v>
      </c>
      <c r="M101">
        <v>55315765.765765756</v>
      </c>
      <c r="N101">
        <v>64735225.225225225</v>
      </c>
      <c r="O101">
        <v>106587295.04504503</v>
      </c>
      <c r="P101">
        <v>139157756.75675675</v>
      </c>
      <c r="Q101">
        <v>46764414.414414413</v>
      </c>
      <c r="R101">
        <v>49456036.036036029</v>
      </c>
      <c r="S101">
        <v>16226</v>
      </c>
      <c r="T101">
        <v>16646</v>
      </c>
    </row>
    <row r="102" spans="1:20" x14ac:dyDescent="0.35">
      <c r="A102" s="7" t="s">
        <v>185</v>
      </c>
      <c r="B102" s="12" t="s">
        <v>90</v>
      </c>
      <c r="C102">
        <v>78380470.246894822</v>
      </c>
      <c r="D102">
        <v>70074582.158026636</v>
      </c>
      <c r="E102">
        <v>785360.36036036105</v>
      </c>
      <c r="F102">
        <v>1557657.6576576571</v>
      </c>
      <c r="G102">
        <v>17</v>
      </c>
      <c r="H102">
        <v>7</v>
      </c>
      <c r="K102">
        <v>17</v>
      </c>
      <c r="L102">
        <v>8</v>
      </c>
      <c r="M102">
        <v>3446306.3063063058</v>
      </c>
      <c r="N102">
        <v>4291891.8918918911</v>
      </c>
      <c r="O102">
        <v>26493045.045045044</v>
      </c>
      <c r="P102">
        <v>27194981.981981985</v>
      </c>
      <c r="Q102">
        <v>3495675.6756756762</v>
      </c>
      <c r="R102">
        <v>4213423.4234234253</v>
      </c>
      <c r="S102">
        <v>1706</v>
      </c>
      <c r="T102">
        <v>1537</v>
      </c>
    </row>
    <row r="103" spans="1:20" x14ac:dyDescent="0.35">
      <c r="A103" s="7" t="s">
        <v>186</v>
      </c>
      <c r="B103" s="12" t="s">
        <v>61</v>
      </c>
      <c r="C103">
        <v>47004244.638821445</v>
      </c>
      <c r="D103">
        <v>51402474.643517449</v>
      </c>
      <c r="E103">
        <v>259459.45945946101</v>
      </c>
      <c r="F103">
        <v>997297.29729729798</v>
      </c>
      <c r="G103">
        <v>10</v>
      </c>
      <c r="H103">
        <v>7</v>
      </c>
      <c r="K103">
        <v>11</v>
      </c>
      <c r="L103">
        <v>8</v>
      </c>
      <c r="M103">
        <v>1250450.450450452</v>
      </c>
      <c r="N103">
        <v>2681981.9819819829</v>
      </c>
      <c r="O103">
        <v>16415921.171171172</v>
      </c>
      <c r="P103">
        <v>17878459.459459461</v>
      </c>
      <c r="Q103">
        <v>953603.60360360402</v>
      </c>
      <c r="R103">
        <v>3563693.6936936928</v>
      </c>
      <c r="S103">
        <v>911</v>
      </c>
      <c r="T103">
        <v>795</v>
      </c>
    </row>
    <row r="104" spans="1:20" x14ac:dyDescent="0.35">
      <c r="A104" s="7" t="s">
        <v>187</v>
      </c>
      <c r="B104" s="12" t="s">
        <v>168</v>
      </c>
      <c r="C104">
        <v>117524957.86842687</v>
      </c>
      <c r="D104">
        <v>112636973.97554612</v>
      </c>
      <c r="E104">
        <v>1630405.4054054059</v>
      </c>
      <c r="F104">
        <v>3837837.8378378372</v>
      </c>
      <c r="G104">
        <v>5</v>
      </c>
      <c r="H104">
        <v>6</v>
      </c>
      <c r="K104">
        <v>5</v>
      </c>
      <c r="L104">
        <v>10</v>
      </c>
      <c r="M104">
        <v>1671171.1711711721</v>
      </c>
      <c r="N104">
        <v>8016216.2162162159</v>
      </c>
      <c r="O104">
        <v>31532639.639639638</v>
      </c>
      <c r="P104">
        <v>34055142.342342347</v>
      </c>
      <c r="Q104">
        <v>268828.82882882899</v>
      </c>
      <c r="R104">
        <v>6068828.8288288293</v>
      </c>
      <c r="S104">
        <v>2688</v>
      </c>
      <c r="T104">
        <v>2863</v>
      </c>
    </row>
    <row r="105" spans="1:20" x14ac:dyDescent="0.35">
      <c r="A105" s="7" t="s">
        <v>188</v>
      </c>
      <c r="B105" s="12" t="s">
        <v>168</v>
      </c>
      <c r="C105">
        <v>310660942.5919078</v>
      </c>
      <c r="D105">
        <v>334502028.22917724</v>
      </c>
      <c r="E105">
        <v>1033333.333333336</v>
      </c>
      <c r="F105">
        <v>3756756.7567567541</v>
      </c>
      <c r="G105">
        <v>33</v>
      </c>
      <c r="H105">
        <v>9</v>
      </c>
      <c r="K105">
        <v>35</v>
      </c>
      <c r="L105">
        <v>12</v>
      </c>
      <c r="M105">
        <v>12394175.675675675</v>
      </c>
      <c r="N105">
        <v>22508108.108108111</v>
      </c>
      <c r="O105">
        <v>63244648.648648649</v>
      </c>
      <c r="P105">
        <v>80306628.828828827</v>
      </c>
      <c r="Q105">
        <v>9439459.4594594631</v>
      </c>
      <c r="R105">
        <v>18782612.612612616</v>
      </c>
      <c r="S105">
        <v>5709</v>
      </c>
      <c r="T105">
        <v>5555</v>
      </c>
    </row>
    <row r="106" spans="1:20" x14ac:dyDescent="0.35">
      <c r="A106" s="7" t="s">
        <v>189</v>
      </c>
      <c r="B106" s="12" t="s">
        <v>190</v>
      </c>
      <c r="C106">
        <v>136802821.53512257</v>
      </c>
      <c r="D106">
        <v>142856665.76506379</v>
      </c>
      <c r="E106">
        <v>270270.27027027</v>
      </c>
      <c r="F106">
        <v>270270.27027027</v>
      </c>
      <c r="G106">
        <v>19</v>
      </c>
      <c r="H106">
        <v>34</v>
      </c>
      <c r="I106">
        <v>1</v>
      </c>
      <c r="K106">
        <v>19</v>
      </c>
      <c r="L106">
        <v>35</v>
      </c>
      <c r="M106">
        <v>2072072.072072072</v>
      </c>
      <c r="N106">
        <v>2657657.6576576582</v>
      </c>
      <c r="O106">
        <v>9848234.2342342362</v>
      </c>
      <c r="P106">
        <v>12408612.612612613</v>
      </c>
      <c r="Q106">
        <v>1740540.5405405411</v>
      </c>
      <c r="R106">
        <v>1991261.2612612611</v>
      </c>
      <c r="S106">
        <v>1717</v>
      </c>
      <c r="T106">
        <v>1692</v>
      </c>
    </row>
    <row r="107" spans="1:20" x14ac:dyDescent="0.35">
      <c r="A107" s="7" t="s">
        <v>191</v>
      </c>
      <c r="B107" s="12" t="s">
        <v>135</v>
      </c>
      <c r="C107">
        <v>32645183.152431369</v>
      </c>
      <c r="D107">
        <v>30142507.281777408</v>
      </c>
      <c r="E107">
        <v>13513.513513514001</v>
      </c>
      <c r="G107">
        <v>20</v>
      </c>
      <c r="H107">
        <v>27</v>
      </c>
      <c r="K107">
        <v>21</v>
      </c>
      <c r="L107">
        <v>30</v>
      </c>
      <c r="M107">
        <v>58558.558558559002</v>
      </c>
      <c r="O107">
        <v>2370855.8558558561</v>
      </c>
      <c r="P107">
        <v>2562018.018018018</v>
      </c>
      <c r="Q107">
        <v>166666.66666666701</v>
      </c>
      <c r="S107">
        <v>947</v>
      </c>
      <c r="T107">
        <v>934</v>
      </c>
    </row>
    <row r="108" spans="1:20" x14ac:dyDescent="0.35">
      <c r="A108" s="7" t="s">
        <v>192</v>
      </c>
      <c r="B108" s="12" t="s">
        <v>61</v>
      </c>
      <c r="C108">
        <v>196193274.69648889</v>
      </c>
      <c r="D108">
        <v>197121809.38692197</v>
      </c>
      <c r="E108">
        <v>2879054.054054053</v>
      </c>
      <c r="F108">
        <v>2688288.2882882892</v>
      </c>
      <c r="G108">
        <v>18</v>
      </c>
      <c r="H108">
        <v>40</v>
      </c>
      <c r="K108">
        <v>27</v>
      </c>
      <c r="L108">
        <v>92</v>
      </c>
      <c r="M108">
        <v>16699099.099099098</v>
      </c>
      <c r="N108">
        <v>24039189.189189188</v>
      </c>
      <c r="O108">
        <v>65374855.855855852</v>
      </c>
      <c r="P108">
        <v>68207702.702702701</v>
      </c>
      <c r="Q108">
        <v>15771621.621621624</v>
      </c>
      <c r="R108">
        <v>24078918.918918919</v>
      </c>
      <c r="S108">
        <v>4063</v>
      </c>
      <c r="T108">
        <v>4787</v>
      </c>
    </row>
    <row r="109" spans="1:20" x14ac:dyDescent="0.35">
      <c r="A109" s="7" t="s">
        <v>193</v>
      </c>
      <c r="B109" s="12" t="s">
        <v>61</v>
      </c>
      <c r="C109">
        <v>339515729.10411584</v>
      </c>
      <c r="D109">
        <v>350688679.72636545</v>
      </c>
      <c r="E109">
        <v>3093693.6936936928</v>
      </c>
      <c r="F109">
        <v>3084684.684684685</v>
      </c>
      <c r="G109">
        <v>28</v>
      </c>
      <c r="H109">
        <v>38</v>
      </c>
      <c r="I109">
        <v>2</v>
      </c>
      <c r="K109">
        <v>33</v>
      </c>
      <c r="L109">
        <v>56</v>
      </c>
      <c r="M109">
        <v>18562162.162162159</v>
      </c>
      <c r="N109">
        <v>30920270.270270269</v>
      </c>
      <c r="O109">
        <v>81621720.720720723</v>
      </c>
      <c r="P109">
        <v>84557430.630630627</v>
      </c>
      <c r="Q109">
        <v>18460000</v>
      </c>
      <c r="R109">
        <v>29797520.72072072</v>
      </c>
      <c r="S109">
        <v>6559</v>
      </c>
      <c r="T109">
        <v>5793</v>
      </c>
    </row>
    <row r="110" spans="1:20" x14ac:dyDescent="0.35">
      <c r="A110" s="7" t="s">
        <v>2</v>
      </c>
      <c r="B110" s="12" t="s">
        <v>194</v>
      </c>
      <c r="C110">
        <v>36638252.177251168</v>
      </c>
      <c r="D110">
        <v>20015075.218439002</v>
      </c>
      <c r="E110">
        <v>310810.81081081199</v>
      </c>
      <c r="F110">
        <v>373873.87387387402</v>
      </c>
      <c r="G110">
        <v>4</v>
      </c>
      <c r="K110">
        <v>4</v>
      </c>
      <c r="M110">
        <v>6662162.1621621633</v>
      </c>
      <c r="N110">
        <v>3256756.7567567569</v>
      </c>
      <c r="O110">
        <v>20820756.756756756</v>
      </c>
      <c r="P110">
        <v>12503243.243243244</v>
      </c>
      <c r="Q110">
        <v>6509009.0090090092</v>
      </c>
      <c r="R110">
        <v>3175225.2252252251</v>
      </c>
      <c r="S110">
        <v>1120</v>
      </c>
      <c r="T110">
        <v>1192</v>
      </c>
    </row>
    <row r="111" spans="1:20" x14ac:dyDescent="0.35">
      <c r="A111" s="7" t="s">
        <v>195</v>
      </c>
      <c r="B111" s="12" t="s">
        <v>196</v>
      </c>
      <c r="C111">
        <v>1187157091.8532646</v>
      </c>
      <c r="D111">
        <v>1227603971.9563024</v>
      </c>
      <c r="E111">
        <v>3953828.8288288298</v>
      </c>
      <c r="F111">
        <v>4736036.0360360378</v>
      </c>
      <c r="G111">
        <v>287</v>
      </c>
      <c r="H111">
        <v>118</v>
      </c>
      <c r="I111">
        <v>2</v>
      </c>
      <c r="K111">
        <v>311</v>
      </c>
      <c r="L111">
        <v>171</v>
      </c>
      <c r="M111">
        <v>53785945.945945941</v>
      </c>
      <c r="N111">
        <v>55817117.117117122</v>
      </c>
      <c r="O111">
        <v>230949729.72972974</v>
      </c>
      <c r="P111">
        <v>246490333.33333334</v>
      </c>
      <c r="Q111">
        <v>54018468.468468465</v>
      </c>
      <c r="R111">
        <v>52955675.675675683</v>
      </c>
      <c r="S111">
        <v>17914</v>
      </c>
      <c r="T111">
        <v>18015</v>
      </c>
    </row>
    <row r="112" spans="1:20" x14ac:dyDescent="0.35">
      <c r="A112" s="7" t="s">
        <v>197</v>
      </c>
      <c r="B112" s="12" t="s">
        <v>81</v>
      </c>
      <c r="C112">
        <v>364888031.41355282</v>
      </c>
      <c r="D112">
        <v>361023040.51637042</v>
      </c>
      <c r="E112">
        <v>1807207.2072072099</v>
      </c>
      <c r="F112">
        <v>3200900.9009009022</v>
      </c>
      <c r="G112">
        <v>86</v>
      </c>
      <c r="H112">
        <v>55</v>
      </c>
      <c r="K112">
        <v>97</v>
      </c>
      <c r="L112">
        <v>74</v>
      </c>
      <c r="M112">
        <v>43590990.990990981</v>
      </c>
      <c r="N112">
        <v>58598648.648648649</v>
      </c>
      <c r="O112">
        <v>100630648.64864865</v>
      </c>
      <c r="P112">
        <v>98885792.792792797</v>
      </c>
      <c r="Q112">
        <v>46205855.855855852</v>
      </c>
      <c r="R112">
        <v>57948918.918918923</v>
      </c>
      <c r="S112">
        <v>7072</v>
      </c>
      <c r="T112">
        <v>6712</v>
      </c>
    </row>
    <row r="113" spans="1:20" x14ac:dyDescent="0.35">
      <c r="A113" s="7" t="s">
        <v>198</v>
      </c>
      <c r="B113" s="12" t="s">
        <v>109</v>
      </c>
      <c r="C113">
        <v>289838042.8865239</v>
      </c>
      <c r="D113">
        <v>291827563.51859981</v>
      </c>
      <c r="E113">
        <v>87952252.252252251</v>
      </c>
      <c r="F113">
        <v>629651351.35135126</v>
      </c>
      <c r="G113">
        <v>100</v>
      </c>
      <c r="H113">
        <v>64</v>
      </c>
      <c r="I113">
        <v>1</v>
      </c>
      <c r="K113">
        <v>115</v>
      </c>
      <c r="L113">
        <v>99</v>
      </c>
      <c r="M113">
        <v>22162162.162162159</v>
      </c>
      <c r="N113">
        <v>36163063.063063063</v>
      </c>
      <c r="O113">
        <v>89682117.117117122</v>
      </c>
      <c r="P113">
        <v>89444162.162162155</v>
      </c>
      <c r="Q113">
        <v>16020180.180180181</v>
      </c>
      <c r="R113">
        <v>22449459.459459461</v>
      </c>
      <c r="S113">
        <v>7765</v>
      </c>
      <c r="T113">
        <v>7354</v>
      </c>
    </row>
    <row r="114" spans="1:20" x14ac:dyDescent="0.35">
      <c r="A114" s="7" t="s">
        <v>199</v>
      </c>
      <c r="B114" s="12" t="s">
        <v>93</v>
      </c>
      <c r="C114">
        <v>155881582.39945596</v>
      </c>
      <c r="D114">
        <v>161163201.87161878</v>
      </c>
      <c r="E114">
        <v>5387387.3873873856</v>
      </c>
      <c r="F114">
        <v>4159459.4594594589</v>
      </c>
      <c r="G114">
        <v>143</v>
      </c>
      <c r="H114">
        <v>28</v>
      </c>
      <c r="K114">
        <v>193</v>
      </c>
      <c r="L114">
        <v>29</v>
      </c>
      <c r="M114">
        <v>50171981.981981985</v>
      </c>
      <c r="N114">
        <v>29054504.504504506</v>
      </c>
      <c r="O114">
        <v>42540405.40540541</v>
      </c>
      <c r="P114">
        <v>41578981.981981985</v>
      </c>
      <c r="Q114">
        <v>48674324.324324325</v>
      </c>
      <c r="R114">
        <v>27646846.846846849</v>
      </c>
      <c r="S114">
        <v>2854</v>
      </c>
      <c r="T114">
        <v>2800</v>
      </c>
    </row>
    <row r="115" spans="1:20" x14ac:dyDescent="0.35">
      <c r="A115" s="7" t="s">
        <v>200</v>
      </c>
      <c r="B115" s="12" t="s">
        <v>124</v>
      </c>
      <c r="C115">
        <v>145551546.63917151</v>
      </c>
      <c r="D115">
        <v>121895223.71426077</v>
      </c>
      <c r="E115">
        <v>158494594.5945946</v>
      </c>
      <c r="F115">
        <v>379773873.87387383</v>
      </c>
      <c r="G115">
        <v>43</v>
      </c>
      <c r="H115">
        <v>20</v>
      </c>
      <c r="K115">
        <v>47</v>
      </c>
      <c r="L115">
        <v>23</v>
      </c>
      <c r="M115">
        <v>5058873.8738738736</v>
      </c>
      <c r="N115">
        <v>9436306.3063063063</v>
      </c>
      <c r="O115">
        <v>26973423.423423424</v>
      </c>
      <c r="P115">
        <v>28213990.990990993</v>
      </c>
      <c r="Q115">
        <v>5654324.3243243247</v>
      </c>
      <c r="R115">
        <v>6557747.7477477472</v>
      </c>
      <c r="S115">
        <v>2521</v>
      </c>
      <c r="T115">
        <v>2510</v>
      </c>
    </row>
    <row r="116" spans="1:20" x14ac:dyDescent="0.35">
      <c r="A116" s="7" t="s">
        <v>201</v>
      </c>
      <c r="B116" s="12" t="s">
        <v>61</v>
      </c>
      <c r="C116">
        <v>105093977.36027829</v>
      </c>
      <c r="D116">
        <v>107628287.32661824</v>
      </c>
      <c r="E116">
        <v>1602702.7027027039</v>
      </c>
      <c r="F116">
        <v>1311261.261261265</v>
      </c>
      <c r="G116">
        <v>27</v>
      </c>
      <c r="H116">
        <v>7</v>
      </c>
      <c r="I116">
        <v>1</v>
      </c>
      <c r="K116">
        <v>29</v>
      </c>
      <c r="L116">
        <v>17</v>
      </c>
      <c r="M116">
        <v>12836936.936936937</v>
      </c>
      <c r="N116">
        <v>15806756.756756758</v>
      </c>
      <c r="O116">
        <v>19483842.342342339</v>
      </c>
      <c r="P116">
        <v>20575495.495495494</v>
      </c>
      <c r="Q116">
        <v>7562522.5225225221</v>
      </c>
      <c r="R116">
        <v>7692792.7927927943</v>
      </c>
      <c r="S116">
        <v>3849</v>
      </c>
      <c r="T116">
        <v>3623</v>
      </c>
    </row>
    <row r="117" spans="1:20" x14ac:dyDescent="0.35">
      <c r="A117" s="7" t="s">
        <v>202</v>
      </c>
      <c r="B117" s="12" t="s">
        <v>61</v>
      </c>
      <c r="C117">
        <v>35070996.170197524</v>
      </c>
      <c r="D117">
        <v>34497382.275985979</v>
      </c>
      <c r="E117">
        <v>226126.126126127</v>
      </c>
      <c r="F117">
        <v>494594.59459459601</v>
      </c>
      <c r="G117">
        <v>15</v>
      </c>
      <c r="H117">
        <v>7</v>
      </c>
      <c r="K117">
        <v>16</v>
      </c>
      <c r="L117">
        <v>9</v>
      </c>
      <c r="M117">
        <v>2199099.0990990992</v>
      </c>
      <c r="N117">
        <v>2656756.7567567569</v>
      </c>
      <c r="O117">
        <v>6468675.6756756762</v>
      </c>
      <c r="P117">
        <v>7515369.369369369</v>
      </c>
      <c r="Q117">
        <v>514234.23423423403</v>
      </c>
      <c r="R117">
        <v>1489549.5495495501</v>
      </c>
      <c r="S117">
        <v>1264</v>
      </c>
      <c r="T117">
        <v>1113</v>
      </c>
    </row>
    <row r="118" spans="1:20" x14ac:dyDescent="0.35">
      <c r="A118" s="7" t="s">
        <v>203</v>
      </c>
      <c r="B118" s="12" t="s">
        <v>122</v>
      </c>
      <c r="C118">
        <v>67241221.309849262</v>
      </c>
      <c r="D118">
        <v>61796764.365417063</v>
      </c>
      <c r="E118">
        <v>549549.54954955005</v>
      </c>
      <c r="F118">
        <v>801801.80180180399</v>
      </c>
      <c r="G118">
        <v>37</v>
      </c>
      <c r="H118">
        <v>19</v>
      </c>
      <c r="K118">
        <v>42</v>
      </c>
      <c r="L118">
        <v>21</v>
      </c>
      <c r="M118">
        <v>1905405.4054054059</v>
      </c>
      <c r="N118">
        <v>1207207.207207209</v>
      </c>
      <c r="O118">
        <v>6404936.9369369382</v>
      </c>
      <c r="P118">
        <v>6314720.7207207214</v>
      </c>
      <c r="Q118">
        <v>1427477.4774774781</v>
      </c>
      <c r="R118">
        <v>472972.97297297302</v>
      </c>
      <c r="S118">
        <v>1437</v>
      </c>
      <c r="T118">
        <v>2053</v>
      </c>
    </row>
    <row r="119" spans="1:20" x14ac:dyDescent="0.35">
      <c r="A119" s="7" t="s">
        <v>204</v>
      </c>
      <c r="B119" s="12" t="s">
        <v>55</v>
      </c>
      <c r="C119">
        <v>107510874.58787756</v>
      </c>
      <c r="D119">
        <v>112431080.8356588</v>
      </c>
      <c r="E119">
        <v>703603.60360360402</v>
      </c>
      <c r="F119">
        <v>1526576.576576578</v>
      </c>
      <c r="G119">
        <v>26</v>
      </c>
      <c r="H119">
        <v>18</v>
      </c>
      <c r="K119">
        <v>26</v>
      </c>
      <c r="L119">
        <v>18</v>
      </c>
      <c r="M119">
        <v>5735135.1351351338</v>
      </c>
      <c r="N119">
        <v>7630180.1801801808</v>
      </c>
      <c r="O119">
        <v>27958765.765765768</v>
      </c>
      <c r="P119">
        <v>29649720.72072072</v>
      </c>
      <c r="Q119">
        <v>6003243.2432432417</v>
      </c>
      <c r="R119">
        <v>7448108.108108107</v>
      </c>
      <c r="S119">
        <v>4202</v>
      </c>
      <c r="T119">
        <v>3584</v>
      </c>
    </row>
    <row r="120" spans="1:20" x14ac:dyDescent="0.35">
      <c r="A120" s="7" t="s">
        <v>205</v>
      </c>
      <c r="B120" s="12" t="s">
        <v>137</v>
      </c>
      <c r="C120">
        <v>389014505.20466191</v>
      </c>
      <c r="D120">
        <v>378039462.09151787</v>
      </c>
      <c r="E120">
        <v>787387.38738738804</v>
      </c>
      <c r="F120">
        <v>1089189.189189197</v>
      </c>
      <c r="G120">
        <v>57</v>
      </c>
      <c r="H120">
        <v>59</v>
      </c>
      <c r="I120">
        <v>2</v>
      </c>
      <c r="K120">
        <v>64</v>
      </c>
      <c r="L120">
        <v>63</v>
      </c>
      <c r="M120">
        <v>33102702.702702701</v>
      </c>
      <c r="N120">
        <v>35336936.936936937</v>
      </c>
      <c r="O120">
        <v>68787716.216216221</v>
      </c>
      <c r="P120">
        <v>73511018.018018022</v>
      </c>
      <c r="Q120">
        <v>27752342.342342339</v>
      </c>
      <c r="R120">
        <v>30547837.837837838</v>
      </c>
      <c r="S120">
        <v>5987</v>
      </c>
      <c r="T120">
        <v>5589</v>
      </c>
    </row>
    <row r="121" spans="1:20" x14ac:dyDescent="0.35">
      <c r="A121" s="7" t="s">
        <v>206</v>
      </c>
      <c r="B121" s="12" t="s">
        <v>137</v>
      </c>
      <c r="C121">
        <v>195285998.70839673</v>
      </c>
      <c r="D121">
        <v>185945505.18484914</v>
      </c>
      <c r="E121">
        <v>658558.55855855905</v>
      </c>
      <c r="F121">
        <v>65765.765765767006</v>
      </c>
      <c r="G121">
        <v>36</v>
      </c>
      <c r="H121">
        <v>29</v>
      </c>
      <c r="K121">
        <v>41</v>
      </c>
      <c r="L121">
        <v>31</v>
      </c>
      <c r="M121">
        <v>6226126.1261261255</v>
      </c>
      <c r="N121">
        <v>6876576.5765765756</v>
      </c>
      <c r="O121">
        <v>37239926.126126125</v>
      </c>
      <c r="P121">
        <v>42650090.090090089</v>
      </c>
      <c r="Q121">
        <v>3602972.9729729742</v>
      </c>
      <c r="R121">
        <v>3810090.0900900881</v>
      </c>
      <c r="S121">
        <v>3170</v>
      </c>
      <c r="T121">
        <v>3215</v>
      </c>
    </row>
    <row r="122" spans="1:20" x14ac:dyDescent="0.35">
      <c r="A122" s="7" t="s">
        <v>207</v>
      </c>
      <c r="B122" s="12" t="s">
        <v>170</v>
      </c>
      <c r="C122">
        <v>454528705.88159955</v>
      </c>
      <c r="D122">
        <v>473649477.94518203</v>
      </c>
      <c r="E122">
        <v>1525225.2252252251</v>
      </c>
      <c r="F122">
        <v>26246131.531531535</v>
      </c>
      <c r="G122">
        <v>18</v>
      </c>
      <c r="H122">
        <v>21</v>
      </c>
      <c r="K122">
        <v>19</v>
      </c>
      <c r="L122">
        <v>25</v>
      </c>
      <c r="M122">
        <v>2470443085.5855856</v>
      </c>
      <c r="N122">
        <v>919008220.72072077</v>
      </c>
      <c r="O122">
        <v>215533828.82882884</v>
      </c>
      <c r="P122">
        <v>232801693.6936937</v>
      </c>
      <c r="Q122">
        <v>686030054.05405402</v>
      </c>
      <c r="R122">
        <v>153954172.97297296</v>
      </c>
      <c r="S122">
        <v>7787</v>
      </c>
      <c r="T122">
        <v>7682</v>
      </c>
    </row>
    <row r="123" spans="1:20" x14ac:dyDescent="0.35">
      <c r="A123" s="7" t="s">
        <v>208</v>
      </c>
      <c r="B123" s="12" t="s">
        <v>162</v>
      </c>
      <c r="C123">
        <v>505161836.09597927</v>
      </c>
      <c r="D123">
        <v>517101802.86591053</v>
      </c>
      <c r="E123">
        <v>3368018.0180180199</v>
      </c>
      <c r="F123">
        <v>3383783.783783786</v>
      </c>
      <c r="G123">
        <v>314</v>
      </c>
      <c r="H123">
        <v>127</v>
      </c>
      <c r="K123">
        <v>472</v>
      </c>
      <c r="L123">
        <v>368</v>
      </c>
      <c r="M123">
        <v>57186666.666666664</v>
      </c>
      <c r="N123">
        <v>69205585.585585579</v>
      </c>
      <c r="O123">
        <v>147175824.32432431</v>
      </c>
      <c r="P123">
        <v>168454153.15315315</v>
      </c>
      <c r="Q123">
        <v>60426882.882882886</v>
      </c>
      <c r="R123">
        <v>65482111.711711712</v>
      </c>
      <c r="S123">
        <v>22791</v>
      </c>
      <c r="T123">
        <v>12282</v>
      </c>
    </row>
    <row r="124" spans="1:20" x14ac:dyDescent="0.35">
      <c r="A124" s="7" t="s">
        <v>209</v>
      </c>
      <c r="B124" s="12" t="s">
        <v>77</v>
      </c>
      <c r="C124">
        <v>15141059.221091446</v>
      </c>
      <c r="D124">
        <v>16417525.447152669</v>
      </c>
      <c r="H124">
        <v>3</v>
      </c>
      <c r="L124">
        <v>3</v>
      </c>
      <c r="O124">
        <v>1087522.5225225219</v>
      </c>
      <c r="P124">
        <v>1340315.315315315</v>
      </c>
      <c r="S124">
        <v>512</v>
      </c>
      <c r="T124">
        <v>561</v>
      </c>
    </row>
    <row r="125" spans="1:20" x14ac:dyDescent="0.35">
      <c r="A125" s="7" t="s">
        <v>210</v>
      </c>
      <c r="B125" s="12" t="s">
        <v>77</v>
      </c>
      <c r="C125">
        <v>220089814.04653245</v>
      </c>
      <c r="D125">
        <v>221281363.33549663</v>
      </c>
      <c r="E125">
        <v>222561302.70270273</v>
      </c>
      <c r="F125">
        <v>223031935.13513514</v>
      </c>
      <c r="G125">
        <v>119</v>
      </c>
      <c r="H125">
        <v>122</v>
      </c>
      <c r="I125">
        <v>9</v>
      </c>
      <c r="K125">
        <v>241</v>
      </c>
      <c r="L125">
        <v>170</v>
      </c>
      <c r="M125">
        <v>25818108.108108103</v>
      </c>
      <c r="N125">
        <v>26619827.927927922</v>
      </c>
      <c r="O125">
        <v>35150783.783783786</v>
      </c>
      <c r="P125">
        <v>38155144.144144148</v>
      </c>
      <c r="Q125">
        <v>23614054.054054052</v>
      </c>
      <c r="R125">
        <v>23011351.351351351</v>
      </c>
      <c r="S125">
        <v>4633</v>
      </c>
      <c r="T125">
        <v>4786</v>
      </c>
    </row>
    <row r="126" spans="1:20" x14ac:dyDescent="0.35">
      <c r="A126" s="7" t="s">
        <v>211</v>
      </c>
      <c r="B126" s="12" t="s">
        <v>77</v>
      </c>
      <c r="C126">
        <v>280588330.1795097</v>
      </c>
      <c r="D126">
        <v>308908545.02403992</v>
      </c>
      <c r="E126">
        <v>4183783.7837837888</v>
      </c>
      <c r="F126">
        <v>5989189.1891891938</v>
      </c>
      <c r="G126">
        <v>160</v>
      </c>
      <c r="H126">
        <v>297</v>
      </c>
      <c r="I126">
        <v>1</v>
      </c>
      <c r="K126">
        <v>235</v>
      </c>
      <c r="L126">
        <v>329</v>
      </c>
      <c r="M126">
        <v>97925045.045045033</v>
      </c>
      <c r="N126">
        <v>112412882.88288288</v>
      </c>
      <c r="O126">
        <v>86594781.981981978</v>
      </c>
      <c r="P126">
        <v>104887351.35135137</v>
      </c>
      <c r="Q126">
        <v>71325178.378378376</v>
      </c>
      <c r="R126">
        <v>89354324.324324325</v>
      </c>
      <c r="S126">
        <v>6998</v>
      </c>
      <c r="T126">
        <v>7012</v>
      </c>
    </row>
    <row r="127" spans="1:20" x14ac:dyDescent="0.35">
      <c r="A127" s="7" t="s">
        <v>212</v>
      </c>
      <c r="B127" s="12" t="s">
        <v>77</v>
      </c>
      <c r="C127">
        <v>206173413.38105544</v>
      </c>
      <c r="D127">
        <v>198924258.57668018</v>
      </c>
      <c r="E127">
        <v>2879954.9549549608</v>
      </c>
      <c r="F127">
        <v>2627927.9279279299</v>
      </c>
      <c r="G127">
        <v>88</v>
      </c>
      <c r="H127">
        <v>144</v>
      </c>
      <c r="K127">
        <v>104</v>
      </c>
      <c r="L127">
        <v>154</v>
      </c>
      <c r="M127">
        <v>16247207.20720721</v>
      </c>
      <c r="N127">
        <v>25571179.27927928</v>
      </c>
      <c r="O127">
        <v>31969020.270270273</v>
      </c>
      <c r="P127">
        <v>33525117.117117114</v>
      </c>
      <c r="Q127">
        <v>15515315.315315315</v>
      </c>
      <c r="R127">
        <v>22962972.97297297</v>
      </c>
      <c r="S127">
        <v>3981</v>
      </c>
      <c r="T127">
        <v>4495</v>
      </c>
    </row>
    <row r="128" spans="1:20" x14ac:dyDescent="0.35">
      <c r="A128" s="7" t="s">
        <v>213</v>
      </c>
      <c r="B128" s="12" t="s">
        <v>77</v>
      </c>
      <c r="C128">
        <v>75733925.948050901</v>
      </c>
      <c r="D128">
        <v>85901655.911236003</v>
      </c>
      <c r="E128">
        <v>35135.135135135002</v>
      </c>
      <c r="F128">
        <v>106306.306306306</v>
      </c>
      <c r="G128">
        <v>13</v>
      </c>
      <c r="H128">
        <v>11</v>
      </c>
      <c r="K128">
        <v>14</v>
      </c>
      <c r="L128">
        <v>12</v>
      </c>
      <c r="M128">
        <v>1510090.0900900881</v>
      </c>
      <c r="N128">
        <v>4498198.1981981974</v>
      </c>
      <c r="O128">
        <v>11947711.711711712</v>
      </c>
      <c r="P128">
        <v>13709675.675675675</v>
      </c>
      <c r="Q128">
        <v>1933153.1531531529</v>
      </c>
      <c r="R128">
        <v>3569549.5495495498</v>
      </c>
      <c r="S128">
        <v>1772</v>
      </c>
      <c r="T128">
        <v>1951</v>
      </c>
    </row>
    <row r="129" spans="1:20" x14ac:dyDescent="0.35">
      <c r="A129" s="7" t="s">
        <v>214</v>
      </c>
      <c r="B129" s="12" t="s">
        <v>215</v>
      </c>
      <c r="C129">
        <v>107027049.77842519</v>
      </c>
      <c r="D129">
        <v>108802262.36308317</v>
      </c>
      <c r="E129">
        <v>763963.96396396402</v>
      </c>
      <c r="F129">
        <v>1202252.252252253</v>
      </c>
      <c r="G129">
        <v>33</v>
      </c>
      <c r="H129">
        <v>11</v>
      </c>
      <c r="I129">
        <v>1</v>
      </c>
      <c r="K129">
        <v>34</v>
      </c>
      <c r="L129">
        <v>11</v>
      </c>
      <c r="M129">
        <v>13457225.225225225</v>
      </c>
      <c r="N129">
        <v>26978828.82882883</v>
      </c>
      <c r="O129">
        <v>48280081.081081077</v>
      </c>
      <c r="P129">
        <v>53917873.873873875</v>
      </c>
      <c r="Q129">
        <v>11296396.396396397</v>
      </c>
      <c r="R129">
        <v>25363153.153153151</v>
      </c>
      <c r="S129">
        <v>2415</v>
      </c>
      <c r="T129">
        <v>2279</v>
      </c>
    </row>
    <row r="130" spans="1:20" x14ac:dyDescent="0.35">
      <c r="A130" s="7" t="s">
        <v>216</v>
      </c>
      <c r="B130" s="12" t="s">
        <v>168</v>
      </c>
      <c r="C130">
        <v>116586052.67923611</v>
      </c>
      <c r="D130">
        <v>111678844.3322278</v>
      </c>
      <c r="E130">
        <v>1833333.333333333</v>
      </c>
      <c r="F130">
        <v>1351351.3513513501</v>
      </c>
      <c r="G130">
        <v>7</v>
      </c>
      <c r="H130">
        <v>1</v>
      </c>
      <c r="K130">
        <v>7</v>
      </c>
      <c r="L130">
        <v>1</v>
      </c>
      <c r="M130">
        <v>2283783.7837837832</v>
      </c>
      <c r="N130">
        <v>4054054.054054053</v>
      </c>
      <c r="O130">
        <v>20456846.846846849</v>
      </c>
      <c r="P130">
        <v>31235648.648648649</v>
      </c>
      <c r="Q130">
        <v>205855.855855856</v>
      </c>
      <c r="R130">
        <v>2796846.8468468459</v>
      </c>
      <c r="S130">
        <v>1942</v>
      </c>
      <c r="T130">
        <v>1805</v>
      </c>
    </row>
    <row r="131" spans="1:20" x14ac:dyDescent="0.35">
      <c r="A131" s="7" t="s">
        <v>217</v>
      </c>
      <c r="B131" s="12" t="s">
        <v>86</v>
      </c>
      <c r="C131">
        <v>26970541.696279757</v>
      </c>
      <c r="D131">
        <v>29853800.291467141</v>
      </c>
      <c r="E131">
        <v>594594.59459459502</v>
      </c>
      <c r="F131">
        <v>1571171.1711711721</v>
      </c>
      <c r="G131">
        <v>10</v>
      </c>
      <c r="H131">
        <v>3</v>
      </c>
      <c r="K131">
        <v>12</v>
      </c>
      <c r="L131">
        <v>3</v>
      </c>
      <c r="M131">
        <v>51049099.0990991</v>
      </c>
      <c r="N131">
        <v>38722522.522522517</v>
      </c>
      <c r="O131">
        <v>8421198.1981981974</v>
      </c>
      <c r="P131">
        <v>10496601.801801803</v>
      </c>
      <c r="Q131">
        <v>43608198.198198199</v>
      </c>
      <c r="R131">
        <v>33972882.882882886</v>
      </c>
      <c r="S131">
        <v>641</v>
      </c>
      <c r="T131">
        <v>922</v>
      </c>
    </row>
    <row r="132" spans="1:20" x14ac:dyDescent="0.35">
      <c r="A132" s="7" t="s">
        <v>218</v>
      </c>
      <c r="B132" s="12" t="s">
        <v>86</v>
      </c>
      <c r="C132">
        <v>104024783.5368129</v>
      </c>
      <c r="D132">
        <v>107586111.4049466</v>
      </c>
      <c r="E132">
        <v>421621.62162162201</v>
      </c>
      <c r="F132">
        <v>720720.72072072001</v>
      </c>
      <c r="G132">
        <v>36</v>
      </c>
      <c r="H132">
        <v>14</v>
      </c>
      <c r="K132">
        <v>39</v>
      </c>
      <c r="L132">
        <v>20</v>
      </c>
      <c r="M132">
        <v>27659189.189189192</v>
      </c>
      <c r="N132">
        <v>29952710.810810808</v>
      </c>
      <c r="O132">
        <v>20325801.801801801</v>
      </c>
      <c r="P132">
        <v>23166270.270270273</v>
      </c>
      <c r="Q132">
        <v>26957027.02702703</v>
      </c>
      <c r="R132">
        <v>21661801.801801804</v>
      </c>
      <c r="S132">
        <v>2325</v>
      </c>
      <c r="T132">
        <v>2463</v>
      </c>
    </row>
    <row r="133" spans="1:20" x14ac:dyDescent="0.35">
      <c r="A133" s="7" t="s">
        <v>219</v>
      </c>
      <c r="B133" s="12" t="s">
        <v>148</v>
      </c>
      <c r="C133">
        <v>101584834.46238641</v>
      </c>
      <c r="D133">
        <v>93626378.107177362</v>
      </c>
      <c r="E133">
        <v>6792792.7927927924</v>
      </c>
      <c r="F133">
        <v>7097297.297297298</v>
      </c>
      <c r="G133">
        <v>68</v>
      </c>
      <c r="H133">
        <v>19</v>
      </c>
      <c r="K133">
        <v>78</v>
      </c>
      <c r="L133">
        <v>26</v>
      </c>
      <c r="M133">
        <v>58470927.027027026</v>
      </c>
      <c r="N133">
        <v>83492038.738738731</v>
      </c>
      <c r="O133">
        <v>32955288.288288288</v>
      </c>
      <c r="P133">
        <v>28538954.954954956</v>
      </c>
      <c r="Q133">
        <v>59602882.882882878</v>
      </c>
      <c r="R133">
        <v>79543783.783783779</v>
      </c>
      <c r="S133">
        <v>2907</v>
      </c>
      <c r="T133">
        <v>2535</v>
      </c>
    </row>
    <row r="134" spans="1:20" x14ac:dyDescent="0.35">
      <c r="A134" s="7" t="s">
        <v>220</v>
      </c>
      <c r="B134" s="12" t="s">
        <v>221</v>
      </c>
      <c r="C134">
        <v>200921012.5547986</v>
      </c>
      <c r="D134">
        <v>194728710.43856528</v>
      </c>
      <c r="E134">
        <v>5656820.7207207233</v>
      </c>
      <c r="F134">
        <v>7982780.1801801808</v>
      </c>
      <c r="G134">
        <v>63</v>
      </c>
      <c r="H134">
        <v>86</v>
      </c>
      <c r="K134">
        <v>71</v>
      </c>
      <c r="L134">
        <v>100</v>
      </c>
      <c r="M134">
        <v>175692618.01801801</v>
      </c>
      <c r="N134">
        <v>351682605.4054054</v>
      </c>
      <c r="O134">
        <v>51633840.090090089</v>
      </c>
      <c r="P134">
        <v>55544468.468468465</v>
      </c>
      <c r="Q134">
        <v>276922882.88288289</v>
      </c>
      <c r="R134">
        <v>316883333.33333331</v>
      </c>
      <c r="S134">
        <v>6522</v>
      </c>
      <c r="T134">
        <v>6345</v>
      </c>
    </row>
    <row r="135" spans="1:20" x14ac:dyDescent="0.35">
      <c r="A135" s="7" t="s">
        <v>222</v>
      </c>
      <c r="B135" s="12" t="s">
        <v>53</v>
      </c>
      <c r="C135">
        <v>468161117.56396943</v>
      </c>
      <c r="D135">
        <v>493660033.66459912</v>
      </c>
      <c r="E135">
        <v>4708108.1081081107</v>
      </c>
      <c r="F135">
        <v>6770270.2702702777</v>
      </c>
      <c r="G135">
        <v>98</v>
      </c>
      <c r="H135">
        <v>107</v>
      </c>
      <c r="K135">
        <v>128</v>
      </c>
      <c r="L135">
        <v>160</v>
      </c>
      <c r="M135">
        <v>39041441.441441439</v>
      </c>
      <c r="N135">
        <v>46393063.06306307</v>
      </c>
      <c r="O135">
        <v>152254513.51351351</v>
      </c>
      <c r="P135">
        <v>159180486.48648649</v>
      </c>
      <c r="Q135">
        <v>49455675.675675683</v>
      </c>
      <c r="R135">
        <v>38869009.009009011</v>
      </c>
      <c r="S135">
        <v>12059</v>
      </c>
      <c r="T135">
        <v>10648</v>
      </c>
    </row>
    <row r="136" spans="1:20" x14ac:dyDescent="0.35">
      <c r="A136" s="7" t="s">
        <v>223</v>
      </c>
      <c r="B136" s="12" t="s">
        <v>77</v>
      </c>
      <c r="C136">
        <v>362547990.14886737</v>
      </c>
      <c r="D136">
        <v>377875339.88981348</v>
      </c>
      <c r="E136">
        <v>1084684.684684692</v>
      </c>
      <c r="F136">
        <v>1530630.630630638</v>
      </c>
      <c r="G136">
        <v>92</v>
      </c>
      <c r="H136">
        <v>94</v>
      </c>
      <c r="K136">
        <v>101</v>
      </c>
      <c r="L136">
        <v>99</v>
      </c>
      <c r="M136">
        <v>25789909.909909911</v>
      </c>
      <c r="N136">
        <v>37234234.234234244</v>
      </c>
      <c r="O136">
        <v>69893254.954954952</v>
      </c>
      <c r="P136">
        <v>80956234.234234244</v>
      </c>
      <c r="Q136">
        <v>20988468.468468465</v>
      </c>
      <c r="R136">
        <v>30981441.441441439</v>
      </c>
      <c r="S136">
        <v>6924</v>
      </c>
      <c r="T136">
        <v>7058</v>
      </c>
    </row>
    <row r="137" spans="1:20" x14ac:dyDescent="0.35">
      <c r="A137" s="7" t="s">
        <v>224</v>
      </c>
      <c r="B137" s="12" t="s">
        <v>225</v>
      </c>
      <c r="C137">
        <v>32653725.308919799</v>
      </c>
      <c r="D137">
        <v>32596499.679858364</v>
      </c>
      <c r="E137">
        <v>5405.4054054050002</v>
      </c>
      <c r="F137">
        <v>13513.513513514001</v>
      </c>
      <c r="G137">
        <v>3</v>
      </c>
      <c r="H137">
        <v>2</v>
      </c>
      <c r="K137">
        <v>3</v>
      </c>
      <c r="L137">
        <v>2</v>
      </c>
      <c r="M137">
        <v>5405.4054054050002</v>
      </c>
      <c r="N137">
        <v>413513.51351351402</v>
      </c>
      <c r="O137">
        <v>8022504.5045045046</v>
      </c>
      <c r="P137">
        <v>8227639.6396396402</v>
      </c>
      <c r="Q137">
        <v>837567.56756756804</v>
      </c>
      <c r="R137">
        <v>933063.06306306296</v>
      </c>
      <c r="S137">
        <v>792</v>
      </c>
      <c r="T137">
        <v>839</v>
      </c>
    </row>
    <row r="138" spans="1:20" x14ac:dyDescent="0.35">
      <c r="A138" s="7" t="s">
        <v>226</v>
      </c>
      <c r="B138" s="12" t="s">
        <v>144</v>
      </c>
      <c r="C138">
        <v>296317415.22125852</v>
      </c>
      <c r="D138">
        <v>310549707.44824618</v>
      </c>
      <c r="E138">
        <v>3600900.9009009032</v>
      </c>
      <c r="F138">
        <v>1549549.549549557</v>
      </c>
      <c r="G138">
        <v>91</v>
      </c>
      <c r="H138">
        <v>23</v>
      </c>
      <c r="K138">
        <v>96</v>
      </c>
      <c r="L138">
        <v>32</v>
      </c>
      <c r="M138">
        <v>19532432.432432432</v>
      </c>
      <c r="N138">
        <v>21009009.009009007</v>
      </c>
      <c r="O138">
        <v>37788510.360360362</v>
      </c>
      <c r="P138">
        <v>46060018.018018015</v>
      </c>
      <c r="Q138">
        <v>11909009.009009007</v>
      </c>
      <c r="R138">
        <v>14710720.720720721</v>
      </c>
      <c r="S138">
        <v>5911</v>
      </c>
      <c r="T138">
        <v>5977</v>
      </c>
    </row>
    <row r="139" spans="1:20" x14ac:dyDescent="0.35">
      <c r="A139" s="7" t="s">
        <v>227</v>
      </c>
      <c r="B139" s="12" t="s">
        <v>225</v>
      </c>
      <c r="C139">
        <v>34381020.4092241</v>
      </c>
      <c r="D139">
        <v>34579543.480197027</v>
      </c>
      <c r="E139">
        <v>121621.62162162201</v>
      </c>
      <c r="F139">
        <v>117117.117117117</v>
      </c>
      <c r="G139">
        <v>11</v>
      </c>
      <c r="H139">
        <v>9</v>
      </c>
      <c r="K139">
        <v>14</v>
      </c>
      <c r="L139">
        <v>9</v>
      </c>
      <c r="M139">
        <v>4954054.0540540544</v>
      </c>
      <c r="N139">
        <v>10424774.774774777</v>
      </c>
      <c r="O139">
        <v>9430617.1171171162</v>
      </c>
      <c r="P139">
        <v>7978414.4144144142</v>
      </c>
      <c r="Q139">
        <v>4334144.1441441439</v>
      </c>
      <c r="R139">
        <v>8807657.6576576587</v>
      </c>
      <c r="S139">
        <v>774</v>
      </c>
      <c r="T139">
        <v>758</v>
      </c>
    </row>
    <row r="140" spans="1:20" x14ac:dyDescent="0.35">
      <c r="A140" s="7" t="s">
        <v>228</v>
      </c>
      <c r="B140" s="12" t="s">
        <v>79</v>
      </c>
      <c r="C140">
        <v>279756666.67543465</v>
      </c>
      <c r="D140">
        <v>295368724.48678046</v>
      </c>
      <c r="E140">
        <v>3280180.1801801822</v>
      </c>
      <c r="F140">
        <v>2555855.8558558589</v>
      </c>
      <c r="G140">
        <v>57</v>
      </c>
      <c r="H140">
        <v>26</v>
      </c>
      <c r="K140">
        <v>67</v>
      </c>
      <c r="L140">
        <v>33</v>
      </c>
      <c r="M140">
        <v>27003063.063063063</v>
      </c>
      <c r="N140">
        <v>27734594.594594598</v>
      </c>
      <c r="O140">
        <v>113060441.44144145</v>
      </c>
      <c r="P140">
        <v>121245513.51351352</v>
      </c>
      <c r="Q140">
        <v>25084594.594594598</v>
      </c>
      <c r="R140">
        <v>24166529.729729727</v>
      </c>
      <c r="S140">
        <v>4650</v>
      </c>
      <c r="T140">
        <v>4864</v>
      </c>
    </row>
    <row r="141" spans="1:20" x14ac:dyDescent="0.35">
      <c r="A141" s="7" t="s">
        <v>229</v>
      </c>
      <c r="B141" s="12" t="s">
        <v>137</v>
      </c>
      <c r="C141">
        <v>371062585.78851843</v>
      </c>
      <c r="D141">
        <v>395426866.90836102</v>
      </c>
      <c r="E141">
        <v>15457207.207207212</v>
      </c>
      <c r="F141">
        <v>43543243.243243247</v>
      </c>
      <c r="G141">
        <v>90</v>
      </c>
      <c r="H141">
        <v>66</v>
      </c>
      <c r="I141">
        <v>1</v>
      </c>
      <c r="K141">
        <v>108</v>
      </c>
      <c r="L141">
        <v>78</v>
      </c>
      <c r="M141">
        <v>43323423.423423424</v>
      </c>
      <c r="N141">
        <v>56342342.342342347</v>
      </c>
      <c r="O141">
        <v>87525837.837837845</v>
      </c>
      <c r="P141">
        <v>95922329.729729727</v>
      </c>
      <c r="Q141">
        <v>35665945.945945948</v>
      </c>
      <c r="R141">
        <v>50681441.441441439</v>
      </c>
      <c r="S141">
        <v>7553</v>
      </c>
      <c r="T141">
        <v>7800</v>
      </c>
    </row>
    <row r="142" spans="1:20" x14ac:dyDescent="0.35">
      <c r="A142" s="7" t="s">
        <v>230</v>
      </c>
      <c r="B142" s="12" t="s">
        <v>79</v>
      </c>
      <c r="C142">
        <v>105195670.4879775</v>
      </c>
      <c r="D142">
        <v>115732788.37760533</v>
      </c>
      <c r="E142">
        <v>3618468.4684684682</v>
      </c>
      <c r="F142">
        <v>5170270.2702702712</v>
      </c>
      <c r="G142">
        <v>42</v>
      </c>
      <c r="H142">
        <v>31</v>
      </c>
      <c r="I142">
        <v>2</v>
      </c>
      <c r="K142">
        <v>45</v>
      </c>
      <c r="L142">
        <v>37</v>
      </c>
      <c r="M142">
        <v>22450450.450450446</v>
      </c>
      <c r="N142">
        <v>28080180.180180181</v>
      </c>
      <c r="O142">
        <v>51380700.9009009</v>
      </c>
      <c r="P142">
        <v>56470763.963963971</v>
      </c>
      <c r="Q142">
        <v>23205178.378378376</v>
      </c>
      <c r="R142">
        <v>23502385.585585583</v>
      </c>
      <c r="S142">
        <v>2493</v>
      </c>
      <c r="T142">
        <v>2729</v>
      </c>
    </row>
    <row r="143" spans="1:20" x14ac:dyDescent="0.35">
      <c r="A143" s="7" t="s">
        <v>231</v>
      </c>
      <c r="B143" s="12" t="s">
        <v>55</v>
      </c>
      <c r="C143">
        <v>304094359.76089054</v>
      </c>
      <c r="D143">
        <v>309806916.52328753</v>
      </c>
      <c r="E143">
        <v>982882.88288288296</v>
      </c>
      <c r="F143">
        <v>602702.70270270202</v>
      </c>
      <c r="G143">
        <v>31</v>
      </c>
      <c r="H143">
        <v>45</v>
      </c>
      <c r="K143">
        <v>33</v>
      </c>
      <c r="L143">
        <v>54</v>
      </c>
      <c r="M143">
        <v>22043243.243243244</v>
      </c>
      <c r="N143">
        <v>19809909.909909911</v>
      </c>
      <c r="O143">
        <v>75572619.819819823</v>
      </c>
      <c r="P143">
        <v>78663963.963963971</v>
      </c>
      <c r="Q143">
        <v>24962162.162162162</v>
      </c>
      <c r="R143">
        <v>12398558.558558561</v>
      </c>
      <c r="S143">
        <v>7019</v>
      </c>
      <c r="T143">
        <v>6813</v>
      </c>
    </row>
    <row r="144" spans="1:20" x14ac:dyDescent="0.35">
      <c r="A144" s="7" t="s">
        <v>232</v>
      </c>
      <c r="B144" s="12" t="s">
        <v>79</v>
      </c>
      <c r="C144">
        <v>116599949.0983544</v>
      </c>
      <c r="D144">
        <v>118719004.2693257</v>
      </c>
      <c r="E144">
        <v>2890090.0900900918</v>
      </c>
      <c r="F144">
        <v>6372072.0720720766</v>
      </c>
      <c r="G144">
        <v>56</v>
      </c>
      <c r="H144">
        <v>40</v>
      </c>
      <c r="I144">
        <v>2</v>
      </c>
      <c r="K144">
        <v>73</v>
      </c>
      <c r="L144">
        <v>55</v>
      </c>
      <c r="M144">
        <v>26247747.747747749</v>
      </c>
      <c r="N144">
        <v>37385585.585585587</v>
      </c>
      <c r="O144">
        <v>55818522.522522517</v>
      </c>
      <c r="P144">
        <v>56439891.891891897</v>
      </c>
      <c r="Q144">
        <v>28621531.531531528</v>
      </c>
      <c r="R144">
        <v>35125135.135135137</v>
      </c>
      <c r="S144">
        <v>4015</v>
      </c>
      <c r="T144">
        <v>4204</v>
      </c>
    </row>
    <row r="145" spans="1:20" x14ac:dyDescent="0.35">
      <c r="A145" s="7" t="s">
        <v>233</v>
      </c>
      <c r="B145" s="12" t="s">
        <v>61</v>
      </c>
      <c r="C145">
        <v>105575142.33016603</v>
      </c>
      <c r="D145">
        <v>106175413.28018619</v>
      </c>
      <c r="G145">
        <v>31</v>
      </c>
      <c r="H145">
        <v>1</v>
      </c>
      <c r="K145">
        <v>34</v>
      </c>
      <c r="L145">
        <v>4</v>
      </c>
      <c r="O145">
        <v>44601216.216216214</v>
      </c>
      <c r="P145">
        <v>44992279.279279277</v>
      </c>
      <c r="S145">
        <v>2003</v>
      </c>
      <c r="T145">
        <v>2476</v>
      </c>
    </row>
    <row r="146" spans="1:20" x14ac:dyDescent="0.35">
      <c r="A146" s="7" t="s">
        <v>234</v>
      </c>
      <c r="B146" s="12" t="s">
        <v>55</v>
      </c>
      <c r="C146">
        <v>51132405.70309025</v>
      </c>
      <c r="D146">
        <v>50031578.310278609</v>
      </c>
      <c r="E146">
        <v>98198.198198198996</v>
      </c>
      <c r="F146">
        <v>1617117.1171171169</v>
      </c>
      <c r="G146">
        <v>39</v>
      </c>
      <c r="H146">
        <v>6</v>
      </c>
      <c r="K146">
        <v>61</v>
      </c>
      <c r="L146">
        <v>6</v>
      </c>
      <c r="M146">
        <v>2336306.3063063058</v>
      </c>
      <c r="N146">
        <v>5125945.9459459456</v>
      </c>
      <c r="O146">
        <v>11352378.378378378</v>
      </c>
      <c r="P146">
        <v>12163657.657657659</v>
      </c>
      <c r="Q146">
        <v>2471711.7117117122</v>
      </c>
      <c r="R146">
        <v>4253963.963963964</v>
      </c>
      <c r="S146">
        <v>1307</v>
      </c>
      <c r="T146">
        <v>1103</v>
      </c>
    </row>
    <row r="147" spans="1:20" x14ac:dyDescent="0.35">
      <c r="A147" s="7" t="s">
        <v>235</v>
      </c>
      <c r="B147" s="12" t="s">
        <v>168</v>
      </c>
      <c r="C147">
        <v>238023895.62658116</v>
      </c>
      <c r="D147">
        <v>227008417.88800842</v>
      </c>
      <c r="E147">
        <v>391891.89189189201</v>
      </c>
      <c r="F147">
        <v>927027.02702702605</v>
      </c>
      <c r="G147">
        <v>13</v>
      </c>
      <c r="H147">
        <v>19</v>
      </c>
      <c r="K147">
        <v>16</v>
      </c>
      <c r="L147">
        <v>24</v>
      </c>
      <c r="M147">
        <v>26552600.900900904</v>
      </c>
      <c r="N147">
        <v>33847747.747747749</v>
      </c>
      <c r="O147">
        <v>66231184.684684686</v>
      </c>
      <c r="P147">
        <v>79395162.162162155</v>
      </c>
      <c r="Q147">
        <v>12018108.108108109</v>
      </c>
      <c r="R147">
        <v>18978468.468468469</v>
      </c>
      <c r="S147">
        <v>5119</v>
      </c>
      <c r="T147">
        <v>5132</v>
      </c>
    </row>
    <row r="148" spans="1:20" x14ac:dyDescent="0.35">
      <c r="A148" s="7" t="s">
        <v>236</v>
      </c>
      <c r="B148" s="12" t="s">
        <v>237</v>
      </c>
      <c r="C148">
        <v>186.29900494899999</v>
      </c>
      <c r="D148">
        <v>1092.5105303549999</v>
      </c>
      <c r="O148">
        <v>4504.5045045050001</v>
      </c>
      <c r="T148">
        <v>63</v>
      </c>
    </row>
    <row r="149" spans="1:20" x14ac:dyDescent="0.35">
      <c r="A149" s="7" t="s">
        <v>238</v>
      </c>
      <c r="B149" s="12" t="s">
        <v>106</v>
      </c>
      <c r="C149">
        <v>139524149.24003354</v>
      </c>
      <c r="D149">
        <v>140393503.86343879</v>
      </c>
      <c r="E149">
        <v>854954.95495495398</v>
      </c>
      <c r="F149">
        <v>389189.18918918999</v>
      </c>
      <c r="G149">
        <v>20</v>
      </c>
      <c r="H149">
        <v>17</v>
      </c>
      <c r="K149">
        <v>21</v>
      </c>
      <c r="L149">
        <v>20</v>
      </c>
      <c r="M149">
        <v>21403963.963963963</v>
      </c>
      <c r="N149">
        <v>20404504.504504506</v>
      </c>
      <c r="O149">
        <v>41102819.819819823</v>
      </c>
      <c r="P149">
        <v>45137972.972972974</v>
      </c>
      <c r="Q149">
        <v>22305675.675675675</v>
      </c>
      <c r="R149">
        <v>17735585.585585587</v>
      </c>
      <c r="S149">
        <v>2051</v>
      </c>
      <c r="T149">
        <v>1984</v>
      </c>
    </row>
    <row r="150" spans="1:20" x14ac:dyDescent="0.35">
      <c r="A150" s="7" t="s">
        <v>3</v>
      </c>
      <c r="B150" s="12" t="s">
        <v>159</v>
      </c>
      <c r="C150">
        <v>287898491.37791538</v>
      </c>
      <c r="D150">
        <v>257332181.88175741</v>
      </c>
      <c r="E150">
        <v>771272782.88288295</v>
      </c>
      <c r="F150">
        <v>941876592.7927928</v>
      </c>
      <c r="G150">
        <v>48</v>
      </c>
      <c r="H150">
        <v>46</v>
      </c>
      <c r="K150">
        <v>53</v>
      </c>
      <c r="L150">
        <v>49</v>
      </c>
      <c r="M150">
        <v>142607882.88288289</v>
      </c>
      <c r="N150">
        <v>171025225.22522521</v>
      </c>
      <c r="O150">
        <v>81413765.765765756</v>
      </c>
      <c r="P150">
        <v>74176702.702702701</v>
      </c>
      <c r="Q150">
        <v>56251171.171171166</v>
      </c>
      <c r="R150">
        <v>79794234.234234244</v>
      </c>
      <c r="S150">
        <v>3905</v>
      </c>
      <c r="T150">
        <v>3785</v>
      </c>
    </row>
    <row r="151" spans="1:20" x14ac:dyDescent="0.35">
      <c r="A151" s="7" t="s">
        <v>239</v>
      </c>
      <c r="B151" s="12" t="s">
        <v>179</v>
      </c>
      <c r="C151">
        <v>221140384.13716719</v>
      </c>
      <c r="D151">
        <v>235540435.29669705</v>
      </c>
      <c r="E151">
        <v>525225.22522522602</v>
      </c>
      <c r="F151">
        <v>4981081.0810810821</v>
      </c>
      <c r="G151">
        <v>44</v>
      </c>
      <c r="H151">
        <v>49</v>
      </c>
      <c r="K151">
        <v>55</v>
      </c>
      <c r="L151">
        <v>60</v>
      </c>
      <c r="M151">
        <v>31200900.9009009</v>
      </c>
      <c r="N151">
        <v>41412612.612612613</v>
      </c>
      <c r="O151">
        <v>71063090.090090081</v>
      </c>
      <c r="P151">
        <v>76058054.054054052</v>
      </c>
      <c r="Q151">
        <v>26980630.630630631</v>
      </c>
      <c r="R151">
        <v>36899729.729729727</v>
      </c>
      <c r="S151">
        <v>5305</v>
      </c>
      <c r="T151">
        <v>5130</v>
      </c>
    </row>
    <row r="152" spans="1:20" x14ac:dyDescent="0.35">
      <c r="A152" s="7" t="s">
        <v>240</v>
      </c>
      <c r="B152" s="12" t="s">
        <v>55</v>
      </c>
      <c r="C152">
        <v>157817715.39289829</v>
      </c>
      <c r="D152">
        <v>168147717.42593142</v>
      </c>
      <c r="E152">
        <v>3563063.0630630641</v>
      </c>
      <c r="F152">
        <v>1418918.9189189191</v>
      </c>
      <c r="G152">
        <v>26</v>
      </c>
      <c r="H152">
        <v>48</v>
      </c>
      <c r="K152">
        <v>27</v>
      </c>
      <c r="L152">
        <v>69</v>
      </c>
      <c r="M152">
        <v>21275135.135135137</v>
      </c>
      <c r="N152">
        <v>21903153.153153151</v>
      </c>
      <c r="O152">
        <v>43749663.063063063</v>
      </c>
      <c r="P152">
        <v>50424499.0990991</v>
      </c>
      <c r="Q152">
        <v>18666482.882882878</v>
      </c>
      <c r="R152">
        <v>21735495.495495494</v>
      </c>
      <c r="S152">
        <v>3584</v>
      </c>
      <c r="T152">
        <v>3414</v>
      </c>
    </row>
    <row r="153" spans="1:20" x14ac:dyDescent="0.35">
      <c r="A153" s="7" t="s">
        <v>241</v>
      </c>
      <c r="B153" s="12" t="s">
        <v>242</v>
      </c>
      <c r="C153">
        <v>136489559.99653757</v>
      </c>
      <c r="D153">
        <v>131211617.23020877</v>
      </c>
      <c r="E153">
        <v>974774.77477477596</v>
      </c>
      <c r="F153">
        <v>700900.90090090095</v>
      </c>
      <c r="G153">
        <v>59</v>
      </c>
      <c r="H153">
        <v>41</v>
      </c>
      <c r="K153">
        <v>64</v>
      </c>
      <c r="L153">
        <v>46</v>
      </c>
      <c r="M153">
        <v>28537117.117117122</v>
      </c>
      <c r="N153">
        <v>18138918.918918915</v>
      </c>
      <c r="O153">
        <v>31911800</v>
      </c>
      <c r="P153">
        <v>35048180.180180177</v>
      </c>
      <c r="Q153">
        <v>13691441.441441445</v>
      </c>
      <c r="R153">
        <v>16111351.351351349</v>
      </c>
      <c r="S153">
        <v>2973</v>
      </c>
      <c r="T153">
        <v>2759</v>
      </c>
    </row>
    <row r="154" spans="1:20" x14ac:dyDescent="0.35">
      <c r="A154" s="7" t="s">
        <v>243</v>
      </c>
      <c r="B154" s="12" t="s">
        <v>242</v>
      </c>
      <c r="C154">
        <v>356365025.58203685</v>
      </c>
      <c r="D154">
        <v>313879315.13515371</v>
      </c>
      <c r="E154">
        <v>321647029.72972971</v>
      </c>
      <c r="F154">
        <v>159954550.45045045</v>
      </c>
      <c r="G154">
        <v>139</v>
      </c>
      <c r="H154">
        <v>116</v>
      </c>
      <c r="K154">
        <v>152</v>
      </c>
      <c r="L154">
        <v>130</v>
      </c>
      <c r="M154">
        <v>98850180.180180177</v>
      </c>
      <c r="N154">
        <v>118772162.16216215</v>
      </c>
      <c r="O154">
        <v>105879513.51351352</v>
      </c>
      <c r="P154">
        <v>103157774.77477479</v>
      </c>
      <c r="Q154">
        <v>78661621.621621639</v>
      </c>
      <c r="R154">
        <v>103336306.3063063</v>
      </c>
      <c r="S154">
        <v>7482</v>
      </c>
      <c r="T154">
        <v>6908</v>
      </c>
    </row>
    <row r="155" spans="1:20" x14ac:dyDescent="0.35">
      <c r="A155" s="7" t="s">
        <v>244</v>
      </c>
      <c r="B155" s="12" t="s">
        <v>51</v>
      </c>
      <c r="C155">
        <v>61784200.377345905</v>
      </c>
      <c r="D155">
        <v>56635210.072722286</v>
      </c>
      <c r="E155">
        <v>2418918.9189189188</v>
      </c>
      <c r="F155">
        <v>2268468.46846847</v>
      </c>
      <c r="G155">
        <v>13</v>
      </c>
      <c r="H155">
        <v>9</v>
      </c>
      <c r="K155">
        <v>13</v>
      </c>
      <c r="L155">
        <v>10</v>
      </c>
      <c r="M155">
        <v>12403063.063063065</v>
      </c>
      <c r="N155">
        <v>5537162.1621621614</v>
      </c>
      <c r="O155">
        <v>20069738.738738742</v>
      </c>
      <c r="P155">
        <v>20149522.522522524</v>
      </c>
      <c r="Q155">
        <v>10954504.504504504</v>
      </c>
      <c r="R155">
        <v>4202927.927927929</v>
      </c>
      <c r="S155">
        <v>1219</v>
      </c>
      <c r="T155">
        <v>926</v>
      </c>
    </row>
    <row r="156" spans="1:20" x14ac:dyDescent="0.35">
      <c r="A156" s="7" t="s">
        <v>245</v>
      </c>
      <c r="B156" s="12" t="s">
        <v>182</v>
      </c>
      <c r="C156">
        <v>1909621235.2269006</v>
      </c>
      <c r="D156">
        <v>1843558155.4088762</v>
      </c>
      <c r="E156">
        <v>168647284.68468466</v>
      </c>
      <c r="F156">
        <v>190204379.27927929</v>
      </c>
      <c r="G156">
        <v>815</v>
      </c>
      <c r="H156">
        <v>747</v>
      </c>
      <c r="I156">
        <v>14</v>
      </c>
      <c r="K156">
        <v>1321</v>
      </c>
      <c r="L156">
        <v>959</v>
      </c>
      <c r="M156">
        <v>234545675.67567569</v>
      </c>
      <c r="N156">
        <v>504782402.7027027</v>
      </c>
      <c r="O156">
        <v>419463732.43243247</v>
      </c>
      <c r="P156">
        <v>424450376.57657659</v>
      </c>
      <c r="Q156">
        <v>231542342.34234235</v>
      </c>
      <c r="R156">
        <v>493820225.22522521</v>
      </c>
      <c r="S156">
        <v>49452</v>
      </c>
      <c r="T156">
        <v>39499</v>
      </c>
    </row>
    <row r="157" spans="1:20" x14ac:dyDescent="0.35">
      <c r="A157" s="7" t="s">
        <v>246</v>
      </c>
      <c r="B157" s="12" t="s">
        <v>49</v>
      </c>
      <c r="C157">
        <v>83465474.90048635</v>
      </c>
      <c r="D157">
        <v>88693630.434351817</v>
      </c>
      <c r="E157">
        <v>233777367.56756759</v>
      </c>
      <c r="F157">
        <v>157697683.78378376</v>
      </c>
      <c r="G157">
        <v>3</v>
      </c>
      <c r="H157">
        <v>6</v>
      </c>
      <c r="K157">
        <v>4</v>
      </c>
      <c r="L157">
        <v>7</v>
      </c>
      <c r="M157">
        <v>41773474.774774775</v>
      </c>
      <c r="N157">
        <v>35735775.675675675</v>
      </c>
      <c r="O157">
        <v>19490783.783783782</v>
      </c>
      <c r="P157">
        <v>23858486.486486487</v>
      </c>
      <c r="Q157">
        <v>22312522.522522524</v>
      </c>
      <c r="R157">
        <v>8505405.4054054059</v>
      </c>
      <c r="S157">
        <v>1749</v>
      </c>
      <c r="T157">
        <v>1788</v>
      </c>
    </row>
    <row r="158" spans="1:20" x14ac:dyDescent="0.35">
      <c r="A158" s="7" t="s">
        <v>247</v>
      </c>
      <c r="B158" s="12" t="s">
        <v>95</v>
      </c>
      <c r="C158">
        <v>24645577.870507136</v>
      </c>
      <c r="D158">
        <v>22226533.855057523</v>
      </c>
      <c r="E158">
        <v>56734234.234234229</v>
      </c>
      <c r="F158">
        <v>28175675.675675675</v>
      </c>
      <c r="G158">
        <v>3</v>
      </c>
      <c r="K158">
        <v>4</v>
      </c>
      <c r="M158">
        <v>8577027.0270270277</v>
      </c>
      <c r="N158">
        <v>4377027.0270270268</v>
      </c>
      <c r="O158">
        <v>4919801.8018018017</v>
      </c>
      <c r="P158">
        <v>4551468.4684684677</v>
      </c>
      <c r="S158">
        <v>700</v>
      </c>
      <c r="T158">
        <v>688</v>
      </c>
    </row>
    <row r="159" spans="1:20" x14ac:dyDescent="0.35">
      <c r="A159" s="7" t="s">
        <v>248</v>
      </c>
      <c r="B159" s="12" t="s">
        <v>118</v>
      </c>
      <c r="C159">
        <v>79084161.147521719</v>
      </c>
      <c r="D159">
        <v>73224082.413786948</v>
      </c>
      <c r="E159">
        <v>1137272.0720720729</v>
      </c>
      <c r="F159">
        <v>1793677.4774774781</v>
      </c>
      <c r="G159">
        <v>9</v>
      </c>
      <c r="H159">
        <v>15</v>
      </c>
      <c r="K159">
        <v>11</v>
      </c>
      <c r="L159">
        <v>19</v>
      </c>
      <c r="M159">
        <v>9306486.4864864871</v>
      </c>
      <c r="N159">
        <v>12533734.234234232</v>
      </c>
      <c r="O159">
        <v>38017585.585585587</v>
      </c>
      <c r="P159">
        <v>37825171.171171166</v>
      </c>
      <c r="Q159">
        <v>11634324.324324325</v>
      </c>
      <c r="R159">
        <v>10587027.027027026</v>
      </c>
      <c r="S159">
        <v>1759</v>
      </c>
      <c r="T159">
        <v>1724</v>
      </c>
    </row>
    <row r="160" spans="1:20" x14ac:dyDescent="0.35">
      <c r="A160" s="7" t="s">
        <v>249</v>
      </c>
      <c r="B160" s="12" t="s">
        <v>122</v>
      </c>
      <c r="C160">
        <v>129392029.36130662</v>
      </c>
      <c r="D160">
        <v>117090319.72095865</v>
      </c>
      <c r="E160">
        <v>6255855.8558558561</v>
      </c>
      <c r="F160">
        <v>18827084.684684686</v>
      </c>
      <c r="G160">
        <v>82</v>
      </c>
      <c r="H160">
        <v>68</v>
      </c>
      <c r="K160">
        <v>87</v>
      </c>
      <c r="L160">
        <v>76</v>
      </c>
      <c r="M160">
        <v>9759029.7297297306</v>
      </c>
      <c r="N160">
        <v>7877027.0270270286</v>
      </c>
      <c r="O160">
        <v>15542036.036036037</v>
      </c>
      <c r="P160">
        <v>13235873.873873875</v>
      </c>
      <c r="Q160">
        <v>4682252.2522522509</v>
      </c>
      <c r="R160">
        <v>5264864.8648648616</v>
      </c>
      <c r="S160">
        <v>2382</v>
      </c>
      <c r="T160">
        <v>2260</v>
      </c>
    </row>
    <row r="161" spans="1:20" x14ac:dyDescent="0.35">
      <c r="A161" s="7" t="s">
        <v>250</v>
      </c>
      <c r="B161" s="12" t="s">
        <v>77</v>
      </c>
      <c r="C161">
        <v>55564553.495455667</v>
      </c>
      <c r="D161">
        <v>52862638.848612621</v>
      </c>
      <c r="G161">
        <v>5</v>
      </c>
      <c r="K161">
        <v>6</v>
      </c>
      <c r="O161">
        <v>5525270.2702702703</v>
      </c>
      <c r="P161">
        <v>6258225.2252252251</v>
      </c>
      <c r="S161">
        <v>1712</v>
      </c>
      <c r="T161">
        <v>1776</v>
      </c>
    </row>
    <row r="162" spans="1:20" x14ac:dyDescent="0.35">
      <c r="A162" s="7" t="s">
        <v>251</v>
      </c>
      <c r="B162" s="12" t="s">
        <v>168</v>
      </c>
      <c r="C162">
        <v>181232226.04142252</v>
      </c>
      <c r="D162">
        <v>184995050.06466046</v>
      </c>
      <c r="F162">
        <v>450450.45045045001</v>
      </c>
      <c r="G162">
        <v>14</v>
      </c>
      <c r="H162">
        <v>6</v>
      </c>
      <c r="K162">
        <v>14</v>
      </c>
      <c r="L162">
        <v>8</v>
      </c>
      <c r="M162">
        <v>1828828.8288288291</v>
      </c>
      <c r="N162">
        <v>6839189.1891891891</v>
      </c>
      <c r="O162">
        <v>34364099.0990991</v>
      </c>
      <c r="P162">
        <v>47649189.189189196</v>
      </c>
      <c r="Q162">
        <v>2060900.900900902</v>
      </c>
      <c r="R162">
        <v>4444954.9549549539</v>
      </c>
      <c r="S162">
        <v>3657</v>
      </c>
      <c r="T162">
        <v>3614</v>
      </c>
    </row>
    <row r="163" spans="1:20" x14ac:dyDescent="0.35">
      <c r="A163" s="7" t="s">
        <v>252</v>
      </c>
      <c r="B163" s="12" t="s">
        <v>90</v>
      </c>
      <c r="C163">
        <v>532501445.31847018</v>
      </c>
      <c r="D163">
        <v>551663643.63087845</v>
      </c>
      <c r="E163">
        <v>3106756.7567567588</v>
      </c>
      <c r="F163">
        <v>4298198.1981982077</v>
      </c>
      <c r="G163">
        <v>100</v>
      </c>
      <c r="H163">
        <v>42</v>
      </c>
      <c r="I163">
        <v>1</v>
      </c>
      <c r="K163">
        <v>108</v>
      </c>
      <c r="L163">
        <v>58</v>
      </c>
      <c r="M163">
        <v>39035045.045045041</v>
      </c>
      <c r="N163">
        <v>48126126.126126125</v>
      </c>
      <c r="O163">
        <v>131663153.15315315</v>
      </c>
      <c r="P163">
        <v>145559594.5945946</v>
      </c>
      <c r="Q163">
        <v>39793513.513513505</v>
      </c>
      <c r="R163">
        <v>44133423.423423424</v>
      </c>
      <c r="S163">
        <v>10047</v>
      </c>
      <c r="T163">
        <v>10329</v>
      </c>
    </row>
    <row r="164" spans="1:20" x14ac:dyDescent="0.35">
      <c r="A164" s="7" t="s">
        <v>253</v>
      </c>
      <c r="B164" s="12" t="s">
        <v>79</v>
      </c>
      <c r="C164">
        <v>156866102.84573331</v>
      </c>
      <c r="D164">
        <v>159792183.55492893</v>
      </c>
      <c r="E164">
        <v>66476576.576576576</v>
      </c>
      <c r="F164">
        <v>215884684.68468469</v>
      </c>
      <c r="G164">
        <v>23</v>
      </c>
      <c r="H164">
        <v>9</v>
      </c>
      <c r="K164">
        <v>25</v>
      </c>
      <c r="L164">
        <v>11</v>
      </c>
      <c r="M164">
        <v>31819279.27927928</v>
      </c>
      <c r="N164">
        <v>32060900.9009009</v>
      </c>
      <c r="O164">
        <v>44768423.423423424</v>
      </c>
      <c r="P164">
        <v>45782738.738738738</v>
      </c>
      <c r="Q164">
        <v>30244684.684684683</v>
      </c>
      <c r="R164">
        <v>27362792.792792797</v>
      </c>
      <c r="S164">
        <v>3305</v>
      </c>
      <c r="T164">
        <v>2830</v>
      </c>
    </row>
    <row r="165" spans="1:20" x14ac:dyDescent="0.35">
      <c r="A165" s="7" t="s">
        <v>254</v>
      </c>
      <c r="B165" s="12" t="s">
        <v>106</v>
      </c>
      <c r="C165">
        <v>308761173.70169812</v>
      </c>
      <c r="D165">
        <v>321172822.34968555</v>
      </c>
      <c r="E165">
        <v>171721354.05405405</v>
      </c>
      <c r="F165">
        <v>142243652.25225225</v>
      </c>
      <c r="G165">
        <v>122</v>
      </c>
      <c r="H165">
        <v>78</v>
      </c>
      <c r="K165">
        <v>180</v>
      </c>
      <c r="L165">
        <v>93</v>
      </c>
      <c r="M165">
        <v>45301441.441441439</v>
      </c>
      <c r="N165">
        <v>136405945.94594595</v>
      </c>
      <c r="O165">
        <v>89436558.558558553</v>
      </c>
      <c r="P165">
        <v>96713855.855855852</v>
      </c>
      <c r="Q165">
        <v>45594864.864864863</v>
      </c>
      <c r="R165">
        <v>136423693.6936937</v>
      </c>
      <c r="S165">
        <v>5440</v>
      </c>
      <c r="T165">
        <v>5337</v>
      </c>
    </row>
    <row r="166" spans="1:20" x14ac:dyDescent="0.35">
      <c r="A166" s="7" t="s">
        <v>255</v>
      </c>
      <c r="B166" s="12" t="s">
        <v>106</v>
      </c>
      <c r="C166">
        <v>203024385.62526962</v>
      </c>
      <c r="D166">
        <v>190892943.5483363</v>
      </c>
      <c r="E166">
        <v>2074774.774774777</v>
      </c>
      <c r="F166">
        <v>1576576.576576577</v>
      </c>
      <c r="G166">
        <v>25</v>
      </c>
      <c r="H166">
        <v>33</v>
      </c>
      <c r="I166">
        <v>1</v>
      </c>
      <c r="K166">
        <v>30</v>
      </c>
      <c r="L166">
        <v>35</v>
      </c>
      <c r="M166">
        <v>15545405.405405406</v>
      </c>
      <c r="N166">
        <v>23913063.063063063</v>
      </c>
      <c r="O166">
        <v>63713135.135135137</v>
      </c>
      <c r="P166">
        <v>65402531.531531535</v>
      </c>
      <c r="Q166">
        <v>14549009.009009007</v>
      </c>
      <c r="R166">
        <v>20462972.97297297</v>
      </c>
      <c r="S166">
        <v>4021</v>
      </c>
      <c r="T166">
        <v>4073</v>
      </c>
    </row>
    <row r="167" spans="1:20" x14ac:dyDescent="0.35">
      <c r="A167" s="7" t="s">
        <v>256</v>
      </c>
      <c r="B167" s="12" t="s">
        <v>106</v>
      </c>
      <c r="C167">
        <v>169074289.12915945</v>
      </c>
      <c r="D167">
        <v>183876996.30559412</v>
      </c>
      <c r="E167">
        <v>132432.43243243301</v>
      </c>
      <c r="F167">
        <v>69369.369369370004</v>
      </c>
      <c r="G167">
        <v>28</v>
      </c>
      <c r="H167">
        <v>22</v>
      </c>
      <c r="I167">
        <v>4</v>
      </c>
      <c r="K167">
        <v>30</v>
      </c>
      <c r="L167">
        <v>26</v>
      </c>
      <c r="M167">
        <v>2384684.684684685</v>
      </c>
      <c r="N167">
        <v>1195495.4954954961</v>
      </c>
      <c r="O167">
        <v>36697088.288288288</v>
      </c>
      <c r="P167">
        <v>43818630.630630635</v>
      </c>
      <c r="Q167">
        <v>2338918.9189189188</v>
      </c>
      <c r="R167">
        <v>1237927.927927928</v>
      </c>
      <c r="S167">
        <v>2271</v>
      </c>
      <c r="T167">
        <v>2110</v>
      </c>
    </row>
    <row r="168" spans="1:20" x14ac:dyDescent="0.35">
      <c r="A168" s="7" t="s">
        <v>257</v>
      </c>
      <c r="B168" s="12" t="s">
        <v>135</v>
      </c>
      <c r="C168">
        <v>261133660.70023543</v>
      </c>
      <c r="D168">
        <v>280917346.45586592</v>
      </c>
      <c r="E168">
        <v>900900.90090090199</v>
      </c>
      <c r="F168">
        <v>711711.71171171195</v>
      </c>
      <c r="G168">
        <v>22</v>
      </c>
      <c r="H168">
        <v>13</v>
      </c>
      <c r="K168">
        <v>22</v>
      </c>
      <c r="L168">
        <v>17</v>
      </c>
      <c r="M168">
        <v>3522522.5225225231</v>
      </c>
      <c r="N168">
        <v>6612612.6126126125</v>
      </c>
      <c r="O168">
        <v>18465612.612612613</v>
      </c>
      <c r="P168">
        <v>28589072.072072074</v>
      </c>
      <c r="Q168">
        <v>4279459.4594594603</v>
      </c>
      <c r="R168">
        <v>5212342.3423423423</v>
      </c>
      <c r="S168">
        <v>4202</v>
      </c>
      <c r="T168">
        <v>4214</v>
      </c>
    </row>
    <row r="169" spans="1:20" x14ac:dyDescent="0.35">
      <c r="A169" s="7" t="s">
        <v>258</v>
      </c>
      <c r="B169" s="12" t="s">
        <v>168</v>
      </c>
      <c r="C169">
        <v>91943276.166589335</v>
      </c>
      <c r="D169">
        <v>105099773.8437425</v>
      </c>
      <c r="E169">
        <v>1171171.1711711709</v>
      </c>
      <c r="F169">
        <v>5405.4054054050002</v>
      </c>
      <c r="G169">
        <v>23</v>
      </c>
      <c r="H169">
        <v>5</v>
      </c>
      <c r="K169">
        <v>25</v>
      </c>
      <c r="L169">
        <v>7</v>
      </c>
      <c r="M169">
        <v>4375467.5675675673</v>
      </c>
      <c r="N169">
        <v>4384684.6846846864</v>
      </c>
      <c r="O169">
        <v>31155236.936936937</v>
      </c>
      <c r="P169">
        <v>40393882.882882878</v>
      </c>
      <c r="Q169">
        <v>4686306.3063063063</v>
      </c>
      <c r="R169">
        <v>5987837.8378378386</v>
      </c>
      <c r="S169">
        <v>2593</v>
      </c>
      <c r="T169">
        <v>2416</v>
      </c>
    </row>
    <row r="170" spans="1:20" x14ac:dyDescent="0.35">
      <c r="A170" s="7" t="s">
        <v>259</v>
      </c>
      <c r="B170" s="12" t="s">
        <v>61</v>
      </c>
      <c r="C170">
        <v>35976300.644355573</v>
      </c>
      <c r="D170">
        <v>37108110.727271929</v>
      </c>
      <c r="E170">
        <v>293693.69369369402</v>
      </c>
      <c r="F170">
        <v>1259459.4594594589</v>
      </c>
      <c r="G170">
        <v>17</v>
      </c>
      <c r="H170">
        <v>12</v>
      </c>
      <c r="I170">
        <v>3</v>
      </c>
      <c r="K170">
        <v>22</v>
      </c>
      <c r="L170">
        <v>22</v>
      </c>
      <c r="M170">
        <v>7131531.5315315314</v>
      </c>
      <c r="N170">
        <v>13241441.441441439</v>
      </c>
      <c r="O170">
        <v>12758990.990990993</v>
      </c>
      <c r="P170">
        <v>13606486.486486485</v>
      </c>
      <c r="Q170">
        <v>7473333.333333333</v>
      </c>
      <c r="R170">
        <v>9518828.8288288284</v>
      </c>
      <c r="S170">
        <v>790</v>
      </c>
      <c r="T170">
        <v>648</v>
      </c>
    </row>
    <row r="171" spans="1:20" x14ac:dyDescent="0.35">
      <c r="A171" s="7" t="s">
        <v>260</v>
      </c>
      <c r="B171" s="12" t="s">
        <v>261</v>
      </c>
      <c r="C171">
        <v>21930317.721573111</v>
      </c>
      <c r="D171">
        <v>23082336.657061428</v>
      </c>
      <c r="E171">
        <v>78436036.036036029</v>
      </c>
      <c r="F171">
        <v>41945945.945945941</v>
      </c>
      <c r="G171">
        <v>6</v>
      </c>
      <c r="H171">
        <v>1</v>
      </c>
      <c r="K171">
        <v>7</v>
      </c>
      <c r="L171">
        <v>1</v>
      </c>
      <c r="M171">
        <v>6036036.036036036</v>
      </c>
      <c r="N171">
        <v>3349549.5495495498</v>
      </c>
      <c r="O171">
        <v>3765162.1621621619</v>
      </c>
      <c r="P171">
        <v>5735567.5675675683</v>
      </c>
      <c r="Q171">
        <v>1823693.693693694</v>
      </c>
      <c r="R171">
        <v>1537927.927927928</v>
      </c>
      <c r="S171">
        <v>546</v>
      </c>
      <c r="T171">
        <v>543</v>
      </c>
    </row>
    <row r="172" spans="1:20" x14ac:dyDescent="0.35">
      <c r="A172" s="7" t="s">
        <v>262</v>
      </c>
      <c r="B172" s="12" t="s">
        <v>61</v>
      </c>
      <c r="C172">
        <v>341154983.42886037</v>
      </c>
      <c r="D172">
        <v>338318414.79328465</v>
      </c>
      <c r="E172">
        <v>235906678.37837836</v>
      </c>
      <c r="F172">
        <v>702528251.35135126</v>
      </c>
      <c r="G172">
        <v>229</v>
      </c>
      <c r="H172">
        <v>207</v>
      </c>
      <c r="I172">
        <v>2</v>
      </c>
      <c r="K172">
        <v>393</v>
      </c>
      <c r="L172">
        <v>333</v>
      </c>
      <c r="M172">
        <v>69016216.216216221</v>
      </c>
      <c r="N172">
        <v>96804999.0990991</v>
      </c>
      <c r="O172">
        <v>125860272.52252252</v>
      </c>
      <c r="P172">
        <v>124775135.13513513</v>
      </c>
      <c r="Q172">
        <v>75716576.576576576</v>
      </c>
      <c r="R172">
        <v>89625675.675675675</v>
      </c>
      <c r="S172">
        <v>6882</v>
      </c>
      <c r="T172">
        <v>6153</v>
      </c>
    </row>
    <row r="173" spans="1:20" x14ac:dyDescent="0.35">
      <c r="A173" s="7" t="s">
        <v>263</v>
      </c>
      <c r="B173" s="12" t="s">
        <v>124</v>
      </c>
      <c r="C173">
        <v>263504936.93106675</v>
      </c>
      <c r="D173">
        <v>249744055.45579842</v>
      </c>
      <c r="E173">
        <v>426126.12612612703</v>
      </c>
      <c r="F173">
        <v>814414.41441441595</v>
      </c>
      <c r="G173">
        <v>74</v>
      </c>
      <c r="H173">
        <v>67</v>
      </c>
      <c r="I173">
        <v>1</v>
      </c>
      <c r="K173">
        <v>88</v>
      </c>
      <c r="L173">
        <v>90</v>
      </c>
      <c r="M173">
        <v>17325045.045045044</v>
      </c>
      <c r="N173">
        <v>19287837.837837838</v>
      </c>
      <c r="O173">
        <v>104543306.3063063</v>
      </c>
      <c r="P173">
        <v>100803412.61261261</v>
      </c>
      <c r="Q173">
        <v>15818648.648648648</v>
      </c>
      <c r="R173">
        <v>18476666.666666668</v>
      </c>
      <c r="S173">
        <v>5591</v>
      </c>
      <c r="T173">
        <v>5467</v>
      </c>
    </row>
    <row r="174" spans="1:20" x14ac:dyDescent="0.35">
      <c r="A174" s="7" t="s">
        <v>264</v>
      </c>
      <c r="B174" s="12" t="s">
        <v>124</v>
      </c>
      <c r="C174">
        <v>112023661.16764617</v>
      </c>
      <c r="D174">
        <v>116794553.9261768</v>
      </c>
      <c r="E174">
        <v>2518243.2432432449</v>
      </c>
      <c r="F174">
        <v>2967567.567567572</v>
      </c>
      <c r="G174">
        <v>69</v>
      </c>
      <c r="H174">
        <v>72</v>
      </c>
      <c r="I174">
        <v>2</v>
      </c>
      <c r="K174">
        <v>239</v>
      </c>
      <c r="L174">
        <v>134</v>
      </c>
      <c r="M174">
        <v>42775225.225225225</v>
      </c>
      <c r="N174">
        <v>26912072.072072074</v>
      </c>
      <c r="O174">
        <v>46807108.108108111</v>
      </c>
      <c r="P174">
        <v>51090342.342342347</v>
      </c>
      <c r="Q174">
        <v>41501531.531531535</v>
      </c>
      <c r="R174">
        <v>25654594.59459459</v>
      </c>
      <c r="S174">
        <v>2848</v>
      </c>
      <c r="T174">
        <v>2405</v>
      </c>
    </row>
    <row r="175" spans="1:20" x14ac:dyDescent="0.35">
      <c r="A175" s="7" t="s">
        <v>265</v>
      </c>
      <c r="B175" s="12" t="s">
        <v>126</v>
      </c>
      <c r="C175">
        <v>284134490.6693657</v>
      </c>
      <c r="D175">
        <v>292028360.62150162</v>
      </c>
      <c r="E175">
        <v>3158108.108108107</v>
      </c>
      <c r="F175">
        <v>3147297.2972973008</v>
      </c>
      <c r="G175">
        <v>83</v>
      </c>
      <c r="H175">
        <v>40</v>
      </c>
      <c r="K175">
        <v>84</v>
      </c>
      <c r="L175">
        <v>43</v>
      </c>
      <c r="M175">
        <v>27572072.072072074</v>
      </c>
      <c r="N175">
        <v>30398648.648648649</v>
      </c>
      <c r="O175">
        <v>102989140.54054055</v>
      </c>
      <c r="P175">
        <v>103273054.05405405</v>
      </c>
      <c r="Q175">
        <v>24553106.306306303</v>
      </c>
      <c r="R175">
        <v>25022072.072072074</v>
      </c>
      <c r="S175">
        <v>4453</v>
      </c>
      <c r="T175">
        <v>4398</v>
      </c>
    </row>
    <row r="176" spans="1:20" x14ac:dyDescent="0.35">
      <c r="A176" s="7" t="s">
        <v>266</v>
      </c>
      <c r="B176" s="12" t="s">
        <v>124</v>
      </c>
      <c r="C176">
        <v>270400802.40341675</v>
      </c>
      <c r="D176">
        <v>268922974.8895275</v>
      </c>
      <c r="E176">
        <v>1881081.0810810821</v>
      </c>
      <c r="F176">
        <v>2013963.963963968</v>
      </c>
      <c r="G176">
        <v>40</v>
      </c>
      <c r="H176">
        <v>42</v>
      </c>
      <c r="I176">
        <v>1</v>
      </c>
      <c r="K176">
        <v>44</v>
      </c>
      <c r="L176">
        <v>47</v>
      </c>
      <c r="M176">
        <v>25707207.207207207</v>
      </c>
      <c r="N176">
        <v>34838288.288288288</v>
      </c>
      <c r="O176">
        <v>95645697.297297299</v>
      </c>
      <c r="P176">
        <v>102876457.65765767</v>
      </c>
      <c r="Q176">
        <v>27508468.468468469</v>
      </c>
      <c r="R176">
        <v>34791261.261261262</v>
      </c>
      <c r="S176">
        <v>5024</v>
      </c>
      <c r="T176">
        <v>4182</v>
      </c>
    </row>
    <row r="177" spans="1:20" x14ac:dyDescent="0.35">
      <c r="A177" s="7" t="s">
        <v>267</v>
      </c>
      <c r="B177" s="12" t="s">
        <v>124</v>
      </c>
      <c r="C177">
        <v>282148700.50901973</v>
      </c>
      <c r="D177">
        <v>287084146.25755697</v>
      </c>
      <c r="E177">
        <v>2838288.2882882901</v>
      </c>
      <c r="F177">
        <v>2798198.1981982039</v>
      </c>
      <c r="G177">
        <v>60</v>
      </c>
      <c r="H177">
        <v>66</v>
      </c>
      <c r="K177">
        <v>65</v>
      </c>
      <c r="L177">
        <v>72</v>
      </c>
      <c r="M177">
        <v>30927207.207207207</v>
      </c>
      <c r="N177">
        <v>39749099.0990991</v>
      </c>
      <c r="O177">
        <v>115752142.34234233</v>
      </c>
      <c r="P177">
        <v>114219403.6036036</v>
      </c>
      <c r="Q177">
        <v>30832522.522522524</v>
      </c>
      <c r="R177">
        <v>36045495.495495498</v>
      </c>
      <c r="S177">
        <v>5662</v>
      </c>
      <c r="T177">
        <v>5364</v>
      </c>
    </row>
    <row r="178" spans="1:20" x14ac:dyDescent="0.35">
      <c r="A178" s="7" t="s">
        <v>268</v>
      </c>
      <c r="B178" s="12" t="s">
        <v>179</v>
      </c>
      <c r="C178">
        <v>1433880483.8674512</v>
      </c>
      <c r="D178">
        <v>1430544212.6569529</v>
      </c>
      <c r="E178">
        <v>988603972.07207203</v>
      </c>
      <c r="F178">
        <v>746055377.47747755</v>
      </c>
      <c r="G178">
        <v>684</v>
      </c>
      <c r="H178">
        <v>478</v>
      </c>
      <c r="I178">
        <v>1</v>
      </c>
      <c r="K178">
        <v>1140</v>
      </c>
      <c r="L178">
        <v>1099</v>
      </c>
      <c r="M178">
        <v>202751104.5045045</v>
      </c>
      <c r="N178">
        <v>237016891.8918919</v>
      </c>
      <c r="O178">
        <v>435592173.87387383</v>
      </c>
      <c r="P178">
        <v>463578699.0990991</v>
      </c>
      <c r="Q178">
        <v>186721891.8918919</v>
      </c>
      <c r="R178">
        <v>216572747.74774775</v>
      </c>
      <c r="S178">
        <v>34431</v>
      </c>
      <c r="T178">
        <v>33380</v>
      </c>
    </row>
    <row r="179" spans="1:20" x14ac:dyDescent="0.35">
      <c r="A179" s="7" t="s">
        <v>269</v>
      </c>
      <c r="B179" s="12" t="s">
        <v>63</v>
      </c>
      <c r="C179">
        <v>233444310.6407114</v>
      </c>
      <c r="D179">
        <v>243723578.1531752</v>
      </c>
      <c r="E179">
        <v>5303603.603603607</v>
      </c>
      <c r="F179">
        <v>7360900.9009009013</v>
      </c>
      <c r="G179">
        <v>51</v>
      </c>
      <c r="H179">
        <v>171</v>
      </c>
      <c r="K179">
        <v>56</v>
      </c>
      <c r="L179">
        <v>242</v>
      </c>
      <c r="M179">
        <v>75589459.459459454</v>
      </c>
      <c r="N179">
        <v>83953513.513513505</v>
      </c>
      <c r="O179">
        <v>77314324.324324325</v>
      </c>
      <c r="P179">
        <v>88543736.936936945</v>
      </c>
      <c r="Q179">
        <v>65867747.747747742</v>
      </c>
      <c r="R179">
        <v>66817117.117117122</v>
      </c>
      <c r="S179">
        <v>4826</v>
      </c>
      <c r="T179">
        <v>4859</v>
      </c>
    </row>
    <row r="180" spans="1:20" x14ac:dyDescent="0.35">
      <c r="A180" s="7" t="s">
        <v>270</v>
      </c>
      <c r="B180" s="12" t="s">
        <v>71</v>
      </c>
      <c r="C180">
        <v>300891705.55788505</v>
      </c>
      <c r="D180">
        <v>291526979.17367005</v>
      </c>
      <c r="E180">
        <v>4572882.8828828894</v>
      </c>
      <c r="F180">
        <v>12553603.603603609</v>
      </c>
      <c r="G180">
        <v>108</v>
      </c>
      <c r="H180">
        <v>107</v>
      </c>
      <c r="K180">
        <v>288</v>
      </c>
      <c r="L180">
        <v>151</v>
      </c>
      <c r="M180">
        <v>25218918.918918923</v>
      </c>
      <c r="N180">
        <v>57806523.423423424</v>
      </c>
      <c r="O180">
        <v>140047414.41441441</v>
      </c>
      <c r="P180">
        <v>141174153.15315315</v>
      </c>
      <c r="Q180">
        <v>22341981.981981985</v>
      </c>
      <c r="R180">
        <v>47592702.702702694</v>
      </c>
      <c r="S180">
        <v>7231</v>
      </c>
      <c r="T180">
        <v>6859</v>
      </c>
    </row>
    <row r="181" spans="1:20" x14ac:dyDescent="0.35">
      <c r="A181" s="7" t="s">
        <v>271</v>
      </c>
      <c r="B181" s="12" t="s">
        <v>135</v>
      </c>
      <c r="C181">
        <v>4652811.4940326018</v>
      </c>
      <c r="D181">
        <v>4492092.7428192329</v>
      </c>
      <c r="L181">
        <v>1</v>
      </c>
      <c r="O181">
        <v>257297.29729729699</v>
      </c>
      <c r="P181">
        <v>284774.77477477503</v>
      </c>
      <c r="S181">
        <v>256</v>
      </c>
      <c r="T181">
        <v>258</v>
      </c>
    </row>
    <row r="182" spans="1:20" x14ac:dyDescent="0.35">
      <c r="A182" s="7" t="s">
        <v>272</v>
      </c>
      <c r="B182" s="12" t="s">
        <v>77</v>
      </c>
      <c r="C182">
        <v>140645093.94679132</v>
      </c>
      <c r="D182">
        <v>133429509.61025459</v>
      </c>
      <c r="E182">
        <v>76576.576576577005</v>
      </c>
      <c r="F182">
        <v>470270.27027027</v>
      </c>
      <c r="G182">
        <v>18</v>
      </c>
      <c r="H182">
        <v>19</v>
      </c>
      <c r="K182">
        <v>20</v>
      </c>
      <c r="L182">
        <v>19</v>
      </c>
      <c r="M182">
        <v>166666.66666666701</v>
      </c>
      <c r="N182">
        <v>686486.48648648604</v>
      </c>
      <c r="O182">
        <v>8417698.1981981974</v>
      </c>
      <c r="P182">
        <v>9988441.4414414428</v>
      </c>
      <c r="Q182">
        <v>271171.17117117101</v>
      </c>
      <c r="R182">
        <v>603423.42342342401</v>
      </c>
      <c r="S182">
        <v>2492</v>
      </c>
      <c r="T182">
        <v>2455</v>
      </c>
    </row>
    <row r="183" spans="1:20" x14ac:dyDescent="0.35">
      <c r="A183" s="7" t="s">
        <v>273</v>
      </c>
      <c r="B183" s="12" t="s">
        <v>77</v>
      </c>
      <c r="C183">
        <v>48454009.752209589</v>
      </c>
      <c r="D183">
        <v>55820315.290619768</v>
      </c>
      <c r="E183">
        <v>150450.450450451</v>
      </c>
      <c r="F183">
        <v>300000</v>
      </c>
      <c r="G183">
        <v>4</v>
      </c>
      <c r="H183">
        <v>16</v>
      </c>
      <c r="K183">
        <v>6</v>
      </c>
      <c r="L183">
        <v>16</v>
      </c>
      <c r="M183">
        <v>10073153.153153151</v>
      </c>
      <c r="N183">
        <v>13645945.945945946</v>
      </c>
      <c r="O183">
        <v>12255459.459459459</v>
      </c>
      <c r="P183">
        <v>16719908.108108109</v>
      </c>
      <c r="Q183">
        <v>8932162.1621621605</v>
      </c>
      <c r="R183">
        <v>12015765.765765766</v>
      </c>
      <c r="S183">
        <v>763</v>
      </c>
      <c r="T183">
        <v>808</v>
      </c>
    </row>
    <row r="184" spans="1:20" x14ac:dyDescent="0.35">
      <c r="A184" s="7" t="s">
        <v>274</v>
      </c>
      <c r="B184" s="12" t="s">
        <v>261</v>
      </c>
      <c r="C184">
        <v>1010101678.2191557</v>
      </c>
      <c r="D184">
        <v>1058615605.179494</v>
      </c>
      <c r="E184">
        <v>12853153.153153151</v>
      </c>
      <c r="F184">
        <v>13936936.936936948</v>
      </c>
      <c r="G184">
        <v>291</v>
      </c>
      <c r="H184">
        <v>437</v>
      </c>
      <c r="K184">
        <v>376</v>
      </c>
      <c r="L184">
        <v>628</v>
      </c>
      <c r="M184">
        <v>206954954.95495495</v>
      </c>
      <c r="N184">
        <v>252534414.41441444</v>
      </c>
      <c r="O184">
        <v>308755481.98198193</v>
      </c>
      <c r="P184">
        <v>354407439.63963962</v>
      </c>
      <c r="Q184">
        <v>186246666.66666666</v>
      </c>
      <c r="R184">
        <v>228190450.45045045</v>
      </c>
      <c r="S184">
        <v>19618</v>
      </c>
      <c r="T184">
        <v>20136</v>
      </c>
    </row>
    <row r="185" spans="1:20" x14ac:dyDescent="0.35">
      <c r="A185" s="7" t="s">
        <v>275</v>
      </c>
      <c r="B185" s="12" t="s">
        <v>261</v>
      </c>
      <c r="C185">
        <v>224249529.36722118</v>
      </c>
      <c r="D185">
        <v>216570772.31572741</v>
      </c>
      <c r="E185">
        <v>1296621.6216216229</v>
      </c>
      <c r="F185">
        <v>548648.64864865202</v>
      </c>
      <c r="G185">
        <v>13</v>
      </c>
      <c r="H185">
        <v>35</v>
      </c>
      <c r="K185">
        <v>15</v>
      </c>
      <c r="L185">
        <v>36</v>
      </c>
      <c r="M185">
        <v>16214864.864864863</v>
      </c>
      <c r="N185">
        <v>20127927.927927926</v>
      </c>
      <c r="O185">
        <v>45573774.774774775</v>
      </c>
      <c r="P185">
        <v>51067234.234234229</v>
      </c>
      <c r="Q185">
        <v>13112072.07207207</v>
      </c>
      <c r="R185">
        <v>17724998.198198199</v>
      </c>
      <c r="S185">
        <v>3816</v>
      </c>
      <c r="T185">
        <v>3826</v>
      </c>
    </row>
    <row r="186" spans="1:20" x14ac:dyDescent="0.35">
      <c r="A186" s="7" t="s">
        <v>276</v>
      </c>
      <c r="B186" s="12" t="s">
        <v>261</v>
      </c>
      <c r="C186">
        <v>249880536.81585515</v>
      </c>
      <c r="D186">
        <v>290768284.26458395</v>
      </c>
      <c r="E186">
        <v>5749189.18918919</v>
      </c>
      <c r="F186">
        <v>8156715.3153153202</v>
      </c>
      <c r="G186">
        <v>31</v>
      </c>
      <c r="H186">
        <v>45</v>
      </c>
      <c r="K186">
        <v>35</v>
      </c>
      <c r="L186">
        <v>51</v>
      </c>
      <c r="M186">
        <v>47553153.153153151</v>
      </c>
      <c r="N186">
        <v>26895309.909909911</v>
      </c>
      <c r="O186">
        <v>56483171.171171166</v>
      </c>
      <c r="P186">
        <v>78328079.279279277</v>
      </c>
      <c r="Q186">
        <v>47461981.981981985</v>
      </c>
      <c r="R186">
        <v>26565855.855855856</v>
      </c>
      <c r="S186">
        <v>6272</v>
      </c>
      <c r="T186">
        <v>5812</v>
      </c>
    </row>
    <row r="187" spans="1:20" x14ac:dyDescent="0.35">
      <c r="A187" s="7" t="s">
        <v>277</v>
      </c>
      <c r="B187" s="12" t="s">
        <v>135</v>
      </c>
      <c r="C187">
        <v>315194985.929524</v>
      </c>
      <c r="D187">
        <v>337488827.37065035</v>
      </c>
      <c r="E187">
        <v>2189189.189189191</v>
      </c>
      <c r="F187">
        <v>2229729.7297297302</v>
      </c>
      <c r="G187">
        <v>62</v>
      </c>
      <c r="H187">
        <v>28</v>
      </c>
      <c r="K187">
        <v>69</v>
      </c>
      <c r="L187">
        <v>31</v>
      </c>
      <c r="M187">
        <v>16153153.153153157</v>
      </c>
      <c r="N187">
        <v>16193693.693693692</v>
      </c>
      <c r="O187">
        <v>27509599.0990991</v>
      </c>
      <c r="P187">
        <v>34767863.063063063</v>
      </c>
      <c r="Q187">
        <v>7467297.2972972961</v>
      </c>
      <c r="R187">
        <v>8256576.5765765756</v>
      </c>
      <c r="S187">
        <v>5468</v>
      </c>
      <c r="T187">
        <v>5438</v>
      </c>
    </row>
    <row r="188" spans="1:20" x14ac:dyDescent="0.35">
      <c r="A188" s="7" t="s">
        <v>278</v>
      </c>
      <c r="B188" s="12" t="s">
        <v>170</v>
      </c>
      <c r="C188">
        <v>183438395.1777178</v>
      </c>
      <c r="D188">
        <v>174225728.89607117</v>
      </c>
      <c r="E188">
        <v>1485585.585585586</v>
      </c>
      <c r="F188">
        <v>2706306.3063063091</v>
      </c>
      <c r="G188">
        <v>31</v>
      </c>
      <c r="H188">
        <v>13</v>
      </c>
      <c r="K188">
        <v>37</v>
      </c>
      <c r="L188">
        <v>14</v>
      </c>
      <c r="M188">
        <v>15037387.387387387</v>
      </c>
      <c r="N188">
        <v>12994594.594594596</v>
      </c>
      <c r="O188">
        <v>83802150.9009009</v>
      </c>
      <c r="P188">
        <v>80228953.153153151</v>
      </c>
      <c r="Q188">
        <v>11540900.9009009</v>
      </c>
      <c r="R188">
        <v>10605315.315315315</v>
      </c>
      <c r="S188">
        <v>3284</v>
      </c>
      <c r="T188">
        <v>3330</v>
      </c>
    </row>
    <row r="189" spans="1:20" x14ac:dyDescent="0.35">
      <c r="A189" s="7" t="s">
        <v>666</v>
      </c>
      <c r="B189" s="12" t="s">
        <v>88</v>
      </c>
      <c r="F189">
        <v>567066.66666666698</v>
      </c>
      <c r="N189">
        <v>2702702.702702703</v>
      </c>
    </row>
    <row r="190" spans="1:20" x14ac:dyDescent="0.35">
      <c r="A190" s="7" t="s">
        <v>279</v>
      </c>
      <c r="B190" s="12" t="s">
        <v>170</v>
      </c>
      <c r="C190">
        <v>108699701.83428669</v>
      </c>
      <c r="D190">
        <v>100092752.76151679</v>
      </c>
      <c r="E190">
        <v>44144.144144145001</v>
      </c>
      <c r="F190">
        <v>7207.2072072069996</v>
      </c>
      <c r="G190">
        <v>19</v>
      </c>
      <c r="H190">
        <v>43</v>
      </c>
      <c r="K190">
        <v>20</v>
      </c>
      <c r="L190">
        <v>44</v>
      </c>
      <c r="M190">
        <v>7734797.297297297</v>
      </c>
      <c r="N190">
        <v>6854054.0540540554</v>
      </c>
      <c r="O190">
        <v>48562824.324324317</v>
      </c>
      <c r="P190">
        <v>51915648.648648649</v>
      </c>
      <c r="Q190">
        <v>6424594.594594595</v>
      </c>
      <c r="R190">
        <v>5328828.8288288293</v>
      </c>
      <c r="S190">
        <v>2073</v>
      </c>
      <c r="T190">
        <v>1964</v>
      </c>
    </row>
    <row r="191" spans="1:20" x14ac:dyDescent="0.35">
      <c r="A191" s="7" t="s">
        <v>280</v>
      </c>
      <c r="B191" s="12" t="s">
        <v>88</v>
      </c>
      <c r="C191">
        <v>2566688.2607094361</v>
      </c>
      <c r="D191">
        <v>2797229.2522289651</v>
      </c>
      <c r="G191">
        <v>6</v>
      </c>
      <c r="K191">
        <v>7</v>
      </c>
      <c r="O191">
        <v>1046945.945945946</v>
      </c>
      <c r="P191">
        <v>1121621.621621622</v>
      </c>
      <c r="S191">
        <v>205</v>
      </c>
      <c r="T191">
        <v>147</v>
      </c>
    </row>
    <row r="192" spans="1:20" x14ac:dyDescent="0.35">
      <c r="A192" s="7" t="s">
        <v>281</v>
      </c>
      <c r="B192" s="12" t="s">
        <v>170</v>
      </c>
      <c r="C192">
        <v>179948154.24457449</v>
      </c>
      <c r="D192">
        <v>208432381.66693977</v>
      </c>
      <c r="E192">
        <v>844144.14414414496</v>
      </c>
      <c r="F192">
        <v>1901351.3513513519</v>
      </c>
      <c r="G192">
        <v>27</v>
      </c>
      <c r="H192">
        <v>89</v>
      </c>
      <c r="K192">
        <v>29</v>
      </c>
      <c r="L192">
        <v>102</v>
      </c>
      <c r="M192">
        <v>20999819.819819815</v>
      </c>
      <c r="N192">
        <v>23844414.414414417</v>
      </c>
      <c r="O192">
        <v>73291549.54954955</v>
      </c>
      <c r="P192">
        <v>88854666.666666672</v>
      </c>
      <c r="Q192">
        <v>20235225.225225225</v>
      </c>
      <c r="R192">
        <v>20785765.765765768</v>
      </c>
      <c r="S192">
        <v>4322</v>
      </c>
      <c r="T192">
        <v>4315</v>
      </c>
    </row>
    <row r="193" spans="1:20" x14ac:dyDescent="0.35">
      <c r="A193" s="7" t="s">
        <v>282</v>
      </c>
      <c r="B193" s="12" t="s">
        <v>55</v>
      </c>
      <c r="C193">
        <v>137160498.80987439</v>
      </c>
      <c r="D193">
        <v>140782637.91256121</v>
      </c>
      <c r="E193">
        <v>2467567.5675675701</v>
      </c>
      <c r="F193">
        <v>2059459.459459465</v>
      </c>
      <c r="G193">
        <v>52</v>
      </c>
      <c r="H193">
        <v>60</v>
      </c>
      <c r="K193">
        <v>62</v>
      </c>
      <c r="L193">
        <v>68</v>
      </c>
      <c r="M193">
        <v>15392792.792792792</v>
      </c>
      <c r="N193">
        <v>23219819.819819823</v>
      </c>
      <c r="O193">
        <v>29597684.684684683</v>
      </c>
      <c r="P193">
        <v>33093333.333333336</v>
      </c>
      <c r="Q193">
        <v>14398738.738738736</v>
      </c>
      <c r="R193">
        <v>18970810.810810812</v>
      </c>
      <c r="S193">
        <v>3810</v>
      </c>
      <c r="T193">
        <v>3753</v>
      </c>
    </row>
    <row r="194" spans="1:20" x14ac:dyDescent="0.35">
      <c r="A194" s="7" t="s">
        <v>283</v>
      </c>
      <c r="B194" s="12" t="s">
        <v>284</v>
      </c>
      <c r="C194">
        <v>190734301.67108977</v>
      </c>
      <c r="D194">
        <v>223454689.51155958</v>
      </c>
      <c r="E194">
        <v>346846.84684684803</v>
      </c>
      <c r="F194">
        <v>869369.36936937005</v>
      </c>
      <c r="G194">
        <v>78</v>
      </c>
      <c r="H194">
        <v>46</v>
      </c>
      <c r="K194">
        <v>93</v>
      </c>
      <c r="L194">
        <v>55</v>
      </c>
      <c r="M194">
        <v>8915495.4954954963</v>
      </c>
      <c r="N194">
        <v>8058558.558558559</v>
      </c>
      <c r="O194">
        <v>30166972.97297297</v>
      </c>
      <c r="P194">
        <v>34376648.648648649</v>
      </c>
      <c r="Q194">
        <v>9408108.1081081089</v>
      </c>
      <c r="R194">
        <v>6725675.6756756762</v>
      </c>
      <c r="S194">
        <v>3265</v>
      </c>
      <c r="T194">
        <v>4024</v>
      </c>
    </row>
    <row r="195" spans="1:20" x14ac:dyDescent="0.35">
      <c r="A195" s="7" t="s">
        <v>285</v>
      </c>
      <c r="B195" s="12" t="s">
        <v>284</v>
      </c>
      <c r="C195">
        <v>388092621.74458569</v>
      </c>
      <c r="D195">
        <v>391042175.0667389</v>
      </c>
      <c r="E195">
        <v>2786936.936936941</v>
      </c>
      <c r="F195">
        <v>5389189.1891891919</v>
      </c>
      <c r="G195">
        <v>70</v>
      </c>
      <c r="H195">
        <v>245</v>
      </c>
      <c r="K195">
        <v>108</v>
      </c>
      <c r="L195">
        <v>353</v>
      </c>
      <c r="M195">
        <v>45756036.036036037</v>
      </c>
      <c r="N195">
        <v>56303783.783783793</v>
      </c>
      <c r="O195">
        <v>82382171.171171173</v>
      </c>
      <c r="P195">
        <v>87232945.945945948</v>
      </c>
      <c r="Q195">
        <v>41832162.162162162</v>
      </c>
      <c r="R195">
        <v>46989819.819819823</v>
      </c>
      <c r="S195">
        <v>8065</v>
      </c>
      <c r="T195">
        <v>8107</v>
      </c>
    </row>
    <row r="196" spans="1:20" x14ac:dyDescent="0.35">
      <c r="A196" s="7" t="s">
        <v>286</v>
      </c>
      <c r="B196" s="12" t="s">
        <v>284</v>
      </c>
      <c r="C196">
        <v>203899313.74971023</v>
      </c>
      <c r="D196">
        <v>216538124.87351719</v>
      </c>
      <c r="E196">
        <v>1751261.2612612611</v>
      </c>
      <c r="F196">
        <v>2381981.9819819829</v>
      </c>
      <c r="G196">
        <v>29</v>
      </c>
      <c r="H196">
        <v>46</v>
      </c>
      <c r="K196">
        <v>43</v>
      </c>
      <c r="L196">
        <v>82</v>
      </c>
      <c r="M196">
        <v>54465045.045045048</v>
      </c>
      <c r="N196">
        <v>64178378.378378384</v>
      </c>
      <c r="O196">
        <v>63018054.054054059</v>
      </c>
      <c r="P196">
        <v>69378225.225225225</v>
      </c>
      <c r="Q196">
        <v>47840900.900900893</v>
      </c>
      <c r="R196">
        <v>56152162.162162162</v>
      </c>
      <c r="S196">
        <v>4638</v>
      </c>
      <c r="T196">
        <v>4785</v>
      </c>
    </row>
    <row r="197" spans="1:20" x14ac:dyDescent="0.35">
      <c r="A197" s="7" t="s">
        <v>287</v>
      </c>
      <c r="B197" s="12" t="s">
        <v>284</v>
      </c>
      <c r="C197">
        <v>153288464.82247868</v>
      </c>
      <c r="D197">
        <v>161710133.71214023</v>
      </c>
      <c r="E197">
        <v>614414.414414417</v>
      </c>
      <c r="F197">
        <v>737837.83783783799</v>
      </c>
      <c r="G197">
        <v>13</v>
      </c>
      <c r="H197">
        <v>8</v>
      </c>
      <c r="K197">
        <v>15</v>
      </c>
      <c r="L197">
        <v>9</v>
      </c>
      <c r="M197">
        <v>31981261.261261266</v>
      </c>
      <c r="N197">
        <v>12992792.792792792</v>
      </c>
      <c r="O197">
        <v>29203864.864864863</v>
      </c>
      <c r="P197">
        <v>32599864.864864863</v>
      </c>
      <c r="Q197">
        <v>31143603.603603605</v>
      </c>
      <c r="R197">
        <v>10977837.837837838</v>
      </c>
      <c r="S197">
        <v>2485</v>
      </c>
      <c r="T197">
        <v>2563</v>
      </c>
    </row>
    <row r="198" spans="1:20" x14ac:dyDescent="0.35">
      <c r="A198" s="7" t="s">
        <v>288</v>
      </c>
      <c r="B198" s="12" t="s">
        <v>284</v>
      </c>
      <c r="C198">
        <v>77201161.39595744</v>
      </c>
      <c r="D198">
        <v>79633602.388103798</v>
      </c>
      <c r="E198">
        <v>456756.75675675902</v>
      </c>
      <c r="F198">
        <v>1281081.0810810809</v>
      </c>
      <c r="H198">
        <v>1</v>
      </c>
      <c r="K198">
        <v>1</v>
      </c>
      <c r="L198">
        <v>1</v>
      </c>
      <c r="M198">
        <v>12672972.972972972</v>
      </c>
      <c r="N198">
        <v>12401801.801801803</v>
      </c>
      <c r="O198">
        <v>13889072.072072072</v>
      </c>
      <c r="P198">
        <v>16789603.603603605</v>
      </c>
      <c r="Q198">
        <v>12340810.810810812</v>
      </c>
      <c r="R198">
        <v>9744054.0540540516</v>
      </c>
      <c r="S198">
        <v>1375</v>
      </c>
      <c r="T198">
        <v>1472</v>
      </c>
    </row>
    <row r="199" spans="1:20" x14ac:dyDescent="0.35">
      <c r="A199" s="7" t="s">
        <v>289</v>
      </c>
      <c r="B199" s="12" t="s">
        <v>284</v>
      </c>
      <c r="C199">
        <v>12384692.758386396</v>
      </c>
      <c r="D199">
        <v>12134804.309240049</v>
      </c>
      <c r="E199">
        <v>370270.27027027</v>
      </c>
      <c r="F199">
        <v>619819.81981982</v>
      </c>
      <c r="M199">
        <v>19847747.747747749</v>
      </c>
      <c r="N199">
        <v>9055855.8558558561</v>
      </c>
      <c r="O199">
        <v>1866585.585585586</v>
      </c>
      <c r="P199">
        <v>2623504.5045045051</v>
      </c>
      <c r="Q199">
        <v>19450450.45045045</v>
      </c>
      <c r="R199">
        <v>6527027.0270270268</v>
      </c>
      <c r="S199">
        <v>328</v>
      </c>
      <c r="T199">
        <v>272</v>
      </c>
    </row>
    <row r="200" spans="1:20" x14ac:dyDescent="0.35">
      <c r="A200" s="7" t="s">
        <v>290</v>
      </c>
      <c r="B200" s="12" t="s">
        <v>291</v>
      </c>
      <c r="C200">
        <v>154430833.51296884</v>
      </c>
      <c r="D200">
        <v>161938340.41380692</v>
      </c>
      <c r="E200">
        <v>133333.33333333401</v>
      </c>
      <c r="F200">
        <v>153153.15315315401</v>
      </c>
      <c r="G200">
        <v>41</v>
      </c>
      <c r="H200">
        <v>22</v>
      </c>
      <c r="K200">
        <v>44</v>
      </c>
      <c r="L200">
        <v>24</v>
      </c>
      <c r="M200">
        <v>639639.63963963999</v>
      </c>
      <c r="N200">
        <v>2333333.333333334</v>
      </c>
      <c r="O200">
        <v>14370758.558558561</v>
      </c>
      <c r="P200">
        <v>18582282.882882878</v>
      </c>
      <c r="Q200">
        <v>905315.31531531597</v>
      </c>
      <c r="R200">
        <v>1500000.0000000009</v>
      </c>
      <c r="S200">
        <v>4372</v>
      </c>
      <c r="T200">
        <v>4536</v>
      </c>
    </row>
    <row r="201" spans="1:20" x14ac:dyDescent="0.35">
      <c r="A201" s="7" t="s">
        <v>292</v>
      </c>
      <c r="B201" s="12" t="s">
        <v>148</v>
      </c>
      <c r="C201">
        <v>369440579.14909548</v>
      </c>
      <c r="D201">
        <v>335486968.86917323</v>
      </c>
      <c r="E201">
        <v>5410990.9909909936</v>
      </c>
      <c r="F201">
        <v>5041721.6216216246</v>
      </c>
      <c r="G201">
        <v>87</v>
      </c>
      <c r="H201">
        <v>113</v>
      </c>
      <c r="I201">
        <v>1</v>
      </c>
      <c r="K201">
        <v>100</v>
      </c>
      <c r="L201">
        <v>140</v>
      </c>
      <c r="M201">
        <v>134093209.009009</v>
      </c>
      <c r="N201">
        <v>145930779.27927926</v>
      </c>
      <c r="O201">
        <v>144611153.15315315</v>
      </c>
      <c r="P201">
        <v>135800855.85585585</v>
      </c>
      <c r="Q201">
        <v>130085495.49549548</v>
      </c>
      <c r="R201">
        <v>141902612.61261261</v>
      </c>
      <c r="S201">
        <v>8220</v>
      </c>
      <c r="T201">
        <v>7464</v>
      </c>
    </row>
    <row r="202" spans="1:20" x14ac:dyDescent="0.35">
      <c r="A202" s="7" t="s">
        <v>293</v>
      </c>
      <c r="B202" s="12" t="s">
        <v>294</v>
      </c>
      <c r="C202">
        <v>177196583.47786435</v>
      </c>
      <c r="D202">
        <v>186741613.8725574</v>
      </c>
      <c r="E202">
        <v>1402702.702702703</v>
      </c>
      <c r="F202">
        <v>4701351.3513513524</v>
      </c>
      <c r="G202">
        <v>19</v>
      </c>
      <c r="H202">
        <v>8</v>
      </c>
      <c r="K202">
        <v>22</v>
      </c>
      <c r="L202">
        <v>13</v>
      </c>
      <c r="M202">
        <v>41182972.972972974</v>
      </c>
      <c r="N202">
        <v>42709909.909909911</v>
      </c>
      <c r="O202">
        <v>24912594.594594598</v>
      </c>
      <c r="P202">
        <v>26509891.891891893</v>
      </c>
      <c r="Q202">
        <v>42970360.360360362</v>
      </c>
      <c r="R202">
        <v>42605765.765765756</v>
      </c>
      <c r="S202">
        <v>5650</v>
      </c>
      <c r="T202">
        <v>3474</v>
      </c>
    </row>
    <row r="203" spans="1:20" x14ac:dyDescent="0.35">
      <c r="A203" s="7" t="s">
        <v>295</v>
      </c>
      <c r="B203" s="12" t="s">
        <v>291</v>
      </c>
      <c r="C203">
        <v>39286008.09767919</v>
      </c>
      <c r="D203">
        <v>44626423.534094192</v>
      </c>
      <c r="E203">
        <v>968468.46846846805</v>
      </c>
      <c r="F203">
        <v>909909.90990991006</v>
      </c>
      <c r="G203">
        <v>9</v>
      </c>
      <c r="H203">
        <v>7</v>
      </c>
      <c r="K203">
        <v>9</v>
      </c>
      <c r="L203">
        <v>8</v>
      </c>
      <c r="M203">
        <v>2816216.2162162159</v>
      </c>
      <c r="N203">
        <v>1878378.3783783789</v>
      </c>
      <c r="O203">
        <v>5655178.3783783782</v>
      </c>
      <c r="P203">
        <v>5327945.9459459456</v>
      </c>
      <c r="Q203">
        <v>2323783.7837837851</v>
      </c>
      <c r="R203">
        <v>2039099.0990990989</v>
      </c>
      <c r="S203">
        <v>1234</v>
      </c>
      <c r="T203">
        <v>1247</v>
      </c>
    </row>
    <row r="204" spans="1:20" x14ac:dyDescent="0.35">
      <c r="A204" s="7" t="s">
        <v>296</v>
      </c>
      <c r="B204" s="12" t="s">
        <v>53</v>
      </c>
      <c r="C204">
        <v>509741983.50066882</v>
      </c>
      <c r="D204">
        <v>517852979.86969012</v>
      </c>
      <c r="E204">
        <v>6839639.639639643</v>
      </c>
      <c r="F204">
        <v>8811909.9099099152</v>
      </c>
      <c r="G204">
        <v>137</v>
      </c>
      <c r="H204">
        <v>205</v>
      </c>
      <c r="K204">
        <v>202</v>
      </c>
      <c r="L204">
        <v>349</v>
      </c>
      <c r="M204">
        <v>266362882.88288289</v>
      </c>
      <c r="N204">
        <v>92393171.171171173</v>
      </c>
      <c r="O204">
        <v>139208313.51351351</v>
      </c>
      <c r="P204">
        <v>143131945.94594595</v>
      </c>
      <c r="Q204">
        <v>283160720.72072071</v>
      </c>
      <c r="R204">
        <v>90527387.387387395</v>
      </c>
      <c r="S204">
        <v>13171</v>
      </c>
      <c r="T204">
        <v>11689</v>
      </c>
    </row>
    <row r="205" spans="1:20" x14ac:dyDescent="0.35">
      <c r="A205" s="7" t="s">
        <v>297</v>
      </c>
      <c r="B205" s="12" t="s">
        <v>170</v>
      </c>
      <c r="C205">
        <v>142615963.54479375</v>
      </c>
      <c r="D205">
        <v>173633567.75175709</v>
      </c>
      <c r="E205">
        <v>86486.486486487003</v>
      </c>
      <c r="F205">
        <v>93693.693693694004</v>
      </c>
      <c r="G205">
        <v>20</v>
      </c>
      <c r="H205">
        <v>16</v>
      </c>
      <c r="K205">
        <v>24</v>
      </c>
      <c r="L205">
        <v>18</v>
      </c>
      <c r="M205">
        <v>10627027.027027028</v>
      </c>
      <c r="N205">
        <v>7363963.963963965</v>
      </c>
      <c r="O205">
        <v>31770711.711711712</v>
      </c>
      <c r="P205">
        <v>45289225.225225225</v>
      </c>
      <c r="Q205">
        <v>8965405.4054054059</v>
      </c>
      <c r="R205">
        <v>8626126.1261261255</v>
      </c>
      <c r="S205">
        <v>2800</v>
      </c>
      <c r="T205">
        <v>4589</v>
      </c>
    </row>
    <row r="206" spans="1:20" x14ac:dyDescent="0.35">
      <c r="A206" s="7" t="s">
        <v>298</v>
      </c>
      <c r="B206" s="12" t="s">
        <v>170</v>
      </c>
      <c r="C206">
        <v>197126847.02226478</v>
      </c>
      <c r="D206">
        <v>157426901.04021737</v>
      </c>
      <c r="E206">
        <v>707774.77477477503</v>
      </c>
      <c r="F206">
        <v>116216.216216217</v>
      </c>
      <c r="G206">
        <v>26</v>
      </c>
      <c r="H206">
        <v>21</v>
      </c>
      <c r="K206">
        <v>29</v>
      </c>
      <c r="L206">
        <v>24</v>
      </c>
      <c r="M206">
        <v>1841362567.5675676</v>
      </c>
      <c r="N206">
        <v>1830764864.8648648</v>
      </c>
      <c r="O206">
        <v>69630414.414414421</v>
      </c>
      <c r="P206">
        <v>65851324.324324325</v>
      </c>
      <c r="Q206">
        <v>1827999632.4324324</v>
      </c>
      <c r="R206">
        <v>1821300165.7657659</v>
      </c>
      <c r="S206">
        <v>2798</v>
      </c>
      <c r="T206">
        <v>2687</v>
      </c>
    </row>
    <row r="207" spans="1:20" x14ac:dyDescent="0.35">
      <c r="A207" s="7" t="s">
        <v>299</v>
      </c>
      <c r="B207" s="12" t="s">
        <v>90</v>
      </c>
      <c r="C207">
        <v>582707117.19961083</v>
      </c>
      <c r="D207">
        <v>602003753.91827559</v>
      </c>
      <c r="E207">
        <v>8336802.7027027113</v>
      </c>
      <c r="F207">
        <v>3992792.7927927999</v>
      </c>
      <c r="G207">
        <v>110</v>
      </c>
      <c r="H207">
        <v>61</v>
      </c>
      <c r="I207">
        <v>2</v>
      </c>
      <c r="K207">
        <v>215</v>
      </c>
      <c r="L207">
        <v>77</v>
      </c>
      <c r="M207">
        <v>37902465.765765771</v>
      </c>
      <c r="N207">
        <v>585691936.93693697</v>
      </c>
      <c r="O207">
        <v>114447531.53153154</v>
      </c>
      <c r="P207">
        <v>128526603.6036036</v>
      </c>
      <c r="Q207">
        <v>36876666.666666672</v>
      </c>
      <c r="R207">
        <v>459363198.1981982</v>
      </c>
      <c r="S207">
        <v>11124</v>
      </c>
      <c r="T207">
        <v>11142</v>
      </c>
    </row>
    <row r="208" spans="1:20" x14ac:dyDescent="0.35">
      <c r="A208" s="7" t="s">
        <v>300</v>
      </c>
      <c r="B208" s="12" t="s">
        <v>135</v>
      </c>
      <c r="C208">
        <v>324290581.43559706</v>
      </c>
      <c r="D208">
        <v>360337044.24430019</v>
      </c>
      <c r="E208">
        <v>2968468.468468471</v>
      </c>
      <c r="F208">
        <v>3170270.270270275</v>
      </c>
      <c r="G208">
        <v>73</v>
      </c>
      <c r="H208">
        <v>77</v>
      </c>
      <c r="K208">
        <v>93</v>
      </c>
      <c r="L208">
        <v>110</v>
      </c>
      <c r="M208">
        <v>23792792.792792793</v>
      </c>
      <c r="N208">
        <v>41317117.117117114</v>
      </c>
      <c r="O208">
        <v>39558450.45045045</v>
      </c>
      <c r="P208">
        <v>51645637.837837838</v>
      </c>
      <c r="Q208">
        <v>20183963.963963963</v>
      </c>
      <c r="R208">
        <v>34354684.684684686</v>
      </c>
      <c r="S208">
        <v>6970</v>
      </c>
      <c r="T208">
        <v>6991</v>
      </c>
    </row>
    <row r="209" spans="1:20" x14ac:dyDescent="0.35">
      <c r="A209" s="7" t="s">
        <v>301</v>
      </c>
      <c r="B209" s="12" t="s">
        <v>291</v>
      </c>
      <c r="C209">
        <v>219830670.69026217</v>
      </c>
      <c r="D209">
        <v>222497386.26982138</v>
      </c>
      <c r="E209">
        <v>173570901.8018018</v>
      </c>
      <c r="F209">
        <v>169592032.43243244</v>
      </c>
      <c r="G209">
        <v>67</v>
      </c>
      <c r="H209">
        <v>68</v>
      </c>
      <c r="K209">
        <v>75</v>
      </c>
      <c r="L209">
        <v>76</v>
      </c>
      <c r="M209">
        <v>37765354.054054059</v>
      </c>
      <c r="N209">
        <v>48167805.40540541</v>
      </c>
      <c r="O209">
        <v>31459263.963963963</v>
      </c>
      <c r="P209">
        <v>35382981.981981985</v>
      </c>
      <c r="Q209">
        <v>15536936.936936935</v>
      </c>
      <c r="R209">
        <v>25204054.054054052</v>
      </c>
      <c r="S209">
        <v>4618</v>
      </c>
      <c r="T209">
        <v>5401</v>
      </c>
    </row>
    <row r="210" spans="1:20" x14ac:dyDescent="0.35">
      <c r="A210" s="7" t="s">
        <v>302</v>
      </c>
      <c r="B210" s="12" t="s">
        <v>81</v>
      </c>
      <c r="C210">
        <v>324298549.87363338</v>
      </c>
      <c r="D210">
        <v>330244625.20951372</v>
      </c>
      <c r="E210">
        <v>89570045.045045033</v>
      </c>
      <c r="F210">
        <v>97784414.414414421</v>
      </c>
      <c r="G210">
        <v>53</v>
      </c>
      <c r="H210">
        <v>30</v>
      </c>
      <c r="I210">
        <v>5</v>
      </c>
      <c r="K210">
        <v>60</v>
      </c>
      <c r="L210">
        <v>46</v>
      </c>
      <c r="M210">
        <v>51249099.0990991</v>
      </c>
      <c r="N210">
        <v>42191718.918918923</v>
      </c>
      <c r="O210">
        <v>67619151.351351351</v>
      </c>
      <c r="P210">
        <v>75492558.558558553</v>
      </c>
      <c r="Q210">
        <v>46628378.378378376</v>
      </c>
      <c r="R210">
        <v>33827657.657657653</v>
      </c>
      <c r="S210">
        <v>6152</v>
      </c>
      <c r="T210">
        <v>8540</v>
      </c>
    </row>
    <row r="211" spans="1:20" x14ac:dyDescent="0.35">
      <c r="A211" s="7" t="s">
        <v>303</v>
      </c>
      <c r="B211" s="12" t="s">
        <v>73</v>
      </c>
      <c r="C211">
        <v>490727976.96766847</v>
      </c>
      <c r="D211">
        <v>526595558.66202378</v>
      </c>
      <c r="E211">
        <v>42368468.468468472</v>
      </c>
      <c r="F211">
        <v>65653423.423423432</v>
      </c>
      <c r="G211">
        <v>115</v>
      </c>
      <c r="H211">
        <v>63</v>
      </c>
      <c r="I211">
        <v>2</v>
      </c>
      <c r="K211">
        <v>121</v>
      </c>
      <c r="L211">
        <v>74</v>
      </c>
      <c r="M211">
        <v>29832432.432432435</v>
      </c>
      <c r="N211">
        <v>51129954.954954952</v>
      </c>
      <c r="O211">
        <v>72680342.342342332</v>
      </c>
      <c r="P211">
        <v>84819836.036036029</v>
      </c>
      <c r="Q211">
        <v>24939639.639639638</v>
      </c>
      <c r="R211">
        <v>29579639.639639638</v>
      </c>
      <c r="S211">
        <v>9240</v>
      </c>
      <c r="T211">
        <v>9118</v>
      </c>
    </row>
    <row r="212" spans="1:20" x14ac:dyDescent="0.35">
      <c r="A212" s="7" t="s">
        <v>304</v>
      </c>
      <c r="B212" s="12" t="s">
        <v>305</v>
      </c>
      <c r="C212">
        <v>1720543.976896313</v>
      </c>
      <c r="D212">
        <v>2035305.3550149901</v>
      </c>
      <c r="O212">
        <v>701891.89189189195</v>
      </c>
      <c r="P212">
        <v>422828.82882882899</v>
      </c>
      <c r="S212">
        <v>69</v>
      </c>
      <c r="T212">
        <v>63</v>
      </c>
    </row>
    <row r="213" spans="1:20" x14ac:dyDescent="0.35">
      <c r="A213" s="7" t="s">
        <v>670</v>
      </c>
      <c r="B213" s="12" t="s">
        <v>305</v>
      </c>
      <c r="E213">
        <v>7207207.2072072066</v>
      </c>
      <c r="F213">
        <v>26914414.414414417</v>
      </c>
      <c r="M213">
        <v>44594.594594595001</v>
      </c>
      <c r="N213">
        <v>81081.081081081007</v>
      </c>
    </row>
    <row r="214" spans="1:20" x14ac:dyDescent="0.35">
      <c r="A214" s="7" t="s">
        <v>306</v>
      </c>
      <c r="B214" s="12" t="s">
        <v>118</v>
      </c>
      <c r="C214">
        <v>64273587.695509277</v>
      </c>
      <c r="D214">
        <v>65268498.09390337</v>
      </c>
      <c r="E214">
        <v>308108.10810810601</v>
      </c>
      <c r="F214">
        <v>909009.00900900899</v>
      </c>
      <c r="G214">
        <v>20</v>
      </c>
      <c r="H214">
        <v>12</v>
      </c>
      <c r="K214">
        <v>39</v>
      </c>
      <c r="L214">
        <v>61</v>
      </c>
      <c r="M214">
        <v>3283243.243243244</v>
      </c>
      <c r="N214">
        <v>4247747.7477477463</v>
      </c>
      <c r="O214">
        <v>28314459.459459461</v>
      </c>
      <c r="P214">
        <v>26627153.153153151</v>
      </c>
      <c r="Q214">
        <v>3187747.7477477472</v>
      </c>
      <c r="R214">
        <v>3733603.6036036019</v>
      </c>
      <c r="S214">
        <v>1790</v>
      </c>
      <c r="T214">
        <v>1652</v>
      </c>
    </row>
    <row r="215" spans="1:20" x14ac:dyDescent="0.35">
      <c r="A215" s="7" t="s">
        <v>307</v>
      </c>
      <c r="B215" s="12" t="s">
        <v>308</v>
      </c>
      <c r="C215">
        <v>83035620.38173677</v>
      </c>
      <c r="D215">
        <v>79046188.920938492</v>
      </c>
      <c r="E215">
        <v>405054954.95495492</v>
      </c>
      <c r="F215">
        <v>583057477.47747755</v>
      </c>
      <c r="G215">
        <v>37</v>
      </c>
      <c r="H215">
        <v>30</v>
      </c>
      <c r="K215">
        <v>42</v>
      </c>
      <c r="L215">
        <v>36</v>
      </c>
      <c r="M215">
        <v>2362837.8378378372</v>
      </c>
      <c r="N215">
        <v>7838333.333333333</v>
      </c>
      <c r="O215">
        <v>44157612.612612613</v>
      </c>
      <c r="P215">
        <v>41336288.288288288</v>
      </c>
      <c r="Q215">
        <v>1210720.7207207209</v>
      </c>
      <c r="R215">
        <v>1555225.225225226</v>
      </c>
      <c r="S215">
        <v>4623</v>
      </c>
      <c r="T215">
        <v>4458</v>
      </c>
    </row>
    <row r="216" spans="1:20" x14ac:dyDescent="0.35">
      <c r="A216" s="7" t="s">
        <v>309</v>
      </c>
      <c r="B216" s="12" t="s">
        <v>141</v>
      </c>
      <c r="C216">
        <v>519065209.45511597</v>
      </c>
      <c r="D216">
        <v>543913632.3261379</v>
      </c>
      <c r="E216">
        <v>112279729.72972974</v>
      </c>
      <c r="F216">
        <v>106353333.33333334</v>
      </c>
      <c r="G216">
        <v>78</v>
      </c>
      <c r="H216">
        <v>41</v>
      </c>
      <c r="I216">
        <v>4</v>
      </c>
      <c r="K216">
        <v>95</v>
      </c>
      <c r="L216">
        <v>47</v>
      </c>
      <c r="M216">
        <v>96348198.198198199</v>
      </c>
      <c r="N216">
        <v>103739549.54954955</v>
      </c>
      <c r="O216">
        <v>115851680.18018018</v>
      </c>
      <c r="P216">
        <v>126477376.57657658</v>
      </c>
      <c r="Q216">
        <v>52558558.558558561</v>
      </c>
      <c r="R216">
        <v>58121891.891891889</v>
      </c>
      <c r="S216">
        <v>8326</v>
      </c>
      <c r="T216">
        <v>8130</v>
      </c>
    </row>
    <row r="217" spans="1:20" x14ac:dyDescent="0.35">
      <c r="A217" s="7" t="s">
        <v>310</v>
      </c>
      <c r="B217" s="12" t="s">
        <v>133</v>
      </c>
      <c r="C217">
        <v>515863394.35180658</v>
      </c>
      <c r="D217">
        <v>498647960.64186108</v>
      </c>
      <c r="E217">
        <v>23514414.414414417</v>
      </c>
      <c r="F217">
        <v>9094594.594594596</v>
      </c>
      <c r="G217">
        <v>135</v>
      </c>
      <c r="H217">
        <v>100</v>
      </c>
      <c r="K217">
        <v>151</v>
      </c>
      <c r="L217">
        <v>111</v>
      </c>
      <c r="M217">
        <v>26483333.333333336</v>
      </c>
      <c r="N217">
        <v>23520945.945945945</v>
      </c>
      <c r="O217">
        <v>138211594.5945946</v>
      </c>
      <c r="P217">
        <v>148665675.67567569</v>
      </c>
      <c r="Q217">
        <v>17117297.297297299</v>
      </c>
      <c r="R217">
        <v>15691936.936936935</v>
      </c>
      <c r="S217">
        <v>12582</v>
      </c>
      <c r="T217">
        <v>12026</v>
      </c>
    </row>
    <row r="218" spans="1:20" x14ac:dyDescent="0.35">
      <c r="A218" s="7" t="s">
        <v>311</v>
      </c>
      <c r="B218" s="12" t="s">
        <v>73</v>
      </c>
      <c r="C218">
        <v>837427870.61661339</v>
      </c>
      <c r="D218">
        <v>960860098.028723</v>
      </c>
      <c r="E218">
        <v>6497522.5225225296</v>
      </c>
      <c r="F218">
        <v>5245945.9459459595</v>
      </c>
      <c r="G218">
        <v>187</v>
      </c>
      <c r="H218">
        <v>97</v>
      </c>
      <c r="I218">
        <v>3</v>
      </c>
      <c r="K218">
        <v>217</v>
      </c>
      <c r="L218">
        <v>110</v>
      </c>
      <c r="M218">
        <v>123905405.4054054</v>
      </c>
      <c r="N218">
        <v>143653153.15315315</v>
      </c>
      <c r="O218">
        <v>211470694.5945946</v>
      </c>
      <c r="P218">
        <v>315290473.87387383</v>
      </c>
      <c r="Q218">
        <v>108827340.54054055</v>
      </c>
      <c r="R218">
        <v>124645045.04504503</v>
      </c>
      <c r="S218">
        <v>17574</v>
      </c>
      <c r="T218">
        <v>14827</v>
      </c>
    </row>
    <row r="219" spans="1:20" x14ac:dyDescent="0.35">
      <c r="A219" s="7" t="s">
        <v>312</v>
      </c>
      <c r="B219" s="12" t="s">
        <v>63</v>
      </c>
      <c r="C219">
        <v>146944201.69908068</v>
      </c>
      <c r="D219">
        <v>146944898.81197971</v>
      </c>
      <c r="E219">
        <v>1684684.6846846871</v>
      </c>
      <c r="F219">
        <v>1559459.4594594601</v>
      </c>
      <c r="G219">
        <v>17</v>
      </c>
      <c r="H219">
        <v>13</v>
      </c>
      <c r="K219">
        <v>19</v>
      </c>
      <c r="L219">
        <v>14</v>
      </c>
      <c r="M219">
        <v>29319459.459459465</v>
      </c>
      <c r="N219">
        <v>30524504.504504506</v>
      </c>
      <c r="O219">
        <v>40337459.459459454</v>
      </c>
      <c r="P219">
        <v>42047414.414414413</v>
      </c>
      <c r="Q219">
        <v>26036576.576576579</v>
      </c>
      <c r="R219">
        <v>27836666.666666664</v>
      </c>
      <c r="S219">
        <v>2353</v>
      </c>
      <c r="T219">
        <v>2324</v>
      </c>
    </row>
    <row r="220" spans="1:20" x14ac:dyDescent="0.35">
      <c r="A220" s="7" t="s">
        <v>313</v>
      </c>
      <c r="B220" s="12" t="s">
        <v>90</v>
      </c>
      <c r="C220">
        <v>50398229.5998004</v>
      </c>
      <c r="D220">
        <v>53562199.705715306</v>
      </c>
      <c r="E220">
        <v>863963.96396396204</v>
      </c>
      <c r="F220">
        <v>1525225.22522523</v>
      </c>
      <c r="G220">
        <v>12</v>
      </c>
      <c r="H220">
        <v>9</v>
      </c>
      <c r="I220">
        <v>1</v>
      </c>
      <c r="K220">
        <v>16</v>
      </c>
      <c r="L220">
        <v>10</v>
      </c>
      <c r="M220">
        <v>6172612.6126126125</v>
      </c>
      <c r="N220">
        <v>8240540.5405405425</v>
      </c>
      <c r="O220">
        <v>17315117.117117114</v>
      </c>
      <c r="P220">
        <v>18971045.045045044</v>
      </c>
      <c r="Q220">
        <v>6159459.4594594613</v>
      </c>
      <c r="R220">
        <v>8068738.7387387389</v>
      </c>
      <c r="S220">
        <v>1257</v>
      </c>
      <c r="T220">
        <v>1282</v>
      </c>
    </row>
    <row r="221" spans="1:20" x14ac:dyDescent="0.35">
      <c r="A221" s="7" t="s">
        <v>314</v>
      </c>
      <c r="B221" s="12" t="s">
        <v>93</v>
      </c>
      <c r="C221">
        <v>22346648.292564612</v>
      </c>
      <c r="D221">
        <v>18447329.075361662</v>
      </c>
      <c r="E221">
        <v>144144.144144144</v>
      </c>
      <c r="F221">
        <v>117117.117117117</v>
      </c>
      <c r="G221">
        <v>4</v>
      </c>
      <c r="H221">
        <v>4</v>
      </c>
      <c r="K221">
        <v>5</v>
      </c>
      <c r="L221">
        <v>4</v>
      </c>
      <c r="M221">
        <v>1360360.36036036</v>
      </c>
      <c r="N221">
        <v>2234242.3423423418</v>
      </c>
      <c r="O221">
        <v>1650585.585585586</v>
      </c>
      <c r="P221">
        <v>1946792.7927927929</v>
      </c>
      <c r="Q221">
        <v>1361261.2612612611</v>
      </c>
      <c r="R221">
        <v>2153153.1531531531</v>
      </c>
      <c r="S221">
        <v>461</v>
      </c>
      <c r="T221">
        <v>880</v>
      </c>
    </row>
    <row r="222" spans="1:20" x14ac:dyDescent="0.35">
      <c r="A222" s="7" t="s">
        <v>315</v>
      </c>
      <c r="B222" s="12" t="s">
        <v>316</v>
      </c>
      <c r="C222">
        <v>171288717.69486406</v>
      </c>
      <c r="D222">
        <v>168687176.66477802</v>
      </c>
      <c r="E222">
        <v>101672395.49549548</v>
      </c>
      <c r="F222">
        <v>159047805.4054054</v>
      </c>
      <c r="G222">
        <v>34</v>
      </c>
      <c r="H222">
        <v>32</v>
      </c>
      <c r="K222">
        <v>37</v>
      </c>
      <c r="L222">
        <v>41</v>
      </c>
      <c r="M222">
        <v>22672522.52252252</v>
      </c>
      <c r="N222">
        <v>53531081.081081077</v>
      </c>
      <c r="O222">
        <v>25964583.783783782</v>
      </c>
      <c r="P222">
        <v>29046729.729729731</v>
      </c>
      <c r="Q222">
        <v>21371891.891891893</v>
      </c>
      <c r="R222">
        <v>28964144.144144144</v>
      </c>
      <c r="S222">
        <v>3524</v>
      </c>
      <c r="T222">
        <v>3576</v>
      </c>
    </row>
    <row r="223" spans="1:20" x14ac:dyDescent="0.35">
      <c r="A223" s="7" t="s">
        <v>317</v>
      </c>
      <c r="B223" s="12" t="s">
        <v>63</v>
      </c>
      <c r="C223">
        <v>289029976.13156956</v>
      </c>
      <c r="D223">
        <v>307173012.95256275</v>
      </c>
      <c r="E223">
        <v>680304312.61261261</v>
      </c>
      <c r="F223">
        <v>814630960.36036026</v>
      </c>
      <c r="G223">
        <v>141</v>
      </c>
      <c r="H223">
        <v>72</v>
      </c>
      <c r="K223">
        <v>198</v>
      </c>
      <c r="L223">
        <v>116</v>
      </c>
      <c r="M223">
        <v>120634093.6936937</v>
      </c>
      <c r="N223">
        <v>105392815.31531531</v>
      </c>
      <c r="O223">
        <v>101397369.36936937</v>
      </c>
      <c r="P223">
        <v>110243702.7027027</v>
      </c>
      <c r="Q223">
        <v>47934774.774774767</v>
      </c>
      <c r="R223">
        <v>49183243.24324324</v>
      </c>
      <c r="S223">
        <v>8770</v>
      </c>
      <c r="T223">
        <v>9004</v>
      </c>
    </row>
    <row r="224" spans="1:20" x14ac:dyDescent="0.35">
      <c r="A224" s="7" t="s">
        <v>318</v>
      </c>
      <c r="B224" s="12" t="s">
        <v>63</v>
      </c>
      <c r="C224">
        <v>267478139.88006657</v>
      </c>
      <c r="D224">
        <v>294975351.17702836</v>
      </c>
      <c r="E224">
        <v>1952252.2522522539</v>
      </c>
      <c r="F224">
        <v>3579279.2792792828</v>
      </c>
      <c r="G224">
        <v>44</v>
      </c>
      <c r="H224">
        <v>12</v>
      </c>
      <c r="K224">
        <v>48</v>
      </c>
      <c r="L224">
        <v>21</v>
      </c>
      <c r="M224">
        <v>37641441.441441439</v>
      </c>
      <c r="N224">
        <v>52580180.180180177</v>
      </c>
      <c r="O224">
        <v>94735108.108108118</v>
      </c>
      <c r="P224">
        <v>104065387.38738739</v>
      </c>
      <c r="Q224">
        <v>37839369.369369365</v>
      </c>
      <c r="R224">
        <v>46757927.927927926</v>
      </c>
      <c r="S224">
        <v>5514</v>
      </c>
      <c r="T224">
        <v>5539</v>
      </c>
    </row>
    <row r="225" spans="1:20" x14ac:dyDescent="0.35">
      <c r="A225" s="7" t="s">
        <v>319</v>
      </c>
      <c r="B225" s="12" t="s">
        <v>79</v>
      </c>
      <c r="C225">
        <v>280745225.25301033</v>
      </c>
      <c r="D225">
        <v>282129175.87778693</v>
      </c>
      <c r="E225">
        <v>5489189.189189191</v>
      </c>
      <c r="F225">
        <v>6738288.2882882906</v>
      </c>
      <c r="G225">
        <v>114</v>
      </c>
      <c r="H225">
        <v>94</v>
      </c>
      <c r="I225">
        <v>2</v>
      </c>
      <c r="K225">
        <v>152</v>
      </c>
      <c r="L225">
        <v>107</v>
      </c>
      <c r="M225">
        <v>69862612.61261262</v>
      </c>
      <c r="N225">
        <v>80664414.414414421</v>
      </c>
      <c r="O225">
        <v>123248950.45045045</v>
      </c>
      <c r="P225">
        <v>124168538.73873873</v>
      </c>
      <c r="Q225">
        <v>72944324.324324325</v>
      </c>
      <c r="R225">
        <v>75964144.144144148</v>
      </c>
      <c r="S225">
        <v>8931</v>
      </c>
      <c r="T225">
        <v>8473</v>
      </c>
    </row>
    <row r="226" spans="1:20" x14ac:dyDescent="0.35">
      <c r="A226" s="7" t="s">
        <v>320</v>
      </c>
      <c r="B226" s="12" t="s">
        <v>79</v>
      </c>
      <c r="C226">
        <v>168803514.65062666</v>
      </c>
      <c r="D226">
        <v>167893605.20484561</v>
      </c>
      <c r="E226">
        <v>3183783.7837837841</v>
      </c>
      <c r="F226">
        <v>3708108.1081081112</v>
      </c>
      <c r="G226">
        <v>81</v>
      </c>
      <c r="H226">
        <v>61</v>
      </c>
      <c r="K226">
        <v>122</v>
      </c>
      <c r="L226">
        <v>107</v>
      </c>
      <c r="M226">
        <v>15580180.180180181</v>
      </c>
      <c r="N226">
        <v>17942342.342342343</v>
      </c>
      <c r="O226">
        <v>64504486.486486487</v>
      </c>
      <c r="P226">
        <v>67854531.531531528</v>
      </c>
      <c r="Q226">
        <v>14513693.693693696</v>
      </c>
      <c r="R226">
        <v>16785585.585585587</v>
      </c>
      <c r="S226">
        <v>5728</v>
      </c>
      <c r="T226">
        <v>5878</v>
      </c>
    </row>
    <row r="227" spans="1:20" x14ac:dyDescent="0.35">
      <c r="A227" s="7" t="s">
        <v>321</v>
      </c>
      <c r="B227" s="12" t="s">
        <v>122</v>
      </c>
      <c r="C227">
        <v>1270446.8082752901</v>
      </c>
      <c r="D227">
        <v>1029182.78202254</v>
      </c>
      <c r="H227">
        <v>2</v>
      </c>
      <c r="L227">
        <v>2</v>
      </c>
      <c r="O227">
        <v>95675.675675676001</v>
      </c>
      <c r="P227">
        <v>353108.10810810799</v>
      </c>
      <c r="S227">
        <v>58</v>
      </c>
      <c r="T227">
        <v>49</v>
      </c>
    </row>
    <row r="228" spans="1:20" x14ac:dyDescent="0.35">
      <c r="A228" s="7" t="s">
        <v>322</v>
      </c>
      <c r="B228" s="12" t="s">
        <v>225</v>
      </c>
      <c r="C228">
        <v>192286765.24337569</v>
      </c>
      <c r="D228">
        <v>203571607.76295924</v>
      </c>
      <c r="E228">
        <v>69369.369369370004</v>
      </c>
      <c r="F228">
        <v>28828.828828828999</v>
      </c>
      <c r="G228">
        <v>41</v>
      </c>
      <c r="H228">
        <v>29</v>
      </c>
      <c r="I228">
        <v>2</v>
      </c>
      <c r="K228">
        <v>46</v>
      </c>
      <c r="L228">
        <v>31</v>
      </c>
      <c r="M228">
        <v>9117297.2972973008</v>
      </c>
      <c r="N228">
        <v>11005405.405405406</v>
      </c>
      <c r="O228">
        <v>78714890.090090096</v>
      </c>
      <c r="P228">
        <v>87081486.48648648</v>
      </c>
      <c r="Q228">
        <v>9660630.6306306329</v>
      </c>
      <c r="R228">
        <v>11014864.864864863</v>
      </c>
      <c r="S228">
        <v>3929</v>
      </c>
      <c r="T228">
        <v>4065</v>
      </c>
    </row>
    <row r="229" spans="1:20" x14ac:dyDescent="0.35">
      <c r="A229" s="7" t="s">
        <v>323</v>
      </c>
      <c r="B229" s="12" t="s">
        <v>225</v>
      </c>
      <c r="C229">
        <v>136785566.17728543</v>
      </c>
      <c r="D229">
        <v>153165595.17932975</v>
      </c>
      <c r="E229">
        <v>57657.657657657997</v>
      </c>
      <c r="F229">
        <v>67117.117117119007</v>
      </c>
      <c r="G229">
        <v>10</v>
      </c>
      <c r="H229">
        <v>27</v>
      </c>
      <c r="K229">
        <v>10</v>
      </c>
      <c r="L229">
        <v>45</v>
      </c>
      <c r="M229">
        <v>12781261.26126126</v>
      </c>
      <c r="N229">
        <v>16972522.52252252</v>
      </c>
      <c r="O229">
        <v>41937481.981981985</v>
      </c>
      <c r="P229">
        <v>47443171.171171166</v>
      </c>
      <c r="Q229">
        <v>10027207.207207208</v>
      </c>
      <c r="R229">
        <v>12892252.252252253</v>
      </c>
      <c r="S229">
        <v>2180</v>
      </c>
      <c r="T229">
        <v>2226</v>
      </c>
    </row>
    <row r="230" spans="1:20" x14ac:dyDescent="0.35">
      <c r="A230" s="7" t="s">
        <v>324</v>
      </c>
      <c r="B230" s="12" t="s">
        <v>79</v>
      </c>
      <c r="C230">
        <v>211313377.67984006</v>
      </c>
      <c r="D230">
        <v>207374177.720485</v>
      </c>
      <c r="E230">
        <v>1122522.5225225261</v>
      </c>
      <c r="F230">
        <v>1953153.153153159</v>
      </c>
      <c r="G230">
        <v>87</v>
      </c>
      <c r="H230">
        <v>96</v>
      </c>
      <c r="I230">
        <v>1</v>
      </c>
      <c r="K230">
        <v>115</v>
      </c>
      <c r="L230">
        <v>135</v>
      </c>
      <c r="M230">
        <v>22257657.657657657</v>
      </c>
      <c r="N230">
        <v>27557657.657657661</v>
      </c>
      <c r="O230">
        <v>63808936.936936937</v>
      </c>
      <c r="P230">
        <v>63342090.090090089</v>
      </c>
      <c r="Q230">
        <v>21950720.72072072</v>
      </c>
      <c r="R230">
        <v>24279189.189189192</v>
      </c>
      <c r="S230">
        <v>4820</v>
      </c>
      <c r="T230">
        <v>4663</v>
      </c>
    </row>
    <row r="231" spans="1:20" x14ac:dyDescent="0.35">
      <c r="A231" s="7" t="s">
        <v>325</v>
      </c>
      <c r="B231" s="12" t="s">
        <v>109</v>
      </c>
      <c r="C231">
        <v>1410736460.4243619</v>
      </c>
      <c r="D231">
        <v>1443313832.9495599</v>
      </c>
      <c r="E231">
        <v>1824097036.9369369</v>
      </c>
      <c r="F231">
        <v>1190964686.4864864</v>
      </c>
      <c r="G231">
        <v>379</v>
      </c>
      <c r="H231">
        <v>418</v>
      </c>
      <c r="I231">
        <v>4</v>
      </c>
      <c r="K231">
        <v>535</v>
      </c>
      <c r="L231">
        <v>612</v>
      </c>
      <c r="M231">
        <v>568515765.76576579</v>
      </c>
      <c r="N231">
        <v>150030630.63063061</v>
      </c>
      <c r="O231">
        <v>701925954.95495498</v>
      </c>
      <c r="P231">
        <v>710176102.70270276</v>
      </c>
      <c r="Q231">
        <v>122020990.990991</v>
      </c>
      <c r="R231">
        <v>134187657.65765767</v>
      </c>
      <c r="S231">
        <v>24824</v>
      </c>
      <c r="T231">
        <v>21666</v>
      </c>
    </row>
    <row r="232" spans="1:20" x14ac:dyDescent="0.35">
      <c r="A232" s="7" t="s">
        <v>326</v>
      </c>
      <c r="B232" s="12" t="s">
        <v>225</v>
      </c>
      <c r="C232">
        <v>197091174.39360252</v>
      </c>
      <c r="D232">
        <v>220355772.74574471</v>
      </c>
      <c r="E232">
        <v>595495.49549549597</v>
      </c>
      <c r="F232">
        <v>833333.33333333302</v>
      </c>
      <c r="G232">
        <v>28</v>
      </c>
      <c r="H232">
        <v>41</v>
      </c>
      <c r="K232">
        <v>32</v>
      </c>
      <c r="L232">
        <v>55</v>
      </c>
      <c r="M232">
        <v>17805945.945945945</v>
      </c>
      <c r="N232">
        <v>19941441.441441439</v>
      </c>
      <c r="O232">
        <v>41630702.702702701</v>
      </c>
      <c r="P232">
        <v>51711702.702702701</v>
      </c>
      <c r="Q232">
        <v>16480630.630630629</v>
      </c>
      <c r="R232">
        <v>18974324.324324325</v>
      </c>
      <c r="S232">
        <v>4345</v>
      </c>
      <c r="T232">
        <v>4490</v>
      </c>
    </row>
    <row r="233" spans="1:20" x14ac:dyDescent="0.35">
      <c r="A233" s="7" t="s">
        <v>4</v>
      </c>
      <c r="B233" s="12" t="s">
        <v>159</v>
      </c>
      <c r="C233">
        <v>170323909.55299854</v>
      </c>
      <c r="D233">
        <v>164409247.7493127</v>
      </c>
      <c r="E233">
        <v>2141441.4414414442</v>
      </c>
      <c r="F233">
        <v>3249549.5495495498</v>
      </c>
      <c r="G233">
        <v>14</v>
      </c>
      <c r="H233">
        <v>30</v>
      </c>
      <c r="I233">
        <v>1</v>
      </c>
      <c r="K233">
        <v>18</v>
      </c>
      <c r="L233">
        <v>37</v>
      </c>
      <c r="M233">
        <v>27266666.666666668</v>
      </c>
      <c r="N233">
        <v>57846396.396396399</v>
      </c>
      <c r="O233">
        <v>59857909.909909911</v>
      </c>
      <c r="P233">
        <v>61177090.090090089</v>
      </c>
      <c r="Q233">
        <v>35637837.837837838</v>
      </c>
      <c r="R233">
        <v>48554774.774774775</v>
      </c>
      <c r="S233">
        <v>3843</v>
      </c>
      <c r="T233">
        <v>3549</v>
      </c>
    </row>
    <row r="234" spans="1:20" x14ac:dyDescent="0.35">
      <c r="A234" s="7" t="s">
        <v>327</v>
      </c>
      <c r="B234" s="12" t="s">
        <v>109</v>
      </c>
      <c r="C234">
        <v>791283706.74579275</v>
      </c>
      <c r="D234">
        <v>802508728.73758042</v>
      </c>
      <c r="E234">
        <v>10753984.684684692</v>
      </c>
      <c r="F234">
        <v>71369971.171171173</v>
      </c>
      <c r="G234">
        <v>256</v>
      </c>
      <c r="H234">
        <v>269</v>
      </c>
      <c r="I234">
        <v>1</v>
      </c>
      <c r="K234">
        <v>448</v>
      </c>
      <c r="L234">
        <v>492</v>
      </c>
      <c r="M234">
        <v>559217138.73873878</v>
      </c>
      <c r="N234">
        <v>356920844.14414412</v>
      </c>
      <c r="O234">
        <v>246170479.72972974</v>
      </c>
      <c r="P234">
        <v>246066801.8018018</v>
      </c>
      <c r="Q234">
        <v>106086576.57657658</v>
      </c>
      <c r="R234">
        <v>302985765.76576579</v>
      </c>
      <c r="S234">
        <v>20861</v>
      </c>
      <c r="T234">
        <v>20287</v>
      </c>
    </row>
    <row r="235" spans="1:20" x14ac:dyDescent="0.35">
      <c r="A235" s="7" t="s">
        <v>328</v>
      </c>
      <c r="B235" s="12" t="s">
        <v>79</v>
      </c>
      <c r="C235">
        <v>83536974.712813124</v>
      </c>
      <c r="D235">
        <v>80959890.230875358</v>
      </c>
      <c r="E235">
        <v>547747.74774774897</v>
      </c>
      <c r="F235">
        <v>789189.18918919004</v>
      </c>
      <c r="G235">
        <v>27</v>
      </c>
      <c r="H235">
        <v>29</v>
      </c>
      <c r="K235">
        <v>30</v>
      </c>
      <c r="L235">
        <v>30</v>
      </c>
      <c r="M235">
        <v>5592792.7927927943</v>
      </c>
      <c r="N235">
        <v>8898198.1981981974</v>
      </c>
      <c r="O235">
        <v>27083018.018018015</v>
      </c>
      <c r="P235">
        <v>28341594.59459459</v>
      </c>
      <c r="Q235">
        <v>5997207.2072072066</v>
      </c>
      <c r="R235">
        <v>8889459.4594594594</v>
      </c>
      <c r="S235">
        <v>2115</v>
      </c>
      <c r="T235">
        <v>1878</v>
      </c>
    </row>
    <row r="236" spans="1:20" x14ac:dyDescent="0.35">
      <c r="A236" s="7" t="s">
        <v>329</v>
      </c>
      <c r="B236" s="12" t="s">
        <v>122</v>
      </c>
      <c r="C236">
        <v>213212328.34067658</v>
      </c>
      <c r="D236">
        <v>205798519.18477345</v>
      </c>
      <c r="E236">
        <v>56706521.621621624</v>
      </c>
      <c r="F236">
        <v>55770311.71171172</v>
      </c>
      <c r="G236">
        <v>68</v>
      </c>
      <c r="H236">
        <v>79</v>
      </c>
      <c r="I236">
        <v>9</v>
      </c>
      <c r="K236">
        <v>75</v>
      </c>
      <c r="L236">
        <v>84</v>
      </c>
      <c r="M236">
        <v>33423078.37837838</v>
      </c>
      <c r="N236">
        <v>15705405.405405408</v>
      </c>
      <c r="O236">
        <v>33439259.459459461</v>
      </c>
      <c r="P236">
        <v>37503396.396396399</v>
      </c>
      <c r="Q236">
        <v>14547927.927927928</v>
      </c>
      <c r="R236">
        <v>12790810.810810812</v>
      </c>
      <c r="S236">
        <v>4100</v>
      </c>
      <c r="T236">
        <v>3481</v>
      </c>
    </row>
    <row r="237" spans="1:20" x14ac:dyDescent="0.35">
      <c r="A237" s="7" t="s">
        <v>330</v>
      </c>
      <c r="B237" s="12" t="s">
        <v>331</v>
      </c>
      <c r="C237">
        <v>518323245.73270011</v>
      </c>
      <c r="D237">
        <v>500472182.81983519</v>
      </c>
      <c r="E237">
        <v>7397522.5225225249</v>
      </c>
      <c r="F237">
        <v>3857657.6576576671</v>
      </c>
      <c r="G237">
        <v>192</v>
      </c>
      <c r="H237">
        <v>219</v>
      </c>
      <c r="I237">
        <v>25</v>
      </c>
      <c r="K237">
        <v>277</v>
      </c>
      <c r="L237">
        <v>279</v>
      </c>
      <c r="M237">
        <v>74493513.513513505</v>
      </c>
      <c r="N237">
        <v>57728378.378378384</v>
      </c>
      <c r="O237">
        <v>122037200.45045045</v>
      </c>
      <c r="P237">
        <v>116658007.2072072</v>
      </c>
      <c r="Q237">
        <v>69593783.783783779</v>
      </c>
      <c r="R237">
        <v>62031261.261261262</v>
      </c>
      <c r="S237">
        <v>15408</v>
      </c>
      <c r="T237">
        <v>14511</v>
      </c>
    </row>
    <row r="238" spans="1:20" x14ac:dyDescent="0.35">
      <c r="A238" s="7" t="s">
        <v>332</v>
      </c>
      <c r="B238" s="12" t="s">
        <v>291</v>
      </c>
      <c r="C238">
        <v>761335659.37862349</v>
      </c>
      <c r="D238">
        <v>767092337.3917917</v>
      </c>
      <c r="E238">
        <v>4219369.3693693718</v>
      </c>
      <c r="F238">
        <v>3347747.7477477612</v>
      </c>
      <c r="G238">
        <v>260</v>
      </c>
      <c r="H238">
        <v>262</v>
      </c>
      <c r="K238">
        <v>387</v>
      </c>
      <c r="L238">
        <v>300</v>
      </c>
      <c r="M238">
        <v>85374774.774774775</v>
      </c>
      <c r="N238">
        <v>75816216.216216221</v>
      </c>
      <c r="O238">
        <v>138557043.24324325</v>
      </c>
      <c r="P238">
        <v>144450223.42342341</v>
      </c>
      <c r="Q238">
        <v>70842792.792792797</v>
      </c>
      <c r="R238">
        <v>83971441.441441447</v>
      </c>
      <c r="S238">
        <v>17922</v>
      </c>
      <c r="T238">
        <v>17075</v>
      </c>
    </row>
    <row r="239" spans="1:20" x14ac:dyDescent="0.35">
      <c r="A239" s="7" t="s">
        <v>333</v>
      </c>
      <c r="B239" s="12" t="s">
        <v>291</v>
      </c>
      <c r="C239">
        <v>580060105.35149145</v>
      </c>
      <c r="D239">
        <v>597851875.44900477</v>
      </c>
      <c r="E239">
        <v>6237837.8378378469</v>
      </c>
      <c r="F239">
        <v>5052252.2522522593</v>
      </c>
      <c r="G239">
        <v>158</v>
      </c>
      <c r="H239">
        <v>199</v>
      </c>
      <c r="I239">
        <v>2</v>
      </c>
      <c r="K239">
        <v>189</v>
      </c>
      <c r="L239">
        <v>327</v>
      </c>
      <c r="M239">
        <v>80720720.720720723</v>
      </c>
      <c r="N239">
        <v>88896846.846846849</v>
      </c>
      <c r="O239">
        <v>155082288.2882883</v>
      </c>
      <c r="P239">
        <v>165926079.27927929</v>
      </c>
      <c r="Q239">
        <v>80362702.702702701</v>
      </c>
      <c r="R239">
        <v>140137387.38738739</v>
      </c>
      <c r="S239">
        <v>15710</v>
      </c>
      <c r="T239">
        <v>14960</v>
      </c>
    </row>
    <row r="240" spans="1:20" x14ac:dyDescent="0.35">
      <c r="A240" s="7" t="s">
        <v>334</v>
      </c>
      <c r="B240" s="12" t="s">
        <v>61</v>
      </c>
      <c r="C240">
        <v>79461833.897144899</v>
      </c>
      <c r="D240">
        <v>80058560.096683323</v>
      </c>
      <c r="E240">
        <v>2338738.7387387408</v>
      </c>
      <c r="F240">
        <v>1381981.981981982</v>
      </c>
      <c r="G240">
        <v>82</v>
      </c>
      <c r="H240">
        <v>32</v>
      </c>
      <c r="I240">
        <v>2</v>
      </c>
      <c r="K240">
        <v>118</v>
      </c>
      <c r="L240">
        <v>52</v>
      </c>
      <c r="M240">
        <v>33181981.981981985</v>
      </c>
      <c r="N240">
        <v>5751351.3513513524</v>
      </c>
      <c r="O240">
        <v>28304261.261261258</v>
      </c>
      <c r="P240">
        <v>27724837.837837841</v>
      </c>
      <c r="Q240">
        <v>31308558.558558557</v>
      </c>
      <c r="R240">
        <v>4476306.3063063072</v>
      </c>
      <c r="S240">
        <v>2110</v>
      </c>
      <c r="T240">
        <v>1979</v>
      </c>
    </row>
    <row r="241" spans="1:20" x14ac:dyDescent="0.35">
      <c r="A241" s="7" t="s">
        <v>335</v>
      </c>
      <c r="B241" s="12" t="s">
        <v>61</v>
      </c>
      <c r="C241">
        <v>15614076.42694398</v>
      </c>
      <c r="D241">
        <v>17973909.044531815</v>
      </c>
      <c r="E241">
        <v>243243.24324324299</v>
      </c>
      <c r="F241">
        <v>490090.09009009099</v>
      </c>
      <c r="G241">
        <v>5</v>
      </c>
      <c r="H241">
        <v>8</v>
      </c>
      <c r="K241">
        <v>6</v>
      </c>
      <c r="L241">
        <v>12</v>
      </c>
      <c r="M241">
        <v>631981.98198198201</v>
      </c>
      <c r="N241">
        <v>938738.73873873998</v>
      </c>
      <c r="O241">
        <v>8479414.4144144133</v>
      </c>
      <c r="P241">
        <v>9218450.4504504502</v>
      </c>
      <c r="Q241">
        <v>850720.72072072094</v>
      </c>
      <c r="R241">
        <v>999459.45945945894</v>
      </c>
      <c r="S241">
        <v>947</v>
      </c>
      <c r="T241">
        <v>845</v>
      </c>
    </row>
    <row r="242" spans="1:20" x14ac:dyDescent="0.35">
      <c r="A242" s="7" t="s">
        <v>336</v>
      </c>
      <c r="B242" s="12" t="s">
        <v>122</v>
      </c>
      <c r="C242">
        <v>1710089.4854476601</v>
      </c>
      <c r="D242">
        <v>2110624.8859261661</v>
      </c>
      <c r="L242">
        <v>1</v>
      </c>
      <c r="O242">
        <v>97747.747747747999</v>
      </c>
      <c r="P242">
        <v>495720.720720721</v>
      </c>
      <c r="S242">
        <v>155</v>
      </c>
      <c r="T242">
        <v>173</v>
      </c>
    </row>
    <row r="243" spans="1:20" x14ac:dyDescent="0.35">
      <c r="A243" s="7" t="s">
        <v>337</v>
      </c>
      <c r="B243" s="12" t="s">
        <v>122</v>
      </c>
      <c r="C243">
        <v>2809048.4027223769</v>
      </c>
      <c r="D243">
        <v>2920608.659820281</v>
      </c>
      <c r="G243">
        <v>2</v>
      </c>
      <c r="H243">
        <v>1</v>
      </c>
      <c r="K243">
        <v>2</v>
      </c>
      <c r="L243">
        <v>2</v>
      </c>
      <c r="O243">
        <v>537882.88288288296</v>
      </c>
      <c r="P243">
        <v>1103513.5135135141</v>
      </c>
      <c r="S243">
        <v>92</v>
      </c>
      <c r="T243">
        <v>109</v>
      </c>
    </row>
    <row r="244" spans="1:20" x14ac:dyDescent="0.35">
      <c r="A244" s="7" t="s">
        <v>338</v>
      </c>
      <c r="B244" s="12" t="s">
        <v>122</v>
      </c>
      <c r="C244">
        <v>2248653.825378912</v>
      </c>
      <c r="D244">
        <v>2394768.2528962162</v>
      </c>
      <c r="G244">
        <v>1</v>
      </c>
      <c r="K244">
        <v>1</v>
      </c>
      <c r="O244">
        <v>18918.918918919</v>
      </c>
      <c r="P244">
        <v>325450.45045045001</v>
      </c>
      <c r="S244">
        <v>140</v>
      </c>
      <c r="T244">
        <v>134</v>
      </c>
    </row>
    <row r="245" spans="1:20" x14ac:dyDescent="0.35">
      <c r="A245" s="7" t="s">
        <v>339</v>
      </c>
      <c r="B245" s="12" t="s">
        <v>141</v>
      </c>
      <c r="C245">
        <v>867390840.63858032</v>
      </c>
      <c r="D245">
        <v>884698436.61565816</v>
      </c>
      <c r="E245">
        <v>3590090.0900900941</v>
      </c>
      <c r="F245">
        <v>4055855.8558558621</v>
      </c>
      <c r="G245">
        <v>295</v>
      </c>
      <c r="H245">
        <v>129</v>
      </c>
      <c r="I245">
        <v>1</v>
      </c>
      <c r="K245">
        <v>336</v>
      </c>
      <c r="L245">
        <v>180</v>
      </c>
      <c r="M245">
        <v>83174594.594594598</v>
      </c>
      <c r="N245">
        <v>95675503.603603601</v>
      </c>
      <c r="O245">
        <v>175868790.99099097</v>
      </c>
      <c r="P245">
        <v>200894985.58558559</v>
      </c>
      <c r="Q245">
        <v>74585495.495495483</v>
      </c>
      <c r="R245">
        <v>83348018.018018022</v>
      </c>
      <c r="S245">
        <v>16376</v>
      </c>
      <c r="T245">
        <v>16306</v>
      </c>
    </row>
    <row r="246" spans="1:20" x14ac:dyDescent="0.35">
      <c r="A246" s="7" t="s">
        <v>340</v>
      </c>
      <c r="B246" s="12" t="s">
        <v>122</v>
      </c>
      <c r="C246">
        <v>133168599.44563001</v>
      </c>
      <c r="D246">
        <v>132076897.14729178</v>
      </c>
      <c r="G246">
        <v>46</v>
      </c>
      <c r="H246">
        <v>45</v>
      </c>
      <c r="K246">
        <v>47</v>
      </c>
      <c r="L246">
        <v>51</v>
      </c>
      <c r="O246">
        <v>8659684.6846846845</v>
      </c>
      <c r="P246">
        <v>9541376.5765765756</v>
      </c>
      <c r="S246">
        <v>1545</v>
      </c>
      <c r="T246">
        <v>2323</v>
      </c>
    </row>
    <row r="247" spans="1:20" x14ac:dyDescent="0.35">
      <c r="A247" s="7" t="s">
        <v>341</v>
      </c>
      <c r="B247" s="12" t="s">
        <v>141</v>
      </c>
      <c r="C247">
        <v>460392447.22701389</v>
      </c>
      <c r="D247">
        <v>483564224.18904531</v>
      </c>
      <c r="E247">
        <v>2626576.5765765789</v>
      </c>
      <c r="F247">
        <v>2406306.3063063119</v>
      </c>
      <c r="G247">
        <v>88</v>
      </c>
      <c r="H247">
        <v>55</v>
      </c>
      <c r="I247">
        <v>4</v>
      </c>
      <c r="K247">
        <v>120</v>
      </c>
      <c r="L247">
        <v>77</v>
      </c>
      <c r="M247">
        <v>80659639.639639646</v>
      </c>
      <c r="N247">
        <v>85930495.495495483</v>
      </c>
      <c r="O247">
        <v>138106225.67567569</v>
      </c>
      <c r="P247">
        <v>147504225.22522521</v>
      </c>
      <c r="Q247">
        <v>76441441.441441447</v>
      </c>
      <c r="R247">
        <v>75955540.540540546</v>
      </c>
      <c r="S247">
        <v>9079</v>
      </c>
      <c r="T247">
        <v>9036</v>
      </c>
    </row>
    <row r="248" spans="1:20" x14ac:dyDescent="0.35">
      <c r="A248" s="7" t="s">
        <v>342</v>
      </c>
      <c r="B248" s="12" t="s">
        <v>135</v>
      </c>
      <c r="C248">
        <v>51614590.671429299</v>
      </c>
      <c r="D248">
        <v>47123580.179974943</v>
      </c>
      <c r="E248">
        <v>54054.054054054002</v>
      </c>
      <c r="F248">
        <v>27027.027027028002</v>
      </c>
      <c r="G248">
        <v>13</v>
      </c>
      <c r="H248">
        <v>10</v>
      </c>
      <c r="I248">
        <v>1</v>
      </c>
      <c r="K248">
        <v>13</v>
      </c>
      <c r="L248">
        <v>11</v>
      </c>
      <c r="M248">
        <v>1765765.7657657659</v>
      </c>
      <c r="N248">
        <v>1558558.5585585581</v>
      </c>
      <c r="O248">
        <v>5027936.9369369373</v>
      </c>
      <c r="P248">
        <v>5557261.261261262</v>
      </c>
      <c r="Q248">
        <v>1333243.2432432431</v>
      </c>
      <c r="R248">
        <v>967747.74774774804</v>
      </c>
      <c r="S248">
        <v>1327</v>
      </c>
      <c r="T248">
        <v>1324</v>
      </c>
    </row>
    <row r="249" spans="1:20" x14ac:dyDescent="0.35">
      <c r="A249" s="7" t="s">
        <v>343</v>
      </c>
      <c r="B249" s="12" t="s">
        <v>122</v>
      </c>
      <c r="C249">
        <v>2118305.2273561489</v>
      </c>
      <c r="D249">
        <v>3111983.2288730941</v>
      </c>
      <c r="G249">
        <v>10</v>
      </c>
      <c r="H249">
        <v>3</v>
      </c>
      <c r="K249">
        <v>13</v>
      </c>
      <c r="L249">
        <v>4</v>
      </c>
      <c r="O249">
        <v>967297.29729729705</v>
      </c>
      <c r="P249">
        <v>2059909.9099099101</v>
      </c>
      <c r="S249">
        <v>390</v>
      </c>
      <c r="T249">
        <v>360</v>
      </c>
    </row>
    <row r="250" spans="1:20" x14ac:dyDescent="0.35">
      <c r="A250" s="7" t="s">
        <v>5</v>
      </c>
      <c r="B250" s="12" t="s">
        <v>159</v>
      </c>
      <c r="C250">
        <v>179683053.78613251</v>
      </c>
      <c r="D250">
        <v>183807708.76067135</v>
      </c>
      <c r="E250">
        <v>872072.072072073</v>
      </c>
      <c r="F250">
        <v>128828.82882883</v>
      </c>
      <c r="G250">
        <v>31</v>
      </c>
      <c r="H250">
        <v>20</v>
      </c>
      <c r="I250">
        <v>1</v>
      </c>
      <c r="K250">
        <v>32</v>
      </c>
      <c r="L250">
        <v>25</v>
      </c>
      <c r="M250">
        <v>13428828.828828828</v>
      </c>
      <c r="N250">
        <v>17077477.477477476</v>
      </c>
      <c r="O250">
        <v>76714180.180180177</v>
      </c>
      <c r="P250">
        <v>77784882.882882878</v>
      </c>
      <c r="Q250">
        <v>12499099.0990991</v>
      </c>
      <c r="R250">
        <v>15390630.630630629</v>
      </c>
      <c r="S250">
        <v>3080</v>
      </c>
      <c r="T250">
        <v>3050</v>
      </c>
    </row>
    <row r="251" spans="1:20" x14ac:dyDescent="0.35">
      <c r="A251" s="7" t="s">
        <v>344</v>
      </c>
      <c r="B251" s="12" t="s">
        <v>305</v>
      </c>
      <c r="C251">
        <v>18881833.882075753</v>
      </c>
      <c r="D251">
        <v>29458001.956721909</v>
      </c>
      <c r="E251">
        <v>900900.90090090095</v>
      </c>
      <c r="F251">
        <v>360360.36036036001</v>
      </c>
      <c r="G251">
        <v>13</v>
      </c>
      <c r="H251">
        <v>46</v>
      </c>
      <c r="K251">
        <v>17</v>
      </c>
      <c r="L251">
        <v>59</v>
      </c>
      <c r="M251">
        <v>1351351.351351351</v>
      </c>
      <c r="N251">
        <v>360360.36036036001</v>
      </c>
      <c r="O251">
        <v>3040279.2792792791</v>
      </c>
      <c r="P251">
        <v>6029088.2882882878</v>
      </c>
      <c r="Q251">
        <v>256216.21621621601</v>
      </c>
      <c r="R251">
        <v>395495.49549549498</v>
      </c>
      <c r="S251">
        <v>568</v>
      </c>
      <c r="T251">
        <v>563</v>
      </c>
    </row>
    <row r="252" spans="1:20" x14ac:dyDescent="0.35">
      <c r="A252" s="7" t="s">
        <v>345</v>
      </c>
      <c r="B252" s="12" t="s">
        <v>106</v>
      </c>
      <c r="C252">
        <v>363534108.2421838</v>
      </c>
      <c r="D252">
        <v>377804809.11482149</v>
      </c>
      <c r="E252">
        <v>1870720.7207207221</v>
      </c>
      <c r="F252">
        <v>1702702.702702705</v>
      </c>
      <c r="G252">
        <v>62</v>
      </c>
      <c r="H252">
        <v>93</v>
      </c>
      <c r="K252">
        <v>72</v>
      </c>
      <c r="L252">
        <v>103</v>
      </c>
      <c r="M252">
        <v>47907567.567567565</v>
      </c>
      <c r="N252">
        <v>76444369.369369373</v>
      </c>
      <c r="O252">
        <v>89653045.045045033</v>
      </c>
      <c r="P252">
        <v>98621801.801801801</v>
      </c>
      <c r="Q252">
        <v>46448018.018018022</v>
      </c>
      <c r="R252">
        <v>72715990.990990996</v>
      </c>
      <c r="S252">
        <v>5799</v>
      </c>
      <c r="T252">
        <v>5905</v>
      </c>
    </row>
    <row r="253" spans="1:20" x14ac:dyDescent="0.35">
      <c r="A253" s="7" t="s">
        <v>346</v>
      </c>
      <c r="B253" s="12" t="s">
        <v>88</v>
      </c>
      <c r="C253">
        <v>107162369.18819597</v>
      </c>
      <c r="D253">
        <v>109051164.72154868</v>
      </c>
      <c r="E253">
        <v>775675.67567567504</v>
      </c>
      <c r="F253">
        <v>734234.23423423502</v>
      </c>
      <c r="G253">
        <v>50</v>
      </c>
      <c r="H253">
        <v>51</v>
      </c>
      <c r="K253">
        <v>53</v>
      </c>
      <c r="L253">
        <v>56</v>
      </c>
      <c r="M253">
        <v>30576576.576576576</v>
      </c>
      <c r="N253">
        <v>27635135.135135137</v>
      </c>
      <c r="O253">
        <v>28206100</v>
      </c>
      <c r="P253">
        <v>33098673.873873871</v>
      </c>
      <c r="Q253">
        <v>21080536.936936937</v>
      </c>
      <c r="R253">
        <v>19621711.711711712</v>
      </c>
      <c r="S253">
        <v>2232</v>
      </c>
      <c r="T253">
        <v>2283</v>
      </c>
    </row>
    <row r="254" spans="1:20" x14ac:dyDescent="0.35">
      <c r="A254" s="7" t="s">
        <v>347</v>
      </c>
      <c r="B254" s="12" t="s">
        <v>88</v>
      </c>
      <c r="C254">
        <v>295927847.25472927</v>
      </c>
      <c r="D254">
        <v>288222653.44118798</v>
      </c>
      <c r="E254">
        <v>3418018.0180180199</v>
      </c>
      <c r="F254">
        <v>1639639.639639646</v>
      </c>
      <c r="G254">
        <v>182</v>
      </c>
      <c r="H254">
        <v>175</v>
      </c>
      <c r="I254">
        <v>4</v>
      </c>
      <c r="K254">
        <v>209</v>
      </c>
      <c r="L254">
        <v>225</v>
      </c>
      <c r="M254">
        <v>28330630.630630631</v>
      </c>
      <c r="N254">
        <v>30873873.873873871</v>
      </c>
      <c r="O254">
        <v>49988376.576576576</v>
      </c>
      <c r="P254">
        <v>55860450.45045045</v>
      </c>
      <c r="Q254">
        <v>21883243.243243244</v>
      </c>
      <c r="R254">
        <v>26036126.126126129</v>
      </c>
      <c r="S254">
        <v>6120</v>
      </c>
      <c r="T254">
        <v>6395</v>
      </c>
    </row>
    <row r="255" spans="1:20" x14ac:dyDescent="0.35">
      <c r="A255" s="7" t="s">
        <v>348</v>
      </c>
      <c r="B255" s="12" t="s">
        <v>88</v>
      </c>
      <c r="C255">
        <v>9124704.5024572257</v>
      </c>
      <c r="D255">
        <v>9391458.2341907118</v>
      </c>
      <c r="G255">
        <v>17</v>
      </c>
      <c r="H255">
        <v>7</v>
      </c>
      <c r="K255">
        <v>17</v>
      </c>
      <c r="L255">
        <v>8</v>
      </c>
      <c r="O255">
        <v>3792513.5135135148</v>
      </c>
      <c r="P255">
        <v>5125630.6306306301</v>
      </c>
      <c r="S255">
        <v>808</v>
      </c>
      <c r="T255">
        <v>816</v>
      </c>
    </row>
    <row r="256" spans="1:20" x14ac:dyDescent="0.35">
      <c r="A256" s="7" t="s">
        <v>349</v>
      </c>
      <c r="B256" s="12" t="s">
        <v>88</v>
      </c>
      <c r="C256">
        <v>4127622.6756711239</v>
      </c>
      <c r="D256">
        <v>3304891.8591101421</v>
      </c>
      <c r="G256">
        <v>3</v>
      </c>
      <c r="K256">
        <v>3</v>
      </c>
      <c r="O256">
        <v>1434639.63963964</v>
      </c>
      <c r="P256">
        <v>1069099.0990990989</v>
      </c>
      <c r="S256">
        <v>191</v>
      </c>
      <c r="T256">
        <v>180</v>
      </c>
    </row>
    <row r="257" spans="1:20" x14ac:dyDescent="0.35">
      <c r="A257" s="7" t="s">
        <v>350</v>
      </c>
      <c r="B257" s="12" t="s">
        <v>88</v>
      </c>
      <c r="C257">
        <v>3418751.0700469268</v>
      </c>
      <c r="D257">
        <v>1836226.2348935809</v>
      </c>
      <c r="G257">
        <v>6</v>
      </c>
      <c r="H257">
        <v>5</v>
      </c>
      <c r="K257">
        <v>10</v>
      </c>
      <c r="L257">
        <v>9</v>
      </c>
      <c r="O257">
        <v>1967126.1261261259</v>
      </c>
      <c r="P257">
        <v>1206126.1261261259</v>
      </c>
      <c r="S257">
        <v>515</v>
      </c>
      <c r="T257">
        <v>432</v>
      </c>
    </row>
    <row r="258" spans="1:20" x14ac:dyDescent="0.35">
      <c r="A258" s="7" t="s">
        <v>351</v>
      </c>
      <c r="B258" s="12" t="s">
        <v>88</v>
      </c>
      <c r="C258">
        <v>99522567.996851757</v>
      </c>
      <c r="D258">
        <v>101649054.74720101</v>
      </c>
      <c r="E258">
        <v>160360.36036036201</v>
      </c>
      <c r="F258">
        <v>664864.86486486695</v>
      </c>
      <c r="G258">
        <v>77</v>
      </c>
      <c r="H258">
        <v>48</v>
      </c>
      <c r="I258">
        <v>1</v>
      </c>
      <c r="K258">
        <v>85</v>
      </c>
      <c r="L258">
        <v>56</v>
      </c>
      <c r="M258">
        <v>7884684.6846846836</v>
      </c>
      <c r="N258">
        <v>12727927.927927928</v>
      </c>
      <c r="O258">
        <v>19154256.756756756</v>
      </c>
      <c r="P258">
        <v>23738549.549549554</v>
      </c>
      <c r="Q258">
        <v>5803783.7837837832</v>
      </c>
      <c r="R258">
        <v>9860090.0900900904</v>
      </c>
      <c r="S258">
        <v>2105</v>
      </c>
      <c r="T258">
        <v>2104</v>
      </c>
    </row>
    <row r="259" spans="1:20" x14ac:dyDescent="0.35">
      <c r="A259" s="7" t="s">
        <v>352</v>
      </c>
      <c r="B259" s="12" t="s">
        <v>51</v>
      </c>
      <c r="C259">
        <v>264982921.41584945</v>
      </c>
      <c r="D259">
        <v>250562307.02459851</v>
      </c>
      <c r="E259">
        <v>3260360.3603603621</v>
      </c>
      <c r="F259">
        <v>2675675.675675679</v>
      </c>
      <c r="G259">
        <v>59</v>
      </c>
      <c r="H259">
        <v>104</v>
      </c>
      <c r="K259">
        <v>66</v>
      </c>
      <c r="L259">
        <v>144</v>
      </c>
      <c r="M259">
        <v>43840180.180180185</v>
      </c>
      <c r="N259">
        <v>46134369.369369365</v>
      </c>
      <c r="O259">
        <v>104478184.68468469</v>
      </c>
      <c r="P259">
        <v>105565765.76576576</v>
      </c>
      <c r="Q259">
        <v>40444954.954954952</v>
      </c>
      <c r="R259">
        <v>44170225.225225225</v>
      </c>
      <c r="S259">
        <v>5577</v>
      </c>
      <c r="T259">
        <v>5391</v>
      </c>
    </row>
    <row r="260" spans="1:20" x14ac:dyDescent="0.35">
      <c r="A260" s="7" t="s">
        <v>353</v>
      </c>
      <c r="B260" s="12" t="s">
        <v>124</v>
      </c>
      <c r="C260">
        <v>1595616.5791760399</v>
      </c>
      <c r="D260">
        <v>2777350.3446017439</v>
      </c>
      <c r="G260">
        <v>1</v>
      </c>
      <c r="H260">
        <v>1</v>
      </c>
      <c r="K260">
        <v>1</v>
      </c>
      <c r="L260">
        <v>1</v>
      </c>
      <c r="O260">
        <v>562252.25225225196</v>
      </c>
      <c r="P260">
        <v>826432.43243243196</v>
      </c>
      <c r="S260">
        <v>96</v>
      </c>
      <c r="T260">
        <v>152</v>
      </c>
    </row>
    <row r="261" spans="1:20" x14ac:dyDescent="0.35">
      <c r="A261" s="7" t="s">
        <v>354</v>
      </c>
      <c r="B261" s="12" t="s">
        <v>355</v>
      </c>
      <c r="C261">
        <v>463163718.8550629</v>
      </c>
      <c r="D261">
        <v>486002553.36997348</v>
      </c>
      <c r="E261">
        <v>393924457.65765768</v>
      </c>
      <c r="F261">
        <v>356429746.84684682</v>
      </c>
      <c r="G261">
        <v>377</v>
      </c>
      <c r="H261">
        <v>438</v>
      </c>
      <c r="K261">
        <v>466</v>
      </c>
      <c r="L261">
        <v>463</v>
      </c>
      <c r="M261">
        <v>287721351.35135138</v>
      </c>
      <c r="N261">
        <v>263642631.53153151</v>
      </c>
      <c r="O261">
        <v>276858639.63963968</v>
      </c>
      <c r="P261">
        <v>291814666.66666669</v>
      </c>
      <c r="Q261">
        <v>288055045.04504508</v>
      </c>
      <c r="R261">
        <v>229263603.60360357</v>
      </c>
      <c r="S261">
        <v>10197</v>
      </c>
      <c r="T261">
        <v>10140</v>
      </c>
    </row>
    <row r="262" spans="1:20" x14ac:dyDescent="0.35">
      <c r="A262" s="7" t="s">
        <v>356</v>
      </c>
      <c r="B262" s="12" t="s">
        <v>49</v>
      </c>
      <c r="C262">
        <v>317467339.04597294</v>
      </c>
      <c r="D262">
        <v>362558353.57773197</v>
      </c>
      <c r="E262">
        <v>931531.53153153195</v>
      </c>
      <c r="F262">
        <v>369369.36936937203</v>
      </c>
      <c r="G262">
        <v>30</v>
      </c>
      <c r="H262">
        <v>10</v>
      </c>
      <c r="K262">
        <v>31</v>
      </c>
      <c r="L262">
        <v>13</v>
      </c>
      <c r="M262">
        <v>1677477.4774774769</v>
      </c>
      <c r="N262">
        <v>515315.315315318</v>
      </c>
      <c r="O262">
        <v>24504810.810810812</v>
      </c>
      <c r="P262">
        <v>29620126.126126129</v>
      </c>
      <c r="Q262">
        <v>1849909.9099099089</v>
      </c>
      <c r="R262">
        <v>671261.26126126398</v>
      </c>
      <c r="S262">
        <v>5587</v>
      </c>
      <c r="T262">
        <v>5751</v>
      </c>
    </row>
    <row r="263" spans="1:20" x14ac:dyDescent="0.35">
      <c r="A263" s="7" t="s">
        <v>357</v>
      </c>
      <c r="B263" s="12" t="s">
        <v>124</v>
      </c>
      <c r="C263">
        <v>333296647.31225151</v>
      </c>
      <c r="D263">
        <v>352751883.98763651</v>
      </c>
      <c r="E263">
        <v>180180.18018018099</v>
      </c>
      <c r="F263">
        <v>719819.81981982104</v>
      </c>
      <c r="G263">
        <v>76</v>
      </c>
      <c r="H263">
        <v>60</v>
      </c>
      <c r="K263">
        <v>77</v>
      </c>
      <c r="L263">
        <v>66</v>
      </c>
      <c r="M263">
        <v>10060630.630630627</v>
      </c>
      <c r="N263">
        <v>13978558.558558555</v>
      </c>
      <c r="O263">
        <v>72244522.522522524</v>
      </c>
      <c r="P263">
        <v>85798072.072072074</v>
      </c>
      <c r="Q263">
        <v>8914054.0540540535</v>
      </c>
      <c r="R263">
        <v>13354234.234234234</v>
      </c>
      <c r="S263">
        <v>5527</v>
      </c>
      <c r="T263">
        <v>5613</v>
      </c>
    </row>
    <row r="264" spans="1:20" x14ac:dyDescent="0.35">
      <c r="A264" s="7" t="s">
        <v>358</v>
      </c>
      <c r="B264" s="12" t="s">
        <v>63</v>
      </c>
      <c r="C264">
        <v>189081770.6290122</v>
      </c>
      <c r="D264">
        <v>197678624.09822696</v>
      </c>
      <c r="E264">
        <v>2335135.1351351361</v>
      </c>
      <c r="F264">
        <v>1512612.612612617</v>
      </c>
      <c r="G264">
        <v>34</v>
      </c>
      <c r="H264">
        <v>7</v>
      </c>
      <c r="K264">
        <v>38</v>
      </c>
      <c r="L264">
        <v>8</v>
      </c>
      <c r="M264">
        <v>30692072.072072074</v>
      </c>
      <c r="N264">
        <v>44330360.360360362</v>
      </c>
      <c r="O264">
        <v>53132855.855855852</v>
      </c>
      <c r="P264">
        <v>62040216.216216214</v>
      </c>
      <c r="Q264">
        <v>32350630.630630627</v>
      </c>
      <c r="R264">
        <v>24779099.0990991</v>
      </c>
      <c r="S264">
        <v>3844</v>
      </c>
      <c r="T264">
        <v>3706</v>
      </c>
    </row>
    <row r="265" spans="1:20" x14ac:dyDescent="0.35">
      <c r="A265" s="7" t="s">
        <v>359</v>
      </c>
      <c r="B265" s="12" t="s">
        <v>316</v>
      </c>
      <c r="C265">
        <v>5701785.1829710202</v>
      </c>
      <c r="D265">
        <v>12515969.724866644</v>
      </c>
      <c r="G265">
        <v>10</v>
      </c>
      <c r="H265">
        <v>13</v>
      </c>
      <c r="K265">
        <v>11</v>
      </c>
      <c r="L265">
        <v>13</v>
      </c>
      <c r="O265">
        <v>2316846.8468468469</v>
      </c>
      <c r="P265">
        <v>6601216.2162162159</v>
      </c>
      <c r="S265">
        <v>2</v>
      </c>
      <c r="T265">
        <v>578</v>
      </c>
    </row>
    <row r="266" spans="1:20" x14ac:dyDescent="0.35">
      <c r="A266" s="7" t="s">
        <v>360</v>
      </c>
      <c r="B266" s="12" t="s">
        <v>316</v>
      </c>
      <c r="C266">
        <v>190237629.16192225</v>
      </c>
      <c r="D266">
        <v>156495479.71887901</v>
      </c>
      <c r="E266">
        <v>1341441.4414414419</v>
      </c>
      <c r="F266">
        <v>370270.27027027297</v>
      </c>
      <c r="G266">
        <v>46</v>
      </c>
      <c r="H266">
        <v>23</v>
      </c>
      <c r="K266">
        <v>53</v>
      </c>
      <c r="L266">
        <v>28</v>
      </c>
      <c r="M266">
        <v>36004864.864864863</v>
      </c>
      <c r="N266">
        <v>44573423.423423424</v>
      </c>
      <c r="O266">
        <v>69896792.792792797</v>
      </c>
      <c r="P266">
        <v>64939567.567567565</v>
      </c>
      <c r="Q266">
        <v>37977117.117117122</v>
      </c>
      <c r="R266">
        <v>41209639.639639638</v>
      </c>
      <c r="S266">
        <v>3156</v>
      </c>
      <c r="T266">
        <v>3176</v>
      </c>
    </row>
    <row r="267" spans="1:20" x14ac:dyDescent="0.35">
      <c r="A267" s="7" t="s">
        <v>361</v>
      </c>
      <c r="B267" s="12" t="s">
        <v>93</v>
      </c>
      <c r="C267">
        <v>348310981.57059044</v>
      </c>
      <c r="D267">
        <v>350768766.82319605</v>
      </c>
      <c r="E267">
        <v>7339639.6396396402</v>
      </c>
      <c r="F267">
        <v>5100000.0000000019</v>
      </c>
      <c r="G267">
        <v>78</v>
      </c>
      <c r="H267">
        <v>70</v>
      </c>
      <c r="I267">
        <v>2</v>
      </c>
      <c r="K267">
        <v>87</v>
      </c>
      <c r="L267">
        <v>102</v>
      </c>
      <c r="M267">
        <v>77544504.504504517</v>
      </c>
      <c r="N267">
        <v>67532882.882882878</v>
      </c>
      <c r="O267">
        <v>104088565.76576576</v>
      </c>
      <c r="P267">
        <v>104730261.26126127</v>
      </c>
      <c r="Q267">
        <v>73745989.189189181</v>
      </c>
      <c r="R267">
        <v>63619279.279279277</v>
      </c>
      <c r="S267">
        <v>6809</v>
      </c>
      <c r="T267">
        <v>6741</v>
      </c>
    </row>
    <row r="268" spans="1:20" x14ac:dyDescent="0.35">
      <c r="A268" s="7" t="s">
        <v>362</v>
      </c>
      <c r="B268" s="12" t="s">
        <v>59</v>
      </c>
      <c r="C268">
        <v>683772937.91840839</v>
      </c>
      <c r="D268">
        <v>712814913.61254537</v>
      </c>
      <c r="E268">
        <v>15057657.657657661</v>
      </c>
      <c r="F268">
        <v>19288288.288288292</v>
      </c>
      <c r="G268">
        <v>113</v>
      </c>
      <c r="H268">
        <v>230</v>
      </c>
      <c r="K268">
        <v>122</v>
      </c>
      <c r="L268">
        <v>251</v>
      </c>
      <c r="M268">
        <v>30513513.513513517</v>
      </c>
      <c r="N268">
        <v>74644144.144144148</v>
      </c>
      <c r="O268">
        <v>108398243.24324325</v>
      </c>
      <c r="P268">
        <v>130819891.89189188</v>
      </c>
      <c r="Q268">
        <v>28405495.495495494</v>
      </c>
      <c r="R268">
        <v>59640630.630630635</v>
      </c>
      <c r="S268">
        <v>12981</v>
      </c>
      <c r="T268">
        <v>12969</v>
      </c>
    </row>
    <row r="269" spans="1:20" x14ac:dyDescent="0.35">
      <c r="A269" s="7" t="s">
        <v>363</v>
      </c>
      <c r="B269" s="12" t="s">
        <v>49</v>
      </c>
      <c r="C269">
        <v>242322906.55865064</v>
      </c>
      <c r="D269">
        <v>264067369.92283842</v>
      </c>
      <c r="E269">
        <v>466666.66666666599</v>
      </c>
      <c r="F269">
        <v>802702.702702704</v>
      </c>
      <c r="G269">
        <v>8</v>
      </c>
      <c r="H269">
        <v>8</v>
      </c>
      <c r="K269">
        <v>9</v>
      </c>
      <c r="L269">
        <v>9</v>
      </c>
      <c r="M269">
        <v>30860540.540540535</v>
      </c>
      <c r="N269">
        <v>13096396.3963964</v>
      </c>
      <c r="O269">
        <v>39746738.738738738</v>
      </c>
      <c r="P269">
        <v>48582837.837837838</v>
      </c>
      <c r="Q269">
        <v>27814774.774774775</v>
      </c>
      <c r="R269">
        <v>15134864.864864867</v>
      </c>
      <c r="S269">
        <v>3860</v>
      </c>
      <c r="T269">
        <v>3873</v>
      </c>
    </row>
    <row r="270" spans="1:20" x14ac:dyDescent="0.35">
      <c r="A270" s="7" t="s">
        <v>364</v>
      </c>
      <c r="B270" s="12" t="s">
        <v>53</v>
      </c>
      <c r="C270">
        <v>102882929.60914245</v>
      </c>
      <c r="D270">
        <v>101530666.56139472</v>
      </c>
      <c r="E270">
        <v>272072.072072073</v>
      </c>
      <c r="F270">
        <v>974774.774774777</v>
      </c>
      <c r="G270">
        <v>64</v>
      </c>
      <c r="H270">
        <v>15</v>
      </c>
      <c r="K270">
        <v>68</v>
      </c>
      <c r="L270">
        <v>23</v>
      </c>
      <c r="M270">
        <v>2281081.0810810798</v>
      </c>
      <c r="N270">
        <v>5783783.7837837832</v>
      </c>
      <c r="O270">
        <v>50426801.801801801</v>
      </c>
      <c r="P270">
        <v>48839765.765765771</v>
      </c>
      <c r="Q270">
        <v>2492072.072072071</v>
      </c>
      <c r="R270">
        <v>5593963.9639639622</v>
      </c>
      <c r="S270">
        <v>2914</v>
      </c>
      <c r="T270">
        <v>2295</v>
      </c>
    </row>
    <row r="271" spans="1:20" x14ac:dyDescent="0.35">
      <c r="A271" s="7" t="s">
        <v>365</v>
      </c>
      <c r="B271" s="12" t="s">
        <v>53</v>
      </c>
      <c r="C271">
        <v>79016909.116764396</v>
      </c>
      <c r="D271">
        <v>78989011.133054435</v>
      </c>
      <c r="E271">
        <v>163730630.63063061</v>
      </c>
      <c r="F271">
        <v>232569819.81981981</v>
      </c>
      <c r="G271">
        <v>90</v>
      </c>
      <c r="H271">
        <v>44</v>
      </c>
      <c r="K271">
        <v>207</v>
      </c>
      <c r="L271">
        <v>119</v>
      </c>
      <c r="M271">
        <v>8337837.8378378376</v>
      </c>
      <c r="N271">
        <v>20829504.504504506</v>
      </c>
      <c r="O271">
        <v>44028855.855855852</v>
      </c>
      <c r="P271">
        <v>44087054.054054059</v>
      </c>
      <c r="Q271">
        <v>12596396.396396397</v>
      </c>
      <c r="R271">
        <v>13243423.423423424</v>
      </c>
      <c r="S271">
        <v>2654</v>
      </c>
      <c r="T271">
        <v>2469</v>
      </c>
    </row>
    <row r="272" spans="1:20" x14ac:dyDescent="0.35">
      <c r="A272" s="7" t="s">
        <v>366</v>
      </c>
      <c r="B272" s="12" t="s">
        <v>53</v>
      </c>
      <c r="C272">
        <v>896062435.42508042</v>
      </c>
      <c r="D272">
        <v>890649052.00764883</v>
      </c>
      <c r="E272">
        <v>334379374.77477479</v>
      </c>
      <c r="F272">
        <v>357346751.35135138</v>
      </c>
      <c r="G272">
        <v>293</v>
      </c>
      <c r="H272">
        <v>398</v>
      </c>
      <c r="I272">
        <v>4</v>
      </c>
      <c r="K272">
        <v>470</v>
      </c>
      <c r="L272">
        <v>791</v>
      </c>
      <c r="M272">
        <v>50509917.117117122</v>
      </c>
      <c r="N272">
        <v>543463063.06306303</v>
      </c>
      <c r="O272">
        <v>330543972.07207209</v>
      </c>
      <c r="P272">
        <v>334232000</v>
      </c>
      <c r="Q272">
        <v>72418738.738738731</v>
      </c>
      <c r="R272">
        <v>84026486.48648648</v>
      </c>
      <c r="S272">
        <v>26323</v>
      </c>
      <c r="T272">
        <v>20773</v>
      </c>
    </row>
    <row r="273" spans="1:20" x14ac:dyDescent="0.35">
      <c r="A273" s="7" t="s">
        <v>367</v>
      </c>
      <c r="B273" s="12" t="s">
        <v>294</v>
      </c>
      <c r="C273">
        <v>517031558.9005869</v>
      </c>
      <c r="D273">
        <v>526989548.2865696</v>
      </c>
      <c r="E273">
        <v>99790421.621621609</v>
      </c>
      <c r="F273">
        <v>126510855.85585585</v>
      </c>
      <c r="G273">
        <v>140</v>
      </c>
      <c r="H273">
        <v>68</v>
      </c>
      <c r="K273">
        <v>175</v>
      </c>
      <c r="L273">
        <v>217</v>
      </c>
      <c r="M273">
        <v>63510450.45045045</v>
      </c>
      <c r="N273">
        <v>97785045.045045033</v>
      </c>
      <c r="O273">
        <v>169231948.64864865</v>
      </c>
      <c r="P273">
        <v>172282221.62162164</v>
      </c>
      <c r="Q273">
        <v>57018198.198198192</v>
      </c>
      <c r="R273">
        <v>82360810.810810819</v>
      </c>
      <c r="S273">
        <v>14581</v>
      </c>
      <c r="T273">
        <v>10700</v>
      </c>
    </row>
    <row r="274" spans="1:20" x14ac:dyDescent="0.35">
      <c r="A274" s="7" t="s">
        <v>368</v>
      </c>
      <c r="B274" s="12" t="s">
        <v>369</v>
      </c>
      <c r="C274">
        <v>218095416.91929525</v>
      </c>
      <c r="D274">
        <v>217991102.78072986</v>
      </c>
      <c r="E274">
        <v>2134234.2342342371</v>
      </c>
      <c r="F274">
        <v>7046396.3963963976</v>
      </c>
      <c r="G274">
        <v>50</v>
      </c>
      <c r="H274">
        <v>31</v>
      </c>
      <c r="K274">
        <v>65</v>
      </c>
      <c r="L274">
        <v>35</v>
      </c>
      <c r="M274">
        <v>61356486.486486487</v>
      </c>
      <c r="N274">
        <v>83422612.612612605</v>
      </c>
      <c r="O274">
        <v>93407198.198198199</v>
      </c>
      <c r="P274">
        <v>95274610.810810819</v>
      </c>
      <c r="Q274">
        <v>65224144.144144148</v>
      </c>
      <c r="R274">
        <v>82970810.810810819</v>
      </c>
      <c r="S274">
        <v>4873</v>
      </c>
      <c r="T274">
        <v>3738</v>
      </c>
    </row>
    <row r="275" spans="1:20" x14ac:dyDescent="0.35">
      <c r="A275" s="7" t="s">
        <v>370</v>
      </c>
      <c r="B275" s="12" t="s">
        <v>71</v>
      </c>
      <c r="C275">
        <v>63578094.871654876</v>
      </c>
      <c r="D275">
        <v>65190936.518161178</v>
      </c>
      <c r="E275">
        <v>2105405.4054054078</v>
      </c>
      <c r="F275">
        <v>1777027.0270270279</v>
      </c>
      <c r="G275">
        <v>41</v>
      </c>
      <c r="H275">
        <v>27</v>
      </c>
      <c r="K275">
        <v>49</v>
      </c>
      <c r="L275">
        <v>46</v>
      </c>
      <c r="M275">
        <v>14038738.738738736</v>
      </c>
      <c r="N275">
        <v>15695045.045045046</v>
      </c>
      <c r="O275">
        <v>21555459.459459461</v>
      </c>
      <c r="P275">
        <v>21356144.144144144</v>
      </c>
      <c r="Q275">
        <v>13389909.909909911</v>
      </c>
      <c r="R275">
        <v>13652162.162162164</v>
      </c>
      <c r="S275">
        <v>1259</v>
      </c>
      <c r="T275">
        <v>1213</v>
      </c>
    </row>
    <row r="276" spans="1:20" x14ac:dyDescent="0.35">
      <c r="A276" s="7" t="s">
        <v>371</v>
      </c>
      <c r="B276" s="12" t="s">
        <v>51</v>
      </c>
      <c r="C276">
        <v>132933219.85376394</v>
      </c>
      <c r="D276">
        <v>117347613.08588074</v>
      </c>
      <c r="E276">
        <v>1195495.4954954979</v>
      </c>
      <c r="F276">
        <v>1595945.945945946</v>
      </c>
      <c r="G276">
        <v>30</v>
      </c>
      <c r="H276">
        <v>20</v>
      </c>
      <c r="K276">
        <v>34</v>
      </c>
      <c r="L276">
        <v>22</v>
      </c>
      <c r="M276">
        <v>10178558.558558557</v>
      </c>
      <c r="N276">
        <v>12837027.027027028</v>
      </c>
      <c r="O276">
        <v>60621135.135135137</v>
      </c>
      <c r="P276">
        <v>52063711.711711712</v>
      </c>
      <c r="Q276">
        <v>9771261.2612612601</v>
      </c>
      <c r="R276">
        <v>10829189.189189188</v>
      </c>
      <c r="S276">
        <v>2837</v>
      </c>
      <c r="T276">
        <v>2581</v>
      </c>
    </row>
    <row r="277" spans="1:20" x14ac:dyDescent="0.35">
      <c r="A277" s="7" t="s">
        <v>372</v>
      </c>
      <c r="B277" s="12" t="s">
        <v>122</v>
      </c>
      <c r="C277">
        <v>131006632.38455567</v>
      </c>
      <c r="D277">
        <v>120798427.71209754</v>
      </c>
      <c r="E277">
        <v>931531.53153153195</v>
      </c>
      <c r="F277">
        <v>765765.76576576906</v>
      </c>
      <c r="G277">
        <v>52</v>
      </c>
      <c r="H277">
        <v>64</v>
      </c>
      <c r="K277">
        <v>66</v>
      </c>
      <c r="L277">
        <v>74</v>
      </c>
      <c r="M277">
        <v>6315315.3153153146</v>
      </c>
      <c r="N277">
        <v>3540540.5405405411</v>
      </c>
      <c r="O277">
        <v>13514720.72072072</v>
      </c>
      <c r="P277">
        <v>14051387.387387387</v>
      </c>
      <c r="Q277">
        <v>4690720.7207207195</v>
      </c>
      <c r="R277">
        <v>3626036.036036036</v>
      </c>
      <c r="S277">
        <v>2851</v>
      </c>
      <c r="T277">
        <v>2714</v>
      </c>
    </row>
    <row r="278" spans="1:20" x14ac:dyDescent="0.35">
      <c r="A278" s="7" t="s">
        <v>373</v>
      </c>
      <c r="B278" s="12" t="s">
        <v>374</v>
      </c>
      <c r="C278">
        <v>297645520.25968844</v>
      </c>
      <c r="D278">
        <v>301070898.36497015</v>
      </c>
      <c r="E278">
        <v>32129630.630630631</v>
      </c>
      <c r="F278">
        <v>69398945.945945948</v>
      </c>
      <c r="G278">
        <v>44</v>
      </c>
      <c r="H278">
        <v>24</v>
      </c>
      <c r="K278">
        <v>46</v>
      </c>
      <c r="L278">
        <v>29</v>
      </c>
      <c r="M278">
        <v>63225945.945945941</v>
      </c>
      <c r="N278">
        <v>92735900.9009009</v>
      </c>
      <c r="O278">
        <v>113198810.81081082</v>
      </c>
      <c r="P278">
        <v>122174481.98198198</v>
      </c>
      <c r="Q278">
        <v>55250360.360360362</v>
      </c>
      <c r="R278">
        <v>64532567.567567565</v>
      </c>
      <c r="S278">
        <v>10615</v>
      </c>
      <c r="T278">
        <v>10206</v>
      </c>
    </row>
    <row r="279" spans="1:20" x14ac:dyDescent="0.35">
      <c r="A279" s="7" t="s">
        <v>375</v>
      </c>
      <c r="B279" s="12" t="s">
        <v>67</v>
      </c>
      <c r="C279">
        <v>222225455.23570403</v>
      </c>
      <c r="D279">
        <v>236274534.90889147</v>
      </c>
      <c r="E279">
        <v>9791891.8918918967</v>
      </c>
      <c r="F279">
        <v>11743243.243243247</v>
      </c>
      <c r="G279">
        <v>82</v>
      </c>
      <c r="H279">
        <v>47</v>
      </c>
      <c r="K279">
        <v>102</v>
      </c>
      <c r="L279">
        <v>50</v>
      </c>
      <c r="M279">
        <v>184722072.07207206</v>
      </c>
      <c r="N279">
        <v>315495720.72072071</v>
      </c>
      <c r="O279">
        <v>81975198.198198199</v>
      </c>
      <c r="P279">
        <v>90271360.360360354</v>
      </c>
      <c r="Q279">
        <v>153492252.25225225</v>
      </c>
      <c r="R279">
        <v>191563198.1981982</v>
      </c>
      <c r="S279">
        <v>9114</v>
      </c>
      <c r="T279">
        <v>7295</v>
      </c>
    </row>
    <row r="280" spans="1:20" x14ac:dyDescent="0.35">
      <c r="A280" s="7" t="s">
        <v>376</v>
      </c>
      <c r="B280" s="12" t="s">
        <v>355</v>
      </c>
      <c r="C280">
        <v>331852415.27416813</v>
      </c>
      <c r="D280">
        <v>339242834.76002663</v>
      </c>
      <c r="E280">
        <v>2697297.2972972998</v>
      </c>
      <c r="F280">
        <v>4912612.6126126144</v>
      </c>
      <c r="G280">
        <v>413</v>
      </c>
      <c r="H280">
        <v>389</v>
      </c>
      <c r="K280">
        <v>425</v>
      </c>
      <c r="L280">
        <v>406</v>
      </c>
      <c r="M280">
        <v>68707117.117117122</v>
      </c>
      <c r="N280">
        <v>77626666.666666672</v>
      </c>
      <c r="O280">
        <v>205433531.53153151</v>
      </c>
      <c r="P280">
        <v>198106153.15315315</v>
      </c>
      <c r="Q280">
        <v>74952702.702702701</v>
      </c>
      <c r="R280">
        <v>67635855.855855852</v>
      </c>
      <c r="S280">
        <v>7208</v>
      </c>
      <c r="T280">
        <v>8807</v>
      </c>
    </row>
    <row r="281" spans="1:20" x14ac:dyDescent="0.35">
      <c r="A281" s="7" t="s">
        <v>377</v>
      </c>
      <c r="B281" s="12" t="s">
        <v>67</v>
      </c>
      <c r="C281">
        <v>128709764.54055408</v>
      </c>
      <c r="D281">
        <v>131981598.8515622</v>
      </c>
      <c r="E281">
        <v>1187387.3873873879</v>
      </c>
      <c r="F281">
        <v>2058108.1081081079</v>
      </c>
      <c r="G281">
        <v>55</v>
      </c>
      <c r="H281">
        <v>22</v>
      </c>
      <c r="K281">
        <v>60</v>
      </c>
      <c r="L281">
        <v>28</v>
      </c>
      <c r="M281">
        <v>10095495.495495496</v>
      </c>
      <c r="N281">
        <v>87305180.180180177</v>
      </c>
      <c r="O281">
        <v>60718337.837837838</v>
      </c>
      <c r="P281">
        <v>60243774.774774775</v>
      </c>
      <c r="Q281">
        <v>14523423.423423421</v>
      </c>
      <c r="R281">
        <v>89386081.081081092</v>
      </c>
      <c r="S281">
        <v>6221</v>
      </c>
      <c r="T281">
        <v>5110</v>
      </c>
    </row>
    <row r="282" spans="1:20" x14ac:dyDescent="0.35">
      <c r="A282" s="7" t="s">
        <v>378</v>
      </c>
      <c r="B282" s="12" t="s">
        <v>261</v>
      </c>
      <c r="C282">
        <v>106102235.70144348</v>
      </c>
      <c r="D282">
        <v>106296858.15269426</v>
      </c>
      <c r="E282">
        <v>13513.513513514001</v>
      </c>
      <c r="F282">
        <v>567567.56756756804</v>
      </c>
      <c r="G282">
        <v>9</v>
      </c>
      <c r="H282">
        <v>25</v>
      </c>
      <c r="K282">
        <v>9</v>
      </c>
      <c r="L282">
        <v>31</v>
      </c>
      <c r="M282">
        <v>6454954.9549549539</v>
      </c>
      <c r="N282">
        <v>8152252.2522522518</v>
      </c>
      <c r="O282">
        <v>17733171.171171173</v>
      </c>
      <c r="P282">
        <v>24098076.576576576</v>
      </c>
      <c r="Q282">
        <v>3066306.3063063058</v>
      </c>
      <c r="R282">
        <v>5353333.333333333</v>
      </c>
      <c r="S282">
        <v>1639</v>
      </c>
      <c r="T282">
        <v>1590</v>
      </c>
    </row>
    <row r="283" spans="1:20" x14ac:dyDescent="0.35">
      <c r="A283" s="7" t="s">
        <v>379</v>
      </c>
      <c r="B283" s="12" t="s">
        <v>355</v>
      </c>
      <c r="C283">
        <v>279173720.94391054</v>
      </c>
      <c r="D283">
        <v>271075518.90113539</v>
      </c>
      <c r="E283">
        <v>3957657.6576576582</v>
      </c>
      <c r="F283">
        <v>4322972.972972977</v>
      </c>
      <c r="G283">
        <v>56</v>
      </c>
      <c r="H283">
        <v>74</v>
      </c>
      <c r="K283">
        <v>58</v>
      </c>
      <c r="L283">
        <v>116</v>
      </c>
      <c r="M283">
        <v>52059369.369369373</v>
      </c>
      <c r="N283">
        <v>51194144.144144148</v>
      </c>
      <c r="O283">
        <v>155496897.2972973</v>
      </c>
      <c r="P283">
        <v>150169747.74774775</v>
      </c>
      <c r="Q283">
        <v>51935135.135135137</v>
      </c>
      <c r="R283">
        <v>49677027.027027033</v>
      </c>
      <c r="S283">
        <v>4940</v>
      </c>
      <c r="T283">
        <v>4648</v>
      </c>
    </row>
    <row r="284" spans="1:20" x14ac:dyDescent="0.35">
      <c r="A284" s="7" t="s">
        <v>380</v>
      </c>
      <c r="B284" s="12" t="s">
        <v>88</v>
      </c>
      <c r="C284">
        <v>7372829.1188116213</v>
      </c>
      <c r="D284">
        <v>7101166.6031960109</v>
      </c>
      <c r="G284">
        <v>1</v>
      </c>
      <c r="H284">
        <v>3</v>
      </c>
      <c r="K284">
        <v>2</v>
      </c>
      <c r="L284">
        <v>4</v>
      </c>
      <c r="O284">
        <v>403513.51351351402</v>
      </c>
      <c r="P284">
        <v>1371621.6216216211</v>
      </c>
      <c r="S284">
        <v>143</v>
      </c>
      <c r="T284">
        <v>202</v>
      </c>
    </row>
    <row r="285" spans="1:20" x14ac:dyDescent="0.35">
      <c r="A285" s="7" t="s">
        <v>381</v>
      </c>
      <c r="B285" s="12" t="s">
        <v>88</v>
      </c>
      <c r="C285">
        <v>10916479.233724285</v>
      </c>
      <c r="D285">
        <v>9358954.0076539442</v>
      </c>
      <c r="G285">
        <v>20</v>
      </c>
      <c r="H285">
        <v>26</v>
      </c>
      <c r="K285">
        <v>22</v>
      </c>
      <c r="L285">
        <v>32</v>
      </c>
      <c r="M285">
        <v>972972.97297297302</v>
      </c>
      <c r="N285">
        <v>1648648.648648649</v>
      </c>
      <c r="O285">
        <v>1334063.063063063</v>
      </c>
      <c r="P285">
        <v>1877072.072072072</v>
      </c>
      <c r="S285">
        <v>380</v>
      </c>
      <c r="T285">
        <v>325</v>
      </c>
    </row>
    <row r="286" spans="1:20" x14ac:dyDescent="0.35">
      <c r="A286" s="7" t="s">
        <v>382</v>
      </c>
      <c r="B286" s="12" t="s">
        <v>81</v>
      </c>
      <c r="C286">
        <v>1869897249.1170654</v>
      </c>
      <c r="D286">
        <v>1907654879.0952044</v>
      </c>
      <c r="E286">
        <v>1037595610.8108109</v>
      </c>
      <c r="F286">
        <v>703160559.45945942</v>
      </c>
      <c r="G286">
        <v>682</v>
      </c>
      <c r="H286">
        <v>456</v>
      </c>
      <c r="I286">
        <v>12</v>
      </c>
      <c r="K286">
        <v>814</v>
      </c>
      <c r="L286">
        <v>711</v>
      </c>
      <c r="M286">
        <v>294591441.44144142</v>
      </c>
      <c r="N286">
        <v>559185337.83783782</v>
      </c>
      <c r="O286">
        <v>486305878.82882881</v>
      </c>
      <c r="P286">
        <v>542661916.21621621</v>
      </c>
      <c r="Q286">
        <v>270761261.26126122</v>
      </c>
      <c r="R286">
        <v>257727837.83783785</v>
      </c>
      <c r="S286">
        <v>39693</v>
      </c>
      <c r="T286">
        <v>36961</v>
      </c>
    </row>
    <row r="287" spans="1:20" x14ac:dyDescent="0.35">
      <c r="A287" s="7" t="s">
        <v>383</v>
      </c>
      <c r="B287" s="12" t="s">
        <v>81</v>
      </c>
      <c r="C287">
        <v>512954743.93191141</v>
      </c>
      <c r="D287">
        <v>501824162.05771637</v>
      </c>
      <c r="E287">
        <v>6287612.6126126163</v>
      </c>
      <c r="F287">
        <v>5440540.540540548</v>
      </c>
      <c r="G287">
        <v>153</v>
      </c>
      <c r="H287">
        <v>178</v>
      </c>
      <c r="I287">
        <v>1</v>
      </c>
      <c r="K287">
        <v>193</v>
      </c>
      <c r="L287">
        <v>299</v>
      </c>
      <c r="M287">
        <v>100238738.73873873</v>
      </c>
      <c r="N287">
        <v>120918018.01801802</v>
      </c>
      <c r="O287">
        <v>212974276.12612611</v>
      </c>
      <c r="P287">
        <v>218461332.43243241</v>
      </c>
      <c r="Q287">
        <v>88374003.603603601</v>
      </c>
      <c r="R287">
        <v>110731845.04504503</v>
      </c>
      <c r="S287">
        <v>10392</v>
      </c>
      <c r="T287">
        <v>9691</v>
      </c>
    </row>
    <row r="288" spans="1:20" x14ac:dyDescent="0.35">
      <c r="A288" s="7" t="s">
        <v>384</v>
      </c>
      <c r="B288" s="12" t="s">
        <v>81</v>
      </c>
      <c r="C288">
        <v>644693110.48611546</v>
      </c>
      <c r="D288">
        <v>670211166.14526594</v>
      </c>
      <c r="E288">
        <v>749168.46846847096</v>
      </c>
      <c r="F288">
        <v>1803603.6036036031</v>
      </c>
      <c r="G288">
        <v>89</v>
      </c>
      <c r="H288">
        <v>47</v>
      </c>
      <c r="I288">
        <v>2</v>
      </c>
      <c r="K288">
        <v>101</v>
      </c>
      <c r="L288">
        <v>58</v>
      </c>
      <c r="M288">
        <v>52813112.612612605</v>
      </c>
      <c r="N288">
        <v>40900900.900900893</v>
      </c>
      <c r="O288">
        <v>130977027.02702703</v>
      </c>
      <c r="P288">
        <v>146473781.98198199</v>
      </c>
      <c r="Q288">
        <v>51837117.117117122</v>
      </c>
      <c r="R288">
        <v>43182522.522522517</v>
      </c>
      <c r="S288">
        <v>9677</v>
      </c>
      <c r="T288">
        <v>9635</v>
      </c>
    </row>
    <row r="289" spans="1:20" x14ac:dyDescent="0.35">
      <c r="A289" s="7" t="s">
        <v>385</v>
      </c>
      <c r="B289" s="12" t="s">
        <v>69</v>
      </c>
      <c r="C289">
        <v>281179728.94256943</v>
      </c>
      <c r="D289">
        <v>271014152.00008094</v>
      </c>
      <c r="E289">
        <v>1336036.0360360381</v>
      </c>
      <c r="F289">
        <v>1664864.86486487</v>
      </c>
      <c r="G289">
        <v>57</v>
      </c>
      <c r="H289">
        <v>34</v>
      </c>
      <c r="K289">
        <v>62</v>
      </c>
      <c r="L289">
        <v>45</v>
      </c>
      <c r="M289">
        <v>11356306.306306306</v>
      </c>
      <c r="N289">
        <v>13874774.774774777</v>
      </c>
      <c r="O289">
        <v>40192360.360360362</v>
      </c>
      <c r="P289">
        <v>40380318.918918923</v>
      </c>
      <c r="Q289">
        <v>9742432.4324324317</v>
      </c>
      <c r="R289">
        <v>11350990.990990993</v>
      </c>
      <c r="S289">
        <v>5077</v>
      </c>
      <c r="T289">
        <v>5216</v>
      </c>
    </row>
    <row r="290" spans="1:20" x14ac:dyDescent="0.35">
      <c r="A290" s="7" t="s">
        <v>386</v>
      </c>
      <c r="B290" s="12" t="s">
        <v>168</v>
      </c>
      <c r="C290">
        <v>96592974.050001755</v>
      </c>
      <c r="D290">
        <v>111215999.78378442</v>
      </c>
      <c r="E290">
        <v>1709909.9099099119</v>
      </c>
      <c r="F290">
        <v>2878378.3783783768</v>
      </c>
      <c r="G290">
        <v>34</v>
      </c>
      <c r="H290">
        <v>19</v>
      </c>
      <c r="K290">
        <v>43</v>
      </c>
      <c r="L290">
        <v>24</v>
      </c>
      <c r="M290">
        <v>23089254.954954956</v>
      </c>
      <c r="N290">
        <v>19217117.117117114</v>
      </c>
      <c r="O290">
        <v>40937315.315315314</v>
      </c>
      <c r="P290">
        <v>51229457.657657653</v>
      </c>
      <c r="Q290">
        <v>21755315.315315317</v>
      </c>
      <c r="R290">
        <v>22281081.081081081</v>
      </c>
      <c r="S290">
        <v>2583</v>
      </c>
      <c r="T290">
        <v>2420</v>
      </c>
    </row>
    <row r="291" spans="1:20" x14ac:dyDescent="0.35">
      <c r="A291" s="7" t="s">
        <v>387</v>
      </c>
      <c r="B291" s="12" t="s">
        <v>95</v>
      </c>
      <c r="C291">
        <v>559090698.31813633</v>
      </c>
      <c r="D291">
        <v>582985448.67086267</v>
      </c>
      <c r="E291">
        <v>743243.24324324401</v>
      </c>
      <c r="F291">
        <v>1599099.099099101</v>
      </c>
      <c r="G291">
        <v>124</v>
      </c>
      <c r="H291">
        <v>125</v>
      </c>
      <c r="I291">
        <v>1</v>
      </c>
      <c r="K291">
        <v>131</v>
      </c>
      <c r="L291">
        <v>145</v>
      </c>
      <c r="M291">
        <v>20725225.225225225</v>
      </c>
      <c r="N291">
        <v>22815315.315315317</v>
      </c>
      <c r="O291">
        <v>66736666.666666672</v>
      </c>
      <c r="P291">
        <v>87057675.675675675</v>
      </c>
      <c r="Q291">
        <v>16607027.027027028</v>
      </c>
      <c r="R291">
        <v>14928468.468468469</v>
      </c>
      <c r="S291">
        <v>8304</v>
      </c>
      <c r="T291">
        <v>8632</v>
      </c>
    </row>
    <row r="292" spans="1:20" x14ac:dyDescent="0.35">
      <c r="A292" s="7" t="s">
        <v>388</v>
      </c>
      <c r="B292" s="12" t="s">
        <v>215</v>
      </c>
      <c r="C292">
        <v>103542284.88739322</v>
      </c>
      <c r="D292">
        <v>108628176.98872201</v>
      </c>
      <c r="E292">
        <v>1391891.8918918921</v>
      </c>
      <c r="F292">
        <v>1201801.8018018019</v>
      </c>
      <c r="G292">
        <v>39</v>
      </c>
      <c r="H292">
        <v>5</v>
      </c>
      <c r="K292">
        <v>43</v>
      </c>
      <c r="L292">
        <v>6</v>
      </c>
      <c r="M292">
        <v>3193693.6936936942</v>
      </c>
      <c r="N292">
        <v>4293693.6936936937</v>
      </c>
      <c r="O292">
        <v>49302369.369369365</v>
      </c>
      <c r="P292">
        <v>50895297.297297299</v>
      </c>
      <c r="Q292">
        <v>2376666.666666667</v>
      </c>
      <c r="R292">
        <v>3496216.2162162159</v>
      </c>
      <c r="S292">
        <v>2408</v>
      </c>
      <c r="T292">
        <v>2355</v>
      </c>
    </row>
    <row r="293" spans="1:20" x14ac:dyDescent="0.35">
      <c r="A293" s="7" t="s">
        <v>389</v>
      </c>
      <c r="B293" s="12" t="s">
        <v>118</v>
      </c>
      <c r="C293">
        <v>41232805.793427095</v>
      </c>
      <c r="D293">
        <v>39428018.963200867</v>
      </c>
      <c r="E293">
        <v>569369.36936936795</v>
      </c>
      <c r="F293">
        <v>411711.711711713</v>
      </c>
      <c r="G293">
        <v>26</v>
      </c>
      <c r="H293">
        <v>26</v>
      </c>
      <c r="K293">
        <v>33</v>
      </c>
      <c r="L293">
        <v>32</v>
      </c>
      <c r="M293">
        <v>9803718.9189189207</v>
      </c>
      <c r="N293">
        <v>8591833.3333333321</v>
      </c>
      <c r="O293">
        <v>19309918.918918919</v>
      </c>
      <c r="P293">
        <v>17601009.009009007</v>
      </c>
      <c r="Q293">
        <v>7644684.6846846854</v>
      </c>
      <c r="R293">
        <v>8418468.4684684686</v>
      </c>
      <c r="S293">
        <v>1933</v>
      </c>
      <c r="T293">
        <v>1723</v>
      </c>
    </row>
    <row r="294" spans="1:20" x14ac:dyDescent="0.35">
      <c r="A294" s="7" t="s">
        <v>390</v>
      </c>
      <c r="B294" s="12" t="s">
        <v>316</v>
      </c>
      <c r="C294">
        <v>179450525.77562192</v>
      </c>
      <c r="D294">
        <v>176907018.16336554</v>
      </c>
      <c r="E294">
        <v>651351.35135135101</v>
      </c>
      <c r="F294">
        <v>31531.531531533001</v>
      </c>
      <c r="G294">
        <v>18</v>
      </c>
      <c r="H294">
        <v>11</v>
      </c>
      <c r="I294">
        <v>2</v>
      </c>
      <c r="K294">
        <v>18</v>
      </c>
      <c r="L294">
        <v>12</v>
      </c>
      <c r="M294">
        <v>7678378.3783783782</v>
      </c>
      <c r="N294">
        <v>9952252.2522522528</v>
      </c>
      <c r="O294">
        <v>37139603.603603601</v>
      </c>
      <c r="P294">
        <v>37148630.630630635</v>
      </c>
      <c r="Q294">
        <v>7562252.2522522518</v>
      </c>
      <c r="R294">
        <v>8833693.6936936919</v>
      </c>
      <c r="S294">
        <v>2591</v>
      </c>
      <c r="T294">
        <v>2817</v>
      </c>
    </row>
    <row r="295" spans="1:20" x14ac:dyDescent="0.35">
      <c r="A295" s="7" t="s">
        <v>391</v>
      </c>
      <c r="B295" s="12" t="s">
        <v>225</v>
      </c>
      <c r="C295">
        <v>77882456.112548053</v>
      </c>
      <c r="D295">
        <v>73065086.827179074</v>
      </c>
      <c r="G295">
        <v>8</v>
      </c>
      <c r="H295">
        <v>5</v>
      </c>
      <c r="K295">
        <v>8</v>
      </c>
      <c r="L295">
        <v>5</v>
      </c>
      <c r="O295">
        <v>14818918.918918921</v>
      </c>
      <c r="P295">
        <v>14156603.603603603</v>
      </c>
      <c r="S295">
        <v>1570</v>
      </c>
      <c r="T295">
        <v>1437</v>
      </c>
    </row>
    <row r="296" spans="1:20" x14ac:dyDescent="0.35">
      <c r="A296" s="7" t="s">
        <v>6</v>
      </c>
      <c r="B296" s="12" t="s">
        <v>194</v>
      </c>
      <c r="C296">
        <v>653027983.397434</v>
      </c>
      <c r="D296">
        <v>624016657.31114459</v>
      </c>
      <c r="E296">
        <v>6634709.0090090176</v>
      </c>
      <c r="F296">
        <v>27926950.45045045</v>
      </c>
      <c r="G296">
        <v>387</v>
      </c>
      <c r="H296">
        <v>498</v>
      </c>
      <c r="K296">
        <v>776</v>
      </c>
      <c r="L296">
        <v>1189</v>
      </c>
      <c r="M296">
        <v>226579400</v>
      </c>
      <c r="N296">
        <v>448448301.8018018</v>
      </c>
      <c r="O296">
        <v>442775882.88288289</v>
      </c>
      <c r="P296">
        <v>422623414.41441441</v>
      </c>
      <c r="Q296">
        <v>199225405.4054054</v>
      </c>
      <c r="R296">
        <v>411788828.82882881</v>
      </c>
      <c r="S296">
        <v>13215</v>
      </c>
      <c r="T296">
        <v>12924</v>
      </c>
    </row>
    <row r="297" spans="1:20" x14ac:dyDescent="0.35">
      <c r="A297" s="7" t="s">
        <v>392</v>
      </c>
      <c r="B297" s="12" t="s">
        <v>122</v>
      </c>
      <c r="C297">
        <v>28931040.099511687</v>
      </c>
      <c r="D297">
        <v>27478480.222004823</v>
      </c>
      <c r="G297">
        <v>10</v>
      </c>
      <c r="H297">
        <v>19</v>
      </c>
      <c r="K297">
        <v>11</v>
      </c>
      <c r="L297">
        <v>22</v>
      </c>
      <c r="O297">
        <v>1457432.432432432</v>
      </c>
      <c r="P297">
        <v>2051225.2252252251</v>
      </c>
      <c r="S297">
        <v>527</v>
      </c>
      <c r="T297">
        <v>537</v>
      </c>
    </row>
    <row r="298" spans="1:20" x14ac:dyDescent="0.35">
      <c r="A298" s="7" t="s">
        <v>393</v>
      </c>
      <c r="B298" s="12" t="s">
        <v>135</v>
      </c>
      <c r="C298">
        <v>85939707.763073772</v>
      </c>
      <c r="D298">
        <v>93248675.649907783</v>
      </c>
      <c r="E298">
        <v>269613106.3063063</v>
      </c>
      <c r="F298">
        <v>334664833.33333331</v>
      </c>
      <c r="G298">
        <v>23</v>
      </c>
      <c r="H298">
        <v>14</v>
      </c>
      <c r="K298">
        <v>28</v>
      </c>
      <c r="L298">
        <v>18</v>
      </c>
      <c r="M298">
        <v>52788288.288288288</v>
      </c>
      <c r="N298">
        <v>48265060.360360362</v>
      </c>
      <c r="O298">
        <v>16878908.108108107</v>
      </c>
      <c r="P298">
        <v>26121828.828828827</v>
      </c>
      <c r="Q298">
        <v>1839279.27927928</v>
      </c>
      <c r="R298">
        <v>3327567.5675675678</v>
      </c>
      <c r="S298">
        <v>3578</v>
      </c>
      <c r="T298">
        <v>3620</v>
      </c>
    </row>
    <row r="299" spans="1:20" x14ac:dyDescent="0.35">
      <c r="A299" s="7" t="s">
        <v>394</v>
      </c>
      <c r="B299" s="12" t="s">
        <v>59</v>
      </c>
      <c r="C299">
        <v>422116946.92330945</v>
      </c>
      <c r="D299">
        <v>446908474.99766141</v>
      </c>
      <c r="E299">
        <v>12420495.4954955</v>
      </c>
      <c r="F299">
        <v>7142342.3423423478</v>
      </c>
      <c r="G299">
        <v>121</v>
      </c>
      <c r="H299">
        <v>130</v>
      </c>
      <c r="K299">
        <v>136</v>
      </c>
      <c r="L299">
        <v>143</v>
      </c>
      <c r="M299">
        <v>43784684.684684686</v>
      </c>
      <c r="N299">
        <v>85070270.270270273</v>
      </c>
      <c r="O299">
        <v>68154405.405405402</v>
      </c>
      <c r="P299">
        <v>79851468.468468457</v>
      </c>
      <c r="Q299">
        <v>41000360.360360369</v>
      </c>
      <c r="R299">
        <v>72977927.927927926</v>
      </c>
      <c r="S299">
        <v>9173</v>
      </c>
      <c r="T299">
        <v>9219</v>
      </c>
    </row>
    <row r="300" spans="1:20" x14ac:dyDescent="0.35">
      <c r="A300" s="7" t="s">
        <v>395</v>
      </c>
      <c r="B300" s="12" t="s">
        <v>135</v>
      </c>
      <c r="C300">
        <v>146302451.04018244</v>
      </c>
      <c r="D300">
        <v>156769055.70975244</v>
      </c>
      <c r="E300">
        <v>998198.19819819904</v>
      </c>
      <c r="F300">
        <v>926126.12612612604</v>
      </c>
      <c r="G300">
        <v>26</v>
      </c>
      <c r="H300">
        <v>19</v>
      </c>
      <c r="K300">
        <v>29</v>
      </c>
      <c r="L300">
        <v>21</v>
      </c>
      <c r="M300">
        <v>22993693.693693694</v>
      </c>
      <c r="N300">
        <v>23972072.072072074</v>
      </c>
      <c r="O300">
        <v>27174252.252252251</v>
      </c>
      <c r="P300">
        <v>33771684.684684686</v>
      </c>
      <c r="Q300">
        <v>14939369.369369367</v>
      </c>
      <c r="R300">
        <v>14794144.144144144</v>
      </c>
      <c r="S300">
        <v>3987</v>
      </c>
      <c r="T300">
        <v>3947</v>
      </c>
    </row>
    <row r="301" spans="1:20" x14ac:dyDescent="0.35">
      <c r="A301" s="7" t="s">
        <v>396</v>
      </c>
      <c r="B301" s="12" t="s">
        <v>55</v>
      </c>
      <c r="C301">
        <v>61444181.271411248</v>
      </c>
      <c r="D301">
        <v>60045308.647167593</v>
      </c>
      <c r="E301">
        <v>55855.855855856003</v>
      </c>
      <c r="F301">
        <v>558558.558558558</v>
      </c>
      <c r="G301">
        <v>18</v>
      </c>
      <c r="H301">
        <v>14</v>
      </c>
      <c r="K301">
        <v>19</v>
      </c>
      <c r="L301">
        <v>15</v>
      </c>
      <c r="M301">
        <v>3010810.8108108109</v>
      </c>
      <c r="N301">
        <v>3666666.666666667</v>
      </c>
      <c r="O301">
        <v>10152009.009009007</v>
      </c>
      <c r="P301">
        <v>10665882.882882884</v>
      </c>
      <c r="Q301">
        <v>3239459.4594594589</v>
      </c>
      <c r="R301">
        <v>3172702.702702703</v>
      </c>
      <c r="S301">
        <v>1639</v>
      </c>
      <c r="T301">
        <v>1543</v>
      </c>
    </row>
    <row r="302" spans="1:20" x14ac:dyDescent="0.35">
      <c r="A302" s="7" t="s">
        <v>397</v>
      </c>
      <c r="B302" s="12" t="s">
        <v>398</v>
      </c>
      <c r="C302">
        <v>433597873.46294534</v>
      </c>
      <c r="D302">
        <v>429243823.65298986</v>
      </c>
      <c r="E302">
        <v>3081981.9819819811</v>
      </c>
      <c r="F302">
        <v>5192342.3423423423</v>
      </c>
      <c r="G302">
        <v>176</v>
      </c>
      <c r="H302">
        <v>199</v>
      </c>
      <c r="I302">
        <v>2</v>
      </c>
      <c r="K302">
        <v>336</v>
      </c>
      <c r="L302">
        <v>252</v>
      </c>
      <c r="M302">
        <v>46200000</v>
      </c>
      <c r="N302">
        <v>51059459.459459454</v>
      </c>
      <c r="O302">
        <v>86273401.801801801</v>
      </c>
      <c r="P302">
        <v>92535306.306306303</v>
      </c>
      <c r="Q302">
        <v>45016306.306306303</v>
      </c>
      <c r="R302">
        <v>45893963.963963971</v>
      </c>
      <c r="S302">
        <v>9975</v>
      </c>
      <c r="T302">
        <v>9282</v>
      </c>
    </row>
    <row r="303" spans="1:20" x14ac:dyDescent="0.35">
      <c r="A303" s="7" t="s">
        <v>399</v>
      </c>
      <c r="B303" s="12" t="s">
        <v>400</v>
      </c>
      <c r="C303">
        <v>470213713.5112583</v>
      </c>
      <c r="D303">
        <v>473950335.73164976</v>
      </c>
      <c r="E303">
        <v>6046621.6216216227</v>
      </c>
      <c r="F303">
        <v>2998198.1981982011</v>
      </c>
      <c r="G303">
        <v>98</v>
      </c>
      <c r="H303">
        <v>96</v>
      </c>
      <c r="K303">
        <v>113</v>
      </c>
      <c r="L303">
        <v>113</v>
      </c>
      <c r="M303">
        <v>47146846.846846849</v>
      </c>
      <c r="N303">
        <v>52003124.324324325</v>
      </c>
      <c r="O303">
        <v>86052243.243243247</v>
      </c>
      <c r="P303">
        <v>95291918.918918908</v>
      </c>
      <c r="Q303">
        <v>46812972.972972974</v>
      </c>
      <c r="R303">
        <v>47923963.963963963</v>
      </c>
      <c r="S303">
        <v>11918</v>
      </c>
      <c r="T303">
        <v>11380</v>
      </c>
    </row>
    <row r="304" spans="1:20" x14ac:dyDescent="0.35">
      <c r="A304" s="7" t="s">
        <v>401</v>
      </c>
      <c r="B304" s="12" t="s">
        <v>141</v>
      </c>
      <c r="C304">
        <v>152152922.69078541</v>
      </c>
      <c r="D304">
        <v>155383109.52227065</v>
      </c>
      <c r="E304">
        <v>2198198.1981982002</v>
      </c>
      <c r="F304">
        <v>2114414.4144144161</v>
      </c>
      <c r="G304">
        <v>46</v>
      </c>
      <c r="H304">
        <v>26</v>
      </c>
      <c r="K304">
        <v>48</v>
      </c>
      <c r="L304">
        <v>32</v>
      </c>
      <c r="M304">
        <v>33787567.567567565</v>
      </c>
      <c r="N304">
        <v>34272072.072072074</v>
      </c>
      <c r="O304">
        <v>48570153.153153151</v>
      </c>
      <c r="P304">
        <v>52079351.351351351</v>
      </c>
      <c r="Q304">
        <v>32230360.360360362</v>
      </c>
      <c r="R304">
        <v>33145765.765765768</v>
      </c>
      <c r="S304">
        <v>3220</v>
      </c>
      <c r="T304">
        <v>3173</v>
      </c>
    </row>
    <row r="305" spans="1:20" x14ac:dyDescent="0.35">
      <c r="A305" s="7" t="s">
        <v>402</v>
      </c>
      <c r="B305" s="12" t="s">
        <v>122</v>
      </c>
      <c r="C305">
        <v>41587236.655092582</v>
      </c>
      <c r="D305">
        <v>36996311.120580494</v>
      </c>
      <c r="E305">
        <v>414414.41441441502</v>
      </c>
      <c r="F305">
        <v>112612.612612613</v>
      </c>
      <c r="G305">
        <v>16</v>
      </c>
      <c r="H305">
        <v>28</v>
      </c>
      <c r="K305">
        <v>22</v>
      </c>
      <c r="L305">
        <v>36</v>
      </c>
      <c r="M305">
        <v>2216216.2162162168</v>
      </c>
      <c r="N305">
        <v>1914414.4144144149</v>
      </c>
      <c r="O305">
        <v>3978479.7297297302</v>
      </c>
      <c r="P305">
        <v>5448369.369369369</v>
      </c>
      <c r="Q305">
        <v>985495.49549549504</v>
      </c>
      <c r="R305">
        <v>1647387.387387387</v>
      </c>
      <c r="S305">
        <v>1092</v>
      </c>
      <c r="T305">
        <v>1049</v>
      </c>
    </row>
    <row r="306" spans="1:20" x14ac:dyDescent="0.35">
      <c r="A306" s="7" t="s">
        <v>403</v>
      </c>
      <c r="B306" s="12" t="s">
        <v>291</v>
      </c>
      <c r="C306">
        <v>64984583.657177523</v>
      </c>
      <c r="D306">
        <v>65785461.549975418</v>
      </c>
      <c r="E306">
        <v>19119369.369369373</v>
      </c>
      <c r="F306">
        <v>18108108.108108107</v>
      </c>
      <c r="G306">
        <v>16</v>
      </c>
      <c r="H306">
        <v>9</v>
      </c>
      <c r="K306">
        <v>18</v>
      </c>
      <c r="L306">
        <v>14</v>
      </c>
      <c r="M306">
        <v>3358558.55855856</v>
      </c>
      <c r="N306">
        <v>3932432.4324324322</v>
      </c>
      <c r="O306">
        <v>8797063.0630630627</v>
      </c>
      <c r="P306">
        <v>9689837.8378378376</v>
      </c>
      <c r="Q306">
        <v>3517657.6576576568</v>
      </c>
      <c r="R306">
        <v>2219459.4594594599</v>
      </c>
      <c r="S306">
        <v>1797</v>
      </c>
      <c r="T306">
        <v>1600</v>
      </c>
    </row>
    <row r="307" spans="1:20" x14ac:dyDescent="0.35">
      <c r="A307" s="7" t="s">
        <v>404</v>
      </c>
      <c r="B307" s="12" t="s">
        <v>122</v>
      </c>
      <c r="C307">
        <v>73671691.578688741</v>
      </c>
      <c r="D307">
        <v>66710070.470008157</v>
      </c>
      <c r="E307">
        <v>55630.630630631</v>
      </c>
      <c r="F307">
        <v>9009.0090090100002</v>
      </c>
      <c r="G307">
        <v>11</v>
      </c>
      <c r="H307">
        <v>10</v>
      </c>
      <c r="K307">
        <v>12</v>
      </c>
      <c r="L307">
        <v>10</v>
      </c>
      <c r="M307">
        <v>58558.558558559002</v>
      </c>
      <c r="N307">
        <v>144144.14414414499</v>
      </c>
      <c r="O307">
        <v>5543279.2792792786</v>
      </c>
      <c r="P307">
        <v>7463288.2882882878</v>
      </c>
      <c r="R307">
        <v>162162.16216216201</v>
      </c>
      <c r="S307">
        <v>1084</v>
      </c>
      <c r="T307">
        <v>1015</v>
      </c>
    </row>
    <row r="308" spans="1:20" x14ac:dyDescent="0.35">
      <c r="A308" s="7" t="s">
        <v>405</v>
      </c>
      <c r="B308" s="12" t="s">
        <v>369</v>
      </c>
      <c r="C308">
        <v>160509579.32541582</v>
      </c>
      <c r="D308">
        <v>169742064.31666377</v>
      </c>
      <c r="E308">
        <v>88637768.468468457</v>
      </c>
      <c r="F308">
        <v>136608376.57657659</v>
      </c>
      <c r="G308">
        <v>100</v>
      </c>
      <c r="H308">
        <v>10</v>
      </c>
      <c r="K308">
        <v>123</v>
      </c>
      <c r="L308">
        <v>13</v>
      </c>
      <c r="M308">
        <v>34836486.486486487</v>
      </c>
      <c r="N308">
        <v>50927207.20720721</v>
      </c>
      <c r="O308">
        <v>58845878.378378376</v>
      </c>
      <c r="P308">
        <v>57677518.918918923</v>
      </c>
      <c r="Q308">
        <v>27703513.513513513</v>
      </c>
      <c r="R308">
        <v>38462252.252252258</v>
      </c>
      <c r="S308">
        <v>5295</v>
      </c>
      <c r="T308">
        <v>4006</v>
      </c>
    </row>
    <row r="309" spans="1:20" x14ac:dyDescent="0.35">
      <c r="A309" s="7" t="s">
        <v>406</v>
      </c>
      <c r="B309" s="12" t="s">
        <v>141</v>
      </c>
      <c r="C309">
        <v>78931003.566999391</v>
      </c>
      <c r="D309">
        <v>81134244.812412158</v>
      </c>
      <c r="E309">
        <v>242117.11711711599</v>
      </c>
      <c r="F309">
        <v>65765.765765767006</v>
      </c>
      <c r="G309">
        <v>17</v>
      </c>
      <c r="H309">
        <v>6</v>
      </c>
      <c r="K309">
        <v>19</v>
      </c>
      <c r="L309">
        <v>6</v>
      </c>
      <c r="M309">
        <v>8982342.3423423432</v>
      </c>
      <c r="N309">
        <v>17466846.846846849</v>
      </c>
      <c r="O309">
        <v>21853097.297297295</v>
      </c>
      <c r="P309">
        <v>25491747.747747749</v>
      </c>
      <c r="Q309">
        <v>10835045.045045044</v>
      </c>
      <c r="R309">
        <v>15835135.135135137</v>
      </c>
      <c r="S309">
        <v>1401</v>
      </c>
      <c r="T309">
        <v>1513</v>
      </c>
    </row>
    <row r="310" spans="1:20" x14ac:dyDescent="0.35">
      <c r="A310" s="7" t="s">
        <v>407</v>
      </c>
      <c r="B310" s="12" t="s">
        <v>55</v>
      </c>
      <c r="C310">
        <v>109493325.11097749</v>
      </c>
      <c r="D310">
        <v>111408792.75061281</v>
      </c>
      <c r="E310">
        <v>2184684.6846846859</v>
      </c>
      <c r="F310">
        <v>4580630.6306306319</v>
      </c>
      <c r="G310">
        <v>74</v>
      </c>
      <c r="H310">
        <v>73</v>
      </c>
      <c r="I310">
        <v>1</v>
      </c>
      <c r="K310">
        <v>154</v>
      </c>
      <c r="L310">
        <v>112</v>
      </c>
      <c r="M310">
        <v>9973333.333333334</v>
      </c>
      <c r="N310">
        <v>13031081.081081085</v>
      </c>
      <c r="O310">
        <v>25311882.882882886</v>
      </c>
      <c r="P310">
        <v>26684963.963963963</v>
      </c>
      <c r="Q310">
        <v>11056576.576576576</v>
      </c>
      <c r="R310">
        <v>11403423.423423424</v>
      </c>
      <c r="S310">
        <v>2258</v>
      </c>
      <c r="T310">
        <v>2224</v>
      </c>
    </row>
    <row r="311" spans="1:20" x14ac:dyDescent="0.35">
      <c r="A311" s="7" t="s">
        <v>408</v>
      </c>
      <c r="B311" s="12" t="s">
        <v>135</v>
      </c>
      <c r="C311">
        <v>49256737.922927082</v>
      </c>
      <c r="D311">
        <v>54395023.898973323</v>
      </c>
      <c r="E311">
        <v>27027.027027027001</v>
      </c>
      <c r="F311">
        <v>239639.639639639</v>
      </c>
      <c r="G311">
        <v>6</v>
      </c>
      <c r="H311">
        <v>1</v>
      </c>
      <c r="K311">
        <v>6</v>
      </c>
      <c r="L311">
        <v>2</v>
      </c>
      <c r="M311">
        <v>1594594.5945945941</v>
      </c>
      <c r="N311">
        <v>3572972.9729729728</v>
      </c>
      <c r="O311">
        <v>4626504.5045045037</v>
      </c>
      <c r="P311">
        <v>6653864.8648648653</v>
      </c>
      <c r="Q311">
        <v>1308918.9189189179</v>
      </c>
      <c r="R311">
        <v>3358558.558558559</v>
      </c>
      <c r="S311">
        <v>945</v>
      </c>
      <c r="T311">
        <v>950</v>
      </c>
    </row>
    <row r="312" spans="1:20" x14ac:dyDescent="0.35">
      <c r="A312" s="7" t="s">
        <v>409</v>
      </c>
      <c r="B312" s="12" t="s">
        <v>291</v>
      </c>
      <c r="C312">
        <v>27132215.467840586</v>
      </c>
      <c r="D312">
        <v>28029258.082896095</v>
      </c>
      <c r="E312">
        <v>361261.261261262</v>
      </c>
      <c r="F312">
        <v>256756.75675675701</v>
      </c>
      <c r="G312">
        <v>9</v>
      </c>
      <c r="H312">
        <v>11</v>
      </c>
      <c r="K312">
        <v>10</v>
      </c>
      <c r="L312">
        <v>15</v>
      </c>
      <c r="M312">
        <v>5120720.7207207214</v>
      </c>
      <c r="N312">
        <v>4378378.3783783782</v>
      </c>
      <c r="O312">
        <v>5268873.8738738736</v>
      </c>
      <c r="P312">
        <v>6648216.2162162159</v>
      </c>
      <c r="Q312">
        <v>3008018.0180180171</v>
      </c>
      <c r="R312">
        <v>2201531.5315315318</v>
      </c>
      <c r="S312">
        <v>880</v>
      </c>
      <c r="T312">
        <v>898</v>
      </c>
    </row>
    <row r="313" spans="1:20" x14ac:dyDescent="0.35">
      <c r="A313" s="7" t="s">
        <v>410</v>
      </c>
      <c r="B313" s="12" t="s">
        <v>179</v>
      </c>
      <c r="C313">
        <v>493261981.94449341</v>
      </c>
      <c r="D313">
        <v>474974040.43773383</v>
      </c>
      <c r="E313">
        <v>7635135.1351351384</v>
      </c>
      <c r="F313">
        <v>84566666.666666672</v>
      </c>
      <c r="G313">
        <v>106</v>
      </c>
      <c r="H313">
        <v>115</v>
      </c>
      <c r="K313">
        <v>225</v>
      </c>
      <c r="L313">
        <v>170</v>
      </c>
      <c r="M313">
        <v>58967198.198198199</v>
      </c>
      <c r="N313">
        <v>63625000</v>
      </c>
      <c r="O313">
        <v>170607536.03603604</v>
      </c>
      <c r="P313">
        <v>177333421.62162164</v>
      </c>
      <c r="Q313">
        <v>49830000</v>
      </c>
      <c r="R313">
        <v>59041261.261261262</v>
      </c>
      <c r="S313">
        <v>10560</v>
      </c>
      <c r="T313">
        <v>12647</v>
      </c>
    </row>
    <row r="314" spans="1:20" x14ac:dyDescent="0.35">
      <c r="A314" s="7" t="s">
        <v>411</v>
      </c>
      <c r="B314" s="12" t="s">
        <v>55</v>
      </c>
      <c r="C314">
        <v>897382660.36447704</v>
      </c>
      <c r="D314">
        <v>880690891.7839781</v>
      </c>
      <c r="E314">
        <v>117813241.44144145</v>
      </c>
      <c r="F314">
        <v>227136737.83783785</v>
      </c>
      <c r="G314">
        <v>299</v>
      </c>
      <c r="H314">
        <v>270</v>
      </c>
      <c r="K314">
        <v>387</v>
      </c>
      <c r="L314">
        <v>546</v>
      </c>
      <c r="M314">
        <v>68251801.801801801</v>
      </c>
      <c r="N314">
        <v>92697297.297297314</v>
      </c>
      <c r="O314">
        <v>184795846.84684685</v>
      </c>
      <c r="P314">
        <v>191055187.38738739</v>
      </c>
      <c r="Q314">
        <v>61623783.783783786</v>
      </c>
      <c r="R314">
        <v>79840630.630630642</v>
      </c>
      <c r="S314">
        <v>19297</v>
      </c>
      <c r="T314">
        <v>18538</v>
      </c>
    </row>
    <row r="315" spans="1:20" x14ac:dyDescent="0.35">
      <c r="A315" s="7" t="s">
        <v>412</v>
      </c>
      <c r="B315" s="12" t="s">
        <v>225</v>
      </c>
      <c r="C315">
        <v>459791469.45859879</v>
      </c>
      <c r="D315">
        <v>531132036.32717735</v>
      </c>
      <c r="E315">
        <v>1902702.7027027069</v>
      </c>
      <c r="F315">
        <v>3532432.4324324341</v>
      </c>
      <c r="G315">
        <v>173</v>
      </c>
      <c r="H315">
        <v>134</v>
      </c>
      <c r="K315">
        <v>192</v>
      </c>
      <c r="L315">
        <v>158</v>
      </c>
      <c r="M315">
        <v>49717837.837837838</v>
      </c>
      <c r="N315">
        <v>79428558.558558553</v>
      </c>
      <c r="O315">
        <v>131897762.16216215</v>
      </c>
      <c r="P315">
        <v>165618682.88288289</v>
      </c>
      <c r="Q315">
        <v>53664277.477477483</v>
      </c>
      <c r="R315">
        <v>68582522.522522524</v>
      </c>
      <c r="S315">
        <v>13545</v>
      </c>
      <c r="T315">
        <v>13565</v>
      </c>
    </row>
    <row r="316" spans="1:20" x14ac:dyDescent="0.35">
      <c r="A316" s="7" t="s">
        <v>413</v>
      </c>
      <c r="B316" s="12" t="s">
        <v>414</v>
      </c>
      <c r="C316">
        <v>180897573.3758992</v>
      </c>
      <c r="D316">
        <v>176895877.84941331</v>
      </c>
      <c r="E316">
        <v>571621.62162162503</v>
      </c>
      <c r="F316">
        <v>1245045.0450450489</v>
      </c>
      <c r="G316">
        <v>12</v>
      </c>
      <c r="H316">
        <v>7</v>
      </c>
      <c r="K316">
        <v>15</v>
      </c>
      <c r="L316">
        <v>22</v>
      </c>
      <c r="M316">
        <v>3590090.0900900932</v>
      </c>
      <c r="N316">
        <v>143315765.76576576</v>
      </c>
      <c r="O316">
        <v>73493270.270270273</v>
      </c>
      <c r="P316">
        <v>79010792.792792797</v>
      </c>
      <c r="Q316">
        <v>3846486.4864864862</v>
      </c>
      <c r="R316">
        <v>4819279.2792792805</v>
      </c>
      <c r="S316">
        <v>4050</v>
      </c>
      <c r="T316">
        <v>3943</v>
      </c>
    </row>
    <row r="317" spans="1:20" x14ac:dyDescent="0.35">
      <c r="A317" s="7" t="s">
        <v>415</v>
      </c>
      <c r="B317" s="12" t="s">
        <v>215</v>
      </c>
      <c r="C317">
        <v>1168114876.7989368</v>
      </c>
      <c r="D317">
        <v>1074801121.3080544</v>
      </c>
      <c r="E317">
        <v>612863493.69369364</v>
      </c>
      <c r="F317">
        <v>419632645.04504508</v>
      </c>
      <c r="G317">
        <v>1004</v>
      </c>
      <c r="H317">
        <v>559</v>
      </c>
      <c r="I317">
        <v>3</v>
      </c>
      <c r="K317">
        <v>1084</v>
      </c>
      <c r="L317">
        <v>821</v>
      </c>
      <c r="M317">
        <v>159326981.98198199</v>
      </c>
      <c r="N317">
        <v>159917297.29729727</v>
      </c>
      <c r="O317">
        <v>525369786.48648643</v>
      </c>
      <c r="P317">
        <v>491117558.55855858</v>
      </c>
      <c r="Q317">
        <v>153887117.11711711</v>
      </c>
      <c r="R317">
        <v>152634864.86486486</v>
      </c>
      <c r="S317">
        <v>25005</v>
      </c>
      <c r="T317">
        <v>27088</v>
      </c>
    </row>
    <row r="318" spans="1:20" x14ac:dyDescent="0.35">
      <c r="A318" s="7" t="s">
        <v>416</v>
      </c>
      <c r="B318" s="12" t="s">
        <v>414</v>
      </c>
      <c r="C318">
        <v>100648689.65077095</v>
      </c>
      <c r="D318">
        <v>97162337.549658522</v>
      </c>
      <c r="E318">
        <v>3789639.6396396412</v>
      </c>
      <c r="F318">
        <v>44283783.783783786</v>
      </c>
      <c r="G318">
        <v>28</v>
      </c>
      <c r="H318">
        <v>17</v>
      </c>
      <c r="K318">
        <v>34</v>
      </c>
      <c r="L318">
        <v>18</v>
      </c>
      <c r="M318">
        <v>20256073.873873871</v>
      </c>
      <c r="N318">
        <v>21111486.486486487</v>
      </c>
      <c r="O318">
        <v>37596957.20720721</v>
      </c>
      <c r="P318">
        <v>39123081.081081077</v>
      </c>
      <c r="Q318">
        <v>13858378.378378378</v>
      </c>
      <c r="R318">
        <v>14694144.144144144</v>
      </c>
      <c r="S318">
        <v>3001</v>
      </c>
      <c r="T318">
        <v>3018</v>
      </c>
    </row>
    <row r="319" spans="1:20" x14ac:dyDescent="0.35">
      <c r="A319" s="7" t="s">
        <v>417</v>
      </c>
      <c r="B319" s="12" t="s">
        <v>237</v>
      </c>
      <c r="C319">
        <v>726051854.26705182</v>
      </c>
      <c r="D319">
        <v>718496652.73428142</v>
      </c>
      <c r="E319">
        <v>2960360.360360363</v>
      </c>
      <c r="F319">
        <v>3277477.4774774802</v>
      </c>
      <c r="G319">
        <v>148</v>
      </c>
      <c r="H319">
        <v>187</v>
      </c>
      <c r="I319">
        <v>5</v>
      </c>
      <c r="K319">
        <v>215</v>
      </c>
      <c r="L319">
        <v>291</v>
      </c>
      <c r="M319">
        <v>95386756.756756753</v>
      </c>
      <c r="N319">
        <v>76807207.207207203</v>
      </c>
      <c r="O319">
        <v>169600279.27927926</v>
      </c>
      <c r="P319">
        <v>186981412.61261261</v>
      </c>
      <c r="Q319">
        <v>90470000</v>
      </c>
      <c r="R319">
        <v>65336576.576576576</v>
      </c>
      <c r="S319">
        <v>11004</v>
      </c>
      <c r="T319">
        <v>10947</v>
      </c>
    </row>
    <row r="320" spans="1:20" x14ac:dyDescent="0.35">
      <c r="A320" s="7" t="s">
        <v>418</v>
      </c>
      <c r="B320" s="12" t="s">
        <v>118</v>
      </c>
      <c r="C320">
        <v>703092416.54806209</v>
      </c>
      <c r="D320">
        <v>709499102.06909955</v>
      </c>
      <c r="E320">
        <v>646341227.92792797</v>
      </c>
      <c r="F320">
        <v>476580788.2882883</v>
      </c>
      <c r="G320">
        <v>527</v>
      </c>
      <c r="H320">
        <v>505</v>
      </c>
      <c r="I320">
        <v>1</v>
      </c>
      <c r="K320">
        <v>854</v>
      </c>
      <c r="L320">
        <v>1546</v>
      </c>
      <c r="M320">
        <v>166150081.08108109</v>
      </c>
      <c r="N320">
        <v>202855453.15315315</v>
      </c>
      <c r="O320">
        <v>322111597.2972973</v>
      </c>
      <c r="P320">
        <v>364190684.68468469</v>
      </c>
      <c r="Q320">
        <v>166315855.85585588</v>
      </c>
      <c r="R320">
        <v>205654819.81981984</v>
      </c>
      <c r="S320">
        <v>18619</v>
      </c>
      <c r="T320">
        <v>17794</v>
      </c>
    </row>
    <row r="321" spans="1:20" x14ac:dyDescent="0.35">
      <c r="A321" s="7" t="s">
        <v>419</v>
      </c>
      <c r="B321" s="12" t="s">
        <v>148</v>
      </c>
      <c r="C321">
        <v>16861950.626343854</v>
      </c>
      <c r="D321">
        <v>18554276.339626767</v>
      </c>
      <c r="G321">
        <v>3</v>
      </c>
      <c r="H321">
        <v>4</v>
      </c>
      <c r="K321">
        <v>3</v>
      </c>
      <c r="L321">
        <v>4</v>
      </c>
      <c r="O321">
        <v>5982288.2882882878</v>
      </c>
      <c r="P321">
        <v>6196567.5675675673</v>
      </c>
      <c r="S321">
        <v>498</v>
      </c>
      <c r="T321">
        <v>511</v>
      </c>
    </row>
    <row r="322" spans="1:20" x14ac:dyDescent="0.35">
      <c r="A322" s="7" t="s">
        <v>420</v>
      </c>
      <c r="B322" s="12" t="s">
        <v>305</v>
      </c>
      <c r="C322">
        <v>152935066.78026313</v>
      </c>
      <c r="D322">
        <v>139636763.75514409</v>
      </c>
      <c r="E322">
        <v>4402027.0270270268</v>
      </c>
      <c r="F322">
        <v>3105405.4054054129</v>
      </c>
      <c r="G322">
        <v>90</v>
      </c>
      <c r="H322">
        <v>61</v>
      </c>
      <c r="K322">
        <v>101</v>
      </c>
      <c r="L322">
        <v>76</v>
      </c>
      <c r="M322">
        <v>27925225.225225229</v>
      </c>
      <c r="N322">
        <v>35292792.79279279</v>
      </c>
      <c r="O322">
        <v>34183615.315315314</v>
      </c>
      <c r="P322">
        <v>32037495.495495494</v>
      </c>
      <c r="Q322">
        <v>25040450.450450446</v>
      </c>
      <c r="R322">
        <v>33485045.045045041</v>
      </c>
      <c r="S322">
        <v>3419</v>
      </c>
      <c r="T322">
        <v>2244</v>
      </c>
    </row>
    <row r="323" spans="1:20" x14ac:dyDescent="0.35">
      <c r="A323" s="7" t="s">
        <v>421</v>
      </c>
      <c r="B323" s="12" t="s">
        <v>305</v>
      </c>
      <c r="C323">
        <v>173256092.82103914</v>
      </c>
      <c r="D323">
        <v>170377978.42672479</v>
      </c>
      <c r="E323">
        <v>7062837.8378378367</v>
      </c>
      <c r="F323">
        <v>4923423.4234234402</v>
      </c>
      <c r="G323">
        <v>117</v>
      </c>
      <c r="H323">
        <v>269</v>
      </c>
      <c r="K323">
        <v>191</v>
      </c>
      <c r="L323">
        <v>624</v>
      </c>
      <c r="M323">
        <v>33715315.315315314</v>
      </c>
      <c r="N323">
        <v>38911711.711711712</v>
      </c>
      <c r="O323">
        <v>53402115.315315314</v>
      </c>
      <c r="P323">
        <v>58491654.054054059</v>
      </c>
      <c r="Q323">
        <v>25005765.765765764</v>
      </c>
      <c r="R323">
        <v>35289369.369369365</v>
      </c>
      <c r="S323">
        <v>5484</v>
      </c>
      <c r="T323">
        <v>2968</v>
      </c>
    </row>
    <row r="324" spans="1:20" x14ac:dyDescent="0.35">
      <c r="A324" s="7" t="s">
        <v>422</v>
      </c>
      <c r="B324" s="12" t="s">
        <v>122</v>
      </c>
      <c r="C324">
        <v>7114670.7025872367</v>
      </c>
      <c r="D324">
        <v>7955519.9656650499</v>
      </c>
      <c r="E324">
        <v>42342.342342342999</v>
      </c>
      <c r="G324">
        <v>4</v>
      </c>
      <c r="H324">
        <v>4</v>
      </c>
      <c r="K324">
        <v>4</v>
      </c>
      <c r="L324">
        <v>4</v>
      </c>
      <c r="M324">
        <v>42342.342342342999</v>
      </c>
      <c r="N324">
        <v>180180.18018018</v>
      </c>
      <c r="O324">
        <v>745306.30630630604</v>
      </c>
      <c r="P324">
        <v>699144.14414414403</v>
      </c>
      <c r="Q324">
        <v>169369.369369369</v>
      </c>
      <c r="R324">
        <v>262612.61261261202</v>
      </c>
      <c r="S324">
        <v>342</v>
      </c>
      <c r="T324">
        <v>305</v>
      </c>
    </row>
    <row r="325" spans="1:20" x14ac:dyDescent="0.35">
      <c r="A325" s="7" t="s">
        <v>423</v>
      </c>
      <c r="B325" s="12" t="s">
        <v>61</v>
      </c>
      <c r="C325">
        <v>90138689.401352197</v>
      </c>
      <c r="D325">
        <v>86404332.487784207</v>
      </c>
      <c r="E325">
        <v>1117117.1171171181</v>
      </c>
      <c r="F325">
        <v>1227027.027027027</v>
      </c>
      <c r="G325">
        <v>40</v>
      </c>
      <c r="H325">
        <v>39</v>
      </c>
      <c r="I325">
        <v>5</v>
      </c>
      <c r="K325">
        <v>45</v>
      </c>
      <c r="L325">
        <v>53</v>
      </c>
      <c r="M325">
        <v>21893693.693693697</v>
      </c>
      <c r="N325">
        <v>19345045.045045041</v>
      </c>
      <c r="O325">
        <v>31963657.657657657</v>
      </c>
      <c r="P325">
        <v>33001153.153153151</v>
      </c>
      <c r="Q325">
        <v>22619729.729729727</v>
      </c>
      <c r="R325">
        <v>20686936.936936937</v>
      </c>
      <c r="S325">
        <v>2317</v>
      </c>
      <c r="T325">
        <v>2268</v>
      </c>
    </row>
    <row r="326" spans="1:20" x14ac:dyDescent="0.35">
      <c r="A326" s="7" t="s">
        <v>424</v>
      </c>
      <c r="B326" s="12" t="s">
        <v>182</v>
      </c>
      <c r="C326">
        <v>887182020.80033553</v>
      </c>
      <c r="D326">
        <v>914632888.55903757</v>
      </c>
      <c r="E326">
        <v>9913513.5135135241</v>
      </c>
      <c r="F326">
        <v>9874774.7747747842</v>
      </c>
      <c r="G326">
        <v>331</v>
      </c>
      <c r="H326">
        <v>334</v>
      </c>
      <c r="I326">
        <v>2</v>
      </c>
      <c r="K326">
        <v>416</v>
      </c>
      <c r="L326">
        <v>417</v>
      </c>
      <c r="M326">
        <v>134733783.78378376</v>
      </c>
      <c r="N326">
        <v>219330045.04504505</v>
      </c>
      <c r="O326">
        <v>257598870.27027026</v>
      </c>
      <c r="P326">
        <v>271542297.2972973</v>
      </c>
      <c r="Q326">
        <v>131775855.85585585</v>
      </c>
      <c r="R326">
        <v>216462432.43243244</v>
      </c>
      <c r="S326">
        <v>25542</v>
      </c>
      <c r="T326">
        <v>21939</v>
      </c>
    </row>
    <row r="327" spans="1:20" x14ac:dyDescent="0.35">
      <c r="A327" s="7" t="s">
        <v>425</v>
      </c>
      <c r="B327" s="12" t="s">
        <v>77</v>
      </c>
      <c r="C327">
        <v>28179027.446517982</v>
      </c>
      <c r="D327">
        <v>26567405.853917513</v>
      </c>
      <c r="E327">
        <v>54054.054054054999</v>
      </c>
      <c r="F327">
        <v>157657.65765765801</v>
      </c>
      <c r="G327">
        <v>6</v>
      </c>
      <c r="H327">
        <v>3</v>
      </c>
      <c r="K327">
        <v>7</v>
      </c>
      <c r="L327">
        <v>4</v>
      </c>
      <c r="M327">
        <v>1972972.972972973</v>
      </c>
      <c r="N327">
        <v>3130630.630630631</v>
      </c>
      <c r="O327">
        <v>2658486.4864864862</v>
      </c>
      <c r="P327">
        <v>4373243.2432432426</v>
      </c>
      <c r="Q327">
        <v>2157567.5675675669</v>
      </c>
      <c r="R327">
        <v>2176756.756756756</v>
      </c>
      <c r="S327">
        <v>942</v>
      </c>
      <c r="T327">
        <v>891</v>
      </c>
    </row>
    <row r="328" spans="1:20" x14ac:dyDescent="0.35">
      <c r="A328" s="7" t="s">
        <v>426</v>
      </c>
      <c r="B328" s="12" t="s">
        <v>77</v>
      </c>
      <c r="C328">
        <v>102640506.76920041</v>
      </c>
      <c r="D328">
        <v>104525835.65253051</v>
      </c>
      <c r="E328">
        <v>145045.04504504599</v>
      </c>
      <c r="F328">
        <v>979279.27927927906</v>
      </c>
      <c r="G328">
        <v>22</v>
      </c>
      <c r="H328">
        <v>23</v>
      </c>
      <c r="K328">
        <v>23</v>
      </c>
      <c r="L328">
        <v>26</v>
      </c>
      <c r="M328">
        <v>12230720.72072072</v>
      </c>
      <c r="N328">
        <v>23097477.47747748</v>
      </c>
      <c r="O328">
        <v>22370738.738738742</v>
      </c>
      <c r="P328">
        <v>24371072.072072074</v>
      </c>
      <c r="Q328">
        <v>9189279.2792792786</v>
      </c>
      <c r="R328">
        <v>18026486.486486487</v>
      </c>
      <c r="S328">
        <v>1453</v>
      </c>
      <c r="T328">
        <v>1468</v>
      </c>
    </row>
    <row r="329" spans="1:20" x14ac:dyDescent="0.35">
      <c r="A329" s="7" t="s">
        <v>427</v>
      </c>
      <c r="B329" s="12" t="s">
        <v>331</v>
      </c>
      <c r="C329">
        <v>541612259.91735184</v>
      </c>
      <c r="D329">
        <v>487812041.08537751</v>
      </c>
      <c r="E329">
        <v>4251126.1261261301</v>
      </c>
      <c r="F329">
        <v>2040090.0900900969</v>
      </c>
      <c r="G329">
        <v>182</v>
      </c>
      <c r="H329">
        <v>193</v>
      </c>
      <c r="K329">
        <v>203</v>
      </c>
      <c r="L329">
        <v>221</v>
      </c>
      <c r="M329">
        <v>29721981.981981985</v>
      </c>
      <c r="N329">
        <v>50126126.126126125</v>
      </c>
      <c r="O329">
        <v>148031353.6036036</v>
      </c>
      <c r="P329">
        <v>93805126.126126125</v>
      </c>
      <c r="Q329">
        <v>25973783.783783775</v>
      </c>
      <c r="R329">
        <v>47864594.59459459</v>
      </c>
      <c r="S329">
        <v>13751</v>
      </c>
      <c r="T329">
        <v>11769</v>
      </c>
    </row>
    <row r="330" spans="1:20" x14ac:dyDescent="0.35">
      <c r="A330" s="7" t="s">
        <v>428</v>
      </c>
      <c r="B330" s="12" t="s">
        <v>242</v>
      </c>
      <c r="C330">
        <v>137685946.7924394</v>
      </c>
      <c r="D330">
        <v>128646298.84698981</v>
      </c>
      <c r="E330">
        <v>926126.12612612697</v>
      </c>
      <c r="F330">
        <v>1476576.5765765761</v>
      </c>
      <c r="G330">
        <v>48</v>
      </c>
      <c r="H330">
        <v>39</v>
      </c>
      <c r="K330">
        <v>56</v>
      </c>
      <c r="L330">
        <v>45</v>
      </c>
      <c r="M330">
        <v>16630900.9009009</v>
      </c>
      <c r="N330">
        <v>18856306.306306303</v>
      </c>
      <c r="O330">
        <v>53210261.261261262</v>
      </c>
      <c r="P330">
        <v>52519000</v>
      </c>
      <c r="Q330">
        <v>16395585.585585581</v>
      </c>
      <c r="R330">
        <v>21321711.711711712</v>
      </c>
      <c r="S330">
        <v>5507</v>
      </c>
      <c r="T330">
        <v>5487</v>
      </c>
    </row>
    <row r="331" spans="1:20" x14ac:dyDescent="0.35">
      <c r="A331" s="7" t="s">
        <v>429</v>
      </c>
      <c r="B331" s="12" t="s">
        <v>284</v>
      </c>
      <c r="C331">
        <v>57556312.077083036</v>
      </c>
      <c r="D331">
        <v>70885104.828091606</v>
      </c>
      <c r="E331">
        <v>569369.36936937098</v>
      </c>
      <c r="F331">
        <v>1494594.594594595</v>
      </c>
      <c r="G331">
        <v>8</v>
      </c>
      <c r="H331">
        <v>64</v>
      </c>
      <c r="K331">
        <v>33</v>
      </c>
      <c r="L331">
        <v>98</v>
      </c>
      <c r="M331">
        <v>25194234.234234232</v>
      </c>
      <c r="N331">
        <v>16413513.513513517</v>
      </c>
      <c r="O331">
        <v>10956333.333333332</v>
      </c>
      <c r="P331">
        <v>17588693.693693694</v>
      </c>
      <c r="Q331">
        <v>26908738.738738742</v>
      </c>
      <c r="R331">
        <v>13930000</v>
      </c>
      <c r="S331">
        <v>1228</v>
      </c>
      <c r="T331">
        <v>1395</v>
      </c>
    </row>
    <row r="332" spans="1:20" x14ac:dyDescent="0.35">
      <c r="A332" s="7" t="s">
        <v>430</v>
      </c>
      <c r="B332" s="12" t="s">
        <v>284</v>
      </c>
      <c r="C332">
        <v>18246586.30491785</v>
      </c>
      <c r="D332">
        <v>17959611.225921296</v>
      </c>
      <c r="E332">
        <v>207207.20720720699</v>
      </c>
      <c r="F332">
        <v>499099.099099099</v>
      </c>
      <c r="H332">
        <v>1</v>
      </c>
      <c r="L332">
        <v>1</v>
      </c>
      <c r="M332">
        <v>3090090.090090089</v>
      </c>
      <c r="N332">
        <v>5165765.7657657657</v>
      </c>
      <c r="O332">
        <v>1324990.990990991</v>
      </c>
      <c r="P332">
        <v>2036729.7297297299</v>
      </c>
      <c r="Q332">
        <v>2885855.8558558552</v>
      </c>
      <c r="R332">
        <v>4580990.9909909908</v>
      </c>
      <c r="S332">
        <v>511</v>
      </c>
      <c r="T332">
        <v>455</v>
      </c>
    </row>
    <row r="333" spans="1:20" x14ac:dyDescent="0.35">
      <c r="A333" s="7" t="s">
        <v>431</v>
      </c>
      <c r="B333" s="12" t="s">
        <v>284</v>
      </c>
      <c r="C333">
        <v>38765701.76929751</v>
      </c>
      <c r="D333">
        <v>42752821.324635506</v>
      </c>
      <c r="E333">
        <v>198198.19819819799</v>
      </c>
      <c r="F333">
        <v>554054.05405405501</v>
      </c>
      <c r="G333">
        <v>5</v>
      </c>
      <c r="H333">
        <v>1</v>
      </c>
      <c r="K333">
        <v>5</v>
      </c>
      <c r="L333">
        <v>3</v>
      </c>
      <c r="M333">
        <v>288288.28828828799</v>
      </c>
      <c r="N333">
        <v>554054.05405405501</v>
      </c>
      <c r="O333">
        <v>3469279.2792792791</v>
      </c>
      <c r="P333">
        <v>3845351.3513513519</v>
      </c>
      <c r="Q333">
        <v>173423.423423423</v>
      </c>
      <c r="R333">
        <v>340720.720720721</v>
      </c>
      <c r="S333">
        <v>760</v>
      </c>
      <c r="T333">
        <v>701</v>
      </c>
    </row>
    <row r="334" spans="1:20" x14ac:dyDescent="0.35">
      <c r="A334" s="7" t="s">
        <v>432</v>
      </c>
      <c r="B334" s="12" t="s">
        <v>79</v>
      </c>
      <c r="C334">
        <v>230301867.62940153</v>
      </c>
      <c r="D334">
        <v>230655371.04933006</v>
      </c>
      <c r="E334">
        <v>3038738.7387387422</v>
      </c>
      <c r="F334">
        <v>5637837.8378378404</v>
      </c>
      <c r="G334">
        <v>192</v>
      </c>
      <c r="H334">
        <v>143</v>
      </c>
      <c r="K334">
        <v>283</v>
      </c>
      <c r="L334">
        <v>213</v>
      </c>
      <c r="M334">
        <v>22881081.081081085</v>
      </c>
      <c r="N334">
        <v>32619819.819819823</v>
      </c>
      <c r="O334">
        <v>102401756.75675675</v>
      </c>
      <c r="P334">
        <v>101389045.04504503</v>
      </c>
      <c r="Q334">
        <v>23913873.873873871</v>
      </c>
      <c r="R334">
        <v>27555135.135135137</v>
      </c>
      <c r="S334">
        <v>6657</v>
      </c>
      <c r="T334">
        <v>6435</v>
      </c>
    </row>
    <row r="335" spans="1:20" x14ac:dyDescent="0.35">
      <c r="A335" s="7" t="s">
        <v>433</v>
      </c>
      <c r="B335" s="12" t="s">
        <v>106</v>
      </c>
      <c r="C335">
        <v>208347796.56296533</v>
      </c>
      <c r="D335">
        <v>196092210.76302966</v>
      </c>
      <c r="E335">
        <v>539639.63963963895</v>
      </c>
      <c r="F335">
        <v>1107207.207207208</v>
      </c>
      <c r="G335">
        <v>21</v>
      </c>
      <c r="H335">
        <v>44</v>
      </c>
      <c r="I335">
        <v>1</v>
      </c>
      <c r="K335">
        <v>24</v>
      </c>
      <c r="L335">
        <v>49</v>
      </c>
      <c r="M335">
        <v>24244819.819819819</v>
      </c>
      <c r="N335">
        <v>34957207.20720721</v>
      </c>
      <c r="O335">
        <v>49630333.333333328</v>
      </c>
      <c r="P335">
        <v>55000081.081081077</v>
      </c>
      <c r="Q335">
        <v>25885990.990990993</v>
      </c>
      <c r="R335">
        <v>35606486.486486487</v>
      </c>
      <c r="S335">
        <v>3750</v>
      </c>
      <c r="T335">
        <v>3612</v>
      </c>
    </row>
    <row r="336" spans="1:20" x14ac:dyDescent="0.35">
      <c r="A336" s="7" t="s">
        <v>434</v>
      </c>
      <c r="B336" s="12" t="s">
        <v>73</v>
      </c>
      <c r="C336">
        <v>1113815097.8084366</v>
      </c>
      <c r="D336">
        <v>1110892927.575525</v>
      </c>
      <c r="E336">
        <v>6996846.8468468618</v>
      </c>
      <c r="F336">
        <v>6216216.2162162317</v>
      </c>
      <c r="G336">
        <v>306</v>
      </c>
      <c r="H336">
        <v>267</v>
      </c>
      <c r="I336">
        <v>4</v>
      </c>
      <c r="K336">
        <v>410</v>
      </c>
      <c r="L336">
        <v>322</v>
      </c>
      <c r="M336">
        <v>164600450.45045045</v>
      </c>
      <c r="N336">
        <v>178287837.83783782</v>
      </c>
      <c r="O336">
        <v>234526186.93693691</v>
      </c>
      <c r="P336">
        <v>257270954.95495495</v>
      </c>
      <c r="Q336">
        <v>122202882.88288288</v>
      </c>
      <c r="R336">
        <v>130306126.12612613</v>
      </c>
      <c r="S336">
        <v>18628</v>
      </c>
      <c r="T336">
        <v>18397</v>
      </c>
    </row>
    <row r="337" spans="1:20" x14ac:dyDescent="0.35">
      <c r="A337" s="7" t="s">
        <v>435</v>
      </c>
      <c r="B337" s="12" t="s">
        <v>73</v>
      </c>
      <c r="C337">
        <v>762866183.58543575</v>
      </c>
      <c r="D337">
        <v>792022906.93672729</v>
      </c>
      <c r="E337">
        <v>4484909.9099099189</v>
      </c>
      <c r="F337">
        <v>5742342.3423423562</v>
      </c>
      <c r="G337">
        <v>168</v>
      </c>
      <c r="H337">
        <v>125</v>
      </c>
      <c r="I337">
        <v>2</v>
      </c>
      <c r="K337">
        <v>186</v>
      </c>
      <c r="L337">
        <v>140</v>
      </c>
      <c r="M337">
        <v>84842342.342342332</v>
      </c>
      <c r="N337">
        <v>103742342.34234235</v>
      </c>
      <c r="O337">
        <v>143834657.65765765</v>
      </c>
      <c r="P337">
        <v>169139630.63063061</v>
      </c>
      <c r="Q337">
        <v>62470090.090090096</v>
      </c>
      <c r="R337">
        <v>67390630.630630627</v>
      </c>
      <c r="S337">
        <v>13499</v>
      </c>
      <c r="T337">
        <v>13791</v>
      </c>
    </row>
    <row r="338" spans="1:20" x14ac:dyDescent="0.35">
      <c r="A338" s="7" t="s">
        <v>436</v>
      </c>
      <c r="B338" s="12" t="s">
        <v>95</v>
      </c>
      <c r="C338">
        <v>53759528.965907626</v>
      </c>
      <c r="D338">
        <v>57487694.477031328</v>
      </c>
      <c r="E338">
        <v>13513.513513514001</v>
      </c>
      <c r="G338">
        <v>3</v>
      </c>
      <c r="H338">
        <v>6</v>
      </c>
      <c r="K338">
        <v>3</v>
      </c>
      <c r="L338">
        <v>8</v>
      </c>
      <c r="M338">
        <v>554054.05405405397</v>
      </c>
      <c r="N338">
        <v>450450.45045045001</v>
      </c>
      <c r="O338">
        <v>13255873.873873875</v>
      </c>
      <c r="P338">
        <v>16023477.477477476</v>
      </c>
      <c r="Q338">
        <v>381801.80180180201</v>
      </c>
      <c r="R338">
        <v>308558.55855855899</v>
      </c>
      <c r="S338">
        <v>890</v>
      </c>
      <c r="T338">
        <v>877</v>
      </c>
    </row>
    <row r="339" spans="1:20" x14ac:dyDescent="0.35">
      <c r="A339" s="7" t="s">
        <v>437</v>
      </c>
      <c r="B339" s="12" t="s">
        <v>90</v>
      </c>
      <c r="C339">
        <v>279052673.73470604</v>
      </c>
      <c r="D339">
        <v>296576536.47343218</v>
      </c>
      <c r="E339">
        <v>3713513.5135135208</v>
      </c>
      <c r="F339">
        <v>6241441.4414414456</v>
      </c>
      <c r="G339">
        <v>77</v>
      </c>
      <c r="H339">
        <v>51</v>
      </c>
      <c r="K339">
        <v>89</v>
      </c>
      <c r="L339">
        <v>60</v>
      </c>
      <c r="M339">
        <v>36734054.054054059</v>
      </c>
      <c r="N339">
        <v>47875585.585585587</v>
      </c>
      <c r="O339">
        <v>127440445.94594595</v>
      </c>
      <c r="P339">
        <v>137432873.87387386</v>
      </c>
      <c r="Q339">
        <v>37534504.504504502</v>
      </c>
      <c r="R339">
        <v>49205405.405405402</v>
      </c>
      <c r="S339">
        <v>5612</v>
      </c>
      <c r="T339">
        <v>5088</v>
      </c>
    </row>
    <row r="340" spans="1:20" x14ac:dyDescent="0.35">
      <c r="A340" s="7" t="s">
        <v>438</v>
      </c>
      <c r="B340" s="12" t="s">
        <v>71</v>
      </c>
      <c r="C340">
        <v>8710859.6511150766</v>
      </c>
      <c r="D340">
        <v>8128680.8794934452</v>
      </c>
      <c r="G340">
        <v>6</v>
      </c>
      <c r="H340">
        <v>5</v>
      </c>
      <c r="K340">
        <v>6</v>
      </c>
      <c r="L340">
        <v>5</v>
      </c>
      <c r="O340">
        <v>5904675.6756756753</v>
      </c>
      <c r="P340">
        <v>5537063.0630630627</v>
      </c>
      <c r="S340">
        <v>1144</v>
      </c>
      <c r="T340">
        <v>1541</v>
      </c>
    </row>
    <row r="341" spans="1:20" x14ac:dyDescent="0.35">
      <c r="A341" s="7" t="s">
        <v>439</v>
      </c>
      <c r="B341" s="12" t="s">
        <v>196</v>
      </c>
      <c r="C341">
        <v>1323457072.9374261</v>
      </c>
      <c r="D341">
        <v>1331932356.9444242</v>
      </c>
      <c r="E341">
        <v>250728188.2882883</v>
      </c>
      <c r="F341">
        <v>322676213.51351357</v>
      </c>
      <c r="G341">
        <v>352</v>
      </c>
      <c r="H341">
        <v>207</v>
      </c>
      <c r="K341">
        <v>420</v>
      </c>
      <c r="L341">
        <v>283</v>
      </c>
      <c r="M341">
        <v>132477657.65765767</v>
      </c>
      <c r="N341">
        <v>126468018.01801802</v>
      </c>
      <c r="O341">
        <v>227717351.35135135</v>
      </c>
      <c r="P341">
        <v>236327322.52252254</v>
      </c>
      <c r="Q341">
        <v>108297657.65765767</v>
      </c>
      <c r="R341">
        <v>102410720.72072072</v>
      </c>
      <c r="S341">
        <v>20810</v>
      </c>
      <c r="T341">
        <v>20816</v>
      </c>
    </row>
    <row r="342" spans="1:20" x14ac:dyDescent="0.35">
      <c r="A342" s="7" t="s">
        <v>440</v>
      </c>
      <c r="B342" s="12" t="s">
        <v>179</v>
      </c>
      <c r="C342">
        <v>666605199.76332796</v>
      </c>
      <c r="D342">
        <v>653640016.60929954</v>
      </c>
      <c r="E342">
        <v>4356756.7567567592</v>
      </c>
      <c r="F342">
        <v>7199099.0990991034</v>
      </c>
      <c r="G342">
        <v>164</v>
      </c>
      <c r="H342">
        <v>83</v>
      </c>
      <c r="I342">
        <v>1</v>
      </c>
      <c r="K342">
        <v>218</v>
      </c>
      <c r="L342">
        <v>112</v>
      </c>
      <c r="M342">
        <v>114515080.18018018</v>
      </c>
      <c r="N342">
        <v>116626126.12612613</v>
      </c>
      <c r="O342">
        <v>267431536.03603604</v>
      </c>
      <c r="P342">
        <v>277553783.78378379</v>
      </c>
      <c r="Q342">
        <v>104494549.54954955</v>
      </c>
      <c r="R342">
        <v>105248828.82882883</v>
      </c>
      <c r="S342">
        <v>14112</v>
      </c>
      <c r="T342">
        <v>14434</v>
      </c>
    </row>
    <row r="343" spans="1:20" x14ac:dyDescent="0.35">
      <c r="A343" s="7" t="s">
        <v>441</v>
      </c>
      <c r="B343" s="12" t="s">
        <v>79</v>
      </c>
      <c r="C343">
        <v>282120045.98034644</v>
      </c>
      <c r="D343">
        <v>280081659.19624305</v>
      </c>
      <c r="E343">
        <v>3695495.4954954982</v>
      </c>
      <c r="F343">
        <v>5593243.2432432473</v>
      </c>
      <c r="G343">
        <v>59</v>
      </c>
      <c r="H343">
        <v>129</v>
      </c>
      <c r="I343">
        <v>5</v>
      </c>
      <c r="K343">
        <v>119</v>
      </c>
      <c r="L343">
        <v>188</v>
      </c>
      <c r="M343">
        <v>26236036.036036037</v>
      </c>
      <c r="N343">
        <v>37219369.369369365</v>
      </c>
      <c r="O343">
        <v>57365360.360360362</v>
      </c>
      <c r="P343">
        <v>62936378.378378376</v>
      </c>
      <c r="Q343">
        <v>26846936.936936937</v>
      </c>
      <c r="R343">
        <v>33192972.972972974</v>
      </c>
      <c r="S343">
        <v>4980</v>
      </c>
      <c r="T343">
        <v>4881</v>
      </c>
    </row>
    <row r="344" spans="1:20" x14ac:dyDescent="0.35">
      <c r="A344" s="7" t="s">
        <v>442</v>
      </c>
      <c r="B344" s="12" t="s">
        <v>79</v>
      </c>
      <c r="C344">
        <v>119181395.518828</v>
      </c>
      <c r="D344">
        <v>126231496.39373171</v>
      </c>
      <c r="E344">
        <v>2107207.2072072099</v>
      </c>
      <c r="F344">
        <v>1957657.6576576619</v>
      </c>
      <c r="G344">
        <v>30</v>
      </c>
      <c r="H344">
        <v>27</v>
      </c>
      <c r="I344">
        <v>1</v>
      </c>
      <c r="K344">
        <v>41</v>
      </c>
      <c r="L344">
        <v>30</v>
      </c>
      <c r="M344">
        <v>26776306.306306303</v>
      </c>
      <c r="N344">
        <v>24604324.324324325</v>
      </c>
      <c r="O344">
        <v>25861306.306306306</v>
      </c>
      <c r="P344">
        <v>26690360.360360362</v>
      </c>
      <c r="Q344">
        <v>24767747.747747749</v>
      </c>
      <c r="R344">
        <v>21413243.24324324</v>
      </c>
      <c r="S344">
        <v>2383</v>
      </c>
      <c r="T344">
        <v>2387</v>
      </c>
    </row>
    <row r="345" spans="1:20" x14ac:dyDescent="0.35">
      <c r="A345" s="7" t="s">
        <v>443</v>
      </c>
      <c r="B345" s="12" t="s">
        <v>124</v>
      </c>
      <c r="C345">
        <v>1854186.458194409</v>
      </c>
      <c r="D345">
        <v>1167221.2684609611</v>
      </c>
      <c r="O345">
        <v>715450.45045044995</v>
      </c>
      <c r="P345">
        <v>422558.55855855899</v>
      </c>
      <c r="S345">
        <v>1</v>
      </c>
      <c r="T345">
        <v>318</v>
      </c>
    </row>
    <row r="346" spans="1:20" x14ac:dyDescent="0.35">
      <c r="A346" s="7" t="s">
        <v>444</v>
      </c>
      <c r="B346" s="12" t="s">
        <v>141</v>
      </c>
      <c r="C346">
        <v>287385078.84800845</v>
      </c>
      <c r="D346">
        <v>290883873.99870151</v>
      </c>
      <c r="E346">
        <v>2431981.981981982</v>
      </c>
      <c r="F346">
        <v>4881981.9819819862</v>
      </c>
      <c r="G346">
        <v>47</v>
      </c>
      <c r="H346">
        <v>60</v>
      </c>
      <c r="I346">
        <v>10</v>
      </c>
      <c r="K346">
        <v>95</v>
      </c>
      <c r="L346">
        <v>71</v>
      </c>
      <c r="M346">
        <v>33379639.639639638</v>
      </c>
      <c r="N346">
        <v>41314684.684684679</v>
      </c>
      <c r="O346">
        <v>79293603.603603601</v>
      </c>
      <c r="P346">
        <v>84137072.072072059</v>
      </c>
      <c r="Q346">
        <v>26939549.54954955</v>
      </c>
      <c r="R346">
        <v>36020270.270270266</v>
      </c>
      <c r="S346">
        <v>5855</v>
      </c>
      <c r="T346">
        <v>5550</v>
      </c>
    </row>
    <row r="347" spans="1:20" x14ac:dyDescent="0.35">
      <c r="A347" s="7" t="s">
        <v>445</v>
      </c>
      <c r="B347" s="12" t="s">
        <v>77</v>
      </c>
      <c r="C347">
        <v>32158209.697501294</v>
      </c>
      <c r="D347">
        <v>30174643.46171961</v>
      </c>
      <c r="E347">
        <v>254054.054054054</v>
      </c>
      <c r="F347">
        <v>139639.63963963999</v>
      </c>
      <c r="G347">
        <v>5</v>
      </c>
      <c r="H347">
        <v>2</v>
      </c>
      <c r="K347">
        <v>6</v>
      </c>
      <c r="L347">
        <v>2</v>
      </c>
      <c r="M347">
        <v>5258558.558558559</v>
      </c>
      <c r="N347">
        <v>9458558.5585585572</v>
      </c>
      <c r="O347">
        <v>7083711.7117117122</v>
      </c>
      <c r="P347">
        <v>7453297.297297297</v>
      </c>
      <c r="Q347">
        <v>4782522.5225225221</v>
      </c>
      <c r="R347">
        <v>7297027.0270270268</v>
      </c>
      <c r="S347">
        <v>632</v>
      </c>
      <c r="T347">
        <v>589</v>
      </c>
    </row>
    <row r="348" spans="1:20" x14ac:dyDescent="0.35">
      <c r="A348" s="7" t="s">
        <v>446</v>
      </c>
      <c r="B348" s="12" t="s">
        <v>90</v>
      </c>
      <c r="C348">
        <v>886058876.52259016</v>
      </c>
      <c r="D348">
        <v>878762621.37601674</v>
      </c>
      <c r="E348">
        <v>413574319.81981987</v>
      </c>
      <c r="F348">
        <v>750719883.78378379</v>
      </c>
      <c r="G348">
        <v>376</v>
      </c>
      <c r="H348">
        <v>294</v>
      </c>
      <c r="I348">
        <v>3</v>
      </c>
      <c r="K348">
        <v>1181</v>
      </c>
      <c r="L348">
        <v>477</v>
      </c>
      <c r="M348">
        <v>281638108.1081081</v>
      </c>
      <c r="N348">
        <v>132357117.11711712</v>
      </c>
      <c r="O348">
        <v>294513511.71171176</v>
      </c>
      <c r="P348">
        <v>294018324.32432437</v>
      </c>
      <c r="Q348">
        <v>171993243.24324322</v>
      </c>
      <c r="R348">
        <v>129011081.08108108</v>
      </c>
      <c r="S348">
        <v>17401</v>
      </c>
      <c r="T348">
        <v>17121</v>
      </c>
    </row>
    <row r="349" spans="1:20" x14ac:dyDescent="0.35">
      <c r="A349" s="7" t="s">
        <v>447</v>
      </c>
      <c r="B349" s="12" t="s">
        <v>49</v>
      </c>
      <c r="C349">
        <v>87341938.231927231</v>
      </c>
      <c r="D349">
        <v>86849231.367618695</v>
      </c>
      <c r="E349">
        <v>2136036.036036036</v>
      </c>
      <c r="F349">
        <v>1023423.423423424</v>
      </c>
      <c r="G349">
        <v>7</v>
      </c>
      <c r="H349">
        <v>3</v>
      </c>
      <c r="K349">
        <v>9</v>
      </c>
      <c r="L349">
        <v>4</v>
      </c>
      <c r="M349">
        <v>20366126.126126129</v>
      </c>
      <c r="N349">
        <v>15045945.945945946</v>
      </c>
      <c r="O349">
        <v>30157009.009009007</v>
      </c>
      <c r="P349">
        <v>32661297.297297295</v>
      </c>
      <c r="Q349">
        <v>20394144.144144144</v>
      </c>
      <c r="R349">
        <v>15400360.36036036</v>
      </c>
      <c r="S349">
        <v>1124</v>
      </c>
      <c r="T349">
        <v>1102</v>
      </c>
    </row>
    <row r="350" spans="1:20" x14ac:dyDescent="0.35">
      <c r="A350" s="7" t="s">
        <v>448</v>
      </c>
      <c r="B350" s="12" t="s">
        <v>449</v>
      </c>
      <c r="C350">
        <v>177483040.16564113</v>
      </c>
      <c r="D350">
        <v>187836896.66647696</v>
      </c>
      <c r="E350">
        <v>3843243.2432432431</v>
      </c>
      <c r="F350">
        <v>6878378.3783783782</v>
      </c>
      <c r="G350">
        <v>92</v>
      </c>
      <c r="H350">
        <v>386</v>
      </c>
      <c r="K350">
        <v>106</v>
      </c>
      <c r="L350">
        <v>413</v>
      </c>
      <c r="M350">
        <v>15074594.594594596</v>
      </c>
      <c r="N350">
        <v>100850450.45045045</v>
      </c>
      <c r="O350">
        <v>71373153.153153151</v>
      </c>
      <c r="P350">
        <v>78066693.693693697</v>
      </c>
      <c r="Q350">
        <v>16209369.369369373</v>
      </c>
      <c r="R350">
        <v>99615045.045045033</v>
      </c>
      <c r="S350">
        <v>7769</v>
      </c>
      <c r="T350">
        <v>5802</v>
      </c>
    </row>
    <row r="351" spans="1:20" x14ac:dyDescent="0.35">
      <c r="A351" s="7" t="s">
        <v>450</v>
      </c>
      <c r="B351" s="12" t="s">
        <v>77</v>
      </c>
      <c r="C351">
        <v>41623440.311499089</v>
      </c>
      <c r="D351">
        <v>46410606.533629946</v>
      </c>
      <c r="E351">
        <v>558558.55855855998</v>
      </c>
      <c r="F351">
        <v>441441.44144144299</v>
      </c>
      <c r="G351">
        <v>24</v>
      </c>
      <c r="H351">
        <v>23</v>
      </c>
      <c r="I351">
        <v>1</v>
      </c>
      <c r="K351">
        <v>28</v>
      </c>
      <c r="L351">
        <v>29</v>
      </c>
      <c r="M351">
        <v>10530000</v>
      </c>
      <c r="N351">
        <v>14897297.297297299</v>
      </c>
      <c r="O351">
        <v>15036709.90990991</v>
      </c>
      <c r="P351">
        <v>16282774.774774777</v>
      </c>
      <c r="Q351">
        <v>9237387.3873873856</v>
      </c>
      <c r="R351">
        <v>10816846.846846849</v>
      </c>
      <c r="S351">
        <v>1906</v>
      </c>
      <c r="T351">
        <v>1866</v>
      </c>
    </row>
    <row r="352" spans="1:20" x14ac:dyDescent="0.35">
      <c r="A352" s="7" t="s">
        <v>451</v>
      </c>
      <c r="B352" s="12" t="s">
        <v>84</v>
      </c>
      <c r="C352">
        <v>1575546215.7690217</v>
      </c>
      <c r="D352">
        <v>1619631099.735528</v>
      </c>
      <c r="E352">
        <v>635771588.28828824</v>
      </c>
      <c r="F352">
        <v>684625836.93693697</v>
      </c>
      <c r="G352">
        <v>614</v>
      </c>
      <c r="H352">
        <v>333</v>
      </c>
      <c r="I352">
        <v>3</v>
      </c>
      <c r="K352">
        <v>763</v>
      </c>
      <c r="L352">
        <v>565</v>
      </c>
      <c r="M352">
        <v>206644594.5945946</v>
      </c>
      <c r="N352">
        <v>257424504.5045045</v>
      </c>
      <c r="O352">
        <v>343546632.88288289</v>
      </c>
      <c r="P352">
        <v>379870340.54054052</v>
      </c>
      <c r="Q352">
        <v>184574369.36936939</v>
      </c>
      <c r="R352">
        <v>228747342.34234235</v>
      </c>
      <c r="S352">
        <v>33012</v>
      </c>
      <c r="T352">
        <v>31964</v>
      </c>
    </row>
    <row r="353" spans="1:20" x14ac:dyDescent="0.35">
      <c r="A353" s="7" t="s">
        <v>452</v>
      </c>
      <c r="B353" s="12" t="s">
        <v>71</v>
      </c>
      <c r="C353">
        <v>104512552.38347448</v>
      </c>
      <c r="D353">
        <v>101808593.53103565</v>
      </c>
      <c r="E353">
        <v>466666.66666666599</v>
      </c>
      <c r="F353">
        <v>1374774.7747747749</v>
      </c>
      <c r="G353">
        <v>22</v>
      </c>
      <c r="H353">
        <v>11</v>
      </c>
      <c r="K353">
        <v>26</v>
      </c>
      <c r="L353">
        <v>16</v>
      </c>
      <c r="M353">
        <v>2850450.4504504511</v>
      </c>
      <c r="N353">
        <v>189846846.84684685</v>
      </c>
      <c r="O353">
        <v>64985441.441441439</v>
      </c>
      <c r="P353">
        <v>58980729.729729727</v>
      </c>
      <c r="Q353">
        <v>2915945.945945946</v>
      </c>
      <c r="R353">
        <v>188153333.33333334</v>
      </c>
      <c r="S353">
        <v>2862</v>
      </c>
      <c r="T353">
        <v>2612</v>
      </c>
    </row>
    <row r="354" spans="1:20" x14ac:dyDescent="0.35">
      <c r="A354" s="7" t="s">
        <v>453</v>
      </c>
      <c r="B354" s="12" t="s">
        <v>168</v>
      </c>
      <c r="C354">
        <v>125383815.89273158</v>
      </c>
      <c r="D354">
        <v>129238773.3737607</v>
      </c>
      <c r="E354">
        <v>7027027.0270270268</v>
      </c>
      <c r="F354">
        <v>59754054.054054059</v>
      </c>
      <c r="G354">
        <v>3</v>
      </c>
      <c r="H354">
        <v>19</v>
      </c>
      <c r="K354">
        <v>3</v>
      </c>
      <c r="L354">
        <v>24</v>
      </c>
      <c r="M354">
        <v>5186036.036036036</v>
      </c>
      <c r="N354">
        <v>4159459.459459458</v>
      </c>
      <c r="O354">
        <v>24089063.063063063</v>
      </c>
      <c r="P354">
        <v>32262054.054054055</v>
      </c>
      <c r="Q354">
        <v>6253333.333333333</v>
      </c>
      <c r="R354">
        <v>4024504.5045045018</v>
      </c>
      <c r="S354">
        <v>2708</v>
      </c>
      <c r="T354">
        <v>2841</v>
      </c>
    </row>
    <row r="355" spans="1:20" x14ac:dyDescent="0.35">
      <c r="A355" s="7" t="s">
        <v>454</v>
      </c>
      <c r="B355" s="12" t="s">
        <v>122</v>
      </c>
      <c r="C355">
        <v>5052397.2896928033</v>
      </c>
      <c r="D355">
        <v>5819701.9374506138</v>
      </c>
      <c r="E355">
        <v>34234.234234233998</v>
      </c>
      <c r="F355">
        <v>9009.0090090100002</v>
      </c>
      <c r="G355">
        <v>2</v>
      </c>
      <c r="K355">
        <v>2</v>
      </c>
      <c r="M355">
        <v>36036.036036035999</v>
      </c>
      <c r="N355">
        <v>99099.0990991</v>
      </c>
      <c r="O355">
        <v>483873.87387387402</v>
      </c>
      <c r="P355">
        <v>440351.35135135101</v>
      </c>
      <c r="R355">
        <v>90090.090090090001</v>
      </c>
      <c r="S355">
        <v>119</v>
      </c>
      <c r="T355">
        <v>131</v>
      </c>
    </row>
    <row r="356" spans="1:20" x14ac:dyDescent="0.35">
      <c r="A356" s="7" t="s">
        <v>455</v>
      </c>
      <c r="B356" s="12" t="s">
        <v>225</v>
      </c>
      <c r="C356">
        <v>42723416.418277659</v>
      </c>
      <c r="D356">
        <v>44963648.222158134</v>
      </c>
      <c r="F356">
        <v>13513.513513514001</v>
      </c>
      <c r="G356">
        <v>1</v>
      </c>
      <c r="K356">
        <v>2</v>
      </c>
      <c r="N356">
        <v>914414.41441441397</v>
      </c>
      <c r="O356">
        <v>8157153.1531531531</v>
      </c>
      <c r="P356">
        <v>12846090.09009009</v>
      </c>
      <c r="Q356">
        <v>168648.64864864899</v>
      </c>
      <c r="R356">
        <v>237567.56756756801</v>
      </c>
      <c r="S356">
        <v>1335</v>
      </c>
      <c r="T356">
        <v>1293</v>
      </c>
    </row>
    <row r="357" spans="1:20" x14ac:dyDescent="0.35">
      <c r="A357" s="7" t="s">
        <v>456</v>
      </c>
      <c r="B357" s="12" t="s">
        <v>95</v>
      </c>
      <c r="C357">
        <v>65884092.217500784</v>
      </c>
      <c r="D357">
        <v>81808959.614243895</v>
      </c>
      <c r="E357">
        <v>554054.05405405501</v>
      </c>
      <c r="F357">
        <v>1657657.6576576601</v>
      </c>
      <c r="G357">
        <v>18</v>
      </c>
      <c r="H357">
        <v>31</v>
      </c>
      <c r="K357">
        <v>21</v>
      </c>
      <c r="L357">
        <v>34</v>
      </c>
      <c r="M357">
        <v>27213963.963963963</v>
      </c>
      <c r="N357">
        <v>17423423.423423421</v>
      </c>
      <c r="O357">
        <v>15346319.819819819</v>
      </c>
      <c r="P357">
        <v>21291599.0990991</v>
      </c>
      <c r="Q357">
        <v>27740090.090090089</v>
      </c>
      <c r="R357">
        <v>15596126.126126124</v>
      </c>
      <c r="S357">
        <v>1874</v>
      </c>
      <c r="T357">
        <v>2103</v>
      </c>
    </row>
    <row r="358" spans="1:20" x14ac:dyDescent="0.35">
      <c r="A358" s="7" t="s">
        <v>667</v>
      </c>
      <c r="B358" s="12" t="s">
        <v>190</v>
      </c>
      <c r="E358">
        <v>3603603.6036036038</v>
      </c>
      <c r="F358">
        <v>37972972.972972974</v>
      </c>
      <c r="M358">
        <v>34684.684684685002</v>
      </c>
    </row>
    <row r="359" spans="1:20" x14ac:dyDescent="0.35">
      <c r="A359" s="7" t="s">
        <v>457</v>
      </c>
      <c r="B359" s="12" t="s">
        <v>61</v>
      </c>
      <c r="C359">
        <v>9196537.6661375798</v>
      </c>
      <c r="D359">
        <v>11364208.805291681</v>
      </c>
      <c r="E359">
        <v>172072.07207207201</v>
      </c>
      <c r="F359">
        <v>46846.846846847002</v>
      </c>
      <c r="G359">
        <v>5</v>
      </c>
      <c r="H359">
        <v>4</v>
      </c>
      <c r="K359">
        <v>6</v>
      </c>
      <c r="L359">
        <v>5</v>
      </c>
      <c r="M359">
        <v>1208108.1081081091</v>
      </c>
      <c r="N359">
        <v>947747.74774774804</v>
      </c>
      <c r="O359">
        <v>4090441.441441441</v>
      </c>
      <c r="P359">
        <v>5915063.0630630637</v>
      </c>
      <c r="Q359">
        <v>731441.44144144095</v>
      </c>
      <c r="R359">
        <v>979189.189189189</v>
      </c>
      <c r="S359">
        <v>559</v>
      </c>
      <c r="T359">
        <v>555</v>
      </c>
    </row>
    <row r="360" spans="1:20" x14ac:dyDescent="0.35">
      <c r="A360" s="7" t="s">
        <v>671</v>
      </c>
      <c r="B360" s="12" t="s">
        <v>215</v>
      </c>
      <c r="E360">
        <v>2477477.4774774769</v>
      </c>
      <c r="F360">
        <v>88153153.153153151</v>
      </c>
      <c r="M360">
        <v>1695495.4954954949</v>
      </c>
      <c r="N360">
        <v>39639.639639640001</v>
      </c>
    </row>
    <row r="361" spans="1:20" x14ac:dyDescent="0.35">
      <c r="A361" s="7" t="s">
        <v>458</v>
      </c>
      <c r="B361" s="12" t="s">
        <v>215</v>
      </c>
      <c r="C361">
        <v>174238981.93467769</v>
      </c>
      <c r="D361">
        <v>169461424.32292956</v>
      </c>
      <c r="E361">
        <v>410810.810810811</v>
      </c>
      <c r="G361">
        <v>26</v>
      </c>
      <c r="H361">
        <v>10</v>
      </c>
      <c r="K361">
        <v>27</v>
      </c>
      <c r="L361">
        <v>12</v>
      </c>
      <c r="M361">
        <v>951351.35135135101</v>
      </c>
      <c r="N361">
        <v>360360.36036036001</v>
      </c>
      <c r="O361">
        <v>89627756.756756753</v>
      </c>
      <c r="P361">
        <v>90316531.531531543</v>
      </c>
      <c r="Q361">
        <v>1759909.9099099101</v>
      </c>
      <c r="R361">
        <v>427117.11711711698</v>
      </c>
      <c r="S361">
        <v>3020</v>
      </c>
      <c r="T361">
        <v>3009</v>
      </c>
    </row>
    <row r="362" spans="1:20" x14ac:dyDescent="0.35">
      <c r="A362" s="7" t="s">
        <v>459</v>
      </c>
      <c r="B362" s="12" t="s">
        <v>460</v>
      </c>
      <c r="C362">
        <v>679960044.30937195</v>
      </c>
      <c r="D362">
        <v>717914181.95036817</v>
      </c>
      <c r="E362">
        <v>17237837.837837853</v>
      </c>
      <c r="F362">
        <v>22652252.252252258</v>
      </c>
      <c r="G362">
        <v>360</v>
      </c>
      <c r="H362">
        <v>309</v>
      </c>
      <c r="I362">
        <v>1</v>
      </c>
      <c r="K362">
        <v>474</v>
      </c>
      <c r="L362">
        <v>428</v>
      </c>
      <c r="M362">
        <v>250890765.76576576</v>
      </c>
      <c r="N362">
        <v>256071486.48648649</v>
      </c>
      <c r="O362">
        <v>242096596.84684685</v>
      </c>
      <c r="P362">
        <v>270560780.18018019</v>
      </c>
      <c r="Q362">
        <v>174418783.78378376</v>
      </c>
      <c r="R362">
        <v>200597432.43243241</v>
      </c>
      <c r="S362">
        <v>32186</v>
      </c>
      <c r="T362">
        <v>24897</v>
      </c>
    </row>
    <row r="363" spans="1:20" x14ac:dyDescent="0.35">
      <c r="A363" s="7" t="s">
        <v>461</v>
      </c>
      <c r="B363" s="12" t="s">
        <v>460</v>
      </c>
      <c r="C363">
        <v>2262599036.8244433</v>
      </c>
      <c r="D363">
        <v>2419966495.8933525</v>
      </c>
      <c r="E363">
        <v>15379279.279279284</v>
      </c>
      <c r="F363">
        <v>21367117.117117126</v>
      </c>
      <c r="G363">
        <v>482</v>
      </c>
      <c r="H363">
        <v>506</v>
      </c>
      <c r="I363">
        <v>5</v>
      </c>
      <c r="K363">
        <v>575</v>
      </c>
      <c r="L363">
        <v>749</v>
      </c>
      <c r="M363">
        <v>118337972.97297296</v>
      </c>
      <c r="N363">
        <v>211352522.52252254</v>
      </c>
      <c r="O363">
        <v>1440747176.1261261</v>
      </c>
      <c r="P363">
        <v>1582642450.4504504</v>
      </c>
      <c r="Q363">
        <v>111937072.07207206</v>
      </c>
      <c r="R363">
        <v>158822792.7927928</v>
      </c>
      <c r="S363">
        <v>40649</v>
      </c>
      <c r="T363">
        <v>31176</v>
      </c>
    </row>
    <row r="364" spans="1:20" x14ac:dyDescent="0.35">
      <c r="A364" s="7" t="s">
        <v>462</v>
      </c>
      <c r="B364" s="12" t="s">
        <v>460</v>
      </c>
      <c r="C364">
        <v>1076654803.0308313</v>
      </c>
      <c r="D364">
        <v>1078715827.4796424</v>
      </c>
      <c r="E364">
        <v>27519307.20720721</v>
      </c>
      <c r="F364">
        <v>35917716.216216214</v>
      </c>
      <c r="G364">
        <v>332</v>
      </c>
      <c r="H364">
        <v>446</v>
      </c>
      <c r="I364">
        <v>6</v>
      </c>
      <c r="K364">
        <v>421</v>
      </c>
      <c r="L364">
        <v>650</v>
      </c>
      <c r="M364">
        <v>892499272.07207203</v>
      </c>
      <c r="N364">
        <v>1096238752.2522523</v>
      </c>
      <c r="O364">
        <v>299859256.75675672</v>
      </c>
      <c r="P364">
        <v>319218214.41441441</v>
      </c>
      <c r="Q364">
        <v>885621396.3963964</v>
      </c>
      <c r="R364">
        <v>205417702.7027027</v>
      </c>
      <c r="S364">
        <v>31661</v>
      </c>
      <c r="T364">
        <v>23286</v>
      </c>
    </row>
    <row r="365" spans="1:20" x14ac:dyDescent="0.35">
      <c r="A365" s="7" t="s">
        <v>463</v>
      </c>
      <c r="B365" s="12" t="s">
        <v>460</v>
      </c>
      <c r="C365">
        <v>782990397.40429318</v>
      </c>
      <c r="D365">
        <v>713338300.76352191</v>
      </c>
      <c r="E365">
        <v>4896396.3963964023</v>
      </c>
      <c r="F365">
        <v>9838738.738738738</v>
      </c>
      <c r="G365">
        <v>282</v>
      </c>
      <c r="H365">
        <v>140</v>
      </c>
      <c r="I365">
        <v>5</v>
      </c>
      <c r="K365">
        <v>338</v>
      </c>
      <c r="L365">
        <v>179</v>
      </c>
      <c r="M365">
        <v>134886396.3963964</v>
      </c>
      <c r="N365">
        <v>121388000</v>
      </c>
      <c r="O365">
        <v>177260342.34234235</v>
      </c>
      <c r="P365">
        <v>179223529.72972974</v>
      </c>
      <c r="Q365">
        <v>81724774.774774775</v>
      </c>
      <c r="R365">
        <v>99348108.108108103</v>
      </c>
      <c r="S365">
        <v>24652</v>
      </c>
      <c r="T365">
        <v>17470</v>
      </c>
    </row>
    <row r="366" spans="1:20" x14ac:dyDescent="0.35">
      <c r="A366" s="7" t="s">
        <v>464</v>
      </c>
      <c r="B366" s="12" t="s">
        <v>460</v>
      </c>
      <c r="C366">
        <v>756073182.12471318</v>
      </c>
      <c r="D366">
        <v>788232768.34621871</v>
      </c>
      <c r="E366">
        <v>400897342.34234232</v>
      </c>
      <c r="F366">
        <v>331993693.6936937</v>
      </c>
      <c r="G366">
        <v>751</v>
      </c>
      <c r="H366">
        <v>499</v>
      </c>
      <c r="I366">
        <v>1</v>
      </c>
      <c r="K366">
        <v>867</v>
      </c>
      <c r="L366">
        <v>1136</v>
      </c>
      <c r="M366">
        <v>182114369.36936939</v>
      </c>
      <c r="N366">
        <v>335689234.23423421</v>
      </c>
      <c r="O366">
        <v>303607781.53153151</v>
      </c>
      <c r="P366">
        <v>321929900.9009009</v>
      </c>
      <c r="Q366">
        <v>191517297.29729727</v>
      </c>
      <c r="R366">
        <v>245033018.01801801</v>
      </c>
      <c r="S366">
        <v>27286</v>
      </c>
      <c r="T366">
        <v>26801</v>
      </c>
    </row>
    <row r="367" spans="1:20" x14ac:dyDescent="0.35">
      <c r="A367" s="7" t="s">
        <v>465</v>
      </c>
      <c r="B367" s="12" t="s">
        <v>460</v>
      </c>
      <c r="C367">
        <v>874505376.87878716</v>
      </c>
      <c r="D367">
        <v>856129424.09482706</v>
      </c>
      <c r="E367">
        <v>1969639199.0990992</v>
      </c>
      <c r="F367">
        <v>1394499302.7027025</v>
      </c>
      <c r="G367">
        <v>318</v>
      </c>
      <c r="H367">
        <v>199</v>
      </c>
      <c r="K367">
        <v>360</v>
      </c>
      <c r="L367">
        <v>269</v>
      </c>
      <c r="M367">
        <v>123163192.7927928</v>
      </c>
      <c r="N367">
        <v>206009009.00900903</v>
      </c>
      <c r="O367">
        <v>376702797.74774778</v>
      </c>
      <c r="P367">
        <v>389907954.95495492</v>
      </c>
      <c r="Q367">
        <v>119648738.73873873</v>
      </c>
      <c r="R367">
        <v>199884054.05405405</v>
      </c>
      <c r="S367">
        <v>37513</v>
      </c>
      <c r="T367">
        <v>28932</v>
      </c>
    </row>
    <row r="368" spans="1:20" x14ac:dyDescent="0.35">
      <c r="A368" s="7" t="s">
        <v>466</v>
      </c>
      <c r="B368" s="12" t="s">
        <v>55</v>
      </c>
      <c r="C368">
        <v>57007373.817534007</v>
      </c>
      <c r="D368">
        <v>57488140.585197702</v>
      </c>
      <c r="E368">
        <v>850450.45045044995</v>
      </c>
      <c r="F368">
        <v>592792.79279279395</v>
      </c>
      <c r="G368">
        <v>14</v>
      </c>
      <c r="H368">
        <v>9</v>
      </c>
      <c r="K368">
        <v>16</v>
      </c>
      <c r="L368">
        <v>52</v>
      </c>
      <c r="M368">
        <v>5934054.0540540554</v>
      </c>
      <c r="N368">
        <v>6255495.4954954963</v>
      </c>
      <c r="O368">
        <v>12235981.981981982</v>
      </c>
      <c r="P368">
        <v>12626954.954954956</v>
      </c>
      <c r="Q368">
        <v>5624774.774774774</v>
      </c>
      <c r="R368">
        <v>5976846.8468468459</v>
      </c>
      <c r="S368">
        <v>1303</v>
      </c>
      <c r="T368">
        <v>1244</v>
      </c>
    </row>
    <row r="369" spans="1:20" x14ac:dyDescent="0.35">
      <c r="A369" s="7" t="s">
        <v>467</v>
      </c>
      <c r="B369" s="12" t="s">
        <v>88</v>
      </c>
      <c r="C369">
        <v>2171311.0043694349</v>
      </c>
      <c r="D369">
        <v>2537449.904145828</v>
      </c>
      <c r="H369">
        <v>1</v>
      </c>
      <c r="L369">
        <v>1</v>
      </c>
      <c r="O369">
        <v>351351.35135135101</v>
      </c>
      <c r="P369">
        <v>1110585.585585586</v>
      </c>
      <c r="S369">
        <v>95</v>
      </c>
      <c r="T369">
        <v>83</v>
      </c>
    </row>
    <row r="370" spans="1:20" x14ac:dyDescent="0.35">
      <c r="A370" s="7" t="s">
        <v>468</v>
      </c>
      <c r="B370" s="12" t="s">
        <v>144</v>
      </c>
      <c r="C370">
        <v>269384768.78972012</v>
      </c>
      <c r="D370">
        <v>297545677.17267364</v>
      </c>
      <c r="E370">
        <v>266666.66666666802</v>
      </c>
      <c r="F370">
        <v>328828.82882882998</v>
      </c>
      <c r="G370">
        <v>55</v>
      </c>
      <c r="H370">
        <v>10</v>
      </c>
      <c r="K370">
        <v>57</v>
      </c>
      <c r="L370">
        <v>10</v>
      </c>
      <c r="M370">
        <v>15843243.243243244</v>
      </c>
      <c r="N370">
        <v>17310810.810810812</v>
      </c>
      <c r="O370">
        <v>42317852.252252258</v>
      </c>
      <c r="P370">
        <v>56105908.108108111</v>
      </c>
      <c r="Q370">
        <v>12043603.603603603</v>
      </c>
      <c r="R370">
        <v>13773376.576576576</v>
      </c>
      <c r="S370">
        <v>5065</v>
      </c>
      <c r="T370">
        <v>5089</v>
      </c>
    </row>
    <row r="371" spans="1:20" x14ac:dyDescent="0.35">
      <c r="A371" s="7" t="s">
        <v>469</v>
      </c>
      <c r="B371" s="12" t="s">
        <v>81</v>
      </c>
      <c r="C371">
        <v>234369630.98532987</v>
      </c>
      <c r="D371">
        <v>231789934.87371644</v>
      </c>
      <c r="E371">
        <v>85135.135135138</v>
      </c>
      <c r="F371">
        <v>1138738.738738741</v>
      </c>
      <c r="G371">
        <v>38</v>
      </c>
      <c r="H371">
        <v>29</v>
      </c>
      <c r="K371">
        <v>43</v>
      </c>
      <c r="L371">
        <v>31</v>
      </c>
      <c r="M371">
        <v>6056306.3063063063</v>
      </c>
      <c r="N371">
        <v>8165765.7657657657</v>
      </c>
      <c r="O371">
        <v>89131720.720720723</v>
      </c>
      <c r="P371">
        <v>89451677.477477476</v>
      </c>
      <c r="Q371">
        <v>5494414.4144144142</v>
      </c>
      <c r="R371">
        <v>6029279.2792792786</v>
      </c>
      <c r="S371">
        <v>4985</v>
      </c>
      <c r="T371">
        <v>5422</v>
      </c>
    </row>
    <row r="372" spans="1:20" x14ac:dyDescent="0.35">
      <c r="A372" s="7" t="s">
        <v>470</v>
      </c>
      <c r="B372" s="12" t="s">
        <v>471</v>
      </c>
      <c r="C372">
        <v>279893574.84413856</v>
      </c>
      <c r="D372">
        <v>278038744.90621889</v>
      </c>
      <c r="E372">
        <v>292472008.1081081</v>
      </c>
      <c r="F372">
        <v>172031038.73873875</v>
      </c>
      <c r="G372">
        <v>28</v>
      </c>
      <c r="H372">
        <v>36</v>
      </c>
      <c r="K372">
        <v>30</v>
      </c>
      <c r="L372">
        <v>49</v>
      </c>
      <c r="M372">
        <v>52272218.018018015</v>
      </c>
      <c r="N372">
        <v>27720006.306306306</v>
      </c>
      <c r="O372">
        <v>87908727.927927941</v>
      </c>
      <c r="P372">
        <v>94077041.441441447</v>
      </c>
      <c r="Q372">
        <v>24858061.261261258</v>
      </c>
      <c r="R372">
        <v>32810342.342342343</v>
      </c>
      <c r="S372">
        <v>5394</v>
      </c>
      <c r="T372">
        <v>5142</v>
      </c>
    </row>
    <row r="373" spans="1:20" x14ac:dyDescent="0.35">
      <c r="A373" s="7" t="s">
        <v>472</v>
      </c>
      <c r="B373" s="12" t="s">
        <v>471</v>
      </c>
      <c r="C373">
        <v>23351459.125308271</v>
      </c>
      <c r="D373">
        <v>24035302.110487759</v>
      </c>
      <c r="E373">
        <v>207207.20720720699</v>
      </c>
      <c r="F373">
        <v>117117.117117117</v>
      </c>
      <c r="G373">
        <v>1</v>
      </c>
      <c r="H373">
        <v>1</v>
      </c>
      <c r="K373">
        <v>2</v>
      </c>
      <c r="L373">
        <v>1</v>
      </c>
      <c r="M373">
        <v>2765765.7657657661</v>
      </c>
      <c r="N373">
        <v>117117.117117117</v>
      </c>
      <c r="O373">
        <v>2154819.8198198201</v>
      </c>
      <c r="P373">
        <v>3088675.6756756762</v>
      </c>
      <c r="Q373">
        <v>2895135.1351351351</v>
      </c>
      <c r="R373">
        <v>218918.91891891899</v>
      </c>
      <c r="S373">
        <v>607</v>
      </c>
      <c r="T373">
        <v>649</v>
      </c>
    </row>
    <row r="374" spans="1:20" x14ac:dyDescent="0.35">
      <c r="A374" s="7" t="s">
        <v>473</v>
      </c>
      <c r="B374" s="12" t="s">
        <v>471</v>
      </c>
      <c r="C374">
        <v>2829725.3679795791</v>
      </c>
      <c r="D374">
        <v>2942341.4773755982</v>
      </c>
      <c r="E374">
        <v>375675.67567567597</v>
      </c>
      <c r="F374">
        <v>229729.72972973</v>
      </c>
      <c r="M374">
        <v>2925225.225225226</v>
      </c>
      <c r="N374">
        <v>680180.18018018105</v>
      </c>
      <c r="O374">
        <v>627747.74774774804</v>
      </c>
      <c r="P374">
        <v>714639.63963963999</v>
      </c>
      <c r="Q374">
        <v>2703603.6036036038</v>
      </c>
      <c r="R374">
        <v>4247207.2072072066</v>
      </c>
      <c r="S374">
        <v>352</v>
      </c>
      <c r="T374">
        <v>420</v>
      </c>
    </row>
    <row r="375" spans="1:20" x14ac:dyDescent="0.35">
      <c r="A375" s="7" t="s">
        <v>474</v>
      </c>
      <c r="B375" s="12" t="s">
        <v>471</v>
      </c>
      <c r="C375">
        <v>98820820.283602208</v>
      </c>
      <c r="D375">
        <v>96494677.073125362</v>
      </c>
      <c r="E375">
        <v>550450.450450451</v>
      </c>
      <c r="F375">
        <v>1392698.198198199</v>
      </c>
      <c r="G375">
        <v>14</v>
      </c>
      <c r="H375">
        <v>23</v>
      </c>
      <c r="K375">
        <v>14</v>
      </c>
      <c r="L375">
        <v>41</v>
      </c>
      <c r="M375">
        <v>26030180.180180181</v>
      </c>
      <c r="N375">
        <v>16605495.495495496</v>
      </c>
      <c r="O375">
        <v>13730306.306306308</v>
      </c>
      <c r="P375">
        <v>17520223.423423424</v>
      </c>
      <c r="Q375">
        <v>20398828.828828827</v>
      </c>
      <c r="R375">
        <v>19260540.540540539</v>
      </c>
      <c r="S375">
        <v>2215</v>
      </c>
      <c r="T375">
        <v>2289</v>
      </c>
    </row>
    <row r="376" spans="1:20" x14ac:dyDescent="0.35">
      <c r="A376" s="7" t="s">
        <v>475</v>
      </c>
      <c r="B376" s="12" t="s">
        <v>471</v>
      </c>
      <c r="C376">
        <v>138650118.60002914</v>
      </c>
      <c r="D376">
        <v>136822645.84519014</v>
      </c>
      <c r="E376">
        <v>1087387.3873873891</v>
      </c>
      <c r="F376">
        <v>1408108.108108111</v>
      </c>
      <c r="G376">
        <v>28</v>
      </c>
      <c r="H376">
        <v>14</v>
      </c>
      <c r="K376">
        <v>30</v>
      </c>
      <c r="L376">
        <v>16</v>
      </c>
      <c r="M376">
        <v>10980270.270270269</v>
      </c>
      <c r="N376">
        <v>4673333.3333333349</v>
      </c>
      <c r="O376">
        <v>30535918.918918919</v>
      </c>
      <c r="P376">
        <v>33592936.936936937</v>
      </c>
      <c r="Q376">
        <v>11250540.540540542</v>
      </c>
      <c r="R376">
        <v>11818738.73873874</v>
      </c>
      <c r="S376">
        <v>2352</v>
      </c>
      <c r="T376">
        <v>2480</v>
      </c>
    </row>
    <row r="377" spans="1:20" x14ac:dyDescent="0.35">
      <c r="A377" s="7" t="s">
        <v>476</v>
      </c>
      <c r="B377" s="12" t="s">
        <v>471</v>
      </c>
      <c r="C377">
        <v>51250094.482026353</v>
      </c>
      <c r="D377">
        <v>51530942.472619891</v>
      </c>
      <c r="E377">
        <v>345045.04504504602</v>
      </c>
      <c r="F377">
        <v>467567.56756757002</v>
      </c>
      <c r="G377">
        <v>6</v>
      </c>
      <c r="H377">
        <v>5</v>
      </c>
      <c r="K377">
        <v>6</v>
      </c>
      <c r="L377">
        <v>6</v>
      </c>
      <c r="M377">
        <v>7444144.1441441448</v>
      </c>
      <c r="N377">
        <v>3418018.0180180189</v>
      </c>
      <c r="O377">
        <v>10657403.603603603</v>
      </c>
      <c r="P377">
        <v>13289054.054054052</v>
      </c>
      <c r="Q377">
        <v>6528198.1981981983</v>
      </c>
      <c r="R377">
        <v>7581891.891891893</v>
      </c>
      <c r="S377">
        <v>1409</v>
      </c>
      <c r="T377">
        <v>1416</v>
      </c>
    </row>
    <row r="378" spans="1:20" x14ac:dyDescent="0.35">
      <c r="A378" s="7" t="s">
        <v>477</v>
      </c>
      <c r="B378" s="12" t="s">
        <v>471</v>
      </c>
      <c r="C378">
        <v>527468333.62455112</v>
      </c>
      <c r="D378">
        <v>545747781.33054066</v>
      </c>
      <c r="E378">
        <v>10375675.675675681</v>
      </c>
      <c r="F378">
        <v>8955855.8558558691</v>
      </c>
      <c r="G378">
        <v>197</v>
      </c>
      <c r="H378">
        <v>393</v>
      </c>
      <c r="K378">
        <v>363</v>
      </c>
      <c r="L378">
        <v>459</v>
      </c>
      <c r="M378">
        <v>142032162.16216215</v>
      </c>
      <c r="N378">
        <v>123555495.49549548</v>
      </c>
      <c r="O378">
        <v>138908196.3963964</v>
      </c>
      <c r="P378">
        <v>152567598.1981982</v>
      </c>
      <c r="Q378">
        <v>142093513.51351351</v>
      </c>
      <c r="R378">
        <v>124424234.23423424</v>
      </c>
      <c r="S378">
        <v>17135</v>
      </c>
      <c r="T378">
        <v>17198</v>
      </c>
    </row>
    <row r="379" spans="1:20" x14ac:dyDescent="0.35">
      <c r="A379" s="7" t="s">
        <v>478</v>
      </c>
      <c r="B379" s="12" t="s">
        <v>261</v>
      </c>
      <c r="C379">
        <v>633411549.21546197</v>
      </c>
      <c r="D379">
        <v>623776219.19213045</v>
      </c>
      <c r="E379">
        <v>3446171.1711711711</v>
      </c>
      <c r="F379">
        <v>5369369.3693693718</v>
      </c>
      <c r="G379">
        <v>131</v>
      </c>
      <c r="H379">
        <v>76</v>
      </c>
      <c r="I379">
        <v>1</v>
      </c>
      <c r="K379">
        <v>136</v>
      </c>
      <c r="L379">
        <v>82</v>
      </c>
      <c r="M379">
        <v>79311711.711711705</v>
      </c>
      <c r="N379">
        <v>96969369.369369373</v>
      </c>
      <c r="O379">
        <v>167981959.45945945</v>
      </c>
      <c r="P379">
        <v>179254936.93693691</v>
      </c>
      <c r="Q379">
        <v>78213243.243243247</v>
      </c>
      <c r="R379">
        <v>93507477.477477476</v>
      </c>
      <c r="S379">
        <v>11116</v>
      </c>
      <c r="T379">
        <v>12118</v>
      </c>
    </row>
    <row r="380" spans="1:20" x14ac:dyDescent="0.35">
      <c r="A380" s="7" t="s">
        <v>479</v>
      </c>
      <c r="B380" s="12" t="s">
        <v>480</v>
      </c>
      <c r="C380">
        <v>45381209.478260517</v>
      </c>
      <c r="D380">
        <v>44807061.049374178</v>
      </c>
      <c r="E380">
        <v>667567.56756756897</v>
      </c>
      <c r="F380">
        <v>685585.58558558603</v>
      </c>
      <c r="G380">
        <v>12</v>
      </c>
      <c r="H380">
        <v>14</v>
      </c>
      <c r="K380">
        <v>14</v>
      </c>
      <c r="L380">
        <v>15</v>
      </c>
      <c r="M380">
        <v>16450900.900900902</v>
      </c>
      <c r="N380">
        <v>16013333.333333332</v>
      </c>
      <c r="O380">
        <v>10869324.324324325</v>
      </c>
      <c r="P380">
        <v>12315304.504504504</v>
      </c>
      <c r="Q380">
        <v>16370270.270270269</v>
      </c>
      <c r="R380">
        <v>16315495.495495496</v>
      </c>
      <c r="S380">
        <v>1123</v>
      </c>
      <c r="T380">
        <v>784</v>
      </c>
    </row>
    <row r="381" spans="1:20" x14ac:dyDescent="0.35">
      <c r="A381" s="7" t="s">
        <v>481</v>
      </c>
      <c r="B381" s="12" t="s">
        <v>124</v>
      </c>
      <c r="C381">
        <v>335850316.95481521</v>
      </c>
      <c r="D381">
        <v>326187962.95196217</v>
      </c>
      <c r="E381">
        <v>3805405.4054054068</v>
      </c>
      <c r="F381">
        <v>2049549.5495495519</v>
      </c>
      <c r="G381">
        <v>68</v>
      </c>
      <c r="H381">
        <v>50</v>
      </c>
      <c r="K381">
        <v>77</v>
      </c>
      <c r="L381">
        <v>53</v>
      </c>
      <c r="M381">
        <v>21800000</v>
      </c>
      <c r="N381">
        <v>25691351.351351351</v>
      </c>
      <c r="O381">
        <v>126524481.98198198</v>
      </c>
      <c r="P381">
        <v>133336502.7027027</v>
      </c>
      <c r="Q381">
        <v>19974864.864864863</v>
      </c>
      <c r="R381">
        <v>22985585.585585583</v>
      </c>
      <c r="S381">
        <v>5943</v>
      </c>
      <c r="T381">
        <v>5645</v>
      </c>
    </row>
    <row r="382" spans="1:20" x14ac:dyDescent="0.35">
      <c r="A382" s="7" t="s">
        <v>482</v>
      </c>
      <c r="B382" s="12" t="s">
        <v>471</v>
      </c>
      <c r="C382">
        <v>26516123.161242954</v>
      </c>
      <c r="D382">
        <v>27235356.071623731</v>
      </c>
      <c r="E382">
        <v>94594.594594594993</v>
      </c>
      <c r="F382">
        <v>327027.02702702698</v>
      </c>
      <c r="G382">
        <v>3</v>
      </c>
      <c r="H382">
        <v>2</v>
      </c>
      <c r="K382">
        <v>4</v>
      </c>
      <c r="L382">
        <v>2</v>
      </c>
      <c r="M382">
        <v>1445945.945945946</v>
      </c>
      <c r="N382">
        <v>790990.99099099101</v>
      </c>
      <c r="O382">
        <v>3686297.297297297</v>
      </c>
      <c r="P382">
        <v>3937693.6936936942</v>
      </c>
      <c r="Q382">
        <v>873873.87387387303</v>
      </c>
      <c r="R382">
        <v>1151351.351351351</v>
      </c>
      <c r="S382">
        <v>603</v>
      </c>
      <c r="T382">
        <v>619</v>
      </c>
    </row>
    <row r="383" spans="1:20" x14ac:dyDescent="0.35">
      <c r="A383" s="7" t="s">
        <v>672</v>
      </c>
      <c r="B383" s="12" t="s">
        <v>284</v>
      </c>
      <c r="E383">
        <v>348592854.95495492</v>
      </c>
      <c r="F383">
        <v>188837013.51351351</v>
      </c>
      <c r="M383">
        <v>20099433.333333336</v>
      </c>
      <c r="N383">
        <v>13644290.09009009</v>
      </c>
    </row>
    <row r="384" spans="1:20" x14ac:dyDescent="0.35">
      <c r="A384" s="7" t="s">
        <v>673</v>
      </c>
      <c r="B384" s="12" t="s">
        <v>86</v>
      </c>
      <c r="E384">
        <v>521792734.23423421</v>
      </c>
      <c r="F384">
        <v>588169567.56756759</v>
      </c>
      <c r="M384">
        <v>34467567.567567565</v>
      </c>
      <c r="N384">
        <v>21558558.558558561</v>
      </c>
    </row>
    <row r="385" spans="1:20" x14ac:dyDescent="0.35">
      <c r="A385" s="7" t="s">
        <v>483</v>
      </c>
      <c r="B385" s="12" t="s">
        <v>168</v>
      </c>
      <c r="C385">
        <v>274783014.61718488</v>
      </c>
      <c r="D385">
        <v>288744447.72221953</v>
      </c>
      <c r="E385">
        <v>2708108.1081081098</v>
      </c>
      <c r="F385">
        <v>6807207.2072072066</v>
      </c>
      <c r="G385">
        <v>204</v>
      </c>
      <c r="H385">
        <v>49</v>
      </c>
      <c r="K385">
        <v>275</v>
      </c>
      <c r="L385">
        <v>107</v>
      </c>
      <c r="M385">
        <v>22436072.97297297</v>
      </c>
      <c r="N385">
        <v>34250675.675675675</v>
      </c>
      <c r="O385">
        <v>114690126.12612613</v>
      </c>
      <c r="P385">
        <v>125801522.52252252</v>
      </c>
      <c r="Q385">
        <v>21738558.558558557</v>
      </c>
      <c r="R385">
        <v>32660495.495495494</v>
      </c>
      <c r="S385">
        <v>8715</v>
      </c>
      <c r="T385">
        <v>8415</v>
      </c>
    </row>
    <row r="386" spans="1:20" x14ac:dyDescent="0.35">
      <c r="A386" s="7" t="s">
        <v>484</v>
      </c>
      <c r="B386" s="12" t="s">
        <v>168</v>
      </c>
      <c r="C386">
        <v>315743416.66748768</v>
      </c>
      <c r="D386">
        <v>326988019.44489783</v>
      </c>
      <c r="E386">
        <v>477448992.7927928</v>
      </c>
      <c r="F386">
        <v>478070527.92792791</v>
      </c>
      <c r="G386">
        <v>409</v>
      </c>
      <c r="H386">
        <v>201</v>
      </c>
      <c r="K386">
        <v>949</v>
      </c>
      <c r="L386">
        <v>645</v>
      </c>
      <c r="M386">
        <v>51029054.954954959</v>
      </c>
      <c r="N386">
        <v>86767117.117117122</v>
      </c>
      <c r="O386">
        <v>122035435.13513513</v>
      </c>
      <c r="P386">
        <v>139838563.96396396</v>
      </c>
      <c r="Q386">
        <v>47424457.657657661</v>
      </c>
      <c r="R386">
        <v>75013016.216216221</v>
      </c>
      <c r="S386">
        <v>9823</v>
      </c>
      <c r="T386">
        <v>10219</v>
      </c>
    </row>
    <row r="387" spans="1:20" x14ac:dyDescent="0.35">
      <c r="A387" s="7" t="s">
        <v>676</v>
      </c>
      <c r="B387" s="12" t="s">
        <v>182</v>
      </c>
      <c r="M387">
        <v>1073873.8738738741</v>
      </c>
      <c r="N387">
        <v>3297297.297297297</v>
      </c>
    </row>
    <row r="388" spans="1:20" x14ac:dyDescent="0.35">
      <c r="A388" s="7" t="s">
        <v>485</v>
      </c>
      <c r="B388" s="12" t="s">
        <v>51</v>
      </c>
      <c r="C388">
        <v>186766377.69113746</v>
      </c>
      <c r="D388">
        <v>188706011.42369977</v>
      </c>
      <c r="E388">
        <v>2904504.504504506</v>
      </c>
      <c r="F388">
        <v>3097297.2972972998</v>
      </c>
      <c r="G388">
        <v>50</v>
      </c>
      <c r="H388">
        <v>33</v>
      </c>
      <c r="K388">
        <v>53</v>
      </c>
      <c r="L388">
        <v>36</v>
      </c>
      <c r="M388">
        <v>32370630.630630627</v>
      </c>
      <c r="N388">
        <v>38208378.378378376</v>
      </c>
      <c r="O388">
        <v>84270196.396396399</v>
      </c>
      <c r="P388">
        <v>86696837.837837845</v>
      </c>
      <c r="Q388">
        <v>32976216.216216218</v>
      </c>
      <c r="R388">
        <v>33601531.531531528</v>
      </c>
      <c r="S388">
        <v>3811</v>
      </c>
      <c r="T388">
        <v>3339</v>
      </c>
    </row>
    <row r="389" spans="1:20" x14ac:dyDescent="0.35">
      <c r="A389" s="7" t="s">
        <v>486</v>
      </c>
      <c r="B389" s="12" t="s">
        <v>135</v>
      </c>
      <c r="C389">
        <v>249809355.2048893</v>
      </c>
      <c r="D389">
        <v>251162058.89196914</v>
      </c>
      <c r="E389">
        <v>1912612.612612613</v>
      </c>
      <c r="F389">
        <v>1563963.9639639659</v>
      </c>
      <c r="G389">
        <v>41</v>
      </c>
      <c r="H389">
        <v>52</v>
      </c>
      <c r="K389">
        <v>41</v>
      </c>
      <c r="L389">
        <v>60</v>
      </c>
      <c r="M389">
        <v>38704504.504504502</v>
      </c>
      <c r="N389">
        <v>41672972.972972974</v>
      </c>
      <c r="O389">
        <v>48772124.324324317</v>
      </c>
      <c r="P389">
        <v>55648837.837837838</v>
      </c>
      <c r="Q389">
        <v>26147657.657657657</v>
      </c>
      <c r="R389">
        <v>32218018.018018015</v>
      </c>
      <c r="S389">
        <v>4624</v>
      </c>
      <c r="T389">
        <v>4684</v>
      </c>
    </row>
    <row r="390" spans="1:20" x14ac:dyDescent="0.35">
      <c r="A390" s="7" t="s">
        <v>487</v>
      </c>
      <c r="B390" s="12" t="s">
        <v>77</v>
      </c>
      <c r="C390">
        <v>53219125.73388911</v>
      </c>
      <c r="D390">
        <v>68583476.715487316</v>
      </c>
      <c r="E390">
        <v>1220720.7207207209</v>
      </c>
      <c r="F390">
        <v>801801.80180180306</v>
      </c>
      <c r="G390">
        <v>17</v>
      </c>
      <c r="H390">
        <v>19</v>
      </c>
      <c r="K390">
        <v>17</v>
      </c>
      <c r="L390">
        <v>22</v>
      </c>
      <c r="M390">
        <v>13296486.486486487</v>
      </c>
      <c r="N390">
        <v>12976576.576576576</v>
      </c>
      <c r="O390">
        <v>21241870.270270273</v>
      </c>
      <c r="P390">
        <v>25361962.162162159</v>
      </c>
      <c r="Q390">
        <v>11252068.468468469</v>
      </c>
      <c r="R390">
        <v>13248331.53153153</v>
      </c>
      <c r="S390">
        <v>1479</v>
      </c>
      <c r="T390">
        <v>1469</v>
      </c>
    </row>
    <row r="391" spans="1:20" x14ac:dyDescent="0.35">
      <c r="A391" s="7" t="s">
        <v>488</v>
      </c>
      <c r="B391" s="12" t="s">
        <v>308</v>
      </c>
      <c r="C391">
        <v>431125805.13130927</v>
      </c>
      <c r="D391">
        <v>430758089.79483849</v>
      </c>
      <c r="E391">
        <v>4752252.2522522556</v>
      </c>
      <c r="F391">
        <v>5670720.7207207195</v>
      </c>
      <c r="G391">
        <v>104</v>
      </c>
      <c r="H391">
        <v>117</v>
      </c>
      <c r="K391">
        <v>117</v>
      </c>
      <c r="L391">
        <v>142</v>
      </c>
      <c r="M391">
        <v>105559729.72972973</v>
      </c>
      <c r="N391">
        <v>110437882.88288288</v>
      </c>
      <c r="O391">
        <v>183988180.18018019</v>
      </c>
      <c r="P391">
        <v>188578216.21621624</v>
      </c>
      <c r="Q391">
        <v>97263783.783783779</v>
      </c>
      <c r="R391">
        <v>106696801.8018018</v>
      </c>
      <c r="S391">
        <v>12913</v>
      </c>
      <c r="T391">
        <v>11739</v>
      </c>
    </row>
    <row r="392" spans="1:20" x14ac:dyDescent="0.35">
      <c r="A392" s="7" t="s">
        <v>677</v>
      </c>
      <c r="B392" s="12" t="s">
        <v>182</v>
      </c>
      <c r="E392">
        <v>65878378.378378376</v>
      </c>
      <c r="F392">
        <v>188063063.06306309</v>
      </c>
      <c r="M392">
        <v>2044594.594594595</v>
      </c>
    </row>
    <row r="393" spans="1:20" x14ac:dyDescent="0.35">
      <c r="A393" s="7" t="s">
        <v>489</v>
      </c>
      <c r="B393" s="12" t="s">
        <v>316</v>
      </c>
      <c r="C393">
        <v>97279338.701666459</v>
      </c>
      <c r="D393">
        <v>95162846.555371076</v>
      </c>
      <c r="E393">
        <v>1367567.5675675671</v>
      </c>
      <c r="F393">
        <v>957657.65765766299</v>
      </c>
      <c r="G393">
        <v>8</v>
      </c>
      <c r="H393">
        <v>6</v>
      </c>
      <c r="K393">
        <v>9</v>
      </c>
      <c r="L393">
        <v>6</v>
      </c>
      <c r="M393">
        <v>47217927.927927926</v>
      </c>
      <c r="N393">
        <v>57543873.873873875</v>
      </c>
      <c r="O393">
        <v>42071612.612612613</v>
      </c>
      <c r="P393">
        <v>38857216.216216214</v>
      </c>
      <c r="Q393">
        <v>40598108.108108103</v>
      </c>
      <c r="R393">
        <v>57217207.20720721</v>
      </c>
      <c r="S393">
        <v>1604</v>
      </c>
      <c r="T393">
        <v>4279</v>
      </c>
    </row>
    <row r="394" spans="1:20" x14ac:dyDescent="0.35">
      <c r="A394" s="7" t="s">
        <v>490</v>
      </c>
      <c r="B394" s="12" t="s">
        <v>182</v>
      </c>
      <c r="C394">
        <v>226475198.09990472</v>
      </c>
      <c r="D394">
        <v>236576884.12012875</v>
      </c>
      <c r="E394">
        <v>1413963.963963964</v>
      </c>
      <c r="F394">
        <v>1518018.018018018</v>
      </c>
      <c r="G394">
        <v>118</v>
      </c>
      <c r="H394">
        <v>84</v>
      </c>
      <c r="I394">
        <v>1</v>
      </c>
      <c r="K394">
        <v>157</v>
      </c>
      <c r="L394">
        <v>104</v>
      </c>
      <c r="M394">
        <v>23987567.567567568</v>
      </c>
      <c r="N394">
        <v>28157657.657657661</v>
      </c>
      <c r="O394">
        <v>66845702.702702701</v>
      </c>
      <c r="P394">
        <v>75278655.855855852</v>
      </c>
      <c r="Q394">
        <v>23575045.045045044</v>
      </c>
      <c r="R394">
        <v>29006216.216216221</v>
      </c>
      <c r="S394">
        <v>7112</v>
      </c>
      <c r="T394">
        <v>6343</v>
      </c>
    </row>
    <row r="395" spans="1:20" x14ac:dyDescent="0.35">
      <c r="A395" s="7" t="s">
        <v>674</v>
      </c>
      <c r="B395" s="12" t="s">
        <v>67</v>
      </c>
      <c r="E395">
        <v>272174774.77477479</v>
      </c>
      <c r="F395">
        <v>416621621.62162161</v>
      </c>
      <c r="M395">
        <v>16489639.63963964</v>
      </c>
      <c r="N395">
        <v>17920810.810810812</v>
      </c>
    </row>
    <row r="396" spans="1:20" x14ac:dyDescent="0.35">
      <c r="A396" s="7" t="s">
        <v>491</v>
      </c>
      <c r="B396" s="12" t="s">
        <v>221</v>
      </c>
      <c r="C396">
        <v>131974659.67183688</v>
      </c>
      <c r="D396">
        <v>132657971.30830617</v>
      </c>
      <c r="E396">
        <v>101801.80180180199</v>
      </c>
      <c r="G396">
        <v>47</v>
      </c>
      <c r="H396">
        <v>37</v>
      </c>
      <c r="K396">
        <v>52</v>
      </c>
      <c r="L396">
        <v>63</v>
      </c>
      <c r="M396">
        <v>2431891.8918918921</v>
      </c>
      <c r="N396">
        <v>1650450.450450452</v>
      </c>
      <c r="O396">
        <v>32875646.846846849</v>
      </c>
      <c r="P396">
        <v>35580018.018018015</v>
      </c>
      <c r="Q396">
        <v>1653063.063063063</v>
      </c>
      <c r="R396">
        <v>850000.00000000105</v>
      </c>
      <c r="S396">
        <v>4062</v>
      </c>
      <c r="T396">
        <v>4021</v>
      </c>
    </row>
    <row r="397" spans="1:20" x14ac:dyDescent="0.35">
      <c r="A397" s="7" t="s">
        <v>492</v>
      </c>
      <c r="B397" s="12" t="s">
        <v>221</v>
      </c>
      <c r="C397">
        <v>44980459.45434586</v>
      </c>
      <c r="D397">
        <v>31197725.243784744</v>
      </c>
      <c r="E397">
        <v>465765.76576576597</v>
      </c>
      <c r="F397">
        <v>76576.576576577005</v>
      </c>
      <c r="G397">
        <v>23</v>
      </c>
      <c r="H397">
        <v>9</v>
      </c>
      <c r="I397">
        <v>1</v>
      </c>
      <c r="K397">
        <v>25</v>
      </c>
      <c r="L397">
        <v>11</v>
      </c>
      <c r="M397">
        <v>15679729.729729732</v>
      </c>
      <c r="N397">
        <v>11418918.918918921</v>
      </c>
      <c r="O397">
        <v>13384900.9009009</v>
      </c>
      <c r="P397">
        <v>11842601.801801803</v>
      </c>
      <c r="Q397">
        <v>15420810.810810812</v>
      </c>
      <c r="R397">
        <v>11361261.261261262</v>
      </c>
      <c r="S397">
        <v>1294</v>
      </c>
      <c r="T397">
        <v>1178</v>
      </c>
    </row>
    <row r="398" spans="1:20" x14ac:dyDescent="0.35">
      <c r="A398" s="7" t="s">
        <v>493</v>
      </c>
      <c r="B398" s="12" t="s">
        <v>61</v>
      </c>
      <c r="C398">
        <v>149687727.87194875</v>
      </c>
      <c r="D398">
        <v>158234265.05914742</v>
      </c>
      <c r="E398">
        <v>2854954.9549549608</v>
      </c>
      <c r="F398">
        <v>3154054.0540540572</v>
      </c>
      <c r="G398">
        <v>38</v>
      </c>
      <c r="H398">
        <v>18</v>
      </c>
      <c r="K398">
        <v>84</v>
      </c>
      <c r="L398">
        <v>25</v>
      </c>
      <c r="M398">
        <v>29985315.315315314</v>
      </c>
      <c r="N398">
        <v>34638288.288288288</v>
      </c>
      <c r="O398">
        <v>67477927.927927926</v>
      </c>
      <c r="P398">
        <v>73326954.954954967</v>
      </c>
      <c r="Q398">
        <v>28772882.882882878</v>
      </c>
      <c r="R398">
        <v>31096576.576576572</v>
      </c>
      <c r="S398">
        <v>3774</v>
      </c>
      <c r="T398">
        <v>4414</v>
      </c>
    </row>
    <row r="399" spans="1:20" x14ac:dyDescent="0.35">
      <c r="A399" s="7" t="s">
        <v>494</v>
      </c>
      <c r="B399" s="12" t="s">
        <v>449</v>
      </c>
      <c r="C399">
        <v>182965813.09117967</v>
      </c>
      <c r="D399">
        <v>176624765.76521423</v>
      </c>
      <c r="E399">
        <v>319907207.2072072</v>
      </c>
      <c r="F399">
        <v>52926126.126126125</v>
      </c>
      <c r="G399">
        <v>111</v>
      </c>
      <c r="H399">
        <v>81</v>
      </c>
      <c r="K399">
        <v>198</v>
      </c>
      <c r="L399">
        <v>137</v>
      </c>
      <c r="M399">
        <v>16216441.441441439</v>
      </c>
      <c r="N399">
        <v>37144144.144144148</v>
      </c>
      <c r="O399">
        <v>65990009.009009011</v>
      </c>
      <c r="P399">
        <v>70316189.189189196</v>
      </c>
      <c r="Q399">
        <v>13875765.765765768</v>
      </c>
      <c r="R399">
        <v>36494054.054054059</v>
      </c>
      <c r="S399">
        <v>5431</v>
      </c>
      <c r="T399">
        <v>4942</v>
      </c>
    </row>
    <row r="400" spans="1:20" x14ac:dyDescent="0.35">
      <c r="A400" s="7" t="s">
        <v>7</v>
      </c>
      <c r="B400" s="12" t="s">
        <v>194</v>
      </c>
      <c r="C400">
        <v>155038068.88621864</v>
      </c>
      <c r="D400">
        <v>150940519.11541036</v>
      </c>
      <c r="E400">
        <v>403603.603603606</v>
      </c>
      <c r="F400">
        <v>352252.25225225301</v>
      </c>
      <c r="G400">
        <v>39</v>
      </c>
      <c r="H400">
        <v>45</v>
      </c>
      <c r="K400">
        <v>46</v>
      </c>
      <c r="L400">
        <v>54</v>
      </c>
      <c r="M400">
        <v>28275225.225225225</v>
      </c>
      <c r="N400">
        <v>51628828.828828827</v>
      </c>
      <c r="O400">
        <v>108227531.53153154</v>
      </c>
      <c r="P400">
        <v>100922000</v>
      </c>
      <c r="Q400">
        <v>29408918.918918919</v>
      </c>
      <c r="R400">
        <v>51034594.59459459</v>
      </c>
      <c r="S400">
        <v>5034</v>
      </c>
      <c r="T400">
        <v>5031</v>
      </c>
    </row>
    <row r="401" spans="1:20" x14ac:dyDescent="0.35">
      <c r="A401" s="7" t="s">
        <v>495</v>
      </c>
      <c r="B401" s="12" t="s">
        <v>331</v>
      </c>
      <c r="C401">
        <v>176311780.65444422</v>
      </c>
      <c r="D401">
        <v>176749396.12068918</v>
      </c>
      <c r="E401">
        <v>307207.20720720699</v>
      </c>
      <c r="F401">
        <v>194594.59459459601</v>
      </c>
      <c r="G401">
        <v>83</v>
      </c>
      <c r="H401">
        <v>75</v>
      </c>
      <c r="K401">
        <v>143</v>
      </c>
      <c r="L401">
        <v>95</v>
      </c>
      <c r="M401">
        <v>8651351.3513513524</v>
      </c>
      <c r="N401">
        <v>9962162.1621621605</v>
      </c>
      <c r="O401">
        <v>43751387.387387387</v>
      </c>
      <c r="P401">
        <v>46617306.306306303</v>
      </c>
      <c r="Q401">
        <v>8142342.3423423423</v>
      </c>
      <c r="R401">
        <v>8832432.4324324336</v>
      </c>
      <c r="S401">
        <v>7055</v>
      </c>
      <c r="T401">
        <v>5911</v>
      </c>
    </row>
    <row r="402" spans="1:20" x14ac:dyDescent="0.35">
      <c r="A402" s="7" t="s">
        <v>496</v>
      </c>
      <c r="B402" s="12" t="s">
        <v>331</v>
      </c>
      <c r="C402">
        <v>298354842.97012466</v>
      </c>
      <c r="D402">
        <v>304303470.76566118</v>
      </c>
      <c r="E402">
        <v>2151126.1261261292</v>
      </c>
      <c r="F402">
        <v>438738.73873874103</v>
      </c>
      <c r="G402">
        <v>132</v>
      </c>
      <c r="H402">
        <v>103</v>
      </c>
      <c r="K402">
        <v>144</v>
      </c>
      <c r="L402">
        <v>125</v>
      </c>
      <c r="M402">
        <v>10620540.540540544</v>
      </c>
      <c r="N402">
        <v>14182882.882882882</v>
      </c>
      <c r="O402">
        <v>69490770.270270273</v>
      </c>
      <c r="P402">
        <v>75077297.297297299</v>
      </c>
      <c r="Q402">
        <v>10312972.972972972</v>
      </c>
      <c r="R402">
        <v>17482702.702702705</v>
      </c>
      <c r="S402">
        <v>7776</v>
      </c>
      <c r="T402">
        <v>7176</v>
      </c>
    </row>
    <row r="403" spans="1:20" x14ac:dyDescent="0.35">
      <c r="A403" s="7" t="s">
        <v>497</v>
      </c>
      <c r="B403" s="12" t="s">
        <v>331</v>
      </c>
      <c r="C403">
        <v>300200741.93473959</v>
      </c>
      <c r="D403">
        <v>278352136.06884229</v>
      </c>
      <c r="E403">
        <v>3761036.0360360369</v>
      </c>
      <c r="F403">
        <v>2671171.1711711772</v>
      </c>
      <c r="G403">
        <v>143</v>
      </c>
      <c r="H403">
        <v>126</v>
      </c>
      <c r="K403">
        <v>191</v>
      </c>
      <c r="L403">
        <v>176</v>
      </c>
      <c r="M403">
        <v>34462522.522522517</v>
      </c>
      <c r="N403">
        <v>31936666.666666668</v>
      </c>
      <c r="O403">
        <v>67794027.027027026</v>
      </c>
      <c r="P403">
        <v>68403990.990990996</v>
      </c>
      <c r="Q403">
        <v>35631891.891891889</v>
      </c>
      <c r="R403">
        <v>32863243.243243244</v>
      </c>
      <c r="S403">
        <v>9679</v>
      </c>
      <c r="T403">
        <v>8093</v>
      </c>
    </row>
    <row r="404" spans="1:20" x14ac:dyDescent="0.35">
      <c r="A404" s="7" t="s">
        <v>498</v>
      </c>
      <c r="B404" s="12" t="s">
        <v>331</v>
      </c>
      <c r="C404">
        <v>1211745126.5041194</v>
      </c>
      <c r="D404">
        <v>1097980595.3204606</v>
      </c>
      <c r="E404">
        <v>1013979298.1981982</v>
      </c>
      <c r="F404">
        <v>15610572.972972987</v>
      </c>
      <c r="G404">
        <v>660</v>
      </c>
      <c r="H404">
        <v>541</v>
      </c>
      <c r="K404">
        <v>1340</v>
      </c>
      <c r="L404">
        <v>641</v>
      </c>
      <c r="M404">
        <v>427886456.75675672</v>
      </c>
      <c r="N404">
        <v>409981924.32432437</v>
      </c>
      <c r="O404">
        <v>289971045.04504508</v>
      </c>
      <c r="P404">
        <v>238365873.87387389</v>
      </c>
      <c r="Q404">
        <v>191986576.57657659</v>
      </c>
      <c r="R404">
        <v>332384414.41441441</v>
      </c>
      <c r="S404">
        <v>30717</v>
      </c>
      <c r="T404">
        <v>26961</v>
      </c>
    </row>
    <row r="405" spans="1:20" x14ac:dyDescent="0.35">
      <c r="A405" s="7" t="s">
        <v>499</v>
      </c>
      <c r="B405" s="12" t="s">
        <v>331</v>
      </c>
      <c r="C405">
        <v>934132453.2926681</v>
      </c>
      <c r="D405">
        <v>897560052.68299055</v>
      </c>
      <c r="E405">
        <v>8454054.0540540628</v>
      </c>
      <c r="F405">
        <v>420823153.15315318</v>
      </c>
      <c r="G405">
        <v>345</v>
      </c>
      <c r="H405">
        <v>312</v>
      </c>
      <c r="I405">
        <v>3</v>
      </c>
      <c r="K405">
        <v>464</v>
      </c>
      <c r="L405">
        <v>396</v>
      </c>
      <c r="M405">
        <v>210688513.51351351</v>
      </c>
      <c r="N405">
        <v>114968693.6936937</v>
      </c>
      <c r="O405">
        <v>242699641.8918919</v>
      </c>
      <c r="P405">
        <v>241434947.74774775</v>
      </c>
      <c r="Q405">
        <v>203037837.83783782</v>
      </c>
      <c r="R405">
        <v>116613693.6936937</v>
      </c>
      <c r="S405">
        <v>28091</v>
      </c>
      <c r="T405">
        <v>25965</v>
      </c>
    </row>
    <row r="406" spans="1:20" x14ac:dyDescent="0.35">
      <c r="A406" s="7" t="s">
        <v>500</v>
      </c>
      <c r="B406" s="12" t="s">
        <v>144</v>
      </c>
      <c r="C406">
        <v>386139947.74638224</v>
      </c>
      <c r="D406">
        <v>400857044.25720376</v>
      </c>
      <c r="E406">
        <v>2261486.486486488</v>
      </c>
      <c r="F406">
        <v>594594.59459459898</v>
      </c>
      <c r="G406">
        <v>110</v>
      </c>
      <c r="H406">
        <v>62</v>
      </c>
      <c r="K406">
        <v>120</v>
      </c>
      <c r="L406">
        <v>82</v>
      </c>
      <c r="M406">
        <v>36577477.477477483</v>
      </c>
      <c r="N406">
        <v>32281981.981981985</v>
      </c>
      <c r="O406">
        <v>60383376.576576576</v>
      </c>
      <c r="P406">
        <v>73178603.603603601</v>
      </c>
      <c r="Q406">
        <v>23849549.549549554</v>
      </c>
      <c r="R406">
        <v>23751441.441441439</v>
      </c>
      <c r="S406">
        <v>7901</v>
      </c>
      <c r="T406">
        <v>8225</v>
      </c>
    </row>
    <row r="407" spans="1:20" x14ac:dyDescent="0.35">
      <c r="A407" s="7" t="s">
        <v>501</v>
      </c>
      <c r="B407" s="12" t="s">
        <v>221</v>
      </c>
      <c r="C407">
        <v>465790897.77253449</v>
      </c>
      <c r="D407">
        <v>486387572.60812724</v>
      </c>
      <c r="E407">
        <v>426396925.22522521</v>
      </c>
      <c r="F407">
        <v>307839121.62162161</v>
      </c>
      <c r="G407">
        <v>204</v>
      </c>
      <c r="H407">
        <v>241</v>
      </c>
      <c r="I407">
        <v>5</v>
      </c>
      <c r="K407">
        <v>252</v>
      </c>
      <c r="L407">
        <v>313</v>
      </c>
      <c r="M407">
        <v>180937027.02702704</v>
      </c>
      <c r="N407">
        <v>332461888.2882883</v>
      </c>
      <c r="O407">
        <v>143388599.0990991</v>
      </c>
      <c r="P407">
        <v>151771828.82882884</v>
      </c>
      <c r="Q407">
        <v>171639459.45945945</v>
      </c>
      <c r="R407">
        <v>302596216.21621621</v>
      </c>
      <c r="S407">
        <v>15639</v>
      </c>
      <c r="T407">
        <v>12146</v>
      </c>
    </row>
    <row r="408" spans="1:20" x14ac:dyDescent="0.35">
      <c r="A408" s="7" t="s">
        <v>502</v>
      </c>
      <c r="B408" s="12" t="s">
        <v>398</v>
      </c>
      <c r="C408">
        <v>1306537019.7390041</v>
      </c>
      <c r="D408">
        <v>1333528674.6703718</v>
      </c>
      <c r="E408">
        <v>208467341.44144145</v>
      </c>
      <c r="F408">
        <v>332119332.43243247</v>
      </c>
      <c r="G408">
        <v>407</v>
      </c>
      <c r="H408">
        <v>277</v>
      </c>
      <c r="I408">
        <v>1</v>
      </c>
      <c r="K408">
        <v>520</v>
      </c>
      <c r="L408">
        <v>351</v>
      </c>
      <c r="M408">
        <v>144794819.81981981</v>
      </c>
      <c r="N408">
        <v>173500180.18018016</v>
      </c>
      <c r="O408">
        <v>279734917.11711711</v>
      </c>
      <c r="P408">
        <v>301316445.04504508</v>
      </c>
      <c r="Q408">
        <v>132832387.38738739</v>
      </c>
      <c r="R408">
        <v>158796936.93693691</v>
      </c>
      <c r="S408">
        <v>27455</v>
      </c>
      <c r="T408">
        <v>27425</v>
      </c>
    </row>
    <row r="409" spans="1:20" x14ac:dyDescent="0.35">
      <c r="A409" s="7" t="s">
        <v>503</v>
      </c>
      <c r="B409" s="12" t="s">
        <v>71</v>
      </c>
      <c r="C409">
        <v>20133326.130082</v>
      </c>
      <c r="D409">
        <v>20547703.974311493</v>
      </c>
      <c r="E409">
        <v>239639.63963963999</v>
      </c>
      <c r="F409">
        <v>766216.21621621598</v>
      </c>
      <c r="G409">
        <v>9</v>
      </c>
      <c r="H409">
        <v>6</v>
      </c>
      <c r="K409">
        <v>10</v>
      </c>
      <c r="L409">
        <v>8</v>
      </c>
      <c r="M409">
        <v>969369.36936937005</v>
      </c>
      <c r="N409">
        <v>3000450.4504504511</v>
      </c>
      <c r="O409">
        <v>14403729.729729731</v>
      </c>
      <c r="P409">
        <v>16023243.243243244</v>
      </c>
      <c r="Q409">
        <v>777297.29729729705</v>
      </c>
      <c r="R409">
        <v>2285495.4954954949</v>
      </c>
      <c r="S409">
        <v>721</v>
      </c>
      <c r="T409">
        <v>884</v>
      </c>
    </row>
    <row r="410" spans="1:20" x14ac:dyDescent="0.35">
      <c r="A410" s="7" t="s">
        <v>504</v>
      </c>
      <c r="B410" s="12" t="s">
        <v>331</v>
      </c>
      <c r="C410">
        <v>553101968.1449219</v>
      </c>
      <c r="D410">
        <v>546480987.86989534</v>
      </c>
      <c r="E410">
        <v>4660135.1351351356</v>
      </c>
      <c r="F410">
        <v>4279279.279279287</v>
      </c>
      <c r="G410">
        <v>184</v>
      </c>
      <c r="H410">
        <v>180</v>
      </c>
      <c r="K410">
        <v>232</v>
      </c>
      <c r="L410">
        <v>206</v>
      </c>
      <c r="M410">
        <v>60756576.576576568</v>
      </c>
      <c r="N410">
        <v>72280540.540540546</v>
      </c>
      <c r="O410">
        <v>166329831.08108109</v>
      </c>
      <c r="P410">
        <v>146328827.02702704</v>
      </c>
      <c r="Q410">
        <v>62156846.846846849</v>
      </c>
      <c r="R410">
        <v>75837567.567567572</v>
      </c>
      <c r="S410">
        <v>17126</v>
      </c>
      <c r="T410">
        <v>16143</v>
      </c>
    </row>
    <row r="411" spans="1:20" x14ac:dyDescent="0.35">
      <c r="A411" s="7" t="s">
        <v>505</v>
      </c>
      <c r="B411" s="12" t="s">
        <v>284</v>
      </c>
      <c r="C411">
        <v>167528320.15214208</v>
      </c>
      <c r="D411">
        <v>176845057.6248925</v>
      </c>
      <c r="E411">
        <v>296396.39639639598</v>
      </c>
      <c r="F411">
        <v>1755855.855855857</v>
      </c>
      <c r="G411">
        <v>29</v>
      </c>
      <c r="H411">
        <v>11</v>
      </c>
      <c r="K411">
        <v>31</v>
      </c>
      <c r="L411">
        <v>18</v>
      </c>
      <c r="M411">
        <v>14548648.648648648</v>
      </c>
      <c r="N411">
        <v>15350450.450450452</v>
      </c>
      <c r="O411">
        <v>29665567.567567568</v>
      </c>
      <c r="P411">
        <v>34598117.117117114</v>
      </c>
      <c r="Q411">
        <v>12802522.522522524</v>
      </c>
      <c r="R411">
        <v>13875405.405405406</v>
      </c>
      <c r="S411">
        <v>3045</v>
      </c>
      <c r="T411">
        <v>1846</v>
      </c>
    </row>
    <row r="412" spans="1:20" x14ac:dyDescent="0.35">
      <c r="A412" s="7" t="s">
        <v>506</v>
      </c>
      <c r="B412" s="12" t="s">
        <v>261</v>
      </c>
      <c r="C412">
        <v>103331706.23109816</v>
      </c>
      <c r="D412">
        <v>119142395.65016134</v>
      </c>
      <c r="E412">
        <v>54954.954954954999</v>
      </c>
      <c r="F412">
        <v>13513.513513514001</v>
      </c>
      <c r="G412">
        <v>4</v>
      </c>
      <c r="H412">
        <v>12</v>
      </c>
      <c r="K412">
        <v>5</v>
      </c>
      <c r="L412">
        <v>16</v>
      </c>
      <c r="M412">
        <v>1865765.7657657659</v>
      </c>
      <c r="N412">
        <v>2716216.2162162168</v>
      </c>
      <c r="O412">
        <v>23176423.423423424</v>
      </c>
      <c r="P412">
        <v>33066556.756756756</v>
      </c>
      <c r="Q412">
        <v>1402702.7027027039</v>
      </c>
      <c r="R412">
        <v>3392792.792792792</v>
      </c>
      <c r="S412">
        <v>2150</v>
      </c>
      <c r="T412">
        <v>2335</v>
      </c>
    </row>
    <row r="413" spans="1:20" x14ac:dyDescent="0.35">
      <c r="A413" s="7" t="s">
        <v>507</v>
      </c>
      <c r="B413" s="12" t="s">
        <v>237</v>
      </c>
      <c r="C413">
        <v>255166490.19124544</v>
      </c>
      <c r="D413">
        <v>249552664.77197146</v>
      </c>
      <c r="E413">
        <v>156042345.94594595</v>
      </c>
      <c r="F413">
        <v>142229358.55855855</v>
      </c>
      <c r="G413">
        <v>34</v>
      </c>
      <c r="H413">
        <v>106</v>
      </c>
      <c r="I413">
        <v>1</v>
      </c>
      <c r="K413">
        <v>139</v>
      </c>
      <c r="L413">
        <v>159</v>
      </c>
      <c r="M413">
        <v>78197387.387387395</v>
      </c>
      <c r="N413">
        <v>61744819.819819823</v>
      </c>
      <c r="O413">
        <v>57798963.963963971</v>
      </c>
      <c r="P413">
        <v>60918855.855855852</v>
      </c>
      <c r="Q413">
        <v>50478558.558558561</v>
      </c>
      <c r="R413">
        <v>44694909.909909904</v>
      </c>
      <c r="S413">
        <v>4742</v>
      </c>
      <c r="T413">
        <v>4572</v>
      </c>
    </row>
    <row r="414" spans="1:20" x14ac:dyDescent="0.35">
      <c r="A414" s="7" t="s">
        <v>508</v>
      </c>
      <c r="B414" s="12" t="s">
        <v>135</v>
      </c>
      <c r="C414">
        <v>28789840.178811278</v>
      </c>
      <c r="D414">
        <v>43443754.508771047</v>
      </c>
      <c r="G414">
        <v>1</v>
      </c>
      <c r="H414">
        <v>1</v>
      </c>
      <c r="K414">
        <v>2</v>
      </c>
      <c r="L414">
        <v>1</v>
      </c>
      <c r="O414">
        <v>5043639.6396396402</v>
      </c>
      <c r="P414">
        <v>7656513.5135135138</v>
      </c>
      <c r="S414">
        <v>1220</v>
      </c>
      <c r="T414">
        <v>1165</v>
      </c>
    </row>
    <row r="415" spans="1:20" x14ac:dyDescent="0.35">
      <c r="A415" s="7" t="s">
        <v>509</v>
      </c>
      <c r="B415" s="12" t="s">
        <v>398</v>
      </c>
      <c r="C415">
        <v>265625058.6537379</v>
      </c>
      <c r="D415">
        <v>272930740.1177339</v>
      </c>
      <c r="E415">
        <v>1143243.243243244</v>
      </c>
      <c r="F415">
        <v>739639.63963963999</v>
      </c>
      <c r="G415">
        <v>47</v>
      </c>
      <c r="H415">
        <v>50</v>
      </c>
      <c r="K415">
        <v>73</v>
      </c>
      <c r="L415">
        <v>63</v>
      </c>
      <c r="M415">
        <v>28686936.936936937</v>
      </c>
      <c r="N415">
        <v>27359234.234234236</v>
      </c>
      <c r="O415">
        <v>40989018.018018015</v>
      </c>
      <c r="P415">
        <v>42579450.45045045</v>
      </c>
      <c r="Q415">
        <v>27221981.981981985</v>
      </c>
      <c r="R415">
        <v>25719054.054054055</v>
      </c>
      <c r="S415">
        <v>4506</v>
      </c>
      <c r="T415">
        <v>4492</v>
      </c>
    </row>
    <row r="416" spans="1:20" x14ac:dyDescent="0.35">
      <c r="A416" s="7" t="s">
        <v>510</v>
      </c>
      <c r="B416" s="12" t="s">
        <v>135</v>
      </c>
      <c r="C416">
        <v>295177256.52970535</v>
      </c>
      <c r="D416">
        <v>314123498.70051819</v>
      </c>
      <c r="E416">
        <v>1568468.468468471</v>
      </c>
      <c r="F416">
        <v>2066666.6666666691</v>
      </c>
      <c r="G416">
        <v>66</v>
      </c>
      <c r="H416">
        <v>64</v>
      </c>
      <c r="K416">
        <v>72</v>
      </c>
      <c r="L416">
        <v>72</v>
      </c>
      <c r="M416">
        <v>28221621.62162162</v>
      </c>
      <c r="N416">
        <v>34805405.405405402</v>
      </c>
      <c r="O416">
        <v>48459015.765765771</v>
      </c>
      <c r="P416">
        <v>54089423.423423424</v>
      </c>
      <c r="Q416">
        <v>22998828.828828823</v>
      </c>
      <c r="R416">
        <v>26785855.855855856</v>
      </c>
      <c r="S416">
        <v>5838</v>
      </c>
      <c r="T416">
        <v>5542</v>
      </c>
    </row>
    <row r="417" spans="1:20" x14ac:dyDescent="0.35">
      <c r="A417" s="7" t="s">
        <v>511</v>
      </c>
      <c r="B417" s="12" t="s">
        <v>135</v>
      </c>
      <c r="C417">
        <v>810601052.37563813</v>
      </c>
      <c r="D417">
        <v>840232066.21518695</v>
      </c>
      <c r="E417">
        <v>5024324.3243243322</v>
      </c>
      <c r="F417">
        <v>7981081.0810810849</v>
      </c>
      <c r="G417">
        <v>150</v>
      </c>
      <c r="H417">
        <v>151</v>
      </c>
      <c r="K417">
        <v>193</v>
      </c>
      <c r="L417">
        <v>237</v>
      </c>
      <c r="M417">
        <v>63557657.657657653</v>
      </c>
      <c r="N417">
        <v>81180180.180180177</v>
      </c>
      <c r="O417">
        <v>85890846.846846849</v>
      </c>
      <c r="P417">
        <v>97986207.207207218</v>
      </c>
      <c r="Q417">
        <v>59794324.324324317</v>
      </c>
      <c r="R417">
        <v>73569099.0990991</v>
      </c>
      <c r="S417">
        <v>17372</v>
      </c>
      <c r="T417">
        <v>16928</v>
      </c>
    </row>
    <row r="418" spans="1:20" x14ac:dyDescent="0.35">
      <c r="A418" s="7" t="s">
        <v>8</v>
      </c>
      <c r="B418" s="12" t="s">
        <v>159</v>
      </c>
      <c r="C418">
        <v>214199739.30538321</v>
      </c>
      <c r="D418">
        <v>217635913.23497584</v>
      </c>
      <c r="E418">
        <v>4509009.0090090111</v>
      </c>
      <c r="F418">
        <v>3748648.6486486509</v>
      </c>
      <c r="G418">
        <v>19</v>
      </c>
      <c r="H418">
        <v>46</v>
      </c>
      <c r="K418">
        <v>21</v>
      </c>
      <c r="L418">
        <v>48</v>
      </c>
      <c r="M418">
        <v>42172072.072072074</v>
      </c>
      <c r="N418">
        <v>40614864.864864863</v>
      </c>
      <c r="O418">
        <v>63042090.090090089</v>
      </c>
      <c r="P418">
        <v>66141189.189189196</v>
      </c>
      <c r="Q418">
        <v>38611261.261261255</v>
      </c>
      <c r="R418">
        <v>37047657.657657653</v>
      </c>
      <c r="S418">
        <v>3811</v>
      </c>
      <c r="T418">
        <v>3475</v>
      </c>
    </row>
    <row r="419" spans="1:20" x14ac:dyDescent="0.35">
      <c r="A419" s="7" t="s">
        <v>512</v>
      </c>
      <c r="B419" s="12" t="s">
        <v>135</v>
      </c>
      <c r="C419">
        <v>156520945.26464522</v>
      </c>
      <c r="D419">
        <v>179974096.61217496</v>
      </c>
      <c r="E419">
        <v>563063.06306306296</v>
      </c>
      <c r="F419">
        <v>450450.450450451</v>
      </c>
      <c r="G419">
        <v>12</v>
      </c>
      <c r="H419">
        <v>1</v>
      </c>
      <c r="K419">
        <v>14</v>
      </c>
      <c r="L419">
        <v>2</v>
      </c>
      <c r="M419">
        <v>5968468.4684684686</v>
      </c>
      <c r="N419">
        <v>13963963.963963963</v>
      </c>
      <c r="O419">
        <v>21556684.684684683</v>
      </c>
      <c r="P419">
        <v>27447585.585585583</v>
      </c>
      <c r="Q419">
        <v>4595855.8558558561</v>
      </c>
      <c r="R419">
        <v>5788828.8288288293</v>
      </c>
      <c r="S419">
        <v>4028</v>
      </c>
      <c r="T419">
        <v>3984</v>
      </c>
    </row>
    <row r="420" spans="1:20" x14ac:dyDescent="0.35">
      <c r="A420" s="7" t="s">
        <v>513</v>
      </c>
      <c r="B420" s="12" t="s">
        <v>63</v>
      </c>
      <c r="C420">
        <v>678930865.79195428</v>
      </c>
      <c r="D420">
        <v>665969420.18128836</v>
      </c>
      <c r="E420">
        <v>4536036.0360360416</v>
      </c>
      <c r="F420">
        <v>4809009.009009012</v>
      </c>
      <c r="G420">
        <v>155</v>
      </c>
      <c r="H420">
        <v>98</v>
      </c>
      <c r="K420">
        <v>224</v>
      </c>
      <c r="L420">
        <v>156</v>
      </c>
      <c r="M420">
        <v>105999369.36936937</v>
      </c>
      <c r="N420">
        <v>51988108.108108103</v>
      </c>
      <c r="O420">
        <v>141590685.58558559</v>
      </c>
      <c r="P420">
        <v>149385580.18018019</v>
      </c>
      <c r="Q420">
        <v>104447027.02702703</v>
      </c>
      <c r="R420">
        <v>53936619.819819823</v>
      </c>
      <c r="S420">
        <v>14632</v>
      </c>
      <c r="T420">
        <v>14707</v>
      </c>
    </row>
    <row r="421" spans="1:20" x14ac:dyDescent="0.35">
      <c r="A421" s="7" t="s">
        <v>514</v>
      </c>
      <c r="B421" s="12" t="s">
        <v>118</v>
      </c>
      <c r="C421">
        <v>71284209.250714868</v>
      </c>
      <c r="D421">
        <v>61384506.338315144</v>
      </c>
      <c r="E421">
        <v>294594.59459459502</v>
      </c>
      <c r="F421">
        <v>1666666.6666666691</v>
      </c>
      <c r="G421">
        <v>31</v>
      </c>
      <c r="H421">
        <v>27</v>
      </c>
      <c r="K421">
        <v>31</v>
      </c>
      <c r="L421">
        <v>31</v>
      </c>
      <c r="M421">
        <v>3739009.0090090092</v>
      </c>
      <c r="N421">
        <v>5784009.0090090111</v>
      </c>
      <c r="O421">
        <v>30378936.936936937</v>
      </c>
      <c r="P421">
        <v>28123270.270270273</v>
      </c>
      <c r="Q421">
        <v>2975315.3153153169</v>
      </c>
      <c r="R421">
        <v>5060765.7657657648</v>
      </c>
      <c r="S421">
        <v>2031</v>
      </c>
      <c r="T421">
        <v>2070</v>
      </c>
    </row>
    <row r="422" spans="1:20" x14ac:dyDescent="0.35">
      <c r="A422" s="7" t="s">
        <v>515</v>
      </c>
      <c r="B422" s="12" t="s">
        <v>305</v>
      </c>
      <c r="C422">
        <v>127194353.46327884</v>
      </c>
      <c r="D422">
        <v>121649408.18558517</v>
      </c>
      <c r="E422">
        <v>1590090.0900900899</v>
      </c>
      <c r="F422">
        <v>608108.10810811003</v>
      </c>
      <c r="G422">
        <v>73</v>
      </c>
      <c r="H422">
        <v>73</v>
      </c>
      <c r="I422">
        <v>2</v>
      </c>
      <c r="K422">
        <v>75</v>
      </c>
      <c r="L422">
        <v>79</v>
      </c>
      <c r="M422">
        <v>10125675.675675675</v>
      </c>
      <c r="N422">
        <v>4881981.9819819815</v>
      </c>
      <c r="O422">
        <v>12922207.207207208</v>
      </c>
      <c r="P422">
        <v>14679522.522522524</v>
      </c>
      <c r="Q422">
        <v>10360450.450450452</v>
      </c>
      <c r="R422">
        <v>4528288.2882882887</v>
      </c>
      <c r="S422">
        <v>1760</v>
      </c>
      <c r="T422">
        <v>1482</v>
      </c>
    </row>
    <row r="423" spans="1:20" x14ac:dyDescent="0.35">
      <c r="A423" s="7" t="s">
        <v>516</v>
      </c>
      <c r="B423" s="12" t="s">
        <v>305</v>
      </c>
      <c r="C423">
        <v>35004699.896052226</v>
      </c>
      <c r="D423">
        <v>41230876.046218902</v>
      </c>
      <c r="E423">
        <v>262162.16216216201</v>
      </c>
      <c r="F423">
        <v>382882.88288288499</v>
      </c>
      <c r="G423">
        <v>9</v>
      </c>
      <c r="H423">
        <v>10</v>
      </c>
      <c r="K423">
        <v>9</v>
      </c>
      <c r="L423">
        <v>10</v>
      </c>
      <c r="M423">
        <v>4313513.5135135129</v>
      </c>
      <c r="N423">
        <v>6427927.927927928</v>
      </c>
      <c r="O423">
        <v>5162216.2162162149</v>
      </c>
      <c r="P423">
        <v>6653954.9549549548</v>
      </c>
      <c r="Q423">
        <v>3170540.5405405401</v>
      </c>
      <c r="R423">
        <v>4761621.6216216199</v>
      </c>
      <c r="S423">
        <v>732</v>
      </c>
      <c r="T423">
        <v>581</v>
      </c>
    </row>
    <row r="424" spans="1:20" x14ac:dyDescent="0.35">
      <c r="A424" s="7" t="s">
        <v>517</v>
      </c>
      <c r="B424" s="12" t="s">
        <v>305</v>
      </c>
      <c r="C424">
        <v>75310744.147366866</v>
      </c>
      <c r="D424">
        <v>77217241.084554121</v>
      </c>
      <c r="E424">
        <v>109296545.94594595</v>
      </c>
      <c r="F424">
        <v>117720646.84684685</v>
      </c>
      <c r="G424">
        <v>35</v>
      </c>
      <c r="H424">
        <v>21</v>
      </c>
      <c r="K424">
        <v>42</v>
      </c>
      <c r="L424">
        <v>32</v>
      </c>
      <c r="M424">
        <v>4051351.3513513501</v>
      </c>
      <c r="N424">
        <v>6238738.7387387389</v>
      </c>
      <c r="O424">
        <v>11389063.063063065</v>
      </c>
      <c r="P424">
        <v>11537360.36036036</v>
      </c>
      <c r="Q424">
        <v>3704864.8648648639</v>
      </c>
      <c r="R424">
        <v>5874054.0540540544</v>
      </c>
      <c r="S424">
        <v>1360</v>
      </c>
      <c r="T424">
        <v>1125</v>
      </c>
    </row>
    <row r="425" spans="1:20" x14ac:dyDescent="0.35">
      <c r="A425" s="7" t="s">
        <v>518</v>
      </c>
      <c r="B425" s="12" t="s">
        <v>305</v>
      </c>
      <c r="C425">
        <v>58892232.212932467</v>
      </c>
      <c r="D425">
        <v>58333503.201137207</v>
      </c>
      <c r="E425">
        <v>94594.594594594993</v>
      </c>
      <c r="F425">
        <v>49549.549549550997</v>
      </c>
      <c r="G425">
        <v>22</v>
      </c>
      <c r="H425">
        <v>22</v>
      </c>
      <c r="K425">
        <v>23</v>
      </c>
      <c r="L425">
        <v>23</v>
      </c>
      <c r="M425">
        <v>1445945.945945946</v>
      </c>
      <c r="N425">
        <v>2207207.2072072071</v>
      </c>
      <c r="O425">
        <v>7535801.8018018007</v>
      </c>
      <c r="P425">
        <v>9132198.1981981993</v>
      </c>
      <c r="Q425">
        <v>1112522.5225225219</v>
      </c>
      <c r="R425">
        <v>1240090.090090089</v>
      </c>
      <c r="S425">
        <v>931</v>
      </c>
      <c r="T425">
        <v>743</v>
      </c>
    </row>
    <row r="426" spans="1:20" x14ac:dyDescent="0.35">
      <c r="A426" s="7" t="s">
        <v>519</v>
      </c>
      <c r="B426" s="12" t="s">
        <v>449</v>
      </c>
      <c r="C426">
        <v>60841136.894795232</v>
      </c>
      <c r="D426">
        <v>59347163.007032603</v>
      </c>
      <c r="E426">
        <v>347747.74774774798</v>
      </c>
      <c r="F426">
        <v>1532432.4324324329</v>
      </c>
      <c r="G426">
        <v>14</v>
      </c>
      <c r="H426">
        <v>23</v>
      </c>
      <c r="K426">
        <v>16</v>
      </c>
      <c r="L426">
        <v>32</v>
      </c>
      <c r="M426">
        <v>4161711.7117117122</v>
      </c>
      <c r="N426">
        <v>66496666.666666664</v>
      </c>
      <c r="O426">
        <v>20915984.234234232</v>
      </c>
      <c r="P426">
        <v>20382801.801801801</v>
      </c>
      <c r="Q426">
        <v>4552342.3423423423</v>
      </c>
      <c r="R426">
        <v>67018648.648648649</v>
      </c>
      <c r="S426">
        <v>2318</v>
      </c>
      <c r="T426">
        <v>1985</v>
      </c>
    </row>
    <row r="427" spans="1:20" x14ac:dyDescent="0.35">
      <c r="A427" s="7" t="s">
        <v>520</v>
      </c>
      <c r="B427" s="12" t="s">
        <v>86</v>
      </c>
      <c r="C427">
        <v>187814524.55905032</v>
      </c>
      <c r="D427">
        <v>192323974.21835354</v>
      </c>
      <c r="E427">
        <v>1414414.4144144149</v>
      </c>
      <c r="F427">
        <v>2824324.3243243271</v>
      </c>
      <c r="G427">
        <v>25</v>
      </c>
      <c r="H427">
        <v>13</v>
      </c>
      <c r="K427">
        <v>30</v>
      </c>
      <c r="L427">
        <v>18</v>
      </c>
      <c r="M427">
        <v>38559909.909909911</v>
      </c>
      <c r="N427">
        <v>75985495.495495483</v>
      </c>
      <c r="O427">
        <v>46466324.324324325</v>
      </c>
      <c r="P427">
        <v>55013099.099099107</v>
      </c>
      <c r="Q427">
        <v>33434097.297297299</v>
      </c>
      <c r="R427">
        <v>64083243.24324324</v>
      </c>
      <c r="S427">
        <v>4088</v>
      </c>
      <c r="T427">
        <v>3987</v>
      </c>
    </row>
    <row r="428" spans="1:20" x14ac:dyDescent="0.35">
      <c r="A428" s="7" t="s">
        <v>521</v>
      </c>
      <c r="B428" s="12" t="s">
        <v>305</v>
      </c>
      <c r="C428">
        <v>96569977.634504944</v>
      </c>
      <c r="D428">
        <v>96383123.149261057</v>
      </c>
      <c r="E428">
        <v>44144.144144143997</v>
      </c>
      <c r="F428">
        <v>4504.5045045050001</v>
      </c>
      <c r="G428">
        <v>12</v>
      </c>
      <c r="H428">
        <v>13</v>
      </c>
      <c r="K428">
        <v>12</v>
      </c>
      <c r="L428">
        <v>15</v>
      </c>
      <c r="M428">
        <v>5756756.7567567565</v>
      </c>
      <c r="N428">
        <v>5031531.5315315323</v>
      </c>
      <c r="O428">
        <v>16121409.90990991</v>
      </c>
      <c r="P428">
        <v>18013729.729729731</v>
      </c>
      <c r="Q428">
        <v>2988198.1981981979</v>
      </c>
      <c r="R428">
        <v>3969009.0090090078</v>
      </c>
      <c r="S428">
        <v>1392</v>
      </c>
      <c r="T428">
        <v>1388</v>
      </c>
    </row>
    <row r="429" spans="1:20" x14ac:dyDescent="0.35">
      <c r="A429" s="7" t="s">
        <v>522</v>
      </c>
      <c r="B429" s="12" t="s">
        <v>400</v>
      </c>
      <c r="C429">
        <v>660152944.12474763</v>
      </c>
      <c r="D429">
        <v>665014060.22885418</v>
      </c>
      <c r="E429">
        <v>162223784.68468469</v>
      </c>
      <c r="F429">
        <v>155290563.06306309</v>
      </c>
      <c r="G429">
        <v>151</v>
      </c>
      <c r="H429">
        <v>156</v>
      </c>
      <c r="I429">
        <v>1</v>
      </c>
      <c r="K429">
        <v>446</v>
      </c>
      <c r="L429">
        <v>457</v>
      </c>
      <c r="M429">
        <v>123708333.33333334</v>
      </c>
      <c r="N429">
        <v>192783783.78378376</v>
      </c>
      <c r="O429">
        <v>168833441.44144145</v>
      </c>
      <c r="P429">
        <v>172518081.08108109</v>
      </c>
      <c r="Q429">
        <v>103263333.33333333</v>
      </c>
      <c r="R429">
        <v>130064457.65765767</v>
      </c>
      <c r="S429">
        <v>14605</v>
      </c>
      <c r="T429">
        <v>14333</v>
      </c>
    </row>
    <row r="430" spans="1:20" x14ac:dyDescent="0.35">
      <c r="A430" s="7" t="s">
        <v>523</v>
      </c>
      <c r="B430" s="12" t="s">
        <v>144</v>
      </c>
      <c r="C430">
        <v>185109515.19797772</v>
      </c>
      <c r="D430">
        <v>196230398.97367892</v>
      </c>
      <c r="E430">
        <v>303603.60360360402</v>
      </c>
      <c r="F430">
        <v>351351.35135135101</v>
      </c>
      <c r="G430">
        <v>53</v>
      </c>
      <c r="H430">
        <v>14</v>
      </c>
      <c r="K430">
        <v>56</v>
      </c>
      <c r="L430">
        <v>15</v>
      </c>
      <c r="M430">
        <v>11564864.864864865</v>
      </c>
      <c r="N430">
        <v>9810810.8108108118</v>
      </c>
      <c r="O430">
        <v>23817612.612612613</v>
      </c>
      <c r="P430">
        <v>24585690.090090089</v>
      </c>
      <c r="Q430">
        <v>10597387.387387387</v>
      </c>
      <c r="R430">
        <v>8852162.1621621624</v>
      </c>
      <c r="S430">
        <v>3009</v>
      </c>
      <c r="T430">
        <v>3014</v>
      </c>
    </row>
    <row r="431" spans="1:20" x14ac:dyDescent="0.35">
      <c r="A431" s="7" t="s">
        <v>524</v>
      </c>
      <c r="B431" s="12" t="s">
        <v>67</v>
      </c>
      <c r="C431">
        <v>130403196.4962447</v>
      </c>
      <c r="D431">
        <v>120581130.78782991</v>
      </c>
      <c r="E431">
        <v>3072072.0720720738</v>
      </c>
      <c r="F431">
        <v>3155855.8558558561</v>
      </c>
      <c r="G431">
        <v>30</v>
      </c>
      <c r="H431">
        <v>30</v>
      </c>
      <c r="K431">
        <v>34</v>
      </c>
      <c r="L431">
        <v>31</v>
      </c>
      <c r="M431">
        <v>60092252.252252251</v>
      </c>
      <c r="N431">
        <v>50076126.126126125</v>
      </c>
      <c r="O431">
        <v>62502387.387387395</v>
      </c>
      <c r="P431">
        <v>61067333.333333336</v>
      </c>
      <c r="Q431">
        <v>50154864.864864863</v>
      </c>
      <c r="R431">
        <v>46709909.909909911</v>
      </c>
      <c r="S431">
        <v>4622</v>
      </c>
      <c r="T431">
        <v>3713</v>
      </c>
    </row>
    <row r="432" spans="1:20" x14ac:dyDescent="0.35">
      <c r="A432" s="7" t="s">
        <v>525</v>
      </c>
      <c r="B432" s="12" t="s">
        <v>221</v>
      </c>
      <c r="C432">
        <v>167585000.64410371</v>
      </c>
      <c r="D432">
        <v>167702322.47039789</v>
      </c>
      <c r="E432">
        <v>93126126.126126125</v>
      </c>
      <c r="F432">
        <v>72364864.864864871</v>
      </c>
      <c r="G432">
        <v>59</v>
      </c>
      <c r="H432">
        <v>54</v>
      </c>
      <c r="K432">
        <v>66</v>
      </c>
      <c r="L432">
        <v>58</v>
      </c>
      <c r="M432">
        <v>19622117.117117114</v>
      </c>
      <c r="N432">
        <v>10761036.036036037</v>
      </c>
      <c r="O432">
        <v>41856981.981981985</v>
      </c>
      <c r="P432">
        <v>45288520.720720723</v>
      </c>
      <c r="Q432">
        <v>8836486.4864864852</v>
      </c>
      <c r="R432">
        <v>6640225.2252252251</v>
      </c>
      <c r="S432">
        <v>4497</v>
      </c>
      <c r="T432">
        <v>4396</v>
      </c>
    </row>
    <row r="433" spans="1:20" x14ac:dyDescent="0.35">
      <c r="A433" s="7" t="s">
        <v>526</v>
      </c>
      <c r="B433" s="12" t="s">
        <v>414</v>
      </c>
      <c r="C433">
        <v>1848723826.4076519</v>
      </c>
      <c r="D433">
        <v>1869172843.0487862</v>
      </c>
      <c r="E433">
        <v>557870010.8108108</v>
      </c>
      <c r="F433">
        <v>580820973.87387395</v>
      </c>
      <c r="G433">
        <v>313</v>
      </c>
      <c r="H433">
        <v>675</v>
      </c>
      <c r="I433">
        <v>2</v>
      </c>
      <c r="K433">
        <v>774</v>
      </c>
      <c r="L433">
        <v>1141</v>
      </c>
      <c r="M433">
        <v>145223279.27927929</v>
      </c>
      <c r="N433">
        <v>382719549.54954958</v>
      </c>
      <c r="O433">
        <v>543988166.66666675</v>
      </c>
      <c r="P433">
        <v>593906173.87387395</v>
      </c>
      <c r="Q433">
        <v>157309639.63963965</v>
      </c>
      <c r="R433">
        <v>188998468.46846849</v>
      </c>
      <c r="S433">
        <v>32617</v>
      </c>
      <c r="T433">
        <v>34059</v>
      </c>
    </row>
    <row r="434" spans="1:20" x14ac:dyDescent="0.35">
      <c r="A434" s="7" t="s">
        <v>527</v>
      </c>
      <c r="B434" s="12" t="s">
        <v>414</v>
      </c>
      <c r="C434">
        <v>205851712.99469292</v>
      </c>
      <c r="D434">
        <v>212963756.8114154</v>
      </c>
      <c r="E434">
        <v>957882.88288288296</v>
      </c>
      <c r="F434">
        <v>103603.60360360501</v>
      </c>
      <c r="G434">
        <v>35</v>
      </c>
      <c r="H434">
        <v>22</v>
      </c>
      <c r="K434">
        <v>38</v>
      </c>
      <c r="L434">
        <v>33</v>
      </c>
      <c r="M434">
        <v>11857525.225225225</v>
      </c>
      <c r="N434">
        <v>12744594.594594594</v>
      </c>
      <c r="O434">
        <v>63956288.288288288</v>
      </c>
      <c r="P434">
        <v>69066328.828828827</v>
      </c>
      <c r="Q434">
        <v>9960990.9909909908</v>
      </c>
      <c r="R434">
        <v>10727297.297297295</v>
      </c>
      <c r="S434">
        <v>4692</v>
      </c>
      <c r="T434">
        <v>4675</v>
      </c>
    </row>
    <row r="435" spans="1:20" x14ac:dyDescent="0.35">
      <c r="A435" s="7" t="s">
        <v>663</v>
      </c>
      <c r="B435" s="12" t="s">
        <v>190</v>
      </c>
      <c r="C435">
        <v>721109.80922505097</v>
      </c>
      <c r="G435">
        <v>1</v>
      </c>
      <c r="K435">
        <v>1</v>
      </c>
      <c r="O435">
        <v>507432.43243243202</v>
      </c>
      <c r="S435">
        <v>125</v>
      </c>
    </row>
    <row r="436" spans="1:20" x14ac:dyDescent="0.35">
      <c r="A436" s="7" t="s">
        <v>528</v>
      </c>
      <c r="B436" s="12" t="s">
        <v>148</v>
      </c>
      <c r="C436">
        <v>429247656.54309952</v>
      </c>
      <c r="D436">
        <v>407332968.43967116</v>
      </c>
      <c r="E436">
        <v>7899324.3243243285</v>
      </c>
      <c r="F436">
        <v>7730630.6306306347</v>
      </c>
      <c r="G436">
        <v>132</v>
      </c>
      <c r="H436">
        <v>144</v>
      </c>
      <c r="K436">
        <v>219</v>
      </c>
      <c r="L436">
        <v>175</v>
      </c>
      <c r="M436">
        <v>111255627.92792794</v>
      </c>
      <c r="N436">
        <v>105265058.55855855</v>
      </c>
      <c r="O436">
        <v>155187016.21621624</v>
      </c>
      <c r="P436">
        <v>157435304.5045045</v>
      </c>
      <c r="Q436">
        <v>108894594.5945946</v>
      </c>
      <c r="R436">
        <v>102852522.52252252</v>
      </c>
      <c r="S436">
        <v>10317</v>
      </c>
      <c r="T436">
        <v>9878</v>
      </c>
    </row>
    <row r="437" spans="1:20" x14ac:dyDescent="0.35">
      <c r="A437" s="7" t="s">
        <v>529</v>
      </c>
      <c r="B437" s="12" t="s">
        <v>122</v>
      </c>
      <c r="C437">
        <v>47865667.687720142</v>
      </c>
      <c r="D437">
        <v>41754782.54691048</v>
      </c>
      <c r="E437">
        <v>461261.26126126101</v>
      </c>
      <c r="F437">
        <v>362162.16216216399</v>
      </c>
      <c r="G437">
        <v>24</v>
      </c>
      <c r="H437">
        <v>25</v>
      </c>
      <c r="K437">
        <v>28</v>
      </c>
      <c r="L437">
        <v>28</v>
      </c>
      <c r="M437">
        <v>5321621.6216216218</v>
      </c>
      <c r="N437">
        <v>3740540.540540542</v>
      </c>
      <c r="O437">
        <v>6262400.9009009013</v>
      </c>
      <c r="P437">
        <v>5634927.927927928</v>
      </c>
      <c r="Q437">
        <v>4359279.2792792777</v>
      </c>
      <c r="R437">
        <v>3577567.5675675678</v>
      </c>
      <c r="S437">
        <v>1014</v>
      </c>
      <c r="T437">
        <v>880</v>
      </c>
    </row>
    <row r="438" spans="1:20" x14ac:dyDescent="0.35">
      <c r="A438" s="7" t="s">
        <v>530</v>
      </c>
      <c r="B438" s="12" t="s">
        <v>449</v>
      </c>
      <c r="C438">
        <v>86354978.938829139</v>
      </c>
      <c r="D438">
        <v>113558898.94736736</v>
      </c>
      <c r="E438">
        <v>415315.31531531701</v>
      </c>
      <c r="F438">
        <v>2200900.9009008999</v>
      </c>
      <c r="G438">
        <v>77</v>
      </c>
      <c r="H438">
        <v>23</v>
      </c>
      <c r="K438">
        <v>147</v>
      </c>
      <c r="L438">
        <v>27</v>
      </c>
      <c r="M438">
        <v>4254054.0540540526</v>
      </c>
      <c r="N438">
        <v>18591441.441441439</v>
      </c>
      <c r="O438">
        <v>42205740.990990989</v>
      </c>
      <c r="P438">
        <v>55288072.072072074</v>
      </c>
      <c r="Q438">
        <v>4109639.639639637</v>
      </c>
      <c r="R438">
        <v>15622522.522522522</v>
      </c>
      <c r="S438">
        <v>2219</v>
      </c>
      <c r="T438">
        <v>2115</v>
      </c>
    </row>
    <row r="439" spans="1:20" x14ac:dyDescent="0.35">
      <c r="A439" s="7" t="s">
        <v>531</v>
      </c>
      <c r="B439" s="12" t="s">
        <v>449</v>
      </c>
      <c r="C439">
        <v>202069308.25466567</v>
      </c>
      <c r="D439">
        <v>206081978.28452772</v>
      </c>
      <c r="E439">
        <v>1258558.55855856</v>
      </c>
      <c r="F439">
        <v>5461261.2612612629</v>
      </c>
      <c r="G439">
        <v>120</v>
      </c>
      <c r="H439">
        <v>218</v>
      </c>
      <c r="K439">
        <v>132</v>
      </c>
      <c r="L439">
        <v>231</v>
      </c>
      <c r="M439">
        <v>8404054.0540540554</v>
      </c>
      <c r="N439">
        <v>35050675.675675683</v>
      </c>
      <c r="O439">
        <v>96769612.612612605</v>
      </c>
      <c r="P439">
        <v>100366618.01801802</v>
      </c>
      <c r="Q439">
        <v>9260810.8108108118</v>
      </c>
      <c r="R439">
        <v>33627252.252252251</v>
      </c>
      <c r="S439">
        <v>6724</v>
      </c>
      <c r="T439">
        <v>5200</v>
      </c>
    </row>
    <row r="440" spans="1:20" x14ac:dyDescent="0.35">
      <c r="A440" s="7" t="s">
        <v>532</v>
      </c>
      <c r="B440" s="12" t="s">
        <v>124</v>
      </c>
      <c r="C440">
        <v>532792601.68523937</v>
      </c>
      <c r="D440">
        <v>542120367.47776175</v>
      </c>
      <c r="E440">
        <v>244635224.32432431</v>
      </c>
      <c r="F440">
        <v>420109686.48648643</v>
      </c>
      <c r="G440">
        <v>326</v>
      </c>
      <c r="H440">
        <v>416</v>
      </c>
      <c r="I440">
        <v>7</v>
      </c>
      <c r="K440">
        <v>724</v>
      </c>
      <c r="L440">
        <v>735</v>
      </c>
      <c r="M440">
        <v>192338198.1981982</v>
      </c>
      <c r="N440">
        <v>153391981.98198199</v>
      </c>
      <c r="O440">
        <v>188911993.6936937</v>
      </c>
      <c r="P440">
        <v>195541300</v>
      </c>
      <c r="Q440">
        <v>190738288.2882883</v>
      </c>
      <c r="R440">
        <v>152278288.2882883</v>
      </c>
      <c r="S440">
        <v>14380</v>
      </c>
      <c r="T440">
        <v>11128</v>
      </c>
    </row>
    <row r="441" spans="1:20" x14ac:dyDescent="0.35">
      <c r="A441" s="7" t="s">
        <v>533</v>
      </c>
      <c r="B441" s="12" t="s">
        <v>86</v>
      </c>
      <c r="C441">
        <v>153921643.4655512</v>
      </c>
      <c r="D441">
        <v>177290496.83868876</v>
      </c>
      <c r="E441">
        <v>671171.17117117299</v>
      </c>
      <c r="F441">
        <v>3721621.6216216208</v>
      </c>
      <c r="G441">
        <v>17</v>
      </c>
      <c r="H441">
        <v>22</v>
      </c>
      <c r="K441">
        <v>19</v>
      </c>
      <c r="L441">
        <v>45</v>
      </c>
      <c r="M441">
        <v>22807747.747747745</v>
      </c>
      <c r="N441">
        <v>65922072.072072074</v>
      </c>
      <c r="O441">
        <v>33594414.414414413</v>
      </c>
      <c r="P441">
        <v>46941315.315315314</v>
      </c>
      <c r="Q441">
        <v>17972432.432432435</v>
      </c>
      <c r="R441">
        <v>53063513.513513513</v>
      </c>
      <c r="S441">
        <v>3596</v>
      </c>
      <c r="T441">
        <v>3906</v>
      </c>
    </row>
    <row r="442" spans="1:20" x14ac:dyDescent="0.35">
      <c r="A442" s="7" t="s">
        <v>9</v>
      </c>
      <c r="B442" s="12" t="s">
        <v>159</v>
      </c>
      <c r="C442">
        <v>416930124.30310625</v>
      </c>
      <c r="D442">
        <v>397734721.36512661</v>
      </c>
      <c r="E442">
        <v>11229372.97297298</v>
      </c>
      <c r="F442">
        <v>6966829.7297297334</v>
      </c>
      <c r="G442">
        <v>64</v>
      </c>
      <c r="H442">
        <v>101</v>
      </c>
      <c r="K442">
        <v>69</v>
      </c>
      <c r="L442">
        <v>122</v>
      </c>
      <c r="M442">
        <v>582118329.72972977</v>
      </c>
      <c r="N442">
        <v>557254802.70270276</v>
      </c>
      <c r="O442">
        <v>152273027.02702704</v>
      </c>
      <c r="P442">
        <v>145470763.96396396</v>
      </c>
      <c r="Q442">
        <v>502583333.33333331</v>
      </c>
      <c r="R442">
        <v>504794279.27927929</v>
      </c>
      <c r="S442">
        <v>7349</v>
      </c>
      <c r="T442">
        <v>6985</v>
      </c>
    </row>
    <row r="443" spans="1:20" x14ac:dyDescent="0.35">
      <c r="A443" s="7" t="s">
        <v>534</v>
      </c>
      <c r="B443" s="12" t="s">
        <v>95</v>
      </c>
      <c r="C443">
        <v>399803125.09764391</v>
      </c>
      <c r="D443">
        <v>420641176.4223609</v>
      </c>
      <c r="E443">
        <v>1345045.0450450501</v>
      </c>
      <c r="F443">
        <v>1622522.522522524</v>
      </c>
      <c r="G443">
        <v>83</v>
      </c>
      <c r="H443">
        <v>96</v>
      </c>
      <c r="K443">
        <v>91</v>
      </c>
      <c r="L443">
        <v>106</v>
      </c>
      <c r="M443">
        <v>34880180.180180177</v>
      </c>
      <c r="N443">
        <v>46636036.036036029</v>
      </c>
      <c r="O443">
        <v>53861342.342342347</v>
      </c>
      <c r="P443">
        <v>64973978.378378376</v>
      </c>
      <c r="Q443">
        <v>22877117.117117114</v>
      </c>
      <c r="R443">
        <v>27102522.522522524</v>
      </c>
      <c r="S443">
        <v>6433</v>
      </c>
      <c r="T443">
        <v>6296</v>
      </c>
    </row>
    <row r="444" spans="1:20" x14ac:dyDescent="0.35">
      <c r="A444" s="7" t="s">
        <v>535</v>
      </c>
      <c r="B444" s="12" t="s">
        <v>305</v>
      </c>
      <c r="C444">
        <v>10867326.274075976</v>
      </c>
      <c r="D444">
        <v>15073495.888490813</v>
      </c>
      <c r="G444">
        <v>4</v>
      </c>
      <c r="H444">
        <v>7</v>
      </c>
      <c r="K444">
        <v>4</v>
      </c>
      <c r="L444">
        <v>7</v>
      </c>
      <c r="O444">
        <v>1981711.7117117119</v>
      </c>
      <c r="P444">
        <v>1974909.9099099101</v>
      </c>
      <c r="S444">
        <v>423</v>
      </c>
      <c r="T444">
        <v>394</v>
      </c>
    </row>
    <row r="445" spans="1:20" x14ac:dyDescent="0.35">
      <c r="A445" s="7" t="s">
        <v>536</v>
      </c>
      <c r="B445" s="12" t="s">
        <v>305</v>
      </c>
      <c r="C445">
        <v>163756387.03841549</v>
      </c>
      <c r="D445">
        <v>158268406.72933462</v>
      </c>
      <c r="E445">
        <v>708108.10810810805</v>
      </c>
      <c r="F445">
        <v>1617117.1171171181</v>
      </c>
      <c r="G445">
        <v>15</v>
      </c>
      <c r="H445">
        <v>31</v>
      </c>
      <c r="K445">
        <v>21</v>
      </c>
      <c r="L445">
        <v>33</v>
      </c>
      <c r="M445">
        <v>13183783.783783784</v>
      </c>
      <c r="N445">
        <v>14013513.513513517</v>
      </c>
      <c r="O445">
        <v>14606981.981981982</v>
      </c>
      <c r="P445">
        <v>13701702.702702701</v>
      </c>
      <c r="Q445">
        <v>5409279.2792792786</v>
      </c>
      <c r="R445">
        <v>7718828.8288288284</v>
      </c>
      <c r="S445">
        <v>2758</v>
      </c>
      <c r="T445">
        <v>2748</v>
      </c>
    </row>
    <row r="446" spans="1:20" x14ac:dyDescent="0.35">
      <c r="A446" s="7" t="s">
        <v>537</v>
      </c>
      <c r="B446" s="12" t="s">
        <v>86</v>
      </c>
      <c r="C446">
        <v>144521003.24243027</v>
      </c>
      <c r="D446">
        <v>153437364.96243975</v>
      </c>
      <c r="E446">
        <v>862162.16216216399</v>
      </c>
      <c r="F446">
        <v>1027927.92792793</v>
      </c>
      <c r="G446">
        <v>58</v>
      </c>
      <c r="H446">
        <v>87</v>
      </c>
      <c r="I446">
        <v>4</v>
      </c>
      <c r="K446">
        <v>70</v>
      </c>
      <c r="L446">
        <v>129</v>
      </c>
      <c r="M446">
        <v>53013423.423423424</v>
      </c>
      <c r="N446">
        <v>76469189.189189181</v>
      </c>
      <c r="O446">
        <v>66044810.810810804</v>
      </c>
      <c r="P446">
        <v>72972459.459459454</v>
      </c>
      <c r="Q446">
        <v>41770360.360360362</v>
      </c>
      <c r="R446">
        <v>69827837.837837845</v>
      </c>
      <c r="S446">
        <v>3001</v>
      </c>
      <c r="T446">
        <v>3112</v>
      </c>
    </row>
    <row r="447" spans="1:20" x14ac:dyDescent="0.35">
      <c r="A447" s="7" t="s">
        <v>538</v>
      </c>
      <c r="B447" s="12" t="s">
        <v>449</v>
      </c>
      <c r="C447">
        <v>200217814.80752081</v>
      </c>
      <c r="D447">
        <v>189624361.65177694</v>
      </c>
      <c r="E447">
        <v>1913513.5135135159</v>
      </c>
      <c r="F447">
        <v>1231081.0810810821</v>
      </c>
      <c r="G447">
        <v>101</v>
      </c>
      <c r="H447">
        <v>63</v>
      </c>
      <c r="I447">
        <v>2</v>
      </c>
      <c r="K447">
        <v>119</v>
      </c>
      <c r="L447">
        <v>74</v>
      </c>
      <c r="M447">
        <v>15556936.936936935</v>
      </c>
      <c r="N447">
        <v>30346171.171171173</v>
      </c>
      <c r="O447">
        <v>56887259.459459454</v>
      </c>
      <c r="P447">
        <v>58661720.720720723</v>
      </c>
      <c r="Q447">
        <v>16361261.26126126</v>
      </c>
      <c r="R447">
        <v>24416621.62162162</v>
      </c>
      <c r="S447">
        <v>5926</v>
      </c>
      <c r="T447">
        <v>5620</v>
      </c>
    </row>
    <row r="448" spans="1:20" x14ac:dyDescent="0.35">
      <c r="A448" s="7" t="s">
        <v>539</v>
      </c>
      <c r="B448" s="12" t="s">
        <v>118</v>
      </c>
      <c r="C448">
        <v>460148741.98877382</v>
      </c>
      <c r="D448">
        <v>432944253.01766175</v>
      </c>
      <c r="E448">
        <v>10063063.063063066</v>
      </c>
      <c r="F448">
        <v>9486036.0360360406</v>
      </c>
      <c r="G448">
        <v>135</v>
      </c>
      <c r="H448">
        <v>146</v>
      </c>
      <c r="K448">
        <v>188</v>
      </c>
      <c r="L448">
        <v>210</v>
      </c>
      <c r="M448">
        <v>99442071.171171173</v>
      </c>
      <c r="N448">
        <v>99651227.927927941</v>
      </c>
      <c r="O448">
        <v>263229423.42342341</v>
      </c>
      <c r="P448">
        <v>246255279.27927926</v>
      </c>
      <c r="Q448">
        <v>92057027.027027026</v>
      </c>
      <c r="R448">
        <v>88059054.054054067</v>
      </c>
      <c r="S448">
        <v>11639</v>
      </c>
      <c r="T448">
        <v>11294</v>
      </c>
    </row>
    <row r="449" spans="1:20" x14ac:dyDescent="0.35">
      <c r="A449" s="7" t="s">
        <v>540</v>
      </c>
      <c r="B449" s="12" t="s">
        <v>84</v>
      </c>
      <c r="C449">
        <v>1410095594.8725309</v>
      </c>
      <c r="D449">
        <v>1380112271.1808779</v>
      </c>
      <c r="E449">
        <v>7370347.74774775</v>
      </c>
      <c r="F449">
        <v>8881081.0810810849</v>
      </c>
      <c r="G449">
        <v>287</v>
      </c>
      <c r="H449">
        <v>181</v>
      </c>
      <c r="I449">
        <v>1</v>
      </c>
      <c r="K449">
        <v>322</v>
      </c>
      <c r="L449">
        <v>231</v>
      </c>
      <c r="M449">
        <v>88738369.369369373</v>
      </c>
      <c r="N449">
        <v>102799099.0990991</v>
      </c>
      <c r="O449">
        <v>153740850</v>
      </c>
      <c r="P449">
        <v>163892790.99099097</v>
      </c>
      <c r="Q449">
        <v>77778331.531531543</v>
      </c>
      <c r="R449">
        <v>84432565.765765756</v>
      </c>
      <c r="S449">
        <v>22070</v>
      </c>
      <c r="T449">
        <v>22133</v>
      </c>
    </row>
    <row r="450" spans="1:20" x14ac:dyDescent="0.35">
      <c r="A450" s="7" t="s">
        <v>541</v>
      </c>
      <c r="B450" s="12" t="s">
        <v>316</v>
      </c>
      <c r="C450">
        <v>173566644.39737943</v>
      </c>
      <c r="D450">
        <v>168248422.77469453</v>
      </c>
      <c r="E450">
        <v>2419144.144144143</v>
      </c>
      <c r="F450">
        <v>2622522.5225225259</v>
      </c>
      <c r="G450">
        <v>24</v>
      </c>
      <c r="H450">
        <v>17</v>
      </c>
      <c r="K450">
        <v>28</v>
      </c>
      <c r="L450">
        <v>17</v>
      </c>
      <c r="M450">
        <v>13007657.657657657</v>
      </c>
      <c r="N450">
        <v>27695495.495495494</v>
      </c>
      <c r="O450">
        <v>33370270.270270269</v>
      </c>
      <c r="P450">
        <v>34060018.018018015</v>
      </c>
      <c r="Q450">
        <v>10909369.369369367</v>
      </c>
      <c r="R450">
        <v>23027747.747747749</v>
      </c>
      <c r="S450">
        <v>2534</v>
      </c>
      <c r="T450">
        <v>2735</v>
      </c>
    </row>
    <row r="451" spans="1:20" x14ac:dyDescent="0.35">
      <c r="A451" s="7" t="s">
        <v>542</v>
      </c>
      <c r="B451" s="12" t="s">
        <v>170</v>
      </c>
      <c r="C451">
        <v>1199693466.9635592</v>
      </c>
      <c r="D451">
        <v>1237486902.1777585</v>
      </c>
      <c r="E451">
        <v>2883783.7837837879</v>
      </c>
      <c r="F451">
        <v>6442342.3423423441</v>
      </c>
      <c r="G451">
        <v>121</v>
      </c>
      <c r="H451">
        <v>199</v>
      </c>
      <c r="I451">
        <v>1</v>
      </c>
      <c r="K451">
        <v>137</v>
      </c>
      <c r="L451">
        <v>269</v>
      </c>
      <c r="M451">
        <v>72558445.945945948</v>
      </c>
      <c r="N451">
        <v>77677927.027027026</v>
      </c>
      <c r="O451">
        <v>443754547.2972973</v>
      </c>
      <c r="P451">
        <v>481388765.76576579</v>
      </c>
      <c r="Q451">
        <v>71243333.333333343</v>
      </c>
      <c r="R451">
        <v>75145675.675675675</v>
      </c>
      <c r="S451">
        <v>22313</v>
      </c>
      <c r="T451">
        <v>21898</v>
      </c>
    </row>
    <row r="452" spans="1:20" x14ac:dyDescent="0.35">
      <c r="A452" s="7" t="s">
        <v>543</v>
      </c>
      <c r="B452" s="12" t="s">
        <v>480</v>
      </c>
      <c r="C452">
        <v>372003812.89452082</v>
      </c>
      <c r="D452">
        <v>366024130.36948597</v>
      </c>
      <c r="E452">
        <v>1153153.153153152</v>
      </c>
      <c r="F452">
        <v>1204504.5045045039</v>
      </c>
      <c r="G452">
        <v>40</v>
      </c>
      <c r="H452">
        <v>30</v>
      </c>
      <c r="K452">
        <v>43</v>
      </c>
      <c r="L452">
        <v>35</v>
      </c>
      <c r="M452">
        <v>3351351.3513513491</v>
      </c>
      <c r="N452">
        <v>2429729.729729739</v>
      </c>
      <c r="O452">
        <v>48334423.423423424</v>
      </c>
      <c r="P452">
        <v>67624774.774774775</v>
      </c>
      <c r="Q452">
        <v>2472252.2522522509</v>
      </c>
      <c r="R452">
        <v>2237477.4774774848</v>
      </c>
      <c r="S452">
        <v>5542</v>
      </c>
      <c r="T452">
        <v>5438</v>
      </c>
    </row>
    <row r="453" spans="1:20" x14ac:dyDescent="0.35">
      <c r="A453" s="7" t="s">
        <v>544</v>
      </c>
      <c r="B453" s="12" t="s">
        <v>81</v>
      </c>
      <c r="C453">
        <v>90191587.887873888</v>
      </c>
      <c r="D453">
        <v>100375610.06153943</v>
      </c>
      <c r="E453">
        <v>669819.81981981802</v>
      </c>
      <c r="F453">
        <v>1373873.8738738729</v>
      </c>
      <c r="G453">
        <v>28</v>
      </c>
      <c r="H453">
        <v>5</v>
      </c>
      <c r="K453">
        <v>31</v>
      </c>
      <c r="L453">
        <v>11</v>
      </c>
      <c r="M453">
        <v>26328378.378378376</v>
      </c>
      <c r="N453">
        <v>12201801.801801804</v>
      </c>
      <c r="O453">
        <v>33510585.585585583</v>
      </c>
      <c r="P453">
        <v>36121288.288288288</v>
      </c>
      <c r="Q453">
        <v>24896306.306306303</v>
      </c>
      <c r="R453">
        <v>11114144.144144144</v>
      </c>
      <c r="S453">
        <v>2609</v>
      </c>
      <c r="T453">
        <v>2339</v>
      </c>
    </row>
    <row r="454" spans="1:20" x14ac:dyDescent="0.35">
      <c r="A454" s="7" t="s">
        <v>545</v>
      </c>
      <c r="B454" s="12" t="s">
        <v>170</v>
      </c>
      <c r="C454">
        <v>97019035.422462255</v>
      </c>
      <c r="D454">
        <v>133549268.45910871</v>
      </c>
      <c r="E454">
        <v>277477.47747747699</v>
      </c>
      <c r="F454">
        <v>460360.36036036001</v>
      </c>
      <c r="G454">
        <v>14</v>
      </c>
      <c r="H454">
        <v>4</v>
      </c>
      <c r="K454">
        <v>15</v>
      </c>
      <c r="L454">
        <v>4</v>
      </c>
      <c r="M454">
        <v>1178378.378378378</v>
      </c>
      <c r="N454">
        <v>460360.36036036001</v>
      </c>
      <c r="O454">
        <v>40774178.378378376</v>
      </c>
      <c r="P454">
        <v>48740378.378378376</v>
      </c>
      <c r="Q454">
        <v>792432.43243243196</v>
      </c>
      <c r="R454">
        <v>1029909.9099099101</v>
      </c>
      <c r="S454">
        <v>2449</v>
      </c>
      <c r="T454">
        <v>2503</v>
      </c>
    </row>
    <row r="455" spans="1:20" x14ac:dyDescent="0.35">
      <c r="A455" s="7" t="s">
        <v>546</v>
      </c>
      <c r="B455" s="12" t="s">
        <v>225</v>
      </c>
      <c r="C455">
        <v>9827.3572880310003</v>
      </c>
      <c r="D455">
        <v>42311.006525404999</v>
      </c>
      <c r="P455">
        <v>6081.0810810809999</v>
      </c>
    </row>
    <row r="456" spans="1:20" x14ac:dyDescent="0.35">
      <c r="A456" s="7" t="s">
        <v>547</v>
      </c>
      <c r="B456" s="12" t="s">
        <v>137</v>
      </c>
      <c r="C456">
        <v>236058476.36560115</v>
      </c>
      <c r="D456">
        <v>247386017.60573465</v>
      </c>
      <c r="E456">
        <v>901801.80180180504</v>
      </c>
      <c r="F456">
        <v>1587837.837837839</v>
      </c>
      <c r="G456">
        <v>75</v>
      </c>
      <c r="H456">
        <v>41</v>
      </c>
      <c r="K456">
        <v>80</v>
      </c>
      <c r="L456">
        <v>47</v>
      </c>
      <c r="M456">
        <v>48976576.576576576</v>
      </c>
      <c r="N456">
        <v>59750000</v>
      </c>
      <c r="O456">
        <v>77868980.180180177</v>
      </c>
      <c r="P456">
        <v>99734971.171171173</v>
      </c>
      <c r="Q456">
        <v>42169099.0990991</v>
      </c>
      <c r="R456">
        <v>44347567.567567565</v>
      </c>
      <c r="S456">
        <v>4441</v>
      </c>
      <c r="T456">
        <v>4420</v>
      </c>
    </row>
    <row r="457" spans="1:20" x14ac:dyDescent="0.35">
      <c r="A457" s="7" t="s">
        <v>548</v>
      </c>
      <c r="B457" s="12" t="s">
        <v>137</v>
      </c>
      <c r="C457">
        <v>447939144.65457076</v>
      </c>
      <c r="D457">
        <v>442743827.5622071</v>
      </c>
      <c r="E457">
        <v>227483764.86486486</v>
      </c>
      <c r="F457">
        <v>359842748.64864862</v>
      </c>
      <c r="G457">
        <v>210</v>
      </c>
      <c r="H457">
        <v>169</v>
      </c>
      <c r="I457">
        <v>7</v>
      </c>
      <c r="K457">
        <v>240</v>
      </c>
      <c r="L457">
        <v>215</v>
      </c>
      <c r="M457">
        <v>111025225.22522523</v>
      </c>
      <c r="N457">
        <v>105881981.98198198</v>
      </c>
      <c r="O457">
        <v>148346489.1891892</v>
      </c>
      <c r="P457">
        <v>154243115.31531534</v>
      </c>
      <c r="Q457">
        <v>94379855.855855852</v>
      </c>
      <c r="R457">
        <v>90721981.981981978</v>
      </c>
      <c r="S457">
        <v>12508</v>
      </c>
      <c r="T457">
        <v>12837</v>
      </c>
    </row>
    <row r="458" spans="1:20" x14ac:dyDescent="0.35">
      <c r="A458" s="7" t="s">
        <v>549</v>
      </c>
      <c r="B458" s="12" t="s">
        <v>137</v>
      </c>
      <c r="C458">
        <v>499222509.98743361</v>
      </c>
      <c r="D458">
        <v>516423900.67533261</v>
      </c>
      <c r="E458">
        <v>3793693.6936936951</v>
      </c>
      <c r="F458">
        <v>1880180.1801801799</v>
      </c>
      <c r="G458">
        <v>71</v>
      </c>
      <c r="H458">
        <v>105</v>
      </c>
      <c r="I458">
        <v>6</v>
      </c>
      <c r="K458">
        <v>79</v>
      </c>
      <c r="L458">
        <v>112</v>
      </c>
      <c r="M458">
        <v>19208108.108108107</v>
      </c>
      <c r="N458">
        <v>22465765.765765768</v>
      </c>
      <c r="O458">
        <v>81217277.477477476</v>
      </c>
      <c r="P458">
        <v>89971846.846846849</v>
      </c>
      <c r="Q458">
        <v>18269369.369369369</v>
      </c>
      <c r="R458">
        <v>18696756.756756756</v>
      </c>
      <c r="S458">
        <v>8166</v>
      </c>
      <c r="T458">
        <v>9034</v>
      </c>
    </row>
    <row r="459" spans="1:20" x14ac:dyDescent="0.35">
      <c r="A459" s="7" t="s">
        <v>550</v>
      </c>
      <c r="B459" s="12" t="s">
        <v>137</v>
      </c>
      <c r="C459">
        <v>209461137.97320473</v>
      </c>
      <c r="D459">
        <v>201662811.35633302</v>
      </c>
      <c r="E459">
        <v>591891.891891893</v>
      </c>
      <c r="F459">
        <v>1167567.567567568</v>
      </c>
      <c r="G459">
        <v>39</v>
      </c>
      <c r="H459">
        <v>51</v>
      </c>
      <c r="I459">
        <v>1</v>
      </c>
      <c r="K459">
        <v>42</v>
      </c>
      <c r="L459">
        <v>53</v>
      </c>
      <c r="M459">
        <v>15357657.657657657</v>
      </c>
      <c r="N459">
        <v>20478378.378378376</v>
      </c>
      <c r="O459">
        <v>35494567.567567565</v>
      </c>
      <c r="P459">
        <v>39971864.864864863</v>
      </c>
      <c r="Q459">
        <v>13713153.153153151</v>
      </c>
      <c r="R459">
        <v>15720270.270270268</v>
      </c>
      <c r="S459">
        <v>3907</v>
      </c>
      <c r="T459">
        <v>4389</v>
      </c>
    </row>
    <row r="460" spans="1:20" x14ac:dyDescent="0.35">
      <c r="A460" s="7" t="s">
        <v>551</v>
      </c>
      <c r="B460" s="12" t="s">
        <v>88</v>
      </c>
      <c r="C460">
        <v>85151326.48650679</v>
      </c>
      <c r="D460">
        <v>85724808.41551514</v>
      </c>
      <c r="E460">
        <v>133333.33333333299</v>
      </c>
      <c r="F460">
        <v>27027.027027028002</v>
      </c>
      <c r="G460">
        <v>33</v>
      </c>
      <c r="H460">
        <v>27</v>
      </c>
      <c r="K460">
        <v>35</v>
      </c>
      <c r="L460">
        <v>31</v>
      </c>
      <c r="M460">
        <v>5427027.0270270268</v>
      </c>
      <c r="N460">
        <v>4567567.5675675673</v>
      </c>
      <c r="O460">
        <v>13432036.036036037</v>
      </c>
      <c r="P460">
        <v>15409297.297297295</v>
      </c>
      <c r="Q460">
        <v>5194864.8648648653</v>
      </c>
      <c r="R460">
        <v>3506396.3963963971</v>
      </c>
      <c r="S460">
        <v>1420</v>
      </c>
      <c r="T460">
        <v>1311</v>
      </c>
    </row>
    <row r="461" spans="1:20" x14ac:dyDescent="0.35">
      <c r="A461" s="7" t="s">
        <v>552</v>
      </c>
      <c r="B461" s="12" t="s">
        <v>88</v>
      </c>
      <c r="C461">
        <v>130399461.83070846</v>
      </c>
      <c r="D461">
        <v>132845174.8880073</v>
      </c>
      <c r="E461">
        <v>490990.990990992</v>
      </c>
      <c r="F461">
        <v>463963.963963966</v>
      </c>
      <c r="G461">
        <v>75</v>
      </c>
      <c r="H461">
        <v>54</v>
      </c>
      <c r="K461">
        <v>85</v>
      </c>
      <c r="L461">
        <v>57</v>
      </c>
      <c r="M461">
        <v>11406306.306306306</v>
      </c>
      <c r="N461">
        <v>12990990.990990993</v>
      </c>
      <c r="O461">
        <v>19838322.522522524</v>
      </c>
      <c r="P461">
        <v>19881783.783783782</v>
      </c>
      <c r="Q461">
        <v>8212522.5225225221</v>
      </c>
      <c r="R461">
        <v>8770810.8108108118</v>
      </c>
      <c r="S461">
        <v>2621</v>
      </c>
      <c r="T461">
        <v>2695</v>
      </c>
    </row>
    <row r="462" spans="1:20" x14ac:dyDescent="0.35">
      <c r="A462" s="7" t="s">
        <v>553</v>
      </c>
      <c r="B462" s="12" t="s">
        <v>67</v>
      </c>
      <c r="C462">
        <v>261329327.69238642</v>
      </c>
      <c r="D462">
        <v>266508590.60423851</v>
      </c>
      <c r="E462">
        <v>8962162.1621621605</v>
      </c>
      <c r="F462">
        <v>13764414.414414419</v>
      </c>
      <c r="G462">
        <v>80</v>
      </c>
      <c r="H462">
        <v>75</v>
      </c>
      <c r="I462">
        <v>1</v>
      </c>
      <c r="K462">
        <v>95</v>
      </c>
      <c r="L462">
        <v>102</v>
      </c>
      <c r="M462">
        <v>198770990.99099097</v>
      </c>
      <c r="N462">
        <v>246823018.01801801</v>
      </c>
      <c r="O462">
        <v>112047182.43243243</v>
      </c>
      <c r="P462">
        <v>112862252.25225225</v>
      </c>
      <c r="Q462">
        <v>166525135.13513514</v>
      </c>
      <c r="R462">
        <v>143661171.17117116</v>
      </c>
      <c r="S462">
        <v>12686</v>
      </c>
      <c r="T462">
        <v>9134</v>
      </c>
    </row>
    <row r="463" spans="1:20" x14ac:dyDescent="0.35">
      <c r="A463" s="7" t="s">
        <v>554</v>
      </c>
      <c r="B463" s="12" t="s">
        <v>555</v>
      </c>
      <c r="C463">
        <v>520786062.85392308</v>
      </c>
      <c r="D463">
        <v>513890683.96773916</v>
      </c>
      <c r="E463">
        <v>7295945.9459459502</v>
      </c>
      <c r="F463">
        <v>8277477.4774774779</v>
      </c>
      <c r="G463">
        <v>98</v>
      </c>
      <c r="H463">
        <v>56</v>
      </c>
      <c r="I463">
        <v>6</v>
      </c>
      <c r="K463">
        <v>122</v>
      </c>
      <c r="L463">
        <v>70</v>
      </c>
      <c r="M463">
        <v>177757657.65765765</v>
      </c>
      <c r="N463">
        <v>153330180.18018019</v>
      </c>
      <c r="O463">
        <v>141975963.96396396</v>
      </c>
      <c r="P463">
        <v>162913666.66666666</v>
      </c>
      <c r="Q463">
        <v>171987477.47747746</v>
      </c>
      <c r="R463">
        <v>143674324.32432431</v>
      </c>
      <c r="S463">
        <v>9280</v>
      </c>
      <c r="T463">
        <v>9501</v>
      </c>
    </row>
    <row r="464" spans="1:20" x14ac:dyDescent="0.35">
      <c r="A464" s="7" t="s">
        <v>556</v>
      </c>
      <c r="B464" s="12" t="s">
        <v>555</v>
      </c>
      <c r="C464">
        <v>80745485.832836226</v>
      </c>
      <c r="D464">
        <v>80813899.606522948</v>
      </c>
      <c r="E464">
        <v>169980656.75675678</v>
      </c>
      <c r="F464">
        <v>174803405.4054054</v>
      </c>
      <c r="G464">
        <v>33</v>
      </c>
      <c r="H464">
        <v>26</v>
      </c>
      <c r="K464">
        <v>34</v>
      </c>
      <c r="L464">
        <v>32</v>
      </c>
      <c r="M464">
        <v>25811711.711711712</v>
      </c>
      <c r="N464">
        <v>24913063.063063063</v>
      </c>
      <c r="O464">
        <v>28981477.47747748</v>
      </c>
      <c r="P464">
        <v>33455396.396396395</v>
      </c>
      <c r="Q464">
        <v>11064594.594594596</v>
      </c>
      <c r="R464">
        <v>6266306.3063063072</v>
      </c>
      <c r="S464">
        <v>1577</v>
      </c>
      <c r="T464">
        <v>1277</v>
      </c>
    </row>
    <row r="465" spans="1:20" x14ac:dyDescent="0.35">
      <c r="A465" s="7" t="s">
        <v>557</v>
      </c>
      <c r="B465" s="12" t="s">
        <v>122</v>
      </c>
      <c r="C465">
        <v>59049531.017684035</v>
      </c>
      <c r="D465">
        <v>60532175.425584823</v>
      </c>
      <c r="E465">
        <v>180180.18018018</v>
      </c>
      <c r="F465">
        <v>157657.65765765801</v>
      </c>
      <c r="G465">
        <v>28</v>
      </c>
      <c r="H465">
        <v>31</v>
      </c>
      <c r="K465">
        <v>32</v>
      </c>
      <c r="L465">
        <v>32</v>
      </c>
      <c r="M465">
        <v>180180.18018018</v>
      </c>
      <c r="N465">
        <v>157657.65765765801</v>
      </c>
      <c r="O465">
        <v>5321477.4774774779</v>
      </c>
      <c r="P465">
        <v>8084414.4144144142</v>
      </c>
      <c r="Q465">
        <v>118918.91891891899</v>
      </c>
      <c r="R465">
        <v>198198.19819819799</v>
      </c>
      <c r="S465">
        <v>1360</v>
      </c>
      <c r="T465">
        <v>1340</v>
      </c>
    </row>
    <row r="466" spans="1:20" x14ac:dyDescent="0.35">
      <c r="A466" s="7" t="s">
        <v>558</v>
      </c>
      <c r="B466" s="12" t="s">
        <v>71</v>
      </c>
      <c r="C466">
        <v>476355844.39733535</v>
      </c>
      <c r="D466">
        <v>471830810.31799316</v>
      </c>
      <c r="E466">
        <v>4956756.7567567648</v>
      </c>
      <c r="F466">
        <v>11667567.567567572</v>
      </c>
      <c r="G466">
        <v>101</v>
      </c>
      <c r="H466">
        <v>79</v>
      </c>
      <c r="I466">
        <v>1</v>
      </c>
      <c r="K466">
        <v>125</v>
      </c>
      <c r="L466">
        <v>97</v>
      </c>
      <c r="M466">
        <v>61375675.675675683</v>
      </c>
      <c r="N466">
        <v>153100000</v>
      </c>
      <c r="O466">
        <v>202280612.61261261</v>
      </c>
      <c r="P466">
        <v>200791378.37837836</v>
      </c>
      <c r="Q466">
        <v>59074324.324324317</v>
      </c>
      <c r="R466">
        <v>121997567.56756757</v>
      </c>
      <c r="S466">
        <v>10204</v>
      </c>
      <c r="T466">
        <v>10438</v>
      </c>
    </row>
    <row r="467" spans="1:20" x14ac:dyDescent="0.35">
      <c r="A467" s="7" t="s">
        <v>559</v>
      </c>
      <c r="B467" s="12" t="s">
        <v>63</v>
      </c>
      <c r="C467">
        <v>861497390.88381648</v>
      </c>
      <c r="D467">
        <v>855200756.62982702</v>
      </c>
      <c r="E467">
        <v>14150445.945945952</v>
      </c>
      <c r="F467">
        <v>17221621.621621627</v>
      </c>
      <c r="G467">
        <v>345</v>
      </c>
      <c r="H467">
        <v>391</v>
      </c>
      <c r="I467">
        <v>1</v>
      </c>
      <c r="K467">
        <v>516</v>
      </c>
      <c r="L467">
        <v>736</v>
      </c>
      <c r="M467">
        <v>132564324.32432432</v>
      </c>
      <c r="N467">
        <v>249991171.17117116</v>
      </c>
      <c r="O467">
        <v>200493153.15315315</v>
      </c>
      <c r="P467">
        <v>225141614.41441441</v>
      </c>
      <c r="Q467">
        <v>126827567.56756757</v>
      </c>
      <c r="R467">
        <v>191170540.54054055</v>
      </c>
      <c r="S467">
        <v>18372</v>
      </c>
      <c r="T467">
        <v>18451</v>
      </c>
    </row>
    <row r="468" spans="1:20" x14ac:dyDescent="0.35">
      <c r="A468" s="7" t="s">
        <v>560</v>
      </c>
      <c r="B468" s="12" t="s">
        <v>480</v>
      </c>
      <c r="C468">
        <v>403545538.67908698</v>
      </c>
      <c r="D468">
        <v>414748673.81509995</v>
      </c>
      <c r="E468">
        <v>4322522.5225225231</v>
      </c>
      <c r="F468">
        <v>3120720.7207207219</v>
      </c>
      <c r="G468">
        <v>153</v>
      </c>
      <c r="H468">
        <v>97</v>
      </c>
      <c r="I468">
        <v>1</v>
      </c>
      <c r="K468">
        <v>174</v>
      </c>
      <c r="L468">
        <v>107</v>
      </c>
      <c r="M468">
        <v>64059459.459459454</v>
      </c>
      <c r="N468">
        <v>52347072.072072074</v>
      </c>
      <c r="O468">
        <v>124373664.86486487</v>
      </c>
      <c r="P468">
        <v>129031756.75675675</v>
      </c>
      <c r="Q468">
        <v>54814324.324324317</v>
      </c>
      <c r="R468">
        <v>62363018.018018022</v>
      </c>
      <c r="S468">
        <v>8986</v>
      </c>
      <c r="T468">
        <v>7809</v>
      </c>
    </row>
    <row r="469" spans="1:20" x14ac:dyDescent="0.35">
      <c r="A469" s="7" t="s">
        <v>561</v>
      </c>
      <c r="B469" s="12" t="s">
        <v>237</v>
      </c>
      <c r="C469">
        <v>70908200.862589523</v>
      </c>
      <c r="D469">
        <v>72227624.855394021</v>
      </c>
      <c r="E469">
        <v>1275675.675675676</v>
      </c>
      <c r="F469">
        <v>763063.06306306401</v>
      </c>
      <c r="G469">
        <v>23</v>
      </c>
      <c r="H469">
        <v>18</v>
      </c>
      <c r="K469">
        <v>52</v>
      </c>
      <c r="L469">
        <v>20</v>
      </c>
      <c r="M469">
        <v>5637567.5675675673</v>
      </c>
      <c r="N469">
        <v>3667567.5675675678</v>
      </c>
      <c r="O469">
        <v>26756054.054054055</v>
      </c>
      <c r="P469">
        <v>29754909.909909908</v>
      </c>
      <c r="Q469">
        <v>5411621.6216216199</v>
      </c>
      <c r="R469">
        <v>2532612.6126126121</v>
      </c>
      <c r="S469">
        <v>2172</v>
      </c>
      <c r="T469">
        <v>2078</v>
      </c>
    </row>
    <row r="470" spans="1:20" x14ac:dyDescent="0.35">
      <c r="A470" s="7" t="s">
        <v>562</v>
      </c>
      <c r="B470" s="12" t="s">
        <v>61</v>
      </c>
      <c r="C470">
        <v>66320650.762381077</v>
      </c>
      <c r="D470">
        <v>64675292.749198876</v>
      </c>
      <c r="E470">
        <v>2888288.2882882869</v>
      </c>
      <c r="F470">
        <v>1984234.234234235</v>
      </c>
      <c r="G470">
        <v>24</v>
      </c>
      <c r="H470">
        <v>51</v>
      </c>
      <c r="K470">
        <v>41</v>
      </c>
      <c r="L470">
        <v>115</v>
      </c>
      <c r="M470">
        <v>19013513.513513517</v>
      </c>
      <c r="N470">
        <v>18020270.270270269</v>
      </c>
      <c r="O470">
        <v>23517801.801801801</v>
      </c>
      <c r="P470">
        <v>23364486.486486487</v>
      </c>
      <c r="Q470">
        <v>17380090.090090092</v>
      </c>
      <c r="R470">
        <v>15508828.828828828</v>
      </c>
      <c r="S470">
        <v>1564</v>
      </c>
      <c r="T470">
        <v>1268</v>
      </c>
    </row>
    <row r="471" spans="1:20" x14ac:dyDescent="0.35">
      <c r="A471" s="7" t="s">
        <v>563</v>
      </c>
      <c r="B471" s="12" t="s">
        <v>564</v>
      </c>
      <c r="C471">
        <v>376420530.33390242</v>
      </c>
      <c r="D471">
        <v>393922783.68553376</v>
      </c>
      <c r="E471">
        <v>746744676.57657659</v>
      </c>
      <c r="F471">
        <v>535391059.45945948</v>
      </c>
      <c r="G471">
        <v>448</v>
      </c>
      <c r="H471">
        <v>325</v>
      </c>
      <c r="I471">
        <v>3</v>
      </c>
      <c r="K471">
        <v>838</v>
      </c>
      <c r="L471">
        <v>581</v>
      </c>
      <c r="M471">
        <v>687761457.65765762</v>
      </c>
      <c r="N471">
        <v>476213875.67567563</v>
      </c>
      <c r="O471">
        <v>161252666.66666666</v>
      </c>
      <c r="P471">
        <v>185307081.08108109</v>
      </c>
      <c r="Q471">
        <v>513931536.93693697</v>
      </c>
      <c r="R471">
        <v>639944846.84684682</v>
      </c>
      <c r="S471">
        <v>13990</v>
      </c>
      <c r="T471">
        <v>8585</v>
      </c>
    </row>
    <row r="472" spans="1:20" x14ac:dyDescent="0.35">
      <c r="A472" s="7" t="s">
        <v>565</v>
      </c>
      <c r="B472" s="12" t="s">
        <v>564</v>
      </c>
      <c r="C472">
        <v>510549814.06363982</v>
      </c>
      <c r="D472">
        <v>501736265.02347684</v>
      </c>
      <c r="E472">
        <v>55630630.630630635</v>
      </c>
      <c r="F472">
        <v>121458558.55855855</v>
      </c>
      <c r="G472">
        <v>150</v>
      </c>
      <c r="H472">
        <v>154</v>
      </c>
      <c r="K472">
        <v>163</v>
      </c>
      <c r="L472">
        <v>258</v>
      </c>
      <c r="M472">
        <v>76828920.720720723</v>
      </c>
      <c r="N472">
        <v>84829099.0990991</v>
      </c>
      <c r="O472">
        <v>211045270.27027026</v>
      </c>
      <c r="P472">
        <v>220178144.14414415</v>
      </c>
      <c r="Q472">
        <v>54856846.846846849</v>
      </c>
      <c r="R472">
        <v>75867342.342342347</v>
      </c>
      <c r="S472">
        <v>15438</v>
      </c>
      <c r="T472">
        <v>12839</v>
      </c>
    </row>
    <row r="473" spans="1:20" x14ac:dyDescent="0.35">
      <c r="A473" s="7" t="s">
        <v>566</v>
      </c>
      <c r="B473" s="12" t="s">
        <v>564</v>
      </c>
      <c r="C473">
        <v>368196655.31735742</v>
      </c>
      <c r="D473">
        <v>394904219.37955052</v>
      </c>
      <c r="E473">
        <v>5612342.342342346</v>
      </c>
      <c r="F473">
        <v>7817478.3783783764</v>
      </c>
      <c r="G473">
        <v>282</v>
      </c>
      <c r="H473">
        <v>196</v>
      </c>
      <c r="K473">
        <v>340</v>
      </c>
      <c r="L473">
        <v>261</v>
      </c>
      <c r="M473">
        <v>41140136.036036029</v>
      </c>
      <c r="N473">
        <v>75857253.153153151</v>
      </c>
      <c r="O473">
        <v>163576135.13513514</v>
      </c>
      <c r="P473">
        <v>181814684.68468466</v>
      </c>
      <c r="Q473">
        <v>39999639.639639638</v>
      </c>
      <c r="R473">
        <v>71902837.837837845</v>
      </c>
      <c r="S473">
        <v>17248</v>
      </c>
      <c r="T473">
        <v>12026</v>
      </c>
    </row>
    <row r="474" spans="1:20" x14ac:dyDescent="0.35">
      <c r="A474" s="7" t="s">
        <v>567</v>
      </c>
      <c r="B474" s="12" t="s">
        <v>564</v>
      </c>
      <c r="C474">
        <v>242699320.979792</v>
      </c>
      <c r="D474">
        <v>257010322.97593924</v>
      </c>
      <c r="E474">
        <v>2989189.18918919</v>
      </c>
      <c r="F474">
        <v>8464414.4144144133</v>
      </c>
      <c r="G474">
        <v>27</v>
      </c>
      <c r="H474">
        <v>24</v>
      </c>
      <c r="K474">
        <v>33</v>
      </c>
      <c r="L474">
        <v>26</v>
      </c>
      <c r="M474">
        <v>39429430.630630635</v>
      </c>
      <c r="N474">
        <v>70077702.702702701</v>
      </c>
      <c r="O474">
        <v>143976990.990991</v>
      </c>
      <c r="P474">
        <v>145779972.97297296</v>
      </c>
      <c r="Q474">
        <v>37794414.414414413</v>
      </c>
      <c r="R474">
        <v>68393198.198198199</v>
      </c>
      <c r="S474">
        <v>7406</v>
      </c>
      <c r="T474">
        <v>6574</v>
      </c>
    </row>
    <row r="475" spans="1:20" x14ac:dyDescent="0.35">
      <c r="A475" s="7" t="s">
        <v>568</v>
      </c>
      <c r="B475" s="12" t="s">
        <v>564</v>
      </c>
      <c r="C475">
        <v>142321752.03818452</v>
      </c>
      <c r="D475">
        <v>145679376.23043415</v>
      </c>
      <c r="E475">
        <v>4219819.8198198192</v>
      </c>
      <c r="F475">
        <v>6654954.9549549539</v>
      </c>
      <c r="G475">
        <v>40</v>
      </c>
      <c r="H475">
        <v>39</v>
      </c>
      <c r="I475">
        <v>3</v>
      </c>
      <c r="K475">
        <v>50</v>
      </c>
      <c r="L475">
        <v>40</v>
      </c>
      <c r="M475">
        <v>28544857.657657657</v>
      </c>
      <c r="N475">
        <v>64115090.090090089</v>
      </c>
      <c r="O475">
        <v>58276745.945945941</v>
      </c>
      <c r="P475">
        <v>63180207.20720721</v>
      </c>
      <c r="Q475">
        <v>27844369.369369369</v>
      </c>
      <c r="R475">
        <v>56544549.54954955</v>
      </c>
      <c r="S475">
        <v>6658</v>
      </c>
      <c r="T475">
        <v>4805</v>
      </c>
    </row>
    <row r="476" spans="1:20" x14ac:dyDescent="0.35">
      <c r="A476" s="7" t="s">
        <v>569</v>
      </c>
      <c r="B476" s="12" t="s">
        <v>49</v>
      </c>
      <c r="C476">
        <v>314649514.37745416</v>
      </c>
      <c r="D476">
        <v>331407671.58404076</v>
      </c>
      <c r="E476">
        <v>1379279.27927928</v>
      </c>
      <c r="F476">
        <v>1148648.6486486499</v>
      </c>
      <c r="G476">
        <v>9</v>
      </c>
      <c r="H476">
        <v>18</v>
      </c>
      <c r="K476">
        <v>10</v>
      </c>
      <c r="L476">
        <v>21</v>
      </c>
      <c r="M476">
        <v>12892792.792792793</v>
      </c>
      <c r="N476">
        <v>10608108.108108109</v>
      </c>
      <c r="O476">
        <v>39840607.20720721</v>
      </c>
      <c r="P476">
        <v>46612790.990990989</v>
      </c>
      <c r="Q476">
        <v>13923693.693693696</v>
      </c>
      <c r="R476">
        <v>14920944.144144146</v>
      </c>
      <c r="S476">
        <v>6005</v>
      </c>
      <c r="T476">
        <v>6074</v>
      </c>
    </row>
    <row r="477" spans="1:20" x14ac:dyDescent="0.35">
      <c r="A477" s="7" t="s">
        <v>570</v>
      </c>
      <c r="B477" s="12" t="s">
        <v>170</v>
      </c>
      <c r="C477">
        <v>4599209608.2683887</v>
      </c>
      <c r="D477">
        <v>3534243964.5079207</v>
      </c>
      <c r="E477">
        <v>3335442903.6036034</v>
      </c>
      <c r="F477">
        <v>4538041336.0360365</v>
      </c>
      <c r="G477">
        <v>1159</v>
      </c>
      <c r="H477">
        <v>1473</v>
      </c>
      <c r="I477">
        <v>12</v>
      </c>
      <c r="K477">
        <v>1534</v>
      </c>
      <c r="L477">
        <v>3102</v>
      </c>
      <c r="M477">
        <v>608972081.08108103</v>
      </c>
      <c r="N477">
        <v>807494617.11711705</v>
      </c>
      <c r="O477">
        <v>2923950660.3603606</v>
      </c>
      <c r="P477">
        <v>4359034443.2432432</v>
      </c>
      <c r="Q477">
        <v>576872832.43243241</v>
      </c>
      <c r="R477">
        <v>742034455.85585582</v>
      </c>
      <c r="S477">
        <v>56135</v>
      </c>
      <c r="T477">
        <v>57827</v>
      </c>
    </row>
    <row r="478" spans="1:20" x14ac:dyDescent="0.35">
      <c r="A478" s="7" t="s">
        <v>571</v>
      </c>
      <c r="B478" s="12" t="s">
        <v>221</v>
      </c>
      <c r="C478">
        <v>279596750.08461201</v>
      </c>
      <c r="D478">
        <v>289377313.77631056</v>
      </c>
      <c r="E478">
        <v>1470270.2702702719</v>
      </c>
      <c r="F478">
        <v>2260360.3603603588</v>
      </c>
      <c r="G478">
        <v>29</v>
      </c>
      <c r="H478">
        <v>31</v>
      </c>
      <c r="K478">
        <v>31</v>
      </c>
      <c r="L478">
        <v>33</v>
      </c>
      <c r="M478">
        <v>12027657.657657657</v>
      </c>
      <c r="N478">
        <v>22417387.387387387</v>
      </c>
      <c r="O478">
        <v>46275702.702702701</v>
      </c>
      <c r="P478">
        <v>53482845.045045048</v>
      </c>
      <c r="Q478">
        <v>11066216.216216214</v>
      </c>
      <c r="R478">
        <v>22022792.792792793</v>
      </c>
      <c r="S478">
        <v>4381</v>
      </c>
      <c r="T478">
        <v>5159</v>
      </c>
    </row>
    <row r="479" spans="1:20" x14ac:dyDescent="0.35">
      <c r="A479" s="7" t="s">
        <v>572</v>
      </c>
      <c r="B479" s="12" t="s">
        <v>86</v>
      </c>
      <c r="C479">
        <v>343043977.83790249</v>
      </c>
      <c r="D479">
        <v>383901792.79656416</v>
      </c>
      <c r="E479">
        <v>554054.05405405595</v>
      </c>
      <c r="F479">
        <v>2115315.3153153169</v>
      </c>
      <c r="G479">
        <v>42</v>
      </c>
      <c r="H479">
        <v>15</v>
      </c>
      <c r="K479">
        <v>45</v>
      </c>
      <c r="L479">
        <v>22</v>
      </c>
      <c r="M479">
        <v>31655033.333333336</v>
      </c>
      <c r="N479">
        <v>79866036.036036029</v>
      </c>
      <c r="O479">
        <v>78606781.981981978</v>
      </c>
      <c r="P479">
        <v>96942989.189189181</v>
      </c>
      <c r="Q479">
        <v>24301981.981981985</v>
      </c>
      <c r="R479">
        <v>66753153.153153151</v>
      </c>
      <c r="S479">
        <v>5050</v>
      </c>
      <c r="T479">
        <v>5038</v>
      </c>
    </row>
    <row r="480" spans="1:20" x14ac:dyDescent="0.35">
      <c r="A480" s="7" t="s">
        <v>573</v>
      </c>
      <c r="B480" s="12" t="s">
        <v>480</v>
      </c>
      <c r="C480">
        <v>181914617.35759041</v>
      </c>
      <c r="D480">
        <v>163828216.57088539</v>
      </c>
      <c r="E480">
        <v>177616918.91891891</v>
      </c>
      <c r="F480">
        <v>207542481.08108109</v>
      </c>
      <c r="G480">
        <v>106</v>
      </c>
      <c r="H480">
        <v>80</v>
      </c>
      <c r="K480">
        <v>131</v>
      </c>
      <c r="L480">
        <v>99</v>
      </c>
      <c r="M480">
        <v>39573563.063063063</v>
      </c>
      <c r="N480">
        <v>51289864.864864863</v>
      </c>
      <c r="O480">
        <v>75434607.207207203</v>
      </c>
      <c r="P480">
        <v>73731468.468468457</v>
      </c>
      <c r="Q480">
        <v>30224414.414414417</v>
      </c>
      <c r="R480">
        <v>44530000</v>
      </c>
      <c r="S480">
        <v>7775</v>
      </c>
      <c r="T480">
        <v>5288</v>
      </c>
    </row>
    <row r="481" spans="1:20" x14ac:dyDescent="0.35">
      <c r="A481" s="7" t="s">
        <v>574</v>
      </c>
      <c r="B481" s="12" t="s">
        <v>95</v>
      </c>
      <c r="C481">
        <v>466264494.5680021</v>
      </c>
      <c r="D481">
        <v>503712313.00187433</v>
      </c>
      <c r="E481">
        <v>2989189.18918919</v>
      </c>
      <c r="F481">
        <v>4363963.9639639659</v>
      </c>
      <c r="G481">
        <v>87</v>
      </c>
      <c r="H481">
        <v>147</v>
      </c>
      <c r="I481">
        <v>1</v>
      </c>
      <c r="K481">
        <v>112</v>
      </c>
      <c r="L481">
        <v>283</v>
      </c>
      <c r="M481">
        <v>850723423.42342353</v>
      </c>
      <c r="N481">
        <v>40755855.855855852</v>
      </c>
      <c r="O481">
        <v>101569351.8018018</v>
      </c>
      <c r="P481">
        <v>115176097.2972973</v>
      </c>
      <c r="Q481">
        <v>37583603.603603609</v>
      </c>
      <c r="R481">
        <v>38044324.324324317</v>
      </c>
      <c r="S481">
        <v>9466</v>
      </c>
      <c r="T481">
        <v>10028</v>
      </c>
    </row>
    <row r="482" spans="1:20" x14ac:dyDescent="0.35">
      <c r="A482" s="7" t="s">
        <v>575</v>
      </c>
      <c r="B482" s="12" t="s">
        <v>308</v>
      </c>
      <c r="C482">
        <v>1091948305.0258482</v>
      </c>
      <c r="D482">
        <v>1103774832.6510041</v>
      </c>
      <c r="E482">
        <v>21033063.06306307</v>
      </c>
      <c r="F482">
        <v>20103603.603603605</v>
      </c>
      <c r="G482">
        <v>411</v>
      </c>
      <c r="H482">
        <v>443</v>
      </c>
      <c r="I482">
        <v>5</v>
      </c>
      <c r="K482">
        <v>485</v>
      </c>
      <c r="L482">
        <v>541</v>
      </c>
      <c r="M482">
        <v>1292442027.0270269</v>
      </c>
      <c r="N482">
        <v>365141981.98198193</v>
      </c>
      <c r="O482">
        <v>442899453.6036036</v>
      </c>
      <c r="P482">
        <v>465758828.82882881</v>
      </c>
      <c r="Q482">
        <v>250498153.15315315</v>
      </c>
      <c r="R482">
        <v>227227207.2072072</v>
      </c>
      <c r="S482">
        <v>36731</v>
      </c>
      <c r="T482">
        <v>33691</v>
      </c>
    </row>
    <row r="483" spans="1:20" x14ac:dyDescent="0.35">
      <c r="A483" s="7" t="s">
        <v>10</v>
      </c>
      <c r="B483" s="12" t="s">
        <v>194</v>
      </c>
      <c r="C483">
        <v>175150300.96920884</v>
      </c>
      <c r="D483">
        <v>174572246.81269041</v>
      </c>
      <c r="G483">
        <v>26</v>
      </c>
      <c r="H483">
        <v>17</v>
      </c>
      <c r="K483">
        <v>27</v>
      </c>
      <c r="L483">
        <v>24</v>
      </c>
      <c r="O483">
        <v>104928259.45945945</v>
      </c>
      <c r="P483">
        <v>103431405.4054054</v>
      </c>
      <c r="Q483">
        <v>19639.639639640001</v>
      </c>
      <c r="R483">
        <v>576486.48648648604</v>
      </c>
      <c r="S483">
        <v>3897</v>
      </c>
      <c r="T483">
        <v>3615</v>
      </c>
    </row>
    <row r="484" spans="1:20" x14ac:dyDescent="0.35">
      <c r="A484" s="7" t="s">
        <v>576</v>
      </c>
      <c r="B484" s="12" t="s">
        <v>88</v>
      </c>
      <c r="C484">
        <v>3781463.1527949781</v>
      </c>
      <c r="D484">
        <v>4458311.9701532209</v>
      </c>
      <c r="G484">
        <v>18</v>
      </c>
      <c r="H484">
        <v>10</v>
      </c>
      <c r="K484">
        <v>18</v>
      </c>
      <c r="L484">
        <v>11</v>
      </c>
      <c r="O484">
        <v>1307944.1441441439</v>
      </c>
      <c r="P484">
        <v>1689909.9099099101</v>
      </c>
      <c r="S484">
        <v>247</v>
      </c>
      <c r="T484">
        <v>207</v>
      </c>
    </row>
    <row r="485" spans="1:20" x14ac:dyDescent="0.35">
      <c r="A485" s="7" t="s">
        <v>577</v>
      </c>
      <c r="B485" s="12" t="s">
        <v>284</v>
      </c>
      <c r="C485">
        <v>237684783.73861334</v>
      </c>
      <c r="D485">
        <v>253742699.0085358</v>
      </c>
      <c r="E485">
        <v>336936.93693693698</v>
      </c>
      <c r="F485">
        <v>417117.11711711698</v>
      </c>
      <c r="G485">
        <v>37</v>
      </c>
      <c r="H485">
        <v>12</v>
      </c>
      <c r="I485">
        <v>1</v>
      </c>
      <c r="K485">
        <v>39</v>
      </c>
      <c r="L485">
        <v>15</v>
      </c>
      <c r="M485">
        <v>18859459.459459461</v>
      </c>
      <c r="N485">
        <v>19029729.729729727</v>
      </c>
      <c r="O485">
        <v>37791909.909909911</v>
      </c>
      <c r="P485">
        <v>39352036.036036029</v>
      </c>
      <c r="Q485">
        <v>19734864.864864863</v>
      </c>
      <c r="R485">
        <v>16932072.072072074</v>
      </c>
      <c r="S485">
        <v>3534</v>
      </c>
      <c r="T485">
        <v>3960</v>
      </c>
    </row>
    <row r="486" spans="1:20" x14ac:dyDescent="0.35">
      <c r="A486" s="7" t="s">
        <v>578</v>
      </c>
      <c r="B486" s="12" t="s">
        <v>308</v>
      </c>
      <c r="C486">
        <v>1044667703.0118891</v>
      </c>
      <c r="D486">
        <v>1079650444.5875256</v>
      </c>
      <c r="E486">
        <v>9842792.7927928027</v>
      </c>
      <c r="F486">
        <v>18059909.909909908</v>
      </c>
      <c r="G486">
        <v>397</v>
      </c>
      <c r="H486">
        <v>357</v>
      </c>
      <c r="K486">
        <v>450</v>
      </c>
      <c r="L486">
        <v>433</v>
      </c>
      <c r="M486">
        <v>134436891.8918919</v>
      </c>
      <c r="N486">
        <v>324554421.62162161</v>
      </c>
      <c r="O486">
        <v>443256144.14414412</v>
      </c>
      <c r="P486">
        <v>457627286.48648643</v>
      </c>
      <c r="Q486">
        <v>118201126.12612613</v>
      </c>
      <c r="R486">
        <v>180859189.1891892</v>
      </c>
      <c r="S486">
        <v>48037</v>
      </c>
      <c r="T486">
        <v>38809</v>
      </c>
    </row>
    <row r="487" spans="1:20" x14ac:dyDescent="0.35">
      <c r="A487" s="7" t="s">
        <v>579</v>
      </c>
      <c r="B487" s="12" t="s">
        <v>331</v>
      </c>
      <c r="C487">
        <v>966191523.11523807</v>
      </c>
      <c r="D487">
        <v>972098126.11212003</v>
      </c>
      <c r="E487">
        <v>9276126.1261261329</v>
      </c>
      <c r="F487">
        <v>7231081.0810810877</v>
      </c>
      <c r="G487">
        <v>343</v>
      </c>
      <c r="H487">
        <v>367</v>
      </c>
      <c r="I487">
        <v>16</v>
      </c>
      <c r="K487">
        <v>524</v>
      </c>
      <c r="L487">
        <v>456</v>
      </c>
      <c r="M487">
        <v>169243243.24324322</v>
      </c>
      <c r="N487">
        <v>104473333.33333333</v>
      </c>
      <c r="O487">
        <v>210216216.21621624</v>
      </c>
      <c r="P487">
        <v>221883709.90990993</v>
      </c>
      <c r="Q487">
        <v>155903333.33333334</v>
      </c>
      <c r="R487">
        <v>102049639.63963963</v>
      </c>
      <c r="S487">
        <v>31518</v>
      </c>
      <c r="T487">
        <v>28590</v>
      </c>
    </row>
    <row r="488" spans="1:20" x14ac:dyDescent="0.35">
      <c r="A488" s="7" t="s">
        <v>580</v>
      </c>
      <c r="B488" s="12" t="s">
        <v>67</v>
      </c>
      <c r="C488">
        <v>151317181.84029132</v>
      </c>
      <c r="D488">
        <v>146640696.79707536</v>
      </c>
      <c r="E488">
        <v>404054.05405405501</v>
      </c>
      <c r="F488">
        <v>83783.783783784005</v>
      </c>
      <c r="G488">
        <v>28</v>
      </c>
      <c r="H488">
        <v>16</v>
      </c>
      <c r="K488">
        <v>29</v>
      </c>
      <c r="L488">
        <v>18</v>
      </c>
      <c r="M488">
        <v>4737387.3873873884</v>
      </c>
      <c r="N488">
        <v>3198648.6486486471</v>
      </c>
      <c r="O488">
        <v>41177382.882882878</v>
      </c>
      <c r="P488">
        <v>37153657.657657653</v>
      </c>
      <c r="Q488">
        <v>4071351.351351351</v>
      </c>
      <c r="R488">
        <v>3862252.2522522518</v>
      </c>
      <c r="S488">
        <v>4173</v>
      </c>
      <c r="T488">
        <v>3241</v>
      </c>
    </row>
    <row r="489" spans="1:20" x14ac:dyDescent="0.35">
      <c r="A489" s="7" t="s">
        <v>581</v>
      </c>
      <c r="B489" s="12" t="s">
        <v>237</v>
      </c>
      <c r="C489">
        <v>12011.332970474001</v>
      </c>
      <c r="D489">
        <v>37673.853189016001</v>
      </c>
      <c r="P489">
        <v>34234.234234233998</v>
      </c>
    </row>
    <row r="490" spans="1:20" x14ac:dyDescent="0.35">
      <c r="A490" s="7" t="s">
        <v>582</v>
      </c>
      <c r="B490" s="12" t="s">
        <v>63</v>
      </c>
      <c r="C490">
        <v>384910857.55398732</v>
      </c>
      <c r="D490">
        <v>392873235.38733917</v>
      </c>
      <c r="E490">
        <v>3879279.2792792888</v>
      </c>
      <c r="F490">
        <v>3166666.666666674</v>
      </c>
      <c r="G490">
        <v>205</v>
      </c>
      <c r="H490">
        <v>61</v>
      </c>
      <c r="K490">
        <v>210</v>
      </c>
      <c r="L490">
        <v>95</v>
      </c>
      <c r="M490">
        <v>34786306.30630631</v>
      </c>
      <c r="N490">
        <v>45562342.342342339</v>
      </c>
      <c r="O490">
        <v>89339081.081081092</v>
      </c>
      <c r="P490">
        <v>99875333.333333328</v>
      </c>
      <c r="Q490">
        <v>36215225.225225225</v>
      </c>
      <c r="R490">
        <v>38460450.45045045</v>
      </c>
      <c r="S490">
        <v>6820</v>
      </c>
      <c r="T490">
        <v>6695</v>
      </c>
    </row>
    <row r="491" spans="1:20" x14ac:dyDescent="0.35">
      <c r="A491" s="7" t="s">
        <v>583</v>
      </c>
      <c r="B491" s="12" t="s">
        <v>49</v>
      </c>
      <c r="C491">
        <v>351662470.63958549</v>
      </c>
      <c r="D491">
        <v>330695075.22476691</v>
      </c>
      <c r="E491">
        <v>1986081.0810810809</v>
      </c>
      <c r="F491">
        <v>4474774.7747747758</v>
      </c>
      <c r="G491">
        <v>35</v>
      </c>
      <c r="H491">
        <v>15</v>
      </c>
      <c r="K491">
        <v>37</v>
      </c>
      <c r="L491">
        <v>17</v>
      </c>
      <c r="M491">
        <v>107694684.68468469</v>
      </c>
      <c r="N491">
        <v>36679279.279279277</v>
      </c>
      <c r="O491">
        <v>52020040.540540546</v>
      </c>
      <c r="P491">
        <v>58269729.729729727</v>
      </c>
      <c r="Q491">
        <v>106363243.24324325</v>
      </c>
      <c r="R491">
        <v>63639729.729729727</v>
      </c>
      <c r="S491">
        <v>4812</v>
      </c>
      <c r="T491">
        <v>5588</v>
      </c>
    </row>
    <row r="492" spans="1:20" x14ac:dyDescent="0.35">
      <c r="A492" s="7" t="s">
        <v>584</v>
      </c>
      <c r="B492" s="12" t="s">
        <v>55</v>
      </c>
      <c r="C492">
        <v>68886977.652680382</v>
      </c>
      <c r="D492">
        <v>67234923.462213233</v>
      </c>
      <c r="E492">
        <v>689189.18918919202</v>
      </c>
      <c r="F492">
        <v>2588738.7387387422</v>
      </c>
      <c r="G492">
        <v>23</v>
      </c>
      <c r="H492">
        <v>61</v>
      </c>
      <c r="K492">
        <v>62</v>
      </c>
      <c r="L492">
        <v>162</v>
      </c>
      <c r="M492">
        <v>10542882.882882884</v>
      </c>
      <c r="N492">
        <v>16537747.747747747</v>
      </c>
      <c r="O492">
        <v>18127578.828828827</v>
      </c>
      <c r="P492">
        <v>19879018.018018015</v>
      </c>
      <c r="Q492">
        <v>9558198.1981981974</v>
      </c>
      <c r="R492">
        <v>14560000</v>
      </c>
      <c r="S492">
        <v>2485</v>
      </c>
      <c r="T492">
        <v>2230</v>
      </c>
    </row>
    <row r="493" spans="1:20" x14ac:dyDescent="0.35">
      <c r="A493" s="7" t="s">
        <v>585</v>
      </c>
      <c r="B493" s="12" t="s">
        <v>71</v>
      </c>
      <c r="C493">
        <v>177566332.34167698</v>
      </c>
      <c r="D493">
        <v>172498474.05619821</v>
      </c>
      <c r="E493">
        <v>149995599.0990991</v>
      </c>
      <c r="F493">
        <v>190954233.33333334</v>
      </c>
      <c r="G493">
        <v>45</v>
      </c>
      <c r="H493">
        <v>18</v>
      </c>
      <c r="I493">
        <v>2</v>
      </c>
      <c r="K493">
        <v>47</v>
      </c>
      <c r="L493">
        <v>21</v>
      </c>
      <c r="M493">
        <v>65338072.972972974</v>
      </c>
      <c r="N493">
        <v>74350136.93693693</v>
      </c>
      <c r="O493">
        <v>81328252.252252251</v>
      </c>
      <c r="P493">
        <v>78807754.954954967</v>
      </c>
      <c r="Q493">
        <v>1812612.6126126139</v>
      </c>
      <c r="R493">
        <v>3056306.3063063049</v>
      </c>
      <c r="S493">
        <v>3550</v>
      </c>
      <c r="T493">
        <v>3627</v>
      </c>
    </row>
    <row r="494" spans="1:20" x14ac:dyDescent="0.35">
      <c r="A494" s="7" t="s">
        <v>586</v>
      </c>
      <c r="B494" s="12" t="s">
        <v>331</v>
      </c>
      <c r="C494">
        <v>666762743.54511833</v>
      </c>
      <c r="D494">
        <v>634392588.15069878</v>
      </c>
      <c r="E494">
        <v>7188288.2882882887</v>
      </c>
      <c r="F494">
        <v>3282882.8828828861</v>
      </c>
      <c r="G494">
        <v>265</v>
      </c>
      <c r="H494">
        <v>279</v>
      </c>
      <c r="K494">
        <v>329</v>
      </c>
      <c r="L494">
        <v>333</v>
      </c>
      <c r="M494">
        <v>81369909.909909904</v>
      </c>
      <c r="N494">
        <v>58432657.657657653</v>
      </c>
      <c r="O494">
        <v>181600030.63063061</v>
      </c>
      <c r="P494">
        <v>172170104.5045045</v>
      </c>
      <c r="Q494">
        <v>75623513.51351352</v>
      </c>
      <c r="R494">
        <v>62293108.108108111</v>
      </c>
      <c r="S494">
        <v>22497</v>
      </c>
      <c r="T494">
        <v>19855</v>
      </c>
    </row>
    <row r="495" spans="1:20" x14ac:dyDescent="0.35">
      <c r="A495" s="7" t="s">
        <v>587</v>
      </c>
      <c r="B495" s="12" t="s">
        <v>67</v>
      </c>
      <c r="C495">
        <v>319949880.70287639</v>
      </c>
      <c r="D495">
        <v>341108598.01675642</v>
      </c>
      <c r="E495">
        <v>712795428.82882881</v>
      </c>
      <c r="F495">
        <v>830192430.63063061</v>
      </c>
      <c r="G495">
        <v>152</v>
      </c>
      <c r="H495">
        <v>123</v>
      </c>
      <c r="K495">
        <v>180</v>
      </c>
      <c r="L495">
        <v>140</v>
      </c>
      <c r="M495">
        <v>77974369.369369373</v>
      </c>
      <c r="N495">
        <v>182987095.4954955</v>
      </c>
      <c r="O495">
        <v>157925495.4954955</v>
      </c>
      <c r="P495">
        <v>173151306.3063063</v>
      </c>
      <c r="Q495">
        <v>68589864.864864871</v>
      </c>
      <c r="R495">
        <v>65339459.459459454</v>
      </c>
      <c r="S495">
        <v>13430</v>
      </c>
      <c r="T495">
        <v>10999</v>
      </c>
    </row>
    <row r="496" spans="1:20" x14ac:dyDescent="0.35">
      <c r="A496" s="7" t="s">
        <v>11</v>
      </c>
      <c r="B496" s="12" t="s">
        <v>194</v>
      </c>
      <c r="C496">
        <v>152715838.22034073</v>
      </c>
      <c r="D496">
        <v>141906739.46041289</v>
      </c>
      <c r="E496">
        <v>397046458.55855858</v>
      </c>
      <c r="F496">
        <v>408921902.7027027</v>
      </c>
      <c r="G496">
        <v>34</v>
      </c>
      <c r="H496">
        <v>31</v>
      </c>
      <c r="K496">
        <v>41</v>
      </c>
      <c r="L496">
        <v>34</v>
      </c>
      <c r="M496">
        <v>17400675.675675675</v>
      </c>
      <c r="N496">
        <v>14258783.783783784</v>
      </c>
      <c r="O496">
        <v>51964317.567567565</v>
      </c>
      <c r="P496">
        <v>55559720.720720723</v>
      </c>
      <c r="Q496">
        <v>14823603.603603603</v>
      </c>
      <c r="R496">
        <v>12541621.621621622</v>
      </c>
      <c r="S496">
        <v>5056</v>
      </c>
      <c r="T496">
        <v>3968</v>
      </c>
    </row>
    <row r="497" spans="1:20" x14ac:dyDescent="0.35">
      <c r="A497" s="7" t="s">
        <v>12</v>
      </c>
      <c r="B497" s="12" t="s">
        <v>194</v>
      </c>
      <c r="C497">
        <v>102631868.17780325</v>
      </c>
      <c r="D497">
        <v>92679086.465392783</v>
      </c>
      <c r="E497">
        <v>4344144.1441441448</v>
      </c>
      <c r="F497">
        <v>479279.27927927999</v>
      </c>
      <c r="G497">
        <v>15</v>
      </c>
      <c r="H497">
        <v>14</v>
      </c>
      <c r="K497">
        <v>17</v>
      </c>
      <c r="L497">
        <v>20</v>
      </c>
      <c r="M497">
        <v>20650450.45045045</v>
      </c>
      <c r="N497">
        <v>6515315.3153153164</v>
      </c>
      <c r="O497">
        <v>41299072.072072074</v>
      </c>
      <c r="P497">
        <v>40615729.729729727</v>
      </c>
      <c r="Q497">
        <v>22983063.063063063</v>
      </c>
      <c r="R497">
        <v>8243603.6036036042</v>
      </c>
      <c r="S497">
        <v>4095</v>
      </c>
      <c r="T497">
        <v>2709</v>
      </c>
    </row>
    <row r="498" spans="1:20" x14ac:dyDescent="0.35">
      <c r="A498" s="7" t="s">
        <v>588</v>
      </c>
      <c r="B498" s="12" t="s">
        <v>61</v>
      </c>
      <c r="C498">
        <v>81315429.831043422</v>
      </c>
      <c r="D498">
        <v>83064998.809922844</v>
      </c>
      <c r="E498">
        <v>625225.22522522602</v>
      </c>
      <c r="F498">
        <v>2522072.0720720738</v>
      </c>
      <c r="G498">
        <v>39</v>
      </c>
      <c r="H498">
        <v>37</v>
      </c>
      <c r="I498">
        <v>3</v>
      </c>
      <c r="K498">
        <v>50</v>
      </c>
      <c r="L498">
        <v>55</v>
      </c>
      <c r="M498">
        <v>13400000</v>
      </c>
      <c r="N498">
        <v>18981531.531531531</v>
      </c>
      <c r="O498">
        <v>30144002.252252251</v>
      </c>
      <c r="P498">
        <v>32292223.423423424</v>
      </c>
      <c r="Q498">
        <v>13065675.675675675</v>
      </c>
      <c r="R498">
        <v>16929502.702702701</v>
      </c>
      <c r="S498">
        <v>1984</v>
      </c>
      <c r="T498">
        <v>3195</v>
      </c>
    </row>
    <row r="499" spans="1:20" x14ac:dyDescent="0.35">
      <c r="A499" s="7" t="s">
        <v>589</v>
      </c>
      <c r="B499" s="12" t="s">
        <v>308</v>
      </c>
      <c r="C499">
        <v>2272840422.0453262</v>
      </c>
      <c r="D499">
        <v>2262512665.3444576</v>
      </c>
      <c r="E499">
        <v>1733485448.6486487</v>
      </c>
      <c r="F499">
        <v>1687821306.3063064</v>
      </c>
      <c r="G499">
        <v>1045</v>
      </c>
      <c r="H499">
        <v>666</v>
      </c>
      <c r="I499">
        <v>2</v>
      </c>
      <c r="K499">
        <v>1213</v>
      </c>
      <c r="L499">
        <v>842</v>
      </c>
      <c r="M499">
        <v>536799356.75675672</v>
      </c>
      <c r="N499">
        <v>723886531.53153157</v>
      </c>
      <c r="O499">
        <v>729152824.32432437</v>
      </c>
      <c r="P499">
        <v>757644549.54954958</v>
      </c>
      <c r="Q499">
        <v>464044594.5945946</v>
      </c>
      <c r="R499">
        <v>493835405.40540546</v>
      </c>
      <c r="S499">
        <v>81219</v>
      </c>
      <c r="T499">
        <v>63415</v>
      </c>
    </row>
    <row r="500" spans="1:20" x14ac:dyDescent="0.35">
      <c r="A500" s="7" t="s">
        <v>590</v>
      </c>
      <c r="B500" s="12" t="s">
        <v>53</v>
      </c>
      <c r="C500">
        <v>545308000.9839319</v>
      </c>
      <c r="D500">
        <v>564972878.51223135</v>
      </c>
      <c r="E500">
        <v>9809081.9819819834</v>
      </c>
      <c r="F500">
        <v>15833333.333333336</v>
      </c>
      <c r="G500">
        <v>111</v>
      </c>
      <c r="H500">
        <v>329</v>
      </c>
      <c r="K500">
        <v>233</v>
      </c>
      <c r="L500">
        <v>570</v>
      </c>
      <c r="M500">
        <v>147932558.55855855</v>
      </c>
      <c r="N500">
        <v>213897297.2972973</v>
      </c>
      <c r="O500">
        <v>219692990.99099097</v>
      </c>
      <c r="P500">
        <v>239667018.01801801</v>
      </c>
      <c r="Q500">
        <v>159720315.31531534</v>
      </c>
      <c r="R500">
        <v>207290720.72072074</v>
      </c>
      <c r="S500">
        <v>16054</v>
      </c>
      <c r="T500">
        <v>14020</v>
      </c>
    </row>
    <row r="501" spans="1:20" x14ac:dyDescent="0.35">
      <c r="A501" s="7" t="s">
        <v>591</v>
      </c>
      <c r="B501" s="12" t="s">
        <v>55</v>
      </c>
      <c r="C501">
        <v>46838915.952906102</v>
      </c>
      <c r="D501">
        <v>44169228.805392146</v>
      </c>
      <c r="E501">
        <v>736936.93693693797</v>
      </c>
      <c r="F501">
        <v>2009909.909909911</v>
      </c>
      <c r="G501">
        <v>18</v>
      </c>
      <c r="H501">
        <v>33</v>
      </c>
      <c r="K501">
        <v>25</v>
      </c>
      <c r="L501">
        <v>41</v>
      </c>
      <c r="M501">
        <v>9709459.4594594594</v>
      </c>
      <c r="N501">
        <v>9178828.8288288303</v>
      </c>
      <c r="O501">
        <v>14883972.972972972</v>
      </c>
      <c r="P501">
        <v>15696797.297297295</v>
      </c>
      <c r="Q501">
        <v>8795315.3153153155</v>
      </c>
      <c r="R501">
        <v>10811891.891891891</v>
      </c>
      <c r="S501">
        <v>1669</v>
      </c>
      <c r="T501">
        <v>1513</v>
      </c>
    </row>
    <row r="502" spans="1:20" x14ac:dyDescent="0.35">
      <c r="A502" s="7" t="s">
        <v>592</v>
      </c>
      <c r="B502" s="12" t="s">
        <v>170</v>
      </c>
      <c r="C502">
        <v>1331219361.1406789</v>
      </c>
      <c r="D502">
        <v>1314932766.3100085</v>
      </c>
      <c r="E502">
        <v>8288963.9639639659</v>
      </c>
      <c r="F502">
        <v>21638109.909909915</v>
      </c>
      <c r="G502">
        <v>97</v>
      </c>
      <c r="H502">
        <v>132</v>
      </c>
      <c r="I502">
        <v>2</v>
      </c>
      <c r="K502">
        <v>113</v>
      </c>
      <c r="L502">
        <v>159</v>
      </c>
      <c r="M502">
        <v>270212430.63063061</v>
      </c>
      <c r="N502">
        <v>282416398.1981982</v>
      </c>
      <c r="O502">
        <v>450571923.42342341</v>
      </c>
      <c r="P502">
        <v>473967522.52252251</v>
      </c>
      <c r="Q502">
        <v>241559909.90990993</v>
      </c>
      <c r="R502">
        <v>226813063.06306309</v>
      </c>
      <c r="S502">
        <v>23763</v>
      </c>
      <c r="T502">
        <v>23001</v>
      </c>
    </row>
    <row r="503" spans="1:20" x14ac:dyDescent="0.35">
      <c r="A503" s="7" t="s">
        <v>593</v>
      </c>
      <c r="B503" s="12" t="s">
        <v>88</v>
      </c>
      <c r="C503">
        <v>6668726.6241775956</v>
      </c>
      <c r="D503">
        <v>5695660.0045743901</v>
      </c>
      <c r="E503">
        <v>96396154.954954967</v>
      </c>
      <c r="F503">
        <v>105402844.14414415</v>
      </c>
      <c r="G503">
        <v>2</v>
      </c>
      <c r="K503">
        <v>2</v>
      </c>
      <c r="M503">
        <v>104054.054054054</v>
      </c>
      <c r="O503">
        <v>1696801.801801801</v>
      </c>
      <c r="P503">
        <v>2678963.963963964</v>
      </c>
      <c r="S503">
        <v>304</v>
      </c>
      <c r="T503">
        <v>255</v>
      </c>
    </row>
    <row r="504" spans="1:20" x14ac:dyDescent="0.35">
      <c r="A504" s="7" t="s">
        <v>594</v>
      </c>
      <c r="B504" s="12" t="s">
        <v>144</v>
      </c>
      <c r="C504">
        <v>93150573.895418227</v>
      </c>
      <c r="D504">
        <v>92873863.375276804</v>
      </c>
      <c r="E504">
        <v>259459.45945946101</v>
      </c>
      <c r="F504">
        <v>135135.13513513599</v>
      </c>
      <c r="G504">
        <v>28</v>
      </c>
      <c r="H504">
        <v>3</v>
      </c>
      <c r="K504">
        <v>28</v>
      </c>
      <c r="L504">
        <v>3</v>
      </c>
      <c r="M504">
        <v>9664864.8648648635</v>
      </c>
      <c r="N504">
        <v>9054054.0540540554</v>
      </c>
      <c r="O504">
        <v>9778234.2342342343</v>
      </c>
      <c r="P504">
        <v>9895063.0630630646</v>
      </c>
      <c r="Q504">
        <v>5428918.9189189188</v>
      </c>
      <c r="R504">
        <v>5023963.963963964</v>
      </c>
      <c r="S504">
        <v>1549</v>
      </c>
      <c r="T504">
        <v>1539</v>
      </c>
    </row>
    <row r="505" spans="1:20" x14ac:dyDescent="0.35">
      <c r="A505" s="7" t="s">
        <v>595</v>
      </c>
      <c r="B505" s="12" t="s">
        <v>291</v>
      </c>
      <c r="C505">
        <v>25163617.483389776</v>
      </c>
      <c r="D505">
        <v>25119723.209787473</v>
      </c>
      <c r="G505">
        <v>1</v>
      </c>
      <c r="H505">
        <v>12</v>
      </c>
      <c r="K505">
        <v>1</v>
      </c>
      <c r="L505">
        <v>14</v>
      </c>
      <c r="O505">
        <v>1530225.2252252251</v>
      </c>
      <c r="P505">
        <v>1670540.5405405411</v>
      </c>
      <c r="S505">
        <v>687</v>
      </c>
      <c r="T505">
        <v>763</v>
      </c>
    </row>
    <row r="506" spans="1:20" x14ac:dyDescent="0.35">
      <c r="A506" s="7" t="s">
        <v>596</v>
      </c>
      <c r="B506" s="12" t="s">
        <v>93</v>
      </c>
      <c r="C506">
        <v>33117812.572127681</v>
      </c>
      <c r="D506">
        <v>33651392.989619255</v>
      </c>
      <c r="E506">
        <v>196452471.17117116</v>
      </c>
      <c r="F506">
        <v>119340473.87387387</v>
      </c>
      <c r="G506">
        <v>18</v>
      </c>
      <c r="H506">
        <v>8</v>
      </c>
      <c r="K506">
        <v>18</v>
      </c>
      <c r="L506">
        <v>9</v>
      </c>
      <c r="M506">
        <v>14472792.792792792</v>
      </c>
      <c r="N506">
        <v>12323333.333333332</v>
      </c>
      <c r="O506">
        <v>5875576.5765765756</v>
      </c>
      <c r="P506">
        <v>6100072.072072072</v>
      </c>
      <c r="Q506">
        <v>4041351.351351351</v>
      </c>
      <c r="R506">
        <v>6353603.6036036033</v>
      </c>
      <c r="S506">
        <v>678</v>
      </c>
      <c r="T506">
        <v>964</v>
      </c>
    </row>
    <row r="507" spans="1:20" x14ac:dyDescent="0.35">
      <c r="A507" s="7" t="s">
        <v>597</v>
      </c>
      <c r="B507" s="12" t="s">
        <v>51</v>
      </c>
      <c r="C507">
        <v>114031467.54998952</v>
      </c>
      <c r="D507">
        <v>116385527.54926558</v>
      </c>
      <c r="E507">
        <v>3538513.513513512</v>
      </c>
      <c r="F507">
        <v>1216216.2162162201</v>
      </c>
      <c r="G507">
        <v>10</v>
      </c>
      <c r="H507">
        <v>9</v>
      </c>
      <c r="K507">
        <v>12</v>
      </c>
      <c r="L507">
        <v>12</v>
      </c>
      <c r="M507">
        <v>29864774.774774775</v>
      </c>
      <c r="N507">
        <v>18181621.621621624</v>
      </c>
      <c r="O507">
        <v>24076122.52252252</v>
      </c>
      <c r="P507">
        <v>25888972.97297297</v>
      </c>
      <c r="Q507">
        <v>27249909.909909911</v>
      </c>
      <c r="R507">
        <v>21236306.306306303</v>
      </c>
      <c r="S507">
        <v>1748</v>
      </c>
      <c r="T507">
        <v>1724</v>
      </c>
    </row>
    <row r="508" spans="1:20" x14ac:dyDescent="0.35">
      <c r="A508" s="7" t="s">
        <v>598</v>
      </c>
      <c r="B508" s="12" t="s">
        <v>90</v>
      </c>
      <c r="C508">
        <v>172738850.40221775</v>
      </c>
      <c r="D508">
        <v>177229392.60486367</v>
      </c>
      <c r="E508">
        <v>2543243.2432432491</v>
      </c>
      <c r="F508">
        <v>4952252.2522522546</v>
      </c>
      <c r="G508">
        <v>41</v>
      </c>
      <c r="H508">
        <v>55</v>
      </c>
      <c r="I508">
        <v>2</v>
      </c>
      <c r="K508">
        <v>283</v>
      </c>
      <c r="L508">
        <v>77</v>
      </c>
      <c r="M508">
        <v>13608468.468468467</v>
      </c>
      <c r="N508">
        <v>34932972.972972974</v>
      </c>
      <c r="O508">
        <v>43198851.351351351</v>
      </c>
      <c r="P508">
        <v>49403369.369369365</v>
      </c>
      <c r="Q508">
        <v>12308828.828828825</v>
      </c>
      <c r="R508">
        <v>33279459.459459461</v>
      </c>
      <c r="S508">
        <v>3717</v>
      </c>
      <c r="T508">
        <v>3447</v>
      </c>
    </row>
    <row r="509" spans="1:20" x14ac:dyDescent="0.35">
      <c r="A509" s="7" t="s">
        <v>599</v>
      </c>
      <c r="B509" s="12" t="s">
        <v>144</v>
      </c>
      <c r="C509">
        <v>66614774.489558801</v>
      </c>
      <c r="D509">
        <v>64115189.176137827</v>
      </c>
      <c r="E509">
        <v>1302702.7027027039</v>
      </c>
      <c r="F509">
        <v>261261.26126126101</v>
      </c>
      <c r="G509">
        <v>7</v>
      </c>
      <c r="H509">
        <v>2</v>
      </c>
      <c r="K509">
        <v>7</v>
      </c>
      <c r="L509">
        <v>3</v>
      </c>
      <c r="M509">
        <v>6825225.225225226</v>
      </c>
      <c r="N509">
        <v>4675675.6756756753</v>
      </c>
      <c r="O509">
        <v>6497981.9819819815</v>
      </c>
      <c r="P509">
        <v>5966900.9009009013</v>
      </c>
      <c r="Q509">
        <v>5170810.81081081</v>
      </c>
      <c r="R509">
        <v>3901891.8918918911</v>
      </c>
      <c r="S509">
        <v>1213</v>
      </c>
      <c r="T509">
        <v>1170</v>
      </c>
    </row>
    <row r="510" spans="1:20" x14ac:dyDescent="0.35">
      <c r="A510" s="7" t="s">
        <v>600</v>
      </c>
      <c r="B510" s="12" t="s">
        <v>126</v>
      </c>
      <c r="C510">
        <v>173082931.86173978</v>
      </c>
      <c r="D510">
        <v>182088988.32362667</v>
      </c>
      <c r="E510">
        <v>303603.60360360402</v>
      </c>
      <c r="F510">
        <v>432432.43243243499</v>
      </c>
      <c r="G510">
        <v>19</v>
      </c>
      <c r="H510">
        <v>20</v>
      </c>
      <c r="K510">
        <v>23</v>
      </c>
      <c r="L510">
        <v>24</v>
      </c>
      <c r="M510">
        <v>18418378.37837838</v>
      </c>
      <c r="N510">
        <v>14235405.405405404</v>
      </c>
      <c r="O510">
        <v>67104223.423423424</v>
      </c>
      <c r="P510">
        <v>70266207.207207203</v>
      </c>
      <c r="Q510">
        <v>18398468.468468469</v>
      </c>
      <c r="R510">
        <v>14185225.225225225</v>
      </c>
      <c r="S510">
        <v>3601</v>
      </c>
      <c r="T510">
        <v>3519</v>
      </c>
    </row>
    <row r="511" spans="1:20" x14ac:dyDescent="0.35">
      <c r="A511" s="7" t="s">
        <v>601</v>
      </c>
      <c r="B511" s="12" t="s">
        <v>51</v>
      </c>
      <c r="C511">
        <v>421148829.58922642</v>
      </c>
      <c r="D511">
        <v>450551276.75953227</v>
      </c>
      <c r="E511">
        <v>5147747.7477477519</v>
      </c>
      <c r="F511">
        <v>3596396.3963964009</v>
      </c>
      <c r="G511">
        <v>36</v>
      </c>
      <c r="H511">
        <v>40</v>
      </c>
      <c r="I511">
        <v>1</v>
      </c>
      <c r="K511">
        <v>42</v>
      </c>
      <c r="L511">
        <v>48</v>
      </c>
      <c r="M511">
        <v>65664684.684684686</v>
      </c>
      <c r="N511">
        <v>52517927.927927926</v>
      </c>
      <c r="O511">
        <v>178562828.82882884</v>
      </c>
      <c r="P511">
        <v>194689684.68468466</v>
      </c>
      <c r="Q511">
        <v>65648918.918918923</v>
      </c>
      <c r="R511">
        <v>56858648.648648657</v>
      </c>
      <c r="S511">
        <v>7872</v>
      </c>
      <c r="T511">
        <v>7871</v>
      </c>
    </row>
    <row r="512" spans="1:20" x14ac:dyDescent="0.35">
      <c r="A512" s="7" t="s">
        <v>602</v>
      </c>
      <c r="B512" s="12" t="s">
        <v>90</v>
      </c>
      <c r="C512">
        <v>122275717.13839251</v>
      </c>
      <c r="D512">
        <v>122721082.22946738</v>
      </c>
      <c r="E512">
        <v>137899099.0990991</v>
      </c>
      <c r="F512">
        <v>342457207.2072072</v>
      </c>
      <c r="G512">
        <v>10</v>
      </c>
      <c r="H512">
        <v>10</v>
      </c>
      <c r="K512">
        <v>10</v>
      </c>
      <c r="L512">
        <v>11</v>
      </c>
      <c r="M512">
        <v>29066846.846846852</v>
      </c>
      <c r="N512">
        <v>45764155.855855852</v>
      </c>
      <c r="O512">
        <v>37809027.027027026</v>
      </c>
      <c r="P512">
        <v>40159648.648648649</v>
      </c>
      <c r="Q512">
        <v>27755225.225225225</v>
      </c>
      <c r="R512">
        <v>34998558.558558561</v>
      </c>
      <c r="S512">
        <v>2498</v>
      </c>
      <c r="T512">
        <v>2530</v>
      </c>
    </row>
    <row r="513" spans="1:20" x14ac:dyDescent="0.35">
      <c r="A513" s="7" t="s">
        <v>603</v>
      </c>
      <c r="B513" s="12" t="s">
        <v>88</v>
      </c>
      <c r="C513">
        <v>108209095.45839281</v>
      </c>
      <c r="D513">
        <v>110654168.39846312</v>
      </c>
      <c r="E513">
        <v>617117.11711711704</v>
      </c>
      <c r="F513">
        <v>626126.12612612697</v>
      </c>
      <c r="G513">
        <v>13</v>
      </c>
      <c r="H513">
        <v>10</v>
      </c>
      <c r="K513">
        <v>13</v>
      </c>
      <c r="L513">
        <v>12</v>
      </c>
      <c r="M513">
        <v>1256756.756756756</v>
      </c>
      <c r="N513">
        <v>2256756.756756756</v>
      </c>
      <c r="O513">
        <v>8640117.1171171162</v>
      </c>
      <c r="P513">
        <v>12209540.540540541</v>
      </c>
      <c r="Q513">
        <v>1450180.1801801799</v>
      </c>
      <c r="R513">
        <v>1823693.693693694</v>
      </c>
      <c r="S513">
        <v>1243</v>
      </c>
      <c r="T513">
        <v>1206</v>
      </c>
    </row>
    <row r="514" spans="1:20" x14ac:dyDescent="0.35">
      <c r="A514" s="7" t="s">
        <v>604</v>
      </c>
      <c r="B514" s="12" t="s">
        <v>141</v>
      </c>
      <c r="C514">
        <v>874306712.30432522</v>
      </c>
      <c r="D514">
        <v>920870232.32491672</v>
      </c>
      <c r="E514">
        <v>455619130.63063067</v>
      </c>
      <c r="F514">
        <v>637176066.66666663</v>
      </c>
      <c r="G514">
        <v>507</v>
      </c>
      <c r="H514">
        <v>475</v>
      </c>
      <c r="I514">
        <v>10</v>
      </c>
      <c r="K514">
        <v>949</v>
      </c>
      <c r="L514">
        <v>650</v>
      </c>
      <c r="M514">
        <v>149614144.14414415</v>
      </c>
      <c r="N514">
        <v>240244954.95495498</v>
      </c>
      <c r="O514">
        <v>220336587.38738739</v>
      </c>
      <c r="P514">
        <v>239777290.09009007</v>
      </c>
      <c r="Q514">
        <v>151751171.17117116</v>
      </c>
      <c r="R514">
        <v>187439502.70270273</v>
      </c>
      <c r="S514">
        <v>18931</v>
      </c>
      <c r="T514">
        <v>19166</v>
      </c>
    </row>
    <row r="515" spans="1:20" x14ac:dyDescent="0.35">
      <c r="A515" s="7" t="s">
        <v>605</v>
      </c>
      <c r="B515" s="12" t="s">
        <v>225</v>
      </c>
      <c r="C515">
        <v>150048142.96093738</v>
      </c>
      <c r="D515">
        <v>167079474.30882201</v>
      </c>
      <c r="E515">
        <v>86486.486486485999</v>
      </c>
      <c r="F515">
        <v>2031531.5315315321</v>
      </c>
      <c r="G515">
        <v>28</v>
      </c>
      <c r="H515">
        <v>29</v>
      </c>
      <c r="K515">
        <v>34</v>
      </c>
      <c r="L515">
        <v>32</v>
      </c>
      <c r="M515">
        <v>5311711.7117117113</v>
      </c>
      <c r="N515">
        <v>4545045.0450450452</v>
      </c>
      <c r="O515">
        <v>49278657.657657653</v>
      </c>
      <c r="P515">
        <v>62025612.612612613</v>
      </c>
      <c r="Q515">
        <v>5694234.2342342343</v>
      </c>
      <c r="R515">
        <v>6116126.1261261264</v>
      </c>
      <c r="S515">
        <v>3590</v>
      </c>
      <c r="T515">
        <v>3537</v>
      </c>
    </row>
    <row r="516" spans="1:20" x14ac:dyDescent="0.35">
      <c r="A516" s="7" t="s">
        <v>606</v>
      </c>
      <c r="B516" s="12" t="s">
        <v>225</v>
      </c>
      <c r="C516">
        <v>97302572.525376633</v>
      </c>
      <c r="D516">
        <v>107968976.70827259</v>
      </c>
      <c r="E516">
        <v>122504504.50450452</v>
      </c>
      <c r="F516">
        <v>156713513.51351351</v>
      </c>
      <c r="G516">
        <v>37</v>
      </c>
      <c r="H516">
        <v>27</v>
      </c>
      <c r="K516">
        <v>39</v>
      </c>
      <c r="L516">
        <v>30</v>
      </c>
      <c r="M516">
        <v>7832882.8828828828</v>
      </c>
      <c r="N516">
        <v>13097567.567567568</v>
      </c>
      <c r="O516">
        <v>29659855.855855856</v>
      </c>
      <c r="P516">
        <v>37602846.846846849</v>
      </c>
      <c r="Q516">
        <v>6042522.5225225231</v>
      </c>
      <c r="R516">
        <v>9418828.8288288284</v>
      </c>
      <c r="S516">
        <v>3135</v>
      </c>
      <c r="T516">
        <v>3491</v>
      </c>
    </row>
    <row r="517" spans="1:20" x14ac:dyDescent="0.35">
      <c r="A517" s="7" t="s">
        <v>607</v>
      </c>
      <c r="B517" s="12" t="s">
        <v>242</v>
      </c>
      <c r="C517">
        <v>83041000.230568096</v>
      </c>
      <c r="D517">
        <v>88320803.467864946</v>
      </c>
      <c r="E517">
        <v>364864.86486486503</v>
      </c>
      <c r="F517">
        <v>69369.369369370004</v>
      </c>
      <c r="G517">
        <v>46</v>
      </c>
      <c r="H517">
        <v>39</v>
      </c>
      <c r="K517">
        <v>54</v>
      </c>
      <c r="L517">
        <v>44</v>
      </c>
      <c r="M517">
        <v>7243693.6936936919</v>
      </c>
      <c r="N517">
        <v>3981081.0810810812</v>
      </c>
      <c r="O517">
        <v>25612801.801801801</v>
      </c>
      <c r="P517">
        <v>29271549.54954955</v>
      </c>
      <c r="Q517">
        <v>7229819.8198198173</v>
      </c>
      <c r="R517">
        <v>4103243.2432432431</v>
      </c>
      <c r="S517">
        <v>3094</v>
      </c>
      <c r="T517">
        <v>2339</v>
      </c>
    </row>
    <row r="518" spans="1:20" x14ac:dyDescent="0.35">
      <c r="A518" s="7" t="s">
        <v>608</v>
      </c>
      <c r="B518" s="12" t="s">
        <v>141</v>
      </c>
      <c r="C518">
        <v>24900161.111673623</v>
      </c>
      <c r="D518">
        <v>24604451.971889853</v>
      </c>
      <c r="E518">
        <v>2702.7027027029999</v>
      </c>
      <c r="F518">
        <v>32432.432432432</v>
      </c>
      <c r="G518">
        <v>4</v>
      </c>
      <c r="H518">
        <v>3</v>
      </c>
      <c r="I518">
        <v>1</v>
      </c>
      <c r="K518">
        <v>4</v>
      </c>
      <c r="L518">
        <v>4</v>
      </c>
      <c r="M518">
        <v>227927.92792792799</v>
      </c>
      <c r="N518">
        <v>747747.74774774804</v>
      </c>
      <c r="O518">
        <v>3099180.1801801799</v>
      </c>
      <c r="P518">
        <v>3922567.5675675678</v>
      </c>
      <c r="Q518">
        <v>532432.43243243301</v>
      </c>
      <c r="R518">
        <v>777117.11711711797</v>
      </c>
      <c r="S518">
        <v>314</v>
      </c>
      <c r="T518">
        <v>344</v>
      </c>
    </row>
    <row r="519" spans="1:20" x14ac:dyDescent="0.35">
      <c r="A519" s="7" t="s">
        <v>664</v>
      </c>
      <c r="B519" s="12" t="s">
        <v>190</v>
      </c>
      <c r="E519">
        <v>29190802.702702705</v>
      </c>
      <c r="F519">
        <v>55769727.927927926</v>
      </c>
      <c r="M519">
        <v>16215536.036036037</v>
      </c>
      <c r="N519">
        <v>10000000</v>
      </c>
      <c r="S519">
        <v>1</v>
      </c>
      <c r="T519">
        <v>75</v>
      </c>
    </row>
    <row r="520" spans="1:20" x14ac:dyDescent="0.35">
      <c r="A520" s="7" t="s">
        <v>609</v>
      </c>
      <c r="B520" s="12" t="s">
        <v>190</v>
      </c>
      <c r="C520">
        <v>91650612.588357151</v>
      </c>
      <c r="D520">
        <v>85545549.545104623</v>
      </c>
      <c r="E520">
        <v>1079279.2792792791</v>
      </c>
      <c r="F520">
        <v>22522.522522523999</v>
      </c>
      <c r="G520">
        <v>53</v>
      </c>
      <c r="H520">
        <v>23</v>
      </c>
      <c r="K520">
        <v>55</v>
      </c>
      <c r="L520">
        <v>26</v>
      </c>
      <c r="M520">
        <v>7745945.9459459456</v>
      </c>
      <c r="N520">
        <v>6531531.5315315314</v>
      </c>
      <c r="O520">
        <v>23472995.495495494</v>
      </c>
      <c r="P520">
        <v>21932297.297297295</v>
      </c>
      <c r="Q520">
        <v>5310540.5405405406</v>
      </c>
      <c r="R520">
        <v>4307657.6576576587</v>
      </c>
      <c r="S520">
        <v>1490</v>
      </c>
      <c r="T520">
        <v>1425</v>
      </c>
    </row>
    <row r="521" spans="1:20" x14ac:dyDescent="0.35">
      <c r="A521" s="7" t="s">
        <v>610</v>
      </c>
      <c r="B521" s="12" t="s">
        <v>190</v>
      </c>
      <c r="C521">
        <v>276598047.77131593</v>
      </c>
      <c r="D521">
        <v>267941441.41396403</v>
      </c>
      <c r="E521">
        <v>175675.675675676</v>
      </c>
      <c r="F521">
        <v>162162.162162163</v>
      </c>
      <c r="G521">
        <v>85</v>
      </c>
      <c r="H521">
        <v>83</v>
      </c>
      <c r="K521">
        <v>91</v>
      </c>
      <c r="L521">
        <v>89</v>
      </c>
      <c r="M521">
        <v>12923423.423423424</v>
      </c>
      <c r="N521">
        <v>13045045.045045044</v>
      </c>
      <c r="O521">
        <v>48129477.477477483</v>
      </c>
      <c r="P521">
        <v>47141783.783783786</v>
      </c>
      <c r="Q521">
        <v>7017837.8378378367</v>
      </c>
      <c r="R521">
        <v>7506036.0360360369</v>
      </c>
      <c r="S521">
        <v>5347</v>
      </c>
      <c r="T521">
        <v>4827</v>
      </c>
    </row>
    <row r="522" spans="1:20" x14ac:dyDescent="0.35">
      <c r="A522" s="7" t="s">
        <v>611</v>
      </c>
      <c r="B522" s="12" t="s">
        <v>190</v>
      </c>
      <c r="C522">
        <v>106760232.52538382</v>
      </c>
      <c r="D522">
        <v>120159505.38129717</v>
      </c>
      <c r="E522">
        <v>1970045.045045048</v>
      </c>
      <c r="F522">
        <v>630630.63063063205</v>
      </c>
      <c r="G522">
        <v>17</v>
      </c>
      <c r="H522">
        <v>22</v>
      </c>
      <c r="K522">
        <v>18</v>
      </c>
      <c r="L522">
        <v>22</v>
      </c>
      <c r="M522">
        <v>12201801.801801803</v>
      </c>
      <c r="N522">
        <v>9873873.8738738764</v>
      </c>
      <c r="O522">
        <v>12761252.252252253</v>
      </c>
      <c r="P522">
        <v>17703162.162162162</v>
      </c>
      <c r="Q522">
        <v>10746396.396396397</v>
      </c>
      <c r="R522">
        <v>7215495.4954954945</v>
      </c>
      <c r="S522">
        <v>1724</v>
      </c>
      <c r="T522">
        <v>1685</v>
      </c>
    </row>
    <row r="523" spans="1:20" x14ac:dyDescent="0.35">
      <c r="A523" s="7" t="s">
        <v>612</v>
      </c>
      <c r="B523" s="12" t="s">
        <v>190</v>
      </c>
      <c r="C523">
        <v>40733338.478038669</v>
      </c>
      <c r="D523">
        <v>46074334.065866373</v>
      </c>
      <c r="E523">
        <v>472522.522522524</v>
      </c>
      <c r="F523">
        <v>58558.558558559998</v>
      </c>
      <c r="G523">
        <v>20</v>
      </c>
      <c r="H523">
        <v>37</v>
      </c>
      <c r="K523">
        <v>21</v>
      </c>
      <c r="L523">
        <v>51</v>
      </c>
      <c r="M523">
        <v>4937297.297297298</v>
      </c>
      <c r="N523">
        <v>7306306.3063063072</v>
      </c>
      <c r="O523">
        <v>7253306.3063063063</v>
      </c>
      <c r="P523">
        <v>9698090.0900900904</v>
      </c>
      <c r="Q523">
        <v>4026306.3063063058</v>
      </c>
      <c r="R523">
        <v>4825135.1351351356</v>
      </c>
      <c r="S523">
        <v>1105</v>
      </c>
      <c r="T523">
        <v>981</v>
      </c>
    </row>
    <row r="524" spans="1:20" x14ac:dyDescent="0.35">
      <c r="A524" s="7" t="s">
        <v>613</v>
      </c>
      <c r="B524" s="12" t="s">
        <v>144</v>
      </c>
      <c r="C524">
        <v>273744127.44251275</v>
      </c>
      <c r="D524">
        <v>327340198.89381152</v>
      </c>
      <c r="E524">
        <v>3556609.0090090092</v>
      </c>
      <c r="F524">
        <v>1221872.0720720771</v>
      </c>
      <c r="G524">
        <v>113</v>
      </c>
      <c r="H524">
        <v>97</v>
      </c>
      <c r="I524">
        <v>13</v>
      </c>
      <c r="K524">
        <v>137</v>
      </c>
      <c r="L524">
        <v>246</v>
      </c>
      <c r="M524">
        <v>30518018.018018015</v>
      </c>
      <c r="N524">
        <v>34765765.765765771</v>
      </c>
      <c r="O524">
        <v>36425788.288288288</v>
      </c>
      <c r="P524">
        <v>49648936.936936937</v>
      </c>
      <c r="Q524">
        <v>30414097.297297295</v>
      </c>
      <c r="R524">
        <v>34790540.540540546</v>
      </c>
      <c r="S524">
        <v>5460</v>
      </c>
      <c r="T524">
        <v>7264</v>
      </c>
    </row>
    <row r="525" spans="1:20" x14ac:dyDescent="0.35">
      <c r="A525" s="7" t="s">
        <v>614</v>
      </c>
      <c r="B525" s="12" t="s">
        <v>190</v>
      </c>
      <c r="C525">
        <v>353149909.88923925</v>
      </c>
      <c r="D525">
        <v>380861443.70244116</v>
      </c>
      <c r="E525">
        <v>1653828.82882883</v>
      </c>
      <c r="F525">
        <v>1671171.1711711739</v>
      </c>
      <c r="G525">
        <v>126</v>
      </c>
      <c r="H525">
        <v>162</v>
      </c>
      <c r="I525">
        <v>3</v>
      </c>
      <c r="K525">
        <v>164</v>
      </c>
      <c r="L525">
        <v>224</v>
      </c>
      <c r="M525">
        <v>12251171.171171172</v>
      </c>
      <c r="N525">
        <v>11936936.936936937</v>
      </c>
      <c r="O525">
        <v>34474311.711711712</v>
      </c>
      <c r="P525">
        <v>42861459.459459454</v>
      </c>
      <c r="Q525">
        <v>10278601.801801804</v>
      </c>
      <c r="R525">
        <v>8880180.1801801827</v>
      </c>
      <c r="S525">
        <v>7931</v>
      </c>
      <c r="T525">
        <v>7468</v>
      </c>
    </row>
    <row r="526" spans="1:20" x14ac:dyDescent="0.35">
      <c r="A526" s="7" t="s">
        <v>615</v>
      </c>
      <c r="B526" s="12" t="s">
        <v>55</v>
      </c>
      <c r="C526">
        <v>248180267.6385648</v>
      </c>
      <c r="D526">
        <v>251721909.63792887</v>
      </c>
      <c r="E526">
        <v>4207207.2072072113</v>
      </c>
      <c r="F526">
        <v>7106306.3063063091</v>
      </c>
      <c r="G526">
        <v>81</v>
      </c>
      <c r="H526">
        <v>64</v>
      </c>
      <c r="I526">
        <v>2</v>
      </c>
      <c r="K526">
        <v>99</v>
      </c>
      <c r="L526">
        <v>85</v>
      </c>
      <c r="M526">
        <v>40189189.189189181</v>
      </c>
      <c r="N526">
        <v>47543243.243243247</v>
      </c>
      <c r="O526">
        <v>78628117.117117122</v>
      </c>
      <c r="P526">
        <v>81194234.234234244</v>
      </c>
      <c r="Q526">
        <v>38899549.549549542</v>
      </c>
      <c r="R526">
        <v>46166126.126126125</v>
      </c>
      <c r="S526">
        <v>6900</v>
      </c>
      <c r="T526">
        <v>7330</v>
      </c>
    </row>
    <row r="527" spans="1:20" x14ac:dyDescent="0.35">
      <c r="A527" s="7" t="s">
        <v>616</v>
      </c>
      <c r="B527" s="12" t="s">
        <v>55</v>
      </c>
      <c r="C527">
        <v>134957916.26116416</v>
      </c>
      <c r="D527">
        <v>139382866.21274933</v>
      </c>
      <c r="E527">
        <v>749549.54954955098</v>
      </c>
      <c r="F527">
        <v>1245045.0450450459</v>
      </c>
      <c r="G527">
        <v>14</v>
      </c>
      <c r="H527">
        <v>12</v>
      </c>
      <c r="I527">
        <v>1</v>
      </c>
      <c r="K527">
        <v>20</v>
      </c>
      <c r="L527">
        <v>18</v>
      </c>
      <c r="M527">
        <v>5111711.7117117122</v>
      </c>
      <c r="N527">
        <v>6909009.0090090092</v>
      </c>
      <c r="O527">
        <v>22767225.225225225</v>
      </c>
      <c r="P527">
        <v>24927846.846846849</v>
      </c>
      <c r="Q527">
        <v>4132522.5225225231</v>
      </c>
      <c r="R527">
        <v>6021621.6216216227</v>
      </c>
      <c r="S527">
        <v>2942</v>
      </c>
      <c r="T527">
        <v>2906</v>
      </c>
    </row>
    <row r="528" spans="1:20" x14ac:dyDescent="0.35">
      <c r="A528" s="7" t="s">
        <v>617</v>
      </c>
      <c r="B528" s="12" t="s">
        <v>61</v>
      </c>
      <c r="C528">
        <v>207616842.2176407</v>
      </c>
      <c r="D528">
        <v>223684814.13208553</v>
      </c>
      <c r="E528">
        <v>2792792.792792792</v>
      </c>
      <c r="F528">
        <v>2215315.3153153192</v>
      </c>
      <c r="G528">
        <v>79</v>
      </c>
      <c r="H528">
        <v>36</v>
      </c>
      <c r="K528">
        <v>115</v>
      </c>
      <c r="L528">
        <v>42</v>
      </c>
      <c r="M528">
        <v>31250900.9009009</v>
      </c>
      <c r="N528">
        <v>39091441.441441439</v>
      </c>
      <c r="O528">
        <v>68992171.171171173</v>
      </c>
      <c r="P528">
        <v>72527396.396396399</v>
      </c>
      <c r="Q528">
        <v>31570180.180180177</v>
      </c>
      <c r="R528">
        <v>36776846.846846849</v>
      </c>
      <c r="S528">
        <v>3933</v>
      </c>
      <c r="T528">
        <v>4558</v>
      </c>
    </row>
    <row r="529" spans="1:20" x14ac:dyDescent="0.35">
      <c r="A529" s="7" t="s">
        <v>618</v>
      </c>
      <c r="B529" s="12" t="s">
        <v>61</v>
      </c>
      <c r="C529">
        <v>223310329.04706377</v>
      </c>
      <c r="D529">
        <v>220075834.34213927</v>
      </c>
      <c r="E529">
        <v>30851351.351351351</v>
      </c>
      <c r="F529">
        <v>603832432.43243241</v>
      </c>
      <c r="G529">
        <v>57</v>
      </c>
      <c r="H529">
        <v>47</v>
      </c>
      <c r="K529">
        <v>62</v>
      </c>
      <c r="L529">
        <v>66</v>
      </c>
      <c r="M529">
        <v>26809909.909909911</v>
      </c>
      <c r="N529">
        <v>44996846.846846849</v>
      </c>
      <c r="O529">
        <v>117715022.52252252</v>
      </c>
      <c r="P529">
        <v>116453369.36936937</v>
      </c>
      <c r="Q529">
        <v>25963693.693693697</v>
      </c>
      <c r="R529">
        <v>38688738.738738738</v>
      </c>
      <c r="S529">
        <v>5527</v>
      </c>
      <c r="T529">
        <v>5713</v>
      </c>
    </row>
    <row r="530" spans="1:20" x14ac:dyDescent="0.35">
      <c r="A530" s="7" t="s">
        <v>619</v>
      </c>
      <c r="B530" s="12" t="s">
        <v>61</v>
      </c>
      <c r="C530">
        <v>282581436.35296381</v>
      </c>
      <c r="D530">
        <v>294417081.57821143</v>
      </c>
      <c r="E530">
        <v>3445945.9459459512</v>
      </c>
      <c r="F530">
        <v>8399099.0990991015</v>
      </c>
      <c r="G530">
        <v>47</v>
      </c>
      <c r="H530">
        <v>27</v>
      </c>
      <c r="K530">
        <v>57</v>
      </c>
      <c r="L530">
        <v>43</v>
      </c>
      <c r="M530">
        <v>40222522.522522531</v>
      </c>
      <c r="N530">
        <v>70281981.981981978</v>
      </c>
      <c r="O530">
        <v>94117122.072072059</v>
      </c>
      <c r="P530">
        <v>97774531.531531543</v>
      </c>
      <c r="Q530">
        <v>40368198.198198207</v>
      </c>
      <c r="R530">
        <v>63997927.927927926</v>
      </c>
      <c r="S530">
        <v>6218</v>
      </c>
      <c r="T530">
        <v>5141</v>
      </c>
    </row>
    <row r="531" spans="1:20" x14ac:dyDescent="0.35">
      <c r="A531" s="7" t="s">
        <v>620</v>
      </c>
      <c r="B531" s="12" t="s">
        <v>621</v>
      </c>
      <c r="C531">
        <v>337346447.20023137</v>
      </c>
      <c r="D531">
        <v>338627741.08455086</v>
      </c>
      <c r="E531">
        <v>5655630.6306306338</v>
      </c>
      <c r="F531">
        <v>3893693.6936936998</v>
      </c>
      <c r="G531">
        <v>218</v>
      </c>
      <c r="H531">
        <v>90</v>
      </c>
      <c r="I531">
        <v>2</v>
      </c>
      <c r="K531">
        <v>399</v>
      </c>
      <c r="L531">
        <v>153</v>
      </c>
      <c r="M531">
        <v>20527477.477477476</v>
      </c>
      <c r="N531">
        <v>21331081.081081085</v>
      </c>
      <c r="O531">
        <v>41188738.738738738</v>
      </c>
      <c r="P531">
        <v>47488918.918918923</v>
      </c>
      <c r="Q531">
        <v>24544594.59459459</v>
      </c>
      <c r="R531">
        <v>22348288.288288288</v>
      </c>
      <c r="S531">
        <v>9287</v>
      </c>
      <c r="T531">
        <v>8773</v>
      </c>
    </row>
    <row r="532" spans="1:20" x14ac:dyDescent="0.35">
      <c r="A532" s="7" t="s">
        <v>622</v>
      </c>
      <c r="B532" s="12" t="s">
        <v>621</v>
      </c>
      <c r="C532">
        <v>246490496.23908162</v>
      </c>
      <c r="D532">
        <v>247165172.11904225</v>
      </c>
      <c r="E532">
        <v>4254054.0540540544</v>
      </c>
      <c r="F532">
        <v>3348648.6486486509</v>
      </c>
      <c r="G532">
        <v>89</v>
      </c>
      <c r="H532">
        <v>98</v>
      </c>
      <c r="I532">
        <v>1</v>
      </c>
      <c r="K532">
        <v>105</v>
      </c>
      <c r="L532">
        <v>117</v>
      </c>
      <c r="M532">
        <v>22082882.882882886</v>
      </c>
      <c r="N532">
        <v>21069369.369369369</v>
      </c>
      <c r="O532">
        <v>40205491.891891889</v>
      </c>
      <c r="P532">
        <v>42931694.59459459</v>
      </c>
      <c r="Q532">
        <v>19700270.270270273</v>
      </c>
      <c r="R532">
        <v>21672792.792792793</v>
      </c>
      <c r="S532">
        <v>7422</v>
      </c>
      <c r="T532">
        <v>5834</v>
      </c>
    </row>
    <row r="533" spans="1:20" x14ac:dyDescent="0.35">
      <c r="A533" s="7" t="s">
        <v>623</v>
      </c>
      <c r="B533" s="12" t="s">
        <v>621</v>
      </c>
      <c r="C533">
        <v>257793574.48203635</v>
      </c>
      <c r="D533">
        <v>251962190.23839483</v>
      </c>
      <c r="E533">
        <v>57580885.585585594</v>
      </c>
      <c r="F533">
        <v>104071943.24324325</v>
      </c>
      <c r="G533">
        <v>97</v>
      </c>
      <c r="H533">
        <v>84</v>
      </c>
      <c r="I533">
        <v>1</v>
      </c>
      <c r="K533">
        <v>118</v>
      </c>
      <c r="L533">
        <v>94</v>
      </c>
      <c r="M533">
        <v>34215692.79279279</v>
      </c>
      <c r="N533">
        <v>37389369.369369365</v>
      </c>
      <c r="O533">
        <v>39867164.864864863</v>
      </c>
      <c r="P533">
        <v>43609753.153153151</v>
      </c>
      <c r="Q533">
        <v>14658108.108108109</v>
      </c>
      <c r="R533">
        <v>19914818.018018015</v>
      </c>
      <c r="S533">
        <v>7331</v>
      </c>
      <c r="T533">
        <v>5235</v>
      </c>
    </row>
    <row r="534" spans="1:20" x14ac:dyDescent="0.35">
      <c r="A534" s="7" t="s">
        <v>624</v>
      </c>
      <c r="B534" s="12" t="s">
        <v>621</v>
      </c>
      <c r="C534">
        <v>189220562.73863029</v>
      </c>
      <c r="D534">
        <v>189888116.43928769</v>
      </c>
      <c r="E534">
        <v>662162.16216216295</v>
      </c>
      <c r="F534">
        <v>2859459.4594594599</v>
      </c>
      <c r="G534">
        <v>44</v>
      </c>
      <c r="H534">
        <v>94</v>
      </c>
      <c r="I534">
        <v>4</v>
      </c>
      <c r="K534">
        <v>57</v>
      </c>
      <c r="L534">
        <v>103</v>
      </c>
      <c r="M534">
        <v>15998198.198198196</v>
      </c>
      <c r="N534">
        <v>19500450.450450446</v>
      </c>
      <c r="O534">
        <v>24363815.315315317</v>
      </c>
      <c r="P534">
        <v>27839088.288288288</v>
      </c>
      <c r="Q534">
        <v>15983603.603603603</v>
      </c>
      <c r="R534">
        <v>18823873.873873871</v>
      </c>
      <c r="S534">
        <v>4146</v>
      </c>
      <c r="T534">
        <v>4278</v>
      </c>
    </row>
    <row r="535" spans="1:20" x14ac:dyDescent="0.35">
      <c r="A535" s="7" t="s">
        <v>625</v>
      </c>
      <c r="B535" s="12" t="s">
        <v>261</v>
      </c>
      <c r="C535">
        <v>100234844.96013333</v>
      </c>
      <c r="D535">
        <v>107256812.4014632</v>
      </c>
      <c r="E535">
        <v>363963.96396396501</v>
      </c>
      <c r="F535">
        <v>212612.61261261301</v>
      </c>
      <c r="G535">
        <v>16</v>
      </c>
      <c r="H535">
        <v>3</v>
      </c>
      <c r="K535">
        <v>16</v>
      </c>
      <c r="L535">
        <v>3</v>
      </c>
      <c r="M535">
        <v>7275675.6756756771</v>
      </c>
      <c r="N535">
        <v>9593513.5135135148</v>
      </c>
      <c r="O535">
        <v>32231756.75675676</v>
      </c>
      <c r="P535">
        <v>36980405.40540541</v>
      </c>
      <c r="Q535">
        <v>10587747.747747747</v>
      </c>
      <c r="R535">
        <v>13149099.0990991</v>
      </c>
      <c r="S535">
        <v>2334</v>
      </c>
      <c r="T535">
        <v>2092</v>
      </c>
    </row>
    <row r="536" spans="1:20" x14ac:dyDescent="0.35">
      <c r="A536" s="7" t="s">
        <v>626</v>
      </c>
      <c r="B536" s="12" t="s">
        <v>53</v>
      </c>
      <c r="C536">
        <v>154329996.82469681</v>
      </c>
      <c r="D536">
        <v>156372703.77821797</v>
      </c>
      <c r="E536">
        <v>390090.09009009099</v>
      </c>
      <c r="F536">
        <v>1044144.144144146</v>
      </c>
      <c r="G536">
        <v>51</v>
      </c>
      <c r="H536">
        <v>79</v>
      </c>
      <c r="K536">
        <v>137</v>
      </c>
      <c r="L536">
        <v>138</v>
      </c>
      <c r="M536">
        <v>5218918.9189189197</v>
      </c>
      <c r="N536">
        <v>4814414.4144144161</v>
      </c>
      <c r="O536">
        <v>56286648.648648649</v>
      </c>
      <c r="P536">
        <v>57130358.558558561</v>
      </c>
      <c r="Q536">
        <v>3910090.0900900909</v>
      </c>
      <c r="R536">
        <v>4591891.8918918911</v>
      </c>
      <c r="S536">
        <v>4911</v>
      </c>
      <c r="T536">
        <v>4398</v>
      </c>
    </row>
    <row r="537" spans="1:20" x14ac:dyDescent="0.35">
      <c r="A537" s="7" t="s">
        <v>627</v>
      </c>
      <c r="B537" s="12" t="s">
        <v>97</v>
      </c>
      <c r="C537">
        <v>396269243.76081431</v>
      </c>
      <c r="D537">
        <v>360947341.57021022</v>
      </c>
      <c r="E537">
        <v>7145045.045045048</v>
      </c>
      <c r="F537">
        <v>6106756.7567567592</v>
      </c>
      <c r="G537">
        <v>177</v>
      </c>
      <c r="H537">
        <v>186</v>
      </c>
      <c r="K537">
        <v>204</v>
      </c>
      <c r="L537">
        <v>276</v>
      </c>
      <c r="M537">
        <v>82560360.360360369</v>
      </c>
      <c r="N537">
        <v>94709909.909909919</v>
      </c>
      <c r="O537">
        <v>129961779.72972973</v>
      </c>
      <c r="P537">
        <v>130245547.74774775</v>
      </c>
      <c r="Q537">
        <v>72613333.333333328</v>
      </c>
      <c r="R537">
        <v>88979052.252252251</v>
      </c>
      <c r="S537">
        <v>11430</v>
      </c>
      <c r="T537">
        <v>10655</v>
      </c>
    </row>
    <row r="538" spans="1:20" x14ac:dyDescent="0.35">
      <c r="A538" s="7" t="s">
        <v>628</v>
      </c>
      <c r="B538" s="12" t="s">
        <v>97</v>
      </c>
      <c r="C538">
        <v>652894601.03176844</v>
      </c>
      <c r="D538">
        <v>634625655.1112541</v>
      </c>
      <c r="E538">
        <v>221328138.73873875</v>
      </c>
      <c r="F538">
        <v>435088535.13513517</v>
      </c>
      <c r="G538">
        <v>160</v>
      </c>
      <c r="H538">
        <v>165</v>
      </c>
      <c r="I538">
        <v>3</v>
      </c>
      <c r="K538">
        <v>189</v>
      </c>
      <c r="L538">
        <v>266</v>
      </c>
      <c r="M538">
        <v>219370216.21621624</v>
      </c>
      <c r="N538">
        <v>159046171.17117116</v>
      </c>
      <c r="O538">
        <v>266311380.63063061</v>
      </c>
      <c r="P538">
        <v>262821738.73873875</v>
      </c>
      <c r="Q538">
        <v>139134234.23423424</v>
      </c>
      <c r="R538">
        <v>149624009.009009</v>
      </c>
      <c r="S538">
        <v>15123</v>
      </c>
      <c r="T538">
        <v>13309</v>
      </c>
    </row>
    <row r="539" spans="1:20" x14ac:dyDescent="0.35">
      <c r="A539" s="7" t="s">
        <v>629</v>
      </c>
      <c r="B539" s="12" t="s">
        <v>449</v>
      </c>
      <c r="C539">
        <v>476963231.70282227</v>
      </c>
      <c r="D539">
        <v>459405546.28436685</v>
      </c>
      <c r="E539">
        <v>165616933.33333334</v>
      </c>
      <c r="F539">
        <v>254781687.38738739</v>
      </c>
      <c r="G539">
        <v>175</v>
      </c>
      <c r="H539">
        <v>231</v>
      </c>
      <c r="I539">
        <v>1</v>
      </c>
      <c r="K539">
        <v>211</v>
      </c>
      <c r="L539">
        <v>304</v>
      </c>
      <c r="M539">
        <v>141550990.990991</v>
      </c>
      <c r="N539">
        <v>129859684.68468469</v>
      </c>
      <c r="O539">
        <v>141721863.06306306</v>
      </c>
      <c r="P539">
        <v>151104450.45045045</v>
      </c>
      <c r="Q539">
        <v>136017297.2972973</v>
      </c>
      <c r="R539">
        <v>109945000</v>
      </c>
      <c r="S539">
        <v>12499</v>
      </c>
      <c r="T539">
        <v>11244</v>
      </c>
    </row>
    <row r="540" spans="1:20" x14ac:dyDescent="0.35">
      <c r="A540" s="7" t="s">
        <v>630</v>
      </c>
      <c r="B540" s="12" t="s">
        <v>79</v>
      </c>
      <c r="C540">
        <v>21144489.165918063</v>
      </c>
      <c r="D540">
        <v>22507673.828646269</v>
      </c>
      <c r="E540">
        <v>327027.02702702698</v>
      </c>
      <c r="F540">
        <v>312612.61261261301</v>
      </c>
      <c r="G540">
        <v>3</v>
      </c>
      <c r="H540">
        <v>3</v>
      </c>
      <c r="K540">
        <v>3</v>
      </c>
      <c r="L540">
        <v>3</v>
      </c>
      <c r="M540">
        <v>1227927.9279279271</v>
      </c>
      <c r="N540">
        <v>2015315.315315315</v>
      </c>
      <c r="O540">
        <v>6026873.8738738736</v>
      </c>
      <c r="P540">
        <v>7517351.3513513505</v>
      </c>
      <c r="Q540">
        <v>1232792.7927927929</v>
      </c>
      <c r="R540">
        <v>1517027.027027027</v>
      </c>
      <c r="S540">
        <v>412</v>
      </c>
      <c r="T540">
        <v>359</v>
      </c>
    </row>
    <row r="541" spans="1:20" x14ac:dyDescent="0.35">
      <c r="A541" s="7" t="s">
        <v>631</v>
      </c>
      <c r="B541" s="12" t="s">
        <v>242</v>
      </c>
      <c r="C541">
        <v>125760736.39398955</v>
      </c>
      <c r="D541">
        <v>115990148.37502092</v>
      </c>
      <c r="E541">
        <v>425900.90090090199</v>
      </c>
      <c r="F541">
        <v>1704504.5045045051</v>
      </c>
      <c r="G541">
        <v>48</v>
      </c>
      <c r="H541">
        <v>24</v>
      </c>
      <c r="K541">
        <v>53</v>
      </c>
      <c r="L541">
        <v>33</v>
      </c>
      <c r="M541">
        <v>12680900.9009009</v>
      </c>
      <c r="N541">
        <v>30985045.045045048</v>
      </c>
      <c r="O541">
        <v>28549648.648648649</v>
      </c>
      <c r="P541">
        <v>29381414.414414417</v>
      </c>
      <c r="Q541">
        <v>12678738.738738738</v>
      </c>
      <c r="R541">
        <v>29988288.288288288</v>
      </c>
      <c r="S541">
        <v>2739</v>
      </c>
      <c r="T541">
        <v>2690</v>
      </c>
    </row>
    <row r="542" spans="1:20" x14ac:dyDescent="0.35">
      <c r="A542" s="7" t="s">
        <v>632</v>
      </c>
      <c r="B542" s="12" t="s">
        <v>69</v>
      </c>
      <c r="C542">
        <v>543519480.72670305</v>
      </c>
      <c r="D542">
        <v>564808458.4878844</v>
      </c>
      <c r="E542">
        <v>6274549.549549548</v>
      </c>
      <c r="F542">
        <v>3176576.576576578</v>
      </c>
      <c r="G542">
        <v>210</v>
      </c>
      <c r="H542">
        <v>92</v>
      </c>
      <c r="I542">
        <v>1</v>
      </c>
      <c r="K542">
        <v>241</v>
      </c>
      <c r="L542">
        <v>152</v>
      </c>
      <c r="M542">
        <v>52468918.918918923</v>
      </c>
      <c r="N542">
        <v>66741396.396396399</v>
      </c>
      <c r="O542">
        <v>92441665.765765756</v>
      </c>
      <c r="P542">
        <v>111634014.41441442</v>
      </c>
      <c r="Q542">
        <v>43424594.59459459</v>
      </c>
      <c r="R542">
        <v>50155180.180180185</v>
      </c>
      <c r="S542">
        <v>9133</v>
      </c>
      <c r="T542">
        <v>8964</v>
      </c>
    </row>
    <row r="543" spans="1:20" x14ac:dyDescent="0.35">
      <c r="A543" s="7" t="s">
        <v>633</v>
      </c>
      <c r="B543" s="12" t="s">
        <v>71</v>
      </c>
      <c r="C543">
        <v>4019505.920002297</v>
      </c>
      <c r="D543">
        <v>4187241.2030565012</v>
      </c>
      <c r="E543">
        <v>54054.054054054002</v>
      </c>
      <c r="F543">
        <v>170270.27027027</v>
      </c>
      <c r="G543">
        <v>2</v>
      </c>
      <c r="K543">
        <v>2</v>
      </c>
      <c r="M543">
        <v>54054.054054054002</v>
      </c>
      <c r="N543">
        <v>224324.324324324</v>
      </c>
      <c r="O543">
        <v>2463018.018018018</v>
      </c>
      <c r="P543">
        <v>2605495.4954954949</v>
      </c>
      <c r="Q543">
        <v>164864.864864865</v>
      </c>
      <c r="S543">
        <v>227</v>
      </c>
      <c r="T543">
        <v>205</v>
      </c>
    </row>
    <row r="544" spans="1:20" x14ac:dyDescent="0.35">
      <c r="A544" s="7" t="s">
        <v>634</v>
      </c>
      <c r="B544" s="12" t="s">
        <v>61</v>
      </c>
      <c r="C544">
        <v>41504282.938561112</v>
      </c>
      <c r="D544">
        <v>41230411.333769798</v>
      </c>
      <c r="E544">
        <v>151351.351351352</v>
      </c>
      <c r="F544">
        <v>346396.39639639697</v>
      </c>
      <c r="G544">
        <v>13</v>
      </c>
      <c r="H544">
        <v>2</v>
      </c>
      <c r="I544">
        <v>1</v>
      </c>
      <c r="K544">
        <v>14</v>
      </c>
      <c r="L544">
        <v>5</v>
      </c>
      <c r="M544">
        <v>1772972.972972973</v>
      </c>
      <c r="N544">
        <v>3004054.054054054</v>
      </c>
      <c r="O544">
        <v>18296135.135135137</v>
      </c>
      <c r="P544">
        <v>16530261.261261262</v>
      </c>
      <c r="Q544">
        <v>256306.30630630601</v>
      </c>
      <c r="R544">
        <v>2152702.702702703</v>
      </c>
      <c r="S544">
        <v>1044</v>
      </c>
      <c r="T544">
        <v>997</v>
      </c>
    </row>
    <row r="545" spans="1:20" x14ac:dyDescent="0.35">
      <c r="A545" s="7" t="s">
        <v>635</v>
      </c>
      <c r="B545" s="12" t="s">
        <v>81</v>
      </c>
      <c r="C545">
        <v>425816102.89345586</v>
      </c>
      <c r="D545">
        <v>441319788.94566113</v>
      </c>
      <c r="E545">
        <v>4381531.5315315351</v>
      </c>
      <c r="F545">
        <v>3754954.954954959</v>
      </c>
      <c r="G545">
        <v>61</v>
      </c>
      <c r="H545">
        <v>53</v>
      </c>
      <c r="I545">
        <v>1</v>
      </c>
      <c r="K545">
        <v>65</v>
      </c>
      <c r="L545">
        <v>71</v>
      </c>
      <c r="M545">
        <v>48277027.027027026</v>
      </c>
      <c r="N545">
        <v>61790990.990990989</v>
      </c>
      <c r="O545">
        <v>87284454.954954967</v>
      </c>
      <c r="P545">
        <v>90546162.162162155</v>
      </c>
      <c r="Q545">
        <v>45417927.927927926</v>
      </c>
      <c r="R545">
        <v>54773063.063063063</v>
      </c>
      <c r="S545">
        <v>6141</v>
      </c>
      <c r="T545">
        <v>6201</v>
      </c>
    </row>
    <row r="546" spans="1:20" x14ac:dyDescent="0.35">
      <c r="A546" s="7" t="s">
        <v>636</v>
      </c>
      <c r="B546" s="12" t="s">
        <v>135</v>
      </c>
      <c r="C546">
        <v>77077351.135074362</v>
      </c>
      <c r="D546">
        <v>82412034.335923567</v>
      </c>
      <c r="E546">
        <v>784684.68468468497</v>
      </c>
      <c r="G546">
        <v>18</v>
      </c>
      <c r="H546">
        <v>13</v>
      </c>
      <c r="K546">
        <v>19</v>
      </c>
      <c r="L546">
        <v>13</v>
      </c>
      <c r="M546">
        <v>8726126.1261261255</v>
      </c>
      <c r="N546">
        <v>1162162.1621621619</v>
      </c>
      <c r="O546">
        <v>4254630.630630631</v>
      </c>
      <c r="P546">
        <v>6102792.7927927934</v>
      </c>
      <c r="Q546">
        <v>8285315.3153153146</v>
      </c>
      <c r="R546">
        <v>937477.47747747705</v>
      </c>
      <c r="S546">
        <v>1460</v>
      </c>
      <c r="T546">
        <v>1659</v>
      </c>
    </row>
    <row r="547" spans="1:20" x14ac:dyDescent="0.35">
      <c r="A547" s="7" t="s">
        <v>637</v>
      </c>
      <c r="B547" s="12" t="s">
        <v>480</v>
      </c>
      <c r="C547">
        <v>231986796.8931092</v>
      </c>
      <c r="D547">
        <v>229924775.57622179</v>
      </c>
      <c r="E547">
        <v>2202702.7027027081</v>
      </c>
      <c r="F547">
        <v>1498198.198198199</v>
      </c>
      <c r="G547">
        <v>65</v>
      </c>
      <c r="H547">
        <v>48</v>
      </c>
      <c r="K547">
        <v>71</v>
      </c>
      <c r="L547">
        <v>54</v>
      </c>
      <c r="M547">
        <v>58103089.189189196</v>
      </c>
      <c r="N547">
        <v>64745630.630630635</v>
      </c>
      <c r="O547">
        <v>83217513.51351352</v>
      </c>
      <c r="P547">
        <v>89288648.648648635</v>
      </c>
      <c r="Q547">
        <v>59448513.513513513</v>
      </c>
      <c r="R547">
        <v>69994459.459459469</v>
      </c>
      <c r="S547">
        <v>6578</v>
      </c>
      <c r="T547">
        <v>7428</v>
      </c>
    </row>
    <row r="548" spans="1:20" x14ac:dyDescent="0.35">
      <c r="A548" s="7" t="s">
        <v>638</v>
      </c>
      <c r="B548" s="12" t="s">
        <v>144</v>
      </c>
      <c r="C548">
        <v>393465930.28518516</v>
      </c>
      <c r="D548">
        <v>418075566.57803959</v>
      </c>
      <c r="E548">
        <v>3865765.765765768</v>
      </c>
      <c r="F548">
        <v>2548648.648648655</v>
      </c>
      <c r="G548">
        <v>84</v>
      </c>
      <c r="H548">
        <v>33</v>
      </c>
      <c r="K548">
        <v>107</v>
      </c>
      <c r="L548">
        <v>39</v>
      </c>
      <c r="M548">
        <v>27176126.126126125</v>
      </c>
      <c r="N548">
        <v>30664864.864864863</v>
      </c>
      <c r="O548">
        <v>49750772.522522517</v>
      </c>
      <c r="P548">
        <v>51351810.810810819</v>
      </c>
      <c r="Q548">
        <v>22192702.702702705</v>
      </c>
      <c r="R548">
        <v>24023873.873873871</v>
      </c>
      <c r="S548">
        <v>9816</v>
      </c>
      <c r="T548">
        <v>9519</v>
      </c>
    </row>
    <row r="549" spans="1:20" x14ac:dyDescent="0.35">
      <c r="A549" s="7" t="s">
        <v>639</v>
      </c>
      <c r="B549" s="12" t="s">
        <v>242</v>
      </c>
      <c r="C549">
        <v>432449072.26169574</v>
      </c>
      <c r="D549">
        <v>428916273.13171345</v>
      </c>
      <c r="E549">
        <v>2023423.4234234251</v>
      </c>
      <c r="F549">
        <v>4796396.3963963967</v>
      </c>
      <c r="G549">
        <v>223</v>
      </c>
      <c r="H549">
        <v>191</v>
      </c>
      <c r="K549">
        <v>260</v>
      </c>
      <c r="L549">
        <v>230</v>
      </c>
      <c r="M549">
        <v>34699099.0990991</v>
      </c>
      <c r="N549">
        <v>40388018.018018022</v>
      </c>
      <c r="O549">
        <v>140562872.07207209</v>
      </c>
      <c r="P549">
        <v>153647009.00900903</v>
      </c>
      <c r="Q549">
        <v>29436306.306306306</v>
      </c>
      <c r="R549">
        <v>38588018.018018015</v>
      </c>
      <c r="S549">
        <v>14861</v>
      </c>
      <c r="T549">
        <v>12588</v>
      </c>
    </row>
    <row r="550" spans="1:20" x14ac:dyDescent="0.35">
      <c r="A550" s="7" t="s">
        <v>640</v>
      </c>
      <c r="B550" s="12" t="s">
        <v>133</v>
      </c>
      <c r="C550">
        <v>163781300.10122389</v>
      </c>
      <c r="D550">
        <v>172149252.19030079</v>
      </c>
      <c r="E550">
        <v>116216.21621621599</v>
      </c>
      <c r="F550">
        <v>70270.270270270994</v>
      </c>
      <c r="G550">
        <v>59</v>
      </c>
      <c r="H550">
        <v>59</v>
      </c>
      <c r="K550">
        <v>64</v>
      </c>
      <c r="L550">
        <v>71</v>
      </c>
      <c r="M550">
        <v>3573873.8738738741</v>
      </c>
      <c r="N550">
        <v>8220045.0450450452</v>
      </c>
      <c r="O550">
        <v>59494441.441441439</v>
      </c>
      <c r="P550">
        <v>62348043.24324324</v>
      </c>
      <c r="Q550">
        <v>4208198.1981981983</v>
      </c>
      <c r="R550">
        <v>4658333.333333333</v>
      </c>
      <c r="S550">
        <v>6231</v>
      </c>
      <c r="T550">
        <v>5547</v>
      </c>
    </row>
    <row r="551" spans="1:20" x14ac:dyDescent="0.35">
      <c r="A551" s="7" t="s">
        <v>641</v>
      </c>
      <c r="B551" s="12" t="s">
        <v>135</v>
      </c>
      <c r="C551">
        <v>496690039.76258242</v>
      </c>
      <c r="D551">
        <v>536674750.58904701</v>
      </c>
      <c r="E551">
        <v>1426126.1261261289</v>
      </c>
      <c r="F551">
        <v>3209009.0090090139</v>
      </c>
      <c r="G551">
        <v>80</v>
      </c>
      <c r="H551">
        <v>71</v>
      </c>
      <c r="I551">
        <v>1</v>
      </c>
      <c r="K551">
        <v>84</v>
      </c>
      <c r="L551">
        <v>89</v>
      </c>
      <c r="M551">
        <v>40860180.180180177</v>
      </c>
      <c r="N551">
        <v>53696936.936936945</v>
      </c>
      <c r="O551">
        <v>65713852.252252258</v>
      </c>
      <c r="P551">
        <v>78573396.396396399</v>
      </c>
      <c r="Q551">
        <v>32206439.639639638</v>
      </c>
      <c r="R551">
        <v>44138018.018018015</v>
      </c>
      <c r="S551">
        <v>7960</v>
      </c>
      <c r="T551">
        <v>7622</v>
      </c>
    </row>
    <row r="552" spans="1:20" x14ac:dyDescent="0.35">
      <c r="A552" s="7" t="s">
        <v>642</v>
      </c>
      <c r="B552" s="12" t="s">
        <v>81</v>
      </c>
      <c r="C552">
        <v>263239430.70503184</v>
      </c>
      <c r="D552">
        <v>266032458.32688662</v>
      </c>
      <c r="E552">
        <v>1188288.2882882899</v>
      </c>
      <c r="F552">
        <v>1336036.0360360369</v>
      </c>
      <c r="G552">
        <v>45</v>
      </c>
      <c r="H552">
        <v>30</v>
      </c>
      <c r="K552">
        <v>59</v>
      </c>
      <c r="L552">
        <v>69</v>
      </c>
      <c r="M552">
        <v>26718918.918918919</v>
      </c>
      <c r="N552">
        <v>33230630.630630631</v>
      </c>
      <c r="O552">
        <v>95777155.855855852</v>
      </c>
      <c r="P552">
        <v>99408466.666666672</v>
      </c>
      <c r="Q552">
        <v>27255675.675675675</v>
      </c>
      <c r="R552">
        <v>29488018.018018018</v>
      </c>
      <c r="S552">
        <v>5088</v>
      </c>
      <c r="T552">
        <v>4874</v>
      </c>
    </row>
    <row r="553" spans="1:20" x14ac:dyDescent="0.35">
      <c r="A553" s="7" t="s">
        <v>643</v>
      </c>
      <c r="B553" s="12" t="s">
        <v>170</v>
      </c>
      <c r="C553">
        <v>435364044.45407683</v>
      </c>
      <c r="D553">
        <v>464327286.01287293</v>
      </c>
      <c r="E553">
        <v>76700900.9009009</v>
      </c>
      <c r="F553">
        <v>249314414.41441441</v>
      </c>
      <c r="G553">
        <v>35</v>
      </c>
      <c r="H553">
        <v>54</v>
      </c>
      <c r="I553">
        <v>2</v>
      </c>
      <c r="K553">
        <v>36</v>
      </c>
      <c r="L553">
        <v>56</v>
      </c>
      <c r="M553">
        <v>47263528.828828834</v>
      </c>
      <c r="N553">
        <v>70940990.990990996</v>
      </c>
      <c r="O553">
        <v>155813207.2072072</v>
      </c>
      <c r="P553">
        <v>179451729.72972974</v>
      </c>
      <c r="Q553">
        <v>36552072.072072074</v>
      </c>
      <c r="R553">
        <v>39604954.954954952</v>
      </c>
      <c r="S553">
        <v>8962</v>
      </c>
      <c r="T553">
        <v>8597</v>
      </c>
    </row>
    <row r="554" spans="1:20" x14ac:dyDescent="0.35">
      <c r="A554" s="7" t="s">
        <v>644</v>
      </c>
      <c r="B554" s="12" t="s">
        <v>59</v>
      </c>
      <c r="C554">
        <v>741986844.78605926</v>
      </c>
      <c r="D554">
        <v>749713066.2298919</v>
      </c>
      <c r="E554">
        <v>8015315.3153153127</v>
      </c>
      <c r="F554">
        <v>9428828.8288288359</v>
      </c>
      <c r="G554">
        <v>194</v>
      </c>
      <c r="H554">
        <v>159</v>
      </c>
      <c r="K554">
        <v>223</v>
      </c>
      <c r="L554">
        <v>197</v>
      </c>
      <c r="M554">
        <v>52090540.540540539</v>
      </c>
      <c r="N554">
        <v>148961711.7117117</v>
      </c>
      <c r="O554">
        <v>154755265.76576576</v>
      </c>
      <c r="P554">
        <v>161946385.58558559</v>
      </c>
      <c r="Q554">
        <v>53465675.675675675</v>
      </c>
      <c r="R554">
        <v>150588378.37837836</v>
      </c>
      <c r="S554">
        <v>18232</v>
      </c>
      <c r="T554">
        <v>17607</v>
      </c>
    </row>
    <row r="555" spans="1:20" x14ac:dyDescent="0.35">
      <c r="A555" s="7" t="s">
        <v>645</v>
      </c>
      <c r="B555" s="12" t="s">
        <v>59</v>
      </c>
      <c r="C555">
        <v>930011890.26355922</v>
      </c>
      <c r="D555">
        <v>961301802.32423007</v>
      </c>
      <c r="E555">
        <v>244231080.18018019</v>
      </c>
      <c r="F555">
        <v>536197083.78378379</v>
      </c>
      <c r="G555">
        <v>780</v>
      </c>
      <c r="H555">
        <v>416</v>
      </c>
      <c r="I555">
        <v>1</v>
      </c>
      <c r="K555">
        <v>918</v>
      </c>
      <c r="L555">
        <v>620</v>
      </c>
      <c r="M555">
        <v>154487387.38738739</v>
      </c>
      <c r="N555">
        <v>274241441.44144142</v>
      </c>
      <c r="O555">
        <v>278353878.37837839</v>
      </c>
      <c r="P555">
        <v>279973554.95495492</v>
      </c>
      <c r="Q555">
        <v>143270090.0900901</v>
      </c>
      <c r="R555">
        <v>266985174.77477479</v>
      </c>
      <c r="S555">
        <v>27504</v>
      </c>
      <c r="T555">
        <v>22298</v>
      </c>
    </row>
    <row r="556" spans="1:20" x14ac:dyDescent="0.35">
      <c r="A556" s="7" t="s">
        <v>646</v>
      </c>
      <c r="B556" s="12" t="s">
        <v>308</v>
      </c>
      <c r="C556">
        <v>306247193.84936577</v>
      </c>
      <c r="D556">
        <v>293582909.73619628</v>
      </c>
      <c r="E556">
        <v>1857657.657657658</v>
      </c>
      <c r="F556">
        <v>1690990.990990991</v>
      </c>
      <c r="G556">
        <v>34</v>
      </c>
      <c r="H556">
        <v>28</v>
      </c>
      <c r="K556">
        <v>36</v>
      </c>
      <c r="L556">
        <v>32</v>
      </c>
      <c r="M556">
        <v>5545045.0450450452</v>
      </c>
      <c r="N556">
        <v>6374504.5045045028</v>
      </c>
      <c r="O556">
        <v>51095094.59459459</v>
      </c>
      <c r="P556">
        <v>55029851.351351351</v>
      </c>
      <c r="Q556">
        <v>5486036.036036036</v>
      </c>
      <c r="R556">
        <v>5824774.774774773</v>
      </c>
      <c r="S556">
        <v>5208</v>
      </c>
      <c r="T556">
        <v>5143</v>
      </c>
    </row>
    <row r="557" spans="1:20" x14ac:dyDescent="0.35">
      <c r="A557" s="7" t="s">
        <v>13</v>
      </c>
      <c r="B557" s="12" t="s">
        <v>159</v>
      </c>
      <c r="C557">
        <v>349856326.29565728</v>
      </c>
      <c r="D557">
        <v>329789577.42852956</v>
      </c>
      <c r="E557">
        <v>3457657.6576576661</v>
      </c>
      <c r="F557">
        <v>2021621.621621625</v>
      </c>
      <c r="G557">
        <v>76</v>
      </c>
      <c r="H557">
        <v>95</v>
      </c>
      <c r="K557">
        <v>203</v>
      </c>
      <c r="L557">
        <v>418</v>
      </c>
      <c r="M557">
        <v>72470000</v>
      </c>
      <c r="N557">
        <v>71555405.405405402</v>
      </c>
      <c r="O557">
        <v>202251621.62162164</v>
      </c>
      <c r="P557">
        <v>193679108.1081081</v>
      </c>
      <c r="Q557">
        <v>70465809.009009004</v>
      </c>
      <c r="R557">
        <v>77409729.729729727</v>
      </c>
      <c r="S557">
        <v>8299</v>
      </c>
      <c r="T557">
        <v>7143</v>
      </c>
    </row>
    <row r="558" spans="1:20" x14ac:dyDescent="0.35">
      <c r="A558" s="7" t="s">
        <v>647</v>
      </c>
      <c r="B558" s="12" t="s">
        <v>122</v>
      </c>
      <c r="C558">
        <v>237021983.81578478</v>
      </c>
      <c r="D558">
        <v>241108184.95489162</v>
      </c>
      <c r="E558">
        <v>163063.06306306299</v>
      </c>
      <c r="F558">
        <v>54054.054054054999</v>
      </c>
      <c r="G558">
        <v>52</v>
      </c>
      <c r="H558">
        <v>65</v>
      </c>
      <c r="K558">
        <v>57</v>
      </c>
      <c r="L558">
        <v>67</v>
      </c>
      <c r="M558">
        <v>1157657.657657658</v>
      </c>
      <c r="N558">
        <v>774774.77477477503</v>
      </c>
      <c r="O558">
        <v>20116912.162162159</v>
      </c>
      <c r="P558">
        <v>24034167.567567568</v>
      </c>
      <c r="Q558">
        <v>1008468.468468469</v>
      </c>
      <c r="R558">
        <v>778378.37837837799</v>
      </c>
      <c r="S558">
        <v>4242</v>
      </c>
      <c r="T558">
        <v>3565</v>
      </c>
    </row>
    <row r="559" spans="1:20" x14ac:dyDescent="0.35">
      <c r="A559" s="7" t="s">
        <v>648</v>
      </c>
      <c r="B559" s="12" t="s">
        <v>316</v>
      </c>
      <c r="C559">
        <v>85679682.765122518</v>
      </c>
      <c r="D559">
        <v>75070361.933194995</v>
      </c>
      <c r="E559">
        <v>66236036.036036029</v>
      </c>
      <c r="F559">
        <v>56037837.837837838</v>
      </c>
      <c r="G559">
        <v>33</v>
      </c>
      <c r="H559">
        <v>10</v>
      </c>
      <c r="K559">
        <v>38</v>
      </c>
      <c r="L559">
        <v>11</v>
      </c>
      <c r="M559">
        <v>14607882.882882882</v>
      </c>
      <c r="N559">
        <v>22831081.081081081</v>
      </c>
      <c r="O559">
        <v>21813297.297297295</v>
      </c>
      <c r="P559">
        <v>20749252.252252251</v>
      </c>
      <c r="Q559">
        <v>15779009.009009009</v>
      </c>
      <c r="R559">
        <v>19529819.819819819</v>
      </c>
      <c r="S559">
        <v>1360</v>
      </c>
      <c r="T559">
        <v>1312</v>
      </c>
    </row>
    <row r="560" spans="1:20" x14ac:dyDescent="0.35">
      <c r="A560" s="7" t="s">
        <v>649</v>
      </c>
      <c r="B560" s="12" t="s">
        <v>261</v>
      </c>
      <c r="C560">
        <v>218419917.07701296</v>
      </c>
      <c r="D560">
        <v>237127530.25882575</v>
      </c>
      <c r="E560">
        <v>1221846.8468468459</v>
      </c>
      <c r="F560">
        <v>1257657.657657658</v>
      </c>
      <c r="G560">
        <v>64</v>
      </c>
      <c r="H560">
        <v>49</v>
      </c>
      <c r="K560">
        <v>69</v>
      </c>
      <c r="L560">
        <v>51</v>
      </c>
      <c r="M560">
        <v>41431531.531531528</v>
      </c>
      <c r="N560">
        <v>42572972.972972974</v>
      </c>
      <c r="O560">
        <v>71491522.522522524</v>
      </c>
      <c r="P560">
        <v>82025846.846846849</v>
      </c>
      <c r="Q560">
        <v>41756486.486486487</v>
      </c>
      <c r="R560">
        <v>47743783.783783786</v>
      </c>
      <c r="S560">
        <v>4278</v>
      </c>
      <c r="T560">
        <v>4558</v>
      </c>
    </row>
    <row r="561" spans="1:20" x14ac:dyDescent="0.35">
      <c r="A561" s="7" t="s">
        <v>650</v>
      </c>
      <c r="B561" s="12" t="s">
        <v>225</v>
      </c>
      <c r="C561">
        <v>209698621.40615132</v>
      </c>
      <c r="D561">
        <v>251289489.93530509</v>
      </c>
      <c r="E561">
        <v>1628603.6036036061</v>
      </c>
      <c r="F561">
        <v>2501801.8018018021</v>
      </c>
      <c r="G561">
        <v>55</v>
      </c>
      <c r="H561">
        <v>72</v>
      </c>
      <c r="K561">
        <v>63</v>
      </c>
      <c r="L561">
        <v>97</v>
      </c>
      <c r="M561">
        <v>19344504.504504506</v>
      </c>
      <c r="N561">
        <v>31030630.630630631</v>
      </c>
      <c r="O561">
        <v>49471027.027027026</v>
      </c>
      <c r="P561">
        <v>62827475.675675675</v>
      </c>
      <c r="Q561">
        <v>19235045.045045048</v>
      </c>
      <c r="R561">
        <v>27842252.252252255</v>
      </c>
      <c r="S561">
        <v>5400</v>
      </c>
      <c r="T561">
        <v>5224</v>
      </c>
    </row>
    <row r="562" spans="1:20" x14ac:dyDescent="0.35">
      <c r="A562" s="7" t="s">
        <v>651</v>
      </c>
      <c r="B562" s="12" t="s">
        <v>225</v>
      </c>
      <c r="C562">
        <v>169222232.84739092</v>
      </c>
      <c r="D562">
        <v>201803182.18397322</v>
      </c>
      <c r="E562">
        <v>63963.963963964998</v>
      </c>
      <c r="F562">
        <v>75675.675675676001</v>
      </c>
      <c r="G562">
        <v>29</v>
      </c>
      <c r="H562">
        <v>38</v>
      </c>
      <c r="K562">
        <v>31</v>
      </c>
      <c r="L562">
        <v>40</v>
      </c>
      <c r="M562">
        <v>7134234.2342342334</v>
      </c>
      <c r="N562">
        <v>14176576.576576576</v>
      </c>
      <c r="O562">
        <v>24391522.522522524</v>
      </c>
      <c r="P562">
        <v>33194117.117117122</v>
      </c>
      <c r="Q562">
        <v>7005225.2252252251</v>
      </c>
      <c r="R562">
        <v>12396666.666666668</v>
      </c>
      <c r="S562">
        <v>3115</v>
      </c>
      <c r="T562">
        <v>3095</v>
      </c>
    </row>
    <row r="563" spans="1:20" x14ac:dyDescent="0.35">
      <c r="A563" s="7" t="s">
        <v>652</v>
      </c>
      <c r="B563" s="12" t="s">
        <v>225</v>
      </c>
      <c r="C563">
        <v>654112107.78940189</v>
      </c>
      <c r="D563">
        <v>753826571.40221751</v>
      </c>
      <c r="E563">
        <v>194559698.1981982</v>
      </c>
      <c r="F563">
        <v>274390746.84684682</v>
      </c>
      <c r="G563">
        <v>234</v>
      </c>
      <c r="H563">
        <v>266</v>
      </c>
      <c r="K563">
        <v>376</v>
      </c>
      <c r="L563">
        <v>358</v>
      </c>
      <c r="M563">
        <v>130209549.54954955</v>
      </c>
      <c r="N563">
        <v>149506756.75675678</v>
      </c>
      <c r="O563">
        <v>164203450.45045045</v>
      </c>
      <c r="P563">
        <v>197569944.14414412</v>
      </c>
      <c r="Q563">
        <v>111893423.42342342</v>
      </c>
      <c r="R563">
        <v>132906306.3063063</v>
      </c>
      <c r="S563">
        <v>18574</v>
      </c>
      <c r="T563">
        <v>20610</v>
      </c>
    </row>
    <row r="564" spans="1:20" x14ac:dyDescent="0.35">
      <c r="A564" s="7" t="s">
        <v>653</v>
      </c>
      <c r="B564" s="12" t="s">
        <v>225</v>
      </c>
      <c r="C564">
        <v>79007285.354363367</v>
      </c>
      <c r="D564">
        <v>95593974.848457977</v>
      </c>
      <c r="E564">
        <v>207207.207207208</v>
      </c>
      <c r="F564">
        <v>95495.495495495998</v>
      </c>
      <c r="G564">
        <v>19</v>
      </c>
      <c r="H564">
        <v>22</v>
      </c>
      <c r="K564">
        <v>21</v>
      </c>
      <c r="L564">
        <v>23</v>
      </c>
      <c r="M564">
        <v>1648648.6486486481</v>
      </c>
      <c r="N564">
        <v>3279279.2792792791</v>
      </c>
      <c r="O564">
        <v>13041207.207207208</v>
      </c>
      <c r="P564">
        <v>17822070.270270269</v>
      </c>
      <c r="Q564">
        <v>1386936.9369369361</v>
      </c>
      <c r="R564">
        <v>1924414.414414414</v>
      </c>
      <c r="S564">
        <v>1719</v>
      </c>
      <c r="T564">
        <v>1769</v>
      </c>
    </row>
    <row r="565" spans="1:20" x14ac:dyDescent="0.35">
      <c r="A565" s="7" t="s">
        <v>654</v>
      </c>
      <c r="B565" s="12" t="s">
        <v>97</v>
      </c>
      <c r="C565">
        <v>416743528.27334076</v>
      </c>
      <c r="D565">
        <v>403202076.84935164</v>
      </c>
      <c r="E565">
        <v>782882.88288288505</v>
      </c>
      <c r="F565">
        <v>1709009.0090090081</v>
      </c>
      <c r="G565">
        <v>172</v>
      </c>
      <c r="H565">
        <v>120</v>
      </c>
      <c r="K565">
        <v>183</v>
      </c>
      <c r="L565">
        <v>142</v>
      </c>
      <c r="M565">
        <v>9642342.3423423432</v>
      </c>
      <c r="N565">
        <v>19797297.297297295</v>
      </c>
      <c r="O565">
        <v>56676477.477477483</v>
      </c>
      <c r="P565">
        <v>54079504.504504502</v>
      </c>
      <c r="Q565">
        <v>7825315.3153153164</v>
      </c>
      <c r="R565">
        <v>15404234.234234234</v>
      </c>
      <c r="S565">
        <v>9259</v>
      </c>
      <c r="T565">
        <v>8486</v>
      </c>
    </row>
    <row r="566" spans="1:20" x14ac:dyDescent="0.35">
      <c r="A566" s="7" t="s">
        <v>655</v>
      </c>
      <c r="B566" s="12" t="s">
        <v>67</v>
      </c>
      <c r="C566">
        <v>258914693.62216824</v>
      </c>
      <c r="D566">
        <v>241703584.13171831</v>
      </c>
      <c r="E566">
        <v>6345945.9459459456</v>
      </c>
      <c r="F566">
        <v>4834234.2342342334</v>
      </c>
      <c r="G566">
        <v>73</v>
      </c>
      <c r="H566">
        <v>61</v>
      </c>
      <c r="K566">
        <v>75</v>
      </c>
      <c r="L566">
        <v>63</v>
      </c>
      <c r="M566">
        <v>85834234.234234244</v>
      </c>
      <c r="N566">
        <v>72732837.837837845</v>
      </c>
      <c r="O566">
        <v>169034792.7927928</v>
      </c>
      <c r="P566">
        <v>159754405.4054054</v>
      </c>
      <c r="Q566">
        <v>79025585.585585579</v>
      </c>
      <c r="R566">
        <v>74262207.207207203</v>
      </c>
      <c r="S566">
        <v>5810</v>
      </c>
      <c r="T566">
        <v>5388</v>
      </c>
    </row>
    <row r="567" spans="1:20" x14ac:dyDescent="0.35">
      <c r="A567" s="7" t="s">
        <v>656</v>
      </c>
      <c r="B567" s="12" t="s">
        <v>69</v>
      </c>
      <c r="C567">
        <v>405845360.65955985</v>
      </c>
      <c r="D567">
        <v>419935306.4124108</v>
      </c>
      <c r="E567">
        <v>1006306.306306307</v>
      </c>
      <c r="F567">
        <v>532432.43243243499</v>
      </c>
      <c r="G567">
        <v>68</v>
      </c>
      <c r="H567">
        <v>42</v>
      </c>
      <c r="I567">
        <v>1</v>
      </c>
      <c r="K567">
        <v>72</v>
      </c>
      <c r="L567">
        <v>51</v>
      </c>
      <c r="M567">
        <v>16062698.198198197</v>
      </c>
      <c r="N567">
        <v>25921621.621621624</v>
      </c>
      <c r="O567">
        <v>55114801.801801801</v>
      </c>
      <c r="P567">
        <v>63064270.270270273</v>
      </c>
      <c r="Q567">
        <v>13476306.306306306</v>
      </c>
      <c r="R567">
        <v>18388738.738738734</v>
      </c>
      <c r="S567">
        <v>6952</v>
      </c>
      <c r="T567">
        <v>7060</v>
      </c>
    </row>
    <row r="568" spans="1:20" x14ac:dyDescent="0.35">
      <c r="A568" s="7" t="s">
        <v>14</v>
      </c>
      <c r="B568" s="12" t="s">
        <v>159</v>
      </c>
      <c r="C568">
        <v>178039518.19080633</v>
      </c>
      <c r="D568">
        <v>181267891.03823027</v>
      </c>
      <c r="E568">
        <v>933333.33333333698</v>
      </c>
      <c r="F568">
        <v>602702.702702704</v>
      </c>
      <c r="G568">
        <v>25</v>
      </c>
      <c r="H568">
        <v>25</v>
      </c>
      <c r="K568">
        <v>27</v>
      </c>
      <c r="L568">
        <v>28</v>
      </c>
      <c r="M568">
        <v>36453153.153153151</v>
      </c>
      <c r="N568">
        <v>30550900.9009009</v>
      </c>
      <c r="O568">
        <v>60251216.216216214</v>
      </c>
      <c r="P568">
        <v>64125891.891891889</v>
      </c>
      <c r="Q568">
        <v>39893333.333333336</v>
      </c>
      <c r="R568">
        <v>25914234.234234236</v>
      </c>
      <c r="S568">
        <v>3938</v>
      </c>
      <c r="T568">
        <v>4011</v>
      </c>
    </row>
    <row r="569" spans="1:20" x14ac:dyDescent="0.35">
      <c r="A569" s="7" t="s">
        <v>657</v>
      </c>
      <c r="B569" s="12" t="s">
        <v>305</v>
      </c>
      <c r="C569">
        <v>192579774.8188712</v>
      </c>
      <c r="D569">
        <v>196639399.47396913</v>
      </c>
      <c r="E569">
        <v>704504.50450450205</v>
      </c>
      <c r="F569">
        <v>633333.33333333803</v>
      </c>
      <c r="G569">
        <v>40</v>
      </c>
      <c r="H569">
        <v>47</v>
      </c>
      <c r="K569">
        <v>47</v>
      </c>
      <c r="L569">
        <v>50</v>
      </c>
      <c r="M569">
        <v>30419819.819819819</v>
      </c>
      <c r="N569">
        <v>33831531.531531535</v>
      </c>
      <c r="O569">
        <v>55972157.657657653</v>
      </c>
      <c r="P569">
        <v>61361792.79279279</v>
      </c>
      <c r="Q569">
        <v>29044774.774774775</v>
      </c>
      <c r="R569">
        <v>30145315.315315317</v>
      </c>
      <c r="S569">
        <v>3156</v>
      </c>
      <c r="T569">
        <v>3096</v>
      </c>
    </row>
    <row r="570" spans="1:20" x14ac:dyDescent="0.35">
      <c r="A570" s="7" t="s">
        <v>658</v>
      </c>
      <c r="B570" s="12" t="s">
        <v>49</v>
      </c>
      <c r="C570">
        <v>234417151.36404225</v>
      </c>
      <c r="D570">
        <v>230892689.18247557</v>
      </c>
      <c r="E570">
        <v>1551351.3513513519</v>
      </c>
      <c r="F570">
        <v>3161261.2612612648</v>
      </c>
      <c r="G570">
        <v>49</v>
      </c>
      <c r="H570">
        <v>12</v>
      </c>
      <c r="K570">
        <v>112</v>
      </c>
      <c r="L570">
        <v>14</v>
      </c>
      <c r="M570">
        <v>53141801.801801801</v>
      </c>
      <c r="N570">
        <v>18148648.648648649</v>
      </c>
      <c r="O570">
        <v>74846819.819819823</v>
      </c>
      <c r="P570">
        <v>74147061.261261269</v>
      </c>
      <c r="Q570">
        <v>50438108.108108111</v>
      </c>
      <c r="R570">
        <v>18897117.117117114</v>
      </c>
      <c r="S570">
        <v>3880</v>
      </c>
      <c r="T570">
        <v>3126</v>
      </c>
    </row>
    <row r="571" spans="1:20" x14ac:dyDescent="0.35">
      <c r="A571" s="7" t="s">
        <v>659</v>
      </c>
      <c r="B571" s="12" t="s">
        <v>55</v>
      </c>
      <c r="C571">
        <v>77505421.107497349</v>
      </c>
      <c r="D571">
        <v>79224298.060378596</v>
      </c>
      <c r="E571">
        <v>595495.49549549597</v>
      </c>
      <c r="F571">
        <v>2779279.2792792791</v>
      </c>
      <c r="G571">
        <v>1</v>
      </c>
      <c r="H571">
        <v>14</v>
      </c>
      <c r="K571">
        <v>1</v>
      </c>
      <c r="L571">
        <v>21</v>
      </c>
      <c r="M571">
        <v>6378378.3783783792</v>
      </c>
      <c r="N571">
        <v>9707207.2072072066</v>
      </c>
      <c r="O571">
        <v>18067882.882882886</v>
      </c>
      <c r="P571">
        <v>19248351.351351351</v>
      </c>
      <c r="Q571">
        <v>5773063.0630630637</v>
      </c>
      <c r="R571">
        <v>7682432.4324324327</v>
      </c>
      <c r="S571">
        <v>1554</v>
      </c>
      <c r="T571">
        <v>1496</v>
      </c>
    </row>
    <row r="572" spans="1:20" x14ac:dyDescent="0.35">
      <c r="A572" s="7" t="s">
        <v>660</v>
      </c>
      <c r="B572" s="12" t="s">
        <v>51</v>
      </c>
      <c r="C572">
        <v>340468703.79018021</v>
      </c>
      <c r="D572">
        <v>355953726.81693196</v>
      </c>
      <c r="E572">
        <v>1679279.279279283</v>
      </c>
      <c r="F572">
        <v>1536036.0360360381</v>
      </c>
      <c r="G572">
        <v>64</v>
      </c>
      <c r="H572">
        <v>17</v>
      </c>
      <c r="K572">
        <v>86</v>
      </c>
      <c r="L572">
        <v>20</v>
      </c>
      <c r="M572">
        <v>86525855.855855852</v>
      </c>
      <c r="N572">
        <v>63458468.468468465</v>
      </c>
      <c r="O572">
        <v>171285351.35135135</v>
      </c>
      <c r="P572">
        <v>182156576.57657659</v>
      </c>
      <c r="Q572">
        <v>80741261.261261269</v>
      </c>
      <c r="R572">
        <v>67669009.009009004</v>
      </c>
      <c r="S572">
        <v>5911</v>
      </c>
      <c r="T572">
        <v>5762</v>
      </c>
    </row>
    <row r="573" spans="1:20" x14ac:dyDescent="0.35">
      <c r="A573" s="7" t="s">
        <v>661</v>
      </c>
      <c r="B573" s="12" t="s">
        <v>84</v>
      </c>
      <c r="C573">
        <v>414608827.86823946</v>
      </c>
      <c r="D573">
        <v>406253058.65274423</v>
      </c>
      <c r="E573">
        <v>3228620.72072072</v>
      </c>
      <c r="F573">
        <v>3938738.7387387399</v>
      </c>
      <c r="G573">
        <v>113</v>
      </c>
      <c r="H573">
        <v>122</v>
      </c>
      <c r="K573">
        <v>131</v>
      </c>
      <c r="L573">
        <v>144</v>
      </c>
      <c r="M573">
        <v>59738200</v>
      </c>
      <c r="N573">
        <v>70005180.180180177</v>
      </c>
      <c r="O573">
        <v>107160720.72072072</v>
      </c>
      <c r="P573">
        <v>113603814.41441442</v>
      </c>
      <c r="Q573">
        <v>36407792.79279279</v>
      </c>
      <c r="R573">
        <v>42553781.981981985</v>
      </c>
      <c r="S573">
        <v>9030</v>
      </c>
      <c r="T573">
        <v>8956</v>
      </c>
    </row>
    <row r="574" spans="1:20" x14ac:dyDescent="0.35">
      <c r="A574" s="7" t="s">
        <v>661</v>
      </c>
      <c r="B574" s="12" t="s">
        <v>84</v>
      </c>
      <c r="C574">
        <v>397677261.4063766</v>
      </c>
      <c r="D574">
        <v>389701792.50839347</v>
      </c>
      <c r="E574">
        <v>3051143.2432432421</v>
      </c>
      <c r="F574">
        <v>3830630.630630631</v>
      </c>
      <c r="G574">
        <v>112</v>
      </c>
      <c r="H574">
        <v>115</v>
      </c>
      <c r="K574">
        <v>130</v>
      </c>
      <c r="L574">
        <v>136</v>
      </c>
      <c r="M574">
        <v>59551713.513513513</v>
      </c>
      <c r="N574">
        <v>45068243.24324324</v>
      </c>
      <c r="O574">
        <v>102419054.05405405</v>
      </c>
      <c r="P574">
        <v>108633958.55855855</v>
      </c>
      <c r="Q574">
        <v>35224639.639639638</v>
      </c>
      <c r="R574">
        <v>40915854.054054059</v>
      </c>
      <c r="S574">
        <v>8688</v>
      </c>
      <c r="T574">
        <v>9044</v>
      </c>
    </row>
    <row r="575" spans="1:20" x14ac:dyDescent="0.35">
      <c r="A575" s="16" t="s">
        <v>662</v>
      </c>
      <c r="B575" s="14"/>
      <c r="C575" s="17">
        <v>165077903080.78256</v>
      </c>
      <c r="D575" s="17">
        <v>166787947532.75107</v>
      </c>
      <c r="E575" s="17">
        <v>38380562584.6847</v>
      </c>
      <c r="F575" s="17">
        <v>42457018647.747734</v>
      </c>
      <c r="G575" s="17">
        <v>59093</v>
      </c>
      <c r="H575" s="17">
        <v>45288</v>
      </c>
      <c r="I575" s="17">
        <v>513</v>
      </c>
      <c r="J575" s="17"/>
      <c r="K575" s="17">
        <v>83686</v>
      </c>
      <c r="L575" s="17">
        <v>66905</v>
      </c>
      <c r="M575" s="17">
        <v>35788876009.00901</v>
      </c>
      <c r="N575" s="17">
        <v>37481004610.810814</v>
      </c>
      <c r="O575" s="17">
        <v>49667870019.819824</v>
      </c>
      <c r="P575" s="17">
        <v>53806458061.261261</v>
      </c>
      <c r="Q575" s="17">
        <v>26357094664.864845</v>
      </c>
      <c r="R575" s="17">
        <v>29162222445.04504</v>
      </c>
      <c r="S575" s="17">
        <v>3651263</v>
      </c>
      <c r="T575" s="17">
        <v>3748831</v>
      </c>
    </row>
    <row r="576" spans="1:20" x14ac:dyDescent="0.35">
      <c r="A576" s="13" t="s">
        <v>662</v>
      </c>
      <c r="B576" s="14"/>
      <c r="C576" s="15">
        <v>128271665346.12497</v>
      </c>
      <c r="D576" s="15">
        <v>132158564620.26212</v>
      </c>
      <c r="E576" s="15">
        <v>27114972049.549534</v>
      </c>
      <c r="F576" s="15">
        <v>30432270579.279301</v>
      </c>
      <c r="G576" s="15">
        <v>40621</v>
      </c>
      <c r="H576" s="15">
        <v>31716</v>
      </c>
      <c r="I576" s="15">
        <v>416</v>
      </c>
      <c r="J576" s="15"/>
      <c r="K576" s="15">
        <v>57338</v>
      </c>
      <c r="L576" s="15">
        <v>49355</v>
      </c>
      <c r="M576" s="15">
        <v>26584693067.56757</v>
      </c>
      <c r="N576" s="15">
        <v>28771765740.540546</v>
      </c>
      <c r="O576" s="15">
        <v>38177585445.045029</v>
      </c>
      <c r="P576" s="15">
        <v>42169923271.171188</v>
      </c>
      <c r="Q576" s="15">
        <v>18703835405.405399</v>
      </c>
      <c r="R576" s="15">
        <v>21162554133.333317</v>
      </c>
      <c r="S576" s="15">
        <v>3721019</v>
      </c>
      <c r="T576" s="15">
        <v>3745925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2026-08-25T11:00:18Z</dcterms:modified>
</cp:coreProperties>
</file>