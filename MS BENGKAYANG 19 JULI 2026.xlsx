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<sst xmlns="http://schemas.openxmlformats.org/spreadsheetml/2006/main" count="1234" uniqueCount="674">
  <si>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</si>
  <si>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</si>
  <si>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</si>
  <si>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</si>
  <si>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</si>
  <si>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</si>
  <si>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</si>
  <si>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</si>
  <si>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</si>
  <si>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</si>
  <si>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</si>
  <si>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</si>
  <si>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</si>
  <si>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</si>
  <si>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</si>
  <si>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</si>
  <si>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</si>
  <si>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</si>
  <si>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</si>
  <si>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</si>
  <si>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</si>
  <si>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</si>
  <si>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</si>
  <si>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</si>
  <si>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</si>
  <si>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</si>
  <si>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</si>
  <si>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</si>
  <si>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</si>
  <si>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</si>
  <si>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</si>
  <si>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</si>
  <si>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</si>
  <si>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</si>
  <si>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</si>
  <si>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</si>
  <si>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</si>
  <si>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</si>
  <si>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</si>
  <si>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</si>
  <si>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</si>
  <si>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</si>
  <si>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</si>
  <si>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</si>
  <si>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</si>
  <si>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</si>
  <si>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</si>
  <si>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</si>
  <si>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</si>
  <si>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</si>
  <si>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</si>
  <si>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</si>
  <si>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</si>
  <si>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</si>
  <si>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</si>
  <si>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</si>
  <si>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</si>
  <si>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</si>
  <si>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</si>
  <si>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</si>
  <si>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</si>
  <si>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</si>
  <si>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</si>
  <si>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</si>
  <si>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</si>
  <si>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</si>
  <si>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</si>
  <si>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</si>
  <si>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</si>
  <si>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</si>
  <si>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</si>
  <si>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</si>
  <si>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</si>
  <si>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</si>
  <si>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</si>
  <si>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</si>
  <si>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</si>
  <si>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</si>
  <si>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</si>
  <si>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</si>
  <si>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</si>
  <si>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</si>
  <si>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</si>
  <si>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</si>
  <si>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</si>
  <si>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</si>
  <si>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</si>
  <si>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</si>
  <si>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</si>
  <si>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</si>
  <si>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</si>
  <si>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</si>
  <si>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</si>
  <si>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</si>
  <si>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</si>
  <si>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</si>
  <si>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</si>
  <si>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</si>
  <si>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</si>
  <si>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</si>
  <si>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</si>
  <si>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</si>
  <si>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</si>
  <si>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</si>
  <si>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</si>
  <si>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</si>
  <si>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</si>
  <si>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</si>
  <si>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</si>
  <si>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</si>
  <si>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</si>
  <si>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</si>
  <si>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</si>
  <si>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</si>
  <si>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</si>
  <si>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</si>
  <si>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</si>
  <si>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</si>
  <si>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</si>
  <si>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</si>
  <si>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</si>
  <si>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</si>
  <si>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</si>
  <si>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</si>
  <si>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</si>
  <si>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</si>
  <si>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</si>
  <si>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</si>
  <si>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</si>
  <si>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</si>
  <si>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</si>
  <si>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</si>
  <si>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</si>
  <si>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</si>
  <si>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</si>
  <si>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</si>
  <si>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</si>
  <si>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</si>
  <si>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</si>
  <si>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</si>
  <si>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</si>
  <si>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</si>
  <si>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</si>
  <si>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</si>
  <si>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</si>
  <si>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</si>
  <si>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</si>
  <si>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</si>
  <si>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</si>
  <si>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</si>
  <si>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</si>
  <si>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</si>
  <si>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</si>
  <si>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</si>
  <si>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</si>
  <si>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</si>
  <si>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</si>
  <si>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</si>
  <si>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</si>
  <si>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</si>
  <si>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</si>
  <si>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</si>
  <si>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</si>
  <si>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</si>
  <si>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</si>
  <si>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</si>
  <si>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</si>
  <si>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</si>
  <si>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</si>
  <si>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</si>
  <si>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</si>
  <si>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</si>
  <si>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</si>
  <si>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</si>
  <si>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</si>
  <si>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</si>
  <si>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</si>
  <si>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</si>
  <si>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</si>
  <si>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</si>
  <si>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</si>
  <si>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</si>
  <si>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</si>
  <si>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</si>
  <si>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</si>
  <si>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</si>
  <si>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</si>
  <si>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</si>
  <si>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</si>
  <si>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</si>
  <si>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</si>
  <si>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</si>
  <si>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</si>
  <si>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</si>
  <si>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</si>
  <si>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</si>
  <si>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</si>
  <si>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</si>
  <si>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</si>
  <si>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</si>
  <si>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</si>
  <si>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</si>
  <si>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</si>
  <si>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</si>
  <si>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</si>
  <si>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</si>
  <si>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</si>
  <si>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</si>
  <si>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</si>
  <si>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</si>
  <si>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</si>
  <si>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</si>
  <si>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</si>
  <si>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</si>
  <si>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</si>
  <si>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</si>
  <si>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</si>
  <si>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</si>
  <si>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</si>
  <si>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</si>
  <si>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</si>
  <si>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</si>
  <si>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</si>
  <si>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</si>
  <si>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</si>
  <si>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</si>
  <si>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</si>
  <si>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</si>
  <si>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</si>
  <si>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</si>
  <si>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</si>
  <si>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</si>
  <si>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</si>
  <si>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</si>
  <si>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</si>
  <si>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</si>
  <si>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</si>
  <si>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</si>
  <si>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</si>
  <si>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</si>
  <si>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</si>
  <si>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</si>
  <si>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</si>
  <si>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</si>
  <si>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</si>
  <si>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</si>
  <si>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</si>
  <si>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</si>
  <si>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</si>
  <si>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</si>
  <si>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</si>
  <si>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</si>
  <si>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</si>
  <si>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</si>
  <si>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</si>
  <si>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</si>
  <si>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</si>
  <si>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</si>
  <si>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</si>
  <si>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</si>
  <si>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</si>
  <si>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</si>
  <si>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</si>
  <si>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</si>
  <si>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</si>
  <si>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</si>
  <si>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</si>
  <si>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</si>
  <si>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</si>
  <si>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</si>
  <si>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</si>
  <si>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</si>
  <si>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</si>
  <si>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</si>
  <si>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</si>
  <si>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</si>
  <si>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</si>
  <si>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</si>
  <si>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</si>
  <si>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</si>
  <si>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</si>
  <si>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</si>
  <si>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</si>
  <si>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</si>
  <si>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</si>
  <si>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</si>
  <si>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</si>
  <si>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</si>
  <si>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</si>
  <si>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</si>
  <si>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</si>
  <si>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</si>
  <si>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</si>
  <si>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</si>
  <si>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</si>
  <si>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</si>
  <si>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</si>
  <si>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</si>
  <si>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</si>
  <si>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</si>
  <si>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</si>
  <si>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</si>
  <si>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</si>
  <si>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</si>
  <si>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</si>
  <si>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</si>
  <si>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</si>
  <si>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</si>
  <si>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</si>
  <si>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</si>
  <si>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</si>
  <si>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</si>
  <si>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</si>
  <si>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</si>
  <si>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</si>
  <si>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</si>
  <si>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</si>
  <si>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</si>
  <si>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</si>
  <si>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</si>
  <si>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</si>
  <si>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</si>
  <si>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</si>
  <si>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</si>
  <si>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</si>
  <si>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</si>
  <si>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</si>
  <si>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</si>
  <si>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</si>
  <si>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</si>
  <si>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</si>
  <si>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</si>
  <si>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</si>
  <si>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</si>
  <si>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</si>
  <si>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</si>
  <si>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</si>
  <si>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</si>
  <si>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</si>
  <si>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</si>
  <si>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</si>
  <si>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</si>
  <si>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</si>
  <si>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</si>
  <si>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</si>
  <si>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</si>
  <si>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</si>
  <si>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</si>
  <si>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</si>
  <si>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</si>
  <si>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</si>
  <si>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</si>
  <si>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</si>
  <si>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</si>
  <si>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</si>
  <si>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</si>
  <si>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</si>
  <si>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</si>
  <si>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</si>
  <si>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</si>
  <si>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</si>
  <si>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</si>
  <si>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</si>
  <si>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</si>
  <si>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</si>
  <si>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</si>
  <si>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</si>
  <si>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</si>
  <si>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</si>
  <si>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</si>
  <si>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</si>
  <si>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</si>
  <si>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</si>
  <si>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</si>
  <si>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</si>
  <si>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</si>
  <si>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</si>
  <si>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</si>
  <si>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</si>
  <si>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</si>
  <si>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</si>
  <si>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</si>
  <si>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</si>
  <si>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</si>
  <si>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</si>
  <si>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</si>
  <si>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</si>
  <si>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</si>
  <si>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</si>
  <si>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</si>
  <si>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</si>
  <si>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</si>
  <si>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</si>
  <si>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</si>
  <si>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</si>
  <si>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</si>
  <si>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</si>
  <si>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</si>
  <si>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</si>
  <si>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</si>
  <si>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</si>
  <si>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</si>
  <si>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</si>
  <si>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</si>
  <si>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</si>
  <si>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</si>
  <si>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</si>
  <si>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</si>
  <si>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</si>
  <si>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</si>
  <si>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</si>
  <si>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</si>
  <si>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</si>
  <si>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</si>
  <si>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</si>
  <si>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</si>
  <si>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</si>
  <si>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</si>
  <si>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</si>
  <si>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</si>
  <si>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</si>
  <si>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</si>
  <si>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</si>
  <si>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</si>
  <si>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</si>
  <si>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</si>
  <si>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</si>
  <si>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</si>
  <si>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</si>
  <si>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</si>
  <si>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</si>
  <si>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</si>
  <si>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</si>
  <si>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</si>
  <si>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</si>
  <si>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</si>
  <si>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</si>
  <si>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</si>
  <si>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</si>
  <si>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</si>
  <si>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</si>
  <si>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</si>
  <si>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</si>
  <si>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</si>
  <si>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</si>
  <si>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</si>
  <si>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</si>
  <si>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</si>
  <si>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</si>
  <si>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</si>
  <si>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</si>
  <si>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</si>
  <si>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</si>
  <si>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</si>
  <si>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</si>
  <si>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</si>
  <si>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</si>
  <si>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</si>
  <si>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</si>
  <si>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</si>
  <si>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</si>
  <si>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</si>
  <si>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</si>
  <si>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</si>
  <si>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</si>
  <si>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</si>
  <si>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</si>
  <si>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</si>
  <si>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</si>
  <si>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</si>
  <si>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</si>
  <si>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</si>
  <si>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</si>
  <si>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</si>
  <si>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</si>
  <si>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</si>
  <si>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</si>
  <si>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</si>
  <si>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</si>
  <si>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</si>
  <si>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</si>
  <si>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</si>
  <si>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</si>
  <si>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</si>
  <si>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</si>
  <si>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</si>
  <si>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</si>
  <si>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</si>
  <si>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</si>
  <si>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</si>
  <si>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</si>
  <si>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</si>
  <si>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</si>
  <si>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</si>
  <si>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</si>
  <si>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</si>
  <si>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</si>
  <si>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</si>
  <si>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</si>
  <si>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</si>
  <si>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</si>
  <si>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</si>
  <si>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</si>
  <si>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</si>
  <si>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</si>
  <si>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</si>
  <si>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</si>
  <si>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</si>
  <si>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</si>
  <si>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</si>
  <si>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</si>
  <si>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</si>
  <si>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</si>
  <si>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</si>
  <si>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</si>
  <si>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</si>
  <si>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</si>
  <si>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</si>
  <si>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</si>
  <si>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</si>
  <si>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</si>
  <si>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</si>
  <si>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</si>
  <si>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</si>
  <si>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</si>
  <si>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</si>
  <si>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</si>
  <si>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</si>
  <si>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</si>
  <si>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</si>
  <si>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</si>
  <si>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</si>
  <si>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</si>
  <si>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</si>
  <si>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</si>
  <si>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</si>
  <si>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</si>
  <si>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</si>
  <si>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</si>
  <si>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</si>
  <si>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</si>
  <si>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</si>
  <si>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</si>
  <si>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</si>
  <si>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</si>
  <si>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</si>
  <si>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</si>
  <si>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</si>
  <si>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</si>
  <si>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</si>
  <si>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</si>
  <si>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</si>
  <si>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</si>
  <si>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</si>
  <si>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</si>
  <si>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</si>
  <si>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</si>
  <si>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</si>
  <si>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</si>
  <si>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</si>
  <si>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</si>
  <si>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</si>
  <si>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</si>
  <si>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</si>
  <si>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</si>
  <si>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</si>
  <si>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</si>
  <si>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</si>
  <si>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</si>
  <si>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</si>
  <si>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</si>
  <si>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</si>
  <si>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</si>
  <si>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</si>
  <si>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</si>
  <si>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</si>
  <si>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</si>
  <si>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</si>
  <si>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</si>
  <si>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</si>
  <si>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</si>
  <si>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</si>
  <si>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</si>
  <si>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</si>
  <si>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</si>
  <si>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</si>
  <si>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</si>
  <si>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</si>
  <si>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</si>
  <si>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</si>
  <si>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</si>
  <si>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</si>
  <si>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</si>
  <si>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</si>
  <si>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</si>
  <si>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</si>
  <si>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</si>
  <si>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</si>
  <si>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</si>
  <si>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</si>
  <si>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</si>
  <si>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</si>
  <si>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</si>
  <si>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</si>
  <si>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</si>
  <si>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</si>
  <si>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</si>
  <si>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</si>
  <si>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</si>
  <si>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</si>
  <si>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</si>
  <si>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</si>
  <si>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</si>
  <si>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</si>
  <si>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</si>
  <si>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</si>
  <si>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</si>
  <si>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</si>
  <si>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</si>
  <si>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</si>
  <si>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</si>
  <si>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</si>
  <si>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</si>
  <si>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</si>
  <si>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</si>
  <si>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</si>
  <si>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</si>
  <si>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</si>
  <si>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</si>
  <si>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</si>
  <si>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</si>
  <si>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</si>
  <si>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</si>
  <si>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</si>
  <si>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</si>
  <si>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</si>
  <si>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</si>
  <si>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</si>
  <si>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</si>
  <si>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</si>
  <si>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</si>
  <si>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</si>
  <si>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</si>
  <si>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</si>
  <si>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</si>
  <si>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</si>
  <si>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</si>
  <si>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</si>
  <si>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</si>
  <si>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</si>
  <si>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</si>
  <si>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</si>
  <si>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</si>
  <si>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</si>
  <si>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</si>
  <si>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</si>
  <si>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</si>
  <si>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</si>
  <si>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</si>
  <si>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</si>
  <si>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</si>
  <si>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</si>
  <si>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</si>
  <si>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</si>
  <si>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</si>
  <si>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</si>
  <si>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BUKIT SANTUAI|KOTAWARINGIN TIMUR</t>
  </si>
  <si>
    <t>BARITO TUHUP RAYA|MURUNG RAYA</t>
  </si>
  <si>
    <t>KRAYAN SELATAN|NUNUKAN</t>
  </si>
  <si>
    <t>MURUK RIAN|TANA TIDUNG</t>
  </si>
  <si>
    <t>PESO HILIR|BULUNGAN</t>
  </si>
  <si>
    <t>RUNGAN BARAT|GUNUNG MAS</t>
  </si>
  <si>
    <t>SIMPANG DUA|KETAPANG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</si>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</sst>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160306632.00796726</v>
      </c>
      <c r="D6" s="4">
        <f>IFERROR(VLOOKUP($A:$A,MASTER!$A:$T,4,0),0)</f>
        <v>149707095.44525984</v>
      </c>
      <c r="E6" s="9">
        <f>IFERROR(C6/D6-1,0)</f>
        <v>7.080183161113518E-2</v>
      </c>
      <c r="F6" s="4">
        <f>IFERROR(VLOOKUP(A:A,MASTER!A:E,5,0),0)</f>
        <v>258108.10810811099</v>
      </c>
      <c r="G6" s="4">
        <f>IFERROR(VLOOKUP(A:A,MASTER!A:F,6,0),0)</f>
        <v>1062162.1621621649</v>
      </c>
      <c r="H6" s="9">
        <f>IFERROR(F6/G6-1,0)</f>
        <v>-0.75699745547073582</v>
      </c>
      <c r="I6" s="4">
        <f>IFERROR(VLOOKUP(A:A,MASTER!A:M,13,0),0)</f>
        <v>15197927.927927928</v>
      </c>
      <c r="J6" s="4">
        <f>IFERROR(VLOOKUP($A:$A,MASTER!$A:$T,14,0),0)</f>
        <v>21344054.054054055</v>
      </c>
      <c r="K6" s="9">
        <f>IFERROR(I6/J6-1,0)</f>
        <v>-0.28795495506903201</v>
      </c>
      <c r="L6" s="4">
        <f>IFERROR(VLOOKUP($A:$A,MASTER!$A:$T,15,0),0)</f>
        <v>75678018.018018022</v>
      </c>
      <c r="M6" s="4">
        <f>IFERROR(VLOOKUP($A:$A,MASTER!$A:$T,16,0),0)</f>
        <v>71923909.909909919</v>
      </c>
      <c r="N6" s="9">
        <f>IFERROR(L6/M6-1,0)</f>
        <v>5.2195551003976437E-2</v>
      </c>
      <c r="O6" s="4">
        <f>IFERROR(VLOOKUP($A:$A,MASTER!$A:$T,17,0),0)</f>
        <v>15935225.225225223</v>
      </c>
      <c r="P6" s="4">
        <f>IFERROR(VLOOKUP($A:$A,MASTER!$A:$T,18,0),0)</f>
        <v>18040900.9009009</v>
      </c>
      <c r="Q6" s="9">
        <f>IFERROR(O6/P6-1,0)</f>
        <v>-0.11671676970247791</v>
      </c>
      <c r="R6" s="4">
        <f>IFERROR(VLOOKUP($A:$A,MASTER!$A:$T,19,0),0)</f>
        <v>8511</v>
      </c>
      <c r="S6" s="4">
        <f>IFERROR(VLOOKUP($A:$A,MASTER!$A:$T,20,0),0)</f>
        <v>7973</v>
      </c>
      <c r="T6" s="9">
        <f>IFERROR(R6/S6-1,0)</f>
        <v>6.7477737363602186E-2</v>
      </c>
      <c r="U6" s="13">
        <f>IFERROR(VLOOKUP(A:A,MASTER!A:K,11,0),0)</f>
        <v>257</v>
      </c>
      <c r="V6" s="13">
        <f>IFERROR(VLOOKUP(A:A,MASTER!A:L,12,0),0)</f>
        <v>130</v>
      </c>
      <c r="W6" s="9">
        <f>IFERROR(U6/V6-1,0)</f>
        <v>0.97692307692307701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18811440.518050212</v>
      </c>
      <c r="D7" s="4">
        <f>IFERROR(VLOOKUP($A:$A,MASTER!$A:$T,4,0),0)</f>
        <v>9953290.1160668265</v>
      </c>
      <c r="E7" s="9">
        <f t="shared" ref="E7:E22" si="0">IFERROR(C7/D7-1,0)</f>
        <v>0.88997208949876372</v>
      </c>
      <c r="F7" s="4">
        <f>IFERROR(VLOOKUP(A:A,MASTER!A:E,5,0),0)</f>
        <v>16682882.882882882</v>
      </c>
      <c r="G7" s="4">
        <f>IFERROR(VLOOKUP(A:A,MASTER!A:F,6,0),0)</f>
        <v>3378378.3783783782</v>
      </c>
      <c r="H7" s="9">
        <f t="shared" ref="H7:H22" si="1">IFERROR(F7/G7-1,0)</f>
        <v>3.938133333333333</v>
      </c>
      <c r="I7" s="4">
        <f>IFERROR(VLOOKUP(A:A,MASTER!A:M,13,0),0)</f>
        <v>388513.51351351303</v>
      </c>
      <c r="J7" s="4">
        <f>IFERROR(VLOOKUP($A:$A,MASTER!$A:$T,14,0),0)</f>
        <v>389864.86486486503</v>
      </c>
      <c r="K7" s="9">
        <f t="shared" ref="K7:K22" si="2">IFERROR(I7/J7-1,0)</f>
        <v>-3.466204506067494E-3</v>
      </c>
      <c r="L7" s="4">
        <f>IFERROR(VLOOKUP($A:$A,MASTER!$A:$T,15,0),0)</f>
        <v>9402882.8828828838</v>
      </c>
      <c r="M7" s="4">
        <f>IFERROR(VLOOKUP($A:$A,MASTER!$A:$T,16,0),0)</f>
        <v>5611621.6216216218</v>
      </c>
      <c r="N7" s="9">
        <f t="shared" ref="N7:N22" si="3">IFERROR(L7/M7-1,0)</f>
        <v>0.67560885549615524</v>
      </c>
      <c r="O7" s="4">
        <f>IFERROR(VLOOKUP($A:$A,MASTER!$A:$T,17,0),0)</f>
        <v>120270.27027027</v>
      </c>
      <c r="P7" s="4">
        <f>IFERROR(VLOOKUP($A:$A,MASTER!$A:$T,18,0),0)</f>
        <v>157657.65765765801</v>
      </c>
      <c r="Q7" s="9">
        <f t="shared" ref="Q7:Q22" si="4">IFERROR(O7/P7-1,0)</f>
        <v>-0.23714285714286054</v>
      </c>
      <c r="R7" s="4">
        <f>IFERROR(VLOOKUP($A:$A,MASTER!$A:$T,19,0),0)</f>
        <v>1283</v>
      </c>
      <c r="S7" s="4">
        <f>IFERROR(VLOOKUP($A:$A,MASTER!$A:$T,20,0),0)</f>
        <v>867</v>
      </c>
      <c r="T7" s="9">
        <f t="shared" ref="T7:T22" si="5">IFERROR(R7/S7-1,0)</f>
        <v>0.4798154555940024</v>
      </c>
      <c r="U7" s="13">
        <f>IFERROR(VLOOKUP(A:A,MASTER!A:K,11,0),0)</f>
        <v>2</v>
      </c>
      <c r="V7" s="13">
        <f>IFERROR(VLOOKUP(A:A,MASTER!A:L,12,0),0)</f>
        <v>2</v>
      </c>
      <c r="W7" s="9">
        <f t="shared" ref="W7:W22" si="6">IFERROR(U7/V7-1,0)</f>
        <v>0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118393020.72315741</v>
      </c>
      <c r="D8" s="4">
        <f>IFERROR(VLOOKUP($A:$A,MASTER!$A:$T,4,0),0)</f>
        <v>111830269.07355322</v>
      </c>
      <c r="E8" s="9">
        <f t="shared" si="0"/>
        <v>5.8684931226336667E-2</v>
      </c>
      <c r="F8" s="4">
        <f>IFERROR(VLOOKUP(A:A,MASTER!A:E,5,0),0)</f>
        <v>1307657.6576576589</v>
      </c>
      <c r="G8" s="4">
        <f>IFERROR(VLOOKUP(A:A,MASTER!A:F,6,0),0)</f>
        <v>1648648.6486486499</v>
      </c>
      <c r="H8" s="9">
        <f t="shared" si="1"/>
        <v>-0.20683060109289597</v>
      </c>
      <c r="I8" s="4">
        <f>IFERROR(VLOOKUP(A:A,MASTER!A:M,13,0),0)</f>
        <v>20495045.045045048</v>
      </c>
      <c r="J8" s="4">
        <f>IFERROR(VLOOKUP($A:$A,MASTER!$A:$T,14,0),0)</f>
        <v>18251351.351351351</v>
      </c>
      <c r="K8" s="9">
        <f t="shared" si="2"/>
        <v>0.12293301742435481</v>
      </c>
      <c r="L8" s="4">
        <f>IFERROR(VLOOKUP($A:$A,MASTER!$A:$T,15,0),0)</f>
        <v>29160630.630630631</v>
      </c>
      <c r="M8" s="4">
        <f>IFERROR(VLOOKUP($A:$A,MASTER!$A:$T,16,0),0)</f>
        <v>31570288.288288288</v>
      </c>
      <c r="N8" s="9">
        <f t="shared" si="3"/>
        <v>-7.6326754942924402E-2</v>
      </c>
      <c r="O8" s="4">
        <f>IFERROR(VLOOKUP($A:$A,MASTER!$A:$T,17,0),0)</f>
        <v>22084864.864864867</v>
      </c>
      <c r="P8" s="4">
        <f>IFERROR(VLOOKUP($A:$A,MASTER!$A:$T,18,0),0)</f>
        <v>17722882.882882882</v>
      </c>
      <c r="Q8" s="9">
        <f t="shared" si="4"/>
        <v>0.24612146967324811</v>
      </c>
      <c r="R8" s="4">
        <f>IFERROR(VLOOKUP($A:$A,MASTER!$A:$T,19,0),0)</f>
        <v>3822</v>
      </c>
      <c r="S8" s="4">
        <f>IFERROR(VLOOKUP($A:$A,MASTER!$A:$T,20,0),0)</f>
        <v>3571</v>
      </c>
      <c r="T8" s="9">
        <f t="shared" si="5"/>
        <v>7.0288434612153505E-2</v>
      </c>
      <c r="U8" s="13">
        <f>IFERROR(VLOOKUP(A:A,MASTER!A:K,11,0),0)</f>
        <v>19</v>
      </c>
      <c r="V8" s="13">
        <f>IFERROR(VLOOKUP(A:A,MASTER!A:L,12,0),0)</f>
        <v>10</v>
      </c>
      <c r="W8" s="9">
        <f t="shared" si="6"/>
        <v>0.89999999999999991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68717893.776228994</v>
      </c>
      <c r="D9" s="4">
        <f>IFERROR(VLOOKUP($A:$A,MASTER!$A:$T,4,0),0)</f>
        <v>69987962.452561647</v>
      </c>
      <c r="E9" s="9">
        <f t="shared" si="0"/>
        <v>-1.8146958874442398E-2</v>
      </c>
      <c r="F9" s="4">
        <f>IFERROR(VLOOKUP(A:A,MASTER!A:E,5,0),0)</f>
        <v>619819.81981982</v>
      </c>
      <c r="G9" s="4">
        <f>IFERROR(VLOOKUP(A:A,MASTER!A:F,6,0),0)</f>
        <v>851351.35135135299</v>
      </c>
      <c r="H9" s="9">
        <f t="shared" si="1"/>
        <v>-0.27195767195767317</v>
      </c>
      <c r="I9" s="4">
        <f>IFERROR(VLOOKUP(A:A,MASTER!A:M,13,0),0)</f>
        <v>10884234.234234236</v>
      </c>
      <c r="J9" s="4">
        <f>IFERROR(VLOOKUP($A:$A,MASTER!$A:$T,14,0),0)</f>
        <v>18601801.801801804</v>
      </c>
      <c r="K9" s="9">
        <f t="shared" si="2"/>
        <v>-0.41488279736536227</v>
      </c>
      <c r="L9" s="4">
        <f>IFERROR(VLOOKUP($A:$A,MASTER!$A:$T,15,0),0)</f>
        <v>24358333.333333336</v>
      </c>
      <c r="M9" s="4">
        <f>IFERROR(VLOOKUP($A:$A,MASTER!$A:$T,16,0),0)</f>
        <v>23888990.990990993</v>
      </c>
      <c r="N9" s="9">
        <f t="shared" si="3"/>
        <v>1.9646804777955662E-2</v>
      </c>
      <c r="O9" s="4">
        <f>IFERROR(VLOOKUP($A:$A,MASTER!$A:$T,17,0),0)</f>
        <v>10601351.351351352</v>
      </c>
      <c r="P9" s="4">
        <f>IFERROR(VLOOKUP($A:$A,MASTER!$A:$T,18,0),0)</f>
        <v>19848018.018018015</v>
      </c>
      <c r="Q9" s="9">
        <f t="shared" si="4"/>
        <v>-0.46587355262739816</v>
      </c>
      <c r="R9" s="4">
        <f>IFERROR(VLOOKUP($A:$A,MASTER!$A:$T,19,0),0)</f>
        <v>3613</v>
      </c>
      <c r="S9" s="4">
        <f>IFERROR(VLOOKUP($A:$A,MASTER!$A:$T,20,0),0)</f>
        <v>5860</v>
      </c>
      <c r="T9" s="9">
        <f t="shared" si="5"/>
        <v>-0.38344709897610918</v>
      </c>
      <c r="U9" s="13">
        <f>IFERROR(VLOOKUP(A:A,MASTER!A:K,11,0),0)</f>
        <v>7</v>
      </c>
      <c r="V9" s="13">
        <f>IFERROR(VLOOKUP(A:A,MASTER!A:L,12,0),0)</f>
        <v>7</v>
      </c>
      <c r="W9" s="9">
        <f t="shared" si="6"/>
        <v>0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63863532.116336972</v>
      </c>
      <c r="D11" s="4">
        <f>IFERROR(VLOOKUP($A:$A,MASTER!$A:$T,4,0),0)</f>
        <v>75115087.682173982</v>
      </c>
      <c r="E11" s="9">
        <f t="shared" si="0"/>
        <v>-0.14979088639880778</v>
      </c>
      <c r="F11" s="4">
        <f>IFERROR(VLOOKUP(A:A,MASTER!A:E,5,0),0)</f>
        <v>334228662.16216218</v>
      </c>
      <c r="G11" s="4">
        <f>IFERROR(VLOOKUP(A:A,MASTER!A:F,6,0),0)</f>
        <v>241847329.72972974</v>
      </c>
      <c r="H11" s="9">
        <f t="shared" si="1"/>
        <v>0.38198202368275402</v>
      </c>
      <c r="I11" s="4">
        <f>IFERROR(VLOOKUP(A:A,MASTER!A:M,13,0),0)</f>
        <v>24995590.090090092</v>
      </c>
      <c r="J11" s="4">
        <f>IFERROR(VLOOKUP($A:$A,MASTER!$A:$T,14,0),0)</f>
        <v>16073873.873873873</v>
      </c>
      <c r="K11" s="9">
        <f t="shared" si="2"/>
        <v>0.55504455778500184</v>
      </c>
      <c r="L11" s="4">
        <f>IFERROR(VLOOKUP($A:$A,MASTER!$A:$T,15,0),0)</f>
        <v>28990000</v>
      </c>
      <c r="M11" s="4">
        <f>IFERROR(VLOOKUP($A:$A,MASTER!$A:$T,16,0),0)</f>
        <v>30350819.819819819</v>
      </c>
      <c r="N11" s="9">
        <f t="shared" si="3"/>
        <v>-4.4836344714852538E-2</v>
      </c>
      <c r="O11" s="4">
        <f>IFERROR(VLOOKUP($A:$A,MASTER!$A:$T,17,0),0)</f>
        <v>3536126.126126125</v>
      </c>
      <c r="P11" s="4">
        <f>IFERROR(VLOOKUP($A:$A,MASTER!$A:$T,18,0),0)</f>
        <v>5518378.3783783782</v>
      </c>
      <c r="Q11" s="9">
        <f t="shared" si="4"/>
        <v>-0.35920919450158373</v>
      </c>
      <c r="R11" s="4">
        <f>IFERROR(VLOOKUP($A:$A,MASTER!$A:$T,19,0),0)</f>
        <v>3269</v>
      </c>
      <c r="S11" s="4">
        <f>IFERROR(VLOOKUP($A:$A,MASTER!$A:$T,20,0),0)</f>
        <v>3021</v>
      </c>
      <c r="T11" s="9">
        <f t="shared" si="5"/>
        <v>8.2092022509102858E-2</v>
      </c>
      <c r="U11" s="13">
        <f>IFERROR(VLOOKUP(A:A,MASTER!A:K,11,0),0)</f>
        <v>9</v>
      </c>
      <c r="V11" s="13">
        <f>IFERROR(VLOOKUP(A:A,MASTER!A:L,12,0),0)</f>
        <v>11</v>
      </c>
      <c r="W11" s="9">
        <f t="shared" si="6"/>
        <v>-0.18181818181818177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268646293.82869953</v>
      </c>
      <c r="D12" s="4">
        <f>IFERROR(VLOOKUP($A:$A,MASTER!$A:$T,4,0),0)</f>
        <v>250207944.45452553</v>
      </c>
      <c r="E12" s="9">
        <f t="shared" si="0"/>
        <v>7.3692102040849194E-2</v>
      </c>
      <c r="F12" s="4">
        <f>IFERROR(VLOOKUP(A:A,MASTER!A:E,5,0),0)</f>
        <v>6135585.5855855811</v>
      </c>
      <c r="G12" s="4">
        <f>IFERROR(VLOOKUP(A:A,MASTER!A:F,6,0),0)</f>
        <v>4461261.2612612611</v>
      </c>
      <c r="H12" s="9">
        <f t="shared" si="1"/>
        <v>0.37530290791599263</v>
      </c>
      <c r="I12" s="4">
        <f>IFERROR(VLOOKUP(A:A,MASTER!A:M,13,0),0)</f>
        <v>141871171.17117116</v>
      </c>
      <c r="J12" s="4">
        <f>IFERROR(VLOOKUP($A:$A,MASTER!$A:$T,14,0),0)</f>
        <v>112554954.95495497</v>
      </c>
      <c r="K12" s="9">
        <f t="shared" si="2"/>
        <v>0.2604613562143816</v>
      </c>
      <c r="L12" s="4">
        <f>IFERROR(VLOOKUP($A:$A,MASTER!$A:$T,15,0),0)</f>
        <v>175627702.7027027</v>
      </c>
      <c r="M12" s="4">
        <f>IFERROR(VLOOKUP($A:$A,MASTER!$A:$T,16,0),0)</f>
        <v>172605945.94594595</v>
      </c>
      <c r="N12" s="9">
        <f t="shared" si="3"/>
        <v>1.7506678232875439E-2</v>
      </c>
      <c r="O12" s="4">
        <f>IFERROR(VLOOKUP($A:$A,MASTER!$A:$T,17,0),0)</f>
        <v>126209099.0990991</v>
      </c>
      <c r="P12" s="4">
        <f>IFERROR(VLOOKUP($A:$A,MASTER!$A:$T,18,0),0)</f>
        <v>107143243.24324325</v>
      </c>
      <c r="Q12" s="9">
        <f t="shared" si="4"/>
        <v>0.17794734673628798</v>
      </c>
      <c r="R12" s="4">
        <f>IFERROR(VLOOKUP($A:$A,MASTER!$A:$T,19,0),0)</f>
        <v>13493</v>
      </c>
      <c r="S12" s="4">
        <f>IFERROR(VLOOKUP($A:$A,MASTER!$A:$T,20,0),0)</f>
        <v>12749</v>
      </c>
      <c r="T12" s="9">
        <f t="shared" si="5"/>
        <v>5.8357518236724415E-2</v>
      </c>
      <c r="U12" s="13">
        <f>IFERROR(VLOOKUP(A:A,MASTER!A:K,11,0),0)</f>
        <v>443</v>
      </c>
      <c r="V12" s="13">
        <f>IFERROR(VLOOKUP(A:A,MASTER!A:L,12,0),0)</f>
        <v>302</v>
      </c>
      <c r="W12" s="9">
        <f t="shared" si="6"/>
        <v>0.4668874172185431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58987425.365243629</v>
      </c>
      <c r="D13" s="4">
        <f>IFERROR(VLOOKUP($A:$A,MASTER!$A:$T,4,0),0)</f>
        <v>62535861.985739559</v>
      </c>
      <c r="E13" s="9">
        <f t="shared" si="0"/>
        <v>-5.6742427589870026E-2</v>
      </c>
      <c r="F13" s="4">
        <f>IFERROR(VLOOKUP(A:A,MASTER!A:E,5,0),0)</f>
        <v>17567.567567566999</v>
      </c>
      <c r="G13" s="4">
        <f>IFERROR(VLOOKUP(A:A,MASTER!A:F,6,0),0)</f>
        <v>152252.25225225301</v>
      </c>
      <c r="H13" s="9">
        <f t="shared" si="1"/>
        <v>-0.88461538461538891</v>
      </c>
      <c r="I13" s="4">
        <f>IFERROR(VLOOKUP(A:A,MASTER!A:M,13,0),0)</f>
        <v>19985135.135135137</v>
      </c>
      <c r="J13" s="4">
        <f>IFERROR(VLOOKUP($A:$A,MASTER!$A:$T,14,0),0)</f>
        <v>7012612.6126126107</v>
      </c>
      <c r="K13" s="9">
        <f t="shared" si="2"/>
        <v>1.8498843782117174</v>
      </c>
      <c r="L13" s="4">
        <f>IFERROR(VLOOKUP($A:$A,MASTER!$A:$T,15,0),0)</f>
        <v>38895135.135135137</v>
      </c>
      <c r="M13" s="4">
        <f>IFERROR(VLOOKUP($A:$A,MASTER!$A:$T,16,0),0)</f>
        <v>43802711.711711712</v>
      </c>
      <c r="N13" s="9">
        <f t="shared" si="3"/>
        <v>-0.1120381908973096</v>
      </c>
      <c r="O13" s="4">
        <f>IFERROR(VLOOKUP($A:$A,MASTER!$A:$T,17,0),0)</f>
        <v>17599459.459459461</v>
      </c>
      <c r="P13" s="4">
        <f>IFERROR(VLOOKUP($A:$A,MASTER!$A:$T,18,0),0)</f>
        <v>8814774.774774773</v>
      </c>
      <c r="Q13" s="9">
        <f t="shared" si="4"/>
        <v>0.99658640284534616</v>
      </c>
      <c r="R13" s="4">
        <f>IFERROR(VLOOKUP($A:$A,MASTER!$A:$T,19,0),0)</f>
        <v>4861</v>
      </c>
      <c r="S13" s="4">
        <f>IFERROR(VLOOKUP($A:$A,MASTER!$A:$T,20,0),0)</f>
        <v>5030</v>
      </c>
      <c r="T13" s="9">
        <f t="shared" si="5"/>
        <v>-3.3598409542743513E-2</v>
      </c>
      <c r="U13" s="13">
        <f>IFERROR(VLOOKUP(A:A,MASTER!A:K,11,0),0)</f>
        <v>21</v>
      </c>
      <c r="V13" s="13">
        <f>IFERROR(VLOOKUP(A:A,MASTER!A:L,12,0),0)</f>
        <v>26</v>
      </c>
      <c r="W13" s="9">
        <f t="shared" si="6"/>
        <v>-0.19230769230769229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87446341.165356353</v>
      </c>
      <c r="D14" s="4">
        <f>IFERROR(VLOOKUP($A:$A,MASTER!$A:$T,4,0),0)</f>
        <v>83592738.056837663</v>
      </c>
      <c r="E14" s="9">
        <f t="shared" si="0"/>
        <v>4.6099735432741706E-2</v>
      </c>
      <c r="F14" s="4">
        <f>IFERROR(VLOOKUP(A:A,MASTER!A:E,5,0),0)</f>
        <v>962162.16216216597</v>
      </c>
      <c r="G14" s="4">
        <f>IFERROR(VLOOKUP(A:A,MASTER!A:F,6,0),0)</f>
        <v>1211711.711711714</v>
      </c>
      <c r="H14" s="9">
        <f t="shared" si="1"/>
        <v>-0.20594795539033295</v>
      </c>
      <c r="I14" s="4">
        <f>IFERROR(VLOOKUP(A:A,MASTER!A:M,13,0),0)</f>
        <v>9650450.450450452</v>
      </c>
      <c r="J14" s="4">
        <f>IFERROR(VLOOKUP($A:$A,MASTER!$A:$T,14,0),0)</f>
        <v>12828828.82882883</v>
      </c>
      <c r="K14" s="9">
        <f t="shared" si="2"/>
        <v>-0.24775280898876395</v>
      </c>
      <c r="L14" s="4">
        <f>IFERROR(VLOOKUP($A:$A,MASTER!$A:$T,15,0),0)</f>
        <v>24800135.135135137</v>
      </c>
      <c r="M14" s="4">
        <f>IFERROR(VLOOKUP($A:$A,MASTER!$A:$T,16,0),0)</f>
        <v>24811585.585585583</v>
      </c>
      <c r="N14" s="9">
        <f t="shared" si="3"/>
        <v>-4.6149611885737407E-4</v>
      </c>
      <c r="O14" s="4">
        <f>IFERROR(VLOOKUP($A:$A,MASTER!$A:$T,17,0),0)</f>
        <v>9535405.4054054078</v>
      </c>
      <c r="P14" s="4">
        <f>IFERROR(VLOOKUP($A:$A,MASTER!$A:$T,18,0),0)</f>
        <v>11406396.396396397</v>
      </c>
      <c r="Q14" s="9">
        <f t="shared" si="4"/>
        <v>-0.16402998159717541</v>
      </c>
      <c r="R14" s="4">
        <f>IFERROR(VLOOKUP($A:$A,MASTER!$A:$T,19,0),0)</f>
        <v>3657</v>
      </c>
      <c r="S14" s="4">
        <f>IFERROR(VLOOKUP($A:$A,MASTER!$A:$T,20,0),0)</f>
        <v>3606</v>
      </c>
      <c r="T14" s="9">
        <f t="shared" si="5"/>
        <v>1.4143094841930104E-2</v>
      </c>
      <c r="U14" s="13">
        <f>IFERROR(VLOOKUP(A:A,MASTER!A:K,11,0),0)</f>
        <v>8</v>
      </c>
      <c r="V14" s="13">
        <f>IFERROR(VLOOKUP(A:A,MASTER!A:L,12,0),0)</f>
        <v>3</v>
      </c>
      <c r="W14" s="9">
        <f t="shared" si="6"/>
        <v>1.6666666666666665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174265601.42840782</v>
      </c>
      <c r="D15" s="4">
        <f>IFERROR(VLOOKUP($A:$A,MASTER!$A:$T,4,0),0)</f>
        <v>165445765.67462498</v>
      </c>
      <c r="E15" s="9">
        <f t="shared" si="0"/>
        <v>5.330952845978798E-2</v>
      </c>
      <c r="F15" s="4">
        <f>IFERROR(VLOOKUP(A:A,MASTER!A:E,5,0),0)</f>
        <v>1035495.4954955</v>
      </c>
      <c r="G15" s="4">
        <f>IFERROR(VLOOKUP(A:A,MASTER!A:F,6,0),0)</f>
        <v>1371171.171171176</v>
      </c>
      <c r="H15" s="9">
        <f t="shared" si="1"/>
        <v>-0.24480946123521619</v>
      </c>
      <c r="I15" s="4">
        <f>IFERROR(VLOOKUP(A:A,MASTER!A:M,13,0),0)</f>
        <v>301024684.68468469</v>
      </c>
      <c r="J15" s="4">
        <f>IFERROR(VLOOKUP($A:$A,MASTER!$A:$T,14,0),0)</f>
        <v>183202702.7027027</v>
      </c>
      <c r="K15" s="9">
        <f t="shared" si="2"/>
        <v>0.64312360158343784</v>
      </c>
      <c r="L15" s="4">
        <f>IFERROR(VLOOKUP($A:$A,MASTER!$A:$T,15,0),0)</f>
        <v>61548333.333333336</v>
      </c>
      <c r="M15" s="4">
        <f>IFERROR(VLOOKUP($A:$A,MASTER!$A:$T,16,0),0)</f>
        <v>60415612.612612613</v>
      </c>
      <c r="N15" s="9">
        <f t="shared" si="3"/>
        <v>1.874880799411538E-2</v>
      </c>
      <c r="O15" s="4">
        <f>IFERROR(VLOOKUP($A:$A,MASTER!$A:$T,17,0),0)</f>
        <v>249660270.27027026</v>
      </c>
      <c r="P15" s="4">
        <f>IFERROR(VLOOKUP($A:$A,MASTER!$A:$T,18,0),0)</f>
        <v>156418018.01801801</v>
      </c>
      <c r="Q15" s="9">
        <f t="shared" si="4"/>
        <v>0.59610940883748786</v>
      </c>
      <c r="R15" s="4">
        <f>IFERROR(VLOOKUP($A:$A,MASTER!$A:$T,19,0),0)</f>
        <v>7458</v>
      </c>
      <c r="S15" s="4">
        <f>IFERROR(VLOOKUP($A:$A,MASTER!$A:$T,20,0),0)</f>
        <v>7170</v>
      </c>
      <c r="T15" s="9">
        <f t="shared" si="5"/>
        <v>4.0167364016736373E-2</v>
      </c>
      <c r="U15" s="13">
        <f>IFERROR(VLOOKUP(A:A,MASTER!A:K,11,0),0)</f>
        <v>34</v>
      </c>
      <c r="V15" s="13">
        <f>IFERROR(VLOOKUP(A:A,MASTER!A:L,12,0),0)</f>
        <v>25</v>
      </c>
      <c r="W15" s="9">
        <f t="shared" si="6"/>
        <v>0.3600000000000001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3378378.3783783782</v>
      </c>
      <c r="G16" s="4">
        <f>IFERROR(VLOOKUP(A:A,MASTER!A:F,6,0),0)</f>
        <v>76148648.648648649</v>
      </c>
      <c r="H16" s="9">
        <f t="shared" si="1"/>
        <v>-0.9556344276841171</v>
      </c>
      <c r="I16" s="4">
        <f>IFERROR(VLOOKUP(A:A,MASTER!A:M,13,0),0)</f>
        <v>15353153.153153151</v>
      </c>
      <c r="J16" s="4">
        <f>IFERROR(VLOOKUP($A:$A,MASTER!$A:$T,14,0),0)</f>
        <v>8984909.9099099096</v>
      </c>
      <c r="K16" s="9">
        <f t="shared" si="2"/>
        <v>0.7087709623242171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72819937.563293308</v>
      </c>
      <c r="D17" s="4">
        <f>IFERROR(VLOOKUP($A:$A,MASTER!$A:$T,4,0),0)</f>
        <v>67505183.099458799</v>
      </c>
      <c r="E17" s="9">
        <f t="shared" si="0"/>
        <v>7.8731057673067983E-2</v>
      </c>
      <c r="F17" s="4">
        <f>IFERROR(VLOOKUP(A:A,MASTER!A:E,5,0),0)</f>
        <v>73756846.846846849</v>
      </c>
      <c r="G17" s="4">
        <f>IFERROR(VLOOKUP(A:A,MASTER!A:F,6,0),0)</f>
        <v>231337520.72072074</v>
      </c>
      <c r="H17" s="9">
        <f t="shared" si="1"/>
        <v>-0.68117213923162567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42047927.927927926</v>
      </c>
      <c r="M17" s="4">
        <f>IFERROR(VLOOKUP($A:$A,MASTER!$A:$T,16,0),0)</f>
        <v>40417504.504504502</v>
      </c>
      <c r="N17" s="9">
        <f t="shared" si="3"/>
        <v>4.0339537124111979E-2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3776</v>
      </c>
      <c r="S17" s="4">
        <f>IFERROR(VLOOKUP($A:$A,MASTER!$A:$T,20,0),0)</f>
        <v>3705</v>
      </c>
      <c r="T17" s="9">
        <f t="shared" si="5"/>
        <v>1.9163292847503399E-2</v>
      </c>
      <c r="U17" s="13">
        <f>IFERROR(VLOOKUP(A:A,MASTER!A:K,11,0),0)</f>
        <v>6</v>
      </c>
      <c r="V17" s="13">
        <f>IFERROR(VLOOKUP(A:A,MASTER!A:L,12,0),0)</f>
        <v>13</v>
      </c>
      <c r="W17" s="9">
        <f t="shared" si="6"/>
        <v>-0.53846153846153844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58128968.126089029</v>
      </c>
      <c r="D18" s="4">
        <f>IFERROR(VLOOKUP($A:$A,MASTER!$A:$T,4,0),0)</f>
        <v>58527921.87165536</v>
      </c>
      <c r="E18" s="9">
        <f t="shared" si="0"/>
        <v>-6.8164686667192553E-3</v>
      </c>
      <c r="F18" s="4">
        <f>IFERROR(VLOOKUP(A:A,MASTER!A:E,5,0),0)</f>
        <v>315315.31531531701</v>
      </c>
      <c r="G18" s="4">
        <f>IFERROR(VLOOKUP(A:A,MASTER!A:F,6,0),0)</f>
        <v>18018.018018018</v>
      </c>
      <c r="H18" s="9">
        <f t="shared" si="1"/>
        <v>16.500000000000114</v>
      </c>
      <c r="I18" s="4">
        <f>IFERROR(VLOOKUP(A:A,MASTER!A:M,13,0),0)</f>
        <v>1702702.7027027039</v>
      </c>
      <c r="J18" s="4">
        <f>IFERROR(VLOOKUP($A:$A,MASTER!$A:$T,14,0),0)</f>
        <v>1819819.8198198189</v>
      </c>
      <c r="K18" s="9">
        <f t="shared" si="2"/>
        <v>-6.4356435643563303E-2</v>
      </c>
      <c r="L18" s="4">
        <f>IFERROR(VLOOKUP($A:$A,MASTER!$A:$T,15,0),0)</f>
        <v>18408243.243243244</v>
      </c>
      <c r="M18" s="4">
        <f>IFERROR(VLOOKUP($A:$A,MASTER!$A:$T,16,0),0)</f>
        <v>20055378.378378376</v>
      </c>
      <c r="N18" s="9">
        <f t="shared" si="3"/>
        <v>-8.2129347253348417E-2</v>
      </c>
      <c r="O18" s="4">
        <f>IFERROR(VLOOKUP($A:$A,MASTER!$A:$T,17,0),0)</f>
        <v>1797297.297297297</v>
      </c>
      <c r="P18" s="4">
        <f>IFERROR(VLOOKUP($A:$A,MASTER!$A:$T,18,0),0)</f>
        <v>1365315.315315316</v>
      </c>
      <c r="Q18" s="9">
        <f t="shared" si="4"/>
        <v>0.3163972286374126</v>
      </c>
      <c r="R18" s="4">
        <f>IFERROR(VLOOKUP($A:$A,MASTER!$A:$T,19,0),0)</f>
        <v>3782</v>
      </c>
      <c r="S18" s="4">
        <f>IFERROR(VLOOKUP($A:$A,MASTER!$A:$T,20,0),0)</f>
        <v>3912</v>
      </c>
      <c r="T18" s="9">
        <f t="shared" si="5"/>
        <v>-3.3231083844580733E-2</v>
      </c>
      <c r="U18" s="13">
        <f>IFERROR(VLOOKUP(A:A,MASTER!A:K,11,0),0)</f>
        <v>16</v>
      </c>
      <c r="V18" s="13">
        <f>IFERROR(VLOOKUP(A:A,MASTER!A:L,12,0),0)</f>
        <v>14</v>
      </c>
      <c r="W18" s="9">
        <f t="shared" si="6"/>
        <v>0.14285714285714279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41399885.643315986</v>
      </c>
      <c r="D19" s="4">
        <f>IFERROR(VLOOKUP($A:$A,MASTER!$A:$T,4,0),0)</f>
        <v>37912471.05147358</v>
      </c>
      <c r="E19" s="9">
        <f t="shared" si="0"/>
        <v>9.1985948030334441E-2</v>
      </c>
      <c r="F19" s="4">
        <f>IFERROR(VLOOKUP(A:A,MASTER!A:E,5,0),0)</f>
        <v>39639.639639640998</v>
      </c>
      <c r="G19" s="4">
        <f>IFERROR(VLOOKUP(A:A,MASTER!A:F,6,0),0)</f>
        <v>289189.18918918999</v>
      </c>
      <c r="H19" s="9">
        <f t="shared" si="1"/>
        <v>-0.86292834890965298</v>
      </c>
      <c r="I19" s="4">
        <f>IFERROR(VLOOKUP(A:A,MASTER!A:M,13,0),0)</f>
        <v>4006756.7567567579</v>
      </c>
      <c r="J19" s="4">
        <f>IFERROR(VLOOKUP($A:$A,MASTER!$A:$T,14,0),0)</f>
        <v>3442342.3423423418</v>
      </c>
      <c r="K19" s="9">
        <f t="shared" si="2"/>
        <v>0.16396231353048996</v>
      </c>
      <c r="L19" s="4">
        <f>IFERROR(VLOOKUP($A:$A,MASTER!$A:$T,15,0),0)</f>
        <v>15059099.0990991</v>
      </c>
      <c r="M19" s="4">
        <f>IFERROR(VLOOKUP($A:$A,MASTER!$A:$T,16,0),0)</f>
        <v>15875261.26126126</v>
      </c>
      <c r="N19" s="9">
        <f t="shared" si="3"/>
        <v>-5.1410943651916785E-2</v>
      </c>
      <c r="O19" s="4">
        <f>IFERROR(VLOOKUP($A:$A,MASTER!$A:$T,17,0),0)</f>
        <v>1809909.9099099089</v>
      </c>
      <c r="P19" s="4">
        <f>IFERROR(VLOOKUP($A:$A,MASTER!$A:$T,18,0),0)</f>
        <v>4922792.7927927934</v>
      </c>
      <c r="Q19" s="9">
        <f t="shared" si="4"/>
        <v>-0.63234083048148926</v>
      </c>
      <c r="R19" s="4">
        <f>IFERROR(VLOOKUP($A:$A,MASTER!$A:$T,19,0),0)</f>
        <v>2740</v>
      </c>
      <c r="S19" s="4">
        <f>IFERROR(VLOOKUP($A:$A,MASTER!$A:$T,20,0),0)</f>
        <v>2986</v>
      </c>
      <c r="T19" s="9">
        <f t="shared" si="5"/>
        <v>-8.2384460817146676E-2</v>
      </c>
      <c r="U19" s="13">
        <f>IFERROR(VLOOKUP(A:A,MASTER!A:K,11,0),0)</f>
        <v>11</v>
      </c>
      <c r="V19" s="13">
        <f>IFERROR(VLOOKUP(A:A,MASTER!A:L,12,0),0)</f>
        <v>4</v>
      </c>
      <c r="W19" s="9">
        <f t="shared" si="6"/>
        <v>1.75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147768906.01610869</v>
      </c>
      <c r="D21" s="4">
        <f>IFERROR(VLOOKUP($A:$A,MASTER!$A:$T,4,0),0)</f>
        <v>135459661.37104714</v>
      </c>
      <c r="E21" s="9">
        <f t="shared" si="0"/>
        <v>9.0870186153384935E-2</v>
      </c>
      <c r="F21" s="4">
        <f>IFERROR(VLOOKUP(A:A,MASTER!A:E,5,0),0)</f>
        <v>388738.73873874301</v>
      </c>
      <c r="G21" s="4">
        <f>IFERROR(VLOOKUP(A:A,MASTER!A:F,6,0),0)</f>
        <v>823423.42342342495</v>
      </c>
      <c r="H21" s="9">
        <f t="shared" si="1"/>
        <v>-0.52789934354485346</v>
      </c>
      <c r="I21" s="4">
        <f>IFERROR(VLOOKUP(A:A,MASTER!A:M,13,0),0)</f>
        <v>22531891.891891897</v>
      </c>
      <c r="J21" s="4">
        <f>IFERROR(VLOOKUP($A:$A,MASTER!$A:$T,14,0),0)</f>
        <v>27392702.702702705</v>
      </c>
      <c r="K21" s="9">
        <f t="shared" si="2"/>
        <v>-0.17744911349442039</v>
      </c>
      <c r="L21" s="4">
        <f>IFERROR(VLOOKUP($A:$A,MASTER!$A:$T,15,0),0)</f>
        <v>81883022.522522524</v>
      </c>
      <c r="M21" s="4">
        <f>IFERROR(VLOOKUP($A:$A,MASTER!$A:$T,16,0),0)</f>
        <v>77798054.054054052</v>
      </c>
      <c r="N21" s="9">
        <f t="shared" si="3"/>
        <v>5.250733476739966E-2</v>
      </c>
      <c r="O21" s="4">
        <f>IFERROR(VLOOKUP($A:$A,MASTER!$A:$T,17,0),0)</f>
        <v>25465945.945945948</v>
      </c>
      <c r="P21" s="4">
        <f>IFERROR(VLOOKUP($A:$A,MASTER!$A:$T,18,0),0)</f>
        <v>31047567.567567568</v>
      </c>
      <c r="Q21" s="9">
        <f t="shared" si="4"/>
        <v>-0.17977645461192937</v>
      </c>
      <c r="R21" s="4">
        <f>IFERROR(VLOOKUP($A:$A,MASTER!$A:$T,19,0),0)</f>
        <v>7338</v>
      </c>
      <c r="S21" s="4">
        <f>IFERROR(VLOOKUP($A:$A,MASTER!$A:$T,20,0),0)</f>
        <v>7203</v>
      </c>
      <c r="T21" s="9">
        <f t="shared" si="5"/>
        <v>1.8742190753852528E-2</v>
      </c>
      <c r="U21" s="13">
        <f>IFERROR(VLOOKUP(A:A,MASTER!A:K,11,0),0)</f>
        <v>129</v>
      </c>
      <c r="V21" s="13">
        <f>IFERROR(VLOOKUP(A:A,MASTER!A:L,12,0),0)</f>
        <v>95</v>
      </c>
      <c r="W21" s="9">
        <f t="shared" si="6"/>
        <v>0.35789473684210527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78311114.535648942</v>
      </c>
      <c r="D22" s="4">
        <f>IFERROR(VLOOKUP($A:$A,MASTER!$A:$T,4,0),0)</f>
        <v>70874971.238079786</v>
      </c>
      <c r="E22" s="9">
        <f t="shared" si="0"/>
        <v>0.10491917199641643</v>
      </c>
      <c r="F22" s="4">
        <f>IFERROR(VLOOKUP(A:A,MASTER!A:E,5,0),0)</f>
        <v>62162.162162166002</v>
      </c>
      <c r="G22" s="4">
        <f>IFERROR(VLOOKUP(A:A,MASTER!A:F,6,0),0)</f>
        <v>669369.36936937098</v>
      </c>
      <c r="H22" s="9">
        <f t="shared" si="1"/>
        <v>-0.9071332436069931</v>
      </c>
      <c r="I22" s="4">
        <f>IFERROR(VLOOKUP(A:A,MASTER!A:M,13,0),0)</f>
        <v>5557657.6576576596</v>
      </c>
      <c r="J22" s="4">
        <f>IFERROR(VLOOKUP($A:$A,MASTER!$A:$T,14,0),0)</f>
        <v>22243243.243243244</v>
      </c>
      <c r="K22" s="9">
        <f t="shared" si="2"/>
        <v>-0.75014175779667869</v>
      </c>
      <c r="L22" s="4">
        <f>IFERROR(VLOOKUP($A:$A,MASTER!$A:$T,15,0),0)</f>
        <v>24980801.801801801</v>
      </c>
      <c r="M22" s="4">
        <f>IFERROR(VLOOKUP($A:$A,MASTER!$A:$T,16,0),0)</f>
        <v>24617819.819819819</v>
      </c>
      <c r="N22" s="9">
        <f t="shared" si="3"/>
        <v>1.4744684323741097E-2</v>
      </c>
      <c r="O22" s="4">
        <f>IFERROR(VLOOKUP($A:$A,MASTER!$A:$T,17,0),0)</f>
        <v>4851081.0810810812</v>
      </c>
      <c r="P22" s="4">
        <f>IFERROR(VLOOKUP($A:$A,MASTER!$A:$T,18,0),0)</f>
        <v>26924864.864864863</v>
      </c>
      <c r="Q22" s="9">
        <f t="shared" si="4"/>
        <v>-0.8198289534440184</v>
      </c>
      <c r="R22" s="4">
        <f>IFERROR(VLOOKUP($A:$A,MASTER!$A:$T,19,0),0)</f>
        <v>4002</v>
      </c>
      <c r="S22" s="4">
        <f>IFERROR(VLOOKUP($A:$A,MASTER!$A:$T,20,0),0)</f>
        <v>3968</v>
      </c>
      <c r="T22" s="9">
        <f t="shared" si="5"/>
        <v>8.5685483870967527E-3</v>
      </c>
      <c r="U22" s="13">
        <f>IFERROR(VLOOKUP(A:A,MASTER!A:K,11,0),0)</f>
        <v>9</v>
      </c>
      <c r="V22" s="13">
        <f>IFERROR(VLOOKUP(A:A,MASTER!A:L,12,0),0)</f>
        <v>10</v>
      </c>
      <c r="W22" s="9">
        <f t="shared" si="6"/>
        <v>-9.9999999999999978E-2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:T569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204985609.03468549</v>
      </c>
      <c r="D4">
        <v>220930601.05861941</v>
      </c>
      <c r="E4">
        <v>318018.01801801898</v>
      </c>
      <c r="F4">
        <v>682657.65765765798</v>
      </c>
      <c r="G4">
        <v>9</v>
      </c>
      <c r="H4">
        <v>25</v>
      </c>
      <c r="K4">
        <v>10</v>
      </c>
      <c r="L4">
        <v>31</v>
      </c>
      <c r="M4">
        <v>9318378.3783783801</v>
      </c>
      <c r="N4">
        <v>13418018.01801802</v>
      </c>
      <c r="O4">
        <v>24338873.873873871</v>
      </c>
      <c r="P4">
        <v>27937126.126126129</v>
      </c>
      <c r="Q4">
        <v>9383333.3333333321</v>
      </c>
      <c r="R4">
        <v>6524054.0540540554</v>
      </c>
      <c r="S4">
        <v>7453</v>
      </c>
      <c r="T4">
        <v>8264</v>
      </c>
    </row>
    <row r="5" spans="1:20" x14ac:dyDescent="0.35">
      <c r="A5" s="7" t="s">
        <v>49</v>
      </c>
      <c r="B5" s="12" t="s">
        <v>50</v>
      </c>
      <c r="C5">
        <v>354748373.69334829</v>
      </c>
      <c r="D5">
        <v>344720018.18419218</v>
      </c>
      <c r="E5">
        <v>2274954.9549549571</v>
      </c>
      <c r="F5">
        <v>2390990.9909909968</v>
      </c>
      <c r="G5">
        <v>70</v>
      </c>
      <c r="H5">
        <v>113</v>
      </c>
      <c r="I5">
        <v>5</v>
      </c>
      <c r="K5">
        <v>88</v>
      </c>
      <c r="L5">
        <v>306</v>
      </c>
      <c r="M5">
        <v>75498738.738738731</v>
      </c>
      <c r="N5">
        <v>61952612.612612605</v>
      </c>
      <c r="O5">
        <v>104070454.95495497</v>
      </c>
      <c r="P5">
        <v>106519018.01801802</v>
      </c>
      <c r="Q5">
        <v>72694774.77477479</v>
      </c>
      <c r="R5">
        <v>61641801.801801801</v>
      </c>
      <c r="S5">
        <v>19956</v>
      </c>
      <c r="T5">
        <v>19840</v>
      </c>
    </row>
    <row r="6" spans="1:20" x14ac:dyDescent="0.35">
      <c r="A6" s="7" t="s">
        <v>51</v>
      </c>
      <c r="B6" s="12" t="s">
        <v>52</v>
      </c>
      <c r="C6">
        <v>84265924.808101222</v>
      </c>
      <c r="D6">
        <v>84213365.331904843</v>
      </c>
      <c r="E6">
        <v>45045.045045045998</v>
      </c>
      <c r="F6">
        <v>672072.07207207195</v>
      </c>
      <c r="G6">
        <v>10</v>
      </c>
      <c r="H6">
        <v>35</v>
      </c>
      <c r="K6">
        <v>12</v>
      </c>
      <c r="L6">
        <v>36</v>
      </c>
      <c r="M6">
        <v>5458108.108108107</v>
      </c>
      <c r="N6">
        <v>14865765.765765766</v>
      </c>
      <c r="O6">
        <v>28919171.171171173</v>
      </c>
      <c r="P6">
        <v>26808864.864864863</v>
      </c>
      <c r="Q6">
        <v>5225945.9459459446</v>
      </c>
      <c r="R6">
        <v>7175765.7657657666</v>
      </c>
      <c r="S6">
        <v>4572</v>
      </c>
      <c r="T6">
        <v>4801</v>
      </c>
    </row>
    <row r="7" spans="1:20" x14ac:dyDescent="0.35">
      <c r="A7" s="7" t="s">
        <v>53</v>
      </c>
      <c r="B7" s="12" t="s">
        <v>54</v>
      </c>
      <c r="C7">
        <v>45050142.24744387</v>
      </c>
      <c r="D7">
        <v>46236026.069959976</v>
      </c>
      <c r="E7">
        <v>264414.41441441601</v>
      </c>
      <c r="F7">
        <v>338738.73873874202</v>
      </c>
      <c r="G7">
        <v>6</v>
      </c>
      <c r="H7">
        <v>11</v>
      </c>
      <c r="K7">
        <v>9</v>
      </c>
      <c r="L7">
        <v>14</v>
      </c>
      <c r="M7">
        <v>4327477.4774774769</v>
      </c>
      <c r="N7">
        <v>4373333.3333333349</v>
      </c>
      <c r="O7">
        <v>14400189.189189188</v>
      </c>
      <c r="P7">
        <v>15417918.918918921</v>
      </c>
      <c r="Q7">
        <v>4816036.036036036</v>
      </c>
      <c r="R7">
        <v>4698648.6486486467</v>
      </c>
      <c r="S7">
        <v>3606</v>
      </c>
      <c r="T7">
        <v>3625</v>
      </c>
    </row>
    <row r="8" spans="1:20" x14ac:dyDescent="0.35">
      <c r="A8" s="7" t="s">
        <v>55</v>
      </c>
      <c r="B8" s="12" t="s">
        <v>54</v>
      </c>
      <c r="C8">
        <v>78310444.217048839</v>
      </c>
      <c r="D8">
        <v>74442581.257583767</v>
      </c>
      <c r="E8">
        <v>373423.423423425</v>
      </c>
      <c r="F8">
        <v>1254954.954954959</v>
      </c>
      <c r="G8">
        <v>24</v>
      </c>
      <c r="H8">
        <v>21</v>
      </c>
      <c r="K8">
        <v>38</v>
      </c>
      <c r="L8">
        <v>40</v>
      </c>
      <c r="M8">
        <v>12950000</v>
      </c>
      <c r="N8">
        <v>14576396.3963964</v>
      </c>
      <c r="O8">
        <v>19557414.414414417</v>
      </c>
      <c r="P8">
        <v>21220315.315315317</v>
      </c>
      <c r="Q8">
        <v>16811441.441441439</v>
      </c>
      <c r="R8">
        <v>25972072.072072074</v>
      </c>
      <c r="S8">
        <v>4429</v>
      </c>
      <c r="T8">
        <v>4310</v>
      </c>
    </row>
    <row r="9" spans="1:20" x14ac:dyDescent="0.35">
      <c r="A9" s="7" t="s">
        <v>56</v>
      </c>
      <c r="B9" s="12" t="s">
        <v>54</v>
      </c>
      <c r="C9">
        <v>39321280.589815855</v>
      </c>
      <c r="D9">
        <v>36749525.703072995</v>
      </c>
      <c r="E9">
        <v>277657.65765765798</v>
      </c>
      <c r="F9">
        <v>467567.56756756903</v>
      </c>
      <c r="G9">
        <v>3</v>
      </c>
      <c r="H9">
        <v>7</v>
      </c>
      <c r="K9">
        <v>5</v>
      </c>
      <c r="L9">
        <v>9</v>
      </c>
      <c r="M9">
        <v>3305585.5855855839</v>
      </c>
      <c r="N9">
        <v>4565225.225225226</v>
      </c>
      <c r="O9">
        <v>11673243.243243244</v>
      </c>
      <c r="P9">
        <v>11242567.567567568</v>
      </c>
      <c r="Q9">
        <v>2812522.5225225221</v>
      </c>
      <c r="R9">
        <v>3603603.6036036061</v>
      </c>
      <c r="S9">
        <v>2105</v>
      </c>
      <c r="T9">
        <v>2854</v>
      </c>
    </row>
    <row r="10" spans="1:20" x14ac:dyDescent="0.35">
      <c r="A10" s="7" t="s">
        <v>57</v>
      </c>
      <c r="B10" s="12" t="s">
        <v>58</v>
      </c>
      <c r="C10">
        <v>98435339.804184318</v>
      </c>
      <c r="D10">
        <v>101140107.34472631</v>
      </c>
      <c r="E10">
        <v>904504.50450450496</v>
      </c>
      <c r="F10">
        <v>81081.081081081997</v>
      </c>
      <c r="G10">
        <v>22</v>
      </c>
      <c r="H10">
        <v>26</v>
      </c>
      <c r="K10">
        <v>31</v>
      </c>
      <c r="L10">
        <v>32</v>
      </c>
      <c r="M10">
        <v>3616216.2162162159</v>
      </c>
      <c r="N10">
        <v>2873873.8738738731</v>
      </c>
      <c r="O10">
        <v>17186531.531531531</v>
      </c>
      <c r="P10">
        <v>18652072.072072074</v>
      </c>
      <c r="Q10">
        <v>2083963.963963964</v>
      </c>
      <c r="R10">
        <v>1821621.6216216211</v>
      </c>
      <c r="S10">
        <v>5635</v>
      </c>
      <c r="T10">
        <v>5568</v>
      </c>
    </row>
    <row r="11" spans="1:20" x14ac:dyDescent="0.35">
      <c r="A11" s="7" t="s">
        <v>59</v>
      </c>
      <c r="B11" s="12" t="s">
        <v>60</v>
      </c>
      <c r="C11">
        <v>43289730.186792478</v>
      </c>
      <c r="D11">
        <v>42235954.235057838</v>
      </c>
      <c r="E11">
        <v>10450.450450451001</v>
      </c>
      <c r="F11">
        <v>277477.47747747903</v>
      </c>
      <c r="G11">
        <v>6</v>
      </c>
      <c r="H11">
        <v>19</v>
      </c>
      <c r="K11">
        <v>7</v>
      </c>
      <c r="L11">
        <v>30</v>
      </c>
      <c r="M11">
        <v>2244684.6846846831</v>
      </c>
      <c r="N11">
        <v>5223423.4234234206</v>
      </c>
      <c r="O11">
        <v>19977468.468468469</v>
      </c>
      <c r="P11">
        <v>18942882.882882886</v>
      </c>
      <c r="Q11">
        <v>3826846.846846845</v>
      </c>
      <c r="R11">
        <v>4772702.702702702</v>
      </c>
      <c r="S11">
        <v>2722</v>
      </c>
      <c r="T11">
        <v>2966</v>
      </c>
    </row>
    <row r="12" spans="1:20" x14ac:dyDescent="0.35">
      <c r="A12" s="7" t="s">
        <v>61</v>
      </c>
      <c r="B12" s="12" t="s">
        <v>62</v>
      </c>
      <c r="C12">
        <v>204814811.45217836</v>
      </c>
      <c r="D12">
        <v>194640454.15032521</v>
      </c>
      <c r="E12">
        <v>36936.936936938997</v>
      </c>
      <c r="F12">
        <v>2224774.7747747828</v>
      </c>
      <c r="G12">
        <v>40</v>
      </c>
      <c r="H12">
        <v>23</v>
      </c>
      <c r="K12">
        <v>53</v>
      </c>
      <c r="L12">
        <v>26</v>
      </c>
      <c r="M12">
        <v>4257117.1171171227</v>
      </c>
      <c r="N12">
        <v>30787387.387387387</v>
      </c>
      <c r="O12">
        <v>21233198.198198196</v>
      </c>
      <c r="P12">
        <v>20652081.081081081</v>
      </c>
      <c r="Q12">
        <v>3350540.5405405429</v>
      </c>
      <c r="R12">
        <v>28311891.891891889</v>
      </c>
      <c r="S12">
        <v>8821</v>
      </c>
      <c r="T12">
        <v>8391</v>
      </c>
    </row>
    <row r="13" spans="1:20" x14ac:dyDescent="0.35">
      <c r="A13" s="7" t="s">
        <v>63</v>
      </c>
      <c r="B13" s="12" t="s">
        <v>50</v>
      </c>
      <c r="C13">
        <v>108996307.0326481</v>
      </c>
      <c r="D13">
        <v>105538536.35305162</v>
      </c>
      <c r="E13">
        <v>217117.117117118</v>
      </c>
      <c r="F13">
        <v>1145045.045045048</v>
      </c>
      <c r="G13">
        <v>20</v>
      </c>
      <c r="H13">
        <v>20</v>
      </c>
      <c r="K13">
        <v>21</v>
      </c>
      <c r="L13">
        <v>51</v>
      </c>
      <c r="M13">
        <v>25249639.639639638</v>
      </c>
      <c r="N13">
        <v>19485225.225225225</v>
      </c>
      <c r="O13">
        <v>39542918.918918923</v>
      </c>
      <c r="P13">
        <v>39353261.261261262</v>
      </c>
      <c r="Q13">
        <v>27465585.585585583</v>
      </c>
      <c r="R13">
        <v>20184684.684684686</v>
      </c>
      <c r="S13">
        <v>5205</v>
      </c>
      <c r="T13">
        <v>5526</v>
      </c>
    </row>
    <row r="14" spans="1:20" x14ac:dyDescent="0.35">
      <c r="A14" s="7" t="s">
        <v>64</v>
      </c>
      <c r="B14" s="12" t="s">
        <v>50</v>
      </c>
      <c r="C14">
        <v>111044974.75383274</v>
      </c>
      <c r="D14">
        <v>107805022.31782193</v>
      </c>
      <c r="E14">
        <v>1090540.5405405411</v>
      </c>
      <c r="F14">
        <v>1581081.0810810809</v>
      </c>
      <c r="G14">
        <v>14</v>
      </c>
      <c r="H14">
        <v>31</v>
      </c>
      <c r="K14">
        <v>15</v>
      </c>
      <c r="L14">
        <v>37</v>
      </c>
      <c r="M14">
        <v>20529189.189189192</v>
      </c>
      <c r="N14">
        <v>9207927.9279279262</v>
      </c>
      <c r="O14">
        <v>40524261.261261262</v>
      </c>
      <c r="P14">
        <v>38255900.900900893</v>
      </c>
      <c r="Q14">
        <v>19084144.144144144</v>
      </c>
      <c r="R14">
        <v>10355495.495495496</v>
      </c>
      <c r="S14">
        <v>5534</v>
      </c>
      <c r="T14">
        <v>5441</v>
      </c>
    </row>
    <row r="15" spans="1:20" x14ac:dyDescent="0.35">
      <c r="A15" s="7" t="s">
        <v>65</v>
      </c>
      <c r="B15" s="12" t="s">
        <v>66</v>
      </c>
      <c r="C15">
        <v>107708612.41994491</v>
      </c>
      <c r="D15">
        <v>108281287.38941859</v>
      </c>
      <c r="E15">
        <v>1410000.0000000009</v>
      </c>
      <c r="F15">
        <v>1859459.459459461</v>
      </c>
      <c r="G15">
        <v>30</v>
      </c>
      <c r="H15">
        <v>24</v>
      </c>
      <c r="K15">
        <v>34</v>
      </c>
      <c r="L15">
        <v>47</v>
      </c>
      <c r="M15">
        <v>31093243.243243244</v>
      </c>
      <c r="N15">
        <v>33134954.954954956</v>
      </c>
      <c r="O15">
        <v>52780711.711711712</v>
      </c>
      <c r="P15">
        <v>56213576.576576576</v>
      </c>
      <c r="Q15">
        <v>20929549.549549554</v>
      </c>
      <c r="R15">
        <v>33340900.900900904</v>
      </c>
      <c r="S15">
        <v>5570</v>
      </c>
      <c r="T15">
        <v>5532</v>
      </c>
    </row>
    <row r="16" spans="1:20" x14ac:dyDescent="0.35">
      <c r="A16" s="7" t="s">
        <v>67</v>
      </c>
      <c r="B16" s="12" t="s">
        <v>68</v>
      </c>
      <c r="C16">
        <v>60112236.890696734</v>
      </c>
      <c r="D16">
        <v>62651483.62555436</v>
      </c>
      <c r="E16">
        <v>294144.14414414502</v>
      </c>
      <c r="F16">
        <v>684684.68468468403</v>
      </c>
      <c r="G16">
        <v>30</v>
      </c>
      <c r="H16">
        <v>15</v>
      </c>
      <c r="K16">
        <v>34</v>
      </c>
      <c r="L16">
        <v>18</v>
      </c>
      <c r="M16">
        <v>11352162.162162161</v>
      </c>
      <c r="N16">
        <v>11831081.081081079</v>
      </c>
      <c r="O16">
        <v>16584504.504504504</v>
      </c>
      <c r="P16">
        <v>18576018.018018015</v>
      </c>
      <c r="Q16">
        <v>8013423.4234234234</v>
      </c>
      <c r="R16">
        <v>8220090.0900900904</v>
      </c>
      <c r="S16">
        <v>3405</v>
      </c>
      <c r="T16">
        <v>3201</v>
      </c>
    </row>
    <row r="17" spans="1:20" x14ac:dyDescent="0.35">
      <c r="A17" s="7" t="s">
        <v>69</v>
      </c>
      <c r="B17" s="12" t="s">
        <v>70</v>
      </c>
      <c r="C17">
        <v>4977499.3492009472</v>
      </c>
      <c r="D17">
        <v>5037481.629704698</v>
      </c>
      <c r="G17">
        <v>1</v>
      </c>
      <c r="H17">
        <v>1</v>
      </c>
      <c r="K17">
        <v>1</v>
      </c>
      <c r="L17">
        <v>1</v>
      </c>
      <c r="N17">
        <v>180180.18018018</v>
      </c>
      <c r="O17">
        <v>1035585.585585586</v>
      </c>
      <c r="P17">
        <v>1695405.405405405</v>
      </c>
      <c r="R17">
        <v>124324.324324324</v>
      </c>
      <c r="S17">
        <v>361</v>
      </c>
      <c r="T17">
        <v>359</v>
      </c>
    </row>
    <row r="18" spans="1:20" x14ac:dyDescent="0.35">
      <c r="A18" s="7" t="s">
        <v>71</v>
      </c>
      <c r="B18" s="12" t="s">
        <v>72</v>
      </c>
      <c r="C18">
        <v>895284905.55795014</v>
      </c>
      <c r="D18">
        <v>857540406.97894323</v>
      </c>
      <c r="E18">
        <v>264816266.66666669</v>
      </c>
      <c r="F18">
        <v>112429173.87387389</v>
      </c>
      <c r="G18">
        <v>218</v>
      </c>
      <c r="H18">
        <v>205</v>
      </c>
      <c r="I18">
        <v>9</v>
      </c>
      <c r="K18">
        <v>361</v>
      </c>
      <c r="L18">
        <v>321</v>
      </c>
      <c r="M18">
        <v>98930007.207207203</v>
      </c>
      <c r="N18">
        <v>87127034.234234244</v>
      </c>
      <c r="O18">
        <v>170442241.44144145</v>
      </c>
      <c r="P18">
        <v>173300122.52252254</v>
      </c>
      <c r="Q18">
        <v>86541081.081081077</v>
      </c>
      <c r="R18">
        <v>81896529.729729742</v>
      </c>
      <c r="S18">
        <v>45518</v>
      </c>
      <c r="T18">
        <v>45780</v>
      </c>
    </row>
    <row r="19" spans="1:20" x14ac:dyDescent="0.35">
      <c r="A19" s="7" t="s">
        <v>73</v>
      </c>
      <c r="B19" s="12" t="s">
        <v>72</v>
      </c>
      <c r="C19">
        <v>85868624.913093522</v>
      </c>
      <c r="D19">
        <v>85868746.272271425</v>
      </c>
      <c r="E19">
        <v>3603.603603604</v>
      </c>
      <c r="F19">
        <v>54054.054054054999</v>
      </c>
      <c r="G19">
        <v>15</v>
      </c>
      <c r="H19">
        <v>21</v>
      </c>
      <c r="K19">
        <v>17</v>
      </c>
      <c r="L19">
        <v>25</v>
      </c>
      <c r="M19">
        <v>454054.05405405402</v>
      </c>
      <c r="N19">
        <v>2441441.441441441</v>
      </c>
      <c r="O19">
        <v>11896486.486486487</v>
      </c>
      <c r="P19">
        <v>12568126.126126127</v>
      </c>
      <c r="Q19">
        <v>1063963.963963964</v>
      </c>
      <c r="R19">
        <v>1904864.8648648651</v>
      </c>
      <c r="S19">
        <v>3818</v>
      </c>
      <c r="T19">
        <v>3493</v>
      </c>
    </row>
    <row r="20" spans="1:20" x14ac:dyDescent="0.35">
      <c r="A20" s="7" t="s">
        <v>74</v>
      </c>
      <c r="B20" s="12" t="s">
        <v>70</v>
      </c>
      <c r="C20">
        <v>88144375.613786265</v>
      </c>
      <c r="D20">
        <v>85585926.442138791</v>
      </c>
      <c r="E20">
        <v>272612.612612614</v>
      </c>
      <c r="F20">
        <v>2593693.6936936998</v>
      </c>
      <c r="G20">
        <v>19</v>
      </c>
      <c r="H20">
        <v>26</v>
      </c>
      <c r="K20">
        <v>27</v>
      </c>
      <c r="L20">
        <v>45</v>
      </c>
      <c r="M20">
        <v>15282972.97297298</v>
      </c>
      <c r="N20">
        <v>16281081.081081089</v>
      </c>
      <c r="O20">
        <v>29889234.234234232</v>
      </c>
      <c r="P20">
        <v>30710702.702702705</v>
      </c>
      <c r="Q20">
        <v>26962432.432432439</v>
      </c>
      <c r="R20">
        <v>14958648.648648651</v>
      </c>
      <c r="S20">
        <v>4277</v>
      </c>
      <c r="T20">
        <v>5086</v>
      </c>
    </row>
    <row r="21" spans="1:20" x14ac:dyDescent="0.35">
      <c r="A21" s="7" t="s">
        <v>75</v>
      </c>
      <c r="B21" s="12" t="s">
        <v>76</v>
      </c>
      <c r="C21">
        <v>25049250.464898452</v>
      </c>
      <c r="D21">
        <v>24710420.89815494</v>
      </c>
      <c r="E21">
        <v>15315.315315316</v>
      </c>
      <c r="F21">
        <v>25225.225225225</v>
      </c>
      <c r="G21">
        <v>8</v>
      </c>
      <c r="H21">
        <v>1</v>
      </c>
      <c r="K21">
        <v>9</v>
      </c>
      <c r="L21">
        <v>3</v>
      </c>
      <c r="M21">
        <v>3775675.6756756762</v>
      </c>
      <c r="N21">
        <v>1466666.6666666651</v>
      </c>
      <c r="O21">
        <v>6766216.2162162159</v>
      </c>
      <c r="P21">
        <v>5882630.6306306301</v>
      </c>
      <c r="Q21">
        <v>2732882.8828828828</v>
      </c>
      <c r="R21">
        <v>1531171.17117117</v>
      </c>
      <c r="S21">
        <v>1442</v>
      </c>
      <c r="T21">
        <v>1494</v>
      </c>
    </row>
    <row r="22" spans="1:20" x14ac:dyDescent="0.35">
      <c r="A22" s="7" t="s">
        <v>77</v>
      </c>
      <c r="B22" s="12" t="s">
        <v>78</v>
      </c>
      <c r="C22">
        <v>57132302.71342472</v>
      </c>
      <c r="D22">
        <v>52459425.829808392</v>
      </c>
      <c r="E22">
        <v>415405.40540540498</v>
      </c>
      <c r="F22">
        <v>778378.37837837997</v>
      </c>
      <c r="G22">
        <v>13</v>
      </c>
      <c r="H22">
        <v>10</v>
      </c>
      <c r="K22">
        <v>17</v>
      </c>
      <c r="L22">
        <v>14</v>
      </c>
      <c r="M22">
        <v>6343333.333333333</v>
      </c>
      <c r="N22">
        <v>5553153.1531531541</v>
      </c>
      <c r="O22">
        <v>17307432.432432432</v>
      </c>
      <c r="P22">
        <v>17483747.747747749</v>
      </c>
      <c r="Q22">
        <v>5302072.0720720701</v>
      </c>
      <c r="R22">
        <v>7144774.7747747749</v>
      </c>
      <c r="S22">
        <v>2513</v>
      </c>
      <c r="T22">
        <v>2444</v>
      </c>
    </row>
    <row r="23" spans="1:20" x14ac:dyDescent="0.35">
      <c r="A23" s="7" t="s">
        <v>79</v>
      </c>
      <c r="B23" s="12" t="s">
        <v>80</v>
      </c>
      <c r="C23">
        <v>528549122.38304913</v>
      </c>
      <c r="D23">
        <v>501404404.06968951</v>
      </c>
      <c r="E23">
        <v>1921171.171171179</v>
      </c>
      <c r="F23">
        <v>2642342.342342352</v>
      </c>
      <c r="G23">
        <v>147</v>
      </c>
      <c r="H23">
        <v>111</v>
      </c>
      <c r="I23">
        <v>2</v>
      </c>
      <c r="K23">
        <v>197</v>
      </c>
      <c r="L23">
        <v>155</v>
      </c>
      <c r="M23">
        <v>188021891.89189187</v>
      </c>
      <c r="N23">
        <v>49995495.495495498</v>
      </c>
      <c r="O23">
        <v>128782175.67567568</v>
      </c>
      <c r="P23">
        <v>126689119.36936937</v>
      </c>
      <c r="Q23">
        <v>42449729.729729727</v>
      </c>
      <c r="R23">
        <v>43915945.945945941</v>
      </c>
      <c r="S23">
        <v>26369</v>
      </c>
      <c r="T23">
        <v>26786</v>
      </c>
    </row>
    <row r="24" spans="1:20" x14ac:dyDescent="0.35">
      <c r="A24" s="7" t="s">
        <v>81</v>
      </c>
      <c r="B24" s="12" t="s">
        <v>54</v>
      </c>
      <c r="C24">
        <v>15052143.623422895</v>
      </c>
      <c r="D24">
        <v>15073575.995656764</v>
      </c>
      <c r="E24">
        <v>140540.540540541</v>
      </c>
      <c r="F24">
        <v>77477.477477477994</v>
      </c>
      <c r="G24">
        <v>4</v>
      </c>
      <c r="H24">
        <v>6</v>
      </c>
      <c r="K24">
        <v>6</v>
      </c>
      <c r="L24">
        <v>6</v>
      </c>
      <c r="M24">
        <v>744594.59459459397</v>
      </c>
      <c r="N24">
        <v>910810.810810811</v>
      </c>
      <c r="O24">
        <v>3435540.5405405401</v>
      </c>
      <c r="P24">
        <v>3519819.8198198192</v>
      </c>
      <c r="Q24">
        <v>1076306.306306307</v>
      </c>
      <c r="R24">
        <v>891261.26126126305</v>
      </c>
      <c r="S24">
        <v>1290</v>
      </c>
      <c r="T24">
        <v>1340</v>
      </c>
    </row>
    <row r="25" spans="1:20" x14ac:dyDescent="0.35">
      <c r="A25" s="7" t="s">
        <v>82</v>
      </c>
      <c r="B25" s="12" t="s">
        <v>83</v>
      </c>
      <c r="C25">
        <v>368987340.93611115</v>
      </c>
      <c r="D25">
        <v>357724246.83023572</v>
      </c>
      <c r="E25">
        <v>2548738.7387387399</v>
      </c>
      <c r="F25">
        <v>3215540.5405405429</v>
      </c>
      <c r="G25">
        <v>59</v>
      </c>
      <c r="H25">
        <v>66</v>
      </c>
      <c r="I25">
        <v>1</v>
      </c>
      <c r="K25">
        <v>76</v>
      </c>
      <c r="L25">
        <v>78</v>
      </c>
      <c r="M25">
        <v>53593783.783783779</v>
      </c>
      <c r="N25">
        <v>86063513.51351352</v>
      </c>
      <c r="O25">
        <v>101428854.05405405</v>
      </c>
      <c r="P25">
        <v>101119022.52252252</v>
      </c>
      <c r="Q25">
        <v>49460990.990990996</v>
      </c>
      <c r="R25">
        <v>49730720.720720723</v>
      </c>
      <c r="S25">
        <v>15187</v>
      </c>
      <c r="T25">
        <v>15197</v>
      </c>
    </row>
    <row r="26" spans="1:20" x14ac:dyDescent="0.35">
      <c r="A26" s="7" t="s">
        <v>84</v>
      </c>
      <c r="B26" s="12" t="s">
        <v>85</v>
      </c>
      <c r="C26">
        <v>36464334.282429442</v>
      </c>
      <c r="D26">
        <v>35448029.477715068</v>
      </c>
      <c r="E26">
        <v>42342.342342342999</v>
      </c>
      <c r="F26">
        <v>876351.35135135404</v>
      </c>
      <c r="G26">
        <v>11</v>
      </c>
      <c r="H26">
        <v>22</v>
      </c>
      <c r="K26">
        <v>15</v>
      </c>
      <c r="L26">
        <v>22</v>
      </c>
      <c r="M26">
        <v>36296846.846846849</v>
      </c>
      <c r="N26">
        <v>52218918.918918923</v>
      </c>
      <c r="O26">
        <v>11936351.351351352</v>
      </c>
      <c r="P26">
        <v>12962036.036036037</v>
      </c>
      <c r="Q26">
        <v>23863423.423423424</v>
      </c>
      <c r="R26">
        <v>49313063.063063063</v>
      </c>
      <c r="S26">
        <v>2303</v>
      </c>
      <c r="T26">
        <v>1762</v>
      </c>
    </row>
    <row r="27" spans="1:20" x14ac:dyDescent="0.35">
      <c r="A27" s="7" t="s">
        <v>86</v>
      </c>
      <c r="B27" s="12" t="s">
        <v>87</v>
      </c>
      <c r="C27">
        <v>1475601.3163718551</v>
      </c>
      <c r="D27">
        <v>1316860.7949722209</v>
      </c>
      <c r="G27">
        <v>2</v>
      </c>
      <c r="H27">
        <v>1</v>
      </c>
      <c r="K27">
        <v>2</v>
      </c>
      <c r="L27">
        <v>1</v>
      </c>
      <c r="O27">
        <v>434009.00900900899</v>
      </c>
      <c r="P27">
        <v>615639.63963963999</v>
      </c>
      <c r="S27">
        <v>152</v>
      </c>
      <c r="T27">
        <v>191</v>
      </c>
    </row>
    <row r="28" spans="1:20" x14ac:dyDescent="0.35">
      <c r="A28" s="7" t="s">
        <v>88</v>
      </c>
      <c r="B28" s="12" t="s">
        <v>89</v>
      </c>
      <c r="C28">
        <v>73924868.0649499</v>
      </c>
      <c r="D28">
        <v>73855604.003322884</v>
      </c>
      <c r="E28">
        <v>6306.3063063059999</v>
      </c>
      <c r="F28">
        <v>637837.83783783903</v>
      </c>
      <c r="G28">
        <v>7</v>
      </c>
      <c r="H28">
        <v>11</v>
      </c>
      <c r="K28">
        <v>8</v>
      </c>
      <c r="L28">
        <v>12</v>
      </c>
      <c r="M28">
        <v>5919459.4594594594</v>
      </c>
      <c r="N28">
        <v>11358558.558558557</v>
      </c>
      <c r="O28">
        <v>24962972.97297297</v>
      </c>
      <c r="P28">
        <v>25436243.243243244</v>
      </c>
      <c r="Q28">
        <v>4143063.0630630632</v>
      </c>
      <c r="R28">
        <v>10520720.72072072</v>
      </c>
      <c r="S28">
        <v>3458</v>
      </c>
      <c r="T28">
        <v>3354</v>
      </c>
    </row>
    <row r="29" spans="1:20" x14ac:dyDescent="0.35">
      <c r="A29" s="7" t="s">
        <v>90</v>
      </c>
      <c r="B29" s="12" t="s">
        <v>60</v>
      </c>
      <c r="C29">
        <v>24644628.588570744</v>
      </c>
      <c r="D29">
        <v>27530421.102163952</v>
      </c>
      <c r="E29">
        <v>7207.2072072069996</v>
      </c>
      <c r="F29">
        <v>41441.441441442999</v>
      </c>
      <c r="G29">
        <v>9</v>
      </c>
      <c r="H29">
        <v>4</v>
      </c>
      <c r="K29">
        <v>48</v>
      </c>
      <c r="L29">
        <v>42</v>
      </c>
      <c r="M29">
        <v>1232432.432432431</v>
      </c>
      <c r="N29">
        <v>2131531.5315315332</v>
      </c>
      <c r="O29">
        <v>13970585.585585585</v>
      </c>
      <c r="P29">
        <v>15790666.666666668</v>
      </c>
      <c r="Q29">
        <v>1559459.4594594589</v>
      </c>
      <c r="R29">
        <v>2119819.8198198201</v>
      </c>
      <c r="S29">
        <v>1313</v>
      </c>
      <c r="T29">
        <v>1600</v>
      </c>
    </row>
    <row r="30" spans="1:20" x14ac:dyDescent="0.35">
      <c r="A30" s="7" t="s">
        <v>91</v>
      </c>
      <c r="B30" s="12" t="s">
        <v>92</v>
      </c>
      <c r="C30">
        <v>21813998.187671695</v>
      </c>
      <c r="D30">
        <v>22296658.232878894</v>
      </c>
      <c r="F30">
        <v>1170270.270270271</v>
      </c>
      <c r="G30">
        <v>5</v>
      </c>
      <c r="H30">
        <v>5</v>
      </c>
      <c r="K30">
        <v>6</v>
      </c>
      <c r="L30">
        <v>8</v>
      </c>
      <c r="M30">
        <v>60540.540540540998</v>
      </c>
      <c r="N30">
        <v>10323423.423423424</v>
      </c>
      <c r="O30">
        <v>7294684.6846846854</v>
      </c>
      <c r="P30">
        <v>6859612.6126126125</v>
      </c>
      <c r="Q30">
        <v>60540.540540540998</v>
      </c>
      <c r="R30">
        <v>10513513.513513515</v>
      </c>
      <c r="S30">
        <v>1044</v>
      </c>
      <c r="T30">
        <v>1044</v>
      </c>
    </row>
    <row r="31" spans="1:20" x14ac:dyDescent="0.35">
      <c r="A31" s="7" t="s">
        <v>93</v>
      </c>
      <c r="B31" s="12" t="s">
        <v>94</v>
      </c>
      <c r="C31">
        <v>99154531.934109196</v>
      </c>
      <c r="D31">
        <v>91613429.127315119</v>
      </c>
      <c r="E31">
        <v>9009.0090090100002</v>
      </c>
      <c r="F31">
        <v>108108.10810810899</v>
      </c>
      <c r="G31">
        <v>23</v>
      </c>
      <c r="H31">
        <v>15</v>
      </c>
      <c r="K31">
        <v>28</v>
      </c>
      <c r="L31">
        <v>19</v>
      </c>
      <c r="M31">
        <v>10200000</v>
      </c>
      <c r="N31">
        <v>8445945.9459459465</v>
      </c>
      <c r="O31">
        <v>13631306.306306306</v>
      </c>
      <c r="P31">
        <v>13939989.189189188</v>
      </c>
      <c r="Q31">
        <v>10036036.036036037</v>
      </c>
      <c r="R31">
        <v>9803153.1531531531</v>
      </c>
      <c r="S31">
        <v>4465</v>
      </c>
      <c r="T31">
        <v>4475</v>
      </c>
    </row>
    <row r="32" spans="1:20" x14ac:dyDescent="0.35">
      <c r="A32" s="7" t="s">
        <v>95</v>
      </c>
      <c r="B32" s="12" t="s">
        <v>96</v>
      </c>
      <c r="C32">
        <v>99452654.972650588</v>
      </c>
      <c r="D32">
        <v>95827467.606848493</v>
      </c>
      <c r="E32">
        <v>89189.189189191005</v>
      </c>
      <c r="F32">
        <v>396396.39639639901</v>
      </c>
      <c r="G32">
        <v>25</v>
      </c>
      <c r="H32">
        <v>21</v>
      </c>
      <c r="K32">
        <v>30</v>
      </c>
      <c r="L32">
        <v>22</v>
      </c>
      <c r="M32">
        <v>11452072.072072076</v>
      </c>
      <c r="N32">
        <v>17072072.07207207</v>
      </c>
      <c r="O32">
        <v>45818099.0990991</v>
      </c>
      <c r="P32">
        <v>47869351.351351351</v>
      </c>
      <c r="Q32">
        <v>13387567.567567565</v>
      </c>
      <c r="R32">
        <v>13583693.693693696</v>
      </c>
      <c r="S32">
        <v>5968</v>
      </c>
      <c r="T32">
        <v>6082</v>
      </c>
    </row>
    <row r="33" spans="1:20" x14ac:dyDescent="0.35">
      <c r="A33" s="7" t="s">
        <v>97</v>
      </c>
      <c r="B33" s="12" t="s">
        <v>98</v>
      </c>
      <c r="C33">
        <v>352527097.94712293</v>
      </c>
      <c r="D33">
        <v>351179857.41208643</v>
      </c>
      <c r="E33">
        <v>991081.08108108595</v>
      </c>
      <c r="F33">
        <v>1939639.6396396409</v>
      </c>
      <c r="G33">
        <v>143</v>
      </c>
      <c r="H33">
        <v>123</v>
      </c>
      <c r="K33">
        <v>176</v>
      </c>
      <c r="L33">
        <v>155</v>
      </c>
      <c r="M33">
        <v>42953423.423423424</v>
      </c>
      <c r="N33">
        <v>44786756.756756753</v>
      </c>
      <c r="O33">
        <v>91648792.792792797</v>
      </c>
      <c r="P33">
        <v>89761972.972972974</v>
      </c>
      <c r="Q33">
        <v>42447837.83783783</v>
      </c>
      <c r="R33">
        <v>42219639.639639638</v>
      </c>
      <c r="S33">
        <v>22161</v>
      </c>
      <c r="T33">
        <v>22370</v>
      </c>
    </row>
    <row r="34" spans="1:20" x14ac:dyDescent="0.35">
      <c r="A34" s="7" t="s">
        <v>99</v>
      </c>
      <c r="B34" s="12" t="s">
        <v>98</v>
      </c>
      <c r="C34">
        <v>585481638.64727664</v>
      </c>
      <c r="D34">
        <v>570165745.22553349</v>
      </c>
      <c r="E34">
        <v>43030724.324324325</v>
      </c>
      <c r="F34">
        <v>2336459.459459465</v>
      </c>
      <c r="G34">
        <v>153</v>
      </c>
      <c r="H34">
        <v>141</v>
      </c>
      <c r="K34">
        <v>210</v>
      </c>
      <c r="L34">
        <v>234</v>
      </c>
      <c r="M34">
        <v>43318378.378378376</v>
      </c>
      <c r="N34">
        <v>36583558.558558561</v>
      </c>
      <c r="O34">
        <v>110292572.07207206</v>
      </c>
      <c r="P34">
        <v>111849995.49549548</v>
      </c>
      <c r="Q34">
        <v>37994279.279279277</v>
      </c>
      <c r="R34">
        <v>31460540.540540535</v>
      </c>
      <c r="S34">
        <v>28218</v>
      </c>
      <c r="T34">
        <v>27480</v>
      </c>
    </row>
    <row r="35" spans="1:20" x14ac:dyDescent="0.35">
      <c r="A35" s="7" t="s">
        <v>100</v>
      </c>
      <c r="B35" s="12" t="s">
        <v>98</v>
      </c>
      <c r="C35">
        <v>561250435.12684608</v>
      </c>
      <c r="D35">
        <v>555580199.45430875</v>
      </c>
      <c r="E35">
        <v>1341441.4414414461</v>
      </c>
      <c r="F35">
        <v>5298198.1981982049</v>
      </c>
      <c r="G35">
        <v>106</v>
      </c>
      <c r="H35">
        <v>126</v>
      </c>
      <c r="K35">
        <v>220</v>
      </c>
      <c r="L35">
        <v>207</v>
      </c>
      <c r="M35">
        <v>484487522.52252251</v>
      </c>
      <c r="N35">
        <v>52389864.864864863</v>
      </c>
      <c r="O35">
        <v>111310394.5945946</v>
      </c>
      <c r="P35">
        <v>117908389.63963963</v>
      </c>
      <c r="Q35">
        <v>478779637.83783782</v>
      </c>
      <c r="R35">
        <v>49619144.144144148</v>
      </c>
      <c r="S35">
        <v>32799</v>
      </c>
      <c r="T35">
        <v>33534</v>
      </c>
    </row>
    <row r="36" spans="1:20" x14ac:dyDescent="0.35">
      <c r="A36" s="7" t="s">
        <v>101</v>
      </c>
      <c r="B36" s="12" t="s">
        <v>98</v>
      </c>
      <c r="C36">
        <v>334004674.89302838</v>
      </c>
      <c r="D36">
        <v>329469841.04803479</v>
      </c>
      <c r="E36">
        <v>358558.558558558</v>
      </c>
      <c r="F36">
        <v>1234234.234234238</v>
      </c>
      <c r="G36">
        <v>93</v>
      </c>
      <c r="H36">
        <v>81</v>
      </c>
      <c r="I36">
        <v>1</v>
      </c>
      <c r="K36">
        <v>131</v>
      </c>
      <c r="L36">
        <v>114</v>
      </c>
      <c r="M36">
        <v>24186846.846846845</v>
      </c>
      <c r="N36">
        <v>20865765.765765768</v>
      </c>
      <c r="O36">
        <v>71021592.792792797</v>
      </c>
      <c r="P36">
        <v>74287603.603603601</v>
      </c>
      <c r="Q36">
        <v>26671531.531531531</v>
      </c>
      <c r="R36">
        <v>23113333.333333332</v>
      </c>
      <c r="S36">
        <v>21519</v>
      </c>
      <c r="T36">
        <v>21390</v>
      </c>
    </row>
    <row r="37" spans="1:20" x14ac:dyDescent="0.35">
      <c r="A37" s="7" t="s">
        <v>102</v>
      </c>
      <c r="B37" s="12" t="s">
        <v>98</v>
      </c>
      <c r="C37">
        <v>373037314.14877528</v>
      </c>
      <c r="D37">
        <v>371740453.65743858</v>
      </c>
      <c r="E37">
        <v>1211306.3063063109</v>
      </c>
      <c r="F37">
        <v>3692792.792792799</v>
      </c>
      <c r="G37">
        <v>63</v>
      </c>
      <c r="H37">
        <v>88</v>
      </c>
      <c r="I37">
        <v>1</v>
      </c>
      <c r="K37">
        <v>76</v>
      </c>
      <c r="L37">
        <v>108</v>
      </c>
      <c r="M37">
        <v>62252882.882882878</v>
      </c>
      <c r="N37">
        <v>37464864.864864871</v>
      </c>
      <c r="O37">
        <v>104716556.75675675</v>
      </c>
      <c r="P37">
        <v>108062369.36936937</v>
      </c>
      <c r="Q37">
        <v>54223603.603603601</v>
      </c>
      <c r="R37">
        <v>60108018.018018015</v>
      </c>
      <c r="S37">
        <v>25073</v>
      </c>
      <c r="T37">
        <v>26454</v>
      </c>
    </row>
    <row r="38" spans="1:20" x14ac:dyDescent="0.35">
      <c r="A38" s="7" t="s">
        <v>103</v>
      </c>
      <c r="B38" s="12" t="s">
        <v>98</v>
      </c>
      <c r="C38">
        <v>958053602.79494405</v>
      </c>
      <c r="D38">
        <v>954630176.86930394</v>
      </c>
      <c r="E38">
        <v>446654599.09909916</v>
      </c>
      <c r="F38">
        <v>184697477.47747749</v>
      </c>
      <c r="G38">
        <v>243</v>
      </c>
      <c r="H38">
        <v>233</v>
      </c>
      <c r="I38">
        <v>10</v>
      </c>
      <c r="K38">
        <v>313</v>
      </c>
      <c r="L38">
        <v>313</v>
      </c>
      <c r="M38">
        <v>83057837.83783783</v>
      </c>
      <c r="N38">
        <v>84713513.51351352</v>
      </c>
      <c r="O38">
        <v>192619070.27027026</v>
      </c>
      <c r="P38">
        <v>200090936.93693691</v>
      </c>
      <c r="Q38">
        <v>80463106.306306303</v>
      </c>
      <c r="R38">
        <v>89108918.918918908</v>
      </c>
      <c r="S38">
        <v>55184</v>
      </c>
      <c r="T38">
        <v>55092</v>
      </c>
    </row>
    <row r="39" spans="1:20" x14ac:dyDescent="0.35">
      <c r="A39" s="7" t="s">
        <v>104</v>
      </c>
      <c r="B39" s="12" t="s">
        <v>105</v>
      </c>
      <c r="C39">
        <v>73398604.163471818</v>
      </c>
      <c r="D39">
        <v>63795881.821866624</v>
      </c>
      <c r="E39">
        <v>186486.48648648601</v>
      </c>
      <c r="F39">
        <v>364864.86486486503</v>
      </c>
      <c r="G39">
        <v>11</v>
      </c>
      <c r="H39">
        <v>14</v>
      </c>
      <c r="K39">
        <v>14</v>
      </c>
      <c r="L39">
        <v>16</v>
      </c>
      <c r="M39">
        <v>1028828.8288288279</v>
      </c>
      <c r="N39">
        <v>364864.86486486503</v>
      </c>
      <c r="O39">
        <v>13088423.423423424</v>
      </c>
      <c r="P39">
        <v>13361378.378378378</v>
      </c>
      <c r="Q39">
        <v>899909.90990991099</v>
      </c>
      <c r="R39">
        <v>484684.68468468502</v>
      </c>
      <c r="S39">
        <v>2562</v>
      </c>
      <c r="T39">
        <v>2453</v>
      </c>
    </row>
    <row r="40" spans="1:20" x14ac:dyDescent="0.35">
      <c r="A40" s="7" t="s">
        <v>106</v>
      </c>
      <c r="B40" s="12" t="s">
        <v>54</v>
      </c>
      <c r="C40">
        <v>22842859.116658192</v>
      </c>
      <c r="D40">
        <v>21722555.929337047</v>
      </c>
      <c r="E40">
        <v>2702.7027027029999</v>
      </c>
      <c r="F40">
        <v>8108.1081081080001</v>
      </c>
      <c r="G40">
        <v>2</v>
      </c>
      <c r="H40">
        <v>6</v>
      </c>
      <c r="K40">
        <v>6</v>
      </c>
      <c r="L40">
        <v>8</v>
      </c>
      <c r="M40">
        <v>921621.62162162096</v>
      </c>
      <c r="N40">
        <v>571711.71171171195</v>
      </c>
      <c r="O40">
        <v>5225090.0900900913</v>
      </c>
      <c r="P40">
        <v>6046909.9099099096</v>
      </c>
      <c r="Q40">
        <v>1172072.0720720729</v>
      </c>
      <c r="R40">
        <v>881891.891891893</v>
      </c>
      <c r="S40">
        <v>1360</v>
      </c>
      <c r="T40">
        <v>1394</v>
      </c>
    </row>
    <row r="41" spans="1:20" x14ac:dyDescent="0.35">
      <c r="A41" s="7" t="s">
        <v>107</v>
      </c>
      <c r="B41" s="12" t="s">
        <v>108</v>
      </c>
      <c r="C41">
        <v>188409836.1770716</v>
      </c>
      <c r="D41">
        <v>181475128.05028167</v>
      </c>
      <c r="E41">
        <v>520000.00000000402</v>
      </c>
      <c r="F41">
        <v>2289189.1891891919</v>
      </c>
      <c r="G41">
        <v>46</v>
      </c>
      <c r="H41">
        <v>53</v>
      </c>
      <c r="K41">
        <v>59</v>
      </c>
      <c r="L41">
        <v>72</v>
      </c>
      <c r="M41">
        <v>18677657.657657657</v>
      </c>
      <c r="N41">
        <v>21648648.648648649</v>
      </c>
      <c r="O41">
        <v>39605446.846846849</v>
      </c>
      <c r="P41">
        <v>41665792.79279279</v>
      </c>
      <c r="Q41">
        <v>16266306.306306306</v>
      </c>
      <c r="R41">
        <v>20606666.666666668</v>
      </c>
      <c r="S41">
        <v>10362</v>
      </c>
      <c r="T41">
        <v>9664</v>
      </c>
    </row>
    <row r="42" spans="1:20" x14ac:dyDescent="0.35">
      <c r="A42" s="7" t="s">
        <v>109</v>
      </c>
      <c r="B42" s="12" t="s">
        <v>108</v>
      </c>
      <c r="C42">
        <v>253934081.33312663</v>
      </c>
      <c r="D42">
        <v>261137924.70575613</v>
      </c>
      <c r="E42">
        <v>3221171.1711711721</v>
      </c>
      <c r="F42">
        <v>1649549.5495495531</v>
      </c>
      <c r="G42">
        <v>50</v>
      </c>
      <c r="H42">
        <v>83</v>
      </c>
      <c r="K42">
        <v>67</v>
      </c>
      <c r="L42">
        <v>133</v>
      </c>
      <c r="M42">
        <v>196279729.72972974</v>
      </c>
      <c r="N42">
        <v>17112252.252252247</v>
      </c>
      <c r="O42">
        <v>63073355.855855852</v>
      </c>
      <c r="P42">
        <v>71778495.495495498</v>
      </c>
      <c r="Q42">
        <v>185020090.09009007</v>
      </c>
      <c r="R42">
        <v>33124954.954954952</v>
      </c>
      <c r="S42">
        <v>14144</v>
      </c>
      <c r="T42">
        <v>14281</v>
      </c>
    </row>
    <row r="43" spans="1:20" x14ac:dyDescent="0.35">
      <c r="A43" s="7" t="s">
        <v>110</v>
      </c>
      <c r="B43" s="12" t="s">
        <v>111</v>
      </c>
      <c r="C43">
        <v>313510431.87953061</v>
      </c>
      <c r="D43">
        <v>298140524.19466078</v>
      </c>
      <c r="E43">
        <v>26313603.603603609</v>
      </c>
      <c r="F43">
        <v>85091801.801801801</v>
      </c>
      <c r="G43">
        <v>46</v>
      </c>
      <c r="H43">
        <v>73</v>
      </c>
      <c r="K43">
        <v>61</v>
      </c>
      <c r="L43">
        <v>167</v>
      </c>
      <c r="M43">
        <v>23864324.324324325</v>
      </c>
      <c r="N43">
        <v>27790294.59459459</v>
      </c>
      <c r="O43">
        <v>95893396.396396399</v>
      </c>
      <c r="P43">
        <v>101326405.4054054</v>
      </c>
      <c r="Q43">
        <v>23894144.144144144</v>
      </c>
      <c r="R43">
        <v>28648918.918918919</v>
      </c>
      <c r="S43">
        <v>19672</v>
      </c>
      <c r="T43">
        <v>20529</v>
      </c>
    </row>
    <row r="44" spans="1:20" x14ac:dyDescent="0.35">
      <c r="A44" s="7" t="s">
        <v>112</v>
      </c>
      <c r="B44" s="12" t="s">
        <v>111</v>
      </c>
      <c r="C44">
        <v>386344057.45221961</v>
      </c>
      <c r="D44">
        <v>390463029.99411452</v>
      </c>
      <c r="E44">
        <v>8268828.8288288331</v>
      </c>
      <c r="F44">
        <v>5559459.4594594659</v>
      </c>
      <c r="G44">
        <v>85</v>
      </c>
      <c r="H44">
        <v>136</v>
      </c>
      <c r="I44">
        <v>1</v>
      </c>
      <c r="K44">
        <v>106</v>
      </c>
      <c r="L44">
        <v>213</v>
      </c>
      <c r="M44">
        <v>30264324.324324321</v>
      </c>
      <c r="N44">
        <v>32123526.126126133</v>
      </c>
      <c r="O44">
        <v>128093828.82882883</v>
      </c>
      <c r="P44">
        <v>141189855.85585585</v>
      </c>
      <c r="Q44">
        <v>24047117.117117114</v>
      </c>
      <c r="R44">
        <v>32971441.441441447</v>
      </c>
      <c r="S44">
        <v>27114</v>
      </c>
      <c r="T44">
        <v>27923</v>
      </c>
    </row>
    <row r="45" spans="1:20" x14ac:dyDescent="0.35">
      <c r="A45" s="7" t="s">
        <v>113</v>
      </c>
      <c r="B45" s="12" t="s">
        <v>111</v>
      </c>
      <c r="C45">
        <v>267023122.0992552</v>
      </c>
      <c r="D45">
        <v>267586760.11704186</v>
      </c>
      <c r="E45">
        <v>7248648.6486486532</v>
      </c>
      <c r="F45">
        <v>2231306.306306317</v>
      </c>
      <c r="G45">
        <v>62</v>
      </c>
      <c r="H45">
        <v>98</v>
      </c>
      <c r="I45">
        <v>2</v>
      </c>
      <c r="K45">
        <v>75</v>
      </c>
      <c r="L45">
        <v>188</v>
      </c>
      <c r="M45">
        <v>19947837.837837838</v>
      </c>
      <c r="N45">
        <v>17226053.153153151</v>
      </c>
      <c r="O45">
        <v>79952765.765765756</v>
      </c>
      <c r="P45">
        <v>86468610.810810819</v>
      </c>
      <c r="Q45">
        <v>17478468.468468469</v>
      </c>
      <c r="R45">
        <v>19296396.396396395</v>
      </c>
      <c r="S45">
        <v>14259</v>
      </c>
      <c r="T45">
        <v>13510</v>
      </c>
    </row>
    <row r="46" spans="1:20" x14ac:dyDescent="0.35">
      <c r="A46" s="7" t="s">
        <v>114</v>
      </c>
      <c r="B46" s="12" t="s">
        <v>111</v>
      </c>
      <c r="C46">
        <v>309135991.83083886</v>
      </c>
      <c r="D46">
        <v>312413638.76198208</v>
      </c>
      <c r="E46">
        <v>975225.22522522905</v>
      </c>
      <c r="F46">
        <v>4125000.0000000098</v>
      </c>
      <c r="G46">
        <v>72</v>
      </c>
      <c r="H46">
        <v>111</v>
      </c>
      <c r="I46">
        <v>9</v>
      </c>
      <c r="K46">
        <v>105</v>
      </c>
      <c r="L46">
        <v>239</v>
      </c>
      <c r="M46">
        <v>22077027.027027026</v>
      </c>
      <c r="N46">
        <v>29687747.747747749</v>
      </c>
      <c r="O46">
        <v>84621144.144144148</v>
      </c>
      <c r="P46">
        <v>85733630.630630627</v>
      </c>
      <c r="Q46">
        <v>20686756.756756753</v>
      </c>
      <c r="R46">
        <v>26008468.468468472</v>
      </c>
      <c r="S46">
        <v>19930</v>
      </c>
      <c r="T46">
        <v>19214</v>
      </c>
    </row>
    <row r="47" spans="1:20" x14ac:dyDescent="0.35">
      <c r="A47" s="7" t="s">
        <v>115</v>
      </c>
      <c r="B47" s="12" t="s">
        <v>111</v>
      </c>
      <c r="C47">
        <v>402433426.19933748</v>
      </c>
      <c r="D47">
        <v>366044517.92592609</v>
      </c>
      <c r="E47">
        <v>3583365.7657657699</v>
      </c>
      <c r="F47">
        <v>10607715.315315315</v>
      </c>
      <c r="G47">
        <v>132</v>
      </c>
      <c r="H47">
        <v>176</v>
      </c>
      <c r="K47">
        <v>167</v>
      </c>
      <c r="L47">
        <v>304</v>
      </c>
      <c r="M47">
        <v>32715945.945945937</v>
      </c>
      <c r="N47">
        <v>97865375.675675675</v>
      </c>
      <c r="O47">
        <v>96283324.324324325</v>
      </c>
      <c r="P47">
        <v>101984998.1981982</v>
      </c>
      <c r="Q47">
        <v>54872792.792792782</v>
      </c>
      <c r="R47">
        <v>69671484.684684679</v>
      </c>
      <c r="S47">
        <v>24723</v>
      </c>
      <c r="T47">
        <v>23218</v>
      </c>
    </row>
    <row r="48" spans="1:20" x14ac:dyDescent="0.35">
      <c r="A48" s="7" t="s">
        <v>116</v>
      </c>
      <c r="B48" s="12" t="s">
        <v>54</v>
      </c>
      <c r="C48">
        <v>21128733.613856614</v>
      </c>
      <c r="D48">
        <v>20341467.741916522</v>
      </c>
      <c r="E48">
        <v>304504.50450450397</v>
      </c>
      <c r="F48">
        <v>427702.70270270301</v>
      </c>
      <c r="G48">
        <v>1</v>
      </c>
      <c r="H48">
        <v>6</v>
      </c>
      <c r="K48">
        <v>1</v>
      </c>
      <c r="L48">
        <v>7</v>
      </c>
      <c r="M48">
        <v>1673873.8738738741</v>
      </c>
      <c r="N48">
        <v>1689189.1891891891</v>
      </c>
      <c r="O48">
        <v>4886297.297297297</v>
      </c>
      <c r="P48">
        <v>5023756.7567567574</v>
      </c>
      <c r="Q48">
        <v>1869909.9099099089</v>
      </c>
      <c r="R48">
        <v>1821801.801801801</v>
      </c>
      <c r="S48">
        <v>1071</v>
      </c>
      <c r="T48">
        <v>981</v>
      </c>
    </row>
    <row r="49" spans="1:20" x14ac:dyDescent="0.35">
      <c r="A49" s="7" t="s">
        <v>118</v>
      </c>
      <c r="B49" s="12" t="s">
        <v>78</v>
      </c>
      <c r="C49">
        <v>182202164.26500994</v>
      </c>
      <c r="D49">
        <v>175120303.16092521</v>
      </c>
      <c r="E49">
        <v>91845346.846846849</v>
      </c>
      <c r="F49">
        <v>263742181.08108109</v>
      </c>
      <c r="G49">
        <v>41</v>
      </c>
      <c r="H49">
        <v>44</v>
      </c>
      <c r="I49">
        <v>1</v>
      </c>
      <c r="K49">
        <v>60</v>
      </c>
      <c r="L49">
        <v>85</v>
      </c>
      <c r="M49">
        <v>26898828.828828823</v>
      </c>
      <c r="N49">
        <v>45950900.9009009</v>
      </c>
      <c r="O49">
        <v>65943054.054054059</v>
      </c>
      <c r="P49">
        <v>71532054.054054052</v>
      </c>
      <c r="Q49">
        <v>25105945.945945948</v>
      </c>
      <c r="R49">
        <v>44903153.153153151</v>
      </c>
      <c r="S49">
        <v>11332</v>
      </c>
      <c r="T49">
        <v>11127</v>
      </c>
    </row>
    <row r="50" spans="1:20" x14ac:dyDescent="0.35">
      <c r="A50" s="7" t="s">
        <v>119</v>
      </c>
      <c r="B50" s="12" t="s">
        <v>50</v>
      </c>
      <c r="C50">
        <v>57612485.487645902</v>
      </c>
      <c r="D50">
        <v>55871038.826699965</v>
      </c>
      <c r="E50">
        <v>64827238.738738738</v>
      </c>
      <c r="F50">
        <v>92775403.603603601</v>
      </c>
      <c r="G50">
        <v>23</v>
      </c>
      <c r="H50">
        <v>15</v>
      </c>
      <c r="K50">
        <v>25</v>
      </c>
      <c r="L50">
        <v>18</v>
      </c>
      <c r="M50">
        <v>85268968.468468457</v>
      </c>
      <c r="N50">
        <v>7737387.3873873893</v>
      </c>
      <c r="O50">
        <v>19315450.450450446</v>
      </c>
      <c r="P50">
        <v>19794387.387387387</v>
      </c>
      <c r="Q50">
        <v>11705585.585585589</v>
      </c>
      <c r="R50">
        <v>6281891.8918918921</v>
      </c>
      <c r="S50">
        <v>2459</v>
      </c>
      <c r="T50">
        <v>2443</v>
      </c>
    </row>
    <row r="51" spans="1:20" x14ac:dyDescent="0.35">
      <c r="A51" s="7" t="s">
        <v>667</v>
      </c>
      <c r="B51" s="12" t="s">
        <v>224</v>
      </c>
      <c r="E51">
        <v>47297297.297297299</v>
      </c>
      <c r="M51">
        <v>1825000</v>
      </c>
      <c r="N51">
        <v>1126576.576576577</v>
      </c>
    </row>
    <row r="52" spans="1:20" x14ac:dyDescent="0.35">
      <c r="A52" s="7" t="s">
        <v>120</v>
      </c>
      <c r="B52" s="12" t="s">
        <v>121</v>
      </c>
      <c r="C52">
        <v>209599454.76772276</v>
      </c>
      <c r="D52">
        <v>185109304.56041476</v>
      </c>
      <c r="E52">
        <v>481981.98198198399</v>
      </c>
      <c r="F52">
        <v>1656981.9819819869</v>
      </c>
      <c r="G52">
        <v>68</v>
      </c>
      <c r="H52">
        <v>65</v>
      </c>
      <c r="K52">
        <v>81</v>
      </c>
      <c r="L52">
        <v>88</v>
      </c>
      <c r="M52">
        <v>3887387.3873873889</v>
      </c>
      <c r="N52">
        <v>6673873.8738738783</v>
      </c>
      <c r="O52">
        <v>13601765.765765764</v>
      </c>
      <c r="P52">
        <v>13728801.801801804</v>
      </c>
      <c r="Q52">
        <v>5355135.1351351328</v>
      </c>
      <c r="R52">
        <v>4718378.3783783792</v>
      </c>
      <c r="S52">
        <v>8074</v>
      </c>
      <c r="T52">
        <v>7945</v>
      </c>
    </row>
    <row r="53" spans="1:20" x14ac:dyDescent="0.35">
      <c r="A53" s="7" t="s">
        <v>122</v>
      </c>
      <c r="B53" s="12" t="s">
        <v>123</v>
      </c>
      <c r="C53">
        <v>92679273.070935711</v>
      </c>
      <c r="D53">
        <v>94375850.376233786</v>
      </c>
      <c r="E53">
        <v>308558.558558558</v>
      </c>
      <c r="F53">
        <v>453828.82882882899</v>
      </c>
      <c r="G53">
        <v>5</v>
      </c>
      <c r="H53">
        <v>14</v>
      </c>
      <c r="K53">
        <v>7</v>
      </c>
      <c r="L53">
        <v>15</v>
      </c>
      <c r="M53">
        <v>26139549.549549554</v>
      </c>
      <c r="N53">
        <v>15473873.873873873</v>
      </c>
      <c r="O53">
        <v>40782565.765765756</v>
      </c>
      <c r="P53">
        <v>41564648.648648649</v>
      </c>
      <c r="Q53">
        <v>24586396.396396395</v>
      </c>
      <c r="R53">
        <v>16765225.225225223</v>
      </c>
      <c r="S53">
        <v>4479</v>
      </c>
      <c r="T53">
        <v>4443</v>
      </c>
    </row>
    <row r="54" spans="1:20" x14ac:dyDescent="0.35">
      <c r="A54" s="7" t="s">
        <v>124</v>
      </c>
      <c r="B54" s="12" t="s">
        <v>125</v>
      </c>
      <c r="C54">
        <v>136055248.43027556</v>
      </c>
      <c r="D54">
        <v>124984199.77994803</v>
      </c>
      <c r="E54">
        <v>188828.82882882899</v>
      </c>
      <c r="F54">
        <v>1358108.108108111</v>
      </c>
      <c r="G54">
        <v>15</v>
      </c>
      <c r="H54">
        <v>28</v>
      </c>
      <c r="K54">
        <v>16</v>
      </c>
      <c r="L54">
        <v>31</v>
      </c>
      <c r="M54">
        <v>43320000</v>
      </c>
      <c r="N54">
        <v>21609009.009009007</v>
      </c>
      <c r="O54">
        <v>38943459.459459454</v>
      </c>
      <c r="P54">
        <v>38039836.036036037</v>
      </c>
      <c r="Q54">
        <v>43080720.720720723</v>
      </c>
      <c r="R54">
        <v>25699052.252252247</v>
      </c>
      <c r="S54">
        <v>6705</v>
      </c>
      <c r="T54">
        <v>6264</v>
      </c>
    </row>
    <row r="55" spans="1:20" x14ac:dyDescent="0.35">
      <c r="A55" s="7" t="s">
        <v>126</v>
      </c>
      <c r="B55" s="12" t="s">
        <v>78</v>
      </c>
      <c r="C55">
        <v>87711417.045245782</v>
      </c>
      <c r="D55">
        <v>81263860.029980555</v>
      </c>
      <c r="E55">
        <v>1023153.153153154</v>
      </c>
      <c r="F55">
        <v>1771171.17117117</v>
      </c>
      <c r="G55">
        <v>13</v>
      </c>
      <c r="H55">
        <v>21</v>
      </c>
      <c r="K55">
        <v>15</v>
      </c>
      <c r="L55">
        <v>24</v>
      </c>
      <c r="M55">
        <v>15482612.612612613</v>
      </c>
      <c r="N55">
        <v>12005405.405405404</v>
      </c>
      <c r="O55">
        <v>32243567.567567568</v>
      </c>
      <c r="P55">
        <v>32849837.837837841</v>
      </c>
      <c r="Q55">
        <v>14738738.738738736</v>
      </c>
      <c r="R55">
        <v>13502972.972972974</v>
      </c>
      <c r="S55">
        <v>5019</v>
      </c>
      <c r="T55">
        <v>4990</v>
      </c>
    </row>
    <row r="56" spans="1:20" x14ac:dyDescent="0.35">
      <c r="A56" s="7" t="s">
        <v>127</v>
      </c>
      <c r="B56" s="12" t="s">
        <v>78</v>
      </c>
      <c r="C56">
        <v>16051087.131614799</v>
      </c>
      <c r="D56">
        <v>13457521.250793699</v>
      </c>
      <c r="E56">
        <v>8558.5585585589997</v>
      </c>
      <c r="F56">
        <v>282882.88288288499</v>
      </c>
      <c r="G56">
        <v>3</v>
      </c>
      <c r="H56">
        <v>5</v>
      </c>
      <c r="I56">
        <v>1</v>
      </c>
      <c r="K56">
        <v>3</v>
      </c>
      <c r="L56">
        <v>7</v>
      </c>
      <c r="M56">
        <v>2350900.9009008999</v>
      </c>
      <c r="N56">
        <v>4544144.1441441439</v>
      </c>
      <c r="O56">
        <v>8078288.2882882887</v>
      </c>
      <c r="P56">
        <v>7336648.6486486495</v>
      </c>
      <c r="Q56">
        <v>2736306.3063063049</v>
      </c>
      <c r="R56">
        <v>6084774.774774774</v>
      </c>
      <c r="S56">
        <v>1227</v>
      </c>
      <c r="T56">
        <v>1241</v>
      </c>
    </row>
    <row r="57" spans="1:20" x14ac:dyDescent="0.35">
      <c r="A57" s="7" t="s">
        <v>128</v>
      </c>
      <c r="B57" s="12" t="s">
        <v>78</v>
      </c>
      <c r="C57">
        <v>83758808.397542402</v>
      </c>
      <c r="D57">
        <v>79936686.219944283</v>
      </c>
      <c r="E57">
        <v>645945.94594594603</v>
      </c>
      <c r="F57">
        <v>642342.34234234598</v>
      </c>
      <c r="G57">
        <v>29</v>
      </c>
      <c r="H57">
        <v>38</v>
      </c>
      <c r="I57">
        <v>1</v>
      </c>
      <c r="K57">
        <v>38</v>
      </c>
      <c r="L57">
        <v>63</v>
      </c>
      <c r="M57">
        <v>8087387.3873873856</v>
      </c>
      <c r="N57">
        <v>7921621.6216216218</v>
      </c>
      <c r="O57">
        <v>30480774.774774775</v>
      </c>
      <c r="P57">
        <v>31969396.396396395</v>
      </c>
      <c r="Q57">
        <v>8094684.6846846854</v>
      </c>
      <c r="R57">
        <v>7899459.4594594603</v>
      </c>
      <c r="S57">
        <v>5778</v>
      </c>
      <c r="T57">
        <v>5837</v>
      </c>
    </row>
    <row r="58" spans="1:20" x14ac:dyDescent="0.35">
      <c r="A58" s="7" t="s">
        <v>129</v>
      </c>
      <c r="B58" s="12" t="s">
        <v>85</v>
      </c>
      <c r="C58">
        <v>26583397.276993293</v>
      </c>
      <c r="D58">
        <v>24631006.546418048</v>
      </c>
      <c r="E58">
        <v>12612.612612613</v>
      </c>
      <c r="F58">
        <v>69369.369369370004</v>
      </c>
      <c r="G58">
        <v>9</v>
      </c>
      <c r="H58">
        <v>5</v>
      </c>
      <c r="K58">
        <v>10</v>
      </c>
      <c r="L58">
        <v>6</v>
      </c>
      <c r="M58">
        <v>17778378.378378376</v>
      </c>
      <c r="N58">
        <v>17212612.612612613</v>
      </c>
      <c r="O58">
        <v>11625495.495495496</v>
      </c>
      <c r="P58">
        <v>11272648.648648648</v>
      </c>
      <c r="Q58">
        <v>9167207.2072072066</v>
      </c>
      <c r="R58">
        <v>14143153.153153153</v>
      </c>
      <c r="S58">
        <v>1282</v>
      </c>
      <c r="T58">
        <v>1162</v>
      </c>
    </row>
    <row r="59" spans="1:20" x14ac:dyDescent="0.35">
      <c r="A59" s="7" t="s">
        <v>130</v>
      </c>
      <c r="B59" s="12" t="s">
        <v>89</v>
      </c>
      <c r="C59">
        <v>232653335.636127</v>
      </c>
      <c r="D59">
        <v>217518507.8015337</v>
      </c>
      <c r="E59">
        <v>25317117.117117114</v>
      </c>
      <c r="F59">
        <v>135296846.84684685</v>
      </c>
      <c r="G59">
        <v>24</v>
      </c>
      <c r="H59">
        <v>36</v>
      </c>
      <c r="K59">
        <v>29</v>
      </c>
      <c r="L59">
        <v>41</v>
      </c>
      <c r="M59">
        <v>11390090.090090089</v>
      </c>
      <c r="N59">
        <v>14622252.252252253</v>
      </c>
      <c r="O59">
        <v>65034945.945945948</v>
      </c>
      <c r="P59">
        <v>68894936.93693693</v>
      </c>
      <c r="Q59">
        <v>10188828.828828828</v>
      </c>
      <c r="R59">
        <v>15350810.810810812</v>
      </c>
      <c r="S59">
        <v>10633</v>
      </c>
      <c r="T59">
        <v>10390</v>
      </c>
    </row>
    <row r="60" spans="1:20" x14ac:dyDescent="0.35">
      <c r="A60" s="7" t="s">
        <v>131</v>
      </c>
      <c r="B60" s="12" t="s">
        <v>132</v>
      </c>
      <c r="C60">
        <v>123305290.90337402</v>
      </c>
      <c r="D60">
        <v>107115512.12491381</v>
      </c>
      <c r="E60">
        <v>6789189.189189191</v>
      </c>
      <c r="F60">
        <v>15347747.747747747</v>
      </c>
      <c r="G60">
        <v>44</v>
      </c>
      <c r="H60">
        <v>56</v>
      </c>
      <c r="K60">
        <v>46</v>
      </c>
      <c r="L60">
        <v>65</v>
      </c>
      <c r="M60">
        <v>10965765.765765766</v>
      </c>
      <c r="N60">
        <v>11181981.981981983</v>
      </c>
      <c r="O60">
        <v>39404540.540540546</v>
      </c>
      <c r="P60">
        <v>34828409.909909911</v>
      </c>
      <c r="Q60">
        <v>7099189.1891891919</v>
      </c>
      <c r="R60">
        <v>9946216.2162162159</v>
      </c>
      <c r="S60">
        <v>6203</v>
      </c>
      <c r="T60">
        <v>7056</v>
      </c>
    </row>
    <row r="61" spans="1:20" x14ac:dyDescent="0.35">
      <c r="A61" s="7" t="s">
        <v>133</v>
      </c>
      <c r="B61" s="12" t="s">
        <v>134</v>
      </c>
      <c r="C61">
        <v>20003900.633439656</v>
      </c>
      <c r="D61">
        <v>7976108.6952562472</v>
      </c>
      <c r="O61">
        <v>2488693.6936936942</v>
      </c>
      <c r="P61">
        <v>1737792.7927927929</v>
      </c>
      <c r="S61">
        <v>2213</v>
      </c>
      <c r="T61">
        <v>2084</v>
      </c>
    </row>
    <row r="62" spans="1:20" x14ac:dyDescent="0.35">
      <c r="A62" s="7" t="s">
        <v>135</v>
      </c>
      <c r="B62" s="12" t="s">
        <v>136</v>
      </c>
      <c r="C62">
        <v>103784570.08002138</v>
      </c>
      <c r="D62">
        <v>99501198.609359309</v>
      </c>
      <c r="E62">
        <v>3603.603603604</v>
      </c>
      <c r="F62">
        <v>315315.31531531701</v>
      </c>
      <c r="G62">
        <v>19</v>
      </c>
      <c r="H62">
        <v>33</v>
      </c>
      <c r="K62">
        <v>23</v>
      </c>
      <c r="L62">
        <v>39</v>
      </c>
      <c r="M62">
        <v>10536936.936936937</v>
      </c>
      <c r="N62">
        <v>5945945.9459459446</v>
      </c>
      <c r="O62">
        <v>16730171.171171172</v>
      </c>
      <c r="P62">
        <v>16731261.26126126</v>
      </c>
      <c r="Q62">
        <v>9393333.333333334</v>
      </c>
      <c r="R62">
        <v>7036486.4864864871</v>
      </c>
      <c r="S62">
        <v>3590</v>
      </c>
      <c r="T62">
        <v>3428</v>
      </c>
    </row>
    <row r="63" spans="1:20" x14ac:dyDescent="0.35">
      <c r="A63" s="7" t="s">
        <v>137</v>
      </c>
      <c r="B63" s="12" t="s">
        <v>89</v>
      </c>
      <c r="C63">
        <v>118315618.20367366</v>
      </c>
      <c r="D63">
        <v>105057306.42633925</v>
      </c>
      <c r="E63">
        <v>51801.801801802001</v>
      </c>
      <c r="F63">
        <v>605180.18018018198</v>
      </c>
      <c r="G63">
        <v>10</v>
      </c>
      <c r="H63">
        <v>24</v>
      </c>
      <c r="I63">
        <v>3</v>
      </c>
      <c r="K63">
        <v>11</v>
      </c>
      <c r="L63">
        <v>26</v>
      </c>
      <c r="M63">
        <v>12524414.414414411</v>
      </c>
      <c r="N63">
        <v>12392612.612612616</v>
      </c>
      <c r="O63">
        <v>37610135.135135137</v>
      </c>
      <c r="P63">
        <v>35539241.441441439</v>
      </c>
      <c r="Q63">
        <v>10203693.693693692</v>
      </c>
      <c r="R63">
        <v>11889189.189189196</v>
      </c>
      <c r="S63">
        <v>4838</v>
      </c>
      <c r="T63">
        <v>4717</v>
      </c>
    </row>
    <row r="64" spans="1:20" x14ac:dyDescent="0.35">
      <c r="A64" s="7" t="s">
        <v>138</v>
      </c>
      <c r="B64" s="12" t="s">
        <v>78</v>
      </c>
      <c r="C64">
        <v>80517846.014765605</v>
      </c>
      <c r="D64">
        <v>79183133.287260398</v>
      </c>
      <c r="E64">
        <v>812342.34234234295</v>
      </c>
      <c r="F64">
        <v>2406306.30630631</v>
      </c>
      <c r="G64">
        <v>23</v>
      </c>
      <c r="H64">
        <v>25</v>
      </c>
      <c r="I64">
        <v>1</v>
      </c>
      <c r="K64">
        <v>31</v>
      </c>
      <c r="L64">
        <v>37</v>
      </c>
      <c r="M64">
        <v>11280810.81081081</v>
      </c>
      <c r="N64">
        <v>8946846.8468468469</v>
      </c>
      <c r="O64">
        <v>31757747.747747749</v>
      </c>
      <c r="P64">
        <v>33593693.693693697</v>
      </c>
      <c r="Q64">
        <v>10354234.234234236</v>
      </c>
      <c r="R64">
        <v>8743243.2432432454</v>
      </c>
      <c r="S64">
        <v>5320</v>
      </c>
      <c r="T64">
        <v>5098</v>
      </c>
    </row>
    <row r="65" spans="1:20" x14ac:dyDescent="0.35">
      <c r="A65" s="7" t="s">
        <v>139</v>
      </c>
      <c r="B65" s="12" t="s">
        <v>140</v>
      </c>
      <c r="C65">
        <v>107460876.04726283</v>
      </c>
      <c r="D65">
        <v>110562251.80785331</v>
      </c>
      <c r="E65">
        <v>865765.76576576696</v>
      </c>
      <c r="F65">
        <v>1136036.036036035</v>
      </c>
      <c r="G65">
        <v>13</v>
      </c>
      <c r="H65">
        <v>7</v>
      </c>
      <c r="K65">
        <v>15</v>
      </c>
      <c r="L65">
        <v>8</v>
      </c>
      <c r="M65">
        <v>7267117.1171171181</v>
      </c>
      <c r="N65">
        <v>9687387.3873873875</v>
      </c>
      <c r="O65">
        <v>17193468.468468469</v>
      </c>
      <c r="P65">
        <v>21332486.486486487</v>
      </c>
      <c r="Q65">
        <v>6984864.8648648672</v>
      </c>
      <c r="R65">
        <v>9632342.3423423413</v>
      </c>
      <c r="S65">
        <v>4440</v>
      </c>
      <c r="T65">
        <v>5604</v>
      </c>
    </row>
    <row r="66" spans="1:20" x14ac:dyDescent="0.35">
      <c r="A66" s="7" t="s">
        <v>141</v>
      </c>
      <c r="B66" s="12" t="s">
        <v>62</v>
      </c>
      <c r="C66">
        <v>74228858.721612468</v>
      </c>
      <c r="D66">
        <v>73851300.56043686</v>
      </c>
      <c r="E66">
        <v>1054954.954954956</v>
      </c>
      <c r="F66">
        <v>923423.42342342495</v>
      </c>
      <c r="G66">
        <v>21</v>
      </c>
      <c r="H66">
        <v>16</v>
      </c>
      <c r="K66">
        <v>27</v>
      </c>
      <c r="L66">
        <v>20</v>
      </c>
      <c r="M66">
        <v>37441891.891891889</v>
      </c>
      <c r="N66">
        <v>50669009.009009011</v>
      </c>
      <c r="O66">
        <v>15524189.18918919</v>
      </c>
      <c r="P66">
        <v>15457441.441441439</v>
      </c>
      <c r="Q66">
        <v>35976576.576576576</v>
      </c>
      <c r="R66">
        <v>50076396.396396399</v>
      </c>
      <c r="S66">
        <v>3897</v>
      </c>
      <c r="T66">
        <v>3879</v>
      </c>
    </row>
    <row r="67" spans="1:20" x14ac:dyDescent="0.35">
      <c r="A67" s="7" t="s">
        <v>142</v>
      </c>
      <c r="B67" s="12" t="s">
        <v>143</v>
      </c>
      <c r="C67">
        <v>892946.53425239597</v>
      </c>
      <c r="D67">
        <v>701045.80617881403</v>
      </c>
      <c r="H67">
        <v>1</v>
      </c>
      <c r="L67">
        <v>1</v>
      </c>
      <c r="O67">
        <v>16666.666666666999</v>
      </c>
      <c r="P67">
        <v>94594.594594594993</v>
      </c>
      <c r="S67">
        <v>130</v>
      </c>
      <c r="T67">
        <v>127</v>
      </c>
    </row>
    <row r="68" spans="1:20" x14ac:dyDescent="0.35">
      <c r="A68" s="7" t="s">
        <v>144</v>
      </c>
      <c r="B68" s="12" t="s">
        <v>140</v>
      </c>
      <c r="C68">
        <v>157831975.35492191</v>
      </c>
      <c r="D68">
        <v>160059107.18317541</v>
      </c>
      <c r="E68">
        <v>77297.297297298996</v>
      </c>
      <c r="F68">
        <v>795045.04504504602</v>
      </c>
      <c r="G68">
        <v>30</v>
      </c>
      <c r="H68">
        <v>36</v>
      </c>
      <c r="K68">
        <v>38</v>
      </c>
      <c r="L68">
        <v>46</v>
      </c>
      <c r="M68">
        <v>15504774.774774777</v>
      </c>
      <c r="N68">
        <v>16018918.918918919</v>
      </c>
      <c r="O68">
        <v>27487207.207207207</v>
      </c>
      <c r="P68">
        <v>28918486.486486483</v>
      </c>
      <c r="Q68">
        <v>15037027.027027028</v>
      </c>
      <c r="R68">
        <v>15214144.144144144</v>
      </c>
      <c r="S68">
        <v>7629</v>
      </c>
      <c r="T68">
        <v>7585</v>
      </c>
    </row>
    <row r="69" spans="1:20" x14ac:dyDescent="0.35">
      <c r="A69" s="7" t="s">
        <v>145</v>
      </c>
      <c r="B69" s="12" t="s">
        <v>78</v>
      </c>
      <c r="C69">
        <v>110499902.27077888</v>
      </c>
      <c r="D69">
        <v>109602074.61270413</v>
      </c>
      <c r="E69">
        <v>1193513.5135135129</v>
      </c>
      <c r="F69">
        <v>1404504.5045045081</v>
      </c>
      <c r="G69">
        <v>19</v>
      </c>
      <c r="H69">
        <v>34</v>
      </c>
      <c r="K69">
        <v>28</v>
      </c>
      <c r="L69">
        <v>40</v>
      </c>
      <c r="M69">
        <v>13468288.288288284</v>
      </c>
      <c r="N69">
        <v>7044144.1441441467</v>
      </c>
      <c r="O69">
        <v>28875846.846846849</v>
      </c>
      <c r="P69">
        <v>30629684.684684683</v>
      </c>
      <c r="Q69">
        <v>14063153.153153151</v>
      </c>
      <c r="R69">
        <v>10888828.828828828</v>
      </c>
      <c r="S69">
        <v>6447</v>
      </c>
      <c r="T69">
        <v>6474</v>
      </c>
    </row>
    <row r="70" spans="1:20" x14ac:dyDescent="0.35">
      <c r="A70" s="7" t="s">
        <v>146</v>
      </c>
      <c r="B70" s="12" t="s">
        <v>147</v>
      </c>
      <c r="C70">
        <v>76557898.383653551</v>
      </c>
      <c r="D70">
        <v>70695861.896689802</v>
      </c>
      <c r="E70">
        <v>17391891.891891893</v>
      </c>
      <c r="F70">
        <v>78320720.720720723</v>
      </c>
      <c r="G70">
        <v>15</v>
      </c>
      <c r="H70">
        <v>13</v>
      </c>
      <c r="K70">
        <v>16</v>
      </c>
      <c r="L70">
        <v>16</v>
      </c>
      <c r="M70">
        <v>11463828.828828828</v>
      </c>
      <c r="N70">
        <v>21296846.846846849</v>
      </c>
      <c r="O70">
        <v>20348144.144144144</v>
      </c>
      <c r="P70">
        <v>22579414.414414417</v>
      </c>
      <c r="Q70">
        <v>6551441.4414414419</v>
      </c>
      <c r="R70">
        <v>17269729.729729731</v>
      </c>
      <c r="S70">
        <v>3721</v>
      </c>
      <c r="T70">
        <v>3706</v>
      </c>
    </row>
    <row r="71" spans="1:20" x14ac:dyDescent="0.35">
      <c r="A71" s="7" t="s">
        <v>148</v>
      </c>
      <c r="B71" s="12" t="s">
        <v>94</v>
      </c>
      <c r="D71">
        <v>17.531949365999999</v>
      </c>
    </row>
    <row r="72" spans="1:20" x14ac:dyDescent="0.35">
      <c r="A72" s="7" t="s">
        <v>149</v>
      </c>
      <c r="B72" s="12" t="s">
        <v>50</v>
      </c>
      <c r="C72">
        <v>64096334.797116525</v>
      </c>
      <c r="D72">
        <v>65664852.70217175</v>
      </c>
      <c r="E72">
        <v>211711.71171171201</v>
      </c>
      <c r="F72">
        <v>35135.135135135999</v>
      </c>
      <c r="G72">
        <v>10</v>
      </c>
      <c r="H72">
        <v>11</v>
      </c>
      <c r="K72">
        <v>11</v>
      </c>
      <c r="L72">
        <v>12</v>
      </c>
      <c r="M72">
        <v>9324774.7747747749</v>
      </c>
      <c r="N72">
        <v>3218468.4684684682</v>
      </c>
      <c r="O72">
        <v>27152567.567567568</v>
      </c>
      <c r="P72">
        <v>28438225.225225225</v>
      </c>
      <c r="Q72">
        <v>9367567.5675675664</v>
      </c>
      <c r="R72">
        <v>3281711.7117117122</v>
      </c>
      <c r="S72">
        <v>3508</v>
      </c>
      <c r="T72">
        <v>3602</v>
      </c>
    </row>
    <row r="73" spans="1:20" x14ac:dyDescent="0.35">
      <c r="A73" s="7" t="s">
        <v>150</v>
      </c>
      <c r="B73" s="12" t="s">
        <v>151</v>
      </c>
      <c r="C73">
        <v>20906867.109860465</v>
      </c>
      <c r="D73">
        <v>20560220.914340623</v>
      </c>
      <c r="E73">
        <v>103513689.18918918</v>
      </c>
      <c r="F73">
        <v>129920876.57657658</v>
      </c>
      <c r="G73">
        <v>4</v>
      </c>
      <c r="H73">
        <v>3</v>
      </c>
      <c r="K73">
        <v>5</v>
      </c>
      <c r="L73">
        <v>6</v>
      </c>
      <c r="M73">
        <v>51423783.783783786</v>
      </c>
      <c r="N73">
        <v>35389189.189189188</v>
      </c>
      <c r="O73">
        <v>4387477.4774774769</v>
      </c>
      <c r="P73">
        <v>5428729.7297297288</v>
      </c>
      <c r="Q73">
        <v>18401531.531531531</v>
      </c>
      <c r="R73">
        <v>7968918.9189189179</v>
      </c>
      <c r="S73">
        <v>698</v>
      </c>
      <c r="T73">
        <v>644</v>
      </c>
    </row>
    <row r="74" spans="1:20" x14ac:dyDescent="0.35">
      <c r="A74" s="7" t="s">
        <v>152</v>
      </c>
      <c r="B74" s="12" t="s">
        <v>151</v>
      </c>
      <c r="C74">
        <v>192968670.84778601</v>
      </c>
      <c r="D74">
        <v>187448872.9123376</v>
      </c>
      <c r="E74">
        <v>312612.61261261202</v>
      </c>
      <c r="F74">
        <v>5998423.4234234272</v>
      </c>
      <c r="G74">
        <v>82</v>
      </c>
      <c r="H74">
        <v>109</v>
      </c>
      <c r="K74">
        <v>92</v>
      </c>
      <c r="L74">
        <v>135</v>
      </c>
      <c r="M74">
        <v>169992792.7927928</v>
      </c>
      <c r="N74">
        <v>106321621.62162161</v>
      </c>
      <c r="O74">
        <v>63626745.945945948</v>
      </c>
      <c r="P74">
        <v>63927648.648648649</v>
      </c>
      <c r="Q74">
        <v>140950897.2972973</v>
      </c>
      <c r="R74">
        <v>90014050.45045045</v>
      </c>
      <c r="S74">
        <v>8311</v>
      </c>
      <c r="T74">
        <v>7868</v>
      </c>
    </row>
    <row r="75" spans="1:20" x14ac:dyDescent="0.35">
      <c r="A75" s="7" t="s">
        <v>153</v>
      </c>
      <c r="B75" s="12" t="s">
        <v>154</v>
      </c>
      <c r="C75">
        <v>170331665.8919521</v>
      </c>
      <c r="D75">
        <v>169157198.23682261</v>
      </c>
      <c r="E75">
        <v>90752704.504504517</v>
      </c>
      <c r="F75">
        <v>94232351.351351365</v>
      </c>
      <c r="G75">
        <v>4</v>
      </c>
      <c r="H75">
        <v>16</v>
      </c>
      <c r="K75">
        <v>6</v>
      </c>
      <c r="L75">
        <v>20</v>
      </c>
      <c r="M75">
        <v>29154414.414414417</v>
      </c>
      <c r="N75">
        <v>29661711.711711716</v>
      </c>
      <c r="O75">
        <v>72083286.48648648</v>
      </c>
      <c r="P75">
        <v>68414626.126126125</v>
      </c>
      <c r="Q75">
        <v>22061171.171171173</v>
      </c>
      <c r="R75">
        <v>22801351.351351351</v>
      </c>
      <c r="S75">
        <v>6734</v>
      </c>
      <c r="T75">
        <v>7071</v>
      </c>
    </row>
    <row r="76" spans="1:20" x14ac:dyDescent="0.35">
      <c r="A76" s="7" t="s">
        <v>155</v>
      </c>
      <c r="B76" s="12" t="s">
        <v>154</v>
      </c>
      <c r="C76">
        <v>21807456.655148841</v>
      </c>
      <c r="D76">
        <v>16208684.982909463</v>
      </c>
      <c r="E76">
        <v>22522.522522522999</v>
      </c>
      <c r="G76">
        <v>5</v>
      </c>
      <c r="H76">
        <v>3</v>
      </c>
      <c r="K76">
        <v>5</v>
      </c>
      <c r="L76">
        <v>5</v>
      </c>
      <c r="M76">
        <v>292792.79279279301</v>
      </c>
      <c r="N76">
        <v>3337837.8378378372</v>
      </c>
      <c r="O76">
        <v>6082297.297297297</v>
      </c>
      <c r="P76">
        <v>4314414.4144144142</v>
      </c>
      <c r="Q76">
        <v>246396.39639639601</v>
      </c>
      <c r="R76">
        <v>2193693.6936936928</v>
      </c>
      <c r="S76">
        <v>1982</v>
      </c>
      <c r="T76">
        <v>2469</v>
      </c>
    </row>
    <row r="77" spans="1:20" x14ac:dyDescent="0.35">
      <c r="A77" s="7" t="s">
        <v>156</v>
      </c>
      <c r="B77" s="12" t="s">
        <v>154</v>
      </c>
      <c r="C77">
        <v>218084787.36397839</v>
      </c>
      <c r="D77">
        <v>181267319.3961392</v>
      </c>
      <c r="E77">
        <v>2134234.2342342339</v>
      </c>
      <c r="F77">
        <v>1508333.333333337</v>
      </c>
      <c r="G77">
        <v>20</v>
      </c>
      <c r="H77">
        <v>7</v>
      </c>
      <c r="K77">
        <v>103</v>
      </c>
      <c r="L77">
        <v>10</v>
      </c>
      <c r="M77">
        <v>46914864.864864863</v>
      </c>
      <c r="N77">
        <v>35053153.153153151</v>
      </c>
      <c r="O77">
        <v>81237477.477477476</v>
      </c>
      <c r="P77">
        <v>69211630.630630627</v>
      </c>
      <c r="Q77">
        <v>37405855.855855852</v>
      </c>
      <c r="R77">
        <v>34554054.054054059</v>
      </c>
      <c r="S77">
        <v>8643</v>
      </c>
      <c r="T77">
        <v>7879</v>
      </c>
    </row>
    <row r="78" spans="1:20" x14ac:dyDescent="0.35">
      <c r="A78" s="7" t="s">
        <v>157</v>
      </c>
      <c r="B78" s="12" t="s">
        <v>134</v>
      </c>
      <c r="C78">
        <v>85958587.824182853</v>
      </c>
      <c r="D78">
        <v>84607915.306089744</v>
      </c>
      <c r="E78">
        <v>294594.59459459502</v>
      </c>
      <c r="F78">
        <v>418918.91891891998</v>
      </c>
      <c r="G78">
        <v>17</v>
      </c>
      <c r="H78">
        <v>13</v>
      </c>
      <c r="I78">
        <v>1</v>
      </c>
      <c r="K78">
        <v>19</v>
      </c>
      <c r="L78">
        <v>17</v>
      </c>
      <c r="M78">
        <v>7965765.7657657657</v>
      </c>
      <c r="N78">
        <v>7554054.0540540544</v>
      </c>
      <c r="O78">
        <v>7762297.297297297</v>
      </c>
      <c r="P78">
        <v>8827783.7837837841</v>
      </c>
      <c r="Q78">
        <v>3270270.2702702698</v>
      </c>
      <c r="R78">
        <v>2228198.1981982002</v>
      </c>
      <c r="S78">
        <v>4436</v>
      </c>
      <c r="T78">
        <v>4528</v>
      </c>
    </row>
    <row r="79" spans="1:20" x14ac:dyDescent="0.35">
      <c r="A79" s="7" t="s">
        <v>1</v>
      </c>
      <c r="B79" s="12" t="s">
        <v>158</v>
      </c>
      <c r="C79">
        <v>160306632.00796726</v>
      </c>
      <c r="D79">
        <v>149707095.44525984</v>
      </c>
      <c r="E79">
        <v>258108.10810811099</v>
      </c>
      <c r="F79">
        <v>1062162.1621621649</v>
      </c>
      <c r="G79">
        <v>25</v>
      </c>
      <c r="H79">
        <v>9</v>
      </c>
      <c r="I79">
        <v>1</v>
      </c>
      <c r="K79">
        <v>257</v>
      </c>
      <c r="L79">
        <v>130</v>
      </c>
      <c r="M79">
        <v>15197927.927927928</v>
      </c>
      <c r="N79">
        <v>21344054.054054055</v>
      </c>
      <c r="O79">
        <v>75678018.018018022</v>
      </c>
      <c r="P79">
        <v>71923909.909909919</v>
      </c>
      <c r="Q79">
        <v>15935225.225225223</v>
      </c>
      <c r="R79">
        <v>18040900.9009009</v>
      </c>
      <c r="S79">
        <v>8511</v>
      </c>
      <c r="T79">
        <v>7973</v>
      </c>
    </row>
    <row r="80" spans="1:20" x14ac:dyDescent="0.35">
      <c r="A80" s="7" t="s">
        <v>159</v>
      </c>
      <c r="B80" s="12" t="s">
        <v>121</v>
      </c>
      <c r="C80">
        <v>6396225.4097812874</v>
      </c>
      <c r="D80">
        <v>5873154.6424623523</v>
      </c>
      <c r="G80">
        <v>2</v>
      </c>
      <c r="H80">
        <v>2</v>
      </c>
      <c r="K80">
        <v>2</v>
      </c>
      <c r="L80">
        <v>3</v>
      </c>
      <c r="M80">
        <v>900900.90090090095</v>
      </c>
      <c r="O80">
        <v>599414.41441441397</v>
      </c>
      <c r="P80">
        <v>614549.54954955005</v>
      </c>
      <c r="Q80">
        <v>133603.60360360399</v>
      </c>
      <c r="S80">
        <v>591</v>
      </c>
      <c r="T80">
        <v>489</v>
      </c>
    </row>
    <row r="81" spans="1:20" x14ac:dyDescent="0.35">
      <c r="A81" s="7" t="s">
        <v>160</v>
      </c>
      <c r="B81" s="12" t="s">
        <v>161</v>
      </c>
      <c r="C81">
        <v>76781805.801299319</v>
      </c>
      <c r="D81">
        <v>82054101.269319594</v>
      </c>
      <c r="E81">
        <v>39863552.252252258</v>
      </c>
      <c r="F81">
        <v>22960053.153153155</v>
      </c>
      <c r="G81">
        <v>19</v>
      </c>
      <c r="H81">
        <v>18</v>
      </c>
      <c r="K81">
        <v>27</v>
      </c>
      <c r="L81">
        <v>128</v>
      </c>
      <c r="M81">
        <v>19358198.198198196</v>
      </c>
      <c r="N81">
        <v>20855306.306306321</v>
      </c>
      <c r="O81">
        <v>32149180.180180181</v>
      </c>
      <c r="P81">
        <v>34781765.765765771</v>
      </c>
      <c r="Q81">
        <v>25518918.918918919</v>
      </c>
      <c r="R81">
        <v>14272072.072072081</v>
      </c>
      <c r="S81">
        <v>6040</v>
      </c>
      <c r="T81">
        <v>5944</v>
      </c>
    </row>
    <row r="82" spans="1:20" x14ac:dyDescent="0.35">
      <c r="A82" s="7" t="s">
        <v>162</v>
      </c>
      <c r="B82" s="12" t="s">
        <v>76</v>
      </c>
      <c r="C82">
        <v>35812751.316793226</v>
      </c>
      <c r="D82">
        <v>36946766.38164264</v>
      </c>
      <c r="E82">
        <v>182882.88288288299</v>
      </c>
      <c r="F82">
        <v>270270.27027027</v>
      </c>
      <c r="G82">
        <v>10</v>
      </c>
      <c r="H82">
        <v>9</v>
      </c>
      <c r="K82">
        <v>10</v>
      </c>
      <c r="L82">
        <v>11</v>
      </c>
      <c r="M82">
        <v>736936.93693693704</v>
      </c>
      <c r="N82">
        <v>450450.45045045001</v>
      </c>
      <c r="O82">
        <v>2023873.8738738741</v>
      </c>
      <c r="P82">
        <v>1782072.072072072</v>
      </c>
      <c r="Q82">
        <v>801531.53153153101</v>
      </c>
      <c r="R82">
        <v>519189.189189189</v>
      </c>
      <c r="S82">
        <v>1025</v>
      </c>
      <c r="T82">
        <v>1541</v>
      </c>
    </row>
    <row r="83" spans="1:20" x14ac:dyDescent="0.35">
      <c r="A83" s="7" t="s">
        <v>163</v>
      </c>
      <c r="B83" s="12" t="s">
        <v>52</v>
      </c>
      <c r="C83">
        <v>28772631.212743871</v>
      </c>
      <c r="D83">
        <v>27859150.408815596</v>
      </c>
      <c r="E83">
        <v>274774.77477477503</v>
      </c>
      <c r="F83">
        <v>423423.42342342302</v>
      </c>
      <c r="G83">
        <v>6</v>
      </c>
      <c r="H83">
        <v>9</v>
      </c>
      <c r="K83">
        <v>6</v>
      </c>
      <c r="L83">
        <v>9</v>
      </c>
      <c r="M83">
        <v>539189.189189189</v>
      </c>
      <c r="N83">
        <v>509009.00900900899</v>
      </c>
      <c r="O83">
        <v>13099324.324324325</v>
      </c>
      <c r="P83">
        <v>13537135.135135137</v>
      </c>
      <c r="Q83">
        <v>608918.918918918</v>
      </c>
      <c r="R83">
        <v>499369.36936936999</v>
      </c>
      <c r="S83">
        <v>1528</v>
      </c>
      <c r="T83">
        <v>1812</v>
      </c>
    </row>
    <row r="84" spans="1:20" x14ac:dyDescent="0.35">
      <c r="A84" s="7" t="s">
        <v>164</v>
      </c>
      <c r="B84" s="12" t="s">
        <v>87</v>
      </c>
      <c r="C84">
        <v>24509782.870058693</v>
      </c>
      <c r="D84">
        <v>16262320.850875139</v>
      </c>
      <c r="E84">
        <v>27027.027027027001</v>
      </c>
      <c r="F84">
        <v>27027.027027027001</v>
      </c>
      <c r="G84">
        <v>9</v>
      </c>
      <c r="H84">
        <v>7</v>
      </c>
      <c r="K84">
        <v>11</v>
      </c>
      <c r="L84">
        <v>8</v>
      </c>
      <c r="M84">
        <v>576576.57657657599</v>
      </c>
      <c r="N84">
        <v>237837.837837837</v>
      </c>
      <c r="O84">
        <v>2360540.5405405411</v>
      </c>
      <c r="P84">
        <v>1531891.8918918921</v>
      </c>
      <c r="Q84">
        <v>958918.91891891905</v>
      </c>
      <c r="R84">
        <v>258918.918918918</v>
      </c>
      <c r="S84">
        <v>1181</v>
      </c>
      <c r="T84">
        <v>1058</v>
      </c>
    </row>
    <row r="85" spans="1:20" x14ac:dyDescent="0.35">
      <c r="A85" s="7" t="s">
        <v>165</v>
      </c>
      <c r="B85" s="12" t="s">
        <v>143</v>
      </c>
      <c r="C85">
        <v>4799258.5972051937</v>
      </c>
      <c r="D85">
        <v>5354416.8785111392</v>
      </c>
      <c r="E85">
        <v>1801.801801802</v>
      </c>
      <c r="G85">
        <v>5</v>
      </c>
      <c r="H85">
        <v>2</v>
      </c>
      <c r="K85">
        <v>6</v>
      </c>
      <c r="L85">
        <v>2</v>
      </c>
      <c r="M85">
        <v>1326126.1261261259</v>
      </c>
      <c r="O85">
        <v>537882.88288288296</v>
      </c>
      <c r="P85">
        <v>427342.34234234202</v>
      </c>
      <c r="Q85">
        <v>936936.93693693704</v>
      </c>
      <c r="S85">
        <v>317</v>
      </c>
      <c r="T85">
        <v>325</v>
      </c>
    </row>
    <row r="86" spans="1:20" x14ac:dyDescent="0.35">
      <c r="A86" s="7" t="s">
        <v>166</v>
      </c>
      <c r="B86" s="12" t="s">
        <v>167</v>
      </c>
      <c r="C86">
        <v>18262067.36303376</v>
      </c>
      <c r="D86">
        <v>20472488.266430479</v>
      </c>
      <c r="E86">
        <v>9009.0090090089998</v>
      </c>
      <c r="F86">
        <v>436936.93693693698</v>
      </c>
      <c r="G86">
        <v>6</v>
      </c>
      <c r="H86">
        <v>6</v>
      </c>
      <c r="K86">
        <v>10</v>
      </c>
      <c r="L86">
        <v>6</v>
      </c>
      <c r="M86">
        <v>1082162.1621621649</v>
      </c>
      <c r="N86">
        <v>1957657.6576576571</v>
      </c>
      <c r="O86">
        <v>9944369.3693693671</v>
      </c>
      <c r="P86">
        <v>9657304.5045045037</v>
      </c>
      <c r="Q86">
        <v>2231621.621621625</v>
      </c>
      <c r="R86">
        <v>1691711.711711711</v>
      </c>
      <c r="S86">
        <v>1361</v>
      </c>
      <c r="T86">
        <v>1343</v>
      </c>
    </row>
    <row r="87" spans="1:20" x14ac:dyDescent="0.35">
      <c r="A87" s="7" t="s">
        <v>168</v>
      </c>
      <c r="B87" s="12" t="s">
        <v>169</v>
      </c>
      <c r="C87">
        <v>87146177.743072867</v>
      </c>
      <c r="D87">
        <v>87399449.060262188</v>
      </c>
      <c r="E87">
        <v>321171.17117117101</v>
      </c>
      <c r="F87">
        <v>1058558.558558559</v>
      </c>
      <c r="G87">
        <v>9</v>
      </c>
      <c r="H87">
        <v>11</v>
      </c>
      <c r="I87">
        <v>1</v>
      </c>
      <c r="K87">
        <v>13</v>
      </c>
      <c r="L87">
        <v>26</v>
      </c>
      <c r="M87">
        <v>11681531.531531531</v>
      </c>
      <c r="N87">
        <v>20865773.873873871</v>
      </c>
      <c r="O87">
        <v>23564405.405405402</v>
      </c>
      <c r="P87">
        <v>28426452.702702705</v>
      </c>
      <c r="Q87">
        <v>11261531.531531531</v>
      </c>
      <c r="R87">
        <v>18982972.97297297</v>
      </c>
      <c r="S87">
        <v>6452</v>
      </c>
      <c r="T87">
        <v>6399</v>
      </c>
    </row>
    <row r="88" spans="1:20" x14ac:dyDescent="0.35">
      <c r="A88" s="7" t="s">
        <v>170</v>
      </c>
      <c r="B88" s="12" t="s">
        <v>54</v>
      </c>
      <c r="C88">
        <v>14100801.108524434</v>
      </c>
      <c r="D88">
        <v>13956188.237720449</v>
      </c>
      <c r="E88">
        <v>3603.603603604</v>
      </c>
      <c r="F88">
        <v>14414.414414415</v>
      </c>
      <c r="K88">
        <v>1</v>
      </c>
      <c r="M88">
        <v>2886486.4864864862</v>
      </c>
      <c r="N88">
        <v>464864.86486486503</v>
      </c>
      <c r="O88">
        <v>2099009.0090090092</v>
      </c>
      <c r="P88">
        <v>2397522.5225225221</v>
      </c>
      <c r="Q88">
        <v>1940540.5405405399</v>
      </c>
      <c r="R88">
        <v>1281981.981981982</v>
      </c>
      <c r="S88">
        <v>717</v>
      </c>
      <c r="T88">
        <v>668</v>
      </c>
    </row>
    <row r="89" spans="1:20" x14ac:dyDescent="0.35">
      <c r="A89" s="7" t="s">
        <v>171</v>
      </c>
      <c r="B89" s="12" t="s">
        <v>60</v>
      </c>
      <c r="C89">
        <v>303356186.06486261</v>
      </c>
      <c r="D89">
        <v>285831677.43364143</v>
      </c>
      <c r="E89">
        <v>1800000.0000000021</v>
      </c>
      <c r="F89">
        <v>3116216.2162162159</v>
      </c>
      <c r="G89">
        <v>63</v>
      </c>
      <c r="H89">
        <v>60</v>
      </c>
      <c r="K89">
        <v>73</v>
      </c>
      <c r="L89">
        <v>75</v>
      </c>
      <c r="M89">
        <v>15247747.747747744</v>
      </c>
      <c r="N89">
        <v>11355855.855855856</v>
      </c>
      <c r="O89">
        <v>99531824.324324325</v>
      </c>
      <c r="P89">
        <v>106295216.21621621</v>
      </c>
      <c r="Q89">
        <v>14762072.072072072</v>
      </c>
      <c r="R89">
        <v>13649189.189189188</v>
      </c>
      <c r="S89">
        <v>12020</v>
      </c>
      <c r="T89">
        <v>11884</v>
      </c>
    </row>
    <row r="90" spans="1:20" x14ac:dyDescent="0.35">
      <c r="A90" s="7" t="s">
        <v>172</v>
      </c>
      <c r="B90" s="12" t="s">
        <v>121</v>
      </c>
      <c r="C90">
        <v>123552409.601809</v>
      </c>
      <c r="D90">
        <v>122690434.74943873</v>
      </c>
      <c r="E90">
        <v>15490090.090090092</v>
      </c>
      <c r="F90">
        <v>6561261.261261262</v>
      </c>
      <c r="G90">
        <v>57</v>
      </c>
      <c r="H90">
        <v>44</v>
      </c>
      <c r="K90">
        <v>65</v>
      </c>
      <c r="L90">
        <v>56</v>
      </c>
      <c r="M90">
        <v>8147747.7477477472</v>
      </c>
      <c r="N90">
        <v>6891891.8918918921</v>
      </c>
      <c r="O90">
        <v>17380315.315315317</v>
      </c>
      <c r="P90">
        <v>16700045.045045044</v>
      </c>
      <c r="Q90">
        <v>5252612.6126126116</v>
      </c>
      <c r="R90">
        <v>4645585.5855855849</v>
      </c>
      <c r="S90">
        <v>5825</v>
      </c>
      <c r="T90">
        <v>5679</v>
      </c>
    </row>
    <row r="91" spans="1:20" x14ac:dyDescent="0.35">
      <c r="A91" s="7" t="s">
        <v>173</v>
      </c>
      <c r="B91" s="12" t="s">
        <v>174</v>
      </c>
      <c r="C91">
        <v>90022543.357363671</v>
      </c>
      <c r="D91">
        <v>86017213.791773468</v>
      </c>
      <c r="E91">
        <v>40870809.009009011</v>
      </c>
      <c r="F91">
        <v>62596156.75675676</v>
      </c>
      <c r="G91">
        <v>21</v>
      </c>
      <c r="H91">
        <v>12</v>
      </c>
      <c r="K91">
        <v>27</v>
      </c>
      <c r="L91">
        <v>19</v>
      </c>
      <c r="M91">
        <v>15953603.603603603</v>
      </c>
      <c r="N91">
        <v>9358558.5585585553</v>
      </c>
      <c r="O91">
        <v>9605171.1711711697</v>
      </c>
      <c r="P91">
        <v>8972819.819819821</v>
      </c>
      <c r="Q91">
        <v>6551081.081081083</v>
      </c>
      <c r="R91">
        <v>6380180.1801801808</v>
      </c>
      <c r="S91">
        <v>4665</v>
      </c>
      <c r="T91">
        <v>5992</v>
      </c>
    </row>
    <row r="92" spans="1:20" x14ac:dyDescent="0.35">
      <c r="A92" s="7" t="s">
        <v>175</v>
      </c>
      <c r="B92" s="12" t="s">
        <v>174</v>
      </c>
      <c r="C92">
        <v>134261418.84690723</v>
      </c>
      <c r="D92">
        <v>135851179.34423971</v>
      </c>
      <c r="E92">
        <v>371171.17117117398</v>
      </c>
      <c r="F92">
        <v>518693.69369369798</v>
      </c>
      <c r="G92">
        <v>40</v>
      </c>
      <c r="H92">
        <v>53</v>
      </c>
      <c r="I92">
        <v>1</v>
      </c>
      <c r="K92">
        <v>54</v>
      </c>
      <c r="L92">
        <v>77</v>
      </c>
      <c r="M92">
        <v>20128378.378378376</v>
      </c>
      <c r="N92">
        <v>12351351.351351352</v>
      </c>
      <c r="O92">
        <v>24378899.0990991</v>
      </c>
      <c r="P92">
        <v>22546153.153153151</v>
      </c>
      <c r="Q92">
        <v>15729772.972972976</v>
      </c>
      <c r="R92">
        <v>8793063.0630630627</v>
      </c>
      <c r="S92">
        <v>8491</v>
      </c>
      <c r="T92">
        <v>8572</v>
      </c>
    </row>
    <row r="93" spans="1:20" x14ac:dyDescent="0.35">
      <c r="A93" s="7" t="s">
        <v>176</v>
      </c>
      <c r="B93" s="12" t="s">
        <v>174</v>
      </c>
      <c r="C93">
        <v>185075319.12914678</v>
      </c>
      <c r="D93">
        <v>182148862.87141299</v>
      </c>
      <c r="E93">
        <v>187387.38738739101</v>
      </c>
      <c r="F93">
        <v>589414.41441442003</v>
      </c>
      <c r="G93">
        <v>66</v>
      </c>
      <c r="H93">
        <v>46</v>
      </c>
      <c r="I93">
        <v>1</v>
      </c>
      <c r="K93">
        <v>90</v>
      </c>
      <c r="L93">
        <v>59</v>
      </c>
      <c r="M93">
        <v>24261711.711711712</v>
      </c>
      <c r="N93">
        <v>16381081.081081085</v>
      </c>
      <c r="O93">
        <v>31209563.063063063</v>
      </c>
      <c r="P93">
        <v>27237072.072072074</v>
      </c>
      <c r="Q93">
        <v>15419459.459459459</v>
      </c>
      <c r="R93">
        <v>12335675.675675675</v>
      </c>
      <c r="S93">
        <v>11472</v>
      </c>
      <c r="T93">
        <v>11961</v>
      </c>
    </row>
    <row r="94" spans="1:20" x14ac:dyDescent="0.35">
      <c r="A94" s="7" t="s">
        <v>177</v>
      </c>
      <c r="B94" s="12" t="s">
        <v>178</v>
      </c>
      <c r="C94">
        <v>61339711.746435791</v>
      </c>
      <c r="D94">
        <v>56880124.194857657</v>
      </c>
      <c r="E94">
        <v>270270.27027027</v>
      </c>
      <c r="G94">
        <v>7</v>
      </c>
      <c r="H94">
        <v>3</v>
      </c>
      <c r="K94">
        <v>8</v>
      </c>
      <c r="L94">
        <v>6</v>
      </c>
      <c r="M94">
        <v>1818738.7387387389</v>
      </c>
      <c r="N94">
        <v>7740090.0900900876</v>
      </c>
      <c r="O94">
        <v>20403378.378378376</v>
      </c>
      <c r="P94">
        <v>22598619.819819819</v>
      </c>
      <c r="Q94">
        <v>1753873.8738738729</v>
      </c>
      <c r="R94">
        <v>7956756.7567567546</v>
      </c>
      <c r="S94">
        <v>3713</v>
      </c>
      <c r="T94">
        <v>3619</v>
      </c>
    </row>
    <row r="95" spans="1:20" x14ac:dyDescent="0.35">
      <c r="A95" s="7" t="s">
        <v>179</v>
      </c>
      <c r="B95" s="12" t="s">
        <v>167</v>
      </c>
      <c r="C95">
        <v>81751743.571525455</v>
      </c>
      <c r="D95">
        <v>67059095.708105624</v>
      </c>
      <c r="E95">
        <v>321621.621621623</v>
      </c>
      <c r="F95">
        <v>558333.33333333395</v>
      </c>
      <c r="G95">
        <v>31</v>
      </c>
      <c r="H95">
        <v>5</v>
      </c>
      <c r="K95">
        <v>36</v>
      </c>
      <c r="L95">
        <v>22</v>
      </c>
      <c r="M95">
        <v>2836936.9369369368</v>
      </c>
      <c r="N95">
        <v>603603.60360360495</v>
      </c>
      <c r="O95">
        <v>18923477.47747748</v>
      </c>
      <c r="P95">
        <v>18371747.747747749</v>
      </c>
      <c r="Q95">
        <v>3604054.054054054</v>
      </c>
      <c r="R95">
        <v>512612.61261261301</v>
      </c>
      <c r="S95">
        <v>4579</v>
      </c>
      <c r="T95">
        <v>4391</v>
      </c>
    </row>
    <row r="96" spans="1:20" x14ac:dyDescent="0.35">
      <c r="A96" s="7" t="s">
        <v>180</v>
      </c>
      <c r="B96" s="12" t="s">
        <v>181</v>
      </c>
      <c r="C96">
        <v>59109934.731085077</v>
      </c>
      <c r="D96">
        <v>56599882.744181193</v>
      </c>
      <c r="E96">
        <v>1801.801801802</v>
      </c>
      <c r="F96">
        <v>89189.189189191005</v>
      </c>
      <c r="G96">
        <v>8</v>
      </c>
      <c r="H96">
        <v>12</v>
      </c>
      <c r="K96">
        <v>9</v>
      </c>
      <c r="L96">
        <v>16</v>
      </c>
      <c r="M96">
        <v>3187387.3873873842</v>
      </c>
      <c r="N96">
        <v>3800900.9009009022</v>
      </c>
      <c r="O96">
        <v>12711666.666666666</v>
      </c>
      <c r="P96">
        <v>14155155.405405406</v>
      </c>
      <c r="Q96">
        <v>4654054.0540540516</v>
      </c>
      <c r="R96">
        <v>4274324.3243243247</v>
      </c>
      <c r="S96">
        <v>3084</v>
      </c>
      <c r="T96">
        <v>2986</v>
      </c>
    </row>
    <row r="97" spans="1:20" x14ac:dyDescent="0.35">
      <c r="A97" s="7" t="s">
        <v>666</v>
      </c>
      <c r="B97" s="12" t="s">
        <v>68</v>
      </c>
      <c r="T97">
        <v>1</v>
      </c>
    </row>
    <row r="98" spans="1:20" x14ac:dyDescent="0.35">
      <c r="A98" s="7" t="s">
        <v>182</v>
      </c>
      <c r="B98" s="12" t="s">
        <v>94</v>
      </c>
      <c r="C98">
        <v>46860984.683088563</v>
      </c>
      <c r="D98">
        <v>64731992.694918171</v>
      </c>
      <c r="E98">
        <v>135135.135135135</v>
      </c>
      <c r="G98">
        <v>4</v>
      </c>
      <c r="H98">
        <v>14</v>
      </c>
      <c r="K98">
        <v>6</v>
      </c>
      <c r="L98">
        <v>19</v>
      </c>
      <c r="M98">
        <v>135135.135135135</v>
      </c>
      <c r="N98">
        <v>4423423.4234234234</v>
      </c>
      <c r="O98">
        <v>3725315.315315315</v>
      </c>
      <c r="P98">
        <v>6648657.6576576577</v>
      </c>
      <c r="Q98">
        <v>330360.360360361</v>
      </c>
      <c r="R98">
        <v>794594.59459459397</v>
      </c>
      <c r="S98">
        <v>3655</v>
      </c>
      <c r="T98">
        <v>3562</v>
      </c>
    </row>
    <row r="99" spans="1:20" x14ac:dyDescent="0.35">
      <c r="A99" s="7" t="s">
        <v>183</v>
      </c>
      <c r="B99" s="12" t="s">
        <v>94</v>
      </c>
      <c r="C99">
        <v>369292392.77787399</v>
      </c>
      <c r="D99">
        <v>352276949.13234967</v>
      </c>
      <c r="E99">
        <v>333597375.67567563</v>
      </c>
      <c r="F99">
        <v>596140816.21621621</v>
      </c>
      <c r="G99">
        <v>72</v>
      </c>
      <c r="H99">
        <v>66</v>
      </c>
      <c r="K99">
        <v>93</v>
      </c>
      <c r="L99">
        <v>93</v>
      </c>
      <c r="M99">
        <v>20204954.954954952</v>
      </c>
      <c r="N99">
        <v>21428378.37837838</v>
      </c>
      <c r="O99">
        <v>43202274.774774775</v>
      </c>
      <c r="P99">
        <v>43239754.504504502</v>
      </c>
      <c r="Q99">
        <v>18205315.315315317</v>
      </c>
      <c r="R99">
        <v>24157567.567567568</v>
      </c>
      <c r="S99">
        <v>16309</v>
      </c>
      <c r="T99">
        <v>16926</v>
      </c>
    </row>
    <row r="100" spans="1:20" x14ac:dyDescent="0.35">
      <c r="A100" s="7" t="s">
        <v>184</v>
      </c>
      <c r="B100" s="12" t="s">
        <v>89</v>
      </c>
      <c r="C100">
        <v>32953059.738499101</v>
      </c>
      <c r="D100">
        <v>31360524.499440417</v>
      </c>
      <c r="E100">
        <v>407657.65765765699</v>
      </c>
      <c r="F100">
        <v>234909.90990991099</v>
      </c>
      <c r="G100">
        <v>5</v>
      </c>
      <c r="H100">
        <v>7</v>
      </c>
      <c r="K100">
        <v>5</v>
      </c>
      <c r="L100">
        <v>7</v>
      </c>
      <c r="M100">
        <v>1448198.1981981981</v>
      </c>
      <c r="N100">
        <v>1083783.783783783</v>
      </c>
      <c r="O100">
        <v>9559414.4144144133</v>
      </c>
      <c r="P100">
        <v>10657648.648648648</v>
      </c>
      <c r="Q100">
        <v>1289639.6396396391</v>
      </c>
      <c r="R100">
        <v>997207.20720720699</v>
      </c>
      <c r="S100">
        <v>1658</v>
      </c>
      <c r="T100">
        <v>1580</v>
      </c>
    </row>
    <row r="101" spans="1:20" x14ac:dyDescent="0.35">
      <c r="A101" s="7" t="s">
        <v>185</v>
      </c>
      <c r="B101" s="12" t="s">
        <v>60</v>
      </c>
      <c r="C101">
        <v>20520976.219732545</v>
      </c>
      <c r="D101">
        <v>18816577.058326051</v>
      </c>
      <c r="E101">
        <v>270270.27027027</v>
      </c>
      <c r="F101">
        <v>221621.621621623</v>
      </c>
      <c r="G101">
        <v>3</v>
      </c>
      <c r="H101">
        <v>6</v>
      </c>
      <c r="K101">
        <v>3</v>
      </c>
      <c r="L101">
        <v>6</v>
      </c>
      <c r="M101">
        <v>846846.84684684605</v>
      </c>
      <c r="N101">
        <v>221621.621621623</v>
      </c>
      <c r="O101">
        <v>6842162.1621621624</v>
      </c>
      <c r="P101">
        <v>6387182.4324324317</v>
      </c>
      <c r="Q101">
        <v>795945.94594594603</v>
      </c>
      <c r="R101">
        <v>423423.42342342401</v>
      </c>
      <c r="S101">
        <v>783</v>
      </c>
      <c r="T101">
        <v>826</v>
      </c>
    </row>
    <row r="102" spans="1:20" x14ac:dyDescent="0.35">
      <c r="A102" s="7" t="s">
        <v>186</v>
      </c>
      <c r="B102" s="12" t="s">
        <v>167</v>
      </c>
      <c r="C102">
        <v>38329680.828342386</v>
      </c>
      <c r="D102">
        <v>46266815.627134264</v>
      </c>
      <c r="E102">
        <v>2702.7027027029999</v>
      </c>
      <c r="F102">
        <v>130405.405405406</v>
      </c>
      <c r="G102">
        <v>7</v>
      </c>
      <c r="H102">
        <v>1</v>
      </c>
      <c r="K102">
        <v>10</v>
      </c>
      <c r="L102">
        <v>2</v>
      </c>
      <c r="M102">
        <v>2702.7027027029999</v>
      </c>
      <c r="N102">
        <v>130630.630630632</v>
      </c>
      <c r="O102">
        <v>8568513.5135135129</v>
      </c>
      <c r="P102">
        <v>11913846.846846849</v>
      </c>
      <c r="Q102">
        <v>135135.13513513599</v>
      </c>
      <c r="S102">
        <v>2780</v>
      </c>
      <c r="T102">
        <v>2939</v>
      </c>
    </row>
    <row r="103" spans="1:20" x14ac:dyDescent="0.35">
      <c r="A103" s="7" t="s">
        <v>187</v>
      </c>
      <c r="B103" s="12" t="s">
        <v>167</v>
      </c>
      <c r="C103">
        <v>130304308.53501236</v>
      </c>
      <c r="D103">
        <v>126873790.11623804</v>
      </c>
      <c r="E103">
        <v>2039639.6396396409</v>
      </c>
      <c r="F103">
        <v>2040540.5405405411</v>
      </c>
      <c r="G103">
        <v>27</v>
      </c>
      <c r="H103">
        <v>6</v>
      </c>
      <c r="K103">
        <v>31</v>
      </c>
      <c r="L103">
        <v>9</v>
      </c>
      <c r="M103">
        <v>2652252.2522522528</v>
      </c>
      <c r="N103">
        <v>5098198.1981982021</v>
      </c>
      <c r="O103">
        <v>23642891.891891893</v>
      </c>
      <c r="P103">
        <v>26624990.990990993</v>
      </c>
      <c r="Q103">
        <v>2805675.6756756771</v>
      </c>
      <c r="R103">
        <v>3372702.7027027071</v>
      </c>
      <c r="S103">
        <v>5982</v>
      </c>
      <c r="T103">
        <v>5678</v>
      </c>
    </row>
    <row r="104" spans="1:20" x14ac:dyDescent="0.35">
      <c r="A104" s="7" t="s">
        <v>188</v>
      </c>
      <c r="B104" s="12" t="s">
        <v>189</v>
      </c>
      <c r="C104">
        <v>57624463.313613407</v>
      </c>
      <c r="D104">
        <v>54734025.533315256</v>
      </c>
      <c r="E104">
        <v>270270.27027027</v>
      </c>
      <c r="F104">
        <v>270270.27027027</v>
      </c>
      <c r="G104">
        <v>10</v>
      </c>
      <c r="H104">
        <v>16</v>
      </c>
      <c r="K104">
        <v>11</v>
      </c>
      <c r="L104">
        <v>18</v>
      </c>
      <c r="M104">
        <v>1621621.621621622</v>
      </c>
      <c r="N104">
        <v>1171171.1711711709</v>
      </c>
      <c r="O104">
        <v>5092207.2072072066</v>
      </c>
      <c r="P104">
        <v>4004099.0990990992</v>
      </c>
      <c r="Q104">
        <v>1107657.657657658</v>
      </c>
      <c r="R104">
        <v>766216.21621621598</v>
      </c>
      <c r="S104">
        <v>1754</v>
      </c>
      <c r="T104">
        <v>1658</v>
      </c>
    </row>
    <row r="105" spans="1:20" x14ac:dyDescent="0.35">
      <c r="A105" s="7" t="s">
        <v>190</v>
      </c>
      <c r="B105" s="12" t="s">
        <v>134</v>
      </c>
      <c r="C105">
        <v>12404096.867783532</v>
      </c>
      <c r="D105">
        <v>12882410.881543536</v>
      </c>
      <c r="G105">
        <v>4</v>
      </c>
      <c r="H105">
        <v>4</v>
      </c>
      <c r="K105">
        <v>5</v>
      </c>
      <c r="L105">
        <v>6</v>
      </c>
      <c r="O105">
        <v>649189.189189189</v>
      </c>
      <c r="P105">
        <v>1296216.2162162161</v>
      </c>
      <c r="S105">
        <v>1081</v>
      </c>
      <c r="T105">
        <v>951</v>
      </c>
    </row>
    <row r="106" spans="1:20" x14ac:dyDescent="0.35">
      <c r="A106" s="7" t="s">
        <v>191</v>
      </c>
      <c r="B106" s="12" t="s">
        <v>60</v>
      </c>
      <c r="C106">
        <v>84390493.308554873</v>
      </c>
      <c r="D106">
        <v>80732002.242438957</v>
      </c>
      <c r="E106">
        <v>608108.10810810805</v>
      </c>
      <c r="F106">
        <v>379054.054054056</v>
      </c>
      <c r="G106">
        <v>12</v>
      </c>
      <c r="H106">
        <v>6</v>
      </c>
      <c r="K106">
        <v>17</v>
      </c>
      <c r="L106">
        <v>11</v>
      </c>
      <c r="M106">
        <v>6130630.6306306291</v>
      </c>
      <c r="N106">
        <v>5685585.5855855877</v>
      </c>
      <c r="O106">
        <v>26509549.54954955</v>
      </c>
      <c r="P106">
        <v>25572279.27927928</v>
      </c>
      <c r="Q106">
        <v>7649729.7297297278</v>
      </c>
      <c r="R106">
        <v>6504594.594594596</v>
      </c>
      <c r="S106">
        <v>3985</v>
      </c>
      <c r="T106">
        <v>3946</v>
      </c>
    </row>
    <row r="107" spans="1:20" x14ac:dyDescent="0.35">
      <c r="A107" s="7" t="s">
        <v>192</v>
      </c>
      <c r="B107" s="12" t="s">
        <v>60</v>
      </c>
      <c r="C107">
        <v>143343384.94955453</v>
      </c>
      <c r="D107">
        <v>138163007.87446377</v>
      </c>
      <c r="E107">
        <v>1430630.630630631</v>
      </c>
      <c r="F107">
        <v>859459.45945945999</v>
      </c>
      <c r="G107">
        <v>13</v>
      </c>
      <c r="H107">
        <v>8</v>
      </c>
      <c r="K107">
        <v>31</v>
      </c>
      <c r="L107">
        <v>11</v>
      </c>
      <c r="M107">
        <v>6984684.6846846854</v>
      </c>
      <c r="N107">
        <v>7859459.4594594603</v>
      </c>
      <c r="O107">
        <v>34584459.459459461</v>
      </c>
      <c r="P107">
        <v>35177234.234234229</v>
      </c>
      <c r="Q107">
        <v>6202972.9729729742</v>
      </c>
      <c r="R107">
        <v>7734054.0540540563</v>
      </c>
      <c r="S107">
        <v>6562</v>
      </c>
      <c r="T107">
        <v>6361</v>
      </c>
    </row>
    <row r="108" spans="1:20" x14ac:dyDescent="0.35">
      <c r="A108" s="7" t="s">
        <v>2</v>
      </c>
      <c r="B108" s="12" t="s">
        <v>193</v>
      </c>
      <c r="C108">
        <v>18811440.518050212</v>
      </c>
      <c r="D108">
        <v>9953290.1160668265</v>
      </c>
      <c r="E108">
        <v>16682882.882882882</v>
      </c>
      <c r="F108">
        <v>3378378.3783783782</v>
      </c>
      <c r="G108">
        <v>2</v>
      </c>
      <c r="H108">
        <v>2</v>
      </c>
      <c r="K108">
        <v>2</v>
      </c>
      <c r="L108">
        <v>2</v>
      </c>
      <c r="M108">
        <v>388513.51351351303</v>
      </c>
      <c r="N108">
        <v>389864.86486486503</v>
      </c>
      <c r="O108">
        <v>9402882.8828828838</v>
      </c>
      <c r="P108">
        <v>5611621.6216216218</v>
      </c>
      <c r="Q108">
        <v>120270.27027027</v>
      </c>
      <c r="R108">
        <v>157657.65765765801</v>
      </c>
      <c r="S108">
        <v>1283</v>
      </c>
      <c r="T108">
        <v>867</v>
      </c>
    </row>
    <row r="109" spans="1:20" x14ac:dyDescent="0.35">
      <c r="A109" s="7" t="s">
        <v>194</v>
      </c>
      <c r="B109" s="12" t="s">
        <v>195</v>
      </c>
      <c r="C109">
        <v>489544362.07980615</v>
      </c>
      <c r="D109">
        <v>489252611.78408206</v>
      </c>
      <c r="E109">
        <v>7186936.9369369373</v>
      </c>
      <c r="F109">
        <v>1981756.756756759</v>
      </c>
      <c r="G109">
        <v>100</v>
      </c>
      <c r="H109">
        <v>92</v>
      </c>
      <c r="K109">
        <v>118</v>
      </c>
      <c r="L109">
        <v>106</v>
      </c>
      <c r="M109">
        <v>17438468.468468469</v>
      </c>
      <c r="N109">
        <v>20434054.054054055</v>
      </c>
      <c r="O109">
        <v>86488414.414414421</v>
      </c>
      <c r="P109">
        <v>95871027.027027026</v>
      </c>
      <c r="Q109">
        <v>19862072.072072074</v>
      </c>
      <c r="R109">
        <v>16648288.288288288</v>
      </c>
      <c r="S109">
        <v>17760</v>
      </c>
      <c r="T109">
        <v>18176</v>
      </c>
    </row>
    <row r="110" spans="1:20" x14ac:dyDescent="0.35">
      <c r="A110" s="7" t="s">
        <v>196</v>
      </c>
      <c r="B110" s="12" t="s">
        <v>80</v>
      </c>
      <c r="C110">
        <v>153150808.67143303</v>
      </c>
      <c r="D110">
        <v>149787914.60735476</v>
      </c>
      <c r="E110">
        <v>42342.342342342999</v>
      </c>
      <c r="F110">
        <v>665765.76576576696</v>
      </c>
      <c r="G110">
        <v>33</v>
      </c>
      <c r="H110">
        <v>30</v>
      </c>
      <c r="K110">
        <v>35</v>
      </c>
      <c r="L110">
        <v>36</v>
      </c>
      <c r="M110">
        <v>17406306.306306306</v>
      </c>
      <c r="N110">
        <v>19008108.108108107</v>
      </c>
      <c r="O110">
        <v>38568504.504504502</v>
      </c>
      <c r="P110">
        <v>42174414.414414413</v>
      </c>
      <c r="Q110">
        <v>15513153.153153151</v>
      </c>
      <c r="R110">
        <v>19669279.27927928</v>
      </c>
      <c r="S110">
        <v>6579</v>
      </c>
      <c r="T110">
        <v>6759</v>
      </c>
    </row>
    <row r="111" spans="1:20" x14ac:dyDescent="0.35">
      <c r="A111" s="7" t="s">
        <v>197</v>
      </c>
      <c r="B111" s="12" t="s">
        <v>108</v>
      </c>
      <c r="C111">
        <v>114798229.0294641</v>
      </c>
      <c r="D111">
        <v>118813201.08925302</v>
      </c>
      <c r="E111">
        <v>42067387.387387395</v>
      </c>
      <c r="F111">
        <v>16363963.963963967</v>
      </c>
      <c r="G111">
        <v>19</v>
      </c>
      <c r="H111">
        <v>37</v>
      </c>
      <c r="K111">
        <v>27</v>
      </c>
      <c r="L111">
        <v>46</v>
      </c>
      <c r="M111">
        <v>6931351.3513513496</v>
      </c>
      <c r="N111">
        <v>7716216.2162162149</v>
      </c>
      <c r="O111">
        <v>31528558.558558561</v>
      </c>
      <c r="P111">
        <v>34811126.126126125</v>
      </c>
      <c r="Q111">
        <v>5274594.5945945941</v>
      </c>
      <c r="R111">
        <v>5452702.7027027011</v>
      </c>
      <c r="S111">
        <v>7184</v>
      </c>
      <c r="T111">
        <v>8165</v>
      </c>
    </row>
    <row r="112" spans="1:20" x14ac:dyDescent="0.35">
      <c r="A112" s="7" t="s">
        <v>198</v>
      </c>
      <c r="B112" s="12" t="s">
        <v>92</v>
      </c>
      <c r="C112">
        <v>65286721.002098367</v>
      </c>
      <c r="D112">
        <v>64279051.268027969</v>
      </c>
      <c r="E112">
        <v>1131711.7117117119</v>
      </c>
      <c r="F112">
        <v>2912612.6126126149</v>
      </c>
      <c r="G112">
        <v>9</v>
      </c>
      <c r="H112">
        <v>49</v>
      </c>
      <c r="K112">
        <v>10</v>
      </c>
      <c r="L112">
        <v>75</v>
      </c>
      <c r="M112">
        <v>11769909.909909911</v>
      </c>
      <c r="N112">
        <v>20436936.936936937</v>
      </c>
      <c r="O112">
        <v>15360675.675675675</v>
      </c>
      <c r="P112">
        <v>17237594.594594598</v>
      </c>
      <c r="Q112">
        <v>12654954.954954956</v>
      </c>
      <c r="R112">
        <v>19999369.369369369</v>
      </c>
      <c r="S112">
        <v>2844</v>
      </c>
      <c r="T112">
        <v>2655</v>
      </c>
    </row>
    <row r="113" spans="1:20" x14ac:dyDescent="0.35">
      <c r="A113" s="7" t="s">
        <v>199</v>
      </c>
      <c r="B113" s="12" t="s">
        <v>123</v>
      </c>
      <c r="C113">
        <v>68967492.04236573</v>
      </c>
      <c r="D113">
        <v>56225376.410337016</v>
      </c>
      <c r="E113">
        <v>486486.48648648697</v>
      </c>
      <c r="F113">
        <v>35135.135135135002</v>
      </c>
      <c r="G113">
        <v>33</v>
      </c>
      <c r="H113">
        <v>5</v>
      </c>
      <c r="K113">
        <v>38</v>
      </c>
      <c r="L113">
        <v>7</v>
      </c>
      <c r="M113">
        <v>4870270.2702702712</v>
      </c>
      <c r="N113">
        <v>937837.83783783799</v>
      </c>
      <c r="O113">
        <v>14655180.180180181</v>
      </c>
      <c r="P113">
        <v>9744819.8198198192</v>
      </c>
      <c r="Q113">
        <v>2912792.7927927929</v>
      </c>
      <c r="R113">
        <v>2176666.666666666</v>
      </c>
      <c r="S113">
        <v>2630</v>
      </c>
      <c r="T113">
        <v>2416</v>
      </c>
    </row>
    <row r="114" spans="1:20" x14ac:dyDescent="0.35">
      <c r="A114" s="7" t="s">
        <v>200</v>
      </c>
      <c r="B114" s="12" t="s">
        <v>60</v>
      </c>
      <c r="C114">
        <v>42678046.682732038</v>
      </c>
      <c r="D114">
        <v>40220871.049977973</v>
      </c>
      <c r="E114">
        <v>27927.927927928002</v>
      </c>
      <c r="F114">
        <v>430630.630630631</v>
      </c>
      <c r="G114">
        <v>7</v>
      </c>
      <c r="H114">
        <v>9</v>
      </c>
      <c r="K114">
        <v>19</v>
      </c>
      <c r="L114">
        <v>10</v>
      </c>
      <c r="M114">
        <v>3811711.7117117099</v>
      </c>
      <c r="N114">
        <v>5845045.0450450443</v>
      </c>
      <c r="O114">
        <v>6402063.0630630627</v>
      </c>
      <c r="P114">
        <v>7461407.6576576577</v>
      </c>
      <c r="Q114">
        <v>3141801.8018018012</v>
      </c>
      <c r="R114">
        <v>3239099.0990990992</v>
      </c>
      <c r="S114">
        <v>3211</v>
      </c>
      <c r="T114">
        <v>3561</v>
      </c>
    </row>
    <row r="115" spans="1:20" x14ac:dyDescent="0.35">
      <c r="A115" s="7" t="s">
        <v>201</v>
      </c>
      <c r="B115" s="12" t="s">
        <v>60</v>
      </c>
      <c r="C115">
        <v>14458769.616165839</v>
      </c>
      <c r="D115">
        <v>14255075.693773896</v>
      </c>
      <c r="E115">
        <v>42522.522522523002</v>
      </c>
      <c r="F115">
        <v>5405.4054054050002</v>
      </c>
      <c r="G115">
        <v>3</v>
      </c>
      <c r="H115">
        <v>3</v>
      </c>
      <c r="K115">
        <v>4</v>
      </c>
      <c r="L115">
        <v>4</v>
      </c>
      <c r="M115">
        <v>258738.73873873899</v>
      </c>
      <c r="N115">
        <v>1221621.6216216211</v>
      </c>
      <c r="O115">
        <v>3102162.1621621619</v>
      </c>
      <c r="P115">
        <v>3139171.1711711711</v>
      </c>
      <c r="Q115">
        <v>374324.32432432403</v>
      </c>
      <c r="R115">
        <v>362162.16216216201</v>
      </c>
      <c r="S115">
        <v>1308</v>
      </c>
      <c r="T115">
        <v>1109</v>
      </c>
    </row>
    <row r="116" spans="1:20" x14ac:dyDescent="0.35">
      <c r="A116" s="7" t="s">
        <v>202</v>
      </c>
      <c r="B116" s="12" t="s">
        <v>121</v>
      </c>
      <c r="C116">
        <v>30521598.783582617</v>
      </c>
      <c r="D116">
        <v>26693366.383298326</v>
      </c>
      <c r="E116">
        <v>42342.342342342999</v>
      </c>
      <c r="F116">
        <v>139639.639639639</v>
      </c>
      <c r="G116">
        <v>22</v>
      </c>
      <c r="H116">
        <v>17</v>
      </c>
      <c r="K116">
        <v>25</v>
      </c>
      <c r="L116">
        <v>19</v>
      </c>
      <c r="M116">
        <v>42342.342342342999</v>
      </c>
      <c r="N116">
        <v>3592363.0630630632</v>
      </c>
      <c r="O116">
        <v>2894234.2342342339</v>
      </c>
      <c r="P116">
        <v>2454891.8918918921</v>
      </c>
      <c r="Q116">
        <v>88738.738738739004</v>
      </c>
      <c r="S116">
        <v>1568</v>
      </c>
      <c r="T116">
        <v>1377</v>
      </c>
    </row>
    <row r="117" spans="1:20" x14ac:dyDescent="0.35">
      <c r="A117" s="7" t="s">
        <v>203</v>
      </c>
      <c r="B117" s="12" t="s">
        <v>54</v>
      </c>
      <c r="C117">
        <v>45511401.413762294</v>
      </c>
      <c r="D117">
        <v>42858834.496062048</v>
      </c>
      <c r="E117">
        <v>4504.5045045050001</v>
      </c>
      <c r="F117">
        <v>124324.324324325</v>
      </c>
      <c r="G117">
        <v>8</v>
      </c>
      <c r="H117">
        <v>9</v>
      </c>
      <c r="K117">
        <v>10</v>
      </c>
      <c r="L117">
        <v>9</v>
      </c>
      <c r="M117">
        <v>1247747.747747747</v>
      </c>
      <c r="N117">
        <v>1354054.054054054</v>
      </c>
      <c r="O117">
        <v>12174864.864864863</v>
      </c>
      <c r="P117">
        <v>11088684.684684685</v>
      </c>
      <c r="Q117">
        <v>2068468.4684684679</v>
      </c>
      <c r="R117">
        <v>2143603.6036036038</v>
      </c>
      <c r="S117">
        <v>3784</v>
      </c>
      <c r="T117">
        <v>3784</v>
      </c>
    </row>
    <row r="118" spans="1:20" x14ac:dyDescent="0.35">
      <c r="A118" s="7" t="s">
        <v>204</v>
      </c>
      <c r="B118" s="12" t="s">
        <v>136</v>
      </c>
      <c r="C118">
        <v>176577722.04045072</v>
      </c>
      <c r="D118">
        <v>150996841.30101335</v>
      </c>
      <c r="E118">
        <v>218468.468468468</v>
      </c>
      <c r="F118">
        <v>131531.53153153299</v>
      </c>
      <c r="G118">
        <v>41</v>
      </c>
      <c r="H118">
        <v>18</v>
      </c>
      <c r="K118">
        <v>47</v>
      </c>
      <c r="L118">
        <v>19</v>
      </c>
      <c r="M118">
        <v>16060270.270270269</v>
      </c>
      <c r="N118">
        <v>13825225.225225223</v>
      </c>
      <c r="O118">
        <v>30050585.585585583</v>
      </c>
      <c r="P118">
        <v>29059270.270270273</v>
      </c>
      <c r="Q118">
        <v>14415765.765765768</v>
      </c>
      <c r="R118">
        <v>11812702.702702705</v>
      </c>
      <c r="S118">
        <v>6047</v>
      </c>
      <c r="T118">
        <v>5644</v>
      </c>
    </row>
    <row r="119" spans="1:20" x14ac:dyDescent="0.35">
      <c r="A119" s="7" t="s">
        <v>205</v>
      </c>
      <c r="B119" s="12" t="s">
        <v>136</v>
      </c>
      <c r="C119">
        <v>86656782.171080917</v>
      </c>
      <c r="D119">
        <v>81190698.06288445</v>
      </c>
      <c r="E119">
        <v>8382882.8828828828</v>
      </c>
      <c r="F119">
        <v>9446846.8468468487</v>
      </c>
      <c r="G119">
        <v>25</v>
      </c>
      <c r="H119">
        <v>10</v>
      </c>
      <c r="K119">
        <v>27</v>
      </c>
      <c r="L119">
        <v>15</v>
      </c>
      <c r="M119">
        <v>3202702.702702702</v>
      </c>
      <c r="N119">
        <v>1370270.2702702689</v>
      </c>
      <c r="O119">
        <v>14706936.936936935</v>
      </c>
      <c r="P119">
        <v>15387971.171171172</v>
      </c>
      <c r="Q119">
        <v>2161711.7117117108</v>
      </c>
      <c r="R119">
        <v>1402432.432432432</v>
      </c>
      <c r="S119">
        <v>3212</v>
      </c>
      <c r="T119">
        <v>3180</v>
      </c>
    </row>
    <row r="120" spans="1:20" x14ac:dyDescent="0.35">
      <c r="A120" s="7" t="s">
        <v>206</v>
      </c>
      <c r="B120" s="12" t="s">
        <v>169</v>
      </c>
      <c r="C120">
        <v>181405148.05074266</v>
      </c>
      <c r="D120">
        <v>181422424.92298239</v>
      </c>
      <c r="E120">
        <v>312612.61261261301</v>
      </c>
      <c r="F120">
        <v>624324.32432432403</v>
      </c>
      <c r="G120">
        <v>10</v>
      </c>
      <c r="H120">
        <v>7</v>
      </c>
      <c r="K120">
        <v>10</v>
      </c>
      <c r="L120">
        <v>9</v>
      </c>
      <c r="M120">
        <v>431672972.97297299</v>
      </c>
      <c r="N120">
        <v>12164864.864864863</v>
      </c>
      <c r="O120">
        <v>85705081.081081092</v>
      </c>
      <c r="P120">
        <v>84454738.738738731</v>
      </c>
      <c r="Q120">
        <v>436272457.65765768</v>
      </c>
      <c r="R120">
        <v>12783513.513513513</v>
      </c>
      <c r="S120">
        <v>7634</v>
      </c>
      <c r="T120">
        <v>7557</v>
      </c>
    </row>
    <row r="121" spans="1:20" x14ac:dyDescent="0.35">
      <c r="A121" s="7" t="s">
        <v>207</v>
      </c>
      <c r="B121" s="12" t="s">
        <v>161</v>
      </c>
      <c r="C121">
        <v>197218840.2174851</v>
      </c>
      <c r="D121">
        <v>210418392.21271574</v>
      </c>
      <c r="E121">
        <v>341081.08108108299</v>
      </c>
      <c r="F121">
        <v>683783.78378378402</v>
      </c>
      <c r="G121">
        <v>64</v>
      </c>
      <c r="H121">
        <v>49</v>
      </c>
      <c r="K121">
        <v>158</v>
      </c>
      <c r="L121">
        <v>150</v>
      </c>
      <c r="M121">
        <v>25060990.990990989</v>
      </c>
      <c r="N121">
        <v>19479099.099099103</v>
      </c>
      <c r="O121">
        <v>56360981.981981985</v>
      </c>
      <c r="P121">
        <v>59183729.729729727</v>
      </c>
      <c r="Q121">
        <v>23388738.738738731</v>
      </c>
      <c r="R121">
        <v>17866846.846846849</v>
      </c>
      <c r="S121">
        <v>12321</v>
      </c>
      <c r="T121">
        <v>12155</v>
      </c>
    </row>
    <row r="122" spans="1:20" x14ac:dyDescent="0.35">
      <c r="A122" s="7" t="s">
        <v>208</v>
      </c>
      <c r="B122" s="12" t="s">
        <v>76</v>
      </c>
      <c r="C122">
        <v>7567243.3770726891</v>
      </c>
      <c r="D122">
        <v>6431342.5232287953</v>
      </c>
      <c r="G122">
        <v>1</v>
      </c>
      <c r="K122">
        <v>1</v>
      </c>
      <c r="O122">
        <v>380405.40540540603</v>
      </c>
      <c r="P122">
        <v>460000</v>
      </c>
      <c r="S122">
        <v>532</v>
      </c>
      <c r="T122">
        <v>503</v>
      </c>
    </row>
    <row r="123" spans="1:20" x14ac:dyDescent="0.35">
      <c r="A123" s="7" t="s">
        <v>209</v>
      </c>
      <c r="B123" s="12" t="s">
        <v>76</v>
      </c>
      <c r="C123">
        <v>94322188.441812351</v>
      </c>
      <c r="D123">
        <v>90130609.583623737</v>
      </c>
      <c r="E123">
        <v>84836245.945945948</v>
      </c>
      <c r="F123">
        <v>31526375.675675679</v>
      </c>
      <c r="G123">
        <v>25</v>
      </c>
      <c r="H123">
        <v>33</v>
      </c>
      <c r="I123">
        <v>2</v>
      </c>
      <c r="K123">
        <v>36</v>
      </c>
      <c r="L123">
        <v>40</v>
      </c>
      <c r="M123">
        <v>7912252.2522522556</v>
      </c>
      <c r="N123">
        <v>11268828.828828828</v>
      </c>
      <c r="O123">
        <v>12360675.675675675</v>
      </c>
      <c r="P123">
        <v>13770900.9009009</v>
      </c>
      <c r="Q123">
        <v>7339819.819819822</v>
      </c>
      <c r="R123">
        <v>10572882.882882882</v>
      </c>
      <c r="S123">
        <v>4497</v>
      </c>
      <c r="T123">
        <v>4733</v>
      </c>
    </row>
    <row r="124" spans="1:20" x14ac:dyDescent="0.35">
      <c r="A124" s="7" t="s">
        <v>210</v>
      </c>
      <c r="B124" s="12" t="s">
        <v>76</v>
      </c>
      <c r="C124">
        <v>118192891.69926667</v>
      </c>
      <c r="D124">
        <v>116053168.52773859</v>
      </c>
      <c r="E124">
        <v>656756.75675675902</v>
      </c>
      <c r="F124">
        <v>1412612.6126126179</v>
      </c>
      <c r="G124">
        <v>55</v>
      </c>
      <c r="H124">
        <v>53</v>
      </c>
      <c r="I124">
        <v>2</v>
      </c>
      <c r="K124">
        <v>70</v>
      </c>
      <c r="L124">
        <v>64</v>
      </c>
      <c r="M124">
        <v>33948648.648648642</v>
      </c>
      <c r="N124">
        <v>34822162.162162162</v>
      </c>
      <c r="O124">
        <v>35223135.135135137</v>
      </c>
      <c r="P124">
        <v>34157765.765765771</v>
      </c>
      <c r="Q124">
        <v>22017027.02702703</v>
      </c>
      <c r="R124">
        <v>31598108.108108107</v>
      </c>
      <c r="S124">
        <v>6875</v>
      </c>
      <c r="T124">
        <v>6854</v>
      </c>
    </row>
    <row r="125" spans="1:20" x14ac:dyDescent="0.35">
      <c r="A125" s="7" t="s">
        <v>211</v>
      </c>
      <c r="B125" s="12" t="s">
        <v>76</v>
      </c>
      <c r="C125">
        <v>77076530.482702211</v>
      </c>
      <c r="D125">
        <v>82115871.007509634</v>
      </c>
      <c r="E125">
        <v>799549.54954955098</v>
      </c>
      <c r="F125">
        <v>899774.77477477805</v>
      </c>
      <c r="G125">
        <v>28</v>
      </c>
      <c r="H125">
        <v>39</v>
      </c>
      <c r="K125">
        <v>36</v>
      </c>
      <c r="L125">
        <v>45</v>
      </c>
      <c r="M125">
        <v>7511261.2612612583</v>
      </c>
      <c r="N125">
        <v>5883603.6036036052</v>
      </c>
      <c r="O125">
        <v>11627324.324324325</v>
      </c>
      <c r="P125">
        <v>12435470.720720721</v>
      </c>
      <c r="Q125">
        <v>6612702.702702702</v>
      </c>
      <c r="R125">
        <v>5836936.9369369373</v>
      </c>
      <c r="S125">
        <v>4094</v>
      </c>
      <c r="T125">
        <v>4164</v>
      </c>
    </row>
    <row r="126" spans="1:20" x14ac:dyDescent="0.35">
      <c r="A126" s="7" t="s">
        <v>212</v>
      </c>
      <c r="B126" s="12" t="s">
        <v>76</v>
      </c>
      <c r="C126">
        <v>32409033.408917304</v>
      </c>
      <c r="D126">
        <v>30900376.40650386</v>
      </c>
      <c r="E126">
        <v>6756.7567567570004</v>
      </c>
      <c r="G126">
        <v>8</v>
      </c>
      <c r="H126">
        <v>3</v>
      </c>
      <c r="K126">
        <v>8</v>
      </c>
      <c r="L126">
        <v>3</v>
      </c>
      <c r="M126">
        <v>547297.29729729798</v>
      </c>
      <c r="N126">
        <v>270270.27027027</v>
      </c>
      <c r="O126">
        <v>4294864.8648648653</v>
      </c>
      <c r="P126">
        <v>4768675.6756756762</v>
      </c>
      <c r="Q126">
        <v>418918.91891891899</v>
      </c>
      <c r="R126">
        <v>151801.80180180201</v>
      </c>
      <c r="S126">
        <v>1837</v>
      </c>
      <c r="T126">
        <v>2715</v>
      </c>
    </row>
    <row r="127" spans="1:20" x14ac:dyDescent="0.35">
      <c r="A127" s="7" t="s">
        <v>213</v>
      </c>
      <c r="B127" s="12" t="s">
        <v>214</v>
      </c>
      <c r="C127">
        <v>35566692.463287495</v>
      </c>
      <c r="D127">
        <v>43929906.540669553</v>
      </c>
      <c r="E127">
        <v>75225.225225225993</v>
      </c>
      <c r="F127">
        <v>260360.360360361</v>
      </c>
      <c r="G127">
        <v>6</v>
      </c>
      <c r="H127">
        <v>20</v>
      </c>
      <c r="K127">
        <v>6</v>
      </c>
      <c r="L127">
        <v>25</v>
      </c>
      <c r="M127">
        <v>4624054.0540540563</v>
      </c>
      <c r="N127">
        <v>8132882.8828828819</v>
      </c>
      <c r="O127">
        <v>16940495.495495494</v>
      </c>
      <c r="P127">
        <v>19882792.792792793</v>
      </c>
      <c r="Q127">
        <v>3932792.7927927938</v>
      </c>
      <c r="R127">
        <v>5694954.9549549557</v>
      </c>
      <c r="S127">
        <v>2299</v>
      </c>
      <c r="T127">
        <v>2239</v>
      </c>
    </row>
    <row r="128" spans="1:20" x14ac:dyDescent="0.35">
      <c r="A128" s="7" t="s">
        <v>215</v>
      </c>
      <c r="B128" s="12" t="s">
        <v>167</v>
      </c>
      <c r="C128">
        <v>32769939.674003694</v>
      </c>
      <c r="D128">
        <v>47022468.451970011</v>
      </c>
      <c r="E128">
        <v>2702.7027027029999</v>
      </c>
      <c r="G128">
        <v>3</v>
      </c>
      <c r="H128">
        <v>1</v>
      </c>
      <c r="K128">
        <v>4</v>
      </c>
      <c r="L128">
        <v>2</v>
      </c>
      <c r="M128">
        <v>2702.7027027029999</v>
      </c>
      <c r="N128">
        <v>450450.45045045001</v>
      </c>
      <c r="O128">
        <v>6083378.3783783782</v>
      </c>
      <c r="P128">
        <v>8441036.0360360369</v>
      </c>
      <c r="Q128">
        <v>673423.42342342495</v>
      </c>
      <c r="S128">
        <v>1838</v>
      </c>
      <c r="T128">
        <v>1843</v>
      </c>
    </row>
    <row r="129" spans="1:20" x14ac:dyDescent="0.35">
      <c r="A129" s="7" t="s">
        <v>216</v>
      </c>
      <c r="B129" s="12" t="s">
        <v>85</v>
      </c>
      <c r="C129">
        <v>8565985.8064007312</v>
      </c>
      <c r="D129">
        <v>10956227.881793516</v>
      </c>
      <c r="E129">
        <v>9909.9099099110008</v>
      </c>
      <c r="H129">
        <v>5</v>
      </c>
      <c r="L129">
        <v>7</v>
      </c>
      <c r="M129">
        <v>20118018.018018018</v>
      </c>
      <c r="N129">
        <v>24894594.59459459</v>
      </c>
      <c r="O129">
        <v>2383279.2792792791</v>
      </c>
      <c r="P129">
        <v>3077756.7567567569</v>
      </c>
      <c r="Q129">
        <v>12017387.387387387</v>
      </c>
      <c r="R129">
        <v>19350270.270270273</v>
      </c>
      <c r="S129">
        <v>641</v>
      </c>
      <c r="T129">
        <v>749</v>
      </c>
    </row>
    <row r="130" spans="1:20" x14ac:dyDescent="0.35">
      <c r="A130" s="7" t="s">
        <v>217</v>
      </c>
      <c r="B130" s="12" t="s">
        <v>85</v>
      </c>
      <c r="C130">
        <v>44518637.787435263</v>
      </c>
      <c r="D130">
        <v>42525274.31355647</v>
      </c>
      <c r="E130">
        <v>6306.3063063070003</v>
      </c>
      <c r="F130">
        <v>164864.864864865</v>
      </c>
      <c r="G130">
        <v>17</v>
      </c>
      <c r="H130">
        <v>18</v>
      </c>
      <c r="K130">
        <v>22</v>
      </c>
      <c r="L130">
        <v>21</v>
      </c>
      <c r="M130">
        <v>5988288.2882882887</v>
      </c>
      <c r="N130">
        <v>10493693.693693694</v>
      </c>
      <c r="O130">
        <v>8798603.6036036033</v>
      </c>
      <c r="P130">
        <v>9117567.5675675683</v>
      </c>
      <c r="Q130">
        <v>5080990.9909909898</v>
      </c>
      <c r="R130">
        <v>10545675.675675675</v>
      </c>
      <c r="S130">
        <v>2586</v>
      </c>
      <c r="T130">
        <v>2488</v>
      </c>
    </row>
    <row r="131" spans="1:20" x14ac:dyDescent="0.35">
      <c r="A131" s="7" t="s">
        <v>218</v>
      </c>
      <c r="B131" s="12" t="s">
        <v>147</v>
      </c>
      <c r="C131">
        <v>41976491.484536491</v>
      </c>
      <c r="D131">
        <v>40359168.649332143</v>
      </c>
      <c r="E131">
        <v>63885797.297297299</v>
      </c>
      <c r="F131">
        <v>118328262.16216215</v>
      </c>
      <c r="G131">
        <v>9</v>
      </c>
      <c r="H131">
        <v>20</v>
      </c>
      <c r="K131">
        <v>9</v>
      </c>
      <c r="L131">
        <v>65</v>
      </c>
      <c r="M131">
        <v>452252.25225225202</v>
      </c>
      <c r="N131">
        <v>18164864.864864863</v>
      </c>
      <c r="O131">
        <v>10549396.396396397</v>
      </c>
      <c r="P131">
        <v>14411099.0990991</v>
      </c>
      <c r="Q131">
        <v>1500360.3603603609</v>
      </c>
      <c r="R131">
        <v>20656756.756756753</v>
      </c>
      <c r="S131">
        <v>2516</v>
      </c>
      <c r="T131">
        <v>2476</v>
      </c>
    </row>
    <row r="132" spans="1:20" x14ac:dyDescent="0.35">
      <c r="A132" s="7" t="s">
        <v>219</v>
      </c>
      <c r="B132" s="12" t="s">
        <v>220</v>
      </c>
      <c r="C132">
        <v>85522419.136628613</v>
      </c>
      <c r="D132">
        <v>79753585.499895513</v>
      </c>
      <c r="E132">
        <v>7169549.5495495498</v>
      </c>
      <c r="F132">
        <v>7038738.7387387399</v>
      </c>
      <c r="G132">
        <v>29</v>
      </c>
      <c r="H132">
        <v>13</v>
      </c>
      <c r="K132">
        <v>33</v>
      </c>
      <c r="L132">
        <v>19</v>
      </c>
      <c r="M132">
        <v>129372387.38738738</v>
      </c>
      <c r="N132">
        <v>50919009.009009019</v>
      </c>
      <c r="O132">
        <v>21129099.0990991</v>
      </c>
      <c r="P132">
        <v>19508218.468468469</v>
      </c>
      <c r="Q132">
        <v>141445135.13513511</v>
      </c>
      <c r="R132">
        <v>93231171.171171173</v>
      </c>
      <c r="S132">
        <v>6435</v>
      </c>
      <c r="T132">
        <v>6174</v>
      </c>
    </row>
    <row r="133" spans="1:20" x14ac:dyDescent="0.35">
      <c r="A133" s="7" t="s">
        <v>221</v>
      </c>
      <c r="B133" s="12" t="s">
        <v>52</v>
      </c>
      <c r="C133">
        <v>199592052.26588476</v>
      </c>
      <c r="D133">
        <v>191091122.81481498</v>
      </c>
      <c r="E133">
        <v>29950450.45045045</v>
      </c>
      <c r="F133">
        <v>118383783.78378379</v>
      </c>
      <c r="G133">
        <v>41</v>
      </c>
      <c r="H133">
        <v>49</v>
      </c>
      <c r="K133">
        <v>49</v>
      </c>
      <c r="L133">
        <v>58</v>
      </c>
      <c r="M133">
        <v>5369639.6396396384</v>
      </c>
      <c r="N133">
        <v>6271171.1711711697</v>
      </c>
      <c r="O133">
        <v>62140900.9009009</v>
      </c>
      <c r="P133">
        <v>61783639.639639638</v>
      </c>
      <c r="Q133">
        <v>7088558.558558559</v>
      </c>
      <c r="R133">
        <v>16656486.486486485</v>
      </c>
      <c r="S133">
        <v>10834</v>
      </c>
      <c r="T133">
        <v>9568</v>
      </c>
    </row>
    <row r="134" spans="1:20" x14ac:dyDescent="0.35">
      <c r="A134" s="7" t="s">
        <v>222</v>
      </c>
      <c r="B134" s="12" t="s">
        <v>76</v>
      </c>
      <c r="C134">
        <v>153720237.80573517</v>
      </c>
      <c r="D134">
        <v>147883670.37506592</v>
      </c>
      <c r="E134">
        <v>52792.792792794004</v>
      </c>
      <c r="F134">
        <v>382882.88288288697</v>
      </c>
      <c r="G134">
        <v>41</v>
      </c>
      <c r="H134">
        <v>28</v>
      </c>
      <c r="K134">
        <v>48</v>
      </c>
      <c r="L134">
        <v>36</v>
      </c>
      <c r="M134">
        <v>9507747.7477477454</v>
      </c>
      <c r="N134">
        <v>8566486.4864864852</v>
      </c>
      <c r="O134">
        <v>27127241.441441439</v>
      </c>
      <c r="P134">
        <v>27969707.207207207</v>
      </c>
      <c r="Q134">
        <v>9536936.9369369391</v>
      </c>
      <c r="R134">
        <v>9065045.0450450461</v>
      </c>
      <c r="S134">
        <v>7028</v>
      </c>
      <c r="T134">
        <v>6949</v>
      </c>
    </row>
    <row r="135" spans="1:20" x14ac:dyDescent="0.35">
      <c r="A135" s="7" t="s">
        <v>223</v>
      </c>
      <c r="B135" s="12" t="s">
        <v>224</v>
      </c>
      <c r="C135">
        <v>13295978.417428425</v>
      </c>
      <c r="D135">
        <v>13097174.212706028</v>
      </c>
      <c r="G135">
        <v>2</v>
      </c>
      <c r="K135">
        <v>2</v>
      </c>
      <c r="M135">
        <v>400000</v>
      </c>
      <c r="O135">
        <v>2419864.8648648649</v>
      </c>
      <c r="P135">
        <v>2966567.5675675678</v>
      </c>
      <c r="Q135">
        <v>605405.40540540498</v>
      </c>
      <c r="R135">
        <v>170990.99099099101</v>
      </c>
      <c r="S135">
        <v>812</v>
      </c>
      <c r="T135">
        <v>838</v>
      </c>
    </row>
    <row r="136" spans="1:20" x14ac:dyDescent="0.35">
      <c r="A136" s="7" t="s">
        <v>225</v>
      </c>
      <c r="B136" s="12" t="s">
        <v>143</v>
      </c>
      <c r="C136">
        <v>133264963.91499145</v>
      </c>
      <c r="D136">
        <v>120347052.29071203</v>
      </c>
      <c r="E136">
        <v>36936.936936938</v>
      </c>
      <c r="F136">
        <v>2054954.954954959</v>
      </c>
      <c r="G136">
        <v>27</v>
      </c>
      <c r="H136">
        <v>32</v>
      </c>
      <c r="K136">
        <v>36</v>
      </c>
      <c r="L136">
        <v>42</v>
      </c>
      <c r="M136">
        <v>6316216.2162162149</v>
      </c>
      <c r="N136">
        <v>7067567.5675675701</v>
      </c>
      <c r="O136">
        <v>13883765.765765764</v>
      </c>
      <c r="P136">
        <v>16281756.756756756</v>
      </c>
      <c r="Q136">
        <v>4051621.6216216199</v>
      </c>
      <c r="R136">
        <v>4284054.0540540526</v>
      </c>
      <c r="S136">
        <v>5731</v>
      </c>
      <c r="T136">
        <v>6949</v>
      </c>
    </row>
    <row r="137" spans="1:20" x14ac:dyDescent="0.35">
      <c r="A137" s="7" t="s">
        <v>226</v>
      </c>
      <c r="B137" s="12" t="s">
        <v>224</v>
      </c>
      <c r="C137">
        <v>14799141.625656076</v>
      </c>
      <c r="D137">
        <v>13193386.983120743</v>
      </c>
      <c r="E137">
        <v>900.900900901</v>
      </c>
      <c r="F137">
        <v>40540.540540542002</v>
      </c>
      <c r="G137">
        <v>3</v>
      </c>
      <c r="H137">
        <v>4</v>
      </c>
      <c r="K137">
        <v>3</v>
      </c>
      <c r="L137">
        <v>4</v>
      </c>
      <c r="M137">
        <v>889909.90990990901</v>
      </c>
      <c r="N137">
        <v>1936036.036036036</v>
      </c>
      <c r="O137">
        <v>3286261.2612612611</v>
      </c>
      <c r="P137">
        <v>3493711.7117117122</v>
      </c>
      <c r="Q137">
        <v>933693.69369369198</v>
      </c>
      <c r="R137">
        <v>1202342.342342342</v>
      </c>
      <c r="S137">
        <v>782</v>
      </c>
      <c r="T137">
        <v>745</v>
      </c>
    </row>
    <row r="138" spans="1:20" x14ac:dyDescent="0.35">
      <c r="A138" s="7" t="s">
        <v>227</v>
      </c>
      <c r="B138" s="12" t="s">
        <v>78</v>
      </c>
      <c r="C138">
        <v>120476449.502718</v>
      </c>
      <c r="D138">
        <v>114161815.26048172</v>
      </c>
      <c r="E138">
        <v>331531.53153153398</v>
      </c>
      <c r="F138">
        <v>1368468.4684684691</v>
      </c>
      <c r="G138">
        <v>18</v>
      </c>
      <c r="H138">
        <v>16</v>
      </c>
      <c r="K138">
        <v>21</v>
      </c>
      <c r="L138">
        <v>20</v>
      </c>
      <c r="M138">
        <v>6214414.4144144142</v>
      </c>
      <c r="N138">
        <v>10737837.837837838</v>
      </c>
      <c r="O138">
        <v>45358917.117117122</v>
      </c>
      <c r="P138">
        <v>43944702.702702701</v>
      </c>
      <c r="Q138">
        <v>6649412.6126126107</v>
      </c>
      <c r="R138">
        <v>11230540.540540541</v>
      </c>
      <c r="S138">
        <v>4526</v>
      </c>
      <c r="T138">
        <v>4849</v>
      </c>
    </row>
    <row r="139" spans="1:20" x14ac:dyDescent="0.35">
      <c r="A139" s="7" t="s">
        <v>228</v>
      </c>
      <c r="B139" s="12" t="s">
        <v>136</v>
      </c>
      <c r="C139">
        <v>164453881.80104247</v>
      </c>
      <c r="D139">
        <v>154567740.87543085</v>
      </c>
      <c r="E139">
        <v>388738.73873873899</v>
      </c>
      <c r="F139">
        <v>841891.89189189603</v>
      </c>
      <c r="G139">
        <v>31</v>
      </c>
      <c r="H139">
        <v>34</v>
      </c>
      <c r="K139">
        <v>38</v>
      </c>
      <c r="L139">
        <v>45</v>
      </c>
      <c r="M139">
        <v>26415315.315315317</v>
      </c>
      <c r="N139">
        <v>17708108.108108103</v>
      </c>
      <c r="O139">
        <v>34107374.774774775</v>
      </c>
      <c r="P139">
        <v>37202135.135135137</v>
      </c>
      <c r="Q139">
        <v>22203063.063063059</v>
      </c>
      <c r="R139">
        <v>12931081.081081085</v>
      </c>
      <c r="S139">
        <v>7578</v>
      </c>
      <c r="T139">
        <v>7416</v>
      </c>
    </row>
    <row r="140" spans="1:20" x14ac:dyDescent="0.35">
      <c r="A140" s="7" t="s">
        <v>229</v>
      </c>
      <c r="B140" s="12" t="s">
        <v>78</v>
      </c>
      <c r="C140">
        <v>42168016.454889551</v>
      </c>
      <c r="D140">
        <v>44398411.355578192</v>
      </c>
      <c r="E140">
        <v>1114864.8648648639</v>
      </c>
      <c r="F140">
        <v>1082882.8828828831</v>
      </c>
      <c r="G140">
        <v>7</v>
      </c>
      <c r="H140">
        <v>15</v>
      </c>
      <c r="K140">
        <v>7</v>
      </c>
      <c r="L140">
        <v>17</v>
      </c>
      <c r="M140">
        <v>6610360.3603603588</v>
      </c>
      <c r="N140">
        <v>7698648.6486486495</v>
      </c>
      <c r="O140">
        <v>18416441.441441439</v>
      </c>
      <c r="P140">
        <v>20262459.459459461</v>
      </c>
      <c r="Q140">
        <v>6581171.1711711716</v>
      </c>
      <c r="R140">
        <v>7416486.4864864871</v>
      </c>
      <c r="S140">
        <v>2470</v>
      </c>
      <c r="T140">
        <v>2630</v>
      </c>
    </row>
    <row r="141" spans="1:20" x14ac:dyDescent="0.35">
      <c r="A141" s="7" t="s">
        <v>230</v>
      </c>
      <c r="B141" s="12" t="s">
        <v>54</v>
      </c>
      <c r="C141">
        <v>129436342.36729808</v>
      </c>
      <c r="D141">
        <v>122133018.54120782</v>
      </c>
      <c r="E141">
        <v>1801.801801802</v>
      </c>
      <c r="F141">
        <v>371171.171171172</v>
      </c>
      <c r="G141">
        <v>8</v>
      </c>
      <c r="H141">
        <v>10</v>
      </c>
      <c r="K141">
        <v>13</v>
      </c>
      <c r="L141">
        <v>10</v>
      </c>
      <c r="M141">
        <v>2287387.3873873861</v>
      </c>
      <c r="N141">
        <v>15060360.36036036</v>
      </c>
      <c r="O141">
        <v>29915045.045045044</v>
      </c>
      <c r="P141">
        <v>30451603.603603601</v>
      </c>
      <c r="Q141">
        <v>3966936.9369369382</v>
      </c>
      <c r="R141">
        <v>19132522.522522524</v>
      </c>
      <c r="S141">
        <v>6777</v>
      </c>
      <c r="T141">
        <v>6829</v>
      </c>
    </row>
    <row r="142" spans="1:20" x14ac:dyDescent="0.35">
      <c r="A142" s="7" t="s">
        <v>231</v>
      </c>
      <c r="B142" s="12" t="s">
        <v>78</v>
      </c>
      <c r="C142">
        <v>49348768.283089824</v>
      </c>
      <c r="D142">
        <v>45413184.461292975</v>
      </c>
      <c r="E142">
        <v>14959459.459459459</v>
      </c>
      <c r="F142">
        <v>34717117.117117122</v>
      </c>
      <c r="G142">
        <v>19</v>
      </c>
      <c r="H142">
        <v>16</v>
      </c>
      <c r="K142">
        <v>22</v>
      </c>
      <c r="L142">
        <v>29</v>
      </c>
      <c r="M142">
        <v>10193693.693693692</v>
      </c>
      <c r="N142">
        <v>8539639.6396396384</v>
      </c>
      <c r="O142">
        <v>21405720.72072072</v>
      </c>
      <c r="P142">
        <v>20866405.405405402</v>
      </c>
      <c r="Q142">
        <v>12152432.432432432</v>
      </c>
      <c r="R142">
        <v>9433423.4234234244</v>
      </c>
      <c r="S142">
        <v>3917</v>
      </c>
      <c r="T142">
        <v>3973</v>
      </c>
    </row>
    <row r="143" spans="1:20" x14ac:dyDescent="0.35">
      <c r="A143" s="7" t="s">
        <v>232</v>
      </c>
      <c r="B143" s="12" t="s">
        <v>60</v>
      </c>
      <c r="C143">
        <v>44017117.837295108</v>
      </c>
      <c r="D143">
        <v>43208012.376140527</v>
      </c>
      <c r="G143">
        <v>9</v>
      </c>
      <c r="H143">
        <v>13</v>
      </c>
      <c r="K143">
        <v>11</v>
      </c>
      <c r="L143">
        <v>13</v>
      </c>
      <c r="O143">
        <v>16894144.144144144</v>
      </c>
      <c r="P143">
        <v>17759054.054054055</v>
      </c>
      <c r="S143">
        <v>1895</v>
      </c>
      <c r="T143">
        <v>1820</v>
      </c>
    </row>
    <row r="144" spans="1:20" x14ac:dyDescent="0.35">
      <c r="A144" s="7" t="s">
        <v>233</v>
      </c>
      <c r="B144" s="12" t="s">
        <v>54</v>
      </c>
      <c r="C144">
        <v>21398295.150872637</v>
      </c>
      <c r="D144">
        <v>20599857.415165104</v>
      </c>
      <c r="E144">
        <v>9909.9099099100004</v>
      </c>
      <c r="F144">
        <v>16216.216216217001</v>
      </c>
      <c r="G144">
        <v>4</v>
      </c>
      <c r="H144">
        <v>4</v>
      </c>
      <c r="K144">
        <v>25</v>
      </c>
      <c r="L144">
        <v>4</v>
      </c>
      <c r="M144">
        <v>145045.045045045</v>
      </c>
      <c r="N144">
        <v>832072.07207207195</v>
      </c>
      <c r="O144">
        <v>4441981.9819819806</v>
      </c>
      <c r="P144">
        <v>3834594.5945945941</v>
      </c>
      <c r="Q144">
        <v>1238108.1081081079</v>
      </c>
      <c r="R144">
        <v>871531.53153153299</v>
      </c>
      <c r="S144">
        <v>1078</v>
      </c>
      <c r="T144">
        <v>1051</v>
      </c>
    </row>
    <row r="145" spans="1:20" x14ac:dyDescent="0.35">
      <c r="A145" s="7" t="s">
        <v>234</v>
      </c>
      <c r="B145" s="12" t="s">
        <v>167</v>
      </c>
      <c r="C145">
        <v>100851487.5088412</v>
      </c>
      <c r="D145">
        <v>91759307.122752979</v>
      </c>
      <c r="E145">
        <v>5405.4054054050002</v>
      </c>
      <c r="F145">
        <v>297297.29729729699</v>
      </c>
      <c r="G145">
        <v>12</v>
      </c>
      <c r="H145">
        <v>7</v>
      </c>
      <c r="K145">
        <v>14</v>
      </c>
      <c r="L145">
        <v>9</v>
      </c>
      <c r="M145">
        <v>8655135.1351351347</v>
      </c>
      <c r="N145">
        <v>6207207.2072072094</v>
      </c>
      <c r="O145">
        <v>26338153.153153151</v>
      </c>
      <c r="P145">
        <v>25719855.855855856</v>
      </c>
      <c r="Q145">
        <v>4908421.6216216208</v>
      </c>
      <c r="R145">
        <v>4140360.3603603598</v>
      </c>
      <c r="S145">
        <v>4738</v>
      </c>
      <c r="T145">
        <v>5065</v>
      </c>
    </row>
    <row r="146" spans="1:20" x14ac:dyDescent="0.35">
      <c r="A146" s="7" t="s">
        <v>235</v>
      </c>
      <c r="B146" s="12" t="s">
        <v>236</v>
      </c>
      <c r="C146">
        <v>6185.0602862180003</v>
      </c>
      <c r="D146">
        <v>53.984930679000001</v>
      </c>
      <c r="S146">
        <v>19</v>
      </c>
      <c r="T146">
        <v>52</v>
      </c>
    </row>
    <row r="147" spans="1:20" x14ac:dyDescent="0.35">
      <c r="A147" s="7" t="s">
        <v>237</v>
      </c>
      <c r="B147" s="12" t="s">
        <v>105</v>
      </c>
      <c r="C147">
        <v>56275024.905507751</v>
      </c>
      <c r="D147">
        <v>54687083.435370468</v>
      </c>
      <c r="E147">
        <v>242252.25225225301</v>
      </c>
      <c r="F147">
        <v>113513.513513514</v>
      </c>
      <c r="G147">
        <v>8</v>
      </c>
      <c r="H147">
        <v>8</v>
      </c>
      <c r="K147">
        <v>8</v>
      </c>
      <c r="L147">
        <v>9</v>
      </c>
      <c r="M147">
        <v>5197927.9279279271</v>
      </c>
      <c r="N147">
        <v>5609009.0090090092</v>
      </c>
      <c r="O147">
        <v>15391207.207207207</v>
      </c>
      <c r="P147">
        <v>14998981.981981982</v>
      </c>
      <c r="Q147">
        <v>4729099.0990990978</v>
      </c>
      <c r="R147">
        <v>6199819.8198198201</v>
      </c>
      <c r="S147">
        <v>2003</v>
      </c>
      <c r="T147">
        <v>1969</v>
      </c>
    </row>
    <row r="148" spans="1:20" x14ac:dyDescent="0.35">
      <c r="A148" s="7" t="s">
        <v>3</v>
      </c>
      <c r="B148" s="12" t="s">
        <v>158</v>
      </c>
      <c r="C148">
        <v>118393020.72315741</v>
      </c>
      <c r="D148">
        <v>111830269.07355322</v>
      </c>
      <c r="E148">
        <v>1307657.6576576589</v>
      </c>
      <c r="F148">
        <v>1648648.6486486499</v>
      </c>
      <c r="G148">
        <v>17</v>
      </c>
      <c r="H148">
        <v>7</v>
      </c>
      <c r="K148">
        <v>19</v>
      </c>
      <c r="L148">
        <v>10</v>
      </c>
      <c r="M148">
        <v>20495045.045045048</v>
      </c>
      <c r="N148">
        <v>18251351.351351351</v>
      </c>
      <c r="O148">
        <v>29160630.630630631</v>
      </c>
      <c r="P148">
        <v>31570288.288288288</v>
      </c>
      <c r="Q148">
        <v>22084864.864864867</v>
      </c>
      <c r="R148">
        <v>17722882.882882882</v>
      </c>
      <c r="S148">
        <v>3822</v>
      </c>
      <c r="T148">
        <v>3571</v>
      </c>
    </row>
    <row r="149" spans="1:20" x14ac:dyDescent="0.35">
      <c r="A149" s="7" t="s">
        <v>238</v>
      </c>
      <c r="B149" s="12" t="s">
        <v>178</v>
      </c>
      <c r="C149">
        <v>93646123.845025942</v>
      </c>
      <c r="D149">
        <v>90487026.757628769</v>
      </c>
      <c r="E149">
        <v>25225.225225225</v>
      </c>
      <c r="F149">
        <v>323423.423423425</v>
      </c>
      <c r="G149">
        <v>19</v>
      </c>
      <c r="H149">
        <v>24</v>
      </c>
      <c r="K149">
        <v>24</v>
      </c>
      <c r="L149">
        <v>30</v>
      </c>
      <c r="M149">
        <v>7885585.5855855849</v>
      </c>
      <c r="N149">
        <v>12035135.135135137</v>
      </c>
      <c r="O149">
        <v>29380801.801801801</v>
      </c>
      <c r="P149">
        <v>27745774.774774775</v>
      </c>
      <c r="Q149">
        <v>7288288.2882882887</v>
      </c>
      <c r="R149">
        <v>10844144.144144144</v>
      </c>
      <c r="S149">
        <v>5523</v>
      </c>
      <c r="T149">
        <v>5104</v>
      </c>
    </row>
    <row r="150" spans="1:20" x14ac:dyDescent="0.35">
      <c r="A150" s="7" t="s">
        <v>239</v>
      </c>
      <c r="B150" s="12" t="s">
        <v>54</v>
      </c>
      <c r="C150">
        <v>67445656.577115878</v>
      </c>
      <c r="D150">
        <v>62981271.763452493</v>
      </c>
      <c r="E150">
        <v>792432.43243243196</v>
      </c>
      <c r="F150">
        <v>1042342.342342344</v>
      </c>
      <c r="G150">
        <v>5</v>
      </c>
      <c r="H150">
        <v>6</v>
      </c>
      <c r="K150">
        <v>9</v>
      </c>
      <c r="L150">
        <v>7</v>
      </c>
      <c r="M150">
        <v>4829369.369369369</v>
      </c>
      <c r="N150">
        <v>7285945.9459459474</v>
      </c>
      <c r="O150">
        <v>17923097.297297299</v>
      </c>
      <c r="P150">
        <v>16816709.909909911</v>
      </c>
      <c r="Q150">
        <v>6651214.4144144151</v>
      </c>
      <c r="R150">
        <v>7177520.7207207214</v>
      </c>
      <c r="S150">
        <v>3405</v>
      </c>
      <c r="T150">
        <v>3387</v>
      </c>
    </row>
    <row r="151" spans="1:20" x14ac:dyDescent="0.35">
      <c r="A151" s="7" t="s">
        <v>240</v>
      </c>
      <c r="B151" s="12" t="s">
        <v>241</v>
      </c>
      <c r="C151">
        <v>56390013.728921875</v>
      </c>
      <c r="D151">
        <v>53789947.018593051</v>
      </c>
      <c r="E151">
        <v>100900.90090090199</v>
      </c>
      <c r="F151">
        <v>353153.15315315401</v>
      </c>
      <c r="G151">
        <v>29</v>
      </c>
      <c r="H151">
        <v>20</v>
      </c>
      <c r="K151">
        <v>35</v>
      </c>
      <c r="L151">
        <v>25</v>
      </c>
      <c r="M151">
        <v>48364504.504504502</v>
      </c>
      <c r="N151">
        <v>5869549.5495495535</v>
      </c>
      <c r="O151">
        <v>13747657.657657659</v>
      </c>
      <c r="P151">
        <v>12881664.864864863</v>
      </c>
      <c r="Q151">
        <v>52258198.198198199</v>
      </c>
      <c r="R151">
        <v>4057837.83783784</v>
      </c>
      <c r="S151">
        <v>2849</v>
      </c>
      <c r="T151">
        <v>2826</v>
      </c>
    </row>
    <row r="152" spans="1:20" x14ac:dyDescent="0.35">
      <c r="A152" s="7" t="s">
        <v>242</v>
      </c>
      <c r="B152" s="12" t="s">
        <v>241</v>
      </c>
      <c r="C152">
        <v>148462705.27793303</v>
      </c>
      <c r="D152">
        <v>142044108.49496797</v>
      </c>
      <c r="E152">
        <v>142342.342342344</v>
      </c>
      <c r="F152">
        <v>984684.68468468601</v>
      </c>
      <c r="G152">
        <v>73</v>
      </c>
      <c r="H152">
        <v>48</v>
      </c>
      <c r="K152">
        <v>87</v>
      </c>
      <c r="L152">
        <v>57</v>
      </c>
      <c r="M152">
        <v>27833873.873873871</v>
      </c>
      <c r="N152">
        <v>23470540.540540542</v>
      </c>
      <c r="O152">
        <v>43737675.675675683</v>
      </c>
      <c r="P152">
        <v>42247882.882882878</v>
      </c>
      <c r="Q152">
        <v>24186756.756756756</v>
      </c>
      <c r="R152">
        <v>21911891.891891897</v>
      </c>
      <c r="S152">
        <v>6891</v>
      </c>
      <c r="T152">
        <v>6756</v>
      </c>
    </row>
    <row r="153" spans="1:20" x14ac:dyDescent="0.35">
      <c r="A153" s="7" t="s">
        <v>243</v>
      </c>
      <c r="B153" s="12" t="s">
        <v>50</v>
      </c>
      <c r="C153">
        <v>28737418.145349532</v>
      </c>
      <c r="D153">
        <v>25310736.194893796</v>
      </c>
      <c r="E153">
        <v>1149099.0990991001</v>
      </c>
      <c r="F153">
        <v>356756.75675675698</v>
      </c>
      <c r="G153">
        <v>8</v>
      </c>
      <c r="H153">
        <v>2</v>
      </c>
      <c r="K153">
        <v>9</v>
      </c>
      <c r="L153">
        <v>2</v>
      </c>
      <c r="M153">
        <v>3329279.2792792791</v>
      </c>
      <c r="N153">
        <v>1113513.5135135129</v>
      </c>
      <c r="O153">
        <v>9370270.2702702694</v>
      </c>
      <c r="P153">
        <v>7602639.6396396402</v>
      </c>
      <c r="Q153">
        <v>2582432.4324324322</v>
      </c>
      <c r="R153">
        <v>1232252.2522522509</v>
      </c>
      <c r="S153">
        <v>1205</v>
      </c>
      <c r="T153">
        <v>1175</v>
      </c>
    </row>
    <row r="154" spans="1:20" x14ac:dyDescent="0.35">
      <c r="A154" s="7" t="s">
        <v>244</v>
      </c>
      <c r="B154" s="12" t="s">
        <v>181</v>
      </c>
      <c r="C154">
        <v>806588638.42523754</v>
      </c>
      <c r="D154">
        <v>743443202.329633</v>
      </c>
      <c r="E154">
        <v>99341464.864864886</v>
      </c>
      <c r="F154">
        <v>78777790.990991011</v>
      </c>
      <c r="G154">
        <v>254</v>
      </c>
      <c r="H154">
        <v>248</v>
      </c>
      <c r="I154">
        <v>6</v>
      </c>
      <c r="K154">
        <v>331</v>
      </c>
      <c r="L154">
        <v>396</v>
      </c>
      <c r="M154">
        <v>80169999.999999985</v>
      </c>
      <c r="N154">
        <v>89130180.180180177</v>
      </c>
      <c r="O154">
        <v>156959180.18018019</v>
      </c>
      <c r="P154">
        <v>169646435.13513514</v>
      </c>
      <c r="Q154">
        <v>74701981.981981963</v>
      </c>
      <c r="R154">
        <v>91391801.801801801</v>
      </c>
      <c r="S154">
        <v>43167</v>
      </c>
      <c r="T154">
        <v>44627</v>
      </c>
    </row>
    <row r="155" spans="1:20" x14ac:dyDescent="0.35">
      <c r="A155" s="7" t="s">
        <v>245</v>
      </c>
      <c r="B155" s="12" t="s">
        <v>48</v>
      </c>
      <c r="C155">
        <v>36457948.150344737</v>
      </c>
      <c r="D155">
        <v>34901241.268731758</v>
      </c>
      <c r="E155">
        <v>38344234.234234229</v>
      </c>
      <c r="F155">
        <v>66814200.9009009</v>
      </c>
      <c r="G155">
        <v>3</v>
      </c>
      <c r="K155">
        <v>3</v>
      </c>
      <c r="L155">
        <v>1</v>
      </c>
      <c r="M155">
        <v>7028558.55855856</v>
      </c>
      <c r="N155">
        <v>10602162.162162161</v>
      </c>
      <c r="O155">
        <v>8774369.369369369</v>
      </c>
      <c r="P155">
        <v>7591135.1351351356</v>
      </c>
      <c r="Q155">
        <v>3994234.2342342348</v>
      </c>
      <c r="R155">
        <v>3330990.9909909898</v>
      </c>
      <c r="S155">
        <v>1809</v>
      </c>
      <c r="T155">
        <v>1803</v>
      </c>
    </row>
    <row r="156" spans="1:20" x14ac:dyDescent="0.35">
      <c r="A156" s="7" t="s">
        <v>246</v>
      </c>
      <c r="B156" s="12" t="s">
        <v>94</v>
      </c>
      <c r="C156">
        <v>15369671.153367234</v>
      </c>
      <c r="D156">
        <v>8985395.0667980686</v>
      </c>
      <c r="E156">
        <v>8108108.1081081079</v>
      </c>
      <c r="F156">
        <v>24662162.162162159</v>
      </c>
      <c r="G156">
        <v>1</v>
      </c>
      <c r="K156">
        <v>1</v>
      </c>
      <c r="M156">
        <v>3506306.3063063058</v>
      </c>
      <c r="N156">
        <v>2459459.4594594589</v>
      </c>
      <c r="O156">
        <v>2532396.3963963962</v>
      </c>
      <c r="P156">
        <v>1475216.2162162161</v>
      </c>
      <c r="S156">
        <v>689</v>
      </c>
      <c r="T156">
        <v>659</v>
      </c>
    </row>
    <row r="157" spans="1:20" x14ac:dyDescent="0.35">
      <c r="A157" s="7" t="s">
        <v>247</v>
      </c>
      <c r="B157" s="12" t="s">
        <v>117</v>
      </c>
      <c r="C157">
        <v>30724448.510589719</v>
      </c>
      <c r="D157">
        <v>30520924.983702797</v>
      </c>
      <c r="E157">
        <v>325042.342342344</v>
      </c>
      <c r="F157">
        <v>609508.10810811003</v>
      </c>
      <c r="G157">
        <v>4</v>
      </c>
      <c r="H157">
        <v>2</v>
      </c>
      <c r="K157">
        <v>13</v>
      </c>
      <c r="L157">
        <v>4</v>
      </c>
      <c r="M157">
        <v>9165585.5855855849</v>
      </c>
      <c r="N157">
        <v>1053715.315315316</v>
      </c>
      <c r="O157">
        <v>14340270.270270269</v>
      </c>
      <c r="P157">
        <v>15532531.531531531</v>
      </c>
      <c r="Q157">
        <v>6483243.2432432417</v>
      </c>
      <c r="R157">
        <v>3639279.2792792772</v>
      </c>
      <c r="S157">
        <v>1671</v>
      </c>
      <c r="T157">
        <v>1828</v>
      </c>
    </row>
    <row r="158" spans="1:20" x14ac:dyDescent="0.35">
      <c r="A158" s="7" t="s">
        <v>248</v>
      </c>
      <c r="B158" s="12" t="s">
        <v>121</v>
      </c>
      <c r="C158">
        <v>55218528.628995359</v>
      </c>
      <c r="D158">
        <v>54157490.287768915</v>
      </c>
      <c r="E158">
        <v>16216.216216217001</v>
      </c>
      <c r="F158">
        <v>629729.72972973005</v>
      </c>
      <c r="G158">
        <v>22</v>
      </c>
      <c r="H158">
        <v>40</v>
      </c>
      <c r="K158">
        <v>26</v>
      </c>
      <c r="L158">
        <v>45</v>
      </c>
      <c r="M158">
        <v>16216.216216217001</v>
      </c>
      <c r="N158">
        <v>3387387.387387387</v>
      </c>
      <c r="O158">
        <v>5128009.0090090102</v>
      </c>
      <c r="P158">
        <v>6165540.5405405406</v>
      </c>
      <c r="Q158">
        <v>1089369.369369369</v>
      </c>
      <c r="R158">
        <v>1408648.6486486481</v>
      </c>
      <c r="S158">
        <v>2327</v>
      </c>
      <c r="T158">
        <v>2366</v>
      </c>
    </row>
    <row r="159" spans="1:20" x14ac:dyDescent="0.35">
      <c r="A159" s="7" t="s">
        <v>249</v>
      </c>
      <c r="B159" s="12" t="s">
        <v>76</v>
      </c>
      <c r="C159">
        <v>24304692.981994737</v>
      </c>
      <c r="D159">
        <v>22373951.743009683</v>
      </c>
      <c r="G159">
        <v>2</v>
      </c>
      <c r="H159">
        <v>3</v>
      </c>
      <c r="K159">
        <v>3</v>
      </c>
      <c r="L159">
        <v>3</v>
      </c>
      <c r="O159">
        <v>2641288.2882882878</v>
      </c>
      <c r="P159">
        <v>2087072.072072072</v>
      </c>
      <c r="S159">
        <v>1886</v>
      </c>
      <c r="T159">
        <v>1620</v>
      </c>
    </row>
    <row r="160" spans="1:20" x14ac:dyDescent="0.35">
      <c r="A160" s="7" t="s">
        <v>250</v>
      </c>
      <c r="B160" s="12" t="s">
        <v>167</v>
      </c>
      <c r="C160">
        <v>73564139.100346923</v>
      </c>
      <c r="D160">
        <v>72865731.475035414</v>
      </c>
      <c r="G160">
        <v>1</v>
      </c>
      <c r="H160">
        <v>9</v>
      </c>
      <c r="K160">
        <v>2</v>
      </c>
      <c r="L160">
        <v>37</v>
      </c>
      <c r="M160">
        <v>688288.28828829003</v>
      </c>
      <c r="N160">
        <v>27027.027027028002</v>
      </c>
      <c r="O160">
        <v>11684684.684684685</v>
      </c>
      <c r="P160">
        <v>15208153.153153151</v>
      </c>
      <c r="Q160">
        <v>779099.09909909999</v>
      </c>
      <c r="R160">
        <v>578018.01801801904</v>
      </c>
      <c r="S160">
        <v>3711</v>
      </c>
      <c r="T160">
        <v>3750</v>
      </c>
    </row>
    <row r="161" spans="1:20" x14ac:dyDescent="0.35">
      <c r="A161" s="7" t="s">
        <v>251</v>
      </c>
      <c r="B161" s="12" t="s">
        <v>89</v>
      </c>
      <c r="C161">
        <v>223371744.00771198</v>
      </c>
      <c r="D161">
        <v>223113353.86909395</v>
      </c>
      <c r="E161">
        <v>2663873.873873875</v>
      </c>
      <c r="F161">
        <v>882882.88288288598</v>
      </c>
      <c r="G161">
        <v>28</v>
      </c>
      <c r="H161">
        <v>32</v>
      </c>
      <c r="K161">
        <v>33</v>
      </c>
      <c r="L161">
        <v>38</v>
      </c>
      <c r="M161">
        <v>15430000</v>
      </c>
      <c r="N161">
        <v>15432972.97297297</v>
      </c>
      <c r="O161">
        <v>51312102.702702701</v>
      </c>
      <c r="P161">
        <v>53814882.882882878</v>
      </c>
      <c r="Q161">
        <v>17450000</v>
      </c>
      <c r="R161">
        <v>16532072.072072074</v>
      </c>
      <c r="S161">
        <v>10504</v>
      </c>
      <c r="T161">
        <v>10324</v>
      </c>
    </row>
    <row r="162" spans="1:20" x14ac:dyDescent="0.35">
      <c r="A162" s="7" t="s">
        <v>252</v>
      </c>
      <c r="B162" s="12" t="s">
        <v>78</v>
      </c>
      <c r="C162">
        <v>63712436.609063335</v>
      </c>
      <c r="D162">
        <v>63996201.212214656</v>
      </c>
      <c r="E162">
        <v>263063.06306306401</v>
      </c>
      <c r="F162">
        <v>457657.65765765798</v>
      </c>
      <c r="G162">
        <v>15</v>
      </c>
      <c r="H162">
        <v>9</v>
      </c>
      <c r="K162">
        <v>16</v>
      </c>
      <c r="L162">
        <v>11</v>
      </c>
      <c r="M162">
        <v>9155765.7657657657</v>
      </c>
      <c r="N162">
        <v>8160360.3603603607</v>
      </c>
      <c r="O162">
        <v>17515270.270270273</v>
      </c>
      <c r="P162">
        <v>18666873.873873875</v>
      </c>
      <c r="Q162">
        <v>8234324.3243243229</v>
      </c>
      <c r="R162">
        <v>9434414.4144144133</v>
      </c>
      <c r="S162">
        <v>3262</v>
      </c>
      <c r="T162">
        <v>2819</v>
      </c>
    </row>
    <row r="163" spans="1:20" x14ac:dyDescent="0.35">
      <c r="A163" s="7" t="s">
        <v>253</v>
      </c>
      <c r="B163" s="12" t="s">
        <v>105</v>
      </c>
      <c r="C163">
        <v>124910414.6663007</v>
      </c>
      <c r="D163">
        <v>124499798.62849927</v>
      </c>
      <c r="E163">
        <v>921203.60360360402</v>
      </c>
      <c r="F163">
        <v>1373008.108108114</v>
      </c>
      <c r="G163">
        <v>25</v>
      </c>
      <c r="H163">
        <v>28</v>
      </c>
      <c r="I163">
        <v>1</v>
      </c>
      <c r="K163">
        <v>31</v>
      </c>
      <c r="L163">
        <v>29</v>
      </c>
      <c r="M163">
        <v>16348288.288288288</v>
      </c>
      <c r="N163">
        <v>14332072.072072068</v>
      </c>
      <c r="O163">
        <v>36627054.054054059</v>
      </c>
      <c r="P163">
        <v>35953882.882882886</v>
      </c>
      <c r="Q163">
        <v>14146396.396396397</v>
      </c>
      <c r="R163">
        <v>15022522.52252252</v>
      </c>
      <c r="S163">
        <v>5511</v>
      </c>
      <c r="T163">
        <v>5472</v>
      </c>
    </row>
    <row r="164" spans="1:20" x14ac:dyDescent="0.35">
      <c r="A164" s="7" t="s">
        <v>254</v>
      </c>
      <c r="B164" s="12" t="s">
        <v>105</v>
      </c>
      <c r="C164">
        <v>80841931.334471211</v>
      </c>
      <c r="D164">
        <v>75647127.478164628</v>
      </c>
      <c r="E164">
        <v>654954.95495495503</v>
      </c>
      <c r="F164">
        <v>654054.05405405501</v>
      </c>
      <c r="G164">
        <v>10</v>
      </c>
      <c r="H164">
        <v>6</v>
      </c>
      <c r="K164">
        <v>11</v>
      </c>
      <c r="L164">
        <v>7</v>
      </c>
      <c r="M164">
        <v>6712432.4324324308</v>
      </c>
      <c r="N164">
        <v>4551351.3513513505</v>
      </c>
      <c r="O164">
        <v>24633738.738738734</v>
      </c>
      <c r="P164">
        <v>22541054.054054052</v>
      </c>
      <c r="Q164">
        <v>6064774.774774774</v>
      </c>
      <c r="R164">
        <v>3516216.2162162159</v>
      </c>
      <c r="S164">
        <v>3724</v>
      </c>
      <c r="T164">
        <v>3793</v>
      </c>
    </row>
    <row r="165" spans="1:20" x14ac:dyDescent="0.35">
      <c r="A165" s="7" t="s">
        <v>255</v>
      </c>
      <c r="B165" s="12" t="s">
        <v>105</v>
      </c>
      <c r="C165">
        <v>66715014.470709652</v>
      </c>
      <c r="D165">
        <v>67784688.893049002</v>
      </c>
      <c r="E165">
        <v>58558.558558559002</v>
      </c>
      <c r="G165">
        <v>5</v>
      </c>
      <c r="H165">
        <v>9</v>
      </c>
      <c r="K165">
        <v>5</v>
      </c>
      <c r="L165">
        <v>11</v>
      </c>
      <c r="M165">
        <v>58558.558558559002</v>
      </c>
      <c r="N165">
        <v>900900.90090090095</v>
      </c>
      <c r="O165">
        <v>13531126.126126127</v>
      </c>
      <c r="P165">
        <v>15574891.891891891</v>
      </c>
      <c r="Q165">
        <v>742162.16216216201</v>
      </c>
      <c r="R165">
        <v>671171.17117117101</v>
      </c>
      <c r="S165">
        <v>2125</v>
      </c>
      <c r="T165">
        <v>2093</v>
      </c>
    </row>
    <row r="166" spans="1:20" x14ac:dyDescent="0.35">
      <c r="A166" s="7" t="s">
        <v>256</v>
      </c>
      <c r="B166" s="12" t="s">
        <v>134</v>
      </c>
      <c r="C166">
        <v>114190208.20708099</v>
      </c>
      <c r="D166">
        <v>105880403.64332207</v>
      </c>
      <c r="E166">
        <v>135135.135135135</v>
      </c>
      <c r="F166">
        <v>360360.360360361</v>
      </c>
      <c r="G166">
        <v>17</v>
      </c>
      <c r="H166">
        <v>9</v>
      </c>
      <c r="K166">
        <v>17</v>
      </c>
      <c r="L166">
        <v>10</v>
      </c>
      <c r="M166">
        <v>1936936.936936937</v>
      </c>
      <c r="N166">
        <v>360360.360360361</v>
      </c>
      <c r="O166">
        <v>7986720.7207207195</v>
      </c>
      <c r="P166">
        <v>7965855.8558558542</v>
      </c>
      <c r="Q166">
        <v>456666.66666666698</v>
      </c>
      <c r="R166">
        <v>841891.89189189195</v>
      </c>
      <c r="S166">
        <v>4184</v>
      </c>
      <c r="T166">
        <v>4069</v>
      </c>
    </row>
    <row r="167" spans="1:20" x14ac:dyDescent="0.35">
      <c r="A167" s="7" t="s">
        <v>257</v>
      </c>
      <c r="B167" s="12" t="s">
        <v>167</v>
      </c>
      <c r="C167">
        <v>39691374.298713453</v>
      </c>
      <c r="D167">
        <v>32364283.267986584</v>
      </c>
      <c r="F167">
        <v>900900.90090090095</v>
      </c>
      <c r="G167">
        <v>16</v>
      </c>
      <c r="H167">
        <v>4</v>
      </c>
      <c r="K167">
        <v>21</v>
      </c>
      <c r="L167">
        <v>6</v>
      </c>
      <c r="M167">
        <v>3243243.2432432459</v>
      </c>
      <c r="N167">
        <v>1801801.8018018019</v>
      </c>
      <c r="O167">
        <v>14145000</v>
      </c>
      <c r="P167">
        <v>10999900.9009009</v>
      </c>
      <c r="Q167">
        <v>2596846.8468468501</v>
      </c>
      <c r="R167">
        <v>1536666.666666666</v>
      </c>
      <c r="S167">
        <v>2512</v>
      </c>
      <c r="T167">
        <v>2468</v>
      </c>
    </row>
    <row r="168" spans="1:20" x14ac:dyDescent="0.35">
      <c r="A168" s="7" t="s">
        <v>258</v>
      </c>
      <c r="B168" s="12" t="s">
        <v>60</v>
      </c>
      <c r="C168">
        <v>16645721.573158372</v>
      </c>
      <c r="D168">
        <v>14243788.927170068</v>
      </c>
      <c r="E168">
        <v>5855.8558558559998</v>
      </c>
      <c r="F168">
        <v>7207.2072072069996</v>
      </c>
      <c r="G168">
        <v>7</v>
      </c>
      <c r="H168">
        <v>6</v>
      </c>
      <c r="I168">
        <v>1</v>
      </c>
      <c r="K168">
        <v>7</v>
      </c>
      <c r="L168">
        <v>6</v>
      </c>
      <c r="M168">
        <v>4780630.6306306301</v>
      </c>
      <c r="N168">
        <v>2466666.666666666</v>
      </c>
      <c r="O168">
        <v>6161621.6216216218</v>
      </c>
      <c r="P168">
        <v>4894855.8558558561</v>
      </c>
      <c r="Q168">
        <v>3462072.072072072</v>
      </c>
      <c r="R168">
        <v>3116396.3963963962</v>
      </c>
      <c r="S168">
        <v>647</v>
      </c>
      <c r="T168">
        <v>628</v>
      </c>
    </row>
    <row r="169" spans="1:20" x14ac:dyDescent="0.35">
      <c r="A169" s="7" t="s">
        <v>259</v>
      </c>
      <c r="B169" s="12" t="s">
        <v>260</v>
      </c>
      <c r="C169">
        <v>7811852.5697978893</v>
      </c>
      <c r="D169">
        <v>8933865.2645431813</v>
      </c>
      <c r="E169">
        <v>19369369.369369369</v>
      </c>
      <c r="F169">
        <v>49335135.135135137</v>
      </c>
      <c r="G169">
        <v>4</v>
      </c>
      <c r="H169">
        <v>1</v>
      </c>
      <c r="K169">
        <v>4</v>
      </c>
      <c r="L169">
        <v>2</v>
      </c>
      <c r="M169">
        <v>5445945.9459459456</v>
      </c>
      <c r="N169">
        <v>1167117.1171171169</v>
      </c>
      <c r="O169">
        <v>1701576.576576577</v>
      </c>
      <c r="P169">
        <v>1521207.2072072071</v>
      </c>
      <c r="Q169">
        <v>2733873.8738738741</v>
      </c>
      <c r="R169">
        <v>589819.81981982</v>
      </c>
      <c r="S169">
        <v>636</v>
      </c>
      <c r="T169">
        <v>526</v>
      </c>
    </row>
    <row r="170" spans="1:20" x14ac:dyDescent="0.35">
      <c r="A170" s="7" t="s">
        <v>261</v>
      </c>
      <c r="B170" s="12" t="s">
        <v>60</v>
      </c>
      <c r="C170">
        <v>137977858.45903704</v>
      </c>
      <c r="D170">
        <v>137450927.23653442</v>
      </c>
      <c r="E170">
        <v>119406854.95495497</v>
      </c>
      <c r="F170">
        <v>230015221.62162164</v>
      </c>
      <c r="G170">
        <v>43</v>
      </c>
      <c r="H170">
        <v>100</v>
      </c>
      <c r="I170">
        <v>10</v>
      </c>
      <c r="K170">
        <v>58</v>
      </c>
      <c r="L170">
        <v>205</v>
      </c>
      <c r="M170">
        <v>22157747.747747745</v>
      </c>
      <c r="N170">
        <v>33096396.396396395</v>
      </c>
      <c r="O170">
        <v>46397549.54954955</v>
      </c>
      <c r="P170">
        <v>50282117.117117114</v>
      </c>
      <c r="Q170">
        <v>21733783.783783782</v>
      </c>
      <c r="R170">
        <v>43235495.495495498</v>
      </c>
      <c r="S170">
        <v>6192</v>
      </c>
      <c r="T170">
        <v>6824</v>
      </c>
    </row>
    <row r="171" spans="1:20" x14ac:dyDescent="0.35">
      <c r="A171" s="7" t="s">
        <v>262</v>
      </c>
      <c r="B171" s="12" t="s">
        <v>123</v>
      </c>
      <c r="C171">
        <v>113316492.01733112</v>
      </c>
      <c r="D171">
        <v>104666312.92594883</v>
      </c>
      <c r="E171">
        <v>284234.23423423502</v>
      </c>
      <c r="F171">
        <v>203603.60360360399</v>
      </c>
      <c r="G171">
        <v>16</v>
      </c>
      <c r="H171">
        <v>16</v>
      </c>
      <c r="I171">
        <v>1</v>
      </c>
      <c r="K171">
        <v>21</v>
      </c>
      <c r="L171">
        <v>18</v>
      </c>
      <c r="M171">
        <v>6565675.6756756753</v>
      </c>
      <c r="N171">
        <v>6595495.4954954972</v>
      </c>
      <c r="O171">
        <v>41849360.360360362</v>
      </c>
      <c r="P171">
        <v>41443072.072072074</v>
      </c>
      <c r="Q171">
        <v>5772702.702702703</v>
      </c>
      <c r="R171">
        <v>5538738.7387387389</v>
      </c>
      <c r="S171">
        <v>5514</v>
      </c>
      <c r="T171">
        <v>5474</v>
      </c>
    </row>
    <row r="172" spans="1:20" x14ac:dyDescent="0.35">
      <c r="A172" s="7" t="s">
        <v>263</v>
      </c>
      <c r="B172" s="12" t="s">
        <v>123</v>
      </c>
      <c r="C172">
        <v>46591040.59790317</v>
      </c>
      <c r="D172">
        <v>45123242.935939208</v>
      </c>
      <c r="E172">
        <v>158558.55855855899</v>
      </c>
      <c r="F172">
        <v>332657.65765765897</v>
      </c>
      <c r="G172">
        <v>14</v>
      </c>
      <c r="H172">
        <v>16</v>
      </c>
      <c r="I172">
        <v>1</v>
      </c>
      <c r="K172">
        <v>17</v>
      </c>
      <c r="L172">
        <v>16</v>
      </c>
      <c r="M172">
        <v>8167837.8378378376</v>
      </c>
      <c r="N172">
        <v>10679189.189189188</v>
      </c>
      <c r="O172">
        <v>19514180.180180181</v>
      </c>
      <c r="P172">
        <v>18727684.684684683</v>
      </c>
      <c r="Q172">
        <v>11337387.387387387</v>
      </c>
      <c r="R172">
        <v>10096306.306306308</v>
      </c>
      <c r="S172">
        <v>2367</v>
      </c>
      <c r="T172">
        <v>2316</v>
      </c>
    </row>
    <row r="173" spans="1:20" x14ac:dyDescent="0.35">
      <c r="A173" s="7" t="s">
        <v>264</v>
      </c>
      <c r="B173" s="12" t="s">
        <v>125</v>
      </c>
      <c r="C173">
        <v>114618649.63835175</v>
      </c>
      <c r="D173">
        <v>111542577.03431961</v>
      </c>
      <c r="E173">
        <v>28510333.333333336</v>
      </c>
      <c r="F173">
        <v>53766073.873873875</v>
      </c>
      <c r="G173">
        <v>12</v>
      </c>
      <c r="H173">
        <v>30</v>
      </c>
      <c r="K173">
        <v>12</v>
      </c>
      <c r="L173">
        <v>33</v>
      </c>
      <c r="M173">
        <v>21310360.360360362</v>
      </c>
      <c r="N173">
        <v>19945945.945945945</v>
      </c>
      <c r="O173">
        <v>36054324.324324325</v>
      </c>
      <c r="P173">
        <v>37623547.747747749</v>
      </c>
      <c r="Q173">
        <v>12404414.414414413</v>
      </c>
      <c r="R173">
        <v>8517117.1171171181</v>
      </c>
      <c r="S173">
        <v>4186</v>
      </c>
      <c r="T173">
        <v>4458</v>
      </c>
    </row>
    <row r="174" spans="1:20" x14ac:dyDescent="0.35">
      <c r="A174" s="7" t="s">
        <v>265</v>
      </c>
      <c r="B174" s="12" t="s">
        <v>123</v>
      </c>
      <c r="C174">
        <v>114773232.80911596</v>
      </c>
      <c r="D174">
        <v>105670593.94943911</v>
      </c>
      <c r="E174">
        <v>42370270.270270273</v>
      </c>
      <c r="F174">
        <v>608108.10810810898</v>
      </c>
      <c r="G174">
        <v>28</v>
      </c>
      <c r="H174">
        <v>8</v>
      </c>
      <c r="K174">
        <v>31</v>
      </c>
      <c r="L174">
        <v>9</v>
      </c>
      <c r="M174">
        <v>11569414.414414413</v>
      </c>
      <c r="N174">
        <v>11366936.936936935</v>
      </c>
      <c r="O174">
        <v>40091846.846846849</v>
      </c>
      <c r="P174">
        <v>37254288.288288288</v>
      </c>
      <c r="Q174">
        <v>9764774.7747747749</v>
      </c>
      <c r="R174">
        <v>9833513.5135135129</v>
      </c>
      <c r="S174">
        <v>4823</v>
      </c>
      <c r="T174">
        <v>4660</v>
      </c>
    </row>
    <row r="175" spans="1:20" x14ac:dyDescent="0.35">
      <c r="A175" s="7" t="s">
        <v>266</v>
      </c>
      <c r="B175" s="12" t="s">
        <v>123</v>
      </c>
      <c r="C175">
        <v>109181152.91665272</v>
      </c>
      <c r="D175">
        <v>113137805.44513533</v>
      </c>
      <c r="E175">
        <v>972972.97297297395</v>
      </c>
      <c r="F175">
        <v>1535585.5855855891</v>
      </c>
      <c r="G175">
        <v>9</v>
      </c>
      <c r="H175">
        <v>22</v>
      </c>
      <c r="K175">
        <v>12</v>
      </c>
      <c r="L175">
        <v>24</v>
      </c>
      <c r="M175">
        <v>13692432.432432435</v>
      </c>
      <c r="N175">
        <v>11956216.21621622</v>
      </c>
      <c r="O175">
        <v>43432423.423423424</v>
      </c>
      <c r="P175">
        <v>45549081.081081077</v>
      </c>
      <c r="Q175">
        <v>12589639.639639644</v>
      </c>
      <c r="R175">
        <v>12669639.639639642</v>
      </c>
      <c r="S175">
        <v>5397</v>
      </c>
      <c r="T175">
        <v>5378</v>
      </c>
    </row>
    <row r="176" spans="1:20" x14ac:dyDescent="0.35">
      <c r="A176" s="7" t="s">
        <v>267</v>
      </c>
      <c r="B176" s="12" t="s">
        <v>178</v>
      </c>
      <c r="C176">
        <v>583499682.79200649</v>
      </c>
      <c r="D176">
        <v>564431142.3208431</v>
      </c>
      <c r="E176">
        <v>448224958.55855858</v>
      </c>
      <c r="F176">
        <v>385538698.1981982</v>
      </c>
      <c r="G176">
        <v>240</v>
      </c>
      <c r="H176">
        <v>167</v>
      </c>
      <c r="I176">
        <v>2</v>
      </c>
      <c r="K176">
        <v>411</v>
      </c>
      <c r="L176">
        <v>415</v>
      </c>
      <c r="M176">
        <v>84712882.882882893</v>
      </c>
      <c r="N176">
        <v>70196149.54954955</v>
      </c>
      <c r="O176">
        <v>168814585.58558559</v>
      </c>
      <c r="P176">
        <v>167780827.02702704</v>
      </c>
      <c r="Q176">
        <v>79609909.909909919</v>
      </c>
      <c r="R176">
        <v>66998108.108108103</v>
      </c>
      <c r="S176">
        <v>32230</v>
      </c>
      <c r="T176">
        <v>32210</v>
      </c>
    </row>
    <row r="177" spans="1:20" x14ac:dyDescent="0.35">
      <c r="A177" s="7" t="s">
        <v>268</v>
      </c>
      <c r="B177" s="12" t="s">
        <v>62</v>
      </c>
      <c r="C177">
        <v>90354167.160547376</v>
      </c>
      <c r="D177">
        <v>96752691.205872267</v>
      </c>
      <c r="E177">
        <v>910900.90090090199</v>
      </c>
      <c r="F177">
        <v>2060360.3603603621</v>
      </c>
      <c r="G177">
        <v>13</v>
      </c>
      <c r="H177">
        <v>28</v>
      </c>
      <c r="K177">
        <v>15</v>
      </c>
      <c r="L177">
        <v>32</v>
      </c>
      <c r="M177">
        <v>6048918.918918917</v>
      </c>
      <c r="N177">
        <v>23451081.081081081</v>
      </c>
      <c r="O177">
        <v>28810855.855855856</v>
      </c>
      <c r="P177">
        <v>29603495.495495494</v>
      </c>
      <c r="Q177">
        <v>7434414.4144144151</v>
      </c>
      <c r="R177">
        <v>31585225.225225225</v>
      </c>
      <c r="S177">
        <v>4703</v>
      </c>
      <c r="T177">
        <v>4723</v>
      </c>
    </row>
    <row r="178" spans="1:20" x14ac:dyDescent="0.35">
      <c r="A178" s="7" t="s">
        <v>269</v>
      </c>
      <c r="B178" s="12" t="s">
        <v>70</v>
      </c>
      <c r="C178">
        <v>122293295.54849909</v>
      </c>
      <c r="D178">
        <v>123217618.17087571</v>
      </c>
      <c r="E178">
        <v>1882882.882882884</v>
      </c>
      <c r="F178">
        <v>666666.66666667105</v>
      </c>
      <c r="G178">
        <v>25</v>
      </c>
      <c r="H178">
        <v>35</v>
      </c>
      <c r="K178">
        <v>29</v>
      </c>
      <c r="L178">
        <v>45</v>
      </c>
      <c r="M178">
        <v>13693918.918918915</v>
      </c>
      <c r="N178">
        <v>9204504.5045045074</v>
      </c>
      <c r="O178">
        <v>53300756.75675676</v>
      </c>
      <c r="P178">
        <v>54391513.513513513</v>
      </c>
      <c r="Q178">
        <v>11179864.864864862</v>
      </c>
      <c r="R178">
        <v>10234234.234234238</v>
      </c>
      <c r="S178">
        <v>6923</v>
      </c>
      <c r="T178">
        <v>7210</v>
      </c>
    </row>
    <row r="179" spans="1:20" x14ac:dyDescent="0.35">
      <c r="A179" s="7" t="s">
        <v>270</v>
      </c>
      <c r="B179" s="12" t="s">
        <v>134</v>
      </c>
      <c r="C179">
        <v>877632.75984976604</v>
      </c>
      <c r="D179">
        <v>1230217.7889777061</v>
      </c>
      <c r="K179">
        <v>1</v>
      </c>
      <c r="O179">
        <v>93693.693693694004</v>
      </c>
      <c r="P179">
        <v>86126.126126125993</v>
      </c>
      <c r="S179">
        <v>176</v>
      </c>
      <c r="T179">
        <v>238</v>
      </c>
    </row>
    <row r="180" spans="1:20" x14ac:dyDescent="0.35">
      <c r="A180" s="7" t="s">
        <v>271</v>
      </c>
      <c r="B180" s="12" t="s">
        <v>76</v>
      </c>
      <c r="C180">
        <v>57376559.489967488</v>
      </c>
      <c r="D180">
        <v>57129231.209644318</v>
      </c>
      <c r="F180">
        <v>40540.540540540998</v>
      </c>
      <c r="G180">
        <v>17</v>
      </c>
      <c r="H180">
        <v>11</v>
      </c>
      <c r="K180">
        <v>19</v>
      </c>
      <c r="L180">
        <v>12</v>
      </c>
      <c r="N180">
        <v>130630.630630631</v>
      </c>
      <c r="O180">
        <v>3885945.945945946</v>
      </c>
      <c r="P180">
        <v>4241452.702702703</v>
      </c>
      <c r="Q180">
        <v>84684.684684684995</v>
      </c>
      <c r="R180">
        <v>128828.82882882901</v>
      </c>
      <c r="S180">
        <v>2660</v>
      </c>
      <c r="T180">
        <v>2449</v>
      </c>
    </row>
    <row r="181" spans="1:20" x14ac:dyDescent="0.35">
      <c r="A181" s="7" t="s">
        <v>272</v>
      </c>
      <c r="B181" s="12" t="s">
        <v>76</v>
      </c>
      <c r="C181">
        <v>20727145.197519667</v>
      </c>
      <c r="D181">
        <v>19241816.895623319</v>
      </c>
      <c r="E181">
        <v>54504.504504504002</v>
      </c>
      <c r="F181">
        <v>61261.261261262</v>
      </c>
      <c r="G181">
        <v>13</v>
      </c>
      <c r="H181">
        <v>1</v>
      </c>
      <c r="K181">
        <v>15</v>
      </c>
      <c r="L181">
        <v>2</v>
      </c>
      <c r="M181">
        <v>8467117.1171171181</v>
      </c>
      <c r="N181">
        <v>4809009.0090090092</v>
      </c>
      <c r="O181">
        <v>7450540.5405405406</v>
      </c>
      <c r="P181">
        <v>5784198.1981981983</v>
      </c>
      <c r="Q181">
        <v>5536756.7567567574</v>
      </c>
      <c r="R181">
        <v>4982072.072072072</v>
      </c>
      <c r="S181">
        <v>802</v>
      </c>
      <c r="T181">
        <v>857</v>
      </c>
    </row>
    <row r="182" spans="1:20" x14ac:dyDescent="0.35">
      <c r="A182" s="7" t="s">
        <v>273</v>
      </c>
      <c r="B182" s="12" t="s">
        <v>260</v>
      </c>
      <c r="C182">
        <v>440916553.64197069</v>
      </c>
      <c r="D182">
        <v>408409088.42029041</v>
      </c>
      <c r="E182">
        <v>2977927.9279279332</v>
      </c>
      <c r="F182">
        <v>4936936.9369369382</v>
      </c>
      <c r="G182">
        <v>77</v>
      </c>
      <c r="H182">
        <v>100</v>
      </c>
      <c r="K182">
        <v>92</v>
      </c>
      <c r="L182">
        <v>134</v>
      </c>
      <c r="M182">
        <v>80131081.081081077</v>
      </c>
      <c r="N182">
        <v>85736936.93693693</v>
      </c>
      <c r="O182">
        <v>117646783.78378378</v>
      </c>
      <c r="P182">
        <v>123242504.50450452</v>
      </c>
      <c r="Q182">
        <v>78272342.342342332</v>
      </c>
      <c r="R182">
        <v>63234414.414414413</v>
      </c>
      <c r="S182">
        <v>19198</v>
      </c>
      <c r="T182">
        <v>18891</v>
      </c>
    </row>
    <row r="183" spans="1:20" x14ac:dyDescent="0.35">
      <c r="A183" s="7" t="s">
        <v>274</v>
      </c>
      <c r="B183" s="12" t="s">
        <v>260</v>
      </c>
      <c r="C183">
        <v>101522296.65604775</v>
      </c>
      <c r="D183">
        <v>88193458.268329948</v>
      </c>
      <c r="E183">
        <v>182105605.4054054</v>
      </c>
      <c r="F183">
        <v>145718402.70270273</v>
      </c>
      <c r="G183">
        <v>8</v>
      </c>
      <c r="H183">
        <v>6</v>
      </c>
      <c r="K183">
        <v>8</v>
      </c>
      <c r="L183">
        <v>7</v>
      </c>
      <c r="M183">
        <v>5480180.180180178</v>
      </c>
      <c r="N183">
        <v>24644144.144144144</v>
      </c>
      <c r="O183">
        <v>17139414.414414417</v>
      </c>
      <c r="P183">
        <v>16993432.432432432</v>
      </c>
      <c r="Q183">
        <v>4620720.7207207233</v>
      </c>
      <c r="R183">
        <v>5469009.0090090102</v>
      </c>
      <c r="S183">
        <v>3785</v>
      </c>
      <c r="T183">
        <v>3770</v>
      </c>
    </row>
    <row r="184" spans="1:20" x14ac:dyDescent="0.35">
      <c r="A184" s="7" t="s">
        <v>275</v>
      </c>
      <c r="B184" s="12" t="s">
        <v>260</v>
      </c>
      <c r="C184">
        <v>105808284.84277007</v>
      </c>
      <c r="D184">
        <v>95133835.538423046</v>
      </c>
      <c r="E184">
        <v>4631531.5315315323</v>
      </c>
      <c r="F184">
        <v>1513063.063063063</v>
      </c>
      <c r="G184">
        <v>13</v>
      </c>
      <c r="H184">
        <v>10</v>
      </c>
      <c r="K184">
        <v>14</v>
      </c>
      <c r="L184">
        <v>11</v>
      </c>
      <c r="M184">
        <v>18755855.855855856</v>
      </c>
      <c r="N184">
        <v>14205405.405405408</v>
      </c>
      <c r="O184">
        <v>23246486.486486487</v>
      </c>
      <c r="P184">
        <v>21299135.135135137</v>
      </c>
      <c r="Q184">
        <v>20483153.153153151</v>
      </c>
      <c r="R184">
        <v>15112432.432432432</v>
      </c>
      <c r="S184">
        <v>5916</v>
      </c>
      <c r="T184">
        <v>5825</v>
      </c>
    </row>
    <row r="185" spans="1:20" x14ac:dyDescent="0.35">
      <c r="A185" s="7" t="s">
        <v>276</v>
      </c>
      <c r="B185" s="12" t="s">
        <v>134</v>
      </c>
      <c r="C185">
        <v>128779230.49431022</v>
      </c>
      <c r="D185">
        <v>127823674.64637488</v>
      </c>
      <c r="E185">
        <v>15315.315315315</v>
      </c>
      <c r="F185">
        <v>144144.14414414499</v>
      </c>
      <c r="G185">
        <v>23</v>
      </c>
      <c r="H185">
        <v>22</v>
      </c>
      <c r="K185">
        <v>26</v>
      </c>
      <c r="L185">
        <v>23</v>
      </c>
      <c r="M185">
        <v>3168468.4684684682</v>
      </c>
      <c r="N185">
        <v>5549549.549549548</v>
      </c>
      <c r="O185">
        <v>10690801.801801803</v>
      </c>
      <c r="P185">
        <v>10242031.531531531</v>
      </c>
      <c r="Q185">
        <v>3240450.4504504479</v>
      </c>
      <c r="R185">
        <v>2888738.738738738</v>
      </c>
      <c r="S185">
        <v>6123</v>
      </c>
      <c r="T185">
        <v>5369</v>
      </c>
    </row>
    <row r="186" spans="1:20" x14ac:dyDescent="0.35">
      <c r="A186" s="7" t="s">
        <v>277</v>
      </c>
      <c r="B186" s="12" t="s">
        <v>169</v>
      </c>
      <c r="C186">
        <v>90254445.012814313</v>
      </c>
      <c r="D186">
        <v>72182250.95455195</v>
      </c>
      <c r="E186">
        <v>306306.30630630598</v>
      </c>
      <c r="F186">
        <v>83783.783783784005</v>
      </c>
      <c r="G186">
        <v>11</v>
      </c>
      <c r="H186">
        <v>9</v>
      </c>
      <c r="K186">
        <v>11</v>
      </c>
      <c r="L186">
        <v>25</v>
      </c>
      <c r="M186">
        <v>7513513.5135135138</v>
      </c>
      <c r="N186">
        <v>4606306.3063063072</v>
      </c>
      <c r="O186">
        <v>36664981.981981985</v>
      </c>
      <c r="P186">
        <v>33482657.657657657</v>
      </c>
      <c r="Q186">
        <v>5537117.1171171172</v>
      </c>
      <c r="R186">
        <v>3476216.2162162159</v>
      </c>
      <c r="S186">
        <v>3272</v>
      </c>
      <c r="T186">
        <v>3235</v>
      </c>
    </row>
    <row r="187" spans="1:20" x14ac:dyDescent="0.35">
      <c r="A187" s="7" t="s">
        <v>278</v>
      </c>
      <c r="B187" s="12" t="s">
        <v>169</v>
      </c>
      <c r="C187">
        <v>39514430.96016413</v>
      </c>
      <c r="D187">
        <v>37181210.130866863</v>
      </c>
      <c r="E187">
        <v>900.900900901</v>
      </c>
      <c r="F187">
        <v>2702.7027027029999</v>
      </c>
      <c r="G187">
        <v>1</v>
      </c>
      <c r="H187">
        <v>6</v>
      </c>
      <c r="K187">
        <v>2</v>
      </c>
      <c r="L187">
        <v>6</v>
      </c>
      <c r="M187">
        <v>901801.80180180201</v>
      </c>
      <c r="N187">
        <v>1804504.5045045051</v>
      </c>
      <c r="O187">
        <v>14358549.549549548</v>
      </c>
      <c r="P187">
        <v>17505653.153153151</v>
      </c>
      <c r="Q187">
        <v>1671621.621621622</v>
      </c>
      <c r="R187">
        <v>2004234.2342342341</v>
      </c>
      <c r="S187">
        <v>2015</v>
      </c>
      <c r="T187">
        <v>2023</v>
      </c>
    </row>
    <row r="188" spans="1:20" x14ac:dyDescent="0.35">
      <c r="A188" s="7" t="s">
        <v>279</v>
      </c>
      <c r="B188" s="12" t="s">
        <v>87</v>
      </c>
      <c r="C188">
        <v>1131166.016800296</v>
      </c>
      <c r="D188">
        <v>1114676.999108711</v>
      </c>
      <c r="G188">
        <v>2</v>
      </c>
      <c r="H188">
        <v>3</v>
      </c>
      <c r="K188">
        <v>2</v>
      </c>
      <c r="L188">
        <v>3</v>
      </c>
      <c r="O188">
        <v>561034.23423423397</v>
      </c>
      <c r="P188">
        <v>452171.17117117101</v>
      </c>
      <c r="S188">
        <v>187</v>
      </c>
      <c r="T188">
        <v>194</v>
      </c>
    </row>
    <row r="189" spans="1:20" x14ac:dyDescent="0.35">
      <c r="A189" s="7" t="s">
        <v>280</v>
      </c>
      <c r="B189" s="12" t="s">
        <v>169</v>
      </c>
      <c r="C189">
        <v>69456309.015020117</v>
      </c>
      <c r="D189">
        <v>75089956.608622566</v>
      </c>
      <c r="E189">
        <v>694144.14414414403</v>
      </c>
      <c r="F189">
        <v>365765.76576576597</v>
      </c>
      <c r="G189">
        <v>4</v>
      </c>
      <c r="H189">
        <v>16</v>
      </c>
      <c r="K189">
        <v>6</v>
      </c>
      <c r="L189">
        <v>19</v>
      </c>
      <c r="M189">
        <v>8298468.4684684658</v>
      </c>
      <c r="N189">
        <v>11673513.513513513</v>
      </c>
      <c r="O189">
        <v>25472342.342342343</v>
      </c>
      <c r="P189">
        <v>32164720.72072072</v>
      </c>
      <c r="Q189">
        <v>7550450.4504504502</v>
      </c>
      <c r="R189">
        <v>12637927.927927926</v>
      </c>
      <c r="S189">
        <v>3965</v>
      </c>
      <c r="T189">
        <v>4181</v>
      </c>
    </row>
    <row r="190" spans="1:20" x14ac:dyDescent="0.35">
      <c r="A190" s="7" t="s">
        <v>281</v>
      </c>
      <c r="B190" s="12" t="s">
        <v>54</v>
      </c>
      <c r="C190">
        <v>58152842.275067315</v>
      </c>
      <c r="D190">
        <v>55508831.872184902</v>
      </c>
      <c r="E190">
        <v>31981.981981983001</v>
      </c>
      <c r="F190">
        <v>799099.09909910103</v>
      </c>
      <c r="G190">
        <v>15</v>
      </c>
      <c r="H190">
        <v>16</v>
      </c>
      <c r="K190">
        <v>22</v>
      </c>
      <c r="L190">
        <v>21</v>
      </c>
      <c r="M190">
        <v>4114864.864864863</v>
      </c>
      <c r="N190">
        <v>5351351.3513513524</v>
      </c>
      <c r="O190">
        <v>12313540.540540541</v>
      </c>
      <c r="P190">
        <v>12098945.945945945</v>
      </c>
      <c r="Q190">
        <v>5044414.4144144151</v>
      </c>
      <c r="R190">
        <v>5816036.0360360369</v>
      </c>
      <c r="S190">
        <v>3705</v>
      </c>
      <c r="T190">
        <v>3701</v>
      </c>
    </row>
    <row r="191" spans="1:20" x14ac:dyDescent="0.35">
      <c r="A191" s="7" t="s">
        <v>282</v>
      </c>
      <c r="B191" s="12" t="s">
        <v>283</v>
      </c>
      <c r="C191">
        <v>92557739.130555391</v>
      </c>
      <c r="D191">
        <v>67482423.495019585</v>
      </c>
      <c r="E191">
        <v>7657.6576576580001</v>
      </c>
      <c r="F191">
        <v>131531.53153153299</v>
      </c>
      <c r="G191">
        <v>31</v>
      </c>
      <c r="H191">
        <v>16</v>
      </c>
      <c r="K191">
        <v>33</v>
      </c>
      <c r="L191">
        <v>24</v>
      </c>
      <c r="M191">
        <v>953603.60360360402</v>
      </c>
      <c r="N191">
        <v>3834234.2342342348</v>
      </c>
      <c r="O191">
        <v>10318963.963963963</v>
      </c>
      <c r="P191">
        <v>12409414.414414415</v>
      </c>
      <c r="Q191">
        <v>2018378.378378378</v>
      </c>
      <c r="R191">
        <v>2325495.4954954949</v>
      </c>
      <c r="S191">
        <v>3238</v>
      </c>
      <c r="T191">
        <v>3317</v>
      </c>
    </row>
    <row r="192" spans="1:20" x14ac:dyDescent="0.35">
      <c r="A192" s="7" t="s">
        <v>284</v>
      </c>
      <c r="B192" s="12" t="s">
        <v>283</v>
      </c>
      <c r="C192">
        <v>155058330.56149715</v>
      </c>
      <c r="D192">
        <v>160717999.31548092</v>
      </c>
      <c r="E192">
        <v>749099.09909909999</v>
      </c>
      <c r="F192">
        <v>879729.72972973401</v>
      </c>
      <c r="G192">
        <v>26</v>
      </c>
      <c r="H192">
        <v>20</v>
      </c>
      <c r="K192">
        <v>30</v>
      </c>
      <c r="L192">
        <v>35</v>
      </c>
      <c r="M192">
        <v>18109459.459459458</v>
      </c>
      <c r="N192">
        <v>15620720.720720721</v>
      </c>
      <c r="O192">
        <v>30917072.072072074</v>
      </c>
      <c r="P192">
        <v>34174878.378378376</v>
      </c>
      <c r="Q192">
        <v>15522702.702702705</v>
      </c>
      <c r="R192">
        <v>15853603.603603603</v>
      </c>
      <c r="S192">
        <v>8103</v>
      </c>
      <c r="T192">
        <v>8068</v>
      </c>
    </row>
    <row r="193" spans="1:20" x14ac:dyDescent="0.35">
      <c r="A193" s="7" t="s">
        <v>285</v>
      </c>
      <c r="B193" s="12" t="s">
        <v>283</v>
      </c>
      <c r="C193">
        <v>83676534.450417563</v>
      </c>
      <c r="D193">
        <v>85983348.34758155</v>
      </c>
      <c r="E193">
        <v>859459.45945946104</v>
      </c>
      <c r="F193">
        <v>383783.783783786</v>
      </c>
      <c r="G193">
        <v>29</v>
      </c>
      <c r="H193">
        <v>11</v>
      </c>
      <c r="K193">
        <v>32</v>
      </c>
      <c r="L193">
        <v>22</v>
      </c>
      <c r="M193">
        <v>18432432.432432432</v>
      </c>
      <c r="N193">
        <v>21131531.531531535</v>
      </c>
      <c r="O193">
        <v>26885387.387387387</v>
      </c>
      <c r="P193">
        <v>27372810.810810812</v>
      </c>
      <c r="Q193">
        <v>17312522.522522524</v>
      </c>
      <c r="R193">
        <v>18484144.144144144</v>
      </c>
      <c r="S193">
        <v>4771</v>
      </c>
      <c r="T193">
        <v>4642</v>
      </c>
    </row>
    <row r="194" spans="1:20" x14ac:dyDescent="0.35">
      <c r="A194" s="7" t="s">
        <v>286</v>
      </c>
      <c r="B194" s="12" t="s">
        <v>283</v>
      </c>
      <c r="C194">
        <v>63422447.730699725</v>
      </c>
      <c r="D194">
        <v>62896238.852402866</v>
      </c>
      <c r="E194">
        <v>9909.9099099110008</v>
      </c>
      <c r="F194">
        <v>144144.144144146</v>
      </c>
      <c r="G194">
        <v>9</v>
      </c>
      <c r="H194">
        <v>2</v>
      </c>
      <c r="K194">
        <v>10</v>
      </c>
      <c r="L194">
        <v>2</v>
      </c>
      <c r="M194">
        <v>460360.360360361</v>
      </c>
      <c r="N194">
        <v>6792792.7927927943</v>
      </c>
      <c r="O194">
        <v>9554630.6306306329</v>
      </c>
      <c r="P194">
        <v>12896207.207207208</v>
      </c>
      <c r="Q194">
        <v>1392252.252252253</v>
      </c>
      <c r="R194">
        <v>7353513.5135135138</v>
      </c>
      <c r="S194">
        <v>2517</v>
      </c>
      <c r="T194">
        <v>2531</v>
      </c>
    </row>
    <row r="195" spans="1:20" x14ac:dyDescent="0.35">
      <c r="A195" s="7" t="s">
        <v>287</v>
      </c>
      <c r="B195" s="12" t="s">
        <v>283</v>
      </c>
      <c r="C195">
        <v>29757999.771934479</v>
      </c>
      <c r="D195">
        <v>31738046.991352208</v>
      </c>
      <c r="E195">
        <v>1801.801801802</v>
      </c>
      <c r="F195">
        <v>221621.62162162201</v>
      </c>
      <c r="G195">
        <v>3</v>
      </c>
      <c r="K195">
        <v>3</v>
      </c>
      <c r="L195">
        <v>1</v>
      </c>
      <c r="M195">
        <v>1801.801801802</v>
      </c>
      <c r="N195">
        <v>9888288.2882882878</v>
      </c>
      <c r="O195">
        <v>5116756.7567567574</v>
      </c>
      <c r="P195">
        <v>5499990.9909909917</v>
      </c>
      <c r="R195">
        <v>9254954.9549549557</v>
      </c>
      <c r="S195">
        <v>1368</v>
      </c>
      <c r="T195">
        <v>1385</v>
      </c>
    </row>
    <row r="196" spans="1:20" x14ac:dyDescent="0.35">
      <c r="A196" s="7" t="s">
        <v>288</v>
      </c>
      <c r="B196" s="12" t="s">
        <v>283</v>
      </c>
      <c r="C196">
        <v>5432033.804529123</v>
      </c>
      <c r="D196">
        <v>5282664.5533938706</v>
      </c>
      <c r="G196">
        <v>1</v>
      </c>
      <c r="K196">
        <v>1</v>
      </c>
      <c r="N196">
        <v>5243243.2432432435</v>
      </c>
      <c r="O196">
        <v>563063.06306306296</v>
      </c>
      <c r="P196">
        <v>943567.56756756804</v>
      </c>
      <c r="S196">
        <v>320</v>
      </c>
      <c r="T196">
        <v>352</v>
      </c>
    </row>
    <row r="197" spans="1:20" x14ac:dyDescent="0.35">
      <c r="A197" s="7" t="s">
        <v>289</v>
      </c>
      <c r="B197" s="12" t="s">
        <v>290</v>
      </c>
      <c r="C197">
        <v>65902427.130648941</v>
      </c>
      <c r="D197">
        <v>66002082.864508152</v>
      </c>
      <c r="E197">
        <v>9009.0090090089998</v>
      </c>
      <c r="F197">
        <v>115315.31531531599</v>
      </c>
      <c r="G197">
        <v>23</v>
      </c>
      <c r="H197">
        <v>15</v>
      </c>
      <c r="K197">
        <v>28</v>
      </c>
      <c r="L197">
        <v>17</v>
      </c>
      <c r="M197">
        <v>950450.45045045204</v>
      </c>
      <c r="N197">
        <v>126126.126126127</v>
      </c>
      <c r="O197">
        <v>6734682.882882881</v>
      </c>
      <c r="P197">
        <v>5982266.666666666</v>
      </c>
      <c r="Q197">
        <v>701261.261261262</v>
      </c>
      <c r="R197">
        <v>219369.369369369</v>
      </c>
      <c r="S197">
        <v>4139</v>
      </c>
      <c r="T197">
        <v>5383</v>
      </c>
    </row>
    <row r="198" spans="1:20" x14ac:dyDescent="0.35">
      <c r="A198" s="7" t="s">
        <v>291</v>
      </c>
      <c r="B198" s="12" t="s">
        <v>147</v>
      </c>
      <c r="C198">
        <v>145000201.14780253</v>
      </c>
      <c r="D198">
        <v>144377359.08264723</v>
      </c>
      <c r="E198">
        <v>304504.50450450502</v>
      </c>
      <c r="F198">
        <v>1864864.8648648669</v>
      </c>
      <c r="G198">
        <v>24</v>
      </c>
      <c r="H198">
        <v>31</v>
      </c>
      <c r="K198">
        <v>31</v>
      </c>
      <c r="L198">
        <v>44</v>
      </c>
      <c r="M198">
        <v>23465945.945945945</v>
      </c>
      <c r="N198">
        <v>54890990.990990989</v>
      </c>
      <c r="O198">
        <v>49326351.351351351</v>
      </c>
      <c r="P198">
        <v>52345522.522522531</v>
      </c>
      <c r="Q198">
        <v>21292522.522522524</v>
      </c>
      <c r="R198">
        <v>53652972.972972974</v>
      </c>
      <c r="S198">
        <v>7524</v>
      </c>
      <c r="T198">
        <v>7907</v>
      </c>
    </row>
    <row r="199" spans="1:20" x14ac:dyDescent="0.35">
      <c r="A199" s="7" t="s">
        <v>292</v>
      </c>
      <c r="B199" s="12" t="s">
        <v>293</v>
      </c>
      <c r="C199">
        <v>76419650.89913027</v>
      </c>
      <c r="D199">
        <v>71027382.817671269</v>
      </c>
      <c r="E199">
        <v>43243.243243247001</v>
      </c>
      <c r="F199">
        <v>29487567.567567568</v>
      </c>
      <c r="G199">
        <v>4</v>
      </c>
      <c r="H199">
        <v>6</v>
      </c>
      <c r="K199">
        <v>7</v>
      </c>
      <c r="L199">
        <v>8</v>
      </c>
      <c r="M199">
        <v>14805315.315315314</v>
      </c>
      <c r="N199">
        <v>8877657.6576576587</v>
      </c>
      <c r="O199">
        <v>8831531.5315315314</v>
      </c>
      <c r="P199">
        <v>10644954.954954956</v>
      </c>
      <c r="Q199">
        <v>13660630.630630625</v>
      </c>
      <c r="R199">
        <v>9245135.1351351347</v>
      </c>
      <c r="S199">
        <v>3640</v>
      </c>
      <c r="T199">
        <v>3487</v>
      </c>
    </row>
    <row r="200" spans="1:20" x14ac:dyDescent="0.35">
      <c r="A200" s="7" t="s">
        <v>294</v>
      </c>
      <c r="B200" s="12" t="s">
        <v>290</v>
      </c>
      <c r="C200">
        <v>21733777.009171233</v>
      </c>
      <c r="D200">
        <v>16711109.843050536</v>
      </c>
      <c r="E200">
        <v>276576.57657657599</v>
      </c>
      <c r="F200">
        <v>404504.50450450502</v>
      </c>
      <c r="G200">
        <v>8</v>
      </c>
      <c r="H200">
        <v>3</v>
      </c>
      <c r="K200">
        <v>10</v>
      </c>
      <c r="L200">
        <v>3</v>
      </c>
      <c r="M200">
        <v>276576.57657657599</v>
      </c>
      <c r="N200">
        <v>2207207.2072072071</v>
      </c>
      <c r="O200">
        <v>2719009.0090090092</v>
      </c>
      <c r="P200">
        <v>2437882.8828828819</v>
      </c>
      <c r="Q200">
        <v>1143783.7837837839</v>
      </c>
      <c r="R200">
        <v>1134234.234234235</v>
      </c>
      <c r="S200">
        <v>1245</v>
      </c>
      <c r="T200">
        <v>1236</v>
      </c>
    </row>
    <row r="201" spans="1:20" x14ac:dyDescent="0.35">
      <c r="A201" s="7" t="s">
        <v>295</v>
      </c>
      <c r="B201" s="12" t="s">
        <v>52</v>
      </c>
      <c r="C201">
        <v>211304743.84514913</v>
      </c>
      <c r="D201">
        <v>207416426.68520221</v>
      </c>
      <c r="E201">
        <v>1010810.8108108121</v>
      </c>
      <c r="F201">
        <v>2142342.3423423441</v>
      </c>
      <c r="G201">
        <v>35</v>
      </c>
      <c r="H201">
        <v>51</v>
      </c>
      <c r="K201">
        <v>44</v>
      </c>
      <c r="L201">
        <v>69</v>
      </c>
      <c r="M201">
        <v>57511711.711711712</v>
      </c>
      <c r="N201">
        <v>21031351.351351351</v>
      </c>
      <c r="O201">
        <v>53531621.621621624</v>
      </c>
      <c r="P201">
        <v>54533927.927927926</v>
      </c>
      <c r="Q201">
        <v>48478918.918918923</v>
      </c>
      <c r="R201">
        <v>37385855.855855852</v>
      </c>
      <c r="S201">
        <v>11596</v>
      </c>
      <c r="T201">
        <v>11584</v>
      </c>
    </row>
    <row r="202" spans="1:20" x14ac:dyDescent="0.35">
      <c r="A202" s="7" t="s">
        <v>296</v>
      </c>
      <c r="B202" s="12" t="s">
        <v>169</v>
      </c>
      <c r="C202">
        <v>73423023.405843869</v>
      </c>
      <c r="D202">
        <v>59211530.929193005</v>
      </c>
      <c r="E202">
        <v>1801.801801802</v>
      </c>
      <c r="G202">
        <v>9</v>
      </c>
      <c r="H202">
        <v>7</v>
      </c>
      <c r="I202">
        <v>1</v>
      </c>
      <c r="K202">
        <v>9</v>
      </c>
      <c r="L202">
        <v>12</v>
      </c>
      <c r="M202">
        <v>3605405.4054054059</v>
      </c>
      <c r="N202">
        <v>4504504.5045045046</v>
      </c>
      <c r="O202">
        <v>16738981.981981982</v>
      </c>
      <c r="P202">
        <v>12581171.171171172</v>
      </c>
      <c r="Q202">
        <v>2372972.9729729728</v>
      </c>
      <c r="R202">
        <v>4485405.4054054059</v>
      </c>
      <c r="S202">
        <v>4733</v>
      </c>
      <c r="T202">
        <v>4386</v>
      </c>
    </row>
    <row r="203" spans="1:20" x14ac:dyDescent="0.35">
      <c r="A203" s="7" t="s">
        <v>297</v>
      </c>
      <c r="B203" s="12" t="s">
        <v>169</v>
      </c>
      <c r="C203">
        <v>45826855.474250145</v>
      </c>
      <c r="D203">
        <v>81103038.996497929</v>
      </c>
      <c r="E203">
        <v>900.900900901</v>
      </c>
      <c r="F203">
        <v>18918.918918919</v>
      </c>
      <c r="G203">
        <v>4</v>
      </c>
      <c r="H203">
        <v>18</v>
      </c>
      <c r="K203">
        <v>4</v>
      </c>
      <c r="L203">
        <v>18</v>
      </c>
      <c r="M203">
        <v>433343243.24324328</v>
      </c>
      <c r="N203">
        <v>1454982882.8828828</v>
      </c>
      <c r="O203">
        <v>16549954.954954956</v>
      </c>
      <c r="P203">
        <v>30451270.270270273</v>
      </c>
      <c r="Q203">
        <v>434945902.7027027</v>
      </c>
      <c r="R203">
        <v>1413127780.1801803</v>
      </c>
      <c r="S203">
        <v>2702</v>
      </c>
      <c r="T203">
        <v>2845</v>
      </c>
    </row>
    <row r="204" spans="1:20" x14ac:dyDescent="0.35">
      <c r="A204" s="7" t="s">
        <v>298</v>
      </c>
      <c r="B204" s="12" t="s">
        <v>89</v>
      </c>
      <c r="C204">
        <v>248649425.24593732</v>
      </c>
      <c r="D204">
        <v>235866011.6739063</v>
      </c>
      <c r="E204">
        <v>81621.621621625003</v>
      </c>
      <c r="F204">
        <v>430630.63063063601</v>
      </c>
      <c r="G204">
        <v>38</v>
      </c>
      <c r="H204">
        <v>43</v>
      </c>
      <c r="K204">
        <v>43</v>
      </c>
      <c r="L204">
        <v>51</v>
      </c>
      <c r="M204">
        <v>13286126.126126124</v>
      </c>
      <c r="N204">
        <v>13940900.900900899</v>
      </c>
      <c r="O204">
        <v>44578918.918918923</v>
      </c>
      <c r="P204">
        <v>46783563.063063063</v>
      </c>
      <c r="Q204">
        <v>12328828.828828825</v>
      </c>
      <c r="R204">
        <v>18875675.675675675</v>
      </c>
      <c r="S204">
        <v>10806</v>
      </c>
      <c r="T204">
        <v>10901</v>
      </c>
    </row>
    <row r="205" spans="1:20" x14ac:dyDescent="0.35">
      <c r="A205" s="7" t="s">
        <v>299</v>
      </c>
      <c r="B205" s="12" t="s">
        <v>134</v>
      </c>
      <c r="C205">
        <v>115538501.47265539</v>
      </c>
      <c r="D205">
        <v>128206763.58160271</v>
      </c>
      <c r="E205">
        <v>555855.85585585597</v>
      </c>
      <c r="F205">
        <v>685585.58558558905</v>
      </c>
      <c r="G205">
        <v>16</v>
      </c>
      <c r="H205">
        <v>20</v>
      </c>
      <c r="K205">
        <v>18</v>
      </c>
      <c r="L205">
        <v>26</v>
      </c>
      <c r="M205">
        <v>9663963.9639639612</v>
      </c>
      <c r="N205">
        <v>5634234.2342342362</v>
      </c>
      <c r="O205">
        <v>12953962.162162164</v>
      </c>
      <c r="P205">
        <v>15589234.234234232</v>
      </c>
      <c r="Q205">
        <v>8158511.7117117122</v>
      </c>
      <c r="R205">
        <v>6970630.6306306301</v>
      </c>
      <c r="S205">
        <v>6764</v>
      </c>
      <c r="T205">
        <v>7041</v>
      </c>
    </row>
    <row r="206" spans="1:20" x14ac:dyDescent="0.35">
      <c r="A206" s="7" t="s">
        <v>300</v>
      </c>
      <c r="B206" s="12" t="s">
        <v>290</v>
      </c>
      <c r="C206">
        <v>97602123.43675147</v>
      </c>
      <c r="D206">
        <v>89712603.547001347</v>
      </c>
      <c r="E206">
        <v>321171.17117117299</v>
      </c>
      <c r="F206">
        <v>1767567.5675675699</v>
      </c>
      <c r="G206">
        <v>50</v>
      </c>
      <c r="H206">
        <v>32</v>
      </c>
      <c r="K206">
        <v>57</v>
      </c>
      <c r="L206">
        <v>40</v>
      </c>
      <c r="M206">
        <v>10483333.33333333</v>
      </c>
      <c r="N206">
        <v>8395495.4954954963</v>
      </c>
      <c r="O206">
        <v>13303558.558558555</v>
      </c>
      <c r="P206">
        <v>12531065.765765764</v>
      </c>
      <c r="Q206">
        <v>8856756.7567567602</v>
      </c>
      <c r="R206">
        <v>7419009.0090090064</v>
      </c>
      <c r="S206">
        <v>4431</v>
      </c>
      <c r="T206">
        <v>4344</v>
      </c>
    </row>
    <row r="207" spans="1:20" x14ac:dyDescent="0.35">
      <c r="A207" s="7" t="s">
        <v>301</v>
      </c>
      <c r="B207" s="12" t="s">
        <v>80</v>
      </c>
      <c r="C207">
        <v>138928340.94999951</v>
      </c>
      <c r="D207">
        <v>128729939.77055436</v>
      </c>
      <c r="E207">
        <v>281531.531531532</v>
      </c>
      <c r="F207">
        <v>986261.26126126398</v>
      </c>
      <c r="G207">
        <v>32</v>
      </c>
      <c r="H207">
        <v>20</v>
      </c>
      <c r="K207">
        <v>36</v>
      </c>
      <c r="L207">
        <v>23</v>
      </c>
      <c r="M207">
        <v>13400630.630630629</v>
      </c>
      <c r="N207">
        <v>11058558.558558557</v>
      </c>
      <c r="O207">
        <v>30156680.180180181</v>
      </c>
      <c r="P207">
        <v>27127297.297297295</v>
      </c>
      <c r="Q207">
        <v>12571981.981981982</v>
      </c>
      <c r="R207">
        <v>10753963.963963961</v>
      </c>
      <c r="S207">
        <v>5707</v>
      </c>
      <c r="T207">
        <v>5705</v>
      </c>
    </row>
    <row r="208" spans="1:20" x14ac:dyDescent="0.35">
      <c r="A208" s="7" t="s">
        <v>302</v>
      </c>
      <c r="B208" s="12" t="s">
        <v>72</v>
      </c>
      <c r="C208">
        <v>208698320.28044537</v>
      </c>
      <c r="D208">
        <v>202884163.04537982</v>
      </c>
      <c r="E208">
        <v>28828.828828829999</v>
      </c>
      <c r="F208">
        <v>472972.97297297599</v>
      </c>
      <c r="G208">
        <v>49</v>
      </c>
      <c r="H208">
        <v>48</v>
      </c>
      <c r="I208">
        <v>2</v>
      </c>
      <c r="K208">
        <v>54</v>
      </c>
      <c r="L208">
        <v>56</v>
      </c>
      <c r="M208">
        <v>11776576.576576576</v>
      </c>
      <c r="N208">
        <v>10442342.342342343</v>
      </c>
      <c r="O208">
        <v>30045936.936936937</v>
      </c>
      <c r="P208">
        <v>31932351.351351351</v>
      </c>
      <c r="Q208">
        <v>12821531.531531531</v>
      </c>
      <c r="R208">
        <v>10848648.648648648</v>
      </c>
      <c r="S208">
        <v>9131</v>
      </c>
      <c r="T208">
        <v>8971</v>
      </c>
    </row>
    <row r="209" spans="1:20" x14ac:dyDescent="0.35">
      <c r="A209" s="7" t="s">
        <v>303</v>
      </c>
      <c r="B209" s="12" t="s">
        <v>304</v>
      </c>
      <c r="C209">
        <v>698058.85487011296</v>
      </c>
      <c r="D209">
        <v>730286.51788982598</v>
      </c>
      <c r="O209">
        <v>408333.33333333302</v>
      </c>
      <c r="P209">
        <v>368108.10810810799</v>
      </c>
      <c r="S209">
        <v>71</v>
      </c>
      <c r="T209">
        <v>74</v>
      </c>
    </row>
    <row r="210" spans="1:20" x14ac:dyDescent="0.35">
      <c r="A210" s="7" t="s">
        <v>668</v>
      </c>
      <c r="B210" s="12" t="s">
        <v>304</v>
      </c>
      <c r="E210">
        <v>9009009.0090090074</v>
      </c>
      <c r="F210">
        <v>7207207.2072072066</v>
      </c>
      <c r="N210">
        <v>44594.594594595001</v>
      </c>
    </row>
    <row r="211" spans="1:20" x14ac:dyDescent="0.35">
      <c r="A211" s="7" t="s">
        <v>305</v>
      </c>
      <c r="B211" s="12" t="s">
        <v>117</v>
      </c>
      <c r="C211">
        <v>29602753.119850598</v>
      </c>
      <c r="D211">
        <v>25499019.936118081</v>
      </c>
      <c r="E211">
        <v>16216.216216217999</v>
      </c>
      <c r="F211">
        <v>86486.486486487003</v>
      </c>
      <c r="G211">
        <v>2</v>
      </c>
      <c r="H211">
        <v>1</v>
      </c>
      <c r="K211">
        <v>3</v>
      </c>
      <c r="L211">
        <v>1</v>
      </c>
      <c r="M211">
        <v>1423063.063063063</v>
      </c>
      <c r="N211">
        <v>1827747.7477477479</v>
      </c>
      <c r="O211">
        <v>11663783.783783784</v>
      </c>
      <c r="P211">
        <v>11743063.063063065</v>
      </c>
      <c r="Q211">
        <v>1170810.810810809</v>
      </c>
      <c r="R211">
        <v>1686306.306306306</v>
      </c>
      <c r="S211">
        <v>1900</v>
      </c>
      <c r="T211">
        <v>1671</v>
      </c>
    </row>
    <row r="212" spans="1:20" x14ac:dyDescent="0.35">
      <c r="A212" s="7" t="s">
        <v>306</v>
      </c>
      <c r="B212" s="12" t="s">
        <v>307</v>
      </c>
      <c r="C212">
        <v>32957791.033195663</v>
      </c>
      <c r="D212">
        <v>31454759.474226948</v>
      </c>
      <c r="E212">
        <v>7207.207207208</v>
      </c>
      <c r="F212">
        <v>900.900900901</v>
      </c>
      <c r="G212">
        <v>10</v>
      </c>
      <c r="H212">
        <v>15</v>
      </c>
      <c r="K212">
        <v>12</v>
      </c>
      <c r="L212">
        <v>18</v>
      </c>
      <c r="M212">
        <v>429189.189189189</v>
      </c>
      <c r="N212">
        <v>482882.88288288302</v>
      </c>
      <c r="O212">
        <v>16224279.279279279</v>
      </c>
      <c r="P212">
        <v>16950297.297297295</v>
      </c>
      <c r="Q212">
        <v>312072.072072073</v>
      </c>
      <c r="R212">
        <v>286846.84684684698</v>
      </c>
      <c r="S212">
        <v>4260</v>
      </c>
      <c r="T212">
        <v>4470</v>
      </c>
    </row>
    <row r="213" spans="1:20" x14ac:dyDescent="0.35">
      <c r="A213" s="7" t="s">
        <v>308</v>
      </c>
      <c r="B213" s="12" t="s">
        <v>140</v>
      </c>
      <c r="C213">
        <v>215714381.03406668</v>
      </c>
      <c r="D213">
        <v>217972377.62877804</v>
      </c>
      <c r="E213">
        <v>9008243.2432432435</v>
      </c>
      <c r="F213">
        <v>721621.62162163004</v>
      </c>
      <c r="G213">
        <v>17</v>
      </c>
      <c r="H213">
        <v>34</v>
      </c>
      <c r="K213">
        <v>31</v>
      </c>
      <c r="L213">
        <v>42</v>
      </c>
      <c r="M213">
        <v>35543243.243243247</v>
      </c>
      <c r="N213">
        <v>40968468.468468472</v>
      </c>
      <c r="O213">
        <v>42740899.099099107</v>
      </c>
      <c r="P213">
        <v>47797063.063063063</v>
      </c>
      <c r="Q213">
        <v>17530000</v>
      </c>
      <c r="R213">
        <v>20502972.972972974</v>
      </c>
      <c r="S213">
        <v>7942</v>
      </c>
      <c r="T213">
        <v>8139</v>
      </c>
    </row>
    <row r="214" spans="1:20" x14ac:dyDescent="0.35">
      <c r="A214" s="7" t="s">
        <v>309</v>
      </c>
      <c r="B214" s="12" t="s">
        <v>132</v>
      </c>
      <c r="C214">
        <v>240166509.93845564</v>
      </c>
      <c r="D214">
        <v>193134932.63300747</v>
      </c>
      <c r="E214">
        <v>1046846.846846848</v>
      </c>
      <c r="F214">
        <v>1876576.5765765761</v>
      </c>
      <c r="G214">
        <v>51</v>
      </c>
      <c r="H214">
        <v>49</v>
      </c>
      <c r="K214">
        <v>61</v>
      </c>
      <c r="L214">
        <v>66</v>
      </c>
      <c r="M214">
        <v>10080180.180180183</v>
      </c>
      <c r="N214">
        <v>4480180.1801801799</v>
      </c>
      <c r="O214">
        <v>61721342.342342347</v>
      </c>
      <c r="P214">
        <v>52690342.342342347</v>
      </c>
      <c r="Q214">
        <v>9948828.8288288303</v>
      </c>
      <c r="R214">
        <v>7686306.3063063063</v>
      </c>
      <c r="S214">
        <v>12146</v>
      </c>
      <c r="T214">
        <v>11406</v>
      </c>
    </row>
    <row r="215" spans="1:20" x14ac:dyDescent="0.35">
      <c r="A215" s="7" t="s">
        <v>310</v>
      </c>
      <c r="B215" s="12" t="s">
        <v>72</v>
      </c>
      <c r="C215">
        <v>367414120.36229783</v>
      </c>
      <c r="D215">
        <v>343105030.07923722</v>
      </c>
      <c r="E215">
        <v>845585.58558558801</v>
      </c>
      <c r="F215">
        <v>2617342.3423423478</v>
      </c>
      <c r="G215">
        <v>75</v>
      </c>
      <c r="H215">
        <v>69</v>
      </c>
      <c r="K215">
        <v>89</v>
      </c>
      <c r="L215">
        <v>82</v>
      </c>
      <c r="M215">
        <v>52245585.585585587</v>
      </c>
      <c r="N215">
        <v>46079279.279279269</v>
      </c>
      <c r="O215">
        <v>83991342.342342332</v>
      </c>
      <c r="P215">
        <v>84468809.009009004</v>
      </c>
      <c r="Q215">
        <v>42306846.846846849</v>
      </c>
      <c r="R215">
        <v>43149819.819819823</v>
      </c>
      <c r="S215">
        <v>16440</v>
      </c>
      <c r="T215">
        <v>18440</v>
      </c>
    </row>
    <row r="216" spans="1:20" x14ac:dyDescent="0.35">
      <c r="A216" s="7" t="s">
        <v>311</v>
      </c>
      <c r="B216" s="12" t="s">
        <v>62</v>
      </c>
      <c r="C216">
        <v>61737311.145621561</v>
      </c>
      <c r="D216">
        <v>59740815.192014717</v>
      </c>
      <c r="E216">
        <v>18918.918918920001</v>
      </c>
      <c r="F216">
        <v>409909.90990991198</v>
      </c>
      <c r="G216">
        <v>6</v>
      </c>
      <c r="H216">
        <v>9</v>
      </c>
      <c r="K216">
        <v>6</v>
      </c>
      <c r="L216">
        <v>11</v>
      </c>
      <c r="M216">
        <v>9794774.7747747749</v>
      </c>
      <c r="N216">
        <v>9396756.7567567583</v>
      </c>
      <c r="O216">
        <v>15531387.387387387</v>
      </c>
      <c r="P216">
        <v>16177108.108108109</v>
      </c>
      <c r="Q216">
        <v>7439909.9099099096</v>
      </c>
      <c r="R216">
        <v>12148468.468468469</v>
      </c>
      <c r="S216">
        <v>2263</v>
      </c>
      <c r="T216">
        <v>2383</v>
      </c>
    </row>
    <row r="217" spans="1:20" x14ac:dyDescent="0.35">
      <c r="A217" s="7" t="s">
        <v>312</v>
      </c>
      <c r="B217" s="12" t="s">
        <v>89</v>
      </c>
      <c r="C217">
        <v>21147610.251986969</v>
      </c>
      <c r="D217">
        <v>20237653.335468896</v>
      </c>
      <c r="E217">
        <v>10810.810810810999</v>
      </c>
      <c r="F217">
        <v>140540.540540541</v>
      </c>
      <c r="G217">
        <v>3</v>
      </c>
      <c r="H217">
        <v>5</v>
      </c>
      <c r="K217">
        <v>3</v>
      </c>
      <c r="L217">
        <v>5</v>
      </c>
      <c r="M217">
        <v>1118918.9189189179</v>
      </c>
      <c r="N217">
        <v>3744324.3243243252</v>
      </c>
      <c r="O217">
        <v>5839054.0540540544</v>
      </c>
      <c r="P217">
        <v>6938819.8198198201</v>
      </c>
      <c r="Q217">
        <v>679729.72972972901</v>
      </c>
      <c r="R217">
        <v>4309909.9099099087</v>
      </c>
      <c r="S217">
        <v>1146</v>
      </c>
      <c r="T217">
        <v>1268</v>
      </c>
    </row>
    <row r="218" spans="1:20" x14ac:dyDescent="0.35">
      <c r="A218" s="7" t="s">
        <v>313</v>
      </c>
      <c r="B218" s="12" t="s">
        <v>92</v>
      </c>
      <c r="C218">
        <v>9509558.5337559953</v>
      </c>
      <c r="D218">
        <v>9255954.2191920765</v>
      </c>
      <c r="E218">
        <v>48417859.459459454</v>
      </c>
      <c r="F218">
        <v>86695691.891891882</v>
      </c>
      <c r="H218">
        <v>1</v>
      </c>
      <c r="L218">
        <v>1</v>
      </c>
      <c r="M218">
        <v>14133108.108108109</v>
      </c>
      <c r="N218">
        <v>54054.054054054002</v>
      </c>
      <c r="O218">
        <v>788513.51351351396</v>
      </c>
      <c r="P218">
        <v>601576.57657657703</v>
      </c>
      <c r="R218">
        <v>145045.045045045</v>
      </c>
      <c r="S218">
        <v>549</v>
      </c>
      <c r="T218">
        <v>747</v>
      </c>
    </row>
    <row r="219" spans="1:20" x14ac:dyDescent="0.35">
      <c r="A219" s="7" t="s">
        <v>314</v>
      </c>
      <c r="B219" s="12" t="s">
        <v>315</v>
      </c>
      <c r="C219">
        <v>71880021.180165142</v>
      </c>
      <c r="D219">
        <v>67577227.452047259</v>
      </c>
      <c r="E219">
        <v>54054.054054054002</v>
      </c>
      <c r="F219">
        <v>493243.24324324197</v>
      </c>
      <c r="G219">
        <v>21</v>
      </c>
      <c r="H219">
        <v>16</v>
      </c>
      <c r="K219">
        <v>24</v>
      </c>
      <c r="L219">
        <v>16</v>
      </c>
      <c r="M219">
        <v>3135135.1351351319</v>
      </c>
      <c r="N219">
        <v>5793693.6936936909</v>
      </c>
      <c r="O219">
        <v>11249189.189189188</v>
      </c>
      <c r="P219">
        <v>10058459.459459459</v>
      </c>
      <c r="Q219">
        <v>3610990.990990988</v>
      </c>
      <c r="R219">
        <v>4757207.2072072057</v>
      </c>
      <c r="S219">
        <v>3545</v>
      </c>
      <c r="T219">
        <v>3501</v>
      </c>
    </row>
    <row r="220" spans="1:20" x14ac:dyDescent="0.35">
      <c r="A220" s="7" t="s">
        <v>316</v>
      </c>
      <c r="B220" s="12" t="s">
        <v>62</v>
      </c>
      <c r="C220">
        <v>115353819.33485352</v>
      </c>
      <c r="D220">
        <v>121052756.75148597</v>
      </c>
      <c r="E220">
        <v>415765.765765769</v>
      </c>
      <c r="F220">
        <v>78884684.684684694</v>
      </c>
      <c r="G220">
        <v>37</v>
      </c>
      <c r="H220">
        <v>19</v>
      </c>
      <c r="K220">
        <v>52</v>
      </c>
      <c r="L220">
        <v>33</v>
      </c>
      <c r="M220">
        <v>7861171.1711711697</v>
      </c>
      <c r="N220">
        <v>24412072.072072074</v>
      </c>
      <c r="O220">
        <v>39596972.972972974</v>
      </c>
      <c r="P220">
        <v>40917567.567567565</v>
      </c>
      <c r="Q220">
        <v>7257297.297297297</v>
      </c>
      <c r="R220">
        <v>22165495.495495494</v>
      </c>
      <c r="S220">
        <v>8781</v>
      </c>
      <c r="T220">
        <v>8819</v>
      </c>
    </row>
    <row r="221" spans="1:20" x14ac:dyDescent="0.35">
      <c r="A221" s="7" t="s">
        <v>317</v>
      </c>
      <c r="B221" s="12" t="s">
        <v>62</v>
      </c>
      <c r="C221">
        <v>116875489.22494246</v>
      </c>
      <c r="D221">
        <v>109183963.54872276</v>
      </c>
      <c r="E221">
        <v>43243.243243245</v>
      </c>
      <c r="F221">
        <v>772072.07207207405</v>
      </c>
      <c r="G221">
        <v>38</v>
      </c>
      <c r="H221">
        <v>10</v>
      </c>
      <c r="K221">
        <v>44</v>
      </c>
      <c r="L221">
        <v>12</v>
      </c>
      <c r="M221">
        <v>7987747.7477477472</v>
      </c>
      <c r="N221">
        <v>15807927.927927928</v>
      </c>
      <c r="O221">
        <v>38316081.081081077</v>
      </c>
      <c r="P221">
        <v>38270036.036036029</v>
      </c>
      <c r="Q221">
        <v>8745315.3153153155</v>
      </c>
      <c r="R221">
        <v>15261801.801801801</v>
      </c>
      <c r="S221">
        <v>5585</v>
      </c>
      <c r="T221">
        <v>5431</v>
      </c>
    </row>
    <row r="222" spans="1:20" x14ac:dyDescent="0.35">
      <c r="A222" s="7" t="s">
        <v>318</v>
      </c>
      <c r="B222" s="12" t="s">
        <v>78</v>
      </c>
      <c r="C222">
        <v>118632388.37594214</v>
      </c>
      <c r="D222">
        <v>112898859.91477068</v>
      </c>
      <c r="E222">
        <v>2067207.2072072099</v>
      </c>
      <c r="F222">
        <v>2094594.5945945999</v>
      </c>
      <c r="G222">
        <v>17</v>
      </c>
      <c r="H222">
        <v>30</v>
      </c>
      <c r="K222">
        <v>25</v>
      </c>
      <c r="L222">
        <v>53</v>
      </c>
      <c r="M222">
        <v>25562702.702702701</v>
      </c>
      <c r="N222">
        <v>22781081.081081081</v>
      </c>
      <c r="O222">
        <v>47474909.909909911</v>
      </c>
      <c r="P222">
        <v>46807995.495495498</v>
      </c>
      <c r="Q222">
        <v>23351621.621621624</v>
      </c>
      <c r="R222">
        <v>27350270.270270273</v>
      </c>
      <c r="S222">
        <v>8873</v>
      </c>
      <c r="T222">
        <v>9267</v>
      </c>
    </row>
    <row r="223" spans="1:20" x14ac:dyDescent="0.35">
      <c r="A223" s="7" t="s">
        <v>319</v>
      </c>
      <c r="B223" s="12" t="s">
        <v>78</v>
      </c>
      <c r="C223">
        <v>71531009.579662949</v>
      </c>
      <c r="D223">
        <v>67894400.170679599</v>
      </c>
      <c r="E223">
        <v>999279.27927927999</v>
      </c>
      <c r="F223">
        <v>1180180.180180182</v>
      </c>
      <c r="G223">
        <v>12</v>
      </c>
      <c r="H223">
        <v>24</v>
      </c>
      <c r="I223">
        <v>1</v>
      </c>
      <c r="K223">
        <v>17</v>
      </c>
      <c r="L223">
        <v>33</v>
      </c>
      <c r="M223">
        <v>7215495.4954954954</v>
      </c>
      <c r="N223">
        <v>5369369.369369369</v>
      </c>
      <c r="O223">
        <v>25104837.837837841</v>
      </c>
      <c r="P223">
        <v>24561981.981981985</v>
      </c>
      <c r="Q223">
        <v>5613603.6036036033</v>
      </c>
      <c r="R223">
        <v>4774864.8648648681</v>
      </c>
      <c r="S223">
        <v>5633</v>
      </c>
      <c r="T223">
        <v>5579</v>
      </c>
    </row>
    <row r="224" spans="1:20" x14ac:dyDescent="0.35">
      <c r="A224" s="7" t="s">
        <v>320</v>
      </c>
      <c r="B224" s="12" t="s">
        <v>121</v>
      </c>
      <c r="C224">
        <v>537839.53805864998</v>
      </c>
      <c r="D224">
        <v>502477.99142968497</v>
      </c>
      <c r="K224">
        <v>2</v>
      </c>
      <c r="O224">
        <v>152252.25225225199</v>
      </c>
      <c r="P224">
        <v>35225.225225224996</v>
      </c>
      <c r="S224">
        <v>64</v>
      </c>
      <c r="T224">
        <v>127</v>
      </c>
    </row>
    <row r="225" spans="1:20" x14ac:dyDescent="0.35">
      <c r="A225" s="7" t="s">
        <v>321</v>
      </c>
      <c r="B225" s="12" t="s">
        <v>224</v>
      </c>
      <c r="C225">
        <v>90516998.667501733</v>
      </c>
      <c r="D225">
        <v>77559562.523052245</v>
      </c>
      <c r="F225">
        <v>18018.018018018</v>
      </c>
      <c r="G225">
        <v>24</v>
      </c>
      <c r="H225">
        <v>20</v>
      </c>
      <c r="K225">
        <v>26</v>
      </c>
      <c r="L225">
        <v>23</v>
      </c>
      <c r="M225">
        <v>1499099.0990990989</v>
      </c>
      <c r="N225">
        <v>1821261.2612612599</v>
      </c>
      <c r="O225">
        <v>33064369.369369369</v>
      </c>
      <c r="P225">
        <v>32539583.783783782</v>
      </c>
      <c r="Q225">
        <v>1781081.0810810821</v>
      </c>
      <c r="R225">
        <v>1742342.3423423399</v>
      </c>
      <c r="S225">
        <v>3977</v>
      </c>
      <c r="T225">
        <v>4083</v>
      </c>
    </row>
    <row r="226" spans="1:20" x14ac:dyDescent="0.35">
      <c r="A226" s="7" t="s">
        <v>322</v>
      </c>
      <c r="B226" s="12" t="s">
        <v>224</v>
      </c>
      <c r="C226">
        <v>64814221.951292366</v>
      </c>
      <c r="D226">
        <v>54417525.781554565</v>
      </c>
      <c r="E226">
        <v>16216.216216217001</v>
      </c>
      <c r="F226">
        <v>2702.7027027029999</v>
      </c>
      <c r="G226">
        <v>7</v>
      </c>
      <c r="H226">
        <v>2</v>
      </c>
      <c r="K226">
        <v>8</v>
      </c>
      <c r="L226">
        <v>2</v>
      </c>
      <c r="M226">
        <v>7364324.3243243229</v>
      </c>
      <c r="N226">
        <v>5002702.702702702</v>
      </c>
      <c r="O226">
        <v>18061711.711711712</v>
      </c>
      <c r="P226">
        <v>16262468.468468469</v>
      </c>
      <c r="Q226">
        <v>5291621.6216216218</v>
      </c>
      <c r="R226">
        <v>3645405.405405404</v>
      </c>
      <c r="S226">
        <v>2345</v>
      </c>
      <c r="T226">
        <v>2174</v>
      </c>
    </row>
    <row r="227" spans="1:20" x14ac:dyDescent="0.35">
      <c r="A227" s="7" t="s">
        <v>323</v>
      </c>
      <c r="B227" s="12" t="s">
        <v>78</v>
      </c>
      <c r="C227">
        <v>86800344.870658353</v>
      </c>
      <c r="D227">
        <v>86263770.538158208</v>
      </c>
      <c r="E227">
        <v>613063.06306306401</v>
      </c>
      <c r="F227">
        <v>373873.87387387501</v>
      </c>
      <c r="G227">
        <v>25</v>
      </c>
      <c r="H227">
        <v>45</v>
      </c>
      <c r="K227">
        <v>29</v>
      </c>
      <c r="L227">
        <v>77</v>
      </c>
      <c r="M227">
        <v>11734684.684684685</v>
      </c>
      <c r="N227">
        <v>11815315.315315315</v>
      </c>
      <c r="O227">
        <v>24218968.468468469</v>
      </c>
      <c r="P227">
        <v>26529162.162162159</v>
      </c>
      <c r="Q227">
        <v>8880090.0900900904</v>
      </c>
      <c r="R227">
        <v>10043333.333333334</v>
      </c>
      <c r="S227">
        <v>4543</v>
      </c>
      <c r="T227">
        <v>4600</v>
      </c>
    </row>
    <row r="228" spans="1:20" x14ac:dyDescent="0.35">
      <c r="A228" s="7" t="s">
        <v>324</v>
      </c>
      <c r="B228" s="12" t="s">
        <v>108</v>
      </c>
      <c r="C228">
        <v>406316599.20359367</v>
      </c>
      <c r="D228">
        <v>397670084.66545516</v>
      </c>
      <c r="E228">
        <v>268797914.41441441</v>
      </c>
      <c r="F228">
        <v>4576770.2702702759</v>
      </c>
      <c r="G228">
        <v>86</v>
      </c>
      <c r="H228">
        <v>73</v>
      </c>
      <c r="K228">
        <v>140</v>
      </c>
      <c r="L228">
        <v>100</v>
      </c>
      <c r="M228">
        <v>31752342.342342336</v>
      </c>
      <c r="N228">
        <v>29505585.585585583</v>
      </c>
      <c r="O228">
        <v>97038896.396396384</v>
      </c>
      <c r="P228">
        <v>100717153.15315315</v>
      </c>
      <c r="Q228">
        <v>33580900.900900893</v>
      </c>
      <c r="R228">
        <v>35372162.162162162</v>
      </c>
      <c r="S228">
        <v>21963</v>
      </c>
      <c r="T228">
        <v>21945</v>
      </c>
    </row>
    <row r="229" spans="1:20" x14ac:dyDescent="0.35">
      <c r="A229" s="7" t="s">
        <v>325</v>
      </c>
      <c r="B229" s="12" t="s">
        <v>224</v>
      </c>
      <c r="C229">
        <v>97910232.633003727</v>
      </c>
      <c r="D229">
        <v>79351933.076671958</v>
      </c>
      <c r="E229">
        <v>333873.87387387402</v>
      </c>
      <c r="F229">
        <v>226126.12612612601</v>
      </c>
      <c r="G229">
        <v>31</v>
      </c>
      <c r="H229">
        <v>5</v>
      </c>
      <c r="K229">
        <v>35</v>
      </c>
      <c r="L229">
        <v>6</v>
      </c>
      <c r="M229">
        <v>7721261.2612612611</v>
      </c>
      <c r="N229">
        <v>8427567.5675675664</v>
      </c>
      <c r="O229">
        <v>17336504.504504506</v>
      </c>
      <c r="P229">
        <v>17574936.936936937</v>
      </c>
      <c r="Q229">
        <v>7493243.2432432426</v>
      </c>
      <c r="R229">
        <v>8341171.1711711707</v>
      </c>
      <c r="S229">
        <v>4228</v>
      </c>
      <c r="T229">
        <v>4408</v>
      </c>
    </row>
    <row r="230" spans="1:20" x14ac:dyDescent="0.35">
      <c r="A230" s="7" t="s">
        <v>4</v>
      </c>
      <c r="B230" s="12" t="s">
        <v>158</v>
      </c>
      <c r="C230">
        <v>68717893.776228994</v>
      </c>
      <c r="D230">
        <v>69987962.452561647</v>
      </c>
      <c r="E230">
        <v>619819.81981982</v>
      </c>
      <c r="F230">
        <v>851351.35135135299</v>
      </c>
      <c r="G230">
        <v>7</v>
      </c>
      <c r="H230">
        <v>6</v>
      </c>
      <c r="K230">
        <v>7</v>
      </c>
      <c r="L230">
        <v>7</v>
      </c>
      <c r="M230">
        <v>10884234.234234236</v>
      </c>
      <c r="N230">
        <v>18601801.801801804</v>
      </c>
      <c r="O230">
        <v>24358333.333333336</v>
      </c>
      <c r="P230">
        <v>23888990.990990993</v>
      </c>
      <c r="Q230">
        <v>10601351.351351352</v>
      </c>
      <c r="R230">
        <v>19848018.018018015</v>
      </c>
      <c r="S230">
        <v>3613</v>
      </c>
      <c r="T230">
        <v>5860</v>
      </c>
    </row>
    <row r="231" spans="1:20" x14ac:dyDescent="0.35">
      <c r="A231" s="7" t="s">
        <v>326</v>
      </c>
      <c r="B231" s="12" t="s">
        <v>108</v>
      </c>
      <c r="C231">
        <v>324003854.91215205</v>
      </c>
      <c r="D231">
        <v>321602756.54049182</v>
      </c>
      <c r="E231">
        <v>2574954.9549549608</v>
      </c>
      <c r="F231">
        <v>3027252.2522522612</v>
      </c>
      <c r="G231">
        <v>82</v>
      </c>
      <c r="H231">
        <v>82</v>
      </c>
      <c r="K231">
        <v>118</v>
      </c>
      <c r="L231">
        <v>104</v>
      </c>
      <c r="M231">
        <v>41119549.549549542</v>
      </c>
      <c r="N231">
        <v>36633693.693693697</v>
      </c>
      <c r="O231">
        <v>91079459.459459454</v>
      </c>
      <c r="P231">
        <v>97568792.792792797</v>
      </c>
      <c r="Q231">
        <v>40042612.612612613</v>
      </c>
      <c r="R231">
        <v>36455855.855855852</v>
      </c>
      <c r="S231">
        <v>19910</v>
      </c>
      <c r="T231">
        <v>20753</v>
      </c>
    </row>
    <row r="232" spans="1:20" x14ac:dyDescent="0.35">
      <c r="A232" s="7" t="s">
        <v>327</v>
      </c>
      <c r="B232" s="12" t="s">
        <v>78</v>
      </c>
      <c r="C232">
        <v>34195742.549123473</v>
      </c>
      <c r="D232">
        <v>33275253.510185137</v>
      </c>
      <c r="E232">
        <v>144144.14414414499</v>
      </c>
      <c r="F232">
        <v>110810.810810811</v>
      </c>
      <c r="G232">
        <v>14</v>
      </c>
      <c r="H232">
        <v>12</v>
      </c>
      <c r="K232">
        <v>14</v>
      </c>
      <c r="L232">
        <v>14</v>
      </c>
      <c r="M232">
        <v>2126126.1261261259</v>
      </c>
      <c r="N232">
        <v>2002702.702702702</v>
      </c>
      <c r="O232">
        <v>10169819.819819819</v>
      </c>
      <c r="P232">
        <v>11158324.324324325</v>
      </c>
      <c r="Q232">
        <v>2076126.1261261259</v>
      </c>
      <c r="R232">
        <v>2703783.7837837841</v>
      </c>
      <c r="S232">
        <v>2006</v>
      </c>
      <c r="T232">
        <v>1846</v>
      </c>
    </row>
    <row r="233" spans="1:20" x14ac:dyDescent="0.35">
      <c r="A233" s="7" t="s">
        <v>328</v>
      </c>
      <c r="B233" s="12" t="s">
        <v>121</v>
      </c>
      <c r="C233">
        <v>94993592.739543989</v>
      </c>
      <c r="D233">
        <v>86467855.327145249</v>
      </c>
      <c r="E233">
        <v>48648.64864865</v>
      </c>
      <c r="F233">
        <v>506981.98198198102</v>
      </c>
      <c r="G233">
        <v>33</v>
      </c>
      <c r="H233">
        <v>24</v>
      </c>
      <c r="K233">
        <v>39</v>
      </c>
      <c r="L233">
        <v>28</v>
      </c>
      <c r="M233">
        <v>4337837.8378378386</v>
      </c>
      <c r="N233">
        <v>6909909.9099099096</v>
      </c>
      <c r="O233">
        <v>13397099.0990991</v>
      </c>
      <c r="P233">
        <v>12274175.675675673</v>
      </c>
      <c r="Q233">
        <v>4432882.8828828838</v>
      </c>
      <c r="R233">
        <v>4548108.1081081079</v>
      </c>
      <c r="S233">
        <v>4106</v>
      </c>
      <c r="T233">
        <v>3898</v>
      </c>
    </row>
    <row r="234" spans="1:20" x14ac:dyDescent="0.35">
      <c r="A234" s="7" t="s">
        <v>329</v>
      </c>
      <c r="B234" s="12" t="s">
        <v>330</v>
      </c>
      <c r="C234">
        <v>217099189.73936623</v>
      </c>
      <c r="D234">
        <v>205420863.82226667</v>
      </c>
      <c r="E234">
        <v>1021171.171171174</v>
      </c>
      <c r="F234">
        <v>2140765.7657657661</v>
      </c>
      <c r="G234">
        <v>68</v>
      </c>
      <c r="H234">
        <v>60</v>
      </c>
      <c r="I234">
        <v>7</v>
      </c>
      <c r="K234">
        <v>82</v>
      </c>
      <c r="L234">
        <v>82</v>
      </c>
      <c r="M234">
        <v>12917387.387387386</v>
      </c>
      <c r="N234">
        <v>15199099.099099096</v>
      </c>
      <c r="O234">
        <v>45148576.576576576</v>
      </c>
      <c r="P234">
        <v>44312648.648648649</v>
      </c>
      <c r="Q234">
        <v>13817207.207207207</v>
      </c>
      <c r="R234">
        <v>14643783.783783786</v>
      </c>
      <c r="S234">
        <v>14488</v>
      </c>
      <c r="T234">
        <v>14100</v>
      </c>
    </row>
    <row r="235" spans="1:20" x14ac:dyDescent="0.35">
      <c r="A235" s="7" t="s">
        <v>331</v>
      </c>
      <c r="B235" s="12" t="s">
        <v>290</v>
      </c>
      <c r="C235">
        <v>318837882.10965461</v>
      </c>
      <c r="D235">
        <v>310939578.88066101</v>
      </c>
      <c r="E235">
        <v>590090.09009008994</v>
      </c>
      <c r="F235">
        <v>1695045.045045048</v>
      </c>
      <c r="G235">
        <v>95</v>
      </c>
      <c r="H235">
        <v>99</v>
      </c>
      <c r="I235">
        <v>6</v>
      </c>
      <c r="K235">
        <v>117</v>
      </c>
      <c r="L235">
        <v>125</v>
      </c>
      <c r="M235">
        <v>30861261.261261269</v>
      </c>
      <c r="N235">
        <v>27873873.873873875</v>
      </c>
      <c r="O235">
        <v>54565630.630630635</v>
      </c>
      <c r="P235">
        <v>54607043.243243247</v>
      </c>
      <c r="Q235">
        <v>29152072.072072081</v>
      </c>
      <c r="R235">
        <v>25799729.729729727</v>
      </c>
      <c r="S235">
        <v>17026</v>
      </c>
      <c r="T235">
        <v>17000</v>
      </c>
    </row>
    <row r="236" spans="1:20" x14ac:dyDescent="0.35">
      <c r="A236" s="7" t="s">
        <v>332</v>
      </c>
      <c r="B236" s="12" t="s">
        <v>290</v>
      </c>
      <c r="C236">
        <v>233512473.40237722</v>
      </c>
      <c r="D236">
        <v>233730794.75325364</v>
      </c>
      <c r="E236">
        <v>1454504.5045045069</v>
      </c>
      <c r="F236">
        <v>2061261.261261265</v>
      </c>
      <c r="G236">
        <v>64</v>
      </c>
      <c r="H236">
        <v>40</v>
      </c>
      <c r="I236">
        <v>2</v>
      </c>
      <c r="K236">
        <v>78</v>
      </c>
      <c r="L236">
        <v>49</v>
      </c>
      <c r="M236">
        <v>24076126.126126129</v>
      </c>
      <c r="N236">
        <v>26868468.468468469</v>
      </c>
      <c r="O236">
        <v>55841297.297297299</v>
      </c>
      <c r="P236">
        <v>61325801.801801801</v>
      </c>
      <c r="Q236">
        <v>26162252.252252255</v>
      </c>
      <c r="R236">
        <v>31353063.063063063</v>
      </c>
      <c r="S236">
        <v>14658</v>
      </c>
      <c r="T236">
        <v>14917</v>
      </c>
    </row>
    <row r="237" spans="1:20" x14ac:dyDescent="0.35">
      <c r="A237" s="7" t="s">
        <v>333</v>
      </c>
      <c r="B237" s="12" t="s">
        <v>60</v>
      </c>
      <c r="C237">
        <v>32486681.913496848</v>
      </c>
      <c r="D237">
        <v>32851347.35173488</v>
      </c>
      <c r="E237">
        <v>320720.720720721</v>
      </c>
      <c r="F237">
        <v>678378.37837837904</v>
      </c>
      <c r="G237">
        <v>13</v>
      </c>
      <c r="H237">
        <v>31</v>
      </c>
      <c r="K237">
        <v>17</v>
      </c>
      <c r="L237">
        <v>43</v>
      </c>
      <c r="M237">
        <v>6266666.666666667</v>
      </c>
      <c r="N237">
        <v>7031171.1711711697</v>
      </c>
      <c r="O237">
        <v>11418198.198198197</v>
      </c>
      <c r="P237">
        <v>11762657.657657657</v>
      </c>
      <c r="Q237">
        <v>6507657.6576576568</v>
      </c>
      <c r="R237">
        <v>6626396.3963963958</v>
      </c>
      <c r="S237">
        <v>2002</v>
      </c>
      <c r="T237">
        <v>1969</v>
      </c>
    </row>
    <row r="238" spans="1:20" x14ac:dyDescent="0.35">
      <c r="A238" s="7" t="s">
        <v>334</v>
      </c>
      <c r="B238" s="12" t="s">
        <v>60</v>
      </c>
      <c r="C238">
        <v>5165632.1364094261</v>
      </c>
      <c r="D238">
        <v>6162487.8052970152</v>
      </c>
      <c r="E238">
        <v>28489189.189189188</v>
      </c>
      <c r="F238">
        <v>29494594.594594598</v>
      </c>
      <c r="G238">
        <v>1</v>
      </c>
      <c r="H238">
        <v>3</v>
      </c>
      <c r="K238">
        <v>1</v>
      </c>
      <c r="L238">
        <v>5</v>
      </c>
      <c r="M238">
        <v>1367567.567567568</v>
      </c>
      <c r="N238">
        <v>646396.39639639703</v>
      </c>
      <c r="O238">
        <v>2825900.9009008999</v>
      </c>
      <c r="P238">
        <v>3791531.5315315318</v>
      </c>
      <c r="Q238">
        <v>302702.70270270202</v>
      </c>
      <c r="R238">
        <v>399909.90990991</v>
      </c>
      <c r="S238">
        <v>913</v>
      </c>
      <c r="T238">
        <v>917</v>
      </c>
    </row>
    <row r="239" spans="1:20" x14ac:dyDescent="0.35">
      <c r="A239" s="7" t="s">
        <v>335</v>
      </c>
      <c r="B239" s="12" t="s">
        <v>121</v>
      </c>
      <c r="C239">
        <v>50252.884833654003</v>
      </c>
      <c r="D239">
        <v>782359.07291013002</v>
      </c>
      <c r="O239">
        <v>34234.234234233998</v>
      </c>
      <c r="P239">
        <v>46396.396396395998</v>
      </c>
      <c r="T239">
        <v>156</v>
      </c>
    </row>
    <row r="240" spans="1:20" x14ac:dyDescent="0.35">
      <c r="A240" s="7" t="s">
        <v>336</v>
      </c>
      <c r="B240" s="12" t="s">
        <v>121</v>
      </c>
      <c r="C240">
        <v>1197382.6515215449</v>
      </c>
      <c r="D240">
        <v>1196003.5792962441</v>
      </c>
      <c r="G240">
        <v>1</v>
      </c>
      <c r="K240">
        <v>2</v>
      </c>
      <c r="O240">
        <v>330000</v>
      </c>
      <c r="P240">
        <v>256396.39639639601</v>
      </c>
      <c r="S240">
        <v>108</v>
      </c>
      <c r="T240">
        <v>89</v>
      </c>
    </row>
    <row r="241" spans="1:20" x14ac:dyDescent="0.35">
      <c r="A241" s="7" t="s">
        <v>337</v>
      </c>
      <c r="B241" s="12" t="s">
        <v>121</v>
      </c>
      <c r="C241">
        <v>993677.17673930596</v>
      </c>
      <c r="D241">
        <v>851679.42672211397</v>
      </c>
      <c r="G241">
        <v>2</v>
      </c>
      <c r="K241">
        <v>2</v>
      </c>
      <c r="O241">
        <v>72747.747747747999</v>
      </c>
      <c r="P241">
        <v>14414.414414413999</v>
      </c>
      <c r="S241">
        <v>145</v>
      </c>
      <c r="T241">
        <v>132</v>
      </c>
    </row>
    <row r="242" spans="1:20" x14ac:dyDescent="0.35">
      <c r="A242" s="7" t="s">
        <v>338</v>
      </c>
      <c r="B242" s="12" t="s">
        <v>140</v>
      </c>
      <c r="C242">
        <v>366663003.99364102</v>
      </c>
      <c r="D242">
        <v>359170343.75638157</v>
      </c>
      <c r="E242">
        <v>253963.963963969</v>
      </c>
      <c r="F242">
        <v>955855.85585585795</v>
      </c>
      <c r="G242">
        <v>117</v>
      </c>
      <c r="H242">
        <v>49</v>
      </c>
      <c r="K242">
        <v>130</v>
      </c>
      <c r="L242">
        <v>82</v>
      </c>
      <c r="M242">
        <v>38184602.702702701</v>
      </c>
      <c r="N242">
        <v>28210630.630630627</v>
      </c>
      <c r="O242">
        <v>71323502.702702701</v>
      </c>
      <c r="P242">
        <v>70237162.162162155</v>
      </c>
      <c r="Q242">
        <v>30388558.558558561</v>
      </c>
      <c r="R242">
        <v>29504234.234234232</v>
      </c>
      <c r="S242">
        <v>16154</v>
      </c>
      <c r="T242">
        <v>16094</v>
      </c>
    </row>
    <row r="243" spans="1:20" x14ac:dyDescent="0.35">
      <c r="A243" s="7" t="s">
        <v>339</v>
      </c>
      <c r="B243" s="12" t="s">
        <v>121</v>
      </c>
      <c r="C243">
        <v>58446788.302990057</v>
      </c>
      <c r="D243">
        <v>54001434.047827721</v>
      </c>
      <c r="E243">
        <v>3603.603603604</v>
      </c>
      <c r="G243">
        <v>33</v>
      </c>
      <c r="H243">
        <v>16</v>
      </c>
      <c r="K243">
        <v>39</v>
      </c>
      <c r="L243">
        <v>17</v>
      </c>
      <c r="M243">
        <v>3603.603603604</v>
      </c>
      <c r="O243">
        <v>4270261.2612612611</v>
      </c>
      <c r="P243">
        <v>3742396.3963963971</v>
      </c>
      <c r="S243">
        <v>2443</v>
      </c>
      <c r="T243">
        <v>2450</v>
      </c>
    </row>
    <row r="244" spans="1:20" x14ac:dyDescent="0.35">
      <c r="A244" s="7" t="s">
        <v>340</v>
      </c>
      <c r="B244" s="12" t="s">
        <v>140</v>
      </c>
      <c r="C244">
        <v>185502071.57465544</v>
      </c>
      <c r="D244">
        <v>194843199.71304935</v>
      </c>
      <c r="E244">
        <v>130180.18018018</v>
      </c>
      <c r="F244">
        <v>824774.774774777</v>
      </c>
      <c r="G244">
        <v>20</v>
      </c>
      <c r="H244">
        <v>28</v>
      </c>
      <c r="I244">
        <v>2</v>
      </c>
      <c r="K244">
        <v>51</v>
      </c>
      <c r="L244">
        <v>41</v>
      </c>
      <c r="M244">
        <v>34040990.990990989</v>
      </c>
      <c r="N244">
        <v>30407387.387387384</v>
      </c>
      <c r="O244">
        <v>48225333.333333336</v>
      </c>
      <c r="P244">
        <v>56903827.027027026</v>
      </c>
      <c r="Q244">
        <v>28770270.270270269</v>
      </c>
      <c r="R244">
        <v>27768288.288288288</v>
      </c>
      <c r="S244">
        <v>8727</v>
      </c>
      <c r="T244">
        <v>8915</v>
      </c>
    </row>
    <row r="245" spans="1:20" x14ac:dyDescent="0.35">
      <c r="A245" s="7" t="s">
        <v>341</v>
      </c>
      <c r="B245" s="12" t="s">
        <v>134</v>
      </c>
      <c r="C245">
        <v>22317792.359213974</v>
      </c>
      <c r="D245">
        <v>19269925.827849645</v>
      </c>
      <c r="E245">
        <v>900.900900901</v>
      </c>
      <c r="F245">
        <v>40540.540540540998</v>
      </c>
      <c r="G245">
        <v>4</v>
      </c>
      <c r="H245">
        <v>5</v>
      </c>
      <c r="K245">
        <v>4</v>
      </c>
      <c r="L245">
        <v>6</v>
      </c>
      <c r="M245">
        <v>766666.66666666698</v>
      </c>
      <c r="N245">
        <v>1031531.5315315319</v>
      </c>
      <c r="O245">
        <v>1599954.954954955</v>
      </c>
      <c r="P245">
        <v>1781054.054054054</v>
      </c>
      <c r="Q245">
        <v>721261.26126126095</v>
      </c>
      <c r="R245">
        <v>449549.549549549</v>
      </c>
      <c r="S245">
        <v>1348</v>
      </c>
      <c r="T245">
        <v>1265</v>
      </c>
    </row>
    <row r="246" spans="1:20" x14ac:dyDescent="0.35">
      <c r="A246" s="7" t="s">
        <v>342</v>
      </c>
      <c r="B246" s="12" t="s">
        <v>121</v>
      </c>
      <c r="C246">
        <v>1135995.2791269689</v>
      </c>
      <c r="D246">
        <v>278808.94353859202</v>
      </c>
      <c r="G246">
        <v>2</v>
      </c>
      <c r="K246">
        <v>3</v>
      </c>
      <c r="O246">
        <v>512567.56756756798</v>
      </c>
      <c r="P246">
        <v>47072.072072071998</v>
      </c>
      <c r="S246">
        <v>404</v>
      </c>
    </row>
    <row r="247" spans="1:20" x14ac:dyDescent="0.35">
      <c r="A247" s="7" t="s">
        <v>5</v>
      </c>
      <c r="B247" s="12" t="s">
        <v>158</v>
      </c>
      <c r="C247">
        <v>63863532.116336972</v>
      </c>
      <c r="D247">
        <v>75115087.682173982</v>
      </c>
      <c r="E247">
        <v>334228662.16216218</v>
      </c>
      <c r="F247">
        <v>241847329.72972974</v>
      </c>
      <c r="G247">
        <v>7</v>
      </c>
      <c r="H247">
        <v>10</v>
      </c>
      <c r="K247">
        <v>9</v>
      </c>
      <c r="L247">
        <v>11</v>
      </c>
      <c r="M247">
        <v>24995590.090090092</v>
      </c>
      <c r="N247">
        <v>16073873.873873873</v>
      </c>
      <c r="O247">
        <v>28990000</v>
      </c>
      <c r="P247">
        <v>30350819.819819819</v>
      </c>
      <c r="Q247">
        <v>3536126.126126125</v>
      </c>
      <c r="R247">
        <v>5518378.3783783782</v>
      </c>
      <c r="S247">
        <v>3269</v>
      </c>
      <c r="T247">
        <v>3021</v>
      </c>
    </row>
    <row r="248" spans="1:20" x14ac:dyDescent="0.35">
      <c r="A248" s="7" t="s">
        <v>343</v>
      </c>
      <c r="B248" s="12" t="s">
        <v>304</v>
      </c>
      <c r="C248">
        <v>7961935.3857228346</v>
      </c>
      <c r="D248">
        <v>11134087.675745888</v>
      </c>
      <c r="E248">
        <v>900.900900901</v>
      </c>
      <c r="F248">
        <v>900900.90090090095</v>
      </c>
      <c r="G248">
        <v>12</v>
      </c>
      <c r="H248">
        <v>7</v>
      </c>
      <c r="K248">
        <v>13</v>
      </c>
      <c r="L248">
        <v>10</v>
      </c>
      <c r="M248">
        <v>900.900900901</v>
      </c>
      <c r="N248">
        <v>900900.90090090095</v>
      </c>
      <c r="O248">
        <v>1549054.054054054</v>
      </c>
      <c r="P248">
        <v>1884450.4504504499</v>
      </c>
      <c r="Q248">
        <v>241891.89189189201</v>
      </c>
      <c r="R248">
        <v>218018.01801801799</v>
      </c>
      <c r="S248">
        <v>568</v>
      </c>
      <c r="T248">
        <v>549</v>
      </c>
    </row>
    <row r="249" spans="1:20" x14ac:dyDescent="0.35">
      <c r="A249" s="7" t="s">
        <v>344</v>
      </c>
      <c r="B249" s="12" t="s">
        <v>105</v>
      </c>
      <c r="C249">
        <v>144376234.17042822</v>
      </c>
      <c r="D249">
        <v>140865659.24094158</v>
      </c>
      <c r="E249">
        <v>8181981.9819819815</v>
      </c>
      <c r="F249">
        <v>779729.72972973203</v>
      </c>
      <c r="G249">
        <v>30</v>
      </c>
      <c r="H249">
        <v>21</v>
      </c>
      <c r="K249">
        <v>31</v>
      </c>
      <c r="L249">
        <v>26</v>
      </c>
      <c r="M249">
        <v>15008603.603603603</v>
      </c>
      <c r="N249">
        <v>18453063.063063063</v>
      </c>
      <c r="O249">
        <v>36088639.639639638</v>
      </c>
      <c r="P249">
        <v>34791252.252252251</v>
      </c>
      <c r="Q249">
        <v>15321081.081081085</v>
      </c>
      <c r="R249">
        <v>18084324.324324328</v>
      </c>
      <c r="S249">
        <v>5892</v>
      </c>
      <c r="T249">
        <v>5770</v>
      </c>
    </row>
    <row r="250" spans="1:20" x14ac:dyDescent="0.35">
      <c r="A250" s="7" t="s">
        <v>345</v>
      </c>
      <c r="B250" s="12" t="s">
        <v>87</v>
      </c>
      <c r="C250">
        <v>44697553.731428117</v>
      </c>
      <c r="D250">
        <v>45130202.128082678</v>
      </c>
      <c r="E250">
        <v>293693.69369369501</v>
      </c>
      <c r="F250">
        <v>67567.567567569</v>
      </c>
      <c r="G250">
        <v>23</v>
      </c>
      <c r="H250">
        <v>16</v>
      </c>
      <c r="K250">
        <v>29</v>
      </c>
      <c r="L250">
        <v>19</v>
      </c>
      <c r="M250">
        <v>11329729.729729732</v>
      </c>
      <c r="N250">
        <v>13599099.0990991</v>
      </c>
      <c r="O250">
        <v>10487770.270270269</v>
      </c>
      <c r="P250">
        <v>11722520.72072072</v>
      </c>
      <c r="Q250">
        <v>6502612.6126126116</v>
      </c>
      <c r="R250">
        <v>8100313.5135135129</v>
      </c>
      <c r="S250">
        <v>2171</v>
      </c>
      <c r="T250">
        <v>2391</v>
      </c>
    </row>
    <row r="251" spans="1:20" x14ac:dyDescent="0.35">
      <c r="A251" s="7" t="s">
        <v>346</v>
      </c>
      <c r="B251" s="12" t="s">
        <v>87</v>
      </c>
      <c r="C251">
        <v>136628216.40002882</v>
      </c>
      <c r="D251">
        <v>124822887.85774399</v>
      </c>
      <c r="E251">
        <v>135135.135135135</v>
      </c>
      <c r="F251">
        <v>1041441.441441445</v>
      </c>
      <c r="G251">
        <v>89</v>
      </c>
      <c r="H251">
        <v>96</v>
      </c>
      <c r="I251">
        <v>1</v>
      </c>
      <c r="K251">
        <v>116</v>
      </c>
      <c r="L251">
        <v>115</v>
      </c>
      <c r="M251">
        <v>13210810.810810812</v>
      </c>
      <c r="N251">
        <v>11516216.216216216</v>
      </c>
      <c r="O251">
        <v>20480716.216216218</v>
      </c>
      <c r="P251">
        <v>21930576.576576576</v>
      </c>
      <c r="Q251">
        <v>10517567.567567568</v>
      </c>
      <c r="R251">
        <v>9296486.4864864871</v>
      </c>
      <c r="S251">
        <v>7008</v>
      </c>
      <c r="T251">
        <v>6341</v>
      </c>
    </row>
    <row r="252" spans="1:20" x14ac:dyDescent="0.35">
      <c r="A252" s="7" t="s">
        <v>347</v>
      </c>
      <c r="B252" s="12" t="s">
        <v>87</v>
      </c>
      <c r="C252">
        <v>3378677.473693273</v>
      </c>
      <c r="D252">
        <v>3870220.5450949501</v>
      </c>
      <c r="G252">
        <v>1</v>
      </c>
      <c r="H252">
        <v>9</v>
      </c>
      <c r="K252">
        <v>5</v>
      </c>
      <c r="L252">
        <v>11</v>
      </c>
      <c r="O252">
        <v>2110990.9909909922</v>
      </c>
      <c r="P252">
        <v>1643054.054054054</v>
      </c>
      <c r="S252">
        <v>762</v>
      </c>
      <c r="T252">
        <v>807</v>
      </c>
    </row>
    <row r="253" spans="1:20" x14ac:dyDescent="0.35">
      <c r="A253" s="7" t="s">
        <v>348</v>
      </c>
      <c r="B253" s="12" t="s">
        <v>87</v>
      </c>
      <c r="C253">
        <v>1214905.2745264459</v>
      </c>
      <c r="D253">
        <v>1828960.429528028</v>
      </c>
      <c r="H253">
        <v>1</v>
      </c>
      <c r="L253">
        <v>1</v>
      </c>
      <c r="O253">
        <v>205765.765765766</v>
      </c>
      <c r="P253">
        <v>932477.47747747705</v>
      </c>
      <c r="S253">
        <v>182</v>
      </c>
      <c r="T253">
        <v>184</v>
      </c>
    </row>
    <row r="254" spans="1:20" x14ac:dyDescent="0.35">
      <c r="A254" s="7" t="s">
        <v>349</v>
      </c>
      <c r="B254" s="12" t="s">
        <v>87</v>
      </c>
      <c r="C254">
        <v>1446732.4919839411</v>
      </c>
      <c r="D254">
        <v>1500388.491794552</v>
      </c>
      <c r="G254">
        <v>1</v>
      </c>
      <c r="H254">
        <v>2</v>
      </c>
      <c r="K254">
        <v>2</v>
      </c>
      <c r="L254">
        <v>5</v>
      </c>
      <c r="O254">
        <v>563603.60360360297</v>
      </c>
      <c r="P254">
        <v>874648.64864864806</v>
      </c>
      <c r="S254">
        <v>620</v>
      </c>
      <c r="T254">
        <v>580</v>
      </c>
    </row>
    <row r="255" spans="1:20" x14ac:dyDescent="0.35">
      <c r="A255" s="7" t="s">
        <v>350</v>
      </c>
      <c r="B255" s="12" t="s">
        <v>87</v>
      </c>
      <c r="C255">
        <v>38950997.637478605</v>
      </c>
      <c r="D255">
        <v>39331873.041908056</v>
      </c>
      <c r="E255">
        <v>4504.5045045050001</v>
      </c>
      <c r="F255">
        <v>81981.981981983001</v>
      </c>
      <c r="G255">
        <v>18</v>
      </c>
      <c r="H255">
        <v>11</v>
      </c>
      <c r="K255">
        <v>21</v>
      </c>
      <c r="L255">
        <v>13</v>
      </c>
      <c r="M255">
        <v>3618018.0180180189</v>
      </c>
      <c r="N255">
        <v>3745945.9459459479</v>
      </c>
      <c r="O255">
        <v>7828333.333333334</v>
      </c>
      <c r="P255">
        <v>7554414.4144144142</v>
      </c>
      <c r="Q255">
        <v>3066486.4864864871</v>
      </c>
      <c r="R255">
        <v>3049099.0990991001</v>
      </c>
      <c r="S255">
        <v>1676</v>
      </c>
      <c r="T255">
        <v>2014</v>
      </c>
    </row>
    <row r="256" spans="1:20" x14ac:dyDescent="0.35">
      <c r="A256" s="7" t="s">
        <v>351</v>
      </c>
      <c r="B256" s="12" t="s">
        <v>50</v>
      </c>
      <c r="C256">
        <v>95848335.426667318</v>
      </c>
      <c r="D256">
        <v>108971149.13780193</v>
      </c>
      <c r="E256">
        <v>152252.25225225301</v>
      </c>
      <c r="F256">
        <v>1434234.2342342371</v>
      </c>
      <c r="G256">
        <v>14</v>
      </c>
      <c r="H256">
        <v>41</v>
      </c>
      <c r="K256">
        <v>14</v>
      </c>
      <c r="L256">
        <v>46</v>
      </c>
      <c r="M256">
        <v>15654054.054054055</v>
      </c>
      <c r="N256">
        <v>11394594.594594596</v>
      </c>
      <c r="O256">
        <v>37181666.666666664</v>
      </c>
      <c r="P256">
        <v>40612076.576576576</v>
      </c>
      <c r="Q256">
        <v>14642972.972972974</v>
      </c>
      <c r="R256">
        <v>10753063.063063063</v>
      </c>
      <c r="S256">
        <v>5527</v>
      </c>
      <c r="T256">
        <v>5656</v>
      </c>
    </row>
    <row r="257" spans="1:20" x14ac:dyDescent="0.35">
      <c r="A257" s="7" t="s">
        <v>352</v>
      </c>
      <c r="B257" s="12" t="s">
        <v>123</v>
      </c>
      <c r="C257">
        <v>586640.02754543896</v>
      </c>
      <c r="D257">
        <v>617396.87922820903</v>
      </c>
      <c r="H257">
        <v>1</v>
      </c>
      <c r="L257">
        <v>1</v>
      </c>
      <c r="O257">
        <v>216981.98198198201</v>
      </c>
      <c r="P257">
        <v>257702.70270270301</v>
      </c>
      <c r="S257">
        <v>110</v>
      </c>
      <c r="T257">
        <v>112</v>
      </c>
    </row>
    <row r="258" spans="1:20" x14ac:dyDescent="0.35">
      <c r="A258" s="7" t="s">
        <v>353</v>
      </c>
      <c r="B258" s="12" t="s">
        <v>354</v>
      </c>
      <c r="C258">
        <v>187498445.01401266</v>
      </c>
      <c r="D258">
        <v>176943477.58728552</v>
      </c>
      <c r="E258">
        <v>74362313.51351352</v>
      </c>
      <c r="F258">
        <v>173479659.45945945</v>
      </c>
      <c r="G258">
        <v>61</v>
      </c>
      <c r="H258">
        <v>83</v>
      </c>
      <c r="K258">
        <v>162</v>
      </c>
      <c r="L258">
        <v>393</v>
      </c>
      <c r="M258">
        <v>91066306.306306303</v>
      </c>
      <c r="N258">
        <v>119750450.45045045</v>
      </c>
      <c r="O258">
        <v>108805583.78378378</v>
      </c>
      <c r="P258">
        <v>105946576.57657658</v>
      </c>
      <c r="Q258">
        <v>83250630.630630627</v>
      </c>
      <c r="R258">
        <v>123025225.22522521</v>
      </c>
      <c r="S258">
        <v>9956</v>
      </c>
      <c r="T258">
        <v>9639</v>
      </c>
    </row>
    <row r="259" spans="1:20" x14ac:dyDescent="0.35">
      <c r="A259" s="7" t="s">
        <v>355</v>
      </c>
      <c r="B259" s="12" t="s">
        <v>48</v>
      </c>
      <c r="C259">
        <v>129300146.45591508</v>
      </c>
      <c r="D259">
        <v>122093969.19228378</v>
      </c>
      <c r="E259">
        <v>204504.50450450499</v>
      </c>
      <c r="F259">
        <v>396396.39639639598</v>
      </c>
      <c r="G259">
        <v>26</v>
      </c>
      <c r="H259">
        <v>10</v>
      </c>
      <c r="K259">
        <v>31</v>
      </c>
      <c r="L259">
        <v>12</v>
      </c>
      <c r="M259">
        <v>463963.96396396402</v>
      </c>
      <c r="N259">
        <v>405405.40540540498</v>
      </c>
      <c r="O259">
        <v>8576918.9189189188</v>
      </c>
      <c r="P259">
        <v>9179135.1351351365</v>
      </c>
      <c r="Q259">
        <v>395675.67567567597</v>
      </c>
      <c r="R259">
        <v>272522.52252252301</v>
      </c>
      <c r="S259">
        <v>5881</v>
      </c>
      <c r="T259">
        <v>5573</v>
      </c>
    </row>
    <row r="260" spans="1:20" x14ac:dyDescent="0.35">
      <c r="A260" s="7" t="s">
        <v>356</v>
      </c>
      <c r="B260" s="12" t="s">
        <v>123</v>
      </c>
      <c r="C260">
        <v>139102591.25450876</v>
      </c>
      <c r="D260">
        <v>131035444.19427052</v>
      </c>
      <c r="E260">
        <v>34234.234234235002</v>
      </c>
      <c r="F260">
        <v>61261.261261262</v>
      </c>
      <c r="G260">
        <v>30</v>
      </c>
      <c r="H260">
        <v>23</v>
      </c>
      <c r="K260">
        <v>33</v>
      </c>
      <c r="L260">
        <v>24</v>
      </c>
      <c r="M260">
        <v>5122162.1621621624</v>
      </c>
      <c r="N260">
        <v>7321171.1711711697</v>
      </c>
      <c r="O260">
        <v>31431612.612612616</v>
      </c>
      <c r="P260">
        <v>30516072.072072074</v>
      </c>
      <c r="Q260">
        <v>5010990.9909909908</v>
      </c>
      <c r="R260">
        <v>7202432.4324324317</v>
      </c>
      <c r="S260">
        <v>5888</v>
      </c>
      <c r="T260">
        <v>5498</v>
      </c>
    </row>
    <row r="261" spans="1:20" x14ac:dyDescent="0.35">
      <c r="A261" s="7" t="s">
        <v>357</v>
      </c>
      <c r="B261" s="12" t="s">
        <v>62</v>
      </c>
      <c r="C261">
        <v>79147359.338361457</v>
      </c>
      <c r="D261">
        <v>77504174.074343085</v>
      </c>
      <c r="E261">
        <v>129727099.0990991</v>
      </c>
      <c r="F261">
        <v>225758124.32432431</v>
      </c>
      <c r="G261">
        <v>7</v>
      </c>
      <c r="H261">
        <v>7</v>
      </c>
      <c r="K261">
        <v>8</v>
      </c>
      <c r="L261">
        <v>7</v>
      </c>
      <c r="M261">
        <v>27227779.27927928</v>
      </c>
      <c r="N261">
        <v>33428261.261261258</v>
      </c>
      <c r="O261">
        <v>20364324.324324325</v>
      </c>
      <c r="P261">
        <v>20690945.945945948</v>
      </c>
      <c r="Q261">
        <v>8518198.1981982011</v>
      </c>
      <c r="R261">
        <v>13653603.603603603</v>
      </c>
      <c r="S261">
        <v>3962</v>
      </c>
      <c r="T261">
        <v>4800</v>
      </c>
    </row>
    <row r="262" spans="1:20" x14ac:dyDescent="0.35">
      <c r="A262" s="7" t="s">
        <v>358</v>
      </c>
      <c r="B262" s="12" t="s">
        <v>315</v>
      </c>
      <c r="C262">
        <v>4043067.2947999821</v>
      </c>
      <c r="D262">
        <v>258400.44733182801</v>
      </c>
      <c r="G262">
        <v>9</v>
      </c>
      <c r="H262">
        <v>1</v>
      </c>
      <c r="K262">
        <v>9</v>
      </c>
      <c r="L262">
        <v>1</v>
      </c>
      <c r="O262">
        <v>2046441.4414414419</v>
      </c>
      <c r="P262">
        <v>157747.74774774801</v>
      </c>
      <c r="S262">
        <v>608</v>
      </c>
      <c r="T262">
        <v>205</v>
      </c>
    </row>
    <row r="263" spans="1:20" x14ac:dyDescent="0.35">
      <c r="A263" s="7" t="s">
        <v>359</v>
      </c>
      <c r="B263" s="12" t="s">
        <v>315</v>
      </c>
      <c r="C263">
        <v>90006676.569953233</v>
      </c>
      <c r="D263">
        <v>71840860.272691756</v>
      </c>
      <c r="E263">
        <v>62162.162162162</v>
      </c>
      <c r="F263">
        <v>227927.92792792901</v>
      </c>
      <c r="G263">
        <v>15</v>
      </c>
      <c r="H263">
        <v>19</v>
      </c>
      <c r="K263">
        <v>18</v>
      </c>
      <c r="L263">
        <v>27</v>
      </c>
      <c r="M263">
        <v>14263243.243243244</v>
      </c>
      <c r="N263">
        <v>5408108.1081081079</v>
      </c>
      <c r="O263">
        <v>32385630.630630631</v>
      </c>
      <c r="P263">
        <v>28184891.891891893</v>
      </c>
      <c r="Q263">
        <v>20087747.747747749</v>
      </c>
      <c r="R263">
        <v>11378828.828828828</v>
      </c>
      <c r="S263">
        <v>3148</v>
      </c>
      <c r="T263">
        <v>3074</v>
      </c>
    </row>
    <row r="264" spans="1:20" x14ac:dyDescent="0.35">
      <c r="A264" s="7" t="s">
        <v>360</v>
      </c>
      <c r="B264" s="12" t="s">
        <v>92</v>
      </c>
      <c r="C264">
        <v>143855202.55342978</v>
      </c>
      <c r="D264">
        <v>141092727.26619148</v>
      </c>
      <c r="E264">
        <v>1274144.1441441439</v>
      </c>
      <c r="F264">
        <v>3416216.2162162168</v>
      </c>
      <c r="G264">
        <v>34</v>
      </c>
      <c r="H264">
        <v>82</v>
      </c>
      <c r="K264">
        <v>40</v>
      </c>
      <c r="L264">
        <v>178</v>
      </c>
      <c r="M264">
        <v>19291801.801801804</v>
      </c>
      <c r="N264">
        <v>32593693.693693697</v>
      </c>
      <c r="O264">
        <v>40926207.20720721</v>
      </c>
      <c r="P264">
        <v>43423088.288288288</v>
      </c>
      <c r="Q264">
        <v>20779279.27927928</v>
      </c>
      <c r="R264">
        <v>31546709.909909911</v>
      </c>
      <c r="S264">
        <v>6817</v>
      </c>
      <c r="T264">
        <v>6750</v>
      </c>
    </row>
    <row r="265" spans="1:20" x14ac:dyDescent="0.35">
      <c r="A265" s="7" t="s">
        <v>361</v>
      </c>
      <c r="B265" s="12" t="s">
        <v>58</v>
      </c>
      <c r="C265">
        <v>294509880.60240459</v>
      </c>
      <c r="D265">
        <v>276676916.3208304</v>
      </c>
      <c r="E265">
        <v>1828828.8288288291</v>
      </c>
      <c r="F265">
        <v>14593693.693693697</v>
      </c>
      <c r="G265">
        <v>31</v>
      </c>
      <c r="H265">
        <v>45</v>
      </c>
      <c r="K265">
        <v>33</v>
      </c>
      <c r="L265">
        <v>53</v>
      </c>
      <c r="M265">
        <v>15612612.612612613</v>
      </c>
      <c r="N265">
        <v>13265765.765765768</v>
      </c>
      <c r="O265">
        <v>43218288.288288288</v>
      </c>
      <c r="P265">
        <v>42302220.720720723</v>
      </c>
      <c r="Q265">
        <v>9528558.5585585609</v>
      </c>
      <c r="R265">
        <v>9639549.549549548</v>
      </c>
      <c r="S265">
        <v>12826</v>
      </c>
      <c r="T265">
        <v>12742</v>
      </c>
    </row>
    <row r="266" spans="1:20" x14ac:dyDescent="0.35">
      <c r="A266" s="7" t="s">
        <v>362</v>
      </c>
      <c r="B266" s="12" t="s">
        <v>48</v>
      </c>
      <c r="C266">
        <v>102962380.00162265</v>
      </c>
      <c r="D266">
        <v>100023018.44993514</v>
      </c>
      <c r="E266">
        <v>145945.945945946</v>
      </c>
      <c r="F266">
        <v>47747.747747747999</v>
      </c>
      <c r="G266">
        <v>2</v>
      </c>
      <c r="H266">
        <v>3</v>
      </c>
      <c r="K266">
        <v>2</v>
      </c>
      <c r="L266">
        <v>3</v>
      </c>
      <c r="M266">
        <v>3188108.1081081089</v>
      </c>
      <c r="N266">
        <v>9156036.0360360369</v>
      </c>
      <c r="O266">
        <v>16997522.522522524</v>
      </c>
      <c r="P266">
        <v>15606495.495495494</v>
      </c>
      <c r="Q266">
        <v>4666666.6666666679</v>
      </c>
      <c r="R266">
        <v>6668018.0180180166</v>
      </c>
      <c r="S266">
        <v>3797</v>
      </c>
      <c r="T266">
        <v>3799</v>
      </c>
    </row>
    <row r="267" spans="1:20" x14ac:dyDescent="0.35">
      <c r="A267" s="7" t="s">
        <v>363</v>
      </c>
      <c r="B267" s="12" t="s">
        <v>52</v>
      </c>
      <c r="C267">
        <v>41126049.613355257</v>
      </c>
      <c r="D267">
        <v>41446422.693727307</v>
      </c>
      <c r="E267">
        <v>170360.360360361</v>
      </c>
      <c r="F267">
        <v>82882.882882883001</v>
      </c>
      <c r="G267">
        <v>3</v>
      </c>
      <c r="H267">
        <v>11</v>
      </c>
      <c r="K267">
        <v>4</v>
      </c>
      <c r="L267">
        <v>12</v>
      </c>
      <c r="M267">
        <v>1512702.702702702</v>
      </c>
      <c r="N267">
        <v>758558.55855855905</v>
      </c>
      <c r="O267">
        <v>18890405.40540541</v>
      </c>
      <c r="P267">
        <v>20027801.801801801</v>
      </c>
      <c r="Q267">
        <v>978828.82882882794</v>
      </c>
      <c r="R267">
        <v>868738.738738738</v>
      </c>
      <c r="S267">
        <v>2321</v>
      </c>
      <c r="T267">
        <v>2372</v>
      </c>
    </row>
    <row r="268" spans="1:20" x14ac:dyDescent="0.35">
      <c r="A268" s="7" t="s">
        <v>364</v>
      </c>
      <c r="B268" s="12" t="s">
        <v>52</v>
      </c>
      <c r="C268">
        <v>32666332.731023096</v>
      </c>
      <c r="D268">
        <v>32319163.123490151</v>
      </c>
      <c r="E268">
        <v>575225.22522522497</v>
      </c>
      <c r="F268">
        <v>1520720.7207207209</v>
      </c>
      <c r="G268">
        <v>6</v>
      </c>
      <c r="H268">
        <v>21</v>
      </c>
      <c r="K268">
        <v>10</v>
      </c>
      <c r="L268">
        <v>76</v>
      </c>
      <c r="M268">
        <v>2723873.8738738741</v>
      </c>
      <c r="N268">
        <v>3025225.2252252251</v>
      </c>
      <c r="O268">
        <v>17124126.126126125</v>
      </c>
      <c r="P268">
        <v>17390387.387387387</v>
      </c>
      <c r="Q268">
        <v>2997837.8378378381</v>
      </c>
      <c r="R268">
        <v>8405675.6756756771</v>
      </c>
      <c r="S268">
        <v>2458</v>
      </c>
      <c r="T268">
        <v>2342</v>
      </c>
    </row>
    <row r="269" spans="1:20" x14ac:dyDescent="0.35">
      <c r="A269" s="7" t="s">
        <v>365</v>
      </c>
      <c r="B269" s="12" t="s">
        <v>52</v>
      </c>
      <c r="C269">
        <v>348917491.75903165</v>
      </c>
      <c r="D269">
        <v>369791034.94289577</v>
      </c>
      <c r="E269">
        <v>817267.56756757095</v>
      </c>
      <c r="F269">
        <v>160197706.3063063</v>
      </c>
      <c r="G269">
        <v>73</v>
      </c>
      <c r="H269">
        <v>132</v>
      </c>
      <c r="K269">
        <v>97</v>
      </c>
      <c r="L269">
        <v>203</v>
      </c>
      <c r="M269">
        <v>15336666.666666662</v>
      </c>
      <c r="N269">
        <v>16353153.153153161</v>
      </c>
      <c r="O269">
        <v>119081554.05405405</v>
      </c>
      <c r="P269">
        <v>133967095.49549548</v>
      </c>
      <c r="Q269">
        <v>18350360.360360354</v>
      </c>
      <c r="R269">
        <v>38738108.108108103</v>
      </c>
      <c r="S269">
        <v>20253</v>
      </c>
      <c r="T269">
        <v>22028</v>
      </c>
    </row>
    <row r="270" spans="1:20" x14ac:dyDescent="0.35">
      <c r="A270" s="7" t="s">
        <v>366</v>
      </c>
      <c r="B270" s="12" t="s">
        <v>293</v>
      </c>
      <c r="C270">
        <v>216976685.05303186</v>
      </c>
      <c r="D270">
        <v>202773278.20854911</v>
      </c>
      <c r="E270">
        <v>39519713.51351352</v>
      </c>
      <c r="F270">
        <v>19704665.765765768</v>
      </c>
      <c r="G270">
        <v>40</v>
      </c>
      <c r="H270">
        <v>48</v>
      </c>
      <c r="K270">
        <v>51</v>
      </c>
      <c r="L270">
        <v>88</v>
      </c>
      <c r="M270">
        <v>32512612.612612616</v>
      </c>
      <c r="N270">
        <v>17796756.756756753</v>
      </c>
      <c r="O270">
        <v>64568153.153153151</v>
      </c>
      <c r="P270">
        <v>64681689.189189181</v>
      </c>
      <c r="Q270">
        <v>19444774.774774775</v>
      </c>
      <c r="R270">
        <v>16197297.297297293</v>
      </c>
      <c r="S270">
        <v>11003</v>
      </c>
      <c r="T270">
        <v>10796</v>
      </c>
    </row>
    <row r="271" spans="1:20" x14ac:dyDescent="0.35">
      <c r="A271" s="7" t="s">
        <v>367</v>
      </c>
      <c r="B271" s="12" t="s">
        <v>368</v>
      </c>
      <c r="C271">
        <v>95669062.077878222</v>
      </c>
      <c r="D271">
        <v>85843599.598847389</v>
      </c>
      <c r="E271">
        <v>597477.47747747798</v>
      </c>
      <c r="F271">
        <v>445045.04504504701</v>
      </c>
      <c r="G271">
        <v>17</v>
      </c>
      <c r="H271">
        <v>17</v>
      </c>
      <c r="K271">
        <v>19</v>
      </c>
      <c r="L271">
        <v>19</v>
      </c>
      <c r="M271">
        <v>14151531.53153153</v>
      </c>
      <c r="N271">
        <v>11024864.86486486</v>
      </c>
      <c r="O271">
        <v>37718511.711711712</v>
      </c>
      <c r="P271">
        <v>34093756.75675676</v>
      </c>
      <c r="Q271">
        <v>13610900.9009009</v>
      </c>
      <c r="R271">
        <v>13359819.819819815</v>
      </c>
      <c r="S271">
        <v>4033</v>
      </c>
      <c r="T271">
        <v>3867</v>
      </c>
    </row>
    <row r="272" spans="1:20" x14ac:dyDescent="0.35">
      <c r="A272" s="7" t="s">
        <v>369</v>
      </c>
      <c r="B272" s="12" t="s">
        <v>70</v>
      </c>
      <c r="C272">
        <v>25447311.547226176</v>
      </c>
      <c r="D272">
        <v>25603081.362858079</v>
      </c>
      <c r="E272">
        <v>18918.918918919</v>
      </c>
      <c r="F272">
        <v>1690090.0900900899</v>
      </c>
      <c r="G272">
        <v>4</v>
      </c>
      <c r="H272">
        <v>15</v>
      </c>
      <c r="K272">
        <v>6</v>
      </c>
      <c r="L272">
        <v>29</v>
      </c>
      <c r="M272">
        <v>3894594.594594596</v>
      </c>
      <c r="N272">
        <v>6742342.3423423432</v>
      </c>
      <c r="O272">
        <v>8327342.3423423423</v>
      </c>
      <c r="P272">
        <v>8741954.9549549539</v>
      </c>
      <c r="Q272">
        <v>4425945.9459459437</v>
      </c>
      <c r="R272">
        <v>5330810.8108108118</v>
      </c>
      <c r="S272">
        <v>1109</v>
      </c>
      <c r="T272">
        <v>1218</v>
      </c>
    </row>
    <row r="273" spans="1:20" x14ac:dyDescent="0.35">
      <c r="A273" s="7" t="s">
        <v>370</v>
      </c>
      <c r="B273" s="12" t="s">
        <v>50</v>
      </c>
      <c r="C273">
        <v>54446203.084760994</v>
      </c>
      <c r="D273">
        <v>54837513.722386703</v>
      </c>
      <c r="E273">
        <v>335135.13513513497</v>
      </c>
      <c r="F273">
        <v>609009.00900901097</v>
      </c>
      <c r="G273">
        <v>4</v>
      </c>
      <c r="H273">
        <v>8</v>
      </c>
      <c r="K273">
        <v>5</v>
      </c>
      <c r="L273">
        <v>15</v>
      </c>
      <c r="M273">
        <v>3312162.1621621619</v>
      </c>
      <c r="N273">
        <v>3066756.7567567569</v>
      </c>
      <c r="O273">
        <v>23341171.171171173</v>
      </c>
      <c r="P273">
        <v>23162297.297297295</v>
      </c>
      <c r="Q273">
        <v>4061261.261261262</v>
      </c>
      <c r="R273">
        <v>3309369.3693693699</v>
      </c>
      <c r="S273">
        <v>2706</v>
      </c>
      <c r="T273">
        <v>2716</v>
      </c>
    </row>
    <row r="274" spans="1:20" x14ac:dyDescent="0.35">
      <c r="A274" s="7" t="s">
        <v>371</v>
      </c>
      <c r="B274" s="12" t="s">
        <v>121</v>
      </c>
      <c r="C274">
        <v>56063410.026725717</v>
      </c>
      <c r="D274">
        <v>53829978.104234256</v>
      </c>
      <c r="E274">
        <v>45045.045045047002</v>
      </c>
      <c r="F274">
        <v>404504.50450450601</v>
      </c>
      <c r="G274">
        <v>13</v>
      </c>
      <c r="H274">
        <v>16</v>
      </c>
      <c r="K274">
        <v>17</v>
      </c>
      <c r="L274">
        <v>22</v>
      </c>
      <c r="M274">
        <v>252252.25225225399</v>
      </c>
      <c r="N274">
        <v>1851351.3513513519</v>
      </c>
      <c r="O274">
        <v>5208738.738738738</v>
      </c>
      <c r="P274">
        <v>5899837.8378378376</v>
      </c>
      <c r="Q274">
        <v>486666.66666666698</v>
      </c>
      <c r="R274">
        <v>1483783.7837837839</v>
      </c>
      <c r="S274">
        <v>2756</v>
      </c>
      <c r="T274">
        <v>2815</v>
      </c>
    </row>
    <row r="275" spans="1:20" x14ac:dyDescent="0.35">
      <c r="A275" s="7" t="s">
        <v>372</v>
      </c>
      <c r="B275" s="12" t="s">
        <v>373</v>
      </c>
      <c r="C275">
        <v>145716646.54155418</v>
      </c>
      <c r="D275">
        <v>116097664.12826091</v>
      </c>
      <c r="E275">
        <v>20425308.108108111</v>
      </c>
      <c r="F275">
        <v>1913917.11711712</v>
      </c>
      <c r="G275">
        <v>248</v>
      </c>
      <c r="H275">
        <v>19</v>
      </c>
      <c r="I275">
        <v>1</v>
      </c>
      <c r="K275">
        <v>263</v>
      </c>
      <c r="L275">
        <v>26</v>
      </c>
      <c r="M275">
        <v>16107837.837837839</v>
      </c>
      <c r="N275">
        <v>13173783.783783784</v>
      </c>
      <c r="O275">
        <v>59736200.900900893</v>
      </c>
      <c r="P275">
        <v>43733288.288288288</v>
      </c>
      <c r="Q275">
        <v>23033466.666666668</v>
      </c>
      <c r="R275">
        <v>14465765.765765768</v>
      </c>
      <c r="S275">
        <v>10328</v>
      </c>
      <c r="T275">
        <v>9793</v>
      </c>
    </row>
    <row r="276" spans="1:20" x14ac:dyDescent="0.35">
      <c r="A276" s="7" t="s">
        <v>374</v>
      </c>
      <c r="B276" s="12" t="s">
        <v>66</v>
      </c>
      <c r="C276">
        <v>88032598.392940581</v>
      </c>
      <c r="D276">
        <v>85735325.098073646</v>
      </c>
      <c r="E276">
        <v>54954.954954957</v>
      </c>
      <c r="F276">
        <v>2450450.450450452</v>
      </c>
      <c r="G276">
        <v>37</v>
      </c>
      <c r="H276">
        <v>21</v>
      </c>
      <c r="K276">
        <v>45</v>
      </c>
      <c r="L276">
        <v>28</v>
      </c>
      <c r="M276">
        <v>13243243.243243244</v>
      </c>
      <c r="N276">
        <v>28062162.162162162</v>
      </c>
      <c r="O276">
        <v>33160738.738738734</v>
      </c>
      <c r="P276">
        <v>31059099.0990991</v>
      </c>
      <c r="Q276">
        <v>10210270.270270269</v>
      </c>
      <c r="R276">
        <v>29347567.567567568</v>
      </c>
      <c r="S276">
        <v>7127</v>
      </c>
      <c r="T276">
        <v>7692</v>
      </c>
    </row>
    <row r="277" spans="1:20" x14ac:dyDescent="0.35">
      <c r="A277" s="7" t="s">
        <v>375</v>
      </c>
      <c r="B277" s="12" t="s">
        <v>354</v>
      </c>
      <c r="C277">
        <v>135036964.23301676</v>
      </c>
      <c r="D277">
        <v>132581489.70155473</v>
      </c>
      <c r="E277">
        <v>21432882.882882889</v>
      </c>
      <c r="F277">
        <v>5519819.819819821</v>
      </c>
      <c r="G277">
        <v>236</v>
      </c>
      <c r="H277">
        <v>248</v>
      </c>
      <c r="K277">
        <v>241</v>
      </c>
      <c r="L277">
        <v>251</v>
      </c>
      <c r="M277">
        <v>30656936.936936934</v>
      </c>
      <c r="N277">
        <v>30022657.657657657</v>
      </c>
      <c r="O277">
        <v>80744000</v>
      </c>
      <c r="P277">
        <v>83043153.153153151</v>
      </c>
      <c r="Q277">
        <v>28389009.009009007</v>
      </c>
      <c r="R277">
        <v>26218738.738738734</v>
      </c>
      <c r="S277">
        <v>7095</v>
      </c>
      <c r="T277">
        <v>6784</v>
      </c>
    </row>
    <row r="278" spans="1:20" x14ac:dyDescent="0.35">
      <c r="A278" s="7" t="s">
        <v>376</v>
      </c>
      <c r="B278" s="12" t="s">
        <v>66</v>
      </c>
      <c r="C278">
        <v>48449841.805868685</v>
      </c>
      <c r="D278">
        <v>51092701.020343371</v>
      </c>
      <c r="E278">
        <v>17117.117117117999</v>
      </c>
      <c r="F278">
        <v>318918.91891891998</v>
      </c>
      <c r="G278">
        <v>13</v>
      </c>
      <c r="H278">
        <v>21</v>
      </c>
      <c r="K278">
        <v>17</v>
      </c>
      <c r="L278">
        <v>28</v>
      </c>
      <c r="M278">
        <v>3060270.270270267</v>
      </c>
      <c r="N278">
        <v>2245045.0450450471</v>
      </c>
      <c r="O278">
        <v>21634891.891891893</v>
      </c>
      <c r="P278">
        <v>24432725.225225225</v>
      </c>
      <c r="Q278">
        <v>5336036.0360360323</v>
      </c>
      <c r="R278">
        <v>3542252.2522522542</v>
      </c>
      <c r="S278">
        <v>4826</v>
      </c>
      <c r="T278">
        <v>5042</v>
      </c>
    </row>
    <row r="279" spans="1:20" x14ac:dyDescent="0.35">
      <c r="A279" s="7" t="s">
        <v>377</v>
      </c>
      <c r="B279" s="12" t="s">
        <v>260</v>
      </c>
      <c r="C279">
        <v>46867308.669039793</v>
      </c>
      <c r="D279">
        <v>43760165.426016465</v>
      </c>
      <c r="E279">
        <v>180180.18018018</v>
      </c>
      <c r="F279">
        <v>13513.513513514001</v>
      </c>
      <c r="G279">
        <v>2</v>
      </c>
      <c r="H279">
        <v>3</v>
      </c>
      <c r="K279">
        <v>2</v>
      </c>
      <c r="L279">
        <v>3</v>
      </c>
      <c r="M279">
        <v>270270.27027027</v>
      </c>
      <c r="N279">
        <v>554054.05405405397</v>
      </c>
      <c r="O279">
        <v>7003963.963963964</v>
      </c>
      <c r="P279">
        <v>7646207.2072072066</v>
      </c>
      <c r="Q279">
        <v>4566666.666666667</v>
      </c>
      <c r="R279">
        <v>451351.35135135101</v>
      </c>
      <c r="S279">
        <v>1637</v>
      </c>
      <c r="T279">
        <v>1769</v>
      </c>
    </row>
    <row r="280" spans="1:20" x14ac:dyDescent="0.35">
      <c r="A280" s="7" t="s">
        <v>378</v>
      </c>
      <c r="B280" s="12" t="s">
        <v>354</v>
      </c>
      <c r="C280">
        <v>113217312.4220518</v>
      </c>
      <c r="D280">
        <v>108833787.67512259</v>
      </c>
      <c r="E280">
        <v>1116666.6666666679</v>
      </c>
      <c r="F280">
        <v>1755855.8558558549</v>
      </c>
      <c r="G280">
        <v>20</v>
      </c>
      <c r="H280">
        <v>25</v>
      </c>
      <c r="K280">
        <v>23</v>
      </c>
      <c r="L280">
        <v>31</v>
      </c>
      <c r="M280">
        <v>26986486.486486483</v>
      </c>
      <c r="N280">
        <v>19944954.954954956</v>
      </c>
      <c r="O280">
        <v>58484279.279279277</v>
      </c>
      <c r="P280">
        <v>61107475.675675675</v>
      </c>
      <c r="Q280">
        <v>25904504.504504506</v>
      </c>
      <c r="R280">
        <v>21724054.054054052</v>
      </c>
      <c r="S280">
        <v>4882</v>
      </c>
      <c r="T280">
        <v>4763</v>
      </c>
    </row>
    <row r="281" spans="1:20" x14ac:dyDescent="0.35">
      <c r="A281" s="7" t="s">
        <v>379</v>
      </c>
      <c r="B281" s="12" t="s">
        <v>87</v>
      </c>
      <c r="C281">
        <v>2361684.9093198539</v>
      </c>
      <c r="D281">
        <v>3206597.296225172</v>
      </c>
      <c r="F281">
        <v>3603603.6036036038</v>
      </c>
      <c r="H281">
        <v>1</v>
      </c>
      <c r="L281">
        <v>1</v>
      </c>
      <c r="M281">
        <v>59459.459459459002</v>
      </c>
      <c r="O281">
        <v>99324.324324323999</v>
      </c>
      <c r="P281">
        <v>176171.17117117101</v>
      </c>
      <c r="S281">
        <v>142</v>
      </c>
      <c r="T281">
        <v>207</v>
      </c>
    </row>
    <row r="282" spans="1:20" x14ac:dyDescent="0.35">
      <c r="A282" s="7" t="s">
        <v>380</v>
      </c>
      <c r="B282" s="12" t="s">
        <v>87</v>
      </c>
      <c r="C282">
        <v>8920425.8012173604</v>
      </c>
      <c r="D282">
        <v>4601842.0610280642</v>
      </c>
      <c r="E282">
        <v>9009.0090090089998</v>
      </c>
      <c r="G282">
        <v>148</v>
      </c>
      <c r="H282">
        <v>8</v>
      </c>
      <c r="K282">
        <v>150</v>
      </c>
      <c r="L282">
        <v>14</v>
      </c>
      <c r="M282">
        <v>76576.576576577005</v>
      </c>
      <c r="O282">
        <v>2631981.981981982</v>
      </c>
      <c r="P282">
        <v>686225.22522522497</v>
      </c>
      <c r="Q282">
        <v>67567.567567567996</v>
      </c>
      <c r="S282">
        <v>508</v>
      </c>
      <c r="T282">
        <v>351</v>
      </c>
    </row>
    <row r="283" spans="1:20" x14ac:dyDescent="0.35">
      <c r="A283" s="7" t="s">
        <v>381</v>
      </c>
      <c r="B283" s="12" t="s">
        <v>80</v>
      </c>
      <c r="C283">
        <v>783966565.14115071</v>
      </c>
      <c r="D283">
        <v>764140286.61662173</v>
      </c>
      <c r="E283">
        <v>757466670.27027035</v>
      </c>
      <c r="F283">
        <v>137807881.98198199</v>
      </c>
      <c r="G283">
        <v>192</v>
      </c>
      <c r="H283">
        <v>168</v>
      </c>
      <c r="I283">
        <v>1</v>
      </c>
      <c r="K283">
        <v>239</v>
      </c>
      <c r="L283">
        <v>277</v>
      </c>
      <c r="M283">
        <v>94267747.747747734</v>
      </c>
      <c r="N283">
        <v>81678378.378378361</v>
      </c>
      <c r="O283">
        <v>185077987.38738739</v>
      </c>
      <c r="P283">
        <v>196929932.43243241</v>
      </c>
      <c r="Q283">
        <v>78762342.342342332</v>
      </c>
      <c r="R283">
        <v>74473423.423423424</v>
      </c>
      <c r="S283">
        <v>36563</v>
      </c>
      <c r="T283">
        <v>38613</v>
      </c>
    </row>
    <row r="284" spans="1:20" x14ac:dyDescent="0.35">
      <c r="A284" s="7" t="s">
        <v>382</v>
      </c>
      <c r="B284" s="12" t="s">
        <v>80</v>
      </c>
      <c r="C284">
        <v>209887254.61374682</v>
      </c>
      <c r="D284">
        <v>211373964.5104118</v>
      </c>
      <c r="E284">
        <v>1178378.3783783789</v>
      </c>
      <c r="F284">
        <v>1831756.7567567599</v>
      </c>
      <c r="G284">
        <v>34</v>
      </c>
      <c r="H284">
        <v>24</v>
      </c>
      <c r="I284">
        <v>1</v>
      </c>
      <c r="K284">
        <v>44</v>
      </c>
      <c r="L284">
        <v>30</v>
      </c>
      <c r="M284">
        <v>40390990.990990981</v>
      </c>
      <c r="N284">
        <v>39541441.441441439</v>
      </c>
      <c r="O284">
        <v>84091870.270270273</v>
      </c>
      <c r="P284">
        <v>84097736.936936945</v>
      </c>
      <c r="Q284">
        <v>36428828.828828834</v>
      </c>
      <c r="R284">
        <v>32198781.981981985</v>
      </c>
      <c r="S284">
        <v>9777</v>
      </c>
      <c r="T284">
        <v>10154</v>
      </c>
    </row>
    <row r="285" spans="1:20" x14ac:dyDescent="0.35">
      <c r="A285" s="7" t="s">
        <v>383</v>
      </c>
      <c r="B285" s="12" t="s">
        <v>80</v>
      </c>
      <c r="C285">
        <v>292266776.91165483</v>
      </c>
      <c r="D285">
        <v>271633574.411735</v>
      </c>
      <c r="E285">
        <v>24324.324324325</v>
      </c>
      <c r="F285">
        <v>218018.01801801799</v>
      </c>
      <c r="G285">
        <v>48</v>
      </c>
      <c r="H285">
        <v>33</v>
      </c>
      <c r="K285">
        <v>59</v>
      </c>
      <c r="L285">
        <v>40</v>
      </c>
      <c r="M285">
        <v>15501621.621621622</v>
      </c>
      <c r="N285">
        <v>12904054.054054054</v>
      </c>
      <c r="O285">
        <v>52411801.801801808</v>
      </c>
      <c r="P285">
        <v>54195747.747747742</v>
      </c>
      <c r="Q285">
        <v>11466396.396396397</v>
      </c>
      <c r="R285">
        <v>13661531.531531531</v>
      </c>
      <c r="S285">
        <v>9816</v>
      </c>
      <c r="T285">
        <v>9421</v>
      </c>
    </row>
    <row r="286" spans="1:20" x14ac:dyDescent="0.35">
      <c r="A286" s="7" t="s">
        <v>384</v>
      </c>
      <c r="B286" s="12" t="s">
        <v>68</v>
      </c>
      <c r="C286">
        <v>118773060.38186984</v>
      </c>
      <c r="D286">
        <v>116244851.03885826</v>
      </c>
      <c r="E286">
        <v>54324281.081081077</v>
      </c>
      <c r="F286">
        <v>32954933.333333332</v>
      </c>
      <c r="G286">
        <v>25</v>
      </c>
      <c r="H286">
        <v>29</v>
      </c>
      <c r="K286">
        <v>28</v>
      </c>
      <c r="L286">
        <v>32</v>
      </c>
      <c r="M286">
        <v>6535225.2252252223</v>
      </c>
      <c r="N286">
        <v>3885585.5855855872</v>
      </c>
      <c r="O286">
        <v>14805342.342342341</v>
      </c>
      <c r="P286">
        <v>17394216.216216218</v>
      </c>
      <c r="Q286">
        <v>5065225.2252252242</v>
      </c>
      <c r="R286">
        <v>3987297.297297297</v>
      </c>
      <c r="S286">
        <v>5167</v>
      </c>
      <c r="T286">
        <v>4829</v>
      </c>
    </row>
    <row r="287" spans="1:20" x14ac:dyDescent="0.35">
      <c r="A287" s="7" t="s">
        <v>385</v>
      </c>
      <c r="B287" s="12" t="s">
        <v>167</v>
      </c>
      <c r="C287">
        <v>39999457.299351387</v>
      </c>
      <c r="D287">
        <v>43188928.682371639</v>
      </c>
      <c r="E287">
        <v>9009.0090090100002</v>
      </c>
      <c r="F287">
        <v>352252.25225225202</v>
      </c>
      <c r="G287">
        <v>10</v>
      </c>
      <c r="H287">
        <v>15</v>
      </c>
      <c r="K287">
        <v>15</v>
      </c>
      <c r="L287">
        <v>18</v>
      </c>
      <c r="M287">
        <v>1367567.5675675699</v>
      </c>
      <c r="N287">
        <v>15480180.180180181</v>
      </c>
      <c r="O287">
        <v>16270628.828828828</v>
      </c>
      <c r="P287">
        <v>18184981.981981985</v>
      </c>
      <c r="Q287">
        <v>5613783.7837837832</v>
      </c>
      <c r="R287">
        <v>9762432.4324324317</v>
      </c>
      <c r="S287">
        <v>2367</v>
      </c>
      <c r="T287">
        <v>2449</v>
      </c>
    </row>
    <row r="288" spans="1:20" x14ac:dyDescent="0.35">
      <c r="A288" s="7" t="s">
        <v>386</v>
      </c>
      <c r="B288" s="12" t="s">
        <v>94</v>
      </c>
      <c r="C288">
        <v>228342801.23077878</v>
      </c>
      <c r="D288">
        <v>246718506.80992228</v>
      </c>
      <c r="E288">
        <v>1190990.9909909919</v>
      </c>
      <c r="F288">
        <v>481981.98198198399</v>
      </c>
      <c r="G288">
        <v>39</v>
      </c>
      <c r="H288">
        <v>50</v>
      </c>
      <c r="I288">
        <v>1</v>
      </c>
      <c r="K288">
        <v>44</v>
      </c>
      <c r="L288">
        <v>55</v>
      </c>
      <c r="M288">
        <v>9436936.9369369354</v>
      </c>
      <c r="N288">
        <v>11409909.909909911</v>
      </c>
      <c r="O288">
        <v>24527387.387387384</v>
      </c>
      <c r="P288">
        <v>30080513.513513513</v>
      </c>
      <c r="Q288">
        <v>6581441.441441441</v>
      </c>
      <c r="R288">
        <v>9448918.9189189207</v>
      </c>
      <c r="S288">
        <v>8391</v>
      </c>
      <c r="T288">
        <v>8303</v>
      </c>
    </row>
    <row r="289" spans="1:20" x14ac:dyDescent="0.35">
      <c r="A289" s="7" t="s">
        <v>387</v>
      </c>
      <c r="B289" s="12" t="s">
        <v>214</v>
      </c>
      <c r="C289">
        <v>33377812.989897098</v>
      </c>
      <c r="D289">
        <v>43091391.59403652</v>
      </c>
      <c r="E289">
        <v>11711.711711712</v>
      </c>
      <c r="F289">
        <v>81081.081081081997</v>
      </c>
      <c r="G289">
        <v>11</v>
      </c>
      <c r="H289">
        <v>20</v>
      </c>
      <c r="K289">
        <v>11</v>
      </c>
      <c r="L289">
        <v>22</v>
      </c>
      <c r="M289">
        <v>101801.80180180199</v>
      </c>
      <c r="N289">
        <v>1432432.4324324329</v>
      </c>
      <c r="O289">
        <v>15963738.738738738</v>
      </c>
      <c r="P289">
        <v>19881441.441441439</v>
      </c>
      <c r="R289">
        <v>96396.396396397002</v>
      </c>
      <c r="S289">
        <v>2310</v>
      </c>
      <c r="T289">
        <v>2329</v>
      </c>
    </row>
    <row r="290" spans="1:20" x14ac:dyDescent="0.35">
      <c r="A290" s="7" t="s">
        <v>388</v>
      </c>
      <c r="B290" s="12" t="s">
        <v>117</v>
      </c>
      <c r="C290">
        <v>17193173.836250119</v>
      </c>
      <c r="D290">
        <v>16536868.137051644</v>
      </c>
      <c r="E290">
        <v>7207.2072072069996</v>
      </c>
      <c r="F290">
        <v>255855.85585585801</v>
      </c>
      <c r="G290">
        <v>7</v>
      </c>
      <c r="H290">
        <v>5</v>
      </c>
      <c r="K290">
        <v>8</v>
      </c>
      <c r="L290">
        <v>8</v>
      </c>
      <c r="M290">
        <v>1632432.4324324301</v>
      </c>
      <c r="N290">
        <v>5886601.8018017998</v>
      </c>
      <c r="O290">
        <v>7470270.2702702703</v>
      </c>
      <c r="P290">
        <v>7048027.0270270268</v>
      </c>
      <c r="Q290">
        <v>1015315.3153153131</v>
      </c>
      <c r="R290">
        <v>3464954.9549549548</v>
      </c>
      <c r="S290">
        <v>1908</v>
      </c>
      <c r="T290">
        <v>1769</v>
      </c>
    </row>
    <row r="291" spans="1:20" x14ac:dyDescent="0.35">
      <c r="A291" s="7" t="s">
        <v>389</v>
      </c>
      <c r="B291" s="12" t="s">
        <v>315</v>
      </c>
      <c r="C291">
        <v>74716454.893774375</v>
      </c>
      <c r="D291">
        <v>71070403.722439915</v>
      </c>
      <c r="E291">
        <v>1989639.63963964</v>
      </c>
      <c r="F291">
        <v>343243.24324324401</v>
      </c>
      <c r="G291">
        <v>10</v>
      </c>
      <c r="H291">
        <v>8</v>
      </c>
      <c r="K291">
        <v>10</v>
      </c>
      <c r="L291">
        <v>8</v>
      </c>
      <c r="M291">
        <v>3611261.2612612611</v>
      </c>
      <c r="N291">
        <v>3226126.1261261259</v>
      </c>
      <c r="O291">
        <v>14771891.891891891</v>
      </c>
      <c r="P291">
        <v>15161504.504504504</v>
      </c>
      <c r="Q291">
        <v>3143333.333333333</v>
      </c>
      <c r="R291">
        <v>2542072.072072072</v>
      </c>
      <c r="S291">
        <v>2646</v>
      </c>
      <c r="T291">
        <v>2688</v>
      </c>
    </row>
    <row r="292" spans="1:20" x14ac:dyDescent="0.35">
      <c r="A292" s="7" t="s">
        <v>390</v>
      </c>
      <c r="B292" s="12" t="s">
        <v>224</v>
      </c>
      <c r="C292">
        <v>36690988.921104766</v>
      </c>
      <c r="D292">
        <v>30849866.330793664</v>
      </c>
      <c r="G292">
        <v>25</v>
      </c>
      <c r="H292">
        <v>5</v>
      </c>
      <c r="K292">
        <v>29</v>
      </c>
      <c r="L292">
        <v>5</v>
      </c>
      <c r="O292">
        <v>7274315.3153153146</v>
      </c>
      <c r="P292">
        <v>5199009.0090090092</v>
      </c>
      <c r="S292">
        <v>1498</v>
      </c>
      <c r="T292">
        <v>1558</v>
      </c>
    </row>
    <row r="293" spans="1:20" x14ac:dyDescent="0.35">
      <c r="A293" s="7" t="s">
        <v>6</v>
      </c>
      <c r="B293" s="12" t="s">
        <v>193</v>
      </c>
      <c r="C293">
        <v>268646293.82869953</v>
      </c>
      <c r="D293">
        <v>250207944.45452553</v>
      </c>
      <c r="E293">
        <v>6135585.5855855811</v>
      </c>
      <c r="F293">
        <v>4461261.2612612611</v>
      </c>
      <c r="G293">
        <v>87</v>
      </c>
      <c r="H293">
        <v>52</v>
      </c>
      <c r="I293">
        <v>2</v>
      </c>
      <c r="K293">
        <v>443</v>
      </c>
      <c r="L293">
        <v>302</v>
      </c>
      <c r="M293">
        <v>141871171.17117116</v>
      </c>
      <c r="N293">
        <v>112554954.95495497</v>
      </c>
      <c r="O293">
        <v>175627702.7027027</v>
      </c>
      <c r="P293">
        <v>172605945.94594595</v>
      </c>
      <c r="Q293">
        <v>126209099.0990991</v>
      </c>
      <c r="R293">
        <v>107143243.24324325</v>
      </c>
      <c r="S293">
        <v>13493</v>
      </c>
      <c r="T293">
        <v>12749</v>
      </c>
    </row>
    <row r="294" spans="1:20" x14ac:dyDescent="0.35">
      <c r="A294" s="7" t="s">
        <v>391</v>
      </c>
      <c r="B294" s="12" t="s">
        <v>121</v>
      </c>
      <c r="C294">
        <v>8870220.2079942916</v>
      </c>
      <c r="D294">
        <v>12204185.5608797</v>
      </c>
      <c r="E294">
        <v>3603.603603604</v>
      </c>
      <c r="G294">
        <v>5</v>
      </c>
      <c r="H294">
        <v>4</v>
      </c>
      <c r="K294">
        <v>6</v>
      </c>
      <c r="L294">
        <v>5</v>
      </c>
      <c r="M294">
        <v>3603.603603604</v>
      </c>
      <c r="O294">
        <v>462747.74774774798</v>
      </c>
      <c r="P294">
        <v>640135.13513513503</v>
      </c>
      <c r="S294">
        <v>528</v>
      </c>
      <c r="T294">
        <v>513</v>
      </c>
    </row>
    <row r="295" spans="1:20" x14ac:dyDescent="0.35">
      <c r="A295" s="7" t="s">
        <v>392</v>
      </c>
      <c r="B295" s="12" t="s">
        <v>134</v>
      </c>
      <c r="C295">
        <v>32492763.32418111</v>
      </c>
      <c r="D295">
        <v>34429864.347610526</v>
      </c>
      <c r="F295">
        <v>13513.513513514001</v>
      </c>
      <c r="G295">
        <v>5</v>
      </c>
      <c r="H295">
        <v>8</v>
      </c>
      <c r="K295">
        <v>6</v>
      </c>
      <c r="L295">
        <v>10</v>
      </c>
      <c r="M295">
        <v>3117117.1171171162</v>
      </c>
      <c r="N295">
        <v>2220720.72072072</v>
      </c>
      <c r="O295">
        <v>6446034.2342342343</v>
      </c>
      <c r="P295">
        <v>6753945.9459459456</v>
      </c>
      <c r="Q295">
        <v>701351.35135135299</v>
      </c>
      <c r="R295">
        <v>487927.92792792898</v>
      </c>
      <c r="S295">
        <v>3400</v>
      </c>
      <c r="T295">
        <v>3536</v>
      </c>
    </row>
    <row r="296" spans="1:20" x14ac:dyDescent="0.35">
      <c r="A296" s="7" t="s">
        <v>393</v>
      </c>
      <c r="B296" s="12" t="s">
        <v>58</v>
      </c>
      <c r="C296">
        <v>179702366.64154547</v>
      </c>
      <c r="D296">
        <v>168455171.15773499</v>
      </c>
      <c r="E296">
        <v>6651801.8018018026</v>
      </c>
      <c r="F296">
        <v>3754729.7297297362</v>
      </c>
      <c r="G296">
        <v>43</v>
      </c>
      <c r="H296">
        <v>78</v>
      </c>
      <c r="K296">
        <v>54</v>
      </c>
      <c r="L296">
        <v>89</v>
      </c>
      <c r="M296">
        <v>21066216.216216218</v>
      </c>
      <c r="N296">
        <v>16398198.198198201</v>
      </c>
      <c r="O296">
        <v>26684612.612612613</v>
      </c>
      <c r="P296">
        <v>27198310.810810812</v>
      </c>
      <c r="Q296">
        <v>14420990.990990993</v>
      </c>
      <c r="R296">
        <v>15667297.297297295</v>
      </c>
      <c r="S296">
        <v>8999</v>
      </c>
      <c r="T296">
        <v>9174</v>
      </c>
    </row>
    <row r="297" spans="1:20" x14ac:dyDescent="0.35">
      <c r="A297" s="7" t="s">
        <v>394</v>
      </c>
      <c r="B297" s="12" t="s">
        <v>134</v>
      </c>
      <c r="C297">
        <v>60477367.809963331</v>
      </c>
      <c r="D297">
        <v>57080377.720736928</v>
      </c>
      <c r="E297">
        <v>1801.801801802</v>
      </c>
      <c r="F297">
        <v>94594.594594594993</v>
      </c>
      <c r="G297">
        <v>6</v>
      </c>
      <c r="H297">
        <v>11</v>
      </c>
      <c r="K297">
        <v>9</v>
      </c>
      <c r="L297">
        <v>16</v>
      </c>
      <c r="M297">
        <v>5731531.5315315304</v>
      </c>
      <c r="N297">
        <v>6581081.0810810803</v>
      </c>
      <c r="O297">
        <v>9980962.1621621624</v>
      </c>
      <c r="P297">
        <v>9630072.072072072</v>
      </c>
      <c r="Q297">
        <v>3180540.5405405439</v>
      </c>
      <c r="R297">
        <v>2613693.6936936928</v>
      </c>
      <c r="S297">
        <v>3844</v>
      </c>
      <c r="T297">
        <v>4036</v>
      </c>
    </row>
    <row r="298" spans="1:20" x14ac:dyDescent="0.35">
      <c r="A298" s="7" t="s">
        <v>395</v>
      </c>
      <c r="B298" s="12" t="s">
        <v>54</v>
      </c>
      <c r="C298">
        <v>26171683.140484456</v>
      </c>
      <c r="D298">
        <v>24885329.886696231</v>
      </c>
      <c r="E298">
        <v>3603.603603604</v>
      </c>
      <c r="F298">
        <v>900.900900901</v>
      </c>
      <c r="G298">
        <v>2</v>
      </c>
      <c r="H298">
        <v>5</v>
      </c>
      <c r="K298">
        <v>4</v>
      </c>
      <c r="L298">
        <v>6</v>
      </c>
      <c r="M298">
        <v>2336936.9369369359</v>
      </c>
      <c r="N298">
        <v>811711.71171171195</v>
      </c>
      <c r="O298">
        <v>4423243.2432432426</v>
      </c>
      <c r="P298">
        <v>4262477.4774774779</v>
      </c>
      <c r="Q298">
        <v>1904504.5045045039</v>
      </c>
      <c r="R298">
        <v>1210540.5405405399</v>
      </c>
      <c r="S298">
        <v>1580</v>
      </c>
      <c r="T298">
        <v>1574</v>
      </c>
    </row>
    <row r="299" spans="1:20" x14ac:dyDescent="0.35">
      <c r="A299" s="7" t="s">
        <v>396</v>
      </c>
      <c r="B299" s="12" t="s">
        <v>397</v>
      </c>
      <c r="C299">
        <v>184538079.01631552</v>
      </c>
      <c r="D299">
        <v>176198964.45714018</v>
      </c>
      <c r="E299">
        <v>620900.90090090095</v>
      </c>
      <c r="F299">
        <v>1056756.7567567581</v>
      </c>
      <c r="G299">
        <v>78</v>
      </c>
      <c r="H299">
        <v>53</v>
      </c>
      <c r="K299">
        <v>95</v>
      </c>
      <c r="L299">
        <v>109</v>
      </c>
      <c r="M299">
        <v>17846711.711711712</v>
      </c>
      <c r="N299">
        <v>14306306.306306308</v>
      </c>
      <c r="O299">
        <v>33193809.009009011</v>
      </c>
      <c r="P299">
        <v>32448369.369369373</v>
      </c>
      <c r="Q299">
        <v>19952657.657657661</v>
      </c>
      <c r="R299">
        <v>13031081.081081085</v>
      </c>
      <c r="S299">
        <v>9504</v>
      </c>
      <c r="T299">
        <v>9368</v>
      </c>
    </row>
    <row r="300" spans="1:20" x14ac:dyDescent="0.35">
      <c r="A300" s="7" t="s">
        <v>398</v>
      </c>
      <c r="B300" s="12" t="s">
        <v>399</v>
      </c>
      <c r="C300">
        <v>217784608.9203521</v>
      </c>
      <c r="D300">
        <v>189552863.30065939</v>
      </c>
      <c r="E300">
        <v>151763443.24324322</v>
      </c>
      <c r="F300">
        <v>42538759.459459454</v>
      </c>
      <c r="G300">
        <v>45</v>
      </c>
      <c r="H300">
        <v>33</v>
      </c>
      <c r="I300">
        <v>1</v>
      </c>
      <c r="K300">
        <v>50</v>
      </c>
      <c r="L300">
        <v>46</v>
      </c>
      <c r="M300">
        <v>119271621.62162161</v>
      </c>
      <c r="N300">
        <v>15236036.036036037</v>
      </c>
      <c r="O300">
        <v>37218306.306306303</v>
      </c>
      <c r="P300">
        <v>33335036.036036037</v>
      </c>
      <c r="Q300">
        <v>97378378.378378391</v>
      </c>
      <c r="R300">
        <v>10135045.045045046</v>
      </c>
      <c r="S300">
        <v>11668</v>
      </c>
      <c r="T300">
        <v>11346</v>
      </c>
    </row>
    <row r="301" spans="1:20" x14ac:dyDescent="0.35">
      <c r="A301" s="7" t="s">
        <v>400</v>
      </c>
      <c r="B301" s="12" t="s">
        <v>140</v>
      </c>
      <c r="C301">
        <v>66442337.825374492</v>
      </c>
      <c r="D301">
        <v>62910819.773788549</v>
      </c>
      <c r="E301">
        <v>335135.13513513602</v>
      </c>
      <c r="F301">
        <v>521621.62162162201</v>
      </c>
      <c r="G301">
        <v>18</v>
      </c>
      <c r="H301">
        <v>23</v>
      </c>
      <c r="K301">
        <v>24</v>
      </c>
      <c r="L301">
        <v>24</v>
      </c>
      <c r="M301">
        <v>20032432.432432432</v>
      </c>
      <c r="N301">
        <v>10063603.603603601</v>
      </c>
      <c r="O301">
        <v>19582837.837837841</v>
      </c>
      <c r="P301">
        <v>19878333.333333332</v>
      </c>
      <c r="Q301">
        <v>11644144.144144144</v>
      </c>
      <c r="R301">
        <v>11621711.711711712</v>
      </c>
      <c r="S301">
        <v>3422</v>
      </c>
      <c r="T301">
        <v>3115</v>
      </c>
    </row>
    <row r="302" spans="1:20" x14ac:dyDescent="0.35">
      <c r="A302" s="7" t="s">
        <v>401</v>
      </c>
      <c r="B302" s="12" t="s">
        <v>121</v>
      </c>
      <c r="C302">
        <v>20002364.281114489</v>
      </c>
      <c r="D302">
        <v>15646787.579574969</v>
      </c>
      <c r="E302">
        <v>900.900900901</v>
      </c>
      <c r="G302">
        <v>10</v>
      </c>
      <c r="H302">
        <v>5</v>
      </c>
      <c r="K302">
        <v>13</v>
      </c>
      <c r="L302">
        <v>10</v>
      </c>
      <c r="M302">
        <v>900.900900901</v>
      </c>
      <c r="N302">
        <v>1801801.8018018019</v>
      </c>
      <c r="O302">
        <v>1491351.351351351</v>
      </c>
      <c r="P302">
        <v>1585900.9009009011</v>
      </c>
      <c r="Q302">
        <v>483333.33333333302</v>
      </c>
      <c r="R302">
        <v>407657.65765765798</v>
      </c>
      <c r="S302">
        <v>1100</v>
      </c>
      <c r="T302">
        <v>1066</v>
      </c>
    </row>
    <row r="303" spans="1:20" x14ac:dyDescent="0.35">
      <c r="A303" s="7" t="s">
        <v>402</v>
      </c>
      <c r="B303" s="12" t="s">
        <v>290</v>
      </c>
      <c r="C303">
        <v>35007813.198405094</v>
      </c>
      <c r="D303">
        <v>26548175.651974414</v>
      </c>
      <c r="E303">
        <v>62062930.630630635</v>
      </c>
      <c r="F303">
        <v>62523631.531531535</v>
      </c>
      <c r="G303">
        <v>28</v>
      </c>
      <c r="H303">
        <v>6</v>
      </c>
      <c r="K303">
        <v>32</v>
      </c>
      <c r="L303">
        <v>7</v>
      </c>
      <c r="M303">
        <v>11901227.927927928</v>
      </c>
      <c r="N303">
        <v>10792565.765765764</v>
      </c>
      <c r="O303">
        <v>5030000</v>
      </c>
      <c r="P303">
        <v>3139828.8288288279</v>
      </c>
      <c r="Q303">
        <v>2282702.702702703</v>
      </c>
      <c r="R303">
        <v>1593063.063063062</v>
      </c>
      <c r="S303">
        <v>1678</v>
      </c>
      <c r="T303">
        <v>1633</v>
      </c>
    </row>
    <row r="304" spans="1:20" x14ac:dyDescent="0.35">
      <c r="A304" s="7" t="s">
        <v>403</v>
      </c>
      <c r="B304" s="12" t="s">
        <v>121</v>
      </c>
      <c r="C304">
        <v>30001267.482020799</v>
      </c>
      <c r="D304">
        <v>29837955.043584634</v>
      </c>
      <c r="F304">
        <v>55630.630630631</v>
      </c>
      <c r="G304">
        <v>2</v>
      </c>
      <c r="H304">
        <v>5</v>
      </c>
      <c r="K304">
        <v>2</v>
      </c>
      <c r="L304">
        <v>8</v>
      </c>
      <c r="N304">
        <v>58558.558558559002</v>
      </c>
      <c r="O304">
        <v>2252927.927927928</v>
      </c>
      <c r="P304">
        <v>2539099.0990990992</v>
      </c>
      <c r="S304">
        <v>1086</v>
      </c>
      <c r="T304">
        <v>1046</v>
      </c>
    </row>
    <row r="305" spans="1:20" x14ac:dyDescent="0.35">
      <c r="A305" s="7" t="s">
        <v>404</v>
      </c>
      <c r="B305" s="12" t="s">
        <v>368</v>
      </c>
      <c r="C305">
        <v>75154665.306409314</v>
      </c>
      <c r="D305">
        <v>68604186.502827659</v>
      </c>
      <c r="E305">
        <v>16255643.243243244</v>
      </c>
      <c r="F305">
        <v>31883051.351351351</v>
      </c>
      <c r="G305">
        <v>12</v>
      </c>
      <c r="H305">
        <v>12</v>
      </c>
      <c r="K305">
        <v>14</v>
      </c>
      <c r="L305">
        <v>29</v>
      </c>
      <c r="M305">
        <v>5386486.4864864862</v>
      </c>
      <c r="N305">
        <v>18490810.810810812</v>
      </c>
      <c r="O305">
        <v>23128265.765765768</v>
      </c>
      <c r="P305">
        <v>24853563.063063063</v>
      </c>
      <c r="Q305">
        <v>3202702.702702702</v>
      </c>
      <c r="R305">
        <v>15570900.900900904</v>
      </c>
      <c r="S305">
        <v>4343</v>
      </c>
      <c r="T305">
        <v>4197</v>
      </c>
    </row>
    <row r="306" spans="1:20" x14ac:dyDescent="0.35">
      <c r="A306" s="7" t="s">
        <v>405</v>
      </c>
      <c r="B306" s="12" t="s">
        <v>140</v>
      </c>
      <c r="C306">
        <v>36887002.304720558</v>
      </c>
      <c r="D306">
        <v>33240442.68520825</v>
      </c>
      <c r="E306">
        <v>13063.063063063</v>
      </c>
      <c r="F306">
        <v>116891.89189189101</v>
      </c>
      <c r="G306">
        <v>1</v>
      </c>
      <c r="H306">
        <v>5</v>
      </c>
      <c r="K306">
        <v>2</v>
      </c>
      <c r="L306">
        <v>5</v>
      </c>
      <c r="M306">
        <v>4913963.963963964</v>
      </c>
      <c r="N306">
        <v>2595855.855855857</v>
      </c>
      <c r="O306">
        <v>8900315.3153153155</v>
      </c>
      <c r="P306">
        <v>8581387.3873873875</v>
      </c>
      <c r="Q306">
        <v>5635855.8558558561</v>
      </c>
      <c r="R306">
        <v>4973693.6936936928</v>
      </c>
      <c r="S306">
        <v>1492</v>
      </c>
      <c r="T306">
        <v>1423</v>
      </c>
    </row>
    <row r="307" spans="1:20" x14ac:dyDescent="0.35">
      <c r="A307" s="7" t="s">
        <v>406</v>
      </c>
      <c r="B307" s="12" t="s">
        <v>54</v>
      </c>
      <c r="C307">
        <v>45823391.115174383</v>
      </c>
      <c r="D307">
        <v>45111635.694775715</v>
      </c>
      <c r="E307">
        <v>56216.216216216002</v>
      </c>
      <c r="F307">
        <v>664864.86486486497</v>
      </c>
      <c r="G307">
        <v>2</v>
      </c>
      <c r="H307">
        <v>12</v>
      </c>
      <c r="K307">
        <v>2</v>
      </c>
      <c r="L307">
        <v>26</v>
      </c>
      <c r="M307">
        <v>2525585.5855855849</v>
      </c>
      <c r="N307">
        <v>5061261.261261262</v>
      </c>
      <c r="O307">
        <v>9937432.4324324317</v>
      </c>
      <c r="P307">
        <v>10104072.072072072</v>
      </c>
      <c r="Q307">
        <v>2271711.7117117122</v>
      </c>
      <c r="R307">
        <v>5913693.6936936937</v>
      </c>
      <c r="S307">
        <v>2351</v>
      </c>
      <c r="T307">
        <v>2184</v>
      </c>
    </row>
    <row r="308" spans="1:20" x14ac:dyDescent="0.35">
      <c r="A308" s="7" t="s">
        <v>407</v>
      </c>
      <c r="B308" s="12" t="s">
        <v>134</v>
      </c>
      <c r="C308">
        <v>17546893.152023785</v>
      </c>
      <c r="D308">
        <v>19766295.437849522</v>
      </c>
      <c r="E308">
        <v>3603.603603604</v>
      </c>
      <c r="G308">
        <v>3</v>
      </c>
      <c r="H308">
        <v>2</v>
      </c>
      <c r="K308">
        <v>5</v>
      </c>
      <c r="L308">
        <v>4</v>
      </c>
      <c r="M308">
        <v>733333.33333333302</v>
      </c>
      <c r="N308">
        <v>756756.75675675704</v>
      </c>
      <c r="O308">
        <v>2125495.4954954949</v>
      </c>
      <c r="P308">
        <v>2152855.8558558552</v>
      </c>
      <c r="Q308">
        <v>702522.52252252202</v>
      </c>
      <c r="R308">
        <v>630180.18018018</v>
      </c>
      <c r="S308">
        <v>1040</v>
      </c>
      <c r="T308">
        <v>961</v>
      </c>
    </row>
    <row r="309" spans="1:20" x14ac:dyDescent="0.35">
      <c r="A309" s="7" t="s">
        <v>408</v>
      </c>
      <c r="B309" s="12" t="s">
        <v>290</v>
      </c>
      <c r="C309">
        <v>13097918.417336565</v>
      </c>
      <c r="D309">
        <v>11135078.504061244</v>
      </c>
      <c r="E309">
        <v>32432.432432432</v>
      </c>
      <c r="F309">
        <v>214414.414414414</v>
      </c>
      <c r="G309">
        <v>4</v>
      </c>
      <c r="H309">
        <v>5</v>
      </c>
      <c r="K309">
        <v>7</v>
      </c>
      <c r="L309">
        <v>5</v>
      </c>
      <c r="M309">
        <v>2311711.7117117108</v>
      </c>
      <c r="N309">
        <v>2112612.6126126121</v>
      </c>
      <c r="O309">
        <v>2167468.4684684691</v>
      </c>
      <c r="P309">
        <v>1621360.36036036</v>
      </c>
      <c r="Q309">
        <v>1116846.8468468471</v>
      </c>
      <c r="R309">
        <v>963693.69369369303</v>
      </c>
      <c r="S309">
        <v>896</v>
      </c>
      <c r="T309">
        <v>860</v>
      </c>
    </row>
    <row r="310" spans="1:20" x14ac:dyDescent="0.35">
      <c r="A310" s="7" t="s">
        <v>409</v>
      </c>
      <c r="B310" s="12" t="s">
        <v>178</v>
      </c>
      <c r="C310">
        <v>207092805.28025341</v>
      </c>
      <c r="D310">
        <v>193324926.44901302</v>
      </c>
      <c r="E310">
        <v>336261.26126126101</v>
      </c>
      <c r="F310">
        <v>537837.83783783996</v>
      </c>
      <c r="G310">
        <v>58</v>
      </c>
      <c r="H310">
        <v>25</v>
      </c>
      <c r="K310">
        <v>76</v>
      </c>
      <c r="L310">
        <v>146</v>
      </c>
      <c r="M310">
        <v>20696126.126126125</v>
      </c>
      <c r="N310">
        <v>9896477.4774774797</v>
      </c>
      <c r="O310">
        <v>68350801.801801801</v>
      </c>
      <c r="P310">
        <v>66929567.567567565</v>
      </c>
      <c r="Q310">
        <v>18798738.738738734</v>
      </c>
      <c r="R310">
        <v>9091711.7117117122</v>
      </c>
      <c r="S310">
        <v>9816</v>
      </c>
      <c r="T310">
        <v>9678</v>
      </c>
    </row>
    <row r="311" spans="1:20" x14ac:dyDescent="0.35">
      <c r="A311" s="7" t="s">
        <v>669</v>
      </c>
      <c r="B311" s="12" t="s">
        <v>87</v>
      </c>
      <c r="E311">
        <v>29437429.729729727</v>
      </c>
      <c r="F311">
        <v>18637862.162162159</v>
      </c>
    </row>
    <row r="312" spans="1:20" x14ac:dyDescent="0.35">
      <c r="A312" s="7" t="s">
        <v>410</v>
      </c>
      <c r="B312" s="12" t="s">
        <v>54</v>
      </c>
      <c r="C312">
        <v>365281587.32600456</v>
      </c>
      <c r="D312">
        <v>366349513.85303521</v>
      </c>
      <c r="E312">
        <v>30264699.099099103</v>
      </c>
      <c r="F312">
        <v>107251499.0990991</v>
      </c>
      <c r="G312">
        <v>65</v>
      </c>
      <c r="H312">
        <v>61</v>
      </c>
      <c r="K312">
        <v>76</v>
      </c>
      <c r="L312">
        <v>80</v>
      </c>
      <c r="M312">
        <v>18308108.108108103</v>
      </c>
      <c r="N312">
        <v>23753153.153153155</v>
      </c>
      <c r="O312">
        <v>69478855.855855852</v>
      </c>
      <c r="P312">
        <v>75150729.729729727</v>
      </c>
      <c r="Q312">
        <v>20353783.783783782</v>
      </c>
      <c r="R312">
        <v>21194864.864864863</v>
      </c>
      <c r="S312">
        <v>19229</v>
      </c>
      <c r="T312">
        <v>18704</v>
      </c>
    </row>
    <row r="313" spans="1:20" x14ac:dyDescent="0.35">
      <c r="A313" s="7" t="s">
        <v>411</v>
      </c>
      <c r="B313" s="12" t="s">
        <v>224</v>
      </c>
      <c r="C313">
        <v>223577127.02102295</v>
      </c>
      <c r="D313">
        <v>183594920.61335289</v>
      </c>
      <c r="E313">
        <v>572432.43243243301</v>
      </c>
      <c r="F313">
        <v>791891.89189189603</v>
      </c>
      <c r="G313">
        <v>68</v>
      </c>
      <c r="H313">
        <v>54</v>
      </c>
      <c r="K313">
        <v>79</v>
      </c>
      <c r="L313">
        <v>68</v>
      </c>
      <c r="M313">
        <v>19887387.387387384</v>
      </c>
      <c r="N313">
        <v>16977837.837837838</v>
      </c>
      <c r="O313">
        <v>54736500</v>
      </c>
      <c r="P313">
        <v>57563750.45045045</v>
      </c>
      <c r="Q313">
        <v>21444504.504504506</v>
      </c>
      <c r="R313">
        <v>22572115.315315317</v>
      </c>
      <c r="S313">
        <v>13602</v>
      </c>
      <c r="T313">
        <v>14323</v>
      </c>
    </row>
    <row r="314" spans="1:20" x14ac:dyDescent="0.35">
      <c r="A314" s="7" t="s">
        <v>412</v>
      </c>
      <c r="B314" s="12" t="s">
        <v>413</v>
      </c>
      <c r="C314">
        <v>69242039.009159133</v>
      </c>
      <c r="D314">
        <v>73076579.134045497</v>
      </c>
      <c r="E314">
        <v>347747.74774774798</v>
      </c>
      <c r="F314">
        <v>463513.51351351599</v>
      </c>
      <c r="G314">
        <v>11</v>
      </c>
      <c r="H314">
        <v>3</v>
      </c>
      <c r="K314">
        <v>14</v>
      </c>
      <c r="L314">
        <v>4</v>
      </c>
      <c r="M314">
        <v>3084504.5045045041</v>
      </c>
      <c r="N314">
        <v>1280990.990990995</v>
      </c>
      <c r="O314">
        <v>29692486.486486487</v>
      </c>
      <c r="P314">
        <v>27311261.261261266</v>
      </c>
      <c r="Q314">
        <v>1931081.0810810809</v>
      </c>
      <c r="R314">
        <v>1072342.3423423441</v>
      </c>
      <c r="S314">
        <v>3956</v>
      </c>
      <c r="T314">
        <v>4072</v>
      </c>
    </row>
    <row r="315" spans="1:20" x14ac:dyDescent="0.35">
      <c r="A315" s="7" t="s">
        <v>414</v>
      </c>
      <c r="B315" s="12" t="s">
        <v>214</v>
      </c>
      <c r="C315">
        <v>437260276.01547557</v>
      </c>
      <c r="D315">
        <v>474638018.44955915</v>
      </c>
      <c r="E315">
        <v>194926836.93693691</v>
      </c>
      <c r="F315">
        <v>316681583.78378379</v>
      </c>
      <c r="G315">
        <v>143</v>
      </c>
      <c r="H315">
        <v>725</v>
      </c>
      <c r="K315">
        <v>190</v>
      </c>
      <c r="L315">
        <v>883</v>
      </c>
      <c r="M315">
        <v>52521891.891891904</v>
      </c>
      <c r="N315">
        <v>70046846.846846834</v>
      </c>
      <c r="O315">
        <v>178374448.64864865</v>
      </c>
      <c r="P315">
        <v>223286329.72972974</v>
      </c>
      <c r="Q315">
        <v>52811441.441441447</v>
      </c>
      <c r="R315">
        <v>65797297.297297291</v>
      </c>
      <c r="S315">
        <v>23683</v>
      </c>
      <c r="T315">
        <v>24065</v>
      </c>
    </row>
    <row r="316" spans="1:20" x14ac:dyDescent="0.35">
      <c r="A316" s="7" t="s">
        <v>415</v>
      </c>
      <c r="B316" s="12" t="s">
        <v>413</v>
      </c>
      <c r="C316">
        <v>40524367.913225375</v>
      </c>
      <c r="D316">
        <v>40807860.347650699</v>
      </c>
      <c r="E316">
        <v>280180.18018018</v>
      </c>
      <c r="F316">
        <v>113063.06306306399</v>
      </c>
      <c r="G316">
        <v>11</v>
      </c>
      <c r="H316">
        <v>7</v>
      </c>
      <c r="K316">
        <v>14</v>
      </c>
      <c r="L316">
        <v>11</v>
      </c>
      <c r="M316">
        <v>10960540.540540541</v>
      </c>
      <c r="N316">
        <v>6792792.7927927934</v>
      </c>
      <c r="O316">
        <v>13842927.927927928</v>
      </c>
      <c r="P316">
        <v>15446594.594594594</v>
      </c>
      <c r="Q316">
        <v>6002882.8828828828</v>
      </c>
      <c r="R316">
        <v>5236396.3963963976</v>
      </c>
      <c r="S316">
        <v>2942</v>
      </c>
      <c r="T316">
        <v>2936</v>
      </c>
    </row>
    <row r="317" spans="1:20" x14ac:dyDescent="0.35">
      <c r="A317" s="7" t="s">
        <v>416</v>
      </c>
      <c r="B317" s="12" t="s">
        <v>236</v>
      </c>
      <c r="C317">
        <v>302517076.69032657</v>
      </c>
      <c r="D317">
        <v>285583773.38777369</v>
      </c>
      <c r="E317">
        <v>56756.756756759001</v>
      </c>
      <c r="F317">
        <v>754954.95495495596</v>
      </c>
      <c r="G317">
        <v>37</v>
      </c>
      <c r="H317">
        <v>60</v>
      </c>
      <c r="I317">
        <v>1</v>
      </c>
      <c r="K317">
        <v>86</v>
      </c>
      <c r="L317">
        <v>96</v>
      </c>
      <c r="M317">
        <v>31596936.936936937</v>
      </c>
      <c r="N317">
        <v>26388468.468468472</v>
      </c>
      <c r="O317">
        <v>71343045.045045048</v>
      </c>
      <c r="P317">
        <v>69415261.261261269</v>
      </c>
      <c r="Q317">
        <v>22269549.549549554</v>
      </c>
      <c r="R317">
        <v>23944144.144144144</v>
      </c>
      <c r="S317">
        <v>10667</v>
      </c>
      <c r="T317">
        <v>10952</v>
      </c>
    </row>
    <row r="318" spans="1:20" x14ac:dyDescent="0.35">
      <c r="A318" s="7" t="s">
        <v>417</v>
      </c>
      <c r="B318" s="12" t="s">
        <v>117</v>
      </c>
      <c r="C318">
        <v>291019124.27246243</v>
      </c>
      <c r="D318">
        <v>276391652.62489527</v>
      </c>
      <c r="E318">
        <v>313185584.68468469</v>
      </c>
      <c r="F318">
        <v>204864293.6936937</v>
      </c>
      <c r="G318">
        <v>116</v>
      </c>
      <c r="H318">
        <v>76</v>
      </c>
      <c r="I318">
        <v>1</v>
      </c>
      <c r="K318">
        <v>280</v>
      </c>
      <c r="L318">
        <v>425</v>
      </c>
      <c r="M318">
        <v>56961171.171171166</v>
      </c>
      <c r="N318">
        <v>64600870.270270273</v>
      </c>
      <c r="O318">
        <v>123985486.48648648</v>
      </c>
      <c r="P318">
        <v>124683971.17117117</v>
      </c>
      <c r="Q318">
        <v>55081261.261261255</v>
      </c>
      <c r="R318">
        <v>61720000</v>
      </c>
      <c r="S318">
        <v>17722</v>
      </c>
      <c r="T318">
        <v>17483</v>
      </c>
    </row>
    <row r="319" spans="1:20" x14ac:dyDescent="0.35">
      <c r="A319" s="7" t="s">
        <v>418</v>
      </c>
      <c r="B319" s="12" t="s">
        <v>147</v>
      </c>
      <c r="C319">
        <v>8003321.7715683272</v>
      </c>
      <c r="D319">
        <v>6520972.6344899414</v>
      </c>
      <c r="H319">
        <v>2</v>
      </c>
      <c r="L319">
        <v>2</v>
      </c>
      <c r="O319">
        <v>2654009.0090090092</v>
      </c>
      <c r="P319">
        <v>2598054.054054054</v>
      </c>
      <c r="S319">
        <v>521</v>
      </c>
      <c r="T319">
        <v>465</v>
      </c>
    </row>
    <row r="320" spans="1:20" x14ac:dyDescent="0.35">
      <c r="A320" s="7" t="s">
        <v>419</v>
      </c>
      <c r="B320" s="12" t="s">
        <v>304</v>
      </c>
      <c r="C320">
        <v>61253892.842261255</v>
      </c>
      <c r="D320">
        <v>61694749.394006006</v>
      </c>
      <c r="E320">
        <v>427027.02702702902</v>
      </c>
      <c r="F320">
        <v>1139864.8648648651</v>
      </c>
      <c r="G320">
        <v>17</v>
      </c>
      <c r="H320">
        <v>35</v>
      </c>
      <c r="K320">
        <v>24</v>
      </c>
      <c r="L320">
        <v>38</v>
      </c>
      <c r="M320">
        <v>11551351.351351349</v>
      </c>
      <c r="N320">
        <v>8354954.9549549539</v>
      </c>
      <c r="O320">
        <v>11978063.063063063</v>
      </c>
      <c r="P320">
        <v>11912426.126126127</v>
      </c>
      <c r="Q320">
        <v>9965945.9459459465</v>
      </c>
      <c r="R320">
        <v>8235135.1351351356</v>
      </c>
      <c r="S320">
        <v>2384</v>
      </c>
      <c r="T320">
        <v>2307</v>
      </c>
    </row>
    <row r="321" spans="1:20" x14ac:dyDescent="0.35">
      <c r="A321" s="7" t="s">
        <v>420</v>
      </c>
      <c r="B321" s="12" t="s">
        <v>304</v>
      </c>
      <c r="C321">
        <v>72844076.95667544</v>
      </c>
      <c r="D321">
        <v>71534527.383684665</v>
      </c>
      <c r="E321">
        <v>320720.720720721</v>
      </c>
      <c r="F321">
        <v>1423198.1981981969</v>
      </c>
      <c r="G321">
        <v>34</v>
      </c>
      <c r="H321">
        <v>39</v>
      </c>
      <c r="I321">
        <v>2</v>
      </c>
      <c r="K321">
        <v>61</v>
      </c>
      <c r="L321">
        <v>68</v>
      </c>
      <c r="M321">
        <v>11712612.612612609</v>
      </c>
      <c r="N321">
        <v>16009009.009009007</v>
      </c>
      <c r="O321">
        <v>15276169.369369367</v>
      </c>
      <c r="P321">
        <v>15956702.702702701</v>
      </c>
      <c r="Q321">
        <v>9613063.0630630609</v>
      </c>
      <c r="R321">
        <v>10868558.558558555</v>
      </c>
      <c r="S321">
        <v>3033</v>
      </c>
      <c r="T321">
        <v>3023</v>
      </c>
    </row>
    <row r="322" spans="1:20" x14ac:dyDescent="0.35">
      <c r="A322" s="7" t="s">
        <v>421</v>
      </c>
      <c r="B322" s="12" t="s">
        <v>121</v>
      </c>
      <c r="C322">
        <v>6210920.0872887317</v>
      </c>
      <c r="D322">
        <v>2640542.3664600039</v>
      </c>
      <c r="E322">
        <v>882348.64864864899</v>
      </c>
      <c r="F322">
        <v>36584930.630630635</v>
      </c>
      <c r="H322">
        <v>1</v>
      </c>
      <c r="L322">
        <v>2</v>
      </c>
      <c r="M322">
        <v>903582.88288288401</v>
      </c>
      <c r="N322">
        <v>665951.35135135194</v>
      </c>
      <c r="O322">
        <v>603603.60360360402</v>
      </c>
      <c r="P322">
        <v>202288.28828828799</v>
      </c>
      <c r="S322">
        <v>396</v>
      </c>
      <c r="T322">
        <v>301</v>
      </c>
    </row>
    <row r="323" spans="1:20" x14ac:dyDescent="0.35">
      <c r="A323" s="7" t="s">
        <v>422</v>
      </c>
      <c r="B323" s="12" t="s">
        <v>60</v>
      </c>
      <c r="C323">
        <v>36936230.612312369</v>
      </c>
      <c r="D323">
        <v>35563843.534252986</v>
      </c>
      <c r="E323">
        <v>47747.747747747999</v>
      </c>
      <c r="F323">
        <v>397297.29729730001</v>
      </c>
      <c r="G323">
        <v>8</v>
      </c>
      <c r="H323">
        <v>23</v>
      </c>
      <c r="K323">
        <v>12</v>
      </c>
      <c r="L323">
        <v>26</v>
      </c>
      <c r="M323">
        <v>3910810.8108108109</v>
      </c>
      <c r="N323">
        <v>9074774.7747747768</v>
      </c>
      <c r="O323">
        <v>11991081.081081079</v>
      </c>
      <c r="P323">
        <v>12382846.846846849</v>
      </c>
      <c r="Q323">
        <v>2920810.8108108109</v>
      </c>
      <c r="R323">
        <v>8705405.4054054059</v>
      </c>
      <c r="S323">
        <v>2187</v>
      </c>
      <c r="T323">
        <v>2839</v>
      </c>
    </row>
    <row r="324" spans="1:20" x14ac:dyDescent="0.35">
      <c r="A324" s="7" t="s">
        <v>423</v>
      </c>
      <c r="B324" s="12" t="s">
        <v>181</v>
      </c>
      <c r="C324">
        <v>362311885.19944632</v>
      </c>
      <c r="D324">
        <v>349252229.91908371</v>
      </c>
      <c r="E324">
        <v>779279.27927928395</v>
      </c>
      <c r="F324">
        <v>2636036.036036043</v>
      </c>
      <c r="G324">
        <v>118</v>
      </c>
      <c r="H324">
        <v>123</v>
      </c>
      <c r="I324">
        <v>11</v>
      </c>
      <c r="K324">
        <v>156</v>
      </c>
      <c r="L324">
        <v>168</v>
      </c>
      <c r="M324">
        <v>33938198.198198192</v>
      </c>
      <c r="N324">
        <v>44092972.972972967</v>
      </c>
      <c r="O324">
        <v>97445864.864864871</v>
      </c>
      <c r="P324">
        <v>104181153.15315315</v>
      </c>
      <c r="Q324">
        <v>37863423.423423424</v>
      </c>
      <c r="R324">
        <v>39956576.576576568</v>
      </c>
      <c r="S324">
        <v>22521</v>
      </c>
      <c r="T324">
        <v>21966</v>
      </c>
    </row>
    <row r="325" spans="1:20" x14ac:dyDescent="0.35">
      <c r="A325" s="7" t="s">
        <v>424</v>
      </c>
      <c r="B325" s="12" t="s">
        <v>76</v>
      </c>
      <c r="C325">
        <v>15628989.189334491</v>
      </c>
      <c r="D325">
        <v>10893113.24516003</v>
      </c>
      <c r="E325">
        <v>2702.7027027029999</v>
      </c>
      <c r="F325">
        <v>13513.513513514001</v>
      </c>
      <c r="G325">
        <v>6</v>
      </c>
      <c r="K325">
        <v>6</v>
      </c>
      <c r="M325">
        <v>2164864.8648648649</v>
      </c>
      <c r="N325">
        <v>463963.96396396402</v>
      </c>
      <c r="O325">
        <v>1617153.1531531529</v>
      </c>
      <c r="P325">
        <v>1004900.9009009009</v>
      </c>
      <c r="Q325">
        <v>1464414.4144144149</v>
      </c>
      <c r="R325">
        <v>761081.08108108095</v>
      </c>
      <c r="S325">
        <v>432</v>
      </c>
      <c r="T325">
        <v>827</v>
      </c>
    </row>
    <row r="326" spans="1:20" x14ac:dyDescent="0.35">
      <c r="A326" s="7" t="s">
        <v>425</v>
      </c>
      <c r="B326" s="12" t="s">
        <v>76</v>
      </c>
      <c r="C326">
        <v>44101333.681762353</v>
      </c>
      <c r="D326">
        <v>42483884.947304145</v>
      </c>
      <c r="E326">
        <v>144144.14414414499</v>
      </c>
      <c r="F326">
        <v>89189.189189190001</v>
      </c>
      <c r="G326">
        <v>23</v>
      </c>
      <c r="H326">
        <v>9</v>
      </c>
      <c r="K326">
        <v>26</v>
      </c>
      <c r="L326">
        <v>12</v>
      </c>
      <c r="M326">
        <v>6161261.2612612629</v>
      </c>
      <c r="N326">
        <v>5757387.3873873893</v>
      </c>
      <c r="O326">
        <v>10150585.585585585</v>
      </c>
      <c r="P326">
        <v>10474630.630630633</v>
      </c>
      <c r="Q326">
        <v>3514774.7747747782</v>
      </c>
      <c r="R326">
        <v>4924054.0540540544</v>
      </c>
      <c r="S326">
        <v>1485</v>
      </c>
      <c r="T326">
        <v>1472</v>
      </c>
    </row>
    <row r="327" spans="1:20" x14ac:dyDescent="0.35">
      <c r="A327" s="7" t="s">
        <v>426</v>
      </c>
      <c r="B327" s="12" t="s">
        <v>330</v>
      </c>
      <c r="C327">
        <v>207237395.94022569</v>
      </c>
      <c r="D327">
        <v>205374372.17407787</v>
      </c>
      <c r="E327">
        <v>636666.66666667</v>
      </c>
      <c r="F327">
        <v>1876351.3513513571</v>
      </c>
      <c r="G327">
        <v>61</v>
      </c>
      <c r="H327">
        <v>67</v>
      </c>
      <c r="K327">
        <v>83</v>
      </c>
      <c r="L327">
        <v>84</v>
      </c>
      <c r="M327">
        <v>4573603.6036036052</v>
      </c>
      <c r="N327">
        <v>13453153.153153157</v>
      </c>
      <c r="O327">
        <v>34323511.711711712</v>
      </c>
      <c r="P327">
        <v>35504639.639639638</v>
      </c>
      <c r="Q327">
        <v>5604504.5045045028</v>
      </c>
      <c r="R327">
        <v>8833513.5135135129</v>
      </c>
      <c r="S327">
        <v>11542</v>
      </c>
      <c r="T327">
        <v>11857</v>
      </c>
    </row>
    <row r="328" spans="1:20" x14ac:dyDescent="0.35">
      <c r="A328" s="7" t="s">
        <v>427</v>
      </c>
      <c r="B328" s="12" t="s">
        <v>241</v>
      </c>
      <c r="C328">
        <v>54216557.954314843</v>
      </c>
      <c r="D328">
        <v>54080538.500187322</v>
      </c>
      <c r="E328">
        <v>98960849.54954955</v>
      </c>
      <c r="F328">
        <v>22634538.738738742</v>
      </c>
      <c r="G328">
        <v>23</v>
      </c>
      <c r="H328">
        <v>17</v>
      </c>
      <c r="K328">
        <v>27</v>
      </c>
      <c r="L328">
        <v>22</v>
      </c>
      <c r="M328">
        <v>13630720.720720721</v>
      </c>
      <c r="N328">
        <v>7557657.6576576568</v>
      </c>
      <c r="O328">
        <v>20364693.693693694</v>
      </c>
      <c r="P328">
        <v>19381288.288288288</v>
      </c>
      <c r="Q328">
        <v>8184054.0540540554</v>
      </c>
      <c r="R328">
        <v>5062702.702702702</v>
      </c>
      <c r="S328">
        <v>5077</v>
      </c>
      <c r="T328">
        <v>5291</v>
      </c>
    </row>
    <row r="329" spans="1:20" x14ac:dyDescent="0.35">
      <c r="A329" s="7" t="s">
        <v>428</v>
      </c>
      <c r="B329" s="12" t="s">
        <v>283</v>
      </c>
      <c r="C329">
        <v>22906108.573919252</v>
      </c>
      <c r="D329">
        <v>23116570.323203351</v>
      </c>
      <c r="E329">
        <v>2702.7027027029999</v>
      </c>
      <c r="F329">
        <v>250450.450450451</v>
      </c>
      <c r="G329">
        <v>8</v>
      </c>
      <c r="H329">
        <v>1</v>
      </c>
      <c r="K329">
        <v>11</v>
      </c>
      <c r="L329">
        <v>24</v>
      </c>
      <c r="M329">
        <v>633333.33333333302</v>
      </c>
      <c r="N329">
        <v>10133333.333333334</v>
      </c>
      <c r="O329">
        <v>4265630.630630631</v>
      </c>
      <c r="P329">
        <v>5261126.1261261264</v>
      </c>
      <c r="Q329">
        <v>417117.11711711698</v>
      </c>
      <c r="R329">
        <v>5509999.9999999991</v>
      </c>
      <c r="S329">
        <v>1265</v>
      </c>
      <c r="T329">
        <v>1216</v>
      </c>
    </row>
    <row r="330" spans="1:20" x14ac:dyDescent="0.35">
      <c r="A330" s="7" t="s">
        <v>429</v>
      </c>
      <c r="B330" s="12" t="s">
        <v>283</v>
      </c>
      <c r="C330">
        <v>6977790.5958879013</v>
      </c>
      <c r="D330">
        <v>7697667.4807847897</v>
      </c>
      <c r="E330">
        <v>900.900900901</v>
      </c>
      <c r="F330">
        <v>207207.20720720699</v>
      </c>
      <c r="M330">
        <v>136036.03603603601</v>
      </c>
      <c r="N330">
        <v>3090090.090090089</v>
      </c>
      <c r="O330">
        <v>646261.26126126095</v>
      </c>
      <c r="P330">
        <v>395585.58558558498</v>
      </c>
      <c r="Q330">
        <v>163513.51351351399</v>
      </c>
      <c r="R330">
        <v>2856126.1261261259</v>
      </c>
      <c r="S330">
        <v>512</v>
      </c>
      <c r="T330">
        <v>579</v>
      </c>
    </row>
    <row r="331" spans="1:20" x14ac:dyDescent="0.35">
      <c r="A331" s="7" t="s">
        <v>430</v>
      </c>
      <c r="B331" s="12" t="s">
        <v>283</v>
      </c>
      <c r="C331">
        <v>13596775.511325421</v>
      </c>
      <c r="D331">
        <v>16677147.442600576</v>
      </c>
      <c r="F331">
        <v>180180.18018018</v>
      </c>
      <c r="G331">
        <v>3</v>
      </c>
      <c r="H331">
        <v>3</v>
      </c>
      <c r="K331">
        <v>3</v>
      </c>
      <c r="L331">
        <v>4</v>
      </c>
      <c r="N331">
        <v>270270.27027027</v>
      </c>
      <c r="O331">
        <v>1243603.603603604</v>
      </c>
      <c r="P331">
        <v>1450540.5405405411</v>
      </c>
      <c r="R331">
        <v>173423.423423423</v>
      </c>
      <c r="S331">
        <v>838</v>
      </c>
      <c r="T331">
        <v>786</v>
      </c>
    </row>
    <row r="332" spans="1:20" x14ac:dyDescent="0.35">
      <c r="A332" s="7" t="s">
        <v>431</v>
      </c>
      <c r="B332" s="12" t="s">
        <v>78</v>
      </c>
      <c r="C332">
        <v>93337874.02119562</v>
      </c>
      <c r="D332">
        <v>92719116.400622845</v>
      </c>
      <c r="E332">
        <v>602702.70270270295</v>
      </c>
      <c r="F332">
        <v>945945.94594594801</v>
      </c>
      <c r="G332">
        <v>16</v>
      </c>
      <c r="H332">
        <v>56</v>
      </c>
      <c r="K332">
        <v>17</v>
      </c>
      <c r="L332">
        <v>95</v>
      </c>
      <c r="M332">
        <v>7066666.6666666642</v>
      </c>
      <c r="N332">
        <v>7063063.0630630627</v>
      </c>
      <c r="O332">
        <v>37671666.666666664</v>
      </c>
      <c r="P332">
        <v>38651135.135135137</v>
      </c>
      <c r="Q332">
        <v>6226936.9369369373</v>
      </c>
      <c r="R332">
        <v>8075585.5855855858</v>
      </c>
      <c r="S332">
        <v>6543</v>
      </c>
      <c r="T332">
        <v>6553</v>
      </c>
    </row>
    <row r="333" spans="1:20" x14ac:dyDescent="0.35">
      <c r="A333" s="7" t="s">
        <v>432</v>
      </c>
      <c r="B333" s="12" t="s">
        <v>105</v>
      </c>
      <c r="C333">
        <v>80577416.342180148</v>
      </c>
      <c r="D333">
        <v>79782120.484388486</v>
      </c>
      <c r="E333">
        <v>78378.378378378999</v>
      </c>
      <c r="F333">
        <v>221621.62162162099</v>
      </c>
      <c r="G333">
        <v>9</v>
      </c>
      <c r="H333">
        <v>10</v>
      </c>
      <c r="K333">
        <v>10</v>
      </c>
      <c r="L333">
        <v>12</v>
      </c>
      <c r="M333">
        <v>9658918.9189189207</v>
      </c>
      <c r="N333">
        <v>7514189.1891891891</v>
      </c>
      <c r="O333">
        <v>18600754.954954956</v>
      </c>
      <c r="P333">
        <v>18816504.504504506</v>
      </c>
      <c r="Q333">
        <v>7750090.0900900904</v>
      </c>
      <c r="R333">
        <v>10893648.648648648</v>
      </c>
      <c r="S333">
        <v>3601</v>
      </c>
      <c r="T333">
        <v>3611</v>
      </c>
    </row>
    <row r="334" spans="1:20" x14ac:dyDescent="0.35">
      <c r="A334" s="7" t="s">
        <v>433</v>
      </c>
      <c r="B334" s="12" t="s">
        <v>72</v>
      </c>
      <c r="C334">
        <v>476026775.66118389</v>
      </c>
      <c r="D334">
        <v>455295694.50746822</v>
      </c>
      <c r="E334">
        <v>608558.55855856405</v>
      </c>
      <c r="F334">
        <v>3027027.027027037</v>
      </c>
      <c r="G334">
        <v>112</v>
      </c>
      <c r="H334">
        <v>118</v>
      </c>
      <c r="I334">
        <v>1</v>
      </c>
      <c r="K334">
        <v>204</v>
      </c>
      <c r="L334">
        <v>198</v>
      </c>
      <c r="M334">
        <v>72025675.675675675</v>
      </c>
      <c r="N334">
        <v>58016216.216216214</v>
      </c>
      <c r="O334">
        <v>98789448.648648649</v>
      </c>
      <c r="P334">
        <v>94999454.954954967</v>
      </c>
      <c r="Q334">
        <v>51991081.081081077</v>
      </c>
      <c r="R334">
        <v>49130630.630630635</v>
      </c>
      <c r="S334">
        <v>18200</v>
      </c>
      <c r="T334">
        <v>18423</v>
      </c>
    </row>
    <row r="335" spans="1:20" x14ac:dyDescent="0.35">
      <c r="A335" s="7" t="s">
        <v>434</v>
      </c>
      <c r="B335" s="12" t="s">
        <v>72</v>
      </c>
      <c r="C335">
        <v>336957710.46644253</v>
      </c>
      <c r="D335">
        <v>316850312.94184834</v>
      </c>
      <c r="E335">
        <v>25836036.036036037</v>
      </c>
      <c r="F335">
        <v>19022747.747747753</v>
      </c>
      <c r="G335">
        <v>54</v>
      </c>
      <c r="H335">
        <v>70</v>
      </c>
      <c r="K335">
        <v>65</v>
      </c>
      <c r="L335">
        <v>85</v>
      </c>
      <c r="M335">
        <v>33729054.054054052</v>
      </c>
      <c r="N335">
        <v>31519369.369369369</v>
      </c>
      <c r="O335">
        <v>57094779.279279277</v>
      </c>
      <c r="P335">
        <v>59478207.20720721</v>
      </c>
      <c r="Q335">
        <v>26381711.711711712</v>
      </c>
      <c r="R335">
        <v>25308558.558558561</v>
      </c>
      <c r="S335">
        <v>13676</v>
      </c>
      <c r="T335">
        <v>13796</v>
      </c>
    </row>
    <row r="336" spans="1:20" x14ac:dyDescent="0.35">
      <c r="A336" s="7" t="s">
        <v>435</v>
      </c>
      <c r="B336" s="12" t="s">
        <v>94</v>
      </c>
      <c r="C336">
        <v>24790878.913006961</v>
      </c>
      <c r="D336">
        <v>22096398.005953856</v>
      </c>
      <c r="E336">
        <v>900.900900901</v>
      </c>
      <c r="G336">
        <v>6</v>
      </c>
      <c r="H336">
        <v>1</v>
      </c>
      <c r="K336">
        <v>6</v>
      </c>
      <c r="L336">
        <v>1</v>
      </c>
      <c r="M336">
        <v>541441.44144144095</v>
      </c>
      <c r="N336">
        <v>180180.18018018</v>
      </c>
      <c r="O336">
        <v>5141801.8018018017</v>
      </c>
      <c r="P336">
        <v>5098963.963963964</v>
      </c>
      <c r="Q336">
        <v>59459.459459459002</v>
      </c>
      <c r="R336">
        <v>116666.66666666701</v>
      </c>
      <c r="S336">
        <v>920</v>
      </c>
      <c r="T336">
        <v>901</v>
      </c>
    </row>
    <row r="337" spans="1:20" x14ac:dyDescent="0.35">
      <c r="A337" s="7" t="s">
        <v>436</v>
      </c>
      <c r="B337" s="12" t="s">
        <v>89</v>
      </c>
      <c r="C337">
        <v>116706071.63140786</v>
      </c>
      <c r="D337">
        <v>119718681.79043747</v>
      </c>
      <c r="E337">
        <v>574054.05405405397</v>
      </c>
      <c r="F337">
        <v>1114414.414414417</v>
      </c>
      <c r="G337">
        <v>32</v>
      </c>
      <c r="H337">
        <v>44</v>
      </c>
      <c r="K337">
        <v>33</v>
      </c>
      <c r="L337">
        <v>48</v>
      </c>
      <c r="M337">
        <v>11754234.234234232</v>
      </c>
      <c r="N337">
        <v>15182522.522522522</v>
      </c>
      <c r="O337">
        <v>47218828.828828834</v>
      </c>
      <c r="P337">
        <v>52664837.837837838</v>
      </c>
      <c r="Q337">
        <v>11422162.162162164</v>
      </c>
      <c r="R337">
        <v>15990090.090090089</v>
      </c>
      <c r="S337">
        <v>5299</v>
      </c>
      <c r="T337">
        <v>5514</v>
      </c>
    </row>
    <row r="338" spans="1:20" x14ac:dyDescent="0.35">
      <c r="A338" s="7" t="s">
        <v>437</v>
      </c>
      <c r="B338" s="12" t="s">
        <v>70</v>
      </c>
      <c r="C338">
        <v>3765393.5038864911</v>
      </c>
      <c r="D338">
        <v>3383976.8421407421</v>
      </c>
      <c r="E338">
        <v>7528670.2702702703</v>
      </c>
      <c r="F338">
        <v>9035622.522522524</v>
      </c>
      <c r="G338">
        <v>4</v>
      </c>
      <c r="H338">
        <v>3</v>
      </c>
      <c r="K338">
        <v>4</v>
      </c>
      <c r="L338">
        <v>3</v>
      </c>
      <c r="M338">
        <v>37275941.441441439</v>
      </c>
      <c r="N338">
        <v>35894604.504504502</v>
      </c>
      <c r="O338">
        <v>1732207.2072072071</v>
      </c>
      <c r="P338">
        <v>2280846.8468468469</v>
      </c>
      <c r="S338">
        <v>1170</v>
      </c>
      <c r="T338">
        <v>1116</v>
      </c>
    </row>
    <row r="339" spans="1:20" x14ac:dyDescent="0.35">
      <c r="A339" s="7" t="s">
        <v>438</v>
      </c>
      <c r="B339" s="12" t="s">
        <v>195</v>
      </c>
      <c r="C339">
        <v>563506276.5870856</v>
      </c>
      <c r="D339">
        <v>531089299.91904849</v>
      </c>
      <c r="E339">
        <v>59480725.225225225</v>
      </c>
      <c r="F339">
        <v>34309398.198198199</v>
      </c>
      <c r="G339">
        <v>105</v>
      </c>
      <c r="H339">
        <v>125</v>
      </c>
      <c r="K339">
        <v>129</v>
      </c>
      <c r="L339">
        <v>161</v>
      </c>
      <c r="M339">
        <v>47219819.819819815</v>
      </c>
      <c r="N339">
        <v>42533513.51351352</v>
      </c>
      <c r="O339">
        <v>90031090.090090096</v>
      </c>
      <c r="P339">
        <v>93464376.126126125</v>
      </c>
      <c r="Q339">
        <v>45417747.747747742</v>
      </c>
      <c r="R339">
        <v>39569099.0990991</v>
      </c>
      <c r="S339">
        <v>20757</v>
      </c>
      <c r="T339">
        <v>20345</v>
      </c>
    </row>
    <row r="340" spans="1:20" x14ac:dyDescent="0.35">
      <c r="A340" s="7" t="s">
        <v>439</v>
      </c>
      <c r="B340" s="12" t="s">
        <v>178</v>
      </c>
      <c r="C340">
        <v>254906854.37184253</v>
      </c>
      <c r="D340">
        <v>264305636.20997149</v>
      </c>
      <c r="E340">
        <v>1225495.4954954961</v>
      </c>
      <c r="F340">
        <v>1435135.1351351391</v>
      </c>
      <c r="G340">
        <v>34</v>
      </c>
      <c r="H340">
        <v>22</v>
      </c>
      <c r="I340">
        <v>1</v>
      </c>
      <c r="K340">
        <v>48</v>
      </c>
      <c r="L340">
        <v>30</v>
      </c>
      <c r="M340">
        <v>47061621.621621624</v>
      </c>
      <c r="N340">
        <v>40644494.59459459</v>
      </c>
      <c r="O340">
        <v>99922468.468468457</v>
      </c>
      <c r="P340">
        <v>104144711.7117117</v>
      </c>
      <c r="Q340">
        <v>42402522.522522531</v>
      </c>
      <c r="R340">
        <v>36082522.522522509</v>
      </c>
      <c r="S340">
        <v>14682</v>
      </c>
      <c r="T340">
        <v>18316</v>
      </c>
    </row>
    <row r="341" spans="1:20" x14ac:dyDescent="0.35">
      <c r="A341" s="7" t="s">
        <v>440</v>
      </c>
      <c r="B341" s="12" t="s">
        <v>78</v>
      </c>
      <c r="C341">
        <v>114067327.87685288</v>
      </c>
      <c r="D341">
        <v>116512159.22791603</v>
      </c>
      <c r="E341">
        <v>871801.80180180306</v>
      </c>
      <c r="F341">
        <v>1979279.2792792821</v>
      </c>
      <c r="G341">
        <v>14</v>
      </c>
      <c r="H341">
        <v>20</v>
      </c>
      <c r="K341">
        <v>21</v>
      </c>
      <c r="L341">
        <v>24</v>
      </c>
      <c r="M341">
        <v>5250180.180180179</v>
      </c>
      <c r="N341">
        <v>10835135.135135137</v>
      </c>
      <c r="O341">
        <v>23336000</v>
      </c>
      <c r="P341">
        <v>23062558.558558561</v>
      </c>
      <c r="Q341">
        <v>7321531.5315315323</v>
      </c>
      <c r="R341">
        <v>11462342.342342343</v>
      </c>
      <c r="S341">
        <v>5001</v>
      </c>
      <c r="T341">
        <v>4831</v>
      </c>
    </row>
    <row r="342" spans="1:20" x14ac:dyDescent="0.35">
      <c r="A342" s="7" t="s">
        <v>441</v>
      </c>
      <c r="B342" s="12" t="s">
        <v>78</v>
      </c>
      <c r="C342">
        <v>50561779.919177264</v>
      </c>
      <c r="D342">
        <v>47925311.167000517</v>
      </c>
      <c r="E342">
        <v>307207.20720720902</v>
      </c>
      <c r="F342">
        <v>744144.144144146</v>
      </c>
      <c r="G342">
        <v>10</v>
      </c>
      <c r="H342">
        <v>7</v>
      </c>
      <c r="K342">
        <v>11</v>
      </c>
      <c r="L342">
        <v>8</v>
      </c>
      <c r="M342">
        <v>8325225.225225226</v>
      </c>
      <c r="N342">
        <v>12293693.693693694</v>
      </c>
      <c r="O342">
        <v>10148468.468468469</v>
      </c>
      <c r="P342">
        <v>10469909.90990991</v>
      </c>
      <c r="Q342">
        <v>12235855.855855856</v>
      </c>
      <c r="R342">
        <v>12105495.495495496</v>
      </c>
      <c r="S342">
        <v>2361</v>
      </c>
      <c r="T342">
        <v>2309</v>
      </c>
    </row>
    <row r="343" spans="1:20" x14ac:dyDescent="0.35">
      <c r="A343" s="7" t="s">
        <v>442</v>
      </c>
      <c r="B343" s="12" t="s">
        <v>123</v>
      </c>
      <c r="C343">
        <v>727476.17740075104</v>
      </c>
      <c r="D343">
        <v>859656.13793905103</v>
      </c>
      <c r="G343">
        <v>1</v>
      </c>
      <c r="K343">
        <v>1</v>
      </c>
      <c r="O343">
        <v>281351.35135135101</v>
      </c>
      <c r="P343">
        <v>382972.97297297302</v>
      </c>
      <c r="S343">
        <v>370</v>
      </c>
      <c r="T343">
        <v>329</v>
      </c>
    </row>
    <row r="344" spans="1:20" x14ac:dyDescent="0.35">
      <c r="A344" s="7" t="s">
        <v>443</v>
      </c>
      <c r="B344" s="12" t="s">
        <v>140</v>
      </c>
      <c r="C344">
        <v>116375954.33329046</v>
      </c>
      <c r="D344">
        <v>119725208.63048618</v>
      </c>
      <c r="E344">
        <v>554054.05405405397</v>
      </c>
      <c r="F344">
        <v>383333.33333333198</v>
      </c>
      <c r="G344">
        <v>10</v>
      </c>
      <c r="H344">
        <v>19</v>
      </c>
      <c r="K344">
        <v>11</v>
      </c>
      <c r="L344">
        <v>25</v>
      </c>
      <c r="M344">
        <v>10522072.072072072</v>
      </c>
      <c r="N344">
        <v>13485405.405405404</v>
      </c>
      <c r="O344">
        <v>27492297.297297295</v>
      </c>
      <c r="P344">
        <v>31188756.75675676</v>
      </c>
      <c r="Q344">
        <v>10165675.675675675</v>
      </c>
      <c r="R344">
        <v>9959549.549549548</v>
      </c>
      <c r="S344">
        <v>5703</v>
      </c>
      <c r="T344">
        <v>5796</v>
      </c>
    </row>
    <row r="345" spans="1:20" x14ac:dyDescent="0.35">
      <c r="A345" s="7" t="s">
        <v>444</v>
      </c>
      <c r="B345" s="12" t="s">
        <v>76</v>
      </c>
      <c r="C345">
        <v>12649244.822980519</v>
      </c>
      <c r="D345">
        <v>13228149.2979025</v>
      </c>
      <c r="E345">
        <v>37837.837837838</v>
      </c>
      <c r="F345">
        <v>152252.25225225199</v>
      </c>
      <c r="G345">
        <v>4</v>
      </c>
      <c r="H345">
        <v>2</v>
      </c>
      <c r="K345">
        <v>5</v>
      </c>
      <c r="L345">
        <v>2</v>
      </c>
      <c r="M345">
        <v>7055855.855855857</v>
      </c>
      <c r="N345">
        <v>2179279.2792792791</v>
      </c>
      <c r="O345">
        <v>2906216.2162162159</v>
      </c>
      <c r="P345">
        <v>2890036.036036036</v>
      </c>
      <c r="Q345">
        <v>3686666.666666667</v>
      </c>
      <c r="R345">
        <v>1856666.666666667</v>
      </c>
      <c r="S345">
        <v>618</v>
      </c>
      <c r="T345">
        <v>572</v>
      </c>
    </row>
    <row r="346" spans="1:20" x14ac:dyDescent="0.35">
      <c r="A346" s="7" t="s">
        <v>445</v>
      </c>
      <c r="B346" s="12" t="s">
        <v>89</v>
      </c>
      <c r="C346">
        <v>364119844.02866364</v>
      </c>
      <c r="D346">
        <v>368482543.04070604</v>
      </c>
      <c r="E346">
        <v>30008762.162162162</v>
      </c>
      <c r="F346">
        <v>245283453.15315315</v>
      </c>
      <c r="G346">
        <v>59</v>
      </c>
      <c r="H346">
        <v>90</v>
      </c>
      <c r="I346">
        <v>2</v>
      </c>
      <c r="K346">
        <v>77</v>
      </c>
      <c r="L346">
        <v>106</v>
      </c>
      <c r="M346">
        <v>34567837.837837838</v>
      </c>
      <c r="N346">
        <v>213625675.67567569</v>
      </c>
      <c r="O346">
        <v>105780351.35135135</v>
      </c>
      <c r="P346">
        <v>115374691.89189188</v>
      </c>
      <c r="Q346">
        <v>34203513.513513513</v>
      </c>
      <c r="R346">
        <v>110119819.81981981</v>
      </c>
      <c r="S346">
        <v>16289</v>
      </c>
      <c r="T346">
        <v>16367</v>
      </c>
    </row>
    <row r="347" spans="1:20" x14ac:dyDescent="0.35">
      <c r="A347" s="7" t="s">
        <v>446</v>
      </c>
      <c r="B347" s="12" t="s">
        <v>48</v>
      </c>
      <c r="C347">
        <v>36695896.293342255</v>
      </c>
      <c r="D347">
        <v>35216894.388009891</v>
      </c>
      <c r="E347">
        <v>453153.15315315302</v>
      </c>
      <c r="F347">
        <v>612612.61261261301</v>
      </c>
      <c r="L347">
        <v>3</v>
      </c>
      <c r="M347">
        <v>3823963.963963964</v>
      </c>
      <c r="N347">
        <v>3789189.18918919</v>
      </c>
      <c r="O347">
        <v>11764909.90990991</v>
      </c>
      <c r="P347">
        <v>11510180.180180181</v>
      </c>
      <c r="Q347">
        <v>3926846.8468468478</v>
      </c>
      <c r="R347">
        <v>3815045.0450450452</v>
      </c>
      <c r="S347">
        <v>1091</v>
      </c>
      <c r="T347">
        <v>1086</v>
      </c>
    </row>
    <row r="348" spans="1:20" x14ac:dyDescent="0.35">
      <c r="A348" s="7" t="s">
        <v>447</v>
      </c>
      <c r="B348" s="12" t="s">
        <v>448</v>
      </c>
      <c r="C348">
        <v>71854338.571600154</v>
      </c>
      <c r="D348">
        <v>69175772.889236569</v>
      </c>
      <c r="E348">
        <v>494594.59459459502</v>
      </c>
      <c r="F348">
        <v>1750450.450450453</v>
      </c>
      <c r="G348">
        <v>494</v>
      </c>
      <c r="H348">
        <v>61</v>
      </c>
      <c r="K348">
        <v>526</v>
      </c>
      <c r="L348">
        <v>88</v>
      </c>
      <c r="M348">
        <v>5256126.1261261273</v>
      </c>
      <c r="N348">
        <v>7020720.7207207233</v>
      </c>
      <c r="O348">
        <v>30665405.405405402</v>
      </c>
      <c r="P348">
        <v>28507000</v>
      </c>
      <c r="Q348">
        <v>5467747.7477477482</v>
      </c>
      <c r="R348">
        <v>7090630.6306306347</v>
      </c>
      <c r="S348">
        <v>5698</v>
      </c>
      <c r="T348">
        <v>5610</v>
      </c>
    </row>
    <row r="349" spans="1:20" x14ac:dyDescent="0.35">
      <c r="A349" s="7" t="s">
        <v>449</v>
      </c>
      <c r="B349" s="12" t="s">
        <v>76</v>
      </c>
      <c r="C349">
        <v>18562813.209588505</v>
      </c>
      <c r="D349">
        <v>16505894.787311424</v>
      </c>
      <c r="E349">
        <v>24330630.630630631</v>
      </c>
      <c r="F349">
        <v>118018.018018018</v>
      </c>
      <c r="G349">
        <v>4</v>
      </c>
      <c r="H349">
        <v>8</v>
      </c>
      <c r="K349">
        <v>6</v>
      </c>
      <c r="L349">
        <v>9</v>
      </c>
      <c r="M349">
        <v>3199099.0990990992</v>
      </c>
      <c r="N349">
        <v>6071891.8918918911</v>
      </c>
      <c r="O349">
        <v>6401621.6216216218</v>
      </c>
      <c r="P349">
        <v>5303036.036036036</v>
      </c>
      <c r="Q349">
        <v>2836576.576576578</v>
      </c>
      <c r="R349">
        <v>4442972.9729729742</v>
      </c>
      <c r="S349">
        <v>1856</v>
      </c>
      <c r="T349">
        <v>1818</v>
      </c>
    </row>
    <row r="350" spans="1:20" x14ac:dyDescent="0.35">
      <c r="A350" s="7" t="s">
        <v>450</v>
      </c>
      <c r="B350" s="12" t="s">
        <v>83</v>
      </c>
      <c r="C350">
        <v>654508285.00105214</v>
      </c>
      <c r="D350">
        <v>658092968.60578668</v>
      </c>
      <c r="E350">
        <v>341398700.9009009</v>
      </c>
      <c r="F350">
        <v>97616475.675675675</v>
      </c>
      <c r="G350">
        <v>106</v>
      </c>
      <c r="H350">
        <v>133</v>
      </c>
      <c r="I350">
        <v>5</v>
      </c>
      <c r="K350">
        <v>127</v>
      </c>
      <c r="L350">
        <v>171</v>
      </c>
      <c r="M350">
        <v>60902432.432432421</v>
      </c>
      <c r="N350">
        <v>77225855.855855852</v>
      </c>
      <c r="O350">
        <v>133254522.52252252</v>
      </c>
      <c r="P350">
        <v>136871090.0900901</v>
      </c>
      <c r="Q350">
        <v>61475405.405405402</v>
      </c>
      <c r="R350">
        <v>70058108.108108118</v>
      </c>
      <c r="S350">
        <v>32001</v>
      </c>
      <c r="T350">
        <v>31654</v>
      </c>
    </row>
    <row r="351" spans="1:20" x14ac:dyDescent="0.35">
      <c r="A351" s="7" t="s">
        <v>451</v>
      </c>
      <c r="B351" s="12" t="s">
        <v>70</v>
      </c>
      <c r="C351">
        <v>46308999.11678084</v>
      </c>
      <c r="D351">
        <v>41384285.073363103</v>
      </c>
      <c r="E351">
        <v>144144.144144144</v>
      </c>
      <c r="F351">
        <v>44144.144144143997</v>
      </c>
      <c r="G351">
        <v>5</v>
      </c>
      <c r="H351">
        <v>8</v>
      </c>
      <c r="K351">
        <v>5</v>
      </c>
      <c r="L351">
        <v>8</v>
      </c>
      <c r="M351">
        <v>144144.144144144</v>
      </c>
      <c r="N351">
        <v>689189.189189189</v>
      </c>
      <c r="O351">
        <v>25543648.648648649</v>
      </c>
      <c r="P351">
        <v>25519225.225225225</v>
      </c>
      <c r="Q351">
        <v>764774.77477477503</v>
      </c>
      <c r="R351">
        <v>690630.630630631</v>
      </c>
      <c r="S351">
        <v>2826</v>
      </c>
      <c r="T351">
        <v>2790</v>
      </c>
    </row>
    <row r="352" spans="1:20" x14ac:dyDescent="0.35">
      <c r="A352" s="7" t="s">
        <v>452</v>
      </c>
      <c r="B352" s="12" t="s">
        <v>167</v>
      </c>
      <c r="C352">
        <v>52155496.069287591</v>
      </c>
      <c r="D352">
        <v>50106863.783333734</v>
      </c>
      <c r="E352">
        <v>11711.711711712</v>
      </c>
      <c r="F352">
        <v>225225.225225225</v>
      </c>
      <c r="G352">
        <v>2</v>
      </c>
      <c r="H352">
        <v>2</v>
      </c>
      <c r="I352">
        <v>1</v>
      </c>
      <c r="K352">
        <v>2</v>
      </c>
      <c r="L352">
        <v>4</v>
      </c>
      <c r="M352">
        <v>3380720.7207207219</v>
      </c>
      <c r="N352">
        <v>450450.45045045001</v>
      </c>
      <c r="O352">
        <v>8516351.3513513505</v>
      </c>
      <c r="P352">
        <v>9689207.2072072085</v>
      </c>
      <c r="Q352">
        <v>3946756.7567567579</v>
      </c>
      <c r="R352">
        <v>2022072.072072072</v>
      </c>
      <c r="S352">
        <v>2770</v>
      </c>
      <c r="T352">
        <v>2885</v>
      </c>
    </row>
    <row r="353" spans="1:20" x14ac:dyDescent="0.35">
      <c r="A353" s="7" t="s">
        <v>453</v>
      </c>
      <c r="B353" s="12" t="s">
        <v>121</v>
      </c>
      <c r="C353">
        <v>3068518.5734487209</v>
      </c>
      <c r="D353">
        <v>2299065.3452943452</v>
      </c>
      <c r="F353">
        <v>34234.234234233998</v>
      </c>
      <c r="G353">
        <v>1</v>
      </c>
      <c r="K353">
        <v>1</v>
      </c>
      <c r="N353">
        <v>36036.036036035999</v>
      </c>
      <c r="O353">
        <v>223828.82882882899</v>
      </c>
      <c r="P353">
        <v>194864.864864865</v>
      </c>
      <c r="S353">
        <v>143</v>
      </c>
      <c r="T353">
        <v>58</v>
      </c>
    </row>
    <row r="354" spans="1:20" x14ac:dyDescent="0.35">
      <c r="A354" s="7" t="s">
        <v>454</v>
      </c>
      <c r="B354" s="12" t="s">
        <v>224</v>
      </c>
      <c r="C354">
        <v>21986816.777358696</v>
      </c>
      <c r="D354">
        <v>16330348.681804108</v>
      </c>
      <c r="G354">
        <v>1</v>
      </c>
      <c r="K354">
        <v>1</v>
      </c>
      <c r="L354">
        <v>1</v>
      </c>
      <c r="O354">
        <v>3928063.0630630632</v>
      </c>
      <c r="P354">
        <v>3414045.0450450452</v>
      </c>
      <c r="Q354">
        <v>135585.585585586</v>
      </c>
      <c r="R354">
        <v>66216.216216215995</v>
      </c>
      <c r="S354">
        <v>1280</v>
      </c>
      <c r="T354">
        <v>1284</v>
      </c>
    </row>
    <row r="355" spans="1:20" x14ac:dyDescent="0.35">
      <c r="A355" s="7" t="s">
        <v>455</v>
      </c>
      <c r="B355" s="12" t="s">
        <v>94</v>
      </c>
      <c r="C355">
        <v>23179510.441035345</v>
      </c>
      <c r="D355">
        <v>28100924.839004964</v>
      </c>
      <c r="E355">
        <v>54054.054054054002</v>
      </c>
      <c r="F355">
        <v>270270.27027027099</v>
      </c>
      <c r="G355">
        <v>9</v>
      </c>
      <c r="H355">
        <v>9</v>
      </c>
      <c r="K355">
        <v>10</v>
      </c>
      <c r="L355">
        <v>11</v>
      </c>
      <c r="M355">
        <v>3583783.7837837841</v>
      </c>
      <c r="N355">
        <v>13027027.027027028</v>
      </c>
      <c r="O355">
        <v>4847162.1621621624</v>
      </c>
      <c r="P355">
        <v>7419707.2072072066</v>
      </c>
      <c r="Q355">
        <v>3821711.7117117108</v>
      </c>
      <c r="R355">
        <v>14067387.387387387</v>
      </c>
      <c r="S355">
        <v>1977</v>
      </c>
      <c r="T355">
        <v>2029</v>
      </c>
    </row>
    <row r="356" spans="1:20" x14ac:dyDescent="0.35">
      <c r="A356" s="7" t="s">
        <v>670</v>
      </c>
      <c r="B356" s="12" t="s">
        <v>189</v>
      </c>
      <c r="F356">
        <v>3603603.6036036038</v>
      </c>
      <c r="M356">
        <v>81081.081081081007</v>
      </c>
      <c r="N356">
        <v>486486.48648648598</v>
      </c>
    </row>
    <row r="357" spans="1:20" x14ac:dyDescent="0.35">
      <c r="A357" s="7" t="s">
        <v>456</v>
      </c>
      <c r="B357" s="12" t="s">
        <v>60</v>
      </c>
      <c r="C357">
        <v>5065205.6306611681</v>
      </c>
      <c r="D357">
        <v>3902708.2974476428</v>
      </c>
      <c r="E357">
        <v>291891.89189189201</v>
      </c>
      <c r="F357">
        <v>90990.990990991006</v>
      </c>
      <c r="G357">
        <v>5</v>
      </c>
      <c r="H357">
        <v>1</v>
      </c>
      <c r="K357">
        <v>5</v>
      </c>
      <c r="L357">
        <v>3</v>
      </c>
      <c r="M357">
        <v>922522.52252252295</v>
      </c>
      <c r="N357">
        <v>991891.89189189102</v>
      </c>
      <c r="O357">
        <v>2935000</v>
      </c>
      <c r="P357">
        <v>1526216.2162162149</v>
      </c>
      <c r="Q357">
        <v>771621.62162162201</v>
      </c>
      <c r="R357">
        <v>63513.513513514001</v>
      </c>
      <c r="S357">
        <v>657</v>
      </c>
      <c r="T357">
        <v>579</v>
      </c>
    </row>
    <row r="358" spans="1:20" x14ac:dyDescent="0.35">
      <c r="A358" s="7" t="s">
        <v>457</v>
      </c>
      <c r="B358" s="12" t="s">
        <v>214</v>
      </c>
      <c r="C358">
        <v>65719394.131903484</v>
      </c>
      <c r="D358">
        <v>69760276.699856117</v>
      </c>
      <c r="F358">
        <v>261261.26126126101</v>
      </c>
      <c r="G358">
        <v>8</v>
      </c>
      <c r="H358">
        <v>12</v>
      </c>
      <c r="K358">
        <v>10</v>
      </c>
      <c r="L358">
        <v>26</v>
      </c>
      <c r="M358">
        <v>450450.45045045001</v>
      </c>
      <c r="N358">
        <v>261261.26126126101</v>
      </c>
      <c r="O358">
        <v>33107297.297297295</v>
      </c>
      <c r="P358">
        <v>35907387.387387387</v>
      </c>
      <c r="Q358">
        <v>432432.43243243202</v>
      </c>
      <c r="R358">
        <v>1099099.0990990989</v>
      </c>
      <c r="S358">
        <v>3097</v>
      </c>
      <c r="T358">
        <v>2928</v>
      </c>
    </row>
    <row r="359" spans="1:20" x14ac:dyDescent="0.35">
      <c r="A359" s="7" t="s">
        <v>458</v>
      </c>
      <c r="B359" s="12" t="s">
        <v>459</v>
      </c>
      <c r="C359">
        <v>285847250.3429265</v>
      </c>
      <c r="D359">
        <v>273980792.58049655</v>
      </c>
      <c r="E359">
        <v>152567387.38738739</v>
      </c>
      <c r="F359">
        <v>210333963.96396396</v>
      </c>
      <c r="G359">
        <v>90</v>
      </c>
      <c r="H359">
        <v>100</v>
      </c>
      <c r="I359">
        <v>2</v>
      </c>
      <c r="K359">
        <v>145</v>
      </c>
      <c r="L359">
        <v>146</v>
      </c>
      <c r="M359">
        <v>39480855.855855852</v>
      </c>
      <c r="N359">
        <v>89054054.054054052</v>
      </c>
      <c r="O359">
        <v>95194495.495495498</v>
      </c>
      <c r="P359">
        <v>98453639.639639631</v>
      </c>
      <c r="Q359">
        <v>28519099.099099096</v>
      </c>
      <c r="R359">
        <v>50425135.135135129</v>
      </c>
      <c r="S359">
        <v>25510</v>
      </c>
      <c r="T359">
        <v>24653</v>
      </c>
    </row>
    <row r="360" spans="1:20" x14ac:dyDescent="0.35">
      <c r="A360" s="7" t="s">
        <v>460</v>
      </c>
      <c r="B360" s="12" t="s">
        <v>459</v>
      </c>
      <c r="C360">
        <v>481595503.21665037</v>
      </c>
      <c r="D360">
        <v>651556726.59581149</v>
      </c>
      <c r="E360">
        <v>5757837.8378378432</v>
      </c>
      <c r="F360">
        <v>4901801.8018018072</v>
      </c>
      <c r="G360">
        <v>207</v>
      </c>
      <c r="H360">
        <v>171</v>
      </c>
      <c r="I360">
        <v>1</v>
      </c>
      <c r="K360">
        <v>277</v>
      </c>
      <c r="L360">
        <v>250</v>
      </c>
      <c r="M360">
        <v>35898333.333333336</v>
      </c>
      <c r="N360">
        <v>42751351.351351343</v>
      </c>
      <c r="O360">
        <v>129724027.02702703</v>
      </c>
      <c r="P360">
        <v>322899563.06306303</v>
      </c>
      <c r="Q360">
        <v>31236351.351351351</v>
      </c>
      <c r="R360">
        <v>42790630.630630627</v>
      </c>
      <c r="S360">
        <v>31788</v>
      </c>
      <c r="T360">
        <v>31985</v>
      </c>
    </row>
    <row r="361" spans="1:20" x14ac:dyDescent="0.35">
      <c r="A361" s="7" t="s">
        <v>461</v>
      </c>
      <c r="B361" s="12" t="s">
        <v>459</v>
      </c>
      <c r="C361">
        <v>425248882.13213611</v>
      </c>
      <c r="D361">
        <v>439710096.32370836</v>
      </c>
      <c r="E361">
        <v>550900.90090090304</v>
      </c>
      <c r="F361">
        <v>3717117.1171171218</v>
      </c>
      <c r="G361">
        <v>167</v>
      </c>
      <c r="H361">
        <v>99</v>
      </c>
      <c r="I361">
        <v>4</v>
      </c>
      <c r="K361">
        <v>214</v>
      </c>
      <c r="L361">
        <v>168</v>
      </c>
      <c r="M361">
        <v>785906036.03603613</v>
      </c>
      <c r="N361">
        <v>108812612.61261261</v>
      </c>
      <c r="O361">
        <v>110915391.89189188</v>
      </c>
      <c r="P361">
        <v>123845432.43243243</v>
      </c>
      <c r="Q361">
        <v>719763783.78378379</v>
      </c>
      <c r="R361">
        <v>58995855.855855852</v>
      </c>
      <c r="S361">
        <v>23911</v>
      </c>
      <c r="T361">
        <v>22625</v>
      </c>
    </row>
    <row r="362" spans="1:20" x14ac:dyDescent="0.35">
      <c r="A362" s="7" t="s">
        <v>462</v>
      </c>
      <c r="B362" s="12" t="s">
        <v>459</v>
      </c>
      <c r="C362">
        <v>316396675.56122828</v>
      </c>
      <c r="D362">
        <v>307641104.12711471</v>
      </c>
      <c r="E362">
        <v>96756.756756759001</v>
      </c>
      <c r="F362">
        <v>1043243.243243247</v>
      </c>
      <c r="G362">
        <v>72</v>
      </c>
      <c r="H362">
        <v>71</v>
      </c>
      <c r="K362">
        <v>89</v>
      </c>
      <c r="L362">
        <v>119</v>
      </c>
      <c r="M362">
        <v>15989099.099099096</v>
      </c>
      <c r="N362">
        <v>20953333.333333332</v>
      </c>
      <c r="O362">
        <v>69105980.180180177</v>
      </c>
      <c r="P362">
        <v>72281243.243243247</v>
      </c>
      <c r="Q362">
        <v>20376036.036036037</v>
      </c>
      <c r="R362">
        <v>20017117.117117107</v>
      </c>
      <c r="S362">
        <v>19333</v>
      </c>
      <c r="T362">
        <v>18463</v>
      </c>
    </row>
    <row r="363" spans="1:20" x14ac:dyDescent="0.35">
      <c r="A363" s="7" t="s">
        <v>463</v>
      </c>
      <c r="B363" s="12" t="s">
        <v>459</v>
      </c>
      <c r="C363">
        <v>302880024.78995258</v>
      </c>
      <c r="D363">
        <v>311594156.20491672</v>
      </c>
      <c r="E363">
        <v>632432.43243243406</v>
      </c>
      <c r="F363">
        <v>4211036.0360360434</v>
      </c>
      <c r="G363">
        <v>78</v>
      </c>
      <c r="H363">
        <v>136</v>
      </c>
      <c r="K363">
        <v>108</v>
      </c>
      <c r="L363">
        <v>245</v>
      </c>
      <c r="M363">
        <v>20970270.270270269</v>
      </c>
      <c r="N363">
        <v>40112972.972972974</v>
      </c>
      <c r="O363">
        <v>112012873.87387387</v>
      </c>
      <c r="P363">
        <v>124531686.93693694</v>
      </c>
      <c r="Q363">
        <v>19495045.045045041</v>
      </c>
      <c r="R363">
        <v>37013783.783783779</v>
      </c>
      <c r="S363">
        <v>26122</v>
      </c>
      <c r="T363">
        <v>26457</v>
      </c>
    </row>
    <row r="364" spans="1:20" x14ac:dyDescent="0.35">
      <c r="A364" s="7" t="s">
        <v>464</v>
      </c>
      <c r="B364" s="12" t="s">
        <v>459</v>
      </c>
      <c r="C364">
        <v>338689142.39508837</v>
      </c>
      <c r="D364">
        <v>357092650.43003911</v>
      </c>
      <c r="E364">
        <v>968499590.990991</v>
      </c>
      <c r="F364">
        <v>303332624.32432437</v>
      </c>
      <c r="G364">
        <v>139</v>
      </c>
      <c r="H364">
        <v>95</v>
      </c>
      <c r="K364">
        <v>169</v>
      </c>
      <c r="L364">
        <v>150</v>
      </c>
      <c r="M364">
        <v>46444054.054054052</v>
      </c>
      <c r="N364">
        <v>46309684.684684671</v>
      </c>
      <c r="O364">
        <v>148315935.13513514</v>
      </c>
      <c r="P364">
        <v>153448146.3963964</v>
      </c>
      <c r="Q364">
        <v>44865045.045045048</v>
      </c>
      <c r="R364">
        <v>47924639.639639631</v>
      </c>
      <c r="S364">
        <v>28127</v>
      </c>
      <c r="T364">
        <v>28375</v>
      </c>
    </row>
    <row r="365" spans="1:20" x14ac:dyDescent="0.35">
      <c r="A365" s="7" t="s">
        <v>465</v>
      </c>
      <c r="B365" s="12" t="s">
        <v>54</v>
      </c>
      <c r="C365">
        <v>24190298.307508629</v>
      </c>
      <c r="D365">
        <v>23291011.131699473</v>
      </c>
      <c r="E365">
        <v>8108.1081081089997</v>
      </c>
      <c r="F365">
        <v>95495.495495497002</v>
      </c>
      <c r="G365">
        <v>2</v>
      </c>
      <c r="H365">
        <v>5</v>
      </c>
      <c r="K365">
        <v>2</v>
      </c>
      <c r="L365">
        <v>9</v>
      </c>
      <c r="M365">
        <v>1207207.2072072071</v>
      </c>
      <c r="N365">
        <v>1773693.6936936949</v>
      </c>
      <c r="O365">
        <v>5269729.7297297297</v>
      </c>
      <c r="P365">
        <v>4391981.9819819815</v>
      </c>
      <c r="Q365">
        <v>1789189.1891891891</v>
      </c>
      <c r="R365">
        <v>1621081.0810810821</v>
      </c>
      <c r="S365">
        <v>1253</v>
      </c>
      <c r="T365">
        <v>1219</v>
      </c>
    </row>
    <row r="366" spans="1:20" x14ac:dyDescent="0.35">
      <c r="A366" s="7" t="s">
        <v>466</v>
      </c>
      <c r="B366" s="12" t="s">
        <v>87</v>
      </c>
      <c r="C366">
        <v>1056607.4208736641</v>
      </c>
      <c r="D366">
        <v>907250.27171990799</v>
      </c>
      <c r="O366">
        <v>257432.43243243199</v>
      </c>
      <c r="P366">
        <v>140765.765765766</v>
      </c>
      <c r="S366">
        <v>94</v>
      </c>
      <c r="T366">
        <v>97</v>
      </c>
    </row>
    <row r="367" spans="1:20" x14ac:dyDescent="0.35">
      <c r="A367" s="7" t="s">
        <v>467</v>
      </c>
      <c r="B367" s="12" t="s">
        <v>143</v>
      </c>
      <c r="C367">
        <v>124554900.67768314</v>
      </c>
      <c r="D367">
        <v>112280510.13156764</v>
      </c>
      <c r="E367">
        <v>25225.225225225</v>
      </c>
      <c r="F367">
        <v>6455855.855855857</v>
      </c>
      <c r="G367">
        <v>37</v>
      </c>
      <c r="H367">
        <v>28</v>
      </c>
      <c r="K367">
        <v>40</v>
      </c>
      <c r="L367">
        <v>37</v>
      </c>
      <c r="M367">
        <v>6840090.0900900904</v>
      </c>
      <c r="N367">
        <v>7924324.3243243247</v>
      </c>
      <c r="O367">
        <v>19848711.711711712</v>
      </c>
      <c r="P367">
        <v>16286627.027027028</v>
      </c>
      <c r="Q367">
        <v>6288648.6486486476</v>
      </c>
      <c r="R367">
        <v>4024414.4144144142</v>
      </c>
      <c r="S367">
        <v>5099</v>
      </c>
      <c r="T367">
        <v>4922</v>
      </c>
    </row>
    <row r="368" spans="1:20" x14ac:dyDescent="0.35">
      <c r="A368" s="7" t="s">
        <v>468</v>
      </c>
      <c r="B368" s="12" t="s">
        <v>80</v>
      </c>
      <c r="C368">
        <v>105712755.06843013</v>
      </c>
      <c r="D368">
        <v>97347846.47918795</v>
      </c>
      <c r="E368">
        <v>3603.603603604</v>
      </c>
      <c r="F368">
        <v>31081.081081082</v>
      </c>
      <c r="G368">
        <v>11</v>
      </c>
      <c r="H368">
        <v>10</v>
      </c>
      <c r="K368">
        <v>12</v>
      </c>
      <c r="L368">
        <v>12</v>
      </c>
      <c r="M368">
        <v>3384684.684684685</v>
      </c>
      <c r="N368">
        <v>1009459.45945946</v>
      </c>
      <c r="O368">
        <v>37826863.063063063</v>
      </c>
      <c r="P368">
        <v>36332855.855855852</v>
      </c>
      <c r="Q368">
        <v>3437567.5675675678</v>
      </c>
      <c r="R368">
        <v>1819729.7297297299</v>
      </c>
      <c r="S368">
        <v>5166</v>
      </c>
      <c r="T368">
        <v>5183</v>
      </c>
    </row>
    <row r="369" spans="1:20" x14ac:dyDescent="0.35">
      <c r="A369" s="7" t="s">
        <v>469</v>
      </c>
      <c r="B369" s="12" t="s">
        <v>470</v>
      </c>
      <c r="C369">
        <v>113261517.85300668</v>
      </c>
      <c r="D369">
        <v>117012926.37534891</v>
      </c>
      <c r="E369">
        <v>42072.072072071998</v>
      </c>
      <c r="F369">
        <v>882882.88288288296</v>
      </c>
      <c r="G369">
        <v>25</v>
      </c>
      <c r="H369">
        <v>9</v>
      </c>
      <c r="K369">
        <v>30</v>
      </c>
      <c r="L369">
        <v>11</v>
      </c>
      <c r="M369">
        <v>3645675.6756756748</v>
      </c>
      <c r="N369">
        <v>10018018.018018018</v>
      </c>
      <c r="O369">
        <v>34532216.216216214</v>
      </c>
      <c r="P369">
        <v>35575432.432432435</v>
      </c>
      <c r="Q369">
        <v>4465225.2252252251</v>
      </c>
      <c r="R369">
        <v>10986666.666666668</v>
      </c>
      <c r="S369">
        <v>5510</v>
      </c>
      <c r="T369">
        <v>5512</v>
      </c>
    </row>
    <row r="370" spans="1:20" x14ac:dyDescent="0.35">
      <c r="A370" s="7" t="s">
        <v>471</v>
      </c>
      <c r="B370" s="12" t="s">
        <v>470</v>
      </c>
      <c r="C370">
        <v>10531543.785536643</v>
      </c>
      <c r="D370">
        <v>8712341.1259990931</v>
      </c>
      <c r="E370">
        <v>40307729.729729727</v>
      </c>
      <c r="F370">
        <v>68064842.342342347</v>
      </c>
      <c r="M370">
        <v>8778537.8378378376</v>
      </c>
      <c r="N370">
        <v>10038283.783783784</v>
      </c>
      <c r="O370">
        <v>780045.04504504497</v>
      </c>
      <c r="P370">
        <v>921756.75675675704</v>
      </c>
      <c r="R370">
        <v>1693693.693693694</v>
      </c>
      <c r="S370">
        <v>637</v>
      </c>
      <c r="T370">
        <v>640</v>
      </c>
    </row>
    <row r="371" spans="1:20" x14ac:dyDescent="0.35">
      <c r="A371" s="7" t="s">
        <v>472</v>
      </c>
      <c r="B371" s="12" t="s">
        <v>470</v>
      </c>
      <c r="C371">
        <v>1490463.9270394039</v>
      </c>
      <c r="D371">
        <v>1288697.2000087141</v>
      </c>
      <c r="E371">
        <v>1801.801801802</v>
      </c>
      <c r="F371">
        <v>79967567.567567572</v>
      </c>
      <c r="M371">
        <v>4446396.3963963967</v>
      </c>
      <c r="N371">
        <v>2064864.8648648651</v>
      </c>
      <c r="O371">
        <v>294594.59459459502</v>
      </c>
      <c r="P371">
        <v>327342.34234234202</v>
      </c>
      <c r="Q371">
        <v>136936.93693693701</v>
      </c>
      <c r="R371">
        <v>1693693.693693694</v>
      </c>
      <c r="S371">
        <v>348</v>
      </c>
      <c r="T371">
        <v>339</v>
      </c>
    </row>
    <row r="372" spans="1:20" x14ac:dyDescent="0.35">
      <c r="A372" s="7" t="s">
        <v>473</v>
      </c>
      <c r="B372" s="12" t="s">
        <v>470</v>
      </c>
      <c r="C372">
        <v>39265742.040538326</v>
      </c>
      <c r="D372">
        <v>42728206.085155681</v>
      </c>
      <c r="E372">
        <v>189189.189189189</v>
      </c>
      <c r="F372">
        <v>219819.81981982</v>
      </c>
      <c r="G372">
        <v>5</v>
      </c>
      <c r="H372">
        <v>7</v>
      </c>
      <c r="K372">
        <v>8</v>
      </c>
      <c r="L372">
        <v>10</v>
      </c>
      <c r="M372">
        <v>279279.279279279</v>
      </c>
      <c r="N372">
        <v>2093693.693693694</v>
      </c>
      <c r="O372">
        <v>5246117.1171171172</v>
      </c>
      <c r="P372">
        <v>6364729.7297297297</v>
      </c>
      <c r="Q372">
        <v>4384504.5045045046</v>
      </c>
      <c r="R372">
        <v>10838108.108108109</v>
      </c>
      <c r="S372">
        <v>2059</v>
      </c>
      <c r="T372">
        <v>2085</v>
      </c>
    </row>
    <row r="373" spans="1:20" x14ac:dyDescent="0.35">
      <c r="A373" s="7" t="s">
        <v>474</v>
      </c>
      <c r="B373" s="12" t="s">
        <v>470</v>
      </c>
      <c r="C373">
        <v>57615099.976517364</v>
      </c>
      <c r="D373">
        <v>58464679.79961136</v>
      </c>
      <c r="E373">
        <v>17657.657657658001</v>
      </c>
      <c r="F373">
        <v>418018.01801801898</v>
      </c>
      <c r="G373">
        <v>13</v>
      </c>
      <c r="H373">
        <v>17</v>
      </c>
      <c r="K373">
        <v>17</v>
      </c>
      <c r="L373">
        <v>21</v>
      </c>
      <c r="M373">
        <v>1819459.4594594589</v>
      </c>
      <c r="N373">
        <v>5949549.5495495498</v>
      </c>
      <c r="O373">
        <v>13077387.387387387</v>
      </c>
      <c r="P373">
        <v>13302486.486486485</v>
      </c>
      <c r="Q373">
        <v>1383963.963963964</v>
      </c>
      <c r="R373">
        <v>6008018.0180180194</v>
      </c>
      <c r="S373">
        <v>2406</v>
      </c>
      <c r="T373">
        <v>2382</v>
      </c>
    </row>
    <row r="374" spans="1:20" x14ac:dyDescent="0.35">
      <c r="A374" s="7" t="s">
        <v>475</v>
      </c>
      <c r="B374" s="12" t="s">
        <v>470</v>
      </c>
      <c r="C374">
        <v>21997345.417838484</v>
      </c>
      <c r="D374">
        <v>22134190.222790163</v>
      </c>
      <c r="E374">
        <v>5405.4054054050002</v>
      </c>
      <c r="F374">
        <v>263063.06306306302</v>
      </c>
      <c r="G374">
        <v>3</v>
      </c>
      <c r="H374">
        <v>1</v>
      </c>
      <c r="K374">
        <v>4</v>
      </c>
      <c r="L374">
        <v>1</v>
      </c>
      <c r="M374">
        <v>455855.85585585498</v>
      </c>
      <c r="N374">
        <v>4776576.5765765766</v>
      </c>
      <c r="O374">
        <v>4860315.3153153164</v>
      </c>
      <c r="P374">
        <v>4533756.7567567565</v>
      </c>
      <c r="Q374">
        <v>1366666.666666666</v>
      </c>
      <c r="R374">
        <v>4232972.9729729732</v>
      </c>
      <c r="S374">
        <v>1383</v>
      </c>
      <c r="T374">
        <v>1380</v>
      </c>
    </row>
    <row r="375" spans="1:20" x14ac:dyDescent="0.35">
      <c r="A375" s="7" t="s">
        <v>476</v>
      </c>
      <c r="B375" s="12" t="s">
        <v>470</v>
      </c>
      <c r="C375">
        <v>210613618.12466249</v>
      </c>
      <c r="D375">
        <v>221448891.32137161</v>
      </c>
      <c r="E375">
        <v>1183918.91891892</v>
      </c>
      <c r="F375">
        <v>4910810.8108108183</v>
      </c>
      <c r="G375">
        <v>40</v>
      </c>
      <c r="H375">
        <v>90</v>
      </c>
      <c r="K375">
        <v>50</v>
      </c>
      <c r="L375">
        <v>165</v>
      </c>
      <c r="M375">
        <v>33229369.369369369</v>
      </c>
      <c r="N375">
        <v>59754954.954954952</v>
      </c>
      <c r="O375">
        <v>51147540.540540546</v>
      </c>
      <c r="P375">
        <v>56756385.585585587</v>
      </c>
      <c r="Q375">
        <v>35572702.702702701</v>
      </c>
      <c r="R375">
        <v>57349819.819819823</v>
      </c>
      <c r="S375">
        <v>15904</v>
      </c>
      <c r="T375">
        <v>16311</v>
      </c>
    </row>
    <row r="376" spans="1:20" x14ac:dyDescent="0.35">
      <c r="A376" s="7" t="s">
        <v>477</v>
      </c>
      <c r="B376" s="12" t="s">
        <v>260</v>
      </c>
      <c r="C376">
        <v>250249917.83469123</v>
      </c>
      <c r="D376">
        <v>269916216.26771528</v>
      </c>
      <c r="E376">
        <v>653243.24324324401</v>
      </c>
      <c r="F376">
        <v>1081306.3063063051</v>
      </c>
      <c r="G376">
        <v>43</v>
      </c>
      <c r="H376">
        <v>37</v>
      </c>
      <c r="K376">
        <v>49</v>
      </c>
      <c r="L376">
        <v>38</v>
      </c>
      <c r="M376">
        <v>29175765.765765768</v>
      </c>
      <c r="N376">
        <v>27618018.018018015</v>
      </c>
      <c r="O376">
        <v>60437468.468468465</v>
      </c>
      <c r="P376">
        <v>70158590.090090081</v>
      </c>
      <c r="Q376">
        <v>24256036.036036041</v>
      </c>
      <c r="R376">
        <v>31839369.369369369</v>
      </c>
      <c r="S376">
        <v>11375</v>
      </c>
      <c r="T376">
        <v>11236</v>
      </c>
    </row>
    <row r="377" spans="1:20" x14ac:dyDescent="0.35">
      <c r="A377" s="7" t="s">
        <v>478</v>
      </c>
      <c r="B377" s="12" t="s">
        <v>479</v>
      </c>
      <c r="C377">
        <v>19055381.93576847</v>
      </c>
      <c r="D377">
        <v>17023140.926312935</v>
      </c>
      <c r="E377">
        <v>405405.40540540498</v>
      </c>
      <c r="F377">
        <v>244144.144144144</v>
      </c>
      <c r="G377">
        <v>5</v>
      </c>
      <c r="H377">
        <v>5</v>
      </c>
      <c r="K377">
        <v>5</v>
      </c>
      <c r="L377">
        <v>6</v>
      </c>
      <c r="M377">
        <v>11757657.657657659</v>
      </c>
      <c r="N377">
        <v>4507657.6576576577</v>
      </c>
      <c r="O377">
        <v>4741756.7567567574</v>
      </c>
      <c r="P377">
        <v>3842252.2522522518</v>
      </c>
      <c r="Q377">
        <v>11962612.612612613</v>
      </c>
      <c r="R377">
        <v>4406306.3063063063</v>
      </c>
      <c r="S377">
        <v>895</v>
      </c>
      <c r="T377">
        <v>731</v>
      </c>
    </row>
    <row r="378" spans="1:20" x14ac:dyDescent="0.35">
      <c r="A378" s="7" t="s">
        <v>480</v>
      </c>
      <c r="B378" s="12" t="s">
        <v>123</v>
      </c>
      <c r="C378">
        <v>138302674.81243515</v>
      </c>
      <c r="D378">
        <v>131616871.12963565</v>
      </c>
      <c r="E378">
        <v>791441.44144144095</v>
      </c>
      <c r="F378">
        <v>635135.13513513596</v>
      </c>
      <c r="G378">
        <v>18</v>
      </c>
      <c r="H378">
        <v>24</v>
      </c>
      <c r="K378">
        <v>26</v>
      </c>
      <c r="L378">
        <v>27</v>
      </c>
      <c r="M378">
        <v>9059189.1891891882</v>
      </c>
      <c r="N378">
        <v>7276306.3063063053</v>
      </c>
      <c r="O378">
        <v>51963558.558558561</v>
      </c>
      <c r="P378">
        <v>49764509.009009011</v>
      </c>
      <c r="Q378">
        <v>9105945.9459459465</v>
      </c>
      <c r="R378">
        <v>8815945.9459459446</v>
      </c>
      <c r="S378">
        <v>5495</v>
      </c>
      <c r="T378">
        <v>5576</v>
      </c>
    </row>
    <row r="379" spans="1:20" x14ac:dyDescent="0.35">
      <c r="A379" s="7" t="s">
        <v>481</v>
      </c>
      <c r="B379" s="12" t="s">
        <v>470</v>
      </c>
      <c r="C379">
        <v>11480870.505921004</v>
      </c>
      <c r="D379">
        <v>10815039.502368988</v>
      </c>
      <c r="E379">
        <v>22072.072072071998</v>
      </c>
      <c r="F379">
        <v>44144.144144143997</v>
      </c>
      <c r="G379">
        <v>2</v>
      </c>
      <c r="H379">
        <v>1</v>
      </c>
      <c r="K379">
        <v>2</v>
      </c>
      <c r="L379">
        <v>2</v>
      </c>
      <c r="M379">
        <v>472522.52252252202</v>
      </c>
      <c r="N379">
        <v>494594.59459459397</v>
      </c>
      <c r="O379">
        <v>2196027.0270270272</v>
      </c>
      <c r="P379">
        <v>1943018.018018018</v>
      </c>
      <c r="Q379">
        <v>209009.00900900899</v>
      </c>
      <c r="R379">
        <v>351981.98198198201</v>
      </c>
      <c r="S379">
        <v>609</v>
      </c>
      <c r="T379">
        <v>655</v>
      </c>
    </row>
    <row r="380" spans="1:20" x14ac:dyDescent="0.35">
      <c r="A380" s="7" t="s">
        <v>482</v>
      </c>
      <c r="B380" s="12" t="s">
        <v>167</v>
      </c>
      <c r="C380">
        <v>110085113.95185921</v>
      </c>
      <c r="D380">
        <v>110919493.27317782</v>
      </c>
      <c r="E380">
        <v>311711.71171171201</v>
      </c>
      <c r="F380">
        <v>1292792.792792795</v>
      </c>
      <c r="G380">
        <v>46</v>
      </c>
      <c r="H380">
        <v>56</v>
      </c>
      <c r="K380">
        <v>88</v>
      </c>
      <c r="L380">
        <v>99</v>
      </c>
      <c r="M380">
        <v>9906756.7567567602</v>
      </c>
      <c r="N380">
        <v>11181081.081081085</v>
      </c>
      <c r="O380">
        <v>45285176.576576576</v>
      </c>
      <c r="P380">
        <v>48591328.828828834</v>
      </c>
      <c r="Q380">
        <v>10244054.054054055</v>
      </c>
      <c r="R380">
        <v>11720000.000000004</v>
      </c>
      <c r="S380">
        <v>9129</v>
      </c>
      <c r="T380">
        <v>8579</v>
      </c>
    </row>
    <row r="381" spans="1:20" x14ac:dyDescent="0.35">
      <c r="A381" s="7" t="s">
        <v>483</v>
      </c>
      <c r="B381" s="12" t="s">
        <v>167</v>
      </c>
      <c r="C381">
        <v>107984154.63995986</v>
      </c>
      <c r="D381">
        <v>122180016.19880179</v>
      </c>
      <c r="E381">
        <v>172466301.8018018</v>
      </c>
      <c r="F381">
        <v>257801274.77477479</v>
      </c>
      <c r="G381">
        <v>75</v>
      </c>
      <c r="H381">
        <v>60</v>
      </c>
      <c r="K381">
        <v>200</v>
      </c>
      <c r="L381">
        <v>105</v>
      </c>
      <c r="M381">
        <v>20461711.711711712</v>
      </c>
      <c r="N381">
        <v>16822522.522522528</v>
      </c>
      <c r="O381">
        <v>43620585.585585587</v>
      </c>
      <c r="P381">
        <v>47259990.990990989</v>
      </c>
      <c r="Q381">
        <v>22426486.486486487</v>
      </c>
      <c r="R381">
        <v>16991441.441441443</v>
      </c>
      <c r="S381">
        <v>9016</v>
      </c>
      <c r="T381">
        <v>9239</v>
      </c>
    </row>
    <row r="382" spans="1:20" x14ac:dyDescent="0.35">
      <c r="A382" s="7" t="s">
        <v>484</v>
      </c>
      <c r="B382" s="12" t="s">
        <v>50</v>
      </c>
      <c r="C382">
        <v>79861444.934394926</v>
      </c>
      <c r="D382">
        <v>78636036.615048274</v>
      </c>
      <c r="E382">
        <v>824864.86486486695</v>
      </c>
      <c r="F382">
        <v>817117.11711711995</v>
      </c>
      <c r="G382">
        <v>35</v>
      </c>
      <c r="H382">
        <v>23</v>
      </c>
      <c r="K382">
        <v>36</v>
      </c>
      <c r="L382">
        <v>24</v>
      </c>
      <c r="M382">
        <v>13789369.369369367</v>
      </c>
      <c r="N382">
        <v>6918378.378378381</v>
      </c>
      <c r="O382">
        <v>33126576.576576576</v>
      </c>
      <c r="P382">
        <v>34500729.729729727</v>
      </c>
      <c r="Q382">
        <v>12428558.558558555</v>
      </c>
      <c r="R382">
        <v>8745765.7657657675</v>
      </c>
      <c r="S382">
        <v>3604</v>
      </c>
      <c r="T382">
        <v>3817</v>
      </c>
    </row>
    <row r="383" spans="1:20" x14ac:dyDescent="0.35">
      <c r="A383" s="7" t="s">
        <v>485</v>
      </c>
      <c r="B383" s="12" t="s">
        <v>134</v>
      </c>
      <c r="C383">
        <v>109952494.96804437</v>
      </c>
      <c r="D383">
        <v>103794489.56882972</v>
      </c>
      <c r="E383">
        <v>288288.28828828898</v>
      </c>
      <c r="F383">
        <v>443243.24324324401</v>
      </c>
      <c r="G383">
        <v>18</v>
      </c>
      <c r="H383">
        <v>13</v>
      </c>
      <c r="K383">
        <v>25</v>
      </c>
      <c r="L383">
        <v>16</v>
      </c>
      <c r="M383">
        <v>11851351.351351352</v>
      </c>
      <c r="N383">
        <v>12245045.045045044</v>
      </c>
      <c r="O383">
        <v>18294864.864864863</v>
      </c>
      <c r="P383">
        <v>19017540.540540539</v>
      </c>
      <c r="Q383">
        <v>9030540.5405405406</v>
      </c>
      <c r="R383">
        <v>7367927.927927928</v>
      </c>
      <c r="S383">
        <v>4643</v>
      </c>
      <c r="T383">
        <v>4608</v>
      </c>
    </row>
    <row r="384" spans="1:20" x14ac:dyDescent="0.35">
      <c r="A384" s="7" t="s">
        <v>486</v>
      </c>
      <c r="B384" s="12" t="s">
        <v>76</v>
      </c>
      <c r="C384">
        <v>27576759.418885399</v>
      </c>
      <c r="D384">
        <v>20637789.811857149</v>
      </c>
      <c r="E384">
        <v>544144.14414414403</v>
      </c>
      <c r="F384">
        <v>612612.61261261301</v>
      </c>
      <c r="G384">
        <v>4</v>
      </c>
      <c r="H384">
        <v>3</v>
      </c>
      <c r="K384">
        <v>4</v>
      </c>
      <c r="L384">
        <v>5</v>
      </c>
      <c r="M384">
        <v>4670270.2702702694</v>
      </c>
      <c r="N384">
        <v>5141801.8018018007</v>
      </c>
      <c r="O384">
        <v>10506815.315315315</v>
      </c>
      <c r="P384">
        <v>8334504.5045045046</v>
      </c>
      <c r="Q384">
        <v>5363603.6036036033</v>
      </c>
      <c r="R384">
        <v>4419999.9999999991</v>
      </c>
      <c r="S384">
        <v>1503</v>
      </c>
      <c r="T384">
        <v>1444</v>
      </c>
    </row>
    <row r="385" spans="1:20" x14ac:dyDescent="0.35">
      <c r="A385" s="7" t="s">
        <v>487</v>
      </c>
      <c r="B385" s="12" t="s">
        <v>307</v>
      </c>
      <c r="C385">
        <v>167570646.12818956</v>
      </c>
      <c r="D385">
        <v>170862123.03769666</v>
      </c>
      <c r="E385">
        <v>165765.765765766</v>
      </c>
      <c r="F385">
        <v>1457657.6576576619</v>
      </c>
      <c r="G385">
        <v>32</v>
      </c>
      <c r="H385">
        <v>48</v>
      </c>
      <c r="K385">
        <v>37</v>
      </c>
      <c r="L385">
        <v>103</v>
      </c>
      <c r="M385">
        <v>26884234.234234232</v>
      </c>
      <c r="N385">
        <v>29344009.009009007</v>
      </c>
      <c r="O385">
        <v>67472837.837837845</v>
      </c>
      <c r="P385">
        <v>71897144.144144148</v>
      </c>
      <c r="Q385">
        <v>22987747.747747745</v>
      </c>
      <c r="R385">
        <v>28571216.216216218</v>
      </c>
      <c r="S385">
        <v>11412</v>
      </c>
      <c r="T385">
        <v>12796</v>
      </c>
    </row>
    <row r="386" spans="1:20" x14ac:dyDescent="0.35">
      <c r="A386" s="7" t="s">
        <v>671</v>
      </c>
      <c r="B386" s="12" t="s">
        <v>181</v>
      </c>
      <c r="E386">
        <v>47747747.747747742</v>
      </c>
      <c r="M386">
        <v>2113963.963963964</v>
      </c>
      <c r="N386">
        <v>1293693.693693694</v>
      </c>
    </row>
    <row r="387" spans="1:20" x14ac:dyDescent="0.35">
      <c r="A387" s="7" t="s">
        <v>488</v>
      </c>
      <c r="B387" s="12" t="s">
        <v>315</v>
      </c>
      <c r="C387">
        <v>45604024.38911818</v>
      </c>
      <c r="D387">
        <v>36287880.2772002</v>
      </c>
      <c r="E387">
        <v>550450.45045044995</v>
      </c>
      <c r="F387">
        <v>437837.83783783898</v>
      </c>
      <c r="G387">
        <v>10</v>
      </c>
      <c r="H387">
        <v>3</v>
      </c>
      <c r="K387">
        <v>10</v>
      </c>
      <c r="L387">
        <v>4</v>
      </c>
      <c r="M387">
        <v>17400540.540540539</v>
      </c>
      <c r="N387">
        <v>22784954.954954956</v>
      </c>
      <c r="O387">
        <v>19825711.711711712</v>
      </c>
      <c r="P387">
        <v>14975198.198198197</v>
      </c>
      <c r="Q387">
        <v>16404864.864864867</v>
      </c>
      <c r="R387">
        <v>19523513.513513513</v>
      </c>
      <c r="S387">
        <v>1663</v>
      </c>
      <c r="T387">
        <v>1629</v>
      </c>
    </row>
    <row r="388" spans="1:20" x14ac:dyDescent="0.35">
      <c r="A388" s="7" t="s">
        <v>489</v>
      </c>
      <c r="B388" s="12" t="s">
        <v>181</v>
      </c>
      <c r="C388">
        <v>93110873.369673237</v>
      </c>
      <c r="D388">
        <v>89830891.781881616</v>
      </c>
      <c r="E388">
        <v>20720.720720722002</v>
      </c>
      <c r="F388">
        <v>344594.59459459601</v>
      </c>
      <c r="G388">
        <v>46</v>
      </c>
      <c r="H388">
        <v>43</v>
      </c>
      <c r="K388">
        <v>55</v>
      </c>
      <c r="L388">
        <v>65</v>
      </c>
      <c r="M388">
        <v>5218378.3783783773</v>
      </c>
      <c r="N388">
        <v>6997297.2972972952</v>
      </c>
      <c r="O388">
        <v>25077198.198198199</v>
      </c>
      <c r="P388">
        <v>26865972.97297297</v>
      </c>
      <c r="Q388">
        <v>5215045.0450450443</v>
      </c>
      <c r="R388">
        <v>8124504.5045045028</v>
      </c>
      <c r="S388">
        <v>6352</v>
      </c>
      <c r="T388">
        <v>6598</v>
      </c>
    </row>
    <row r="389" spans="1:20" x14ac:dyDescent="0.35">
      <c r="A389" s="7" t="s">
        <v>490</v>
      </c>
      <c r="B389" s="12" t="s">
        <v>220</v>
      </c>
      <c r="C389">
        <v>57678223.987628758</v>
      </c>
      <c r="D389">
        <v>51767775.512675367</v>
      </c>
      <c r="E389">
        <v>233770766.66666666</v>
      </c>
      <c r="F389">
        <v>257948486.48648649</v>
      </c>
      <c r="G389">
        <v>17</v>
      </c>
      <c r="H389">
        <v>19</v>
      </c>
      <c r="K389">
        <v>22</v>
      </c>
      <c r="L389">
        <v>25</v>
      </c>
      <c r="M389">
        <v>5772612.6126126125</v>
      </c>
      <c r="N389">
        <v>489189.189189189</v>
      </c>
      <c r="O389">
        <v>14521297.297297295</v>
      </c>
      <c r="P389">
        <v>13192772.972972972</v>
      </c>
      <c r="Q389">
        <v>521891.891891893</v>
      </c>
      <c r="R389">
        <v>534234.23423423397</v>
      </c>
      <c r="S389">
        <v>4056</v>
      </c>
      <c r="T389">
        <v>3972</v>
      </c>
    </row>
    <row r="390" spans="1:20" x14ac:dyDescent="0.35">
      <c r="A390" s="7" t="s">
        <v>491</v>
      </c>
      <c r="B390" s="12" t="s">
        <v>220</v>
      </c>
      <c r="C390">
        <v>16856690.117226157</v>
      </c>
      <c r="D390">
        <v>16927289.622366905</v>
      </c>
      <c r="E390">
        <v>8108.1081081080001</v>
      </c>
      <c r="F390">
        <v>344144.14414414502</v>
      </c>
      <c r="G390">
        <v>12</v>
      </c>
      <c r="H390">
        <v>6</v>
      </c>
      <c r="K390">
        <v>14</v>
      </c>
      <c r="L390">
        <v>6</v>
      </c>
      <c r="M390">
        <v>4886486.4864864852</v>
      </c>
      <c r="N390">
        <v>14971621.621621624</v>
      </c>
      <c r="O390">
        <v>5539279.2792792805</v>
      </c>
      <c r="P390">
        <v>5352342.3423423432</v>
      </c>
      <c r="Q390">
        <v>4652162.1621621614</v>
      </c>
      <c r="R390">
        <v>14165135.135135137</v>
      </c>
      <c r="S390">
        <v>1221</v>
      </c>
      <c r="T390">
        <v>1271</v>
      </c>
    </row>
    <row r="391" spans="1:20" x14ac:dyDescent="0.35">
      <c r="A391" s="7" t="s">
        <v>492</v>
      </c>
      <c r="B391" s="12" t="s">
        <v>60</v>
      </c>
      <c r="C391">
        <v>69501827.765768871</v>
      </c>
      <c r="D391">
        <v>59017841.698362611</v>
      </c>
      <c r="E391">
        <v>867567.56756756804</v>
      </c>
      <c r="F391">
        <v>1782882.8828828889</v>
      </c>
      <c r="G391">
        <v>10</v>
      </c>
      <c r="H391">
        <v>11</v>
      </c>
      <c r="K391">
        <v>12</v>
      </c>
      <c r="L391">
        <v>68</v>
      </c>
      <c r="M391">
        <v>17109009.009009011</v>
      </c>
      <c r="N391">
        <v>11608108.108108109</v>
      </c>
      <c r="O391">
        <v>29054324.324324325</v>
      </c>
      <c r="P391">
        <v>26988585.585585583</v>
      </c>
      <c r="Q391">
        <v>14043603.603603605</v>
      </c>
      <c r="R391">
        <v>11723423.423423424</v>
      </c>
      <c r="S391">
        <v>3695</v>
      </c>
      <c r="T391">
        <v>3680</v>
      </c>
    </row>
    <row r="392" spans="1:20" x14ac:dyDescent="0.35">
      <c r="A392" s="7" t="s">
        <v>493</v>
      </c>
      <c r="B392" s="12" t="s">
        <v>448</v>
      </c>
      <c r="C392">
        <v>77052543.587784678</v>
      </c>
      <c r="D392">
        <v>73564228.010326132</v>
      </c>
      <c r="E392">
        <v>74774.774774776</v>
      </c>
      <c r="F392">
        <v>57657.657657657997</v>
      </c>
      <c r="G392">
        <v>40</v>
      </c>
      <c r="H392">
        <v>62</v>
      </c>
      <c r="K392">
        <v>45</v>
      </c>
      <c r="L392">
        <v>64</v>
      </c>
      <c r="M392">
        <v>8233018.0180180166</v>
      </c>
      <c r="N392">
        <v>7628828.8288288293</v>
      </c>
      <c r="O392">
        <v>27962396.396396395</v>
      </c>
      <c r="P392">
        <v>26355756.756756756</v>
      </c>
      <c r="Q392">
        <v>8224459.4594594594</v>
      </c>
      <c r="R392">
        <v>6909279.2792792805</v>
      </c>
      <c r="S392">
        <v>4935</v>
      </c>
      <c r="T392">
        <v>4977</v>
      </c>
    </row>
    <row r="393" spans="1:20" x14ac:dyDescent="0.35">
      <c r="A393" s="7" t="s">
        <v>7</v>
      </c>
      <c r="B393" s="12" t="s">
        <v>193</v>
      </c>
      <c r="C393">
        <v>58987425.365243629</v>
      </c>
      <c r="D393">
        <v>62535861.985739559</v>
      </c>
      <c r="E393">
        <v>17567.567567566999</v>
      </c>
      <c r="F393">
        <v>152252.25225225301</v>
      </c>
      <c r="G393">
        <v>19</v>
      </c>
      <c r="H393">
        <v>19</v>
      </c>
      <c r="K393">
        <v>21</v>
      </c>
      <c r="L393">
        <v>26</v>
      </c>
      <c r="M393">
        <v>19985135.135135137</v>
      </c>
      <c r="N393">
        <v>7012612.6126126107</v>
      </c>
      <c r="O393">
        <v>38895135.135135137</v>
      </c>
      <c r="P393">
        <v>43802711.711711712</v>
      </c>
      <c r="Q393">
        <v>17599459.459459461</v>
      </c>
      <c r="R393">
        <v>8814774.774774773</v>
      </c>
      <c r="S393">
        <v>4861</v>
      </c>
      <c r="T393">
        <v>5030</v>
      </c>
    </row>
    <row r="394" spans="1:20" x14ac:dyDescent="0.35">
      <c r="A394" s="7" t="s">
        <v>494</v>
      </c>
      <c r="B394" s="12" t="s">
        <v>330</v>
      </c>
      <c r="C394">
        <v>75048078.373223916</v>
      </c>
      <c r="D394">
        <v>72431616.553995818</v>
      </c>
      <c r="E394">
        <v>14414.414414413999</v>
      </c>
      <c r="F394">
        <v>152252.25225225199</v>
      </c>
      <c r="G394">
        <v>30</v>
      </c>
      <c r="H394">
        <v>30</v>
      </c>
      <c r="K394">
        <v>41</v>
      </c>
      <c r="L394">
        <v>36</v>
      </c>
      <c r="M394">
        <v>2915315.315315315</v>
      </c>
      <c r="N394">
        <v>3530630.6306306301</v>
      </c>
      <c r="O394">
        <v>20165405.40540541</v>
      </c>
      <c r="P394">
        <v>18020468.468468469</v>
      </c>
      <c r="Q394">
        <v>2838738.7387387389</v>
      </c>
      <c r="R394">
        <v>3295495.4954954968</v>
      </c>
      <c r="S394">
        <v>6102</v>
      </c>
      <c r="T394">
        <v>5921</v>
      </c>
    </row>
    <row r="395" spans="1:20" x14ac:dyDescent="0.35">
      <c r="A395" s="7" t="s">
        <v>495</v>
      </c>
      <c r="B395" s="12" t="s">
        <v>330</v>
      </c>
      <c r="C395">
        <v>121356064.17284785</v>
      </c>
      <c r="D395">
        <v>123079779.93518788</v>
      </c>
      <c r="E395">
        <v>23423.423423423999</v>
      </c>
      <c r="F395">
        <v>786261.26126126503</v>
      </c>
      <c r="G395">
        <v>35</v>
      </c>
      <c r="H395">
        <v>70</v>
      </c>
      <c r="K395">
        <v>42</v>
      </c>
      <c r="L395">
        <v>80</v>
      </c>
      <c r="M395">
        <v>2933333.333333333</v>
      </c>
      <c r="N395">
        <v>3376576.5765765789</v>
      </c>
      <c r="O395">
        <v>26645801.801801801</v>
      </c>
      <c r="P395">
        <v>30985792.792792793</v>
      </c>
      <c r="Q395">
        <v>3319909.909909911</v>
      </c>
      <c r="R395">
        <v>2634324.3243243261</v>
      </c>
      <c r="S395">
        <v>7205</v>
      </c>
      <c r="T395">
        <v>6852</v>
      </c>
    </row>
    <row r="396" spans="1:20" x14ac:dyDescent="0.35">
      <c r="A396" s="7" t="s">
        <v>496</v>
      </c>
      <c r="B396" s="12" t="s">
        <v>330</v>
      </c>
      <c r="C396">
        <v>129381104.38730232</v>
      </c>
      <c r="D396">
        <v>121961951.16451935</v>
      </c>
      <c r="E396">
        <v>246846.84684684899</v>
      </c>
      <c r="F396">
        <v>1595270.2702702731</v>
      </c>
      <c r="G396">
        <v>59</v>
      </c>
      <c r="H396">
        <v>57</v>
      </c>
      <c r="K396">
        <v>72</v>
      </c>
      <c r="L396">
        <v>70</v>
      </c>
      <c r="M396">
        <v>7308828.8288288256</v>
      </c>
      <c r="N396">
        <v>11984684.684684685</v>
      </c>
      <c r="O396">
        <v>28590846.846846845</v>
      </c>
      <c r="P396">
        <v>28020360.360360362</v>
      </c>
      <c r="Q396">
        <v>7832612.6126126116</v>
      </c>
      <c r="R396">
        <v>12280360.360360362</v>
      </c>
      <c r="S396">
        <v>8322</v>
      </c>
      <c r="T396">
        <v>8052</v>
      </c>
    </row>
    <row r="397" spans="1:20" x14ac:dyDescent="0.35">
      <c r="A397" s="7" t="s">
        <v>497</v>
      </c>
      <c r="B397" s="12" t="s">
        <v>330</v>
      </c>
      <c r="C397">
        <v>520442206.35975218</v>
      </c>
      <c r="D397">
        <v>456714673.69732386</v>
      </c>
      <c r="E397">
        <v>357825570.27027029</v>
      </c>
      <c r="F397">
        <v>563170082.88288283</v>
      </c>
      <c r="G397">
        <v>149</v>
      </c>
      <c r="H397">
        <v>197</v>
      </c>
      <c r="I397">
        <v>1</v>
      </c>
      <c r="K397">
        <v>186</v>
      </c>
      <c r="L397">
        <v>260</v>
      </c>
      <c r="M397">
        <v>108589369.36936937</v>
      </c>
      <c r="N397">
        <v>27223423.423423424</v>
      </c>
      <c r="O397">
        <v>93705189.189189181</v>
      </c>
      <c r="P397">
        <v>96417540.540540546</v>
      </c>
      <c r="Q397">
        <v>107822432.43243243</v>
      </c>
      <c r="R397">
        <v>25582702.702702705</v>
      </c>
      <c r="S397">
        <v>30988</v>
      </c>
      <c r="T397">
        <v>28667</v>
      </c>
    </row>
    <row r="398" spans="1:20" x14ac:dyDescent="0.35">
      <c r="A398" s="7" t="s">
        <v>498</v>
      </c>
      <c r="B398" s="12" t="s">
        <v>330</v>
      </c>
      <c r="C398">
        <v>398667197.94043255</v>
      </c>
      <c r="D398">
        <v>374630009.70769542</v>
      </c>
      <c r="E398">
        <v>1048378.378378382</v>
      </c>
      <c r="F398">
        <v>2868018.018018025</v>
      </c>
      <c r="G398">
        <v>111</v>
      </c>
      <c r="H398">
        <v>109</v>
      </c>
      <c r="I398">
        <v>1</v>
      </c>
      <c r="K398">
        <v>136</v>
      </c>
      <c r="L398">
        <v>148</v>
      </c>
      <c r="M398">
        <v>123997927.92792793</v>
      </c>
      <c r="N398">
        <v>39763513.513513513</v>
      </c>
      <c r="O398">
        <v>93915270.270270273</v>
      </c>
      <c r="P398">
        <v>91664072.072072074</v>
      </c>
      <c r="Q398">
        <v>122840810.81081082</v>
      </c>
      <c r="R398">
        <v>33326756.756756756</v>
      </c>
      <c r="S398">
        <v>27023</v>
      </c>
      <c r="T398">
        <v>27246</v>
      </c>
    </row>
    <row r="399" spans="1:20" x14ac:dyDescent="0.35">
      <c r="A399" s="7" t="s">
        <v>499</v>
      </c>
      <c r="B399" s="12" t="s">
        <v>143</v>
      </c>
      <c r="C399">
        <v>156634469.45568773</v>
      </c>
      <c r="D399">
        <v>165555794.16513684</v>
      </c>
      <c r="E399">
        <v>50450.450450452001</v>
      </c>
      <c r="F399">
        <v>752477.47747747996</v>
      </c>
      <c r="G399">
        <v>30</v>
      </c>
      <c r="H399">
        <v>38</v>
      </c>
      <c r="K399">
        <v>37</v>
      </c>
      <c r="L399">
        <v>46</v>
      </c>
      <c r="M399">
        <v>15656756.756756756</v>
      </c>
      <c r="N399">
        <v>14572972.972972974</v>
      </c>
      <c r="O399">
        <v>22656207.207207207</v>
      </c>
      <c r="P399">
        <v>26597846.846846849</v>
      </c>
      <c r="Q399">
        <v>8808018.0180180147</v>
      </c>
      <c r="R399">
        <v>9497207.2072072048</v>
      </c>
      <c r="S399">
        <v>7778</v>
      </c>
      <c r="T399">
        <v>8207</v>
      </c>
    </row>
    <row r="400" spans="1:20" x14ac:dyDescent="0.35">
      <c r="A400" s="7" t="s">
        <v>500</v>
      </c>
      <c r="B400" s="12" t="s">
        <v>220</v>
      </c>
      <c r="C400">
        <v>186199295.73247358</v>
      </c>
      <c r="D400">
        <v>186967330.20099723</v>
      </c>
      <c r="E400">
        <v>619819.81981982104</v>
      </c>
      <c r="F400">
        <v>1898423.4234234311</v>
      </c>
      <c r="G400">
        <v>86</v>
      </c>
      <c r="H400">
        <v>68</v>
      </c>
      <c r="I400">
        <v>1</v>
      </c>
      <c r="K400">
        <v>105</v>
      </c>
      <c r="L400">
        <v>94</v>
      </c>
      <c r="M400">
        <v>41425315.315315321</v>
      </c>
      <c r="N400">
        <v>125849099.0990991</v>
      </c>
      <c r="O400">
        <v>54114801.801801808</v>
      </c>
      <c r="P400">
        <v>57232243.24324324</v>
      </c>
      <c r="Q400">
        <v>43505675.675675683</v>
      </c>
      <c r="R400">
        <v>124474504.50450452</v>
      </c>
      <c r="S400">
        <v>12078</v>
      </c>
      <c r="T400">
        <v>11460</v>
      </c>
    </row>
    <row r="401" spans="1:20" x14ac:dyDescent="0.35">
      <c r="A401" s="7" t="s">
        <v>501</v>
      </c>
      <c r="B401" s="12" t="s">
        <v>397</v>
      </c>
      <c r="C401">
        <v>531168650.67388636</v>
      </c>
      <c r="D401">
        <v>543568488.16443217</v>
      </c>
      <c r="E401">
        <v>170640313.51351351</v>
      </c>
      <c r="F401">
        <v>4383118.0180180296</v>
      </c>
      <c r="G401">
        <v>134</v>
      </c>
      <c r="H401">
        <v>151</v>
      </c>
      <c r="K401">
        <v>157</v>
      </c>
      <c r="L401">
        <v>197</v>
      </c>
      <c r="M401">
        <v>65371441.441441439</v>
      </c>
      <c r="N401">
        <v>53589864.864864871</v>
      </c>
      <c r="O401">
        <v>106488935.13513513</v>
      </c>
      <c r="P401">
        <v>113299250.45045045</v>
      </c>
      <c r="Q401">
        <v>55369729.729729734</v>
      </c>
      <c r="R401">
        <v>49945360.360360362</v>
      </c>
      <c r="S401">
        <v>26514</v>
      </c>
      <c r="T401">
        <v>26983</v>
      </c>
    </row>
    <row r="402" spans="1:20" x14ac:dyDescent="0.35">
      <c r="A402" s="7" t="s">
        <v>502</v>
      </c>
      <c r="B402" s="12" t="s">
        <v>70</v>
      </c>
      <c r="C402">
        <v>7984691.1182538914</v>
      </c>
      <c r="D402">
        <v>8111636.9352612114</v>
      </c>
      <c r="F402">
        <v>94594.594594594993</v>
      </c>
      <c r="G402">
        <v>3</v>
      </c>
      <c r="H402">
        <v>1</v>
      </c>
      <c r="K402">
        <v>3</v>
      </c>
      <c r="L402">
        <v>2</v>
      </c>
      <c r="N402">
        <v>224324.32432432499</v>
      </c>
      <c r="O402">
        <v>5797567.5675675683</v>
      </c>
      <c r="P402">
        <v>5523954.9549549548</v>
      </c>
      <c r="Q402">
        <v>1012612.612612612</v>
      </c>
      <c r="R402">
        <v>129729.72972973</v>
      </c>
      <c r="S402">
        <v>665</v>
      </c>
      <c r="T402">
        <v>688</v>
      </c>
    </row>
    <row r="403" spans="1:20" x14ac:dyDescent="0.35">
      <c r="A403" s="7" t="s">
        <v>503</v>
      </c>
      <c r="B403" s="12" t="s">
        <v>330</v>
      </c>
      <c r="C403">
        <v>219246839.65813017</v>
      </c>
      <c r="D403">
        <v>221397036.75160486</v>
      </c>
      <c r="E403">
        <v>321621.62162162398</v>
      </c>
      <c r="F403">
        <v>2315990.9909909959</v>
      </c>
      <c r="G403">
        <v>52</v>
      </c>
      <c r="H403">
        <v>73</v>
      </c>
      <c r="K403">
        <v>69</v>
      </c>
      <c r="L403">
        <v>100</v>
      </c>
      <c r="M403">
        <v>17871171.171171173</v>
      </c>
      <c r="N403">
        <v>21267567.567567572</v>
      </c>
      <c r="O403">
        <v>53401270.270270273</v>
      </c>
      <c r="P403">
        <v>56939990.990990989</v>
      </c>
      <c r="Q403">
        <v>16263513.513513513</v>
      </c>
      <c r="R403">
        <v>19715405.40540541</v>
      </c>
      <c r="S403">
        <v>15979</v>
      </c>
      <c r="T403">
        <v>16164</v>
      </c>
    </row>
    <row r="404" spans="1:20" x14ac:dyDescent="0.35">
      <c r="A404" s="7" t="s">
        <v>504</v>
      </c>
      <c r="B404" s="12" t="s">
        <v>283</v>
      </c>
      <c r="C404">
        <v>68633663.42396529</v>
      </c>
      <c r="D404">
        <v>71932113.472490013</v>
      </c>
      <c r="E404">
        <v>41350652.252252258</v>
      </c>
      <c r="F404">
        <v>156976065.76576576</v>
      </c>
      <c r="G404">
        <v>28</v>
      </c>
      <c r="H404">
        <v>7</v>
      </c>
      <c r="K404">
        <v>30</v>
      </c>
      <c r="L404">
        <v>10</v>
      </c>
      <c r="M404">
        <v>20016261.261261266</v>
      </c>
      <c r="N404">
        <v>17162682.882882886</v>
      </c>
      <c r="O404">
        <v>13264009.009009007</v>
      </c>
      <c r="P404">
        <v>13087243.243243244</v>
      </c>
      <c r="Q404">
        <v>7154954.9549549548</v>
      </c>
      <c r="R404">
        <v>2703423.4234234239</v>
      </c>
      <c r="S404">
        <v>3168</v>
      </c>
      <c r="T404">
        <v>2536</v>
      </c>
    </row>
    <row r="405" spans="1:20" x14ac:dyDescent="0.35">
      <c r="A405" s="7" t="s">
        <v>505</v>
      </c>
      <c r="B405" s="12" t="s">
        <v>260</v>
      </c>
      <c r="C405">
        <v>41751722.393248715</v>
      </c>
      <c r="D405">
        <v>41515676.374998957</v>
      </c>
      <c r="G405">
        <v>2</v>
      </c>
      <c r="H405">
        <v>2</v>
      </c>
      <c r="I405">
        <v>1</v>
      </c>
      <c r="K405">
        <v>2</v>
      </c>
      <c r="L405">
        <v>3</v>
      </c>
      <c r="M405">
        <v>1351351.351351351</v>
      </c>
      <c r="O405">
        <v>9843828.8288288303</v>
      </c>
      <c r="P405">
        <v>8598747.7477477472</v>
      </c>
      <c r="Q405">
        <v>78378.378378377995</v>
      </c>
      <c r="S405">
        <v>2124</v>
      </c>
      <c r="T405">
        <v>2112</v>
      </c>
    </row>
    <row r="406" spans="1:20" x14ac:dyDescent="0.35">
      <c r="A406" s="7" t="s">
        <v>506</v>
      </c>
      <c r="B406" s="12" t="s">
        <v>236</v>
      </c>
      <c r="C406">
        <v>108360198.71334636</v>
      </c>
      <c r="D406">
        <v>101344781.09171849</v>
      </c>
      <c r="E406">
        <v>324864.86486486701</v>
      </c>
      <c r="F406">
        <v>228378.37837838</v>
      </c>
      <c r="G406">
        <v>21</v>
      </c>
      <c r="H406">
        <v>7</v>
      </c>
      <c r="K406">
        <v>79</v>
      </c>
      <c r="L406">
        <v>17</v>
      </c>
      <c r="M406">
        <v>17924864.864864867</v>
      </c>
      <c r="N406">
        <v>12011351.351351352</v>
      </c>
      <c r="O406">
        <v>24580067.567567568</v>
      </c>
      <c r="P406">
        <v>22135864.864864863</v>
      </c>
      <c r="Q406">
        <v>17028558.558558561</v>
      </c>
      <c r="R406">
        <v>13538828.82882883</v>
      </c>
      <c r="S406">
        <v>4805</v>
      </c>
      <c r="T406">
        <v>4559</v>
      </c>
    </row>
    <row r="407" spans="1:20" x14ac:dyDescent="0.35">
      <c r="A407" s="7" t="s">
        <v>507</v>
      </c>
      <c r="B407" s="12" t="s">
        <v>134</v>
      </c>
      <c r="C407">
        <v>16405962.146350788</v>
      </c>
      <c r="D407">
        <v>5846989.0849450538</v>
      </c>
      <c r="E407">
        <v>87325035.135135129</v>
      </c>
      <c r="F407">
        <v>104593123.42342342</v>
      </c>
      <c r="M407">
        <v>11081081.081081079</v>
      </c>
      <c r="N407">
        <v>4144144.1441441439</v>
      </c>
      <c r="O407">
        <v>2480585.5855855858</v>
      </c>
      <c r="P407">
        <v>1150270.2702702701</v>
      </c>
      <c r="S407">
        <v>1336</v>
      </c>
      <c r="T407">
        <v>769</v>
      </c>
    </row>
    <row r="408" spans="1:20" x14ac:dyDescent="0.35">
      <c r="A408" s="7" t="s">
        <v>508</v>
      </c>
      <c r="B408" s="12" t="s">
        <v>397</v>
      </c>
      <c r="C408">
        <v>111527447.8017841</v>
      </c>
      <c r="D408">
        <v>105660185.18357688</v>
      </c>
      <c r="E408">
        <v>16666.666666666999</v>
      </c>
      <c r="F408">
        <v>212612.612612614</v>
      </c>
      <c r="G408">
        <v>13</v>
      </c>
      <c r="H408">
        <v>15</v>
      </c>
      <c r="K408">
        <v>17</v>
      </c>
      <c r="L408">
        <v>24</v>
      </c>
      <c r="M408">
        <v>11368468.468468469</v>
      </c>
      <c r="N408">
        <v>9126126.1261261255</v>
      </c>
      <c r="O408">
        <v>16306036.036036037</v>
      </c>
      <c r="P408">
        <v>17744954.954954956</v>
      </c>
      <c r="Q408">
        <v>9446576.5765765756</v>
      </c>
      <c r="R408">
        <v>8582432.4324324336</v>
      </c>
      <c r="S408">
        <v>4478</v>
      </c>
      <c r="T408">
        <v>4375</v>
      </c>
    </row>
    <row r="409" spans="1:20" x14ac:dyDescent="0.35">
      <c r="A409" s="7" t="s">
        <v>509</v>
      </c>
      <c r="B409" s="12" t="s">
        <v>134</v>
      </c>
      <c r="C409">
        <v>121412217.6099513</v>
      </c>
      <c r="D409">
        <v>121896739.14916496</v>
      </c>
      <c r="E409">
        <v>308108.10810811102</v>
      </c>
      <c r="F409">
        <v>609909.90990991401</v>
      </c>
      <c r="G409">
        <v>38</v>
      </c>
      <c r="H409">
        <v>34</v>
      </c>
      <c r="I409">
        <v>1</v>
      </c>
      <c r="K409">
        <v>42</v>
      </c>
      <c r="L409">
        <v>39</v>
      </c>
      <c r="M409">
        <v>10308108.108108109</v>
      </c>
      <c r="N409">
        <v>10749549.549549552</v>
      </c>
      <c r="O409">
        <v>19778984.684684683</v>
      </c>
      <c r="P409">
        <v>20352157.657657657</v>
      </c>
      <c r="Q409">
        <v>8028468.4684684686</v>
      </c>
      <c r="R409">
        <v>8252252.2522522518</v>
      </c>
      <c r="S409">
        <v>5585</v>
      </c>
      <c r="T409">
        <v>5558</v>
      </c>
    </row>
    <row r="410" spans="1:20" x14ac:dyDescent="0.35">
      <c r="A410" s="7" t="s">
        <v>510</v>
      </c>
      <c r="B410" s="12" t="s">
        <v>134</v>
      </c>
      <c r="C410">
        <v>331021922.01271683</v>
      </c>
      <c r="D410">
        <v>333755085.19399071</v>
      </c>
      <c r="E410">
        <v>736216.21621622099</v>
      </c>
      <c r="F410">
        <v>1463063.0630630699</v>
      </c>
      <c r="G410">
        <v>62</v>
      </c>
      <c r="H410">
        <v>56</v>
      </c>
      <c r="K410">
        <v>82</v>
      </c>
      <c r="L410">
        <v>75</v>
      </c>
      <c r="M410">
        <v>18446576.576576576</v>
      </c>
      <c r="N410">
        <v>18302702.702702705</v>
      </c>
      <c r="O410">
        <v>34392504.504504502</v>
      </c>
      <c r="P410">
        <v>33759540.540540539</v>
      </c>
      <c r="Q410">
        <v>16889909.909909908</v>
      </c>
      <c r="R410">
        <v>17685135.135135133</v>
      </c>
      <c r="S410">
        <v>16495</v>
      </c>
      <c r="T410">
        <v>17108</v>
      </c>
    </row>
    <row r="411" spans="1:20" x14ac:dyDescent="0.35">
      <c r="A411" s="7" t="s">
        <v>8</v>
      </c>
      <c r="B411" s="12" t="s">
        <v>158</v>
      </c>
      <c r="C411">
        <v>87446341.165356353</v>
      </c>
      <c r="D411">
        <v>83592738.056837663</v>
      </c>
      <c r="E411">
        <v>962162.16216216597</v>
      </c>
      <c r="F411">
        <v>1211711.711711714</v>
      </c>
      <c r="G411">
        <v>6</v>
      </c>
      <c r="H411">
        <v>3</v>
      </c>
      <c r="K411">
        <v>8</v>
      </c>
      <c r="L411">
        <v>3</v>
      </c>
      <c r="M411">
        <v>9650450.450450452</v>
      </c>
      <c r="N411">
        <v>12828828.82882883</v>
      </c>
      <c r="O411">
        <v>24800135.135135137</v>
      </c>
      <c r="P411">
        <v>24811585.585585583</v>
      </c>
      <c r="Q411">
        <v>9535405.4054054078</v>
      </c>
      <c r="R411">
        <v>11406396.396396397</v>
      </c>
      <c r="S411">
        <v>3657</v>
      </c>
      <c r="T411">
        <v>3606</v>
      </c>
    </row>
    <row r="412" spans="1:20" x14ac:dyDescent="0.35">
      <c r="A412" s="7" t="s">
        <v>511</v>
      </c>
      <c r="B412" s="12" t="s">
        <v>134</v>
      </c>
      <c r="C412">
        <v>54740605.022814773</v>
      </c>
      <c r="D412">
        <v>60596581.191453993</v>
      </c>
      <c r="F412">
        <v>270270.27027027</v>
      </c>
      <c r="G412">
        <v>2</v>
      </c>
      <c r="H412">
        <v>3</v>
      </c>
      <c r="K412">
        <v>3</v>
      </c>
      <c r="L412">
        <v>4</v>
      </c>
      <c r="M412">
        <v>2702702.702702703</v>
      </c>
      <c r="N412">
        <v>1171171.1711711709</v>
      </c>
      <c r="O412">
        <v>6259090.0900900913</v>
      </c>
      <c r="P412">
        <v>8317972.9729729732</v>
      </c>
      <c r="Q412">
        <v>1705495.4954954961</v>
      </c>
      <c r="R412">
        <v>2123783.7837837832</v>
      </c>
      <c r="S412">
        <v>3146</v>
      </c>
      <c r="T412">
        <v>3962</v>
      </c>
    </row>
    <row r="413" spans="1:20" x14ac:dyDescent="0.35">
      <c r="A413" s="7" t="s">
        <v>512</v>
      </c>
      <c r="B413" s="12" t="s">
        <v>62</v>
      </c>
      <c r="C413">
        <v>289384468.73545319</v>
      </c>
      <c r="D413">
        <v>275570451.05240738</v>
      </c>
      <c r="E413">
        <v>1730630.6306306301</v>
      </c>
      <c r="F413">
        <v>1706306.3063063109</v>
      </c>
      <c r="G413">
        <v>55</v>
      </c>
      <c r="H413">
        <v>50</v>
      </c>
      <c r="K413">
        <v>63</v>
      </c>
      <c r="L413">
        <v>113</v>
      </c>
      <c r="M413">
        <v>12441981.981981982</v>
      </c>
      <c r="N413">
        <v>17116306.306306314</v>
      </c>
      <c r="O413">
        <v>54756198.198198199</v>
      </c>
      <c r="P413">
        <v>58155846.846846849</v>
      </c>
      <c r="Q413">
        <v>11752432.432432434</v>
      </c>
      <c r="R413">
        <v>15480180.180180183</v>
      </c>
      <c r="S413">
        <v>14578</v>
      </c>
      <c r="T413">
        <v>14697</v>
      </c>
    </row>
    <row r="414" spans="1:20" x14ac:dyDescent="0.35">
      <c r="A414" s="7" t="s">
        <v>513</v>
      </c>
      <c r="B414" s="12" t="s">
        <v>117</v>
      </c>
      <c r="C414">
        <v>31455235.58003528</v>
      </c>
      <c r="D414">
        <v>24682387.936232511</v>
      </c>
      <c r="E414">
        <v>5405.4054054059998</v>
      </c>
      <c r="F414">
        <v>215315.31531531501</v>
      </c>
      <c r="G414">
        <v>43</v>
      </c>
      <c r="H414">
        <v>18</v>
      </c>
      <c r="K414">
        <v>43</v>
      </c>
      <c r="L414">
        <v>20</v>
      </c>
      <c r="M414">
        <v>2515855.8558558561</v>
      </c>
      <c r="N414">
        <v>1489639.6396396391</v>
      </c>
      <c r="O414">
        <v>15817522.522522522</v>
      </c>
      <c r="P414">
        <v>10599630.630630629</v>
      </c>
      <c r="Q414">
        <v>2191531.5315315318</v>
      </c>
      <c r="R414">
        <v>818918.91891891998</v>
      </c>
      <c r="S414">
        <v>2096</v>
      </c>
      <c r="T414">
        <v>2083</v>
      </c>
    </row>
    <row r="415" spans="1:20" x14ac:dyDescent="0.35">
      <c r="A415" s="7" t="s">
        <v>514</v>
      </c>
      <c r="B415" s="12" t="s">
        <v>304</v>
      </c>
      <c r="C415">
        <v>55887100.448440373</v>
      </c>
      <c r="D415">
        <v>52224958.016937032</v>
      </c>
      <c r="E415">
        <v>145945.945945946</v>
      </c>
      <c r="F415">
        <v>374774.77477477503</v>
      </c>
      <c r="G415">
        <v>18</v>
      </c>
      <c r="H415">
        <v>28</v>
      </c>
      <c r="K415">
        <v>20</v>
      </c>
      <c r="L415">
        <v>30</v>
      </c>
      <c r="M415">
        <v>1019819.8198198189</v>
      </c>
      <c r="N415">
        <v>6741891.8918918911</v>
      </c>
      <c r="O415">
        <v>4042612.6126126139</v>
      </c>
      <c r="P415">
        <v>5357342.3423423432</v>
      </c>
      <c r="Q415">
        <v>1689009.009009009</v>
      </c>
      <c r="R415">
        <v>7775945.9459459446</v>
      </c>
      <c r="S415">
        <v>1489</v>
      </c>
      <c r="T415">
        <v>1400</v>
      </c>
    </row>
    <row r="416" spans="1:20" x14ac:dyDescent="0.35">
      <c r="A416" s="7" t="s">
        <v>515</v>
      </c>
      <c r="B416" s="12" t="s">
        <v>304</v>
      </c>
      <c r="C416">
        <v>16162711.357414065</v>
      </c>
      <c r="D416">
        <v>11181911.285577856</v>
      </c>
      <c r="E416">
        <v>187747.74774774699</v>
      </c>
      <c r="F416">
        <v>156756.75675675701</v>
      </c>
      <c r="H416">
        <v>2</v>
      </c>
      <c r="K416">
        <v>2</v>
      </c>
      <c r="L416">
        <v>2</v>
      </c>
      <c r="M416">
        <v>2349909.9099099091</v>
      </c>
      <c r="N416">
        <v>990990.99099099101</v>
      </c>
      <c r="O416">
        <v>2327522.5225225221</v>
      </c>
      <c r="P416">
        <v>1494738.7387387389</v>
      </c>
      <c r="Q416">
        <v>2002702.702702703</v>
      </c>
      <c r="R416">
        <v>790090.09009009099</v>
      </c>
      <c r="S416">
        <v>612</v>
      </c>
      <c r="T416">
        <v>581</v>
      </c>
    </row>
    <row r="417" spans="1:20" x14ac:dyDescent="0.35">
      <c r="A417" s="7" t="s">
        <v>516</v>
      </c>
      <c r="B417" s="12" t="s">
        <v>304</v>
      </c>
      <c r="C417">
        <v>30469921.669021655</v>
      </c>
      <c r="D417">
        <v>32950333.658005983</v>
      </c>
      <c r="E417">
        <v>5045.0450450449998</v>
      </c>
      <c r="F417">
        <v>509909.90990990901</v>
      </c>
      <c r="G417">
        <v>13</v>
      </c>
      <c r="H417">
        <v>19</v>
      </c>
      <c r="K417">
        <v>14</v>
      </c>
      <c r="L417">
        <v>19</v>
      </c>
      <c r="M417">
        <v>2419459.459459458</v>
      </c>
      <c r="N417">
        <v>1887387.3873873879</v>
      </c>
      <c r="O417">
        <v>4447657.6576576568</v>
      </c>
      <c r="P417">
        <v>5031450.4504504511</v>
      </c>
      <c r="Q417">
        <v>2010900.900900902</v>
      </c>
      <c r="R417">
        <v>1584864.864864866</v>
      </c>
      <c r="S417">
        <v>1108</v>
      </c>
      <c r="T417">
        <v>1070</v>
      </c>
    </row>
    <row r="418" spans="1:20" x14ac:dyDescent="0.35">
      <c r="A418" s="7" t="s">
        <v>517</v>
      </c>
      <c r="B418" s="12" t="s">
        <v>304</v>
      </c>
      <c r="C418">
        <v>24540152.56058123</v>
      </c>
      <c r="D418">
        <v>23835890.127726216</v>
      </c>
      <c r="E418">
        <v>22680211.711711712</v>
      </c>
      <c r="F418">
        <v>41131904.504504502</v>
      </c>
      <c r="G418">
        <v>6</v>
      </c>
      <c r="H418">
        <v>10</v>
      </c>
      <c r="K418">
        <v>6</v>
      </c>
      <c r="L418">
        <v>11</v>
      </c>
      <c r="M418">
        <v>32453153.153153151</v>
      </c>
      <c r="N418">
        <v>472972.97297297302</v>
      </c>
      <c r="O418">
        <v>3146666.666666667</v>
      </c>
      <c r="P418">
        <v>3310900.9009009008</v>
      </c>
      <c r="Q418">
        <v>630180.18018018</v>
      </c>
      <c r="R418">
        <v>360360.36036036001</v>
      </c>
      <c r="S418">
        <v>901</v>
      </c>
      <c r="T418">
        <v>741</v>
      </c>
    </row>
    <row r="419" spans="1:20" x14ac:dyDescent="0.35">
      <c r="A419" s="7" t="s">
        <v>518</v>
      </c>
      <c r="B419" s="12" t="s">
        <v>448</v>
      </c>
      <c r="C419">
        <v>24733818.518435985</v>
      </c>
      <c r="D419">
        <v>23869516.945696328</v>
      </c>
      <c r="E419">
        <v>35135.135135135002</v>
      </c>
      <c r="F419">
        <v>185585.58558558501</v>
      </c>
      <c r="G419">
        <v>12</v>
      </c>
      <c r="H419">
        <v>4</v>
      </c>
      <c r="K419">
        <v>17</v>
      </c>
      <c r="L419">
        <v>5</v>
      </c>
      <c r="M419">
        <v>2330180.180180179</v>
      </c>
      <c r="N419">
        <v>992792.79279279197</v>
      </c>
      <c r="O419">
        <v>8335045.0450450461</v>
      </c>
      <c r="P419">
        <v>7975632.8828828828</v>
      </c>
      <c r="Q419">
        <v>1678198.1981981969</v>
      </c>
      <c r="R419">
        <v>1232792.792792792</v>
      </c>
      <c r="S419">
        <v>1776</v>
      </c>
      <c r="T419">
        <v>1851</v>
      </c>
    </row>
    <row r="420" spans="1:20" x14ac:dyDescent="0.35">
      <c r="A420" s="7" t="s">
        <v>519</v>
      </c>
      <c r="B420" s="12" t="s">
        <v>85</v>
      </c>
      <c r="C420">
        <v>74399131.328678325</v>
      </c>
      <c r="D420">
        <v>74410294.346934468</v>
      </c>
      <c r="E420">
        <v>10810.810810812</v>
      </c>
      <c r="F420">
        <v>608108.10810810898</v>
      </c>
      <c r="G420">
        <v>26</v>
      </c>
      <c r="H420">
        <v>10</v>
      </c>
      <c r="K420">
        <v>29</v>
      </c>
      <c r="L420">
        <v>13</v>
      </c>
      <c r="M420">
        <v>5136936.9369369373</v>
      </c>
      <c r="N420">
        <v>14932432.432432434</v>
      </c>
      <c r="O420">
        <v>18904864.864864863</v>
      </c>
      <c r="P420">
        <v>19311828.828828827</v>
      </c>
      <c r="Q420">
        <v>3694054.054054054</v>
      </c>
      <c r="R420">
        <v>16176439.63963964</v>
      </c>
      <c r="S420">
        <v>4214</v>
      </c>
      <c r="T420">
        <v>4157</v>
      </c>
    </row>
    <row r="421" spans="1:20" x14ac:dyDescent="0.35">
      <c r="A421" s="7" t="s">
        <v>520</v>
      </c>
      <c r="B421" s="12" t="s">
        <v>304</v>
      </c>
      <c r="C421">
        <v>37743803.850962728</v>
      </c>
      <c r="D421">
        <v>40399428.487284765</v>
      </c>
      <c r="E421">
        <v>3603.603603604</v>
      </c>
      <c r="F421">
        <v>17117.117117116999</v>
      </c>
      <c r="G421">
        <v>4</v>
      </c>
      <c r="H421">
        <v>3</v>
      </c>
      <c r="K421">
        <v>4</v>
      </c>
      <c r="L421">
        <v>3</v>
      </c>
      <c r="M421">
        <v>3030630.6306306301</v>
      </c>
      <c r="N421">
        <v>2612612.612612613</v>
      </c>
      <c r="O421">
        <v>6085225.2252252251</v>
      </c>
      <c r="P421">
        <v>6467873.8738738736</v>
      </c>
      <c r="Q421">
        <v>1373423.423423423</v>
      </c>
      <c r="R421">
        <v>1265045.045045044</v>
      </c>
      <c r="S421">
        <v>1408</v>
      </c>
      <c r="T421">
        <v>1335</v>
      </c>
    </row>
    <row r="422" spans="1:20" x14ac:dyDescent="0.35">
      <c r="A422" s="7" t="s">
        <v>521</v>
      </c>
      <c r="B422" s="12" t="s">
        <v>399</v>
      </c>
      <c r="C422">
        <v>278439305.04850852</v>
      </c>
      <c r="D422">
        <v>267588399.50130168</v>
      </c>
      <c r="E422">
        <v>4217297.2972972989</v>
      </c>
      <c r="F422">
        <v>18019819.819819823</v>
      </c>
      <c r="G422">
        <v>59</v>
      </c>
      <c r="H422">
        <v>46</v>
      </c>
      <c r="K422">
        <v>72</v>
      </c>
      <c r="L422">
        <v>160</v>
      </c>
      <c r="M422">
        <v>65747207.20720721</v>
      </c>
      <c r="N422">
        <v>40069819.819819823</v>
      </c>
      <c r="O422">
        <v>62016216.216216214</v>
      </c>
      <c r="P422">
        <v>64875810.810810819</v>
      </c>
      <c r="Q422">
        <v>62381441.441441439</v>
      </c>
      <c r="R422">
        <v>35701351.351351351</v>
      </c>
      <c r="S422">
        <v>13576</v>
      </c>
      <c r="T422">
        <v>13644</v>
      </c>
    </row>
    <row r="423" spans="1:20" x14ac:dyDescent="0.35">
      <c r="A423" s="7" t="s">
        <v>522</v>
      </c>
      <c r="B423" s="12" t="s">
        <v>143</v>
      </c>
      <c r="C423">
        <v>83591303.749095172</v>
      </c>
      <c r="D423">
        <v>76585635.417216554</v>
      </c>
      <c r="E423">
        <v>4504.5045045050001</v>
      </c>
      <c r="F423">
        <v>198198.1981982</v>
      </c>
      <c r="G423">
        <v>14</v>
      </c>
      <c r="H423">
        <v>18</v>
      </c>
      <c r="K423">
        <v>17</v>
      </c>
      <c r="L423">
        <v>19</v>
      </c>
      <c r="M423">
        <v>5896396.3963963967</v>
      </c>
      <c r="N423">
        <v>3801801.8018018021</v>
      </c>
      <c r="O423">
        <v>9453288.2882882878</v>
      </c>
      <c r="P423">
        <v>9452369.3693693671</v>
      </c>
      <c r="Q423">
        <v>4932342.3423423423</v>
      </c>
      <c r="R423">
        <v>3753063.0630630618</v>
      </c>
      <c r="S423">
        <v>2961</v>
      </c>
      <c r="T423">
        <v>3045</v>
      </c>
    </row>
    <row r="424" spans="1:20" x14ac:dyDescent="0.35">
      <c r="A424" s="7" t="s">
        <v>523</v>
      </c>
      <c r="B424" s="12" t="s">
        <v>66</v>
      </c>
      <c r="C424">
        <v>51466374.803227521</v>
      </c>
      <c r="D424">
        <v>50409662.169775791</v>
      </c>
      <c r="E424">
        <v>44515855.855855852</v>
      </c>
      <c r="F424">
        <v>117389189.18918918</v>
      </c>
      <c r="G424">
        <v>5</v>
      </c>
      <c r="H424">
        <v>6</v>
      </c>
      <c r="I424">
        <v>1</v>
      </c>
      <c r="K424">
        <v>6</v>
      </c>
      <c r="L424">
        <v>9</v>
      </c>
      <c r="M424">
        <v>13992387.387387386</v>
      </c>
      <c r="N424">
        <v>16177027.027027026</v>
      </c>
      <c r="O424">
        <v>25117522.52252252</v>
      </c>
      <c r="P424">
        <v>24158171.171171173</v>
      </c>
      <c r="Q424">
        <v>4485045.0450450433</v>
      </c>
      <c r="R424">
        <v>10799819.819819819</v>
      </c>
      <c r="S424">
        <v>3665</v>
      </c>
      <c r="T424">
        <v>3780</v>
      </c>
    </row>
    <row r="425" spans="1:20" x14ac:dyDescent="0.35">
      <c r="A425" s="7" t="s">
        <v>524</v>
      </c>
      <c r="B425" s="12" t="s">
        <v>220</v>
      </c>
      <c r="C425">
        <v>70541568.116084352</v>
      </c>
      <c r="D425">
        <v>66967200.851379335</v>
      </c>
      <c r="E425">
        <v>9009.0090090100002</v>
      </c>
      <c r="F425">
        <v>373873.87387387402</v>
      </c>
      <c r="G425">
        <v>25</v>
      </c>
      <c r="H425">
        <v>17</v>
      </c>
      <c r="K425">
        <v>29</v>
      </c>
      <c r="L425">
        <v>22</v>
      </c>
      <c r="M425">
        <v>4290315.3153153136</v>
      </c>
      <c r="N425">
        <v>4674774.7747747749</v>
      </c>
      <c r="O425">
        <v>16669387.387387387</v>
      </c>
      <c r="P425">
        <v>16618675.675675675</v>
      </c>
      <c r="Q425">
        <v>2930720.7207207181</v>
      </c>
      <c r="R425">
        <v>2820000</v>
      </c>
      <c r="S425">
        <v>4372</v>
      </c>
      <c r="T425">
        <v>4381</v>
      </c>
    </row>
    <row r="426" spans="1:20" x14ac:dyDescent="0.35">
      <c r="A426" s="7" t="s">
        <v>525</v>
      </c>
      <c r="B426" s="12" t="s">
        <v>413</v>
      </c>
      <c r="C426">
        <v>758796624.79437125</v>
      </c>
      <c r="D426">
        <v>735914579.70020401</v>
      </c>
      <c r="E426">
        <v>349110647.74774778</v>
      </c>
      <c r="F426">
        <v>198158974.77477479</v>
      </c>
      <c r="G426">
        <v>80</v>
      </c>
      <c r="H426">
        <v>71</v>
      </c>
      <c r="K426">
        <v>329</v>
      </c>
      <c r="L426">
        <v>152</v>
      </c>
      <c r="M426">
        <v>68762072.072072074</v>
      </c>
      <c r="N426">
        <v>48510360.360360369</v>
      </c>
      <c r="O426">
        <v>215194252.25225225</v>
      </c>
      <c r="P426">
        <v>214078441.44144145</v>
      </c>
      <c r="Q426">
        <v>58307567.567567579</v>
      </c>
      <c r="R426">
        <v>54786396.396396399</v>
      </c>
      <c r="S426">
        <v>32273</v>
      </c>
      <c r="T426">
        <v>32529</v>
      </c>
    </row>
    <row r="427" spans="1:20" x14ac:dyDescent="0.35">
      <c r="A427" s="7" t="s">
        <v>526</v>
      </c>
      <c r="B427" s="12" t="s">
        <v>413</v>
      </c>
      <c r="C427">
        <v>90153142.411368668</v>
      </c>
      <c r="D427">
        <v>84211320.685883269</v>
      </c>
      <c r="E427">
        <v>12612.612612613</v>
      </c>
      <c r="F427">
        <v>53378.378378378002</v>
      </c>
      <c r="G427">
        <v>13</v>
      </c>
      <c r="H427">
        <v>6</v>
      </c>
      <c r="K427">
        <v>15</v>
      </c>
      <c r="L427">
        <v>8</v>
      </c>
      <c r="M427">
        <v>4427747.7477477472</v>
      </c>
      <c r="N427">
        <v>5376936.9369369382</v>
      </c>
      <c r="O427">
        <v>25439315.315315317</v>
      </c>
      <c r="P427">
        <v>26789504.504504506</v>
      </c>
      <c r="Q427">
        <v>3409549.5495495498</v>
      </c>
      <c r="R427">
        <v>4448918.9189189179</v>
      </c>
      <c r="S427">
        <v>4678</v>
      </c>
      <c r="T427">
        <v>4362</v>
      </c>
    </row>
    <row r="428" spans="1:20" x14ac:dyDescent="0.35">
      <c r="A428" s="7" t="s">
        <v>661</v>
      </c>
      <c r="B428" s="12" t="s">
        <v>189</v>
      </c>
      <c r="C428">
        <v>1438933.871459133</v>
      </c>
      <c r="O428">
        <v>238963.96396396399</v>
      </c>
      <c r="S428">
        <v>173</v>
      </c>
    </row>
    <row r="429" spans="1:20" x14ac:dyDescent="0.35">
      <c r="A429" s="7" t="s">
        <v>527</v>
      </c>
      <c r="B429" s="12" t="s">
        <v>147</v>
      </c>
      <c r="C429">
        <v>180091116.33590403</v>
      </c>
      <c r="D429">
        <v>173141508.65098083</v>
      </c>
      <c r="E429">
        <v>827927.92792792898</v>
      </c>
      <c r="F429">
        <v>2626351.3513513529</v>
      </c>
      <c r="G429">
        <v>18</v>
      </c>
      <c r="H429">
        <v>31</v>
      </c>
      <c r="K429">
        <v>22</v>
      </c>
      <c r="L429">
        <v>111</v>
      </c>
      <c r="M429">
        <v>3494594.594594596</v>
      </c>
      <c r="N429">
        <v>26501981.981981985</v>
      </c>
      <c r="O429">
        <v>56640981.981981985</v>
      </c>
      <c r="P429">
        <v>60109592.79279279</v>
      </c>
      <c r="Q429">
        <v>9267117.1171171162</v>
      </c>
      <c r="R429">
        <v>27096756.756756756</v>
      </c>
      <c r="S429">
        <v>10060</v>
      </c>
      <c r="T429">
        <v>10176</v>
      </c>
    </row>
    <row r="430" spans="1:20" x14ac:dyDescent="0.35">
      <c r="A430" s="7" t="s">
        <v>528</v>
      </c>
      <c r="B430" s="12" t="s">
        <v>121</v>
      </c>
      <c r="C430">
        <v>19050981.011082057</v>
      </c>
      <c r="D430">
        <v>19099741.456563473</v>
      </c>
      <c r="E430">
        <v>9909.9099099100004</v>
      </c>
      <c r="F430">
        <v>229729.72972973</v>
      </c>
      <c r="G430">
        <v>10</v>
      </c>
      <c r="H430">
        <v>11</v>
      </c>
      <c r="K430">
        <v>10</v>
      </c>
      <c r="L430">
        <v>13</v>
      </c>
      <c r="M430">
        <v>460360.360360361</v>
      </c>
      <c r="N430">
        <v>2225225.2252252251</v>
      </c>
      <c r="O430">
        <v>2229189.1891891891</v>
      </c>
      <c r="P430">
        <v>2261995.4954954959</v>
      </c>
      <c r="Q430">
        <v>995585.58558558603</v>
      </c>
      <c r="R430">
        <v>1334864.8648648651</v>
      </c>
      <c r="S430">
        <v>979</v>
      </c>
      <c r="T430">
        <v>1009</v>
      </c>
    </row>
    <row r="431" spans="1:20" x14ac:dyDescent="0.35">
      <c r="A431" s="7" t="s">
        <v>529</v>
      </c>
      <c r="B431" s="12" t="s">
        <v>448</v>
      </c>
      <c r="C431">
        <v>53771057.377796568</v>
      </c>
      <c r="D431">
        <v>29812842.473413449</v>
      </c>
      <c r="E431">
        <v>907387.38738738804</v>
      </c>
      <c r="F431">
        <v>180180.18018018</v>
      </c>
      <c r="G431">
        <v>24</v>
      </c>
      <c r="H431">
        <v>4</v>
      </c>
      <c r="K431">
        <v>26</v>
      </c>
      <c r="L431">
        <v>4</v>
      </c>
      <c r="M431">
        <v>4181171.1711711721</v>
      </c>
      <c r="N431">
        <v>680630.63063062995</v>
      </c>
      <c r="O431">
        <v>20964891.891891893</v>
      </c>
      <c r="P431">
        <v>15219864.864864865</v>
      </c>
      <c r="Q431">
        <v>2458198.1981981979</v>
      </c>
      <c r="R431">
        <v>575045.04504504497</v>
      </c>
      <c r="S431">
        <v>2709</v>
      </c>
      <c r="T431">
        <v>2125</v>
      </c>
    </row>
    <row r="432" spans="1:20" x14ac:dyDescent="0.35">
      <c r="A432" s="7" t="s">
        <v>530</v>
      </c>
      <c r="B432" s="12" t="s">
        <v>448</v>
      </c>
      <c r="C432">
        <v>80692211.94519417</v>
      </c>
      <c r="D432">
        <v>78491534.097415492</v>
      </c>
      <c r="E432">
        <v>52829729.729729727</v>
      </c>
      <c r="F432">
        <v>132437837.83783785</v>
      </c>
      <c r="G432">
        <v>37</v>
      </c>
      <c r="H432">
        <v>26</v>
      </c>
      <c r="K432">
        <v>42</v>
      </c>
      <c r="L432">
        <v>29</v>
      </c>
      <c r="M432">
        <v>4510540.5405405397</v>
      </c>
      <c r="N432">
        <v>3912387.387387387</v>
      </c>
      <c r="O432">
        <v>37153288.288288288</v>
      </c>
      <c r="P432">
        <v>36176567.567567565</v>
      </c>
      <c r="Q432">
        <v>4640090.0900900885</v>
      </c>
      <c r="R432">
        <v>3827117.1171171181</v>
      </c>
      <c r="S432">
        <v>5216</v>
      </c>
      <c r="T432">
        <v>5183</v>
      </c>
    </row>
    <row r="433" spans="1:20" x14ac:dyDescent="0.35">
      <c r="A433" s="7" t="s">
        <v>531</v>
      </c>
      <c r="B433" s="12" t="s">
        <v>123</v>
      </c>
      <c r="C433">
        <v>207348843.82060817</v>
      </c>
      <c r="D433">
        <v>212201259.61988676</v>
      </c>
      <c r="E433">
        <v>46114220.720720723</v>
      </c>
      <c r="F433">
        <v>77727143.243243247</v>
      </c>
      <c r="G433">
        <v>58</v>
      </c>
      <c r="H433">
        <v>73</v>
      </c>
      <c r="I433">
        <v>1</v>
      </c>
      <c r="K433">
        <v>79</v>
      </c>
      <c r="L433">
        <v>107</v>
      </c>
      <c r="M433">
        <v>39068108.108108111</v>
      </c>
      <c r="N433">
        <v>67999189.189189181</v>
      </c>
      <c r="O433">
        <v>71267272.972972974</v>
      </c>
      <c r="P433">
        <v>74490657.657657668</v>
      </c>
      <c r="Q433">
        <v>43113153.153153151</v>
      </c>
      <c r="R433">
        <v>69062072.072072074</v>
      </c>
      <c r="S433">
        <v>11343</v>
      </c>
      <c r="T433">
        <v>11326</v>
      </c>
    </row>
    <row r="434" spans="1:20" x14ac:dyDescent="0.35">
      <c r="A434" s="7" t="s">
        <v>532</v>
      </c>
      <c r="B434" s="12" t="s">
        <v>85</v>
      </c>
      <c r="C434">
        <v>68165873.730218828</v>
      </c>
      <c r="D434">
        <v>66842441.935523875</v>
      </c>
      <c r="E434">
        <v>1178378.3783783789</v>
      </c>
      <c r="F434">
        <v>67567.567567567996</v>
      </c>
      <c r="G434">
        <v>9</v>
      </c>
      <c r="H434">
        <v>7</v>
      </c>
      <c r="K434">
        <v>9</v>
      </c>
      <c r="L434">
        <v>35</v>
      </c>
      <c r="M434">
        <v>8529729.7297297288</v>
      </c>
      <c r="N434">
        <v>7050990.9909909908</v>
      </c>
      <c r="O434">
        <v>14996936.936936935</v>
      </c>
      <c r="P434">
        <v>14521963.963963963</v>
      </c>
      <c r="Q434">
        <v>5855135.1351351356</v>
      </c>
      <c r="R434">
        <v>4650090.0900900885</v>
      </c>
      <c r="S434">
        <v>3711</v>
      </c>
      <c r="T434">
        <v>3516</v>
      </c>
    </row>
    <row r="435" spans="1:20" x14ac:dyDescent="0.35">
      <c r="A435" s="7" t="s">
        <v>9</v>
      </c>
      <c r="B435" s="12" t="s">
        <v>158</v>
      </c>
      <c r="C435">
        <v>174265601.42840782</v>
      </c>
      <c r="D435">
        <v>165445765.67462498</v>
      </c>
      <c r="E435">
        <v>1035495.4954955</v>
      </c>
      <c r="F435">
        <v>1371171.171171176</v>
      </c>
      <c r="G435">
        <v>29</v>
      </c>
      <c r="H435">
        <v>23</v>
      </c>
      <c r="I435">
        <v>4</v>
      </c>
      <c r="K435">
        <v>34</v>
      </c>
      <c r="L435">
        <v>25</v>
      </c>
      <c r="M435">
        <v>301024684.68468469</v>
      </c>
      <c r="N435">
        <v>183202702.7027027</v>
      </c>
      <c r="O435">
        <v>61548333.333333336</v>
      </c>
      <c r="P435">
        <v>60415612.612612613</v>
      </c>
      <c r="Q435">
        <v>249660270.27027026</v>
      </c>
      <c r="R435">
        <v>156418018.01801801</v>
      </c>
      <c r="S435">
        <v>7458</v>
      </c>
      <c r="T435">
        <v>7170</v>
      </c>
    </row>
    <row r="436" spans="1:20" x14ac:dyDescent="0.35">
      <c r="A436" s="7" t="s">
        <v>533</v>
      </c>
      <c r="B436" s="12" t="s">
        <v>94</v>
      </c>
      <c r="C436">
        <v>170435867.32570332</v>
      </c>
      <c r="D436">
        <v>161559536.77659136</v>
      </c>
      <c r="E436">
        <v>27927.927927928999</v>
      </c>
      <c r="F436">
        <v>428828.82882883202</v>
      </c>
      <c r="G436">
        <v>30</v>
      </c>
      <c r="H436">
        <v>28</v>
      </c>
      <c r="I436">
        <v>1</v>
      </c>
      <c r="K436">
        <v>33</v>
      </c>
      <c r="L436">
        <v>33</v>
      </c>
      <c r="M436">
        <v>13899999.999999998</v>
      </c>
      <c r="N436">
        <v>12771171.171171172</v>
      </c>
      <c r="O436">
        <v>17970855.855855856</v>
      </c>
      <c r="P436">
        <v>21414927.927927926</v>
      </c>
      <c r="Q436">
        <v>10572792.792792793</v>
      </c>
      <c r="R436">
        <v>10692162.162162161</v>
      </c>
      <c r="S436">
        <v>6408</v>
      </c>
      <c r="T436">
        <v>6183</v>
      </c>
    </row>
    <row r="437" spans="1:20" x14ac:dyDescent="0.35">
      <c r="A437" s="7" t="s">
        <v>534</v>
      </c>
      <c r="B437" s="12" t="s">
        <v>304</v>
      </c>
      <c r="C437">
        <v>4736598.177021265</v>
      </c>
      <c r="D437">
        <v>5629279.2073479034</v>
      </c>
      <c r="G437">
        <v>4</v>
      </c>
      <c r="H437">
        <v>1</v>
      </c>
      <c r="K437">
        <v>4</v>
      </c>
      <c r="L437">
        <v>1</v>
      </c>
      <c r="O437">
        <v>497882.88288288302</v>
      </c>
      <c r="P437">
        <v>863513.51351351396</v>
      </c>
      <c r="S437">
        <v>228</v>
      </c>
      <c r="T437">
        <v>416</v>
      </c>
    </row>
    <row r="438" spans="1:20" x14ac:dyDescent="0.35">
      <c r="A438" s="7" t="s">
        <v>535</v>
      </c>
      <c r="B438" s="12" t="s">
        <v>304</v>
      </c>
      <c r="C438">
        <v>69833823.403141454</v>
      </c>
      <c r="D438">
        <v>66809179.54791344</v>
      </c>
      <c r="E438">
        <v>467567.56756756798</v>
      </c>
      <c r="F438">
        <v>445945.94594594598</v>
      </c>
      <c r="G438">
        <v>12</v>
      </c>
      <c r="H438">
        <v>6</v>
      </c>
      <c r="K438">
        <v>15</v>
      </c>
      <c r="L438">
        <v>8</v>
      </c>
      <c r="M438">
        <v>3755855.8558558552</v>
      </c>
      <c r="N438">
        <v>7626126.1261261273</v>
      </c>
      <c r="O438">
        <v>5714234.2342342343</v>
      </c>
      <c r="P438">
        <v>6575675.6756756753</v>
      </c>
      <c r="Q438">
        <v>2385585.5855855849</v>
      </c>
      <c r="R438">
        <v>2689369.3693693681</v>
      </c>
      <c r="S438">
        <v>2772</v>
      </c>
      <c r="T438">
        <v>2600</v>
      </c>
    </row>
    <row r="439" spans="1:20" x14ac:dyDescent="0.35">
      <c r="A439" s="7" t="s">
        <v>536</v>
      </c>
      <c r="B439" s="12" t="s">
        <v>85</v>
      </c>
      <c r="C439">
        <v>58524553.681204103</v>
      </c>
      <c r="D439">
        <v>57880078.676359214</v>
      </c>
      <c r="E439">
        <v>32432.432432433001</v>
      </c>
      <c r="F439">
        <v>419819.81981982099</v>
      </c>
      <c r="G439">
        <v>31</v>
      </c>
      <c r="H439">
        <v>22</v>
      </c>
      <c r="K439">
        <v>34</v>
      </c>
      <c r="L439">
        <v>32</v>
      </c>
      <c r="M439">
        <v>17239639.639639638</v>
      </c>
      <c r="N439">
        <v>23630990.990990993</v>
      </c>
      <c r="O439">
        <v>26075900.9009009</v>
      </c>
      <c r="P439">
        <v>28114432.432432432</v>
      </c>
      <c r="Q439">
        <v>17021801.801801801</v>
      </c>
      <c r="R439">
        <v>17706576.576576576</v>
      </c>
      <c r="S439">
        <v>3132</v>
      </c>
      <c r="T439">
        <v>3019</v>
      </c>
    </row>
    <row r="440" spans="1:20" x14ac:dyDescent="0.35">
      <c r="A440" s="7" t="s">
        <v>537</v>
      </c>
      <c r="B440" s="12" t="s">
        <v>448</v>
      </c>
      <c r="C440">
        <v>81707955.505107969</v>
      </c>
      <c r="D440">
        <v>79197778.867013738</v>
      </c>
      <c r="E440">
        <v>119819.819819821</v>
      </c>
      <c r="F440">
        <v>212612.61261261301</v>
      </c>
      <c r="G440">
        <v>45</v>
      </c>
      <c r="H440">
        <v>19</v>
      </c>
      <c r="K440">
        <v>51</v>
      </c>
      <c r="L440">
        <v>30</v>
      </c>
      <c r="M440">
        <v>3144144.144144143</v>
      </c>
      <c r="N440">
        <v>922072.07207207102</v>
      </c>
      <c r="O440">
        <v>23312234.234234236</v>
      </c>
      <c r="P440">
        <v>22156358.558558561</v>
      </c>
      <c r="Q440">
        <v>4004504.5045045041</v>
      </c>
      <c r="R440">
        <v>2501261.2612612592</v>
      </c>
      <c r="S440">
        <v>5008</v>
      </c>
      <c r="T440">
        <v>5117</v>
      </c>
    </row>
    <row r="441" spans="1:20" x14ac:dyDescent="0.35">
      <c r="A441" s="7" t="s">
        <v>538</v>
      </c>
      <c r="B441" s="12" t="s">
        <v>117</v>
      </c>
      <c r="C441">
        <v>183063597.19791737</v>
      </c>
      <c r="D441">
        <v>183028861.76123467</v>
      </c>
      <c r="E441">
        <v>1557927.927927935</v>
      </c>
      <c r="F441">
        <v>3358558.55855856</v>
      </c>
      <c r="G441">
        <v>49</v>
      </c>
      <c r="H441">
        <v>38</v>
      </c>
      <c r="K441">
        <v>120</v>
      </c>
      <c r="L441">
        <v>49</v>
      </c>
      <c r="M441">
        <v>39798873.873873875</v>
      </c>
      <c r="N441">
        <v>34906575.675675683</v>
      </c>
      <c r="O441">
        <v>96315045.045045033</v>
      </c>
      <c r="P441">
        <v>100639378.37837839</v>
      </c>
      <c r="Q441">
        <v>31987387.387387391</v>
      </c>
      <c r="R441">
        <v>32403333.333333336</v>
      </c>
      <c r="S441">
        <v>11170</v>
      </c>
      <c r="T441">
        <v>11431</v>
      </c>
    </row>
    <row r="442" spans="1:20" x14ac:dyDescent="0.35">
      <c r="A442" s="7" t="s">
        <v>539</v>
      </c>
      <c r="B442" s="12" t="s">
        <v>83</v>
      </c>
      <c r="C442">
        <v>587880248.59004426</v>
      </c>
      <c r="D442">
        <v>581539895.81085253</v>
      </c>
      <c r="E442">
        <v>9697297.2972973008</v>
      </c>
      <c r="F442">
        <v>2555405.4054054101</v>
      </c>
      <c r="G442">
        <v>65</v>
      </c>
      <c r="H442">
        <v>135</v>
      </c>
      <c r="K442">
        <v>73</v>
      </c>
      <c r="L442">
        <v>160</v>
      </c>
      <c r="M442">
        <v>32699099.099099096</v>
      </c>
      <c r="N442">
        <v>32396171.17117117</v>
      </c>
      <c r="O442">
        <v>55634493.693693697</v>
      </c>
      <c r="P442">
        <v>61789660.810810804</v>
      </c>
      <c r="Q442">
        <v>25444187.387387384</v>
      </c>
      <c r="R442">
        <v>32117430.630630631</v>
      </c>
      <c r="S442">
        <v>21647</v>
      </c>
      <c r="T442">
        <v>21450</v>
      </c>
    </row>
    <row r="443" spans="1:20" x14ac:dyDescent="0.35">
      <c r="A443" s="7" t="s">
        <v>540</v>
      </c>
      <c r="B443" s="12" t="s">
        <v>315</v>
      </c>
      <c r="C443">
        <v>68889309.167587027</v>
      </c>
      <c r="D443">
        <v>68611372.547759265</v>
      </c>
      <c r="E443">
        <v>10184684.684684685</v>
      </c>
      <c r="F443">
        <v>28583108.108108111</v>
      </c>
      <c r="G443">
        <v>8</v>
      </c>
      <c r="H443">
        <v>8</v>
      </c>
      <c r="K443">
        <v>9</v>
      </c>
      <c r="L443">
        <v>9</v>
      </c>
      <c r="M443">
        <v>6245045.0450450471</v>
      </c>
      <c r="N443">
        <v>3901351.3513513519</v>
      </c>
      <c r="O443">
        <v>12317027.027027028</v>
      </c>
      <c r="P443">
        <v>14498315.315315315</v>
      </c>
      <c r="Q443">
        <v>5179639.6396396402</v>
      </c>
      <c r="R443">
        <v>3338738.7387387389</v>
      </c>
      <c r="S443">
        <v>2528</v>
      </c>
      <c r="T443">
        <v>2627</v>
      </c>
    </row>
    <row r="444" spans="1:20" x14ac:dyDescent="0.35">
      <c r="A444" s="7" t="s">
        <v>541</v>
      </c>
      <c r="B444" s="12" t="s">
        <v>169</v>
      </c>
      <c r="C444">
        <v>505292296.97805548</v>
      </c>
      <c r="D444">
        <v>470279938.84908789</v>
      </c>
      <c r="E444">
        <v>1681531.5315315321</v>
      </c>
      <c r="F444">
        <v>1181081.081081083</v>
      </c>
      <c r="G444">
        <v>46</v>
      </c>
      <c r="H444">
        <v>56</v>
      </c>
      <c r="K444">
        <v>50</v>
      </c>
      <c r="L444">
        <v>144</v>
      </c>
      <c r="M444">
        <v>25184774.774774775</v>
      </c>
      <c r="N444">
        <v>30328108.108108103</v>
      </c>
      <c r="O444">
        <v>174378135.13513514</v>
      </c>
      <c r="P444">
        <v>175332682.43243241</v>
      </c>
      <c r="Q444">
        <v>22353603.603603609</v>
      </c>
      <c r="R444">
        <v>31686666.666666664</v>
      </c>
      <c r="S444">
        <v>21540</v>
      </c>
      <c r="T444">
        <v>21326</v>
      </c>
    </row>
    <row r="445" spans="1:20" x14ac:dyDescent="0.35">
      <c r="A445" s="7" t="s">
        <v>542</v>
      </c>
      <c r="B445" s="12" t="s">
        <v>479</v>
      </c>
      <c r="C445">
        <v>152606272.53175092</v>
      </c>
      <c r="D445">
        <v>149918896.45488524</v>
      </c>
      <c r="E445">
        <v>11622522.522522524</v>
      </c>
      <c r="F445">
        <v>25472972.972972974</v>
      </c>
      <c r="G445">
        <v>15</v>
      </c>
      <c r="H445">
        <v>10</v>
      </c>
      <c r="K445">
        <v>17</v>
      </c>
      <c r="L445">
        <v>14</v>
      </c>
      <c r="M445">
        <v>3723648.648648649</v>
      </c>
      <c r="N445">
        <v>1319144.1441441469</v>
      </c>
      <c r="O445">
        <v>19020981.981981982</v>
      </c>
      <c r="P445">
        <v>18950297.297297295</v>
      </c>
      <c r="Q445">
        <v>1098648.648648649</v>
      </c>
      <c r="R445">
        <v>29729.729729729999</v>
      </c>
      <c r="S445">
        <v>6373</v>
      </c>
      <c r="T445">
        <v>7030</v>
      </c>
    </row>
    <row r="446" spans="1:20" x14ac:dyDescent="0.35">
      <c r="A446" s="7" t="s">
        <v>543</v>
      </c>
      <c r="B446" s="12" t="s">
        <v>80</v>
      </c>
      <c r="C446">
        <v>41613386.23537045</v>
      </c>
      <c r="D446">
        <v>32589536.277796414</v>
      </c>
      <c r="E446">
        <v>40540.540540540998</v>
      </c>
      <c r="F446">
        <v>40990.990990992002</v>
      </c>
      <c r="G446">
        <v>10</v>
      </c>
      <c r="H446">
        <v>10</v>
      </c>
      <c r="K446">
        <v>11</v>
      </c>
      <c r="L446">
        <v>11</v>
      </c>
      <c r="M446">
        <v>5010810.81081081</v>
      </c>
      <c r="N446">
        <v>2845045.0450450452</v>
      </c>
      <c r="O446">
        <v>14405270.270270269</v>
      </c>
      <c r="P446">
        <v>12056081.081081079</v>
      </c>
      <c r="Q446">
        <v>3894684.684684685</v>
      </c>
      <c r="R446">
        <v>2845495.4954954959</v>
      </c>
      <c r="S446">
        <v>2335</v>
      </c>
      <c r="T446">
        <v>2323</v>
      </c>
    </row>
    <row r="447" spans="1:20" x14ac:dyDescent="0.35">
      <c r="A447" s="7" t="s">
        <v>544</v>
      </c>
      <c r="B447" s="12" t="s">
        <v>169</v>
      </c>
      <c r="C447">
        <v>34676868.395167373</v>
      </c>
      <c r="D447">
        <v>40492069.865551069</v>
      </c>
      <c r="E447">
        <v>68581081.081081077</v>
      </c>
      <c r="F447">
        <v>68852252.252252251</v>
      </c>
      <c r="G447">
        <v>8</v>
      </c>
      <c r="H447">
        <v>11</v>
      </c>
      <c r="K447">
        <v>9</v>
      </c>
      <c r="L447">
        <v>11</v>
      </c>
      <c r="M447">
        <v>4066666.666666666</v>
      </c>
      <c r="N447">
        <v>4754774.774774774</v>
      </c>
      <c r="O447">
        <v>15749358.558558561</v>
      </c>
      <c r="P447">
        <v>18071117.117117114</v>
      </c>
      <c r="Q447">
        <v>696666.66666666605</v>
      </c>
      <c r="R447">
        <v>282162.16216216201</v>
      </c>
      <c r="S447">
        <v>2435</v>
      </c>
      <c r="T447">
        <v>2499</v>
      </c>
    </row>
    <row r="448" spans="1:20" x14ac:dyDescent="0.35">
      <c r="A448" s="7" t="s">
        <v>545</v>
      </c>
      <c r="B448" s="12" t="s">
        <v>224</v>
      </c>
      <c r="C448">
        <v>11448.212426999</v>
      </c>
      <c r="D448">
        <v>9.0635441009999997</v>
      </c>
      <c r="T448">
        <v>10</v>
      </c>
    </row>
    <row r="449" spans="1:20" x14ac:dyDescent="0.35">
      <c r="A449" s="7" t="s">
        <v>546</v>
      </c>
      <c r="B449" s="12" t="s">
        <v>136</v>
      </c>
      <c r="C449">
        <v>101704227.90014002</v>
      </c>
      <c r="D449">
        <v>98295642.138476178</v>
      </c>
      <c r="E449">
        <v>262612.612612614</v>
      </c>
      <c r="F449">
        <v>387387.38738738903</v>
      </c>
      <c r="G449">
        <v>31</v>
      </c>
      <c r="H449">
        <v>32</v>
      </c>
      <c r="K449">
        <v>38</v>
      </c>
      <c r="L449">
        <v>37</v>
      </c>
      <c r="M449">
        <v>18884234.234234232</v>
      </c>
      <c r="N449">
        <v>19678378.378378376</v>
      </c>
      <c r="O449">
        <v>32196657.657657657</v>
      </c>
      <c r="P449">
        <v>31148372.072072074</v>
      </c>
      <c r="Q449">
        <v>19540900.900900904</v>
      </c>
      <c r="R449">
        <v>17711261.261261262</v>
      </c>
      <c r="S449">
        <v>4401</v>
      </c>
      <c r="T449">
        <v>4382</v>
      </c>
    </row>
    <row r="450" spans="1:20" x14ac:dyDescent="0.35">
      <c r="A450" s="7" t="s">
        <v>547</v>
      </c>
      <c r="B450" s="12" t="s">
        <v>136</v>
      </c>
      <c r="C450">
        <v>183949296.58540487</v>
      </c>
      <c r="D450">
        <v>189154857.78094956</v>
      </c>
      <c r="E450">
        <v>58995656.75675676</v>
      </c>
      <c r="F450">
        <v>48276897.297297299</v>
      </c>
      <c r="G450">
        <v>81</v>
      </c>
      <c r="H450">
        <v>94</v>
      </c>
      <c r="K450">
        <v>99</v>
      </c>
      <c r="L450">
        <v>110</v>
      </c>
      <c r="M450">
        <v>42991441.441441432</v>
      </c>
      <c r="N450">
        <v>45604954.954954952</v>
      </c>
      <c r="O450">
        <v>53849277.477477483</v>
      </c>
      <c r="P450">
        <v>61927869.369369365</v>
      </c>
      <c r="Q450">
        <v>38494684.684684686</v>
      </c>
      <c r="R450">
        <v>40427657.657657661</v>
      </c>
      <c r="S450">
        <v>12713</v>
      </c>
      <c r="T450">
        <v>13691</v>
      </c>
    </row>
    <row r="451" spans="1:20" x14ac:dyDescent="0.35">
      <c r="A451" s="7" t="s">
        <v>548</v>
      </c>
      <c r="B451" s="12" t="s">
        <v>136</v>
      </c>
      <c r="C451">
        <v>205460620.0852063</v>
      </c>
      <c r="D451">
        <v>202071556.63654417</v>
      </c>
      <c r="E451">
        <v>907207.20720720803</v>
      </c>
      <c r="F451">
        <v>1407207.2072072071</v>
      </c>
      <c r="G451">
        <v>55</v>
      </c>
      <c r="H451">
        <v>20</v>
      </c>
      <c r="K451">
        <v>63</v>
      </c>
      <c r="L451">
        <v>23</v>
      </c>
      <c r="M451">
        <v>8465765.7657657657</v>
      </c>
      <c r="N451">
        <v>8974774.7747747768</v>
      </c>
      <c r="O451">
        <v>32824855.855855856</v>
      </c>
      <c r="P451">
        <v>34882980.180180177</v>
      </c>
      <c r="Q451">
        <v>8150270.2702702703</v>
      </c>
      <c r="R451">
        <v>8218558.558558559</v>
      </c>
      <c r="S451">
        <v>8238</v>
      </c>
      <c r="T451">
        <v>8405</v>
      </c>
    </row>
    <row r="452" spans="1:20" x14ac:dyDescent="0.35">
      <c r="A452" s="7" t="s">
        <v>549</v>
      </c>
      <c r="B452" s="12" t="s">
        <v>136</v>
      </c>
      <c r="C452">
        <v>99117350.725805178</v>
      </c>
      <c r="D452">
        <v>82501648.232242614</v>
      </c>
      <c r="E452">
        <v>280180.18018018099</v>
      </c>
      <c r="F452">
        <v>108108.10810810899</v>
      </c>
      <c r="G452">
        <v>18</v>
      </c>
      <c r="H452">
        <v>12</v>
      </c>
      <c r="K452">
        <v>23</v>
      </c>
      <c r="L452">
        <v>14</v>
      </c>
      <c r="M452">
        <v>8910810.8108108118</v>
      </c>
      <c r="N452">
        <v>6297297.297297297</v>
      </c>
      <c r="O452">
        <v>15675178.378378376</v>
      </c>
      <c r="P452">
        <v>15255009.009009007</v>
      </c>
      <c r="Q452">
        <v>6283827.0270270258</v>
      </c>
      <c r="R452">
        <v>5825315.3153153146</v>
      </c>
      <c r="S452">
        <v>3785</v>
      </c>
      <c r="T452">
        <v>3664</v>
      </c>
    </row>
    <row r="453" spans="1:20" x14ac:dyDescent="0.35">
      <c r="A453" s="7" t="s">
        <v>550</v>
      </c>
      <c r="B453" s="12" t="s">
        <v>87</v>
      </c>
      <c r="C453">
        <v>41347643.828986667</v>
      </c>
      <c r="D453">
        <v>33492332.216047648</v>
      </c>
      <c r="E453">
        <v>904504.50450450496</v>
      </c>
      <c r="F453">
        <v>62162.162162162</v>
      </c>
      <c r="G453">
        <v>16</v>
      </c>
      <c r="H453">
        <v>7</v>
      </c>
      <c r="K453">
        <v>16</v>
      </c>
      <c r="L453">
        <v>10</v>
      </c>
      <c r="M453">
        <v>2233333.333333334</v>
      </c>
      <c r="N453">
        <v>1819819.8198198189</v>
      </c>
      <c r="O453">
        <v>6664450.4504504502</v>
      </c>
      <c r="P453">
        <v>5446927.927927928</v>
      </c>
      <c r="Q453">
        <v>2251081.0810810812</v>
      </c>
      <c r="R453">
        <v>2102162.162162161</v>
      </c>
      <c r="S453">
        <v>1429</v>
      </c>
      <c r="T453">
        <v>1504</v>
      </c>
    </row>
    <row r="454" spans="1:20" x14ac:dyDescent="0.35">
      <c r="A454" s="7" t="s">
        <v>551</v>
      </c>
      <c r="B454" s="12" t="s">
        <v>87</v>
      </c>
      <c r="C454">
        <v>58900556.897377491</v>
      </c>
      <c r="D454">
        <v>53163478.254764058</v>
      </c>
      <c r="E454">
        <v>4504.5045045050001</v>
      </c>
      <c r="F454">
        <v>180180.18018018099</v>
      </c>
      <c r="G454">
        <v>33</v>
      </c>
      <c r="H454">
        <v>23</v>
      </c>
      <c r="I454">
        <v>1</v>
      </c>
      <c r="K454">
        <v>35</v>
      </c>
      <c r="L454">
        <v>28</v>
      </c>
      <c r="M454">
        <v>6761261.2612612611</v>
      </c>
      <c r="N454">
        <v>3482882.8828828828</v>
      </c>
      <c r="O454">
        <v>6626981.9819819815</v>
      </c>
      <c r="P454">
        <v>6115637.8378378376</v>
      </c>
      <c r="Q454">
        <v>2784684.684684685</v>
      </c>
      <c r="R454">
        <v>2080090.0900900899</v>
      </c>
      <c r="S454">
        <v>2658</v>
      </c>
      <c r="T454">
        <v>2520</v>
      </c>
    </row>
    <row r="455" spans="1:20" x14ac:dyDescent="0.35">
      <c r="A455" s="7" t="s">
        <v>552</v>
      </c>
      <c r="B455" s="12" t="s">
        <v>66</v>
      </c>
      <c r="C455">
        <v>104433412.93247285</v>
      </c>
      <c r="D455">
        <v>100770069.0604001</v>
      </c>
      <c r="E455">
        <v>1416846.846846849</v>
      </c>
      <c r="F455">
        <v>1472972.972972973</v>
      </c>
      <c r="G455">
        <v>33</v>
      </c>
      <c r="H455">
        <v>30</v>
      </c>
      <c r="K455">
        <v>38</v>
      </c>
      <c r="L455">
        <v>39</v>
      </c>
      <c r="M455">
        <v>18689549.54954955</v>
      </c>
      <c r="N455">
        <v>37899549.54954955</v>
      </c>
      <c r="O455">
        <v>45010495.495495498</v>
      </c>
      <c r="P455">
        <v>41487245.495495498</v>
      </c>
      <c r="Q455">
        <v>15677207.207207208</v>
      </c>
      <c r="R455">
        <v>37336666.666666664</v>
      </c>
      <c r="S455">
        <v>8944</v>
      </c>
      <c r="T455">
        <v>9061</v>
      </c>
    </row>
    <row r="456" spans="1:20" x14ac:dyDescent="0.35">
      <c r="A456" s="7" t="s">
        <v>35</v>
      </c>
      <c r="B456" s="12" t="s">
        <v>158</v>
      </c>
      <c r="E456">
        <v>3378378.3783783782</v>
      </c>
      <c r="F456">
        <v>76148648.648648649</v>
      </c>
      <c r="M456">
        <v>15353153.153153151</v>
      </c>
      <c r="N456">
        <v>8984909.9099099096</v>
      </c>
    </row>
    <row r="457" spans="1:20" x14ac:dyDescent="0.35">
      <c r="A457" s="7" t="s">
        <v>553</v>
      </c>
      <c r="B457" s="12" t="s">
        <v>554</v>
      </c>
      <c r="C457">
        <v>223624808.12095988</v>
      </c>
      <c r="D457">
        <v>202317218.53686509</v>
      </c>
      <c r="E457">
        <v>206306.30630630799</v>
      </c>
      <c r="F457">
        <v>1538288.288288289</v>
      </c>
      <c r="G457">
        <v>61</v>
      </c>
      <c r="H457">
        <v>24</v>
      </c>
      <c r="I457">
        <v>1</v>
      </c>
      <c r="K457">
        <v>114</v>
      </c>
      <c r="L457">
        <v>34</v>
      </c>
      <c r="M457">
        <v>18324504.504504506</v>
      </c>
      <c r="N457">
        <v>39300000</v>
      </c>
      <c r="O457">
        <v>59560972.972972974</v>
      </c>
      <c r="P457">
        <v>54826135.135135137</v>
      </c>
      <c r="Q457">
        <v>16906936.936936934</v>
      </c>
      <c r="R457">
        <v>41153063.063063055</v>
      </c>
      <c r="S457">
        <v>9433</v>
      </c>
      <c r="T457">
        <v>9016</v>
      </c>
    </row>
    <row r="458" spans="1:20" x14ac:dyDescent="0.35">
      <c r="A458" s="7" t="s">
        <v>555</v>
      </c>
      <c r="B458" s="12" t="s">
        <v>554</v>
      </c>
      <c r="C458">
        <v>33782458.594827019</v>
      </c>
      <c r="D458">
        <v>31549145.542803593</v>
      </c>
      <c r="E458">
        <v>3392581.9819819829</v>
      </c>
      <c r="F458">
        <v>86744493.693693697</v>
      </c>
      <c r="G458">
        <v>17</v>
      </c>
      <c r="H458">
        <v>7</v>
      </c>
      <c r="K458">
        <v>18</v>
      </c>
      <c r="L458">
        <v>7</v>
      </c>
      <c r="M458">
        <v>6379819.8198198201</v>
      </c>
      <c r="N458">
        <v>5270270.2702702712</v>
      </c>
      <c r="O458">
        <v>12488513.513513515</v>
      </c>
      <c r="P458">
        <v>11311576.576576576</v>
      </c>
      <c r="Q458">
        <v>2861441.441441441</v>
      </c>
      <c r="R458">
        <v>3568558.5585585581</v>
      </c>
      <c r="S458">
        <v>1663</v>
      </c>
      <c r="T458">
        <v>1545</v>
      </c>
    </row>
    <row r="459" spans="1:20" x14ac:dyDescent="0.35">
      <c r="A459" s="7" t="s">
        <v>556</v>
      </c>
      <c r="B459" s="12" t="s">
        <v>121</v>
      </c>
      <c r="C459">
        <v>25611778.789727215</v>
      </c>
      <c r="D459">
        <v>24356502.143335819</v>
      </c>
      <c r="F459">
        <v>180180.18018018</v>
      </c>
      <c r="G459">
        <v>12</v>
      </c>
      <c r="H459">
        <v>10</v>
      </c>
      <c r="K459">
        <v>13</v>
      </c>
      <c r="L459">
        <v>14</v>
      </c>
      <c r="N459">
        <v>180180.18018018</v>
      </c>
      <c r="O459">
        <v>1399144.1441441439</v>
      </c>
      <c r="P459">
        <v>2357612.6126126121</v>
      </c>
      <c r="Q459">
        <v>92792.792792793</v>
      </c>
      <c r="R459">
        <v>84684.684684684995</v>
      </c>
      <c r="S459">
        <v>1426</v>
      </c>
      <c r="T459">
        <v>1393</v>
      </c>
    </row>
    <row r="460" spans="1:20" x14ac:dyDescent="0.35">
      <c r="A460" s="7" t="s">
        <v>672</v>
      </c>
      <c r="B460" s="12" t="s">
        <v>236</v>
      </c>
      <c r="E460">
        <v>23360029.729729727</v>
      </c>
      <c r="F460">
        <v>5157445.9459459456</v>
      </c>
      <c r="M460">
        <v>17629729.729729731</v>
      </c>
      <c r="N460">
        <v>20057207.207207207</v>
      </c>
    </row>
    <row r="461" spans="1:20" x14ac:dyDescent="0.35">
      <c r="A461" s="7" t="s">
        <v>557</v>
      </c>
      <c r="B461" s="12" t="s">
        <v>70</v>
      </c>
      <c r="C461">
        <v>196232875.13039127</v>
      </c>
      <c r="D461">
        <v>193927204.38452673</v>
      </c>
      <c r="E461">
        <v>629009.00900900899</v>
      </c>
      <c r="F461">
        <v>2403603.603603608</v>
      </c>
      <c r="G461">
        <v>39</v>
      </c>
      <c r="H461">
        <v>39</v>
      </c>
      <c r="K461">
        <v>44</v>
      </c>
      <c r="L461">
        <v>49</v>
      </c>
      <c r="M461">
        <v>10991171.171171175</v>
      </c>
      <c r="N461">
        <v>34479279.279279292</v>
      </c>
      <c r="O461">
        <v>78662819.819819823</v>
      </c>
      <c r="P461">
        <v>80156054.054054052</v>
      </c>
      <c r="Q461">
        <v>21294684.684684686</v>
      </c>
      <c r="R461">
        <v>22958648.648648649</v>
      </c>
      <c r="S461">
        <v>10428</v>
      </c>
      <c r="T461">
        <v>10063</v>
      </c>
    </row>
    <row r="462" spans="1:20" x14ac:dyDescent="0.35">
      <c r="A462" s="7" t="s">
        <v>558</v>
      </c>
      <c r="B462" s="12" t="s">
        <v>62</v>
      </c>
      <c r="C462">
        <v>354357597.38907486</v>
      </c>
      <c r="D462">
        <v>354711758.6684438</v>
      </c>
      <c r="E462">
        <v>3748198.1981982011</v>
      </c>
      <c r="F462">
        <v>7266666.6666666688</v>
      </c>
      <c r="G462">
        <v>70</v>
      </c>
      <c r="H462">
        <v>88</v>
      </c>
      <c r="K462">
        <v>87</v>
      </c>
      <c r="L462">
        <v>175</v>
      </c>
      <c r="M462">
        <v>30085495.495495487</v>
      </c>
      <c r="N462">
        <v>57103423.423423417</v>
      </c>
      <c r="O462">
        <v>79192027.027027026</v>
      </c>
      <c r="P462">
        <v>79697923.423423424</v>
      </c>
      <c r="Q462">
        <v>23116666.666666664</v>
      </c>
      <c r="R462">
        <v>54924504.504504494</v>
      </c>
      <c r="S462">
        <v>17955</v>
      </c>
      <c r="T462">
        <v>18403</v>
      </c>
    </row>
    <row r="463" spans="1:20" x14ac:dyDescent="0.35">
      <c r="A463" s="7" t="s">
        <v>559</v>
      </c>
      <c r="B463" s="12" t="s">
        <v>479</v>
      </c>
      <c r="C463">
        <v>182522939.96308151</v>
      </c>
      <c r="D463">
        <v>161021554.41161746</v>
      </c>
      <c r="E463">
        <v>60586690.990990989</v>
      </c>
      <c r="F463">
        <v>40242444.144144155</v>
      </c>
      <c r="G463">
        <v>79</v>
      </c>
      <c r="H463">
        <v>44</v>
      </c>
      <c r="K463">
        <v>85</v>
      </c>
      <c r="L463">
        <v>55</v>
      </c>
      <c r="M463">
        <v>17710090.090090092</v>
      </c>
      <c r="N463">
        <v>17660630.630630635</v>
      </c>
      <c r="O463">
        <v>50618801.801801801</v>
      </c>
      <c r="P463">
        <v>46984475.675675683</v>
      </c>
      <c r="Q463">
        <v>17890180.180180181</v>
      </c>
      <c r="R463">
        <v>20541621.62162162</v>
      </c>
      <c r="S463">
        <v>7918</v>
      </c>
      <c r="T463">
        <v>7696</v>
      </c>
    </row>
    <row r="464" spans="1:20" x14ac:dyDescent="0.35">
      <c r="A464" s="7" t="s">
        <v>560</v>
      </c>
      <c r="B464" s="12" t="s">
        <v>236</v>
      </c>
      <c r="C464">
        <v>26669248.718192033</v>
      </c>
      <c r="D464">
        <v>27376603.714827079</v>
      </c>
      <c r="E464">
        <v>7207.207207208</v>
      </c>
      <c r="F464">
        <v>54054.054054054999</v>
      </c>
      <c r="G464">
        <v>9</v>
      </c>
      <c r="H464">
        <v>9</v>
      </c>
      <c r="K464">
        <v>10</v>
      </c>
      <c r="L464">
        <v>11</v>
      </c>
      <c r="M464">
        <v>2671171.1711711702</v>
      </c>
      <c r="N464">
        <v>2084414.414414413</v>
      </c>
      <c r="O464">
        <v>9939504.5045045037</v>
      </c>
      <c r="P464">
        <v>10038738.73873874</v>
      </c>
      <c r="Q464">
        <v>2161621.6216216208</v>
      </c>
      <c r="R464">
        <v>2360540.5405405378</v>
      </c>
      <c r="S464">
        <v>2180</v>
      </c>
      <c r="T464">
        <v>2119</v>
      </c>
    </row>
    <row r="465" spans="1:20" x14ac:dyDescent="0.35">
      <c r="A465" s="7" t="s">
        <v>561</v>
      </c>
      <c r="B465" s="12" t="s">
        <v>60</v>
      </c>
      <c r="C465">
        <v>27167670.607502926</v>
      </c>
      <c r="D465">
        <v>27272455.924677599</v>
      </c>
      <c r="E465">
        <v>327477.47747747798</v>
      </c>
      <c r="F465">
        <v>397297.29729729699</v>
      </c>
      <c r="G465">
        <v>6</v>
      </c>
      <c r="H465">
        <v>13</v>
      </c>
      <c r="K465">
        <v>6</v>
      </c>
      <c r="L465">
        <v>14</v>
      </c>
      <c r="M465">
        <v>6030180.1801801799</v>
      </c>
      <c r="N465">
        <v>7253153.1531531531</v>
      </c>
      <c r="O465">
        <v>10090630.630630633</v>
      </c>
      <c r="P465">
        <v>10215477.477477478</v>
      </c>
      <c r="Q465">
        <v>5293513.5135135138</v>
      </c>
      <c r="R465">
        <v>7708378.3783783801</v>
      </c>
      <c r="S465">
        <v>1238</v>
      </c>
      <c r="T465">
        <v>1221</v>
      </c>
    </row>
    <row r="466" spans="1:20" x14ac:dyDescent="0.35">
      <c r="A466" s="7" t="s">
        <v>562</v>
      </c>
      <c r="B466" s="12" t="s">
        <v>563</v>
      </c>
      <c r="C466">
        <v>144583880.4572686</v>
      </c>
      <c r="D466">
        <v>148108025.19764656</v>
      </c>
      <c r="E466">
        <v>39869857.657657653</v>
      </c>
      <c r="F466">
        <v>397190528.82882887</v>
      </c>
      <c r="G466">
        <v>46</v>
      </c>
      <c r="H466">
        <v>46</v>
      </c>
      <c r="K466">
        <v>115</v>
      </c>
      <c r="L466">
        <v>68</v>
      </c>
      <c r="M466">
        <v>63709504.504504502</v>
      </c>
      <c r="N466">
        <v>191802695.4954955</v>
      </c>
      <c r="O466">
        <v>56056486.48648648</v>
      </c>
      <c r="P466">
        <v>64011225.225225225</v>
      </c>
      <c r="Q466">
        <v>70610798.198198199</v>
      </c>
      <c r="R466">
        <v>114473362.16216215</v>
      </c>
      <c r="S466">
        <v>8614</v>
      </c>
      <c r="T466">
        <v>9364</v>
      </c>
    </row>
    <row r="467" spans="1:20" x14ac:dyDescent="0.35">
      <c r="A467" s="7" t="s">
        <v>564</v>
      </c>
      <c r="B467" s="12" t="s">
        <v>563</v>
      </c>
      <c r="C467">
        <v>215908939.6084457</v>
      </c>
      <c r="D467">
        <v>197415060.84531137</v>
      </c>
      <c r="E467">
        <v>1247657.6576576601</v>
      </c>
      <c r="F467">
        <v>1591891.8918918979</v>
      </c>
      <c r="G467">
        <v>49</v>
      </c>
      <c r="H467">
        <v>93</v>
      </c>
      <c r="K467">
        <v>64</v>
      </c>
      <c r="L467">
        <v>106</v>
      </c>
      <c r="M467">
        <v>21150450.45045045</v>
      </c>
      <c r="N467">
        <v>14886443.243243244</v>
      </c>
      <c r="O467">
        <v>84222117.117117122</v>
      </c>
      <c r="P467">
        <v>83413270.270270273</v>
      </c>
      <c r="Q467">
        <v>21059459.459459461</v>
      </c>
      <c r="R467">
        <v>14382432.432432432</v>
      </c>
      <c r="S467">
        <v>12258</v>
      </c>
      <c r="T467">
        <v>11727</v>
      </c>
    </row>
    <row r="468" spans="1:20" x14ac:dyDescent="0.35">
      <c r="A468" s="7" t="s">
        <v>565</v>
      </c>
      <c r="B468" s="12" t="s">
        <v>563</v>
      </c>
      <c r="C468">
        <v>144149005.44830641</v>
      </c>
      <c r="D468">
        <v>147751916.03504214</v>
      </c>
      <c r="E468">
        <v>200000.00000000099</v>
      </c>
      <c r="F468">
        <v>2436936.9369369391</v>
      </c>
      <c r="G468">
        <v>39</v>
      </c>
      <c r="H468">
        <v>55</v>
      </c>
      <c r="I468">
        <v>1</v>
      </c>
      <c r="K468">
        <v>59</v>
      </c>
      <c r="L468">
        <v>267</v>
      </c>
      <c r="M468">
        <v>13824774.774774777</v>
      </c>
      <c r="N468">
        <v>18500496.396396399</v>
      </c>
      <c r="O468">
        <v>60861477.477477483</v>
      </c>
      <c r="P468">
        <v>69309297.297297299</v>
      </c>
      <c r="Q468">
        <v>16298198.198198196</v>
      </c>
      <c r="R468">
        <v>16210450.450450456</v>
      </c>
      <c r="S468">
        <v>11827</v>
      </c>
      <c r="T468">
        <v>11736</v>
      </c>
    </row>
    <row r="469" spans="1:20" x14ac:dyDescent="0.35">
      <c r="A469" s="7" t="s">
        <v>566</v>
      </c>
      <c r="B469" s="12" t="s">
        <v>563</v>
      </c>
      <c r="C469">
        <v>96732465.34270443</v>
      </c>
      <c r="D469">
        <v>98795070.225846857</v>
      </c>
      <c r="E469">
        <v>117117.117117118</v>
      </c>
      <c r="F469">
        <v>426126.12612612703</v>
      </c>
      <c r="G469">
        <v>16</v>
      </c>
      <c r="H469">
        <v>8</v>
      </c>
      <c r="K469">
        <v>20</v>
      </c>
      <c r="L469">
        <v>15</v>
      </c>
      <c r="M469">
        <v>17483468.468468465</v>
      </c>
      <c r="N469">
        <v>14560781.981981982</v>
      </c>
      <c r="O469">
        <v>52948459.459459454</v>
      </c>
      <c r="P469">
        <v>58524180.180180177</v>
      </c>
      <c r="Q469">
        <v>15784729.729729729</v>
      </c>
      <c r="R469">
        <v>11250720.72072072</v>
      </c>
      <c r="S469">
        <v>6550</v>
      </c>
      <c r="T469">
        <v>6376</v>
      </c>
    </row>
    <row r="470" spans="1:20" x14ac:dyDescent="0.35">
      <c r="A470" s="7" t="s">
        <v>567</v>
      </c>
      <c r="B470" s="12" t="s">
        <v>563</v>
      </c>
      <c r="C470">
        <v>56682416.06141381</v>
      </c>
      <c r="D470">
        <v>57417693.606106393</v>
      </c>
      <c r="E470">
        <v>309459.45945946098</v>
      </c>
      <c r="F470">
        <v>581981.98198198294</v>
      </c>
      <c r="G470">
        <v>14</v>
      </c>
      <c r="H470">
        <v>11</v>
      </c>
      <c r="K470">
        <v>17</v>
      </c>
      <c r="L470">
        <v>22</v>
      </c>
      <c r="M470">
        <v>11881036.036036037</v>
      </c>
      <c r="N470">
        <v>9945488.2882882897</v>
      </c>
      <c r="O470">
        <v>22929909.909909908</v>
      </c>
      <c r="P470">
        <v>23725729.729729727</v>
      </c>
      <c r="Q470">
        <v>13300225.225225223</v>
      </c>
      <c r="R470">
        <v>8822657.6576576587</v>
      </c>
      <c r="S470">
        <v>4589</v>
      </c>
      <c r="T470">
        <v>4850</v>
      </c>
    </row>
    <row r="471" spans="1:20" x14ac:dyDescent="0.35">
      <c r="A471" s="7" t="s">
        <v>568</v>
      </c>
      <c r="B471" s="12" t="s">
        <v>48</v>
      </c>
      <c r="C471">
        <v>135995264.50487906</v>
      </c>
      <c r="D471">
        <v>127569084.01193894</v>
      </c>
      <c r="E471">
        <v>9459.4594594589998</v>
      </c>
      <c r="F471">
        <v>287387.38738738798</v>
      </c>
      <c r="G471">
        <v>3</v>
      </c>
      <c r="H471">
        <v>3</v>
      </c>
      <c r="K471">
        <v>3</v>
      </c>
      <c r="L471">
        <v>4</v>
      </c>
      <c r="M471">
        <v>5414864.8648648653</v>
      </c>
      <c r="N471">
        <v>4791891.8918918911</v>
      </c>
      <c r="O471">
        <v>15299639.639639638</v>
      </c>
      <c r="P471">
        <v>15426774.774774777</v>
      </c>
      <c r="Q471">
        <v>5308648.6486486495</v>
      </c>
      <c r="R471">
        <v>5164144.1441441439</v>
      </c>
      <c r="S471">
        <v>6193</v>
      </c>
      <c r="T471">
        <v>6009</v>
      </c>
    </row>
    <row r="472" spans="1:20" x14ac:dyDescent="0.35">
      <c r="A472" s="7" t="s">
        <v>569</v>
      </c>
      <c r="B472" s="12" t="s">
        <v>169</v>
      </c>
      <c r="C472">
        <v>1128550824.7810087</v>
      </c>
      <c r="D472">
        <v>1190002533.0187907</v>
      </c>
      <c r="E472">
        <v>590077537.83783782</v>
      </c>
      <c r="F472">
        <v>1210281012.6126127</v>
      </c>
      <c r="G472">
        <v>361</v>
      </c>
      <c r="H472">
        <v>687</v>
      </c>
      <c r="I472">
        <v>4</v>
      </c>
      <c r="K472">
        <v>490</v>
      </c>
      <c r="L472">
        <v>903</v>
      </c>
      <c r="M472">
        <v>202195945.94594595</v>
      </c>
      <c r="N472">
        <v>275966216.21621621</v>
      </c>
      <c r="O472">
        <v>377092234.23423421</v>
      </c>
      <c r="P472">
        <v>581637954.05405402</v>
      </c>
      <c r="Q472">
        <v>170247027.02702704</v>
      </c>
      <c r="R472">
        <v>252487250.45045042</v>
      </c>
      <c r="S472">
        <v>55830</v>
      </c>
      <c r="T472">
        <v>57143</v>
      </c>
    </row>
    <row r="473" spans="1:20" x14ac:dyDescent="0.35">
      <c r="A473" s="7" t="s">
        <v>570</v>
      </c>
      <c r="B473" s="12" t="s">
        <v>220</v>
      </c>
      <c r="C473">
        <v>123313462.77386077</v>
      </c>
      <c r="D473">
        <v>115385619.04239459</v>
      </c>
      <c r="E473">
        <v>485585.58558558702</v>
      </c>
      <c r="F473">
        <v>563063.06306306401</v>
      </c>
      <c r="G473">
        <v>16</v>
      </c>
      <c r="H473">
        <v>10</v>
      </c>
      <c r="K473">
        <v>18</v>
      </c>
      <c r="L473">
        <v>12</v>
      </c>
      <c r="M473">
        <v>2292792.7927927938</v>
      </c>
      <c r="N473">
        <v>5025405.4054054022</v>
      </c>
      <c r="O473">
        <v>19384801.801801801</v>
      </c>
      <c r="P473">
        <v>18345126.126126129</v>
      </c>
      <c r="Q473">
        <v>2669099.0990991001</v>
      </c>
      <c r="R473">
        <v>3856936.9369369322</v>
      </c>
      <c r="S473">
        <v>5279</v>
      </c>
      <c r="T473">
        <v>5045</v>
      </c>
    </row>
    <row r="474" spans="1:20" x14ac:dyDescent="0.35">
      <c r="A474" s="7" t="s">
        <v>571</v>
      </c>
      <c r="B474" s="12" t="s">
        <v>85</v>
      </c>
      <c r="C474">
        <v>140994518.96879369</v>
      </c>
      <c r="D474">
        <v>138816247.14992824</v>
      </c>
      <c r="E474">
        <v>143338564.86486486</v>
      </c>
      <c r="F474">
        <v>98750131.531531543</v>
      </c>
      <c r="G474">
        <v>19</v>
      </c>
      <c r="H474">
        <v>12</v>
      </c>
      <c r="K474">
        <v>20</v>
      </c>
      <c r="L474">
        <v>13</v>
      </c>
      <c r="M474">
        <v>5667567.5675675673</v>
      </c>
      <c r="N474">
        <v>17914414.414414421</v>
      </c>
      <c r="O474">
        <v>30141747.747747749</v>
      </c>
      <c r="P474">
        <v>32351684.684684683</v>
      </c>
      <c r="Q474">
        <v>6112972.9729729723</v>
      </c>
      <c r="R474">
        <v>10283693.693693696</v>
      </c>
      <c r="S474">
        <v>4969</v>
      </c>
      <c r="T474">
        <v>5277</v>
      </c>
    </row>
    <row r="475" spans="1:20" x14ac:dyDescent="0.35">
      <c r="A475" s="7" t="s">
        <v>572</v>
      </c>
      <c r="B475" s="12" t="s">
        <v>479</v>
      </c>
      <c r="C475">
        <v>68691807.432341814</v>
      </c>
      <c r="D475">
        <v>84749575.441586882</v>
      </c>
      <c r="E475">
        <v>1230630.630630634</v>
      </c>
      <c r="F475">
        <v>1703603.6036036101</v>
      </c>
      <c r="G475">
        <v>30</v>
      </c>
      <c r="H475">
        <v>45</v>
      </c>
      <c r="K475">
        <v>40</v>
      </c>
      <c r="L475">
        <v>67</v>
      </c>
      <c r="M475">
        <v>8374324.324324321</v>
      </c>
      <c r="N475">
        <v>10371171.171171172</v>
      </c>
      <c r="O475">
        <v>24526891.891891893</v>
      </c>
      <c r="P475">
        <v>35685855.855855852</v>
      </c>
      <c r="Q475">
        <v>11794684.684684685</v>
      </c>
      <c r="R475">
        <v>11023783.783783784</v>
      </c>
      <c r="S475">
        <v>5236</v>
      </c>
      <c r="T475">
        <v>5271</v>
      </c>
    </row>
    <row r="476" spans="1:20" x14ac:dyDescent="0.35">
      <c r="A476" s="7" t="s">
        <v>573</v>
      </c>
      <c r="B476" s="12" t="s">
        <v>94</v>
      </c>
      <c r="C476">
        <v>203926739.35191375</v>
      </c>
      <c r="D476">
        <v>184694585.18377933</v>
      </c>
      <c r="E476">
        <v>881081.081081082</v>
      </c>
      <c r="F476">
        <v>1293693.6936936961</v>
      </c>
      <c r="G476">
        <v>43</v>
      </c>
      <c r="H476">
        <v>29</v>
      </c>
      <c r="K476">
        <v>52</v>
      </c>
      <c r="L476">
        <v>44</v>
      </c>
      <c r="M476">
        <v>372682882.88288289</v>
      </c>
      <c r="N476">
        <v>380708108.1081081</v>
      </c>
      <c r="O476">
        <v>45514229.729729727</v>
      </c>
      <c r="P476">
        <v>44677840.540540546</v>
      </c>
      <c r="Q476">
        <v>12655855.855855856</v>
      </c>
      <c r="R476">
        <v>19089819.819819819</v>
      </c>
      <c r="S476">
        <v>9779</v>
      </c>
      <c r="T476">
        <v>9674</v>
      </c>
    </row>
    <row r="477" spans="1:20" x14ac:dyDescent="0.35">
      <c r="A477" s="7" t="s">
        <v>574</v>
      </c>
      <c r="B477" s="12" t="s">
        <v>307</v>
      </c>
      <c r="C477">
        <v>434301822.92461139</v>
      </c>
      <c r="D477">
        <v>441326625.71035212</v>
      </c>
      <c r="E477">
        <v>110663063.06306307</v>
      </c>
      <c r="F477">
        <v>175585585.58558559</v>
      </c>
      <c r="G477">
        <v>75</v>
      </c>
      <c r="H477">
        <v>110</v>
      </c>
      <c r="K477">
        <v>92</v>
      </c>
      <c r="L477">
        <v>159</v>
      </c>
      <c r="M477">
        <v>38448378.378378376</v>
      </c>
      <c r="N477">
        <v>115761801.8018018</v>
      </c>
      <c r="O477">
        <v>167895081.08108109</v>
      </c>
      <c r="P477">
        <v>174638014.41441441</v>
      </c>
      <c r="Q477">
        <v>30978243.243243247</v>
      </c>
      <c r="R477">
        <v>55662612.612612613</v>
      </c>
      <c r="S477">
        <v>32351</v>
      </c>
      <c r="T477">
        <v>32957</v>
      </c>
    </row>
    <row r="478" spans="1:20" x14ac:dyDescent="0.35">
      <c r="A478" s="7" t="s">
        <v>10</v>
      </c>
      <c r="B478" s="12" t="s">
        <v>193</v>
      </c>
      <c r="C478">
        <v>72819937.563293308</v>
      </c>
      <c r="D478">
        <v>67505183.099458799</v>
      </c>
      <c r="E478">
        <v>73756846.846846849</v>
      </c>
      <c r="F478">
        <v>231337520.72072074</v>
      </c>
      <c r="G478">
        <v>6</v>
      </c>
      <c r="H478">
        <v>9</v>
      </c>
      <c r="K478">
        <v>6</v>
      </c>
      <c r="L478">
        <v>13</v>
      </c>
      <c r="O478">
        <v>42047927.927927926</v>
      </c>
      <c r="P478">
        <v>40417504.504504502</v>
      </c>
      <c r="R478">
        <v>11081.081081081</v>
      </c>
      <c r="S478">
        <v>3776</v>
      </c>
      <c r="T478">
        <v>3705</v>
      </c>
    </row>
    <row r="479" spans="1:20" x14ac:dyDescent="0.35">
      <c r="A479" s="7" t="s">
        <v>575</v>
      </c>
      <c r="B479" s="12" t="s">
        <v>87</v>
      </c>
      <c r="C479">
        <v>1709836.9667904419</v>
      </c>
      <c r="D479">
        <v>1709367.725422346</v>
      </c>
      <c r="H479">
        <v>5</v>
      </c>
      <c r="L479">
        <v>5</v>
      </c>
      <c r="O479">
        <v>656756.75675675704</v>
      </c>
      <c r="P479">
        <v>601727.92792792805</v>
      </c>
      <c r="S479">
        <v>261</v>
      </c>
      <c r="T479">
        <v>214</v>
      </c>
    </row>
    <row r="480" spans="1:20" x14ac:dyDescent="0.35">
      <c r="A480" s="7" t="s">
        <v>576</v>
      </c>
      <c r="B480" s="12" t="s">
        <v>283</v>
      </c>
      <c r="C480">
        <v>105297526.88213637</v>
      </c>
      <c r="D480">
        <v>101139773.78711763</v>
      </c>
      <c r="E480">
        <v>34234.234234233998</v>
      </c>
      <c r="F480">
        <v>62162.162162162</v>
      </c>
      <c r="G480">
        <v>14</v>
      </c>
      <c r="H480">
        <v>9</v>
      </c>
      <c r="K480">
        <v>18</v>
      </c>
      <c r="L480">
        <v>9</v>
      </c>
      <c r="M480">
        <v>6070270.2702702703</v>
      </c>
      <c r="N480">
        <v>8909009.0090090092</v>
      </c>
      <c r="O480">
        <v>14839549.54954955</v>
      </c>
      <c r="P480">
        <v>16866108.108108107</v>
      </c>
      <c r="Q480">
        <v>5420630.6306306301</v>
      </c>
      <c r="R480">
        <v>7668738.7387387389</v>
      </c>
      <c r="S480">
        <v>3597</v>
      </c>
      <c r="T480">
        <v>3507</v>
      </c>
    </row>
    <row r="481" spans="1:20" x14ac:dyDescent="0.35">
      <c r="A481" s="7" t="s">
        <v>577</v>
      </c>
      <c r="B481" s="12" t="s">
        <v>307</v>
      </c>
      <c r="C481">
        <v>434057855.089338</v>
      </c>
      <c r="D481">
        <v>415208769.53129423</v>
      </c>
      <c r="E481">
        <v>423693.69369369501</v>
      </c>
      <c r="F481">
        <v>4000450.45045046</v>
      </c>
      <c r="G481">
        <v>133</v>
      </c>
      <c r="H481">
        <v>144</v>
      </c>
      <c r="K481">
        <v>172</v>
      </c>
      <c r="L481">
        <v>218</v>
      </c>
      <c r="M481">
        <v>32030315.315315317</v>
      </c>
      <c r="N481">
        <v>40074054.054054059</v>
      </c>
      <c r="O481">
        <v>164203855.85585585</v>
      </c>
      <c r="P481">
        <v>172622369.36936939</v>
      </c>
      <c r="Q481">
        <v>26145405.40540541</v>
      </c>
      <c r="R481">
        <v>36598108.108108111</v>
      </c>
      <c r="S481">
        <v>38133</v>
      </c>
      <c r="T481">
        <v>39057</v>
      </c>
    </row>
    <row r="482" spans="1:20" x14ac:dyDescent="0.35">
      <c r="A482" s="7" t="s">
        <v>578</v>
      </c>
      <c r="B482" s="12" t="s">
        <v>330</v>
      </c>
      <c r="C482">
        <v>413709142.43139672</v>
      </c>
      <c r="D482">
        <v>389380103.62069887</v>
      </c>
      <c r="E482">
        <v>595495.49549549795</v>
      </c>
      <c r="F482">
        <v>4295045.0450450489</v>
      </c>
      <c r="G482">
        <v>124</v>
      </c>
      <c r="H482">
        <v>137</v>
      </c>
      <c r="K482">
        <v>173</v>
      </c>
      <c r="L482">
        <v>185</v>
      </c>
      <c r="M482">
        <v>113396396.3963964</v>
      </c>
      <c r="N482">
        <v>29062162.162162162</v>
      </c>
      <c r="O482">
        <v>80899963.963963971</v>
      </c>
      <c r="P482">
        <v>88239033.783783779</v>
      </c>
      <c r="Q482">
        <v>110230180.18018018</v>
      </c>
      <c r="R482">
        <v>27663783.783783782</v>
      </c>
      <c r="S482">
        <v>28485</v>
      </c>
      <c r="T482">
        <v>28105</v>
      </c>
    </row>
    <row r="483" spans="1:20" x14ac:dyDescent="0.35">
      <c r="A483" s="7" t="s">
        <v>579</v>
      </c>
      <c r="B483" s="12" t="s">
        <v>66</v>
      </c>
      <c r="C483">
        <v>63078381.212644935</v>
      </c>
      <c r="D483">
        <v>58908001.924297079</v>
      </c>
      <c r="E483">
        <v>6756.7567567570004</v>
      </c>
      <c r="F483">
        <v>36036.036036037003</v>
      </c>
      <c r="G483">
        <v>12</v>
      </c>
      <c r="H483">
        <v>10</v>
      </c>
      <c r="K483">
        <v>15</v>
      </c>
      <c r="L483">
        <v>13</v>
      </c>
      <c r="M483">
        <v>1257657.6576576589</v>
      </c>
      <c r="N483">
        <v>1513513.5135135141</v>
      </c>
      <c r="O483">
        <v>16210405.405405406</v>
      </c>
      <c r="P483">
        <v>14995081.081081081</v>
      </c>
      <c r="Q483">
        <v>1326576.576576577</v>
      </c>
      <c r="R483">
        <v>1471981.981981982</v>
      </c>
      <c r="S483">
        <v>3420</v>
      </c>
      <c r="T483">
        <v>3225</v>
      </c>
    </row>
    <row r="484" spans="1:20" x14ac:dyDescent="0.35">
      <c r="A484" s="7" t="s">
        <v>580</v>
      </c>
      <c r="B484" s="12" t="s">
        <v>236</v>
      </c>
      <c r="C484">
        <v>3.9162587420000001</v>
      </c>
      <c r="D484">
        <v>9008.6635105530004</v>
      </c>
    </row>
    <row r="485" spans="1:20" x14ac:dyDescent="0.35">
      <c r="A485" s="7" t="s">
        <v>581</v>
      </c>
      <c r="B485" s="12" t="s">
        <v>62</v>
      </c>
      <c r="C485">
        <v>161694855.06903037</v>
      </c>
      <c r="D485">
        <v>158140017.30857357</v>
      </c>
      <c r="E485">
        <v>497747.74774774798</v>
      </c>
      <c r="F485">
        <v>1381081.081081087</v>
      </c>
      <c r="G485">
        <v>33</v>
      </c>
      <c r="H485">
        <v>89</v>
      </c>
      <c r="K485">
        <v>37</v>
      </c>
      <c r="L485">
        <v>91</v>
      </c>
      <c r="M485">
        <v>14090540.540540544</v>
      </c>
      <c r="N485">
        <v>10559639.63963964</v>
      </c>
      <c r="O485">
        <v>33901747.747747749</v>
      </c>
      <c r="P485">
        <v>33866360.360360362</v>
      </c>
      <c r="Q485">
        <v>10994684.684684688</v>
      </c>
      <c r="R485">
        <v>11081981.98198198</v>
      </c>
      <c r="S485">
        <v>6813</v>
      </c>
      <c r="T485">
        <v>6700</v>
      </c>
    </row>
    <row r="486" spans="1:20" x14ac:dyDescent="0.35">
      <c r="A486" s="7" t="s">
        <v>582</v>
      </c>
      <c r="B486" s="12" t="s">
        <v>48</v>
      </c>
      <c r="C486">
        <v>154377380.05109078</v>
      </c>
      <c r="D486">
        <v>148221695.69884545</v>
      </c>
      <c r="E486">
        <v>2075315.315315315</v>
      </c>
      <c r="F486">
        <v>261261.261261262</v>
      </c>
      <c r="G486">
        <v>14</v>
      </c>
      <c r="H486">
        <v>18</v>
      </c>
      <c r="K486">
        <v>14</v>
      </c>
      <c r="L486">
        <v>20</v>
      </c>
      <c r="M486">
        <v>14929369.369369373</v>
      </c>
      <c r="N486">
        <v>41239009.009009011</v>
      </c>
      <c r="O486">
        <v>20665945.945945948</v>
      </c>
      <c r="P486">
        <v>20955450.45045045</v>
      </c>
      <c r="Q486">
        <v>10848558.558558565</v>
      </c>
      <c r="R486">
        <v>21558558.558558561</v>
      </c>
      <c r="S486">
        <v>5560</v>
      </c>
      <c r="T486">
        <v>5068</v>
      </c>
    </row>
    <row r="487" spans="1:20" x14ac:dyDescent="0.35">
      <c r="A487" s="7" t="s">
        <v>583</v>
      </c>
      <c r="B487" s="12" t="s">
        <v>54</v>
      </c>
      <c r="C487">
        <v>27827079.715865675</v>
      </c>
      <c r="D487">
        <v>27971991.515772197</v>
      </c>
      <c r="E487">
        <v>26126.126126127001</v>
      </c>
      <c r="F487">
        <v>249549.54954954999</v>
      </c>
      <c r="G487">
        <v>9</v>
      </c>
      <c r="H487">
        <v>8</v>
      </c>
      <c r="K487">
        <v>10</v>
      </c>
      <c r="L487">
        <v>9</v>
      </c>
      <c r="M487">
        <v>4606306.3063063063</v>
      </c>
      <c r="N487">
        <v>5351441.44144144</v>
      </c>
      <c r="O487">
        <v>6532882.8828828819</v>
      </c>
      <c r="P487">
        <v>7104891.8918918921</v>
      </c>
      <c r="Q487">
        <v>4328198.1981981983</v>
      </c>
      <c r="R487">
        <v>4843153.1531531531</v>
      </c>
      <c r="S487">
        <v>2129</v>
      </c>
      <c r="T487">
        <v>2109</v>
      </c>
    </row>
    <row r="488" spans="1:20" x14ac:dyDescent="0.35">
      <c r="A488" s="7" t="s">
        <v>584</v>
      </c>
      <c r="B488" s="12" t="s">
        <v>70</v>
      </c>
      <c r="C488">
        <v>74415807.526176512</v>
      </c>
      <c r="D488">
        <v>71647609.170330524</v>
      </c>
      <c r="E488">
        <v>450450.45045045001</v>
      </c>
      <c r="F488">
        <v>62162.162162162</v>
      </c>
      <c r="G488">
        <v>6</v>
      </c>
      <c r="H488">
        <v>17</v>
      </c>
      <c r="K488">
        <v>8</v>
      </c>
      <c r="L488">
        <v>18</v>
      </c>
      <c r="M488">
        <v>450450.45045045001</v>
      </c>
      <c r="N488">
        <v>451351.351351352</v>
      </c>
      <c r="O488">
        <v>30019189.189189192</v>
      </c>
      <c r="P488">
        <v>32248792.792792793</v>
      </c>
      <c r="Q488">
        <v>513963.96396396402</v>
      </c>
      <c r="R488">
        <v>625135.13513513596</v>
      </c>
      <c r="S488">
        <v>3749</v>
      </c>
      <c r="T488">
        <v>3608</v>
      </c>
    </row>
    <row r="489" spans="1:20" x14ac:dyDescent="0.35">
      <c r="A489" s="7" t="s">
        <v>585</v>
      </c>
      <c r="B489" s="12" t="s">
        <v>330</v>
      </c>
      <c r="C489">
        <v>282198462.1986205</v>
      </c>
      <c r="D489">
        <v>267067927.6234785</v>
      </c>
      <c r="E489">
        <v>514414.41441441397</v>
      </c>
      <c r="F489">
        <v>2324324.3243243252</v>
      </c>
      <c r="G489">
        <v>104</v>
      </c>
      <c r="H489">
        <v>105</v>
      </c>
      <c r="K489">
        <v>130</v>
      </c>
      <c r="L489">
        <v>138</v>
      </c>
      <c r="M489">
        <v>13970270.270270266</v>
      </c>
      <c r="N489">
        <v>16257657.657657659</v>
      </c>
      <c r="O489">
        <v>69970621.621621624</v>
      </c>
      <c r="P489">
        <v>67645807.207207203</v>
      </c>
      <c r="Q489">
        <v>12724864.864864865</v>
      </c>
      <c r="R489">
        <v>13694774.774774777</v>
      </c>
      <c r="S489">
        <v>20632</v>
      </c>
      <c r="T489">
        <v>19836</v>
      </c>
    </row>
    <row r="490" spans="1:20" x14ac:dyDescent="0.35">
      <c r="A490" s="7" t="s">
        <v>586</v>
      </c>
      <c r="B490" s="12" t="s">
        <v>66</v>
      </c>
      <c r="C490">
        <v>134831713.27252039</v>
      </c>
      <c r="D490">
        <v>122752721.29771619</v>
      </c>
      <c r="E490">
        <v>69116918.018018022</v>
      </c>
      <c r="F490">
        <v>141603779.27927929</v>
      </c>
      <c r="G490">
        <v>43</v>
      </c>
      <c r="H490">
        <v>43</v>
      </c>
      <c r="K490">
        <v>54</v>
      </c>
      <c r="L490">
        <v>69</v>
      </c>
      <c r="M490">
        <v>14209279.27927928</v>
      </c>
      <c r="N490">
        <v>20212387.387387391</v>
      </c>
      <c r="O490">
        <v>62414585.585585587</v>
      </c>
      <c r="P490">
        <v>60455342.342342347</v>
      </c>
      <c r="Q490">
        <v>12824684.684684683</v>
      </c>
      <c r="R490">
        <v>19062207.20720721</v>
      </c>
      <c r="S490">
        <v>10760</v>
      </c>
      <c r="T490">
        <v>10419</v>
      </c>
    </row>
    <row r="491" spans="1:20" x14ac:dyDescent="0.35">
      <c r="A491" s="7" t="s">
        <v>11</v>
      </c>
      <c r="B491" s="12" t="s">
        <v>193</v>
      </c>
      <c r="C491">
        <v>58128968.126089029</v>
      </c>
      <c r="D491">
        <v>58527921.87165536</v>
      </c>
      <c r="E491">
        <v>315315.31531531701</v>
      </c>
      <c r="F491">
        <v>18018.018018018</v>
      </c>
      <c r="G491">
        <v>14</v>
      </c>
      <c r="H491">
        <v>13</v>
      </c>
      <c r="K491">
        <v>16</v>
      </c>
      <c r="L491">
        <v>14</v>
      </c>
      <c r="M491">
        <v>1702702.7027027039</v>
      </c>
      <c r="N491">
        <v>1819819.8198198189</v>
      </c>
      <c r="O491">
        <v>18408243.243243244</v>
      </c>
      <c r="P491">
        <v>20055378.378378376</v>
      </c>
      <c r="Q491">
        <v>1797297.297297297</v>
      </c>
      <c r="R491">
        <v>1365315.315315316</v>
      </c>
      <c r="S491">
        <v>3782</v>
      </c>
      <c r="T491">
        <v>3912</v>
      </c>
    </row>
    <row r="492" spans="1:20" x14ac:dyDescent="0.35">
      <c r="A492" s="7" t="s">
        <v>12</v>
      </c>
      <c r="B492" s="12" t="s">
        <v>193</v>
      </c>
      <c r="C492">
        <v>41399885.643315986</v>
      </c>
      <c r="D492">
        <v>37912471.05147358</v>
      </c>
      <c r="E492">
        <v>39639.639639640998</v>
      </c>
      <c r="F492">
        <v>289189.18918918999</v>
      </c>
      <c r="G492">
        <v>8</v>
      </c>
      <c r="H492">
        <v>4</v>
      </c>
      <c r="K492">
        <v>11</v>
      </c>
      <c r="L492">
        <v>4</v>
      </c>
      <c r="M492">
        <v>4006756.7567567579</v>
      </c>
      <c r="N492">
        <v>3442342.3423423418</v>
      </c>
      <c r="O492">
        <v>15059099.0990991</v>
      </c>
      <c r="P492">
        <v>15875261.26126126</v>
      </c>
      <c r="Q492">
        <v>1809909.9099099089</v>
      </c>
      <c r="R492">
        <v>4922792.7927927934</v>
      </c>
      <c r="S492">
        <v>2740</v>
      </c>
      <c r="T492">
        <v>2986</v>
      </c>
    </row>
    <row r="493" spans="1:20" x14ac:dyDescent="0.35">
      <c r="A493" s="7" t="s">
        <v>587</v>
      </c>
      <c r="B493" s="12" t="s">
        <v>60</v>
      </c>
      <c r="C493">
        <v>31593248.458845407</v>
      </c>
      <c r="D493">
        <v>33387738.567268196</v>
      </c>
      <c r="E493">
        <v>164864.86486486701</v>
      </c>
      <c r="F493">
        <v>181081.08108108101</v>
      </c>
      <c r="G493">
        <v>6</v>
      </c>
      <c r="H493">
        <v>8</v>
      </c>
      <c r="K493">
        <v>6</v>
      </c>
      <c r="L493">
        <v>15</v>
      </c>
      <c r="M493">
        <v>3453153.1531531531</v>
      </c>
      <c r="N493">
        <v>5226126.1261261255</v>
      </c>
      <c r="O493">
        <v>11612792.792792793</v>
      </c>
      <c r="P493">
        <v>12759405.405405406</v>
      </c>
      <c r="Q493">
        <v>3265675.6756756762</v>
      </c>
      <c r="R493">
        <v>5400090.0900900913</v>
      </c>
      <c r="S493">
        <v>1779</v>
      </c>
      <c r="T493">
        <v>1897</v>
      </c>
    </row>
    <row r="494" spans="1:20" x14ac:dyDescent="0.35">
      <c r="A494" s="7" t="s">
        <v>588</v>
      </c>
      <c r="B494" s="12" t="s">
        <v>307</v>
      </c>
      <c r="C494">
        <v>947880226.99787211</v>
      </c>
      <c r="D494">
        <v>908761205.14713776</v>
      </c>
      <c r="E494">
        <v>588732516.21621621</v>
      </c>
      <c r="F494">
        <v>281119879.27927929</v>
      </c>
      <c r="G494">
        <v>297</v>
      </c>
      <c r="H494">
        <v>234</v>
      </c>
      <c r="I494">
        <v>1</v>
      </c>
      <c r="K494">
        <v>373</v>
      </c>
      <c r="L494">
        <v>361</v>
      </c>
      <c r="M494">
        <v>74563243.243243247</v>
      </c>
      <c r="N494">
        <v>133989234.23423424</v>
      </c>
      <c r="O494">
        <v>288623648.64864862</v>
      </c>
      <c r="P494">
        <v>292887490.990991</v>
      </c>
      <c r="Q494">
        <v>76816666.666666672</v>
      </c>
      <c r="R494">
        <v>131576981.98198198</v>
      </c>
      <c r="S494">
        <v>64477</v>
      </c>
      <c r="T494">
        <v>65496</v>
      </c>
    </row>
    <row r="495" spans="1:20" x14ac:dyDescent="0.35">
      <c r="A495" s="7" t="s">
        <v>589</v>
      </c>
      <c r="B495" s="12" t="s">
        <v>52</v>
      </c>
      <c r="C495">
        <v>229977898.96096557</v>
      </c>
      <c r="D495">
        <v>217737535.33715934</v>
      </c>
      <c r="E495">
        <v>1920720.7207207209</v>
      </c>
      <c r="F495">
        <v>3282882.8828828852</v>
      </c>
      <c r="G495">
        <v>28</v>
      </c>
      <c r="H495">
        <v>61</v>
      </c>
      <c r="K495">
        <v>43</v>
      </c>
      <c r="L495">
        <v>87</v>
      </c>
      <c r="M495">
        <v>14615315.315315312</v>
      </c>
      <c r="N495">
        <v>78365720.720720723</v>
      </c>
      <c r="O495">
        <v>88111851.351351351</v>
      </c>
      <c r="P495">
        <v>88597081.081081092</v>
      </c>
      <c r="Q495">
        <v>15519459.459459452</v>
      </c>
      <c r="R495">
        <v>91877432.432432428</v>
      </c>
      <c r="S495">
        <v>14599</v>
      </c>
      <c r="T495">
        <v>14287</v>
      </c>
    </row>
    <row r="496" spans="1:20" x14ac:dyDescent="0.35">
      <c r="A496" s="7" t="s">
        <v>590</v>
      </c>
      <c r="B496" s="12" t="s">
        <v>54</v>
      </c>
      <c r="C496">
        <v>18461820.84878942</v>
      </c>
      <c r="D496">
        <v>19294657.271154005</v>
      </c>
      <c r="E496">
        <v>19819.819819820001</v>
      </c>
      <c r="F496">
        <v>163063.06306306299</v>
      </c>
      <c r="G496">
        <v>3</v>
      </c>
      <c r="H496">
        <v>6</v>
      </c>
      <c r="K496">
        <v>3</v>
      </c>
      <c r="L496">
        <v>8</v>
      </c>
      <c r="M496">
        <v>2064864.8648648639</v>
      </c>
      <c r="N496">
        <v>3865765.7657657652</v>
      </c>
      <c r="O496">
        <v>6183009.0090090092</v>
      </c>
      <c r="P496">
        <v>5851423.4234234234</v>
      </c>
      <c r="Q496">
        <v>4371261.2612612611</v>
      </c>
      <c r="R496">
        <v>2421981.981981982</v>
      </c>
      <c r="S496">
        <v>1574</v>
      </c>
      <c r="T496">
        <v>1578</v>
      </c>
    </row>
    <row r="497" spans="1:20" x14ac:dyDescent="0.35">
      <c r="A497" s="7" t="s">
        <v>591</v>
      </c>
      <c r="B497" s="12" t="s">
        <v>169</v>
      </c>
      <c r="C497">
        <v>556520987.25936425</v>
      </c>
      <c r="D497">
        <v>513369476.28610396</v>
      </c>
      <c r="E497">
        <v>2451531.5315315332</v>
      </c>
      <c r="F497">
        <v>3259234.2342342371</v>
      </c>
      <c r="G497">
        <v>57</v>
      </c>
      <c r="H497">
        <v>30</v>
      </c>
      <c r="I497">
        <v>1</v>
      </c>
      <c r="K497">
        <v>67</v>
      </c>
      <c r="L497">
        <v>38</v>
      </c>
      <c r="M497">
        <v>103834054.05405407</v>
      </c>
      <c r="N497">
        <v>120992432.43243243</v>
      </c>
      <c r="O497">
        <v>176721495.4954955</v>
      </c>
      <c r="P497">
        <v>171055279.27927929</v>
      </c>
      <c r="Q497">
        <v>74419639.639639646</v>
      </c>
      <c r="R497">
        <v>110459549.54954955</v>
      </c>
      <c r="S497">
        <v>23374</v>
      </c>
      <c r="T497">
        <v>23231</v>
      </c>
    </row>
    <row r="498" spans="1:20" x14ac:dyDescent="0.35">
      <c r="A498" s="7" t="s">
        <v>592</v>
      </c>
      <c r="B498" s="12" t="s">
        <v>87</v>
      </c>
      <c r="C498">
        <v>3209720.4352400168</v>
      </c>
      <c r="D498">
        <v>2630015.736446877</v>
      </c>
      <c r="H498">
        <v>1</v>
      </c>
      <c r="L498">
        <v>1</v>
      </c>
      <c r="M498">
        <v>81081.081081081007</v>
      </c>
      <c r="N498">
        <v>459459.459459459</v>
      </c>
      <c r="O498">
        <v>566207.20720720699</v>
      </c>
      <c r="P498">
        <v>668198.19819819799</v>
      </c>
      <c r="S498">
        <v>349</v>
      </c>
      <c r="T498">
        <v>263</v>
      </c>
    </row>
    <row r="499" spans="1:20" x14ac:dyDescent="0.35">
      <c r="A499" s="7" t="s">
        <v>593</v>
      </c>
      <c r="B499" s="12" t="s">
        <v>143</v>
      </c>
      <c r="C499">
        <v>39288564.289916046</v>
      </c>
      <c r="D499">
        <v>38600651.61176791</v>
      </c>
      <c r="E499">
        <v>5405.4054054059998</v>
      </c>
      <c r="F499">
        <v>96396.396396398006</v>
      </c>
      <c r="G499">
        <v>6</v>
      </c>
      <c r="H499">
        <v>6</v>
      </c>
      <c r="K499">
        <v>6</v>
      </c>
      <c r="L499">
        <v>7</v>
      </c>
      <c r="M499">
        <v>1969369.369369369</v>
      </c>
      <c r="N499">
        <v>3069369.3693693699</v>
      </c>
      <c r="O499">
        <v>3662207.207207208</v>
      </c>
      <c r="P499">
        <v>3721081.0810810812</v>
      </c>
      <c r="Q499">
        <v>1526666.666666666</v>
      </c>
      <c r="R499">
        <v>1951531.5315315321</v>
      </c>
      <c r="S499">
        <v>1563</v>
      </c>
      <c r="T499">
        <v>1593</v>
      </c>
    </row>
    <row r="500" spans="1:20" x14ac:dyDescent="0.35">
      <c r="A500" s="7" t="s">
        <v>594</v>
      </c>
      <c r="B500" s="12" t="s">
        <v>290</v>
      </c>
      <c r="C500">
        <v>11785855.27252561</v>
      </c>
      <c r="D500">
        <v>9075504.2683184557</v>
      </c>
      <c r="F500">
        <v>6306306.3063063063</v>
      </c>
      <c r="G500">
        <v>1</v>
      </c>
      <c r="H500">
        <v>1</v>
      </c>
      <c r="K500">
        <v>1</v>
      </c>
      <c r="L500">
        <v>1</v>
      </c>
      <c r="N500">
        <v>27027.027027027001</v>
      </c>
      <c r="O500">
        <v>372657.65765765798</v>
      </c>
      <c r="P500">
        <v>570450.45045044995</v>
      </c>
      <c r="S500">
        <v>560</v>
      </c>
      <c r="T500">
        <v>686</v>
      </c>
    </row>
    <row r="501" spans="1:20" x14ac:dyDescent="0.35">
      <c r="A501" s="7" t="s">
        <v>595</v>
      </c>
      <c r="B501" s="12" t="s">
        <v>92</v>
      </c>
      <c r="C501">
        <v>14019924.391562516</v>
      </c>
      <c r="D501">
        <v>12675571.408042464</v>
      </c>
      <c r="E501">
        <v>17117.117117116999</v>
      </c>
      <c r="F501">
        <v>788288.28828828898</v>
      </c>
      <c r="G501">
        <v>7</v>
      </c>
      <c r="H501">
        <v>4</v>
      </c>
      <c r="K501">
        <v>7</v>
      </c>
      <c r="L501">
        <v>13</v>
      </c>
      <c r="M501">
        <v>64684.684684683998</v>
      </c>
      <c r="N501">
        <v>1752252.252252253</v>
      </c>
      <c r="O501">
        <v>1898288.2882882881</v>
      </c>
      <c r="P501">
        <v>2544090.0900900899</v>
      </c>
      <c r="Q501">
        <v>186126.12612612601</v>
      </c>
      <c r="R501">
        <v>2056756.7567567569</v>
      </c>
      <c r="S501">
        <v>579</v>
      </c>
      <c r="T501">
        <v>759</v>
      </c>
    </row>
    <row r="502" spans="1:20" x14ac:dyDescent="0.35">
      <c r="A502" s="7" t="s">
        <v>596</v>
      </c>
      <c r="B502" s="12" t="s">
        <v>50</v>
      </c>
      <c r="C502">
        <v>52091985.031125553</v>
      </c>
      <c r="D502">
        <v>46616892.095793299</v>
      </c>
      <c r="E502">
        <v>609909.90990991099</v>
      </c>
      <c r="F502">
        <v>1047522.522522524</v>
      </c>
      <c r="G502">
        <v>7</v>
      </c>
      <c r="H502">
        <v>5</v>
      </c>
      <c r="K502">
        <v>8</v>
      </c>
      <c r="L502">
        <v>5</v>
      </c>
      <c r="M502">
        <v>1941351.3513513531</v>
      </c>
      <c r="N502">
        <v>1569369.3693693711</v>
      </c>
      <c r="O502">
        <v>9849005.4054054059</v>
      </c>
      <c r="P502">
        <v>9591783.7837837841</v>
      </c>
      <c r="Q502">
        <v>2043963.963963967</v>
      </c>
      <c r="R502">
        <v>1589819.8198198189</v>
      </c>
      <c r="S502">
        <v>1645</v>
      </c>
      <c r="T502">
        <v>1687</v>
      </c>
    </row>
    <row r="503" spans="1:20" x14ac:dyDescent="0.35">
      <c r="A503" s="7" t="s">
        <v>597</v>
      </c>
      <c r="B503" s="12" t="s">
        <v>89</v>
      </c>
      <c r="C503">
        <v>71382188.978150934</v>
      </c>
      <c r="D503">
        <v>72543873.817848623</v>
      </c>
      <c r="E503">
        <v>282882.88288288203</v>
      </c>
      <c r="F503">
        <v>389189.18918919098</v>
      </c>
      <c r="G503">
        <v>7</v>
      </c>
      <c r="H503">
        <v>11</v>
      </c>
      <c r="K503">
        <v>10</v>
      </c>
      <c r="L503">
        <v>17</v>
      </c>
      <c r="M503">
        <v>4849549.5495495461</v>
      </c>
      <c r="N503">
        <v>6117477.4774774713</v>
      </c>
      <c r="O503">
        <v>15751034.234234234</v>
      </c>
      <c r="P503">
        <v>17108315.315315317</v>
      </c>
      <c r="Q503">
        <v>4353873.8738738699</v>
      </c>
      <c r="R503">
        <v>5597747.7477477416</v>
      </c>
      <c r="S503">
        <v>3431</v>
      </c>
      <c r="T503">
        <v>3547</v>
      </c>
    </row>
    <row r="504" spans="1:20" x14ac:dyDescent="0.35">
      <c r="A504" s="7" t="s">
        <v>598</v>
      </c>
      <c r="B504" s="12" t="s">
        <v>143</v>
      </c>
      <c r="C504">
        <v>26480745.972444475</v>
      </c>
      <c r="D504">
        <v>27592726.272654813</v>
      </c>
      <c r="E504">
        <v>30630.630630631</v>
      </c>
      <c r="F504">
        <v>198198.19819819901</v>
      </c>
      <c r="G504">
        <v>6</v>
      </c>
      <c r="K504">
        <v>6</v>
      </c>
      <c r="M504">
        <v>2850450.4504504502</v>
      </c>
      <c r="N504">
        <v>2000000</v>
      </c>
      <c r="O504">
        <v>1371486.4864864859</v>
      </c>
      <c r="P504">
        <v>1928567.567567568</v>
      </c>
      <c r="Q504">
        <v>2137207.2072072071</v>
      </c>
      <c r="R504">
        <v>1563063.063063063</v>
      </c>
      <c r="S504">
        <v>1160</v>
      </c>
      <c r="T504">
        <v>1151</v>
      </c>
    </row>
    <row r="505" spans="1:20" x14ac:dyDescent="0.35">
      <c r="A505" s="7" t="s">
        <v>599</v>
      </c>
      <c r="B505" s="12" t="s">
        <v>125</v>
      </c>
      <c r="C505">
        <v>70110671.235252127</v>
      </c>
      <c r="D505">
        <v>68141879.038714126</v>
      </c>
      <c r="E505">
        <v>20270.270270270001</v>
      </c>
      <c r="F505">
        <v>65765.765765767006</v>
      </c>
      <c r="G505">
        <v>4</v>
      </c>
      <c r="H505">
        <v>5</v>
      </c>
      <c r="K505">
        <v>5</v>
      </c>
      <c r="L505">
        <v>6</v>
      </c>
      <c r="M505">
        <v>17157747.747747745</v>
      </c>
      <c r="N505">
        <v>4068468.4684684682</v>
      </c>
      <c r="O505">
        <v>25463198.198198199</v>
      </c>
      <c r="P505">
        <v>25742693.693693697</v>
      </c>
      <c r="Q505">
        <v>17206216.216216218</v>
      </c>
      <c r="R505">
        <v>4356126.1261261264</v>
      </c>
      <c r="S505">
        <v>3243</v>
      </c>
      <c r="T505">
        <v>3711</v>
      </c>
    </row>
    <row r="506" spans="1:20" x14ac:dyDescent="0.35">
      <c r="A506" s="7" t="s">
        <v>600</v>
      </c>
      <c r="B506" s="12" t="s">
        <v>50</v>
      </c>
      <c r="C506">
        <v>178398250.03766838</v>
      </c>
      <c r="D506">
        <v>176142986.17462355</v>
      </c>
      <c r="E506">
        <v>33976216.216216214</v>
      </c>
      <c r="F506">
        <v>85761981.981981978</v>
      </c>
      <c r="G506">
        <v>23</v>
      </c>
      <c r="H506">
        <v>18</v>
      </c>
      <c r="I506">
        <v>1</v>
      </c>
      <c r="K506">
        <v>26</v>
      </c>
      <c r="L506">
        <v>21</v>
      </c>
      <c r="M506">
        <v>25082297.297297295</v>
      </c>
      <c r="N506">
        <v>15666756.756756756</v>
      </c>
      <c r="O506">
        <v>70726063.06306307</v>
      </c>
      <c r="P506">
        <v>71004828.828828827</v>
      </c>
      <c r="Q506">
        <v>17000450.45045045</v>
      </c>
      <c r="R506">
        <v>15443423.423423424</v>
      </c>
      <c r="S506">
        <v>7711</v>
      </c>
      <c r="T506">
        <v>7715</v>
      </c>
    </row>
    <row r="507" spans="1:20" x14ac:dyDescent="0.35">
      <c r="A507" s="7" t="s">
        <v>601</v>
      </c>
      <c r="B507" s="12" t="s">
        <v>89</v>
      </c>
      <c r="C507">
        <v>51654887.683647707</v>
      </c>
      <c r="D507">
        <v>52150981.711766779</v>
      </c>
      <c r="E507">
        <v>75675.675675676001</v>
      </c>
      <c r="F507">
        <v>58558.558558559998</v>
      </c>
      <c r="G507">
        <v>6</v>
      </c>
      <c r="H507">
        <v>6</v>
      </c>
      <c r="K507">
        <v>7</v>
      </c>
      <c r="L507">
        <v>6</v>
      </c>
      <c r="M507">
        <v>2905405.405405405</v>
      </c>
      <c r="N507">
        <v>22035495.495495494</v>
      </c>
      <c r="O507">
        <v>14094909.909909908</v>
      </c>
      <c r="P507">
        <v>16006090.090090092</v>
      </c>
      <c r="Q507">
        <v>3434054.054054054</v>
      </c>
      <c r="R507">
        <v>21114864.864864863</v>
      </c>
      <c r="S507">
        <v>2500</v>
      </c>
      <c r="T507">
        <v>2499</v>
      </c>
    </row>
    <row r="508" spans="1:20" x14ac:dyDescent="0.35">
      <c r="A508" s="7" t="s">
        <v>602</v>
      </c>
      <c r="B508" s="12" t="s">
        <v>87</v>
      </c>
      <c r="C508">
        <v>48175269.234389178</v>
      </c>
      <c r="D508">
        <v>45926674.921904869</v>
      </c>
      <c r="E508">
        <v>4504.5045045050001</v>
      </c>
      <c r="F508">
        <v>180180.18018018</v>
      </c>
      <c r="G508">
        <v>4</v>
      </c>
      <c r="H508">
        <v>1</v>
      </c>
      <c r="K508">
        <v>4</v>
      </c>
      <c r="L508">
        <v>4</v>
      </c>
      <c r="M508">
        <v>409909.90990991</v>
      </c>
      <c r="N508">
        <v>189189.189189189</v>
      </c>
      <c r="O508">
        <v>3466935.1351351351</v>
      </c>
      <c r="P508">
        <v>2778153.1531531531</v>
      </c>
      <c r="Q508">
        <v>553736.93693693704</v>
      </c>
      <c r="R508">
        <v>409909.90990991</v>
      </c>
      <c r="S508">
        <v>1254</v>
      </c>
      <c r="T508">
        <v>1238</v>
      </c>
    </row>
    <row r="509" spans="1:20" x14ac:dyDescent="0.35">
      <c r="A509" s="7" t="s">
        <v>603</v>
      </c>
      <c r="B509" s="12" t="s">
        <v>140</v>
      </c>
      <c r="C509">
        <v>359716465.70404166</v>
      </c>
      <c r="D509">
        <v>363259697.45193237</v>
      </c>
      <c r="E509">
        <v>415706649.54954958</v>
      </c>
      <c r="F509">
        <v>96076663.963963971</v>
      </c>
      <c r="G509">
        <v>76</v>
      </c>
      <c r="H509">
        <v>102</v>
      </c>
      <c r="I509">
        <v>1</v>
      </c>
      <c r="K509">
        <v>100</v>
      </c>
      <c r="L509">
        <v>150</v>
      </c>
      <c r="M509">
        <v>69922882.882882878</v>
      </c>
      <c r="N509">
        <v>56680450.45045045</v>
      </c>
      <c r="O509">
        <v>81981798.198198199</v>
      </c>
      <c r="P509">
        <v>90134963.963963971</v>
      </c>
      <c r="Q509">
        <v>56571801.801801801</v>
      </c>
      <c r="R509">
        <v>58401351.351351351</v>
      </c>
      <c r="S509">
        <v>19064</v>
      </c>
      <c r="T509">
        <v>18744</v>
      </c>
    </row>
    <row r="510" spans="1:20" x14ac:dyDescent="0.35">
      <c r="A510" s="7" t="s">
        <v>673</v>
      </c>
      <c r="B510" s="12" t="s">
        <v>214</v>
      </c>
      <c r="E510">
        <v>675675.67567567597</v>
      </c>
      <c r="F510">
        <v>675675.67567567597</v>
      </c>
      <c r="M510">
        <v>27027.027027027001</v>
      </c>
      <c r="N510">
        <v>19819.819819820001</v>
      </c>
    </row>
    <row r="511" spans="1:20" x14ac:dyDescent="0.35">
      <c r="A511" s="7" t="s">
        <v>604</v>
      </c>
      <c r="B511" s="12" t="s">
        <v>224</v>
      </c>
      <c r="C511">
        <v>70125585.535358459</v>
      </c>
      <c r="D511">
        <v>60340837.788495675</v>
      </c>
      <c r="E511">
        <v>8108.1081081080001</v>
      </c>
      <c r="F511">
        <v>16216.216216216</v>
      </c>
      <c r="G511">
        <v>10</v>
      </c>
      <c r="H511">
        <v>12</v>
      </c>
      <c r="K511">
        <v>13</v>
      </c>
      <c r="L511">
        <v>12</v>
      </c>
      <c r="M511">
        <v>2260360.3603603598</v>
      </c>
      <c r="N511">
        <v>16216.216216216</v>
      </c>
      <c r="O511">
        <v>20533792.792792793</v>
      </c>
      <c r="P511">
        <v>20815441.441441439</v>
      </c>
      <c r="Q511">
        <v>1033783.783783784</v>
      </c>
      <c r="R511">
        <v>2085855.8558558561</v>
      </c>
      <c r="S511">
        <v>3595</v>
      </c>
      <c r="T511">
        <v>3637</v>
      </c>
    </row>
    <row r="512" spans="1:20" x14ac:dyDescent="0.35">
      <c r="A512" s="7" t="s">
        <v>605</v>
      </c>
      <c r="B512" s="12" t="s">
        <v>224</v>
      </c>
      <c r="C512">
        <v>43569447.182607107</v>
      </c>
      <c r="D512">
        <v>38853727.692124203</v>
      </c>
      <c r="E512">
        <v>3603.603603604</v>
      </c>
      <c r="F512">
        <v>13513.513513514001</v>
      </c>
      <c r="G512">
        <v>14</v>
      </c>
      <c r="H512">
        <v>7</v>
      </c>
      <c r="K512">
        <v>14</v>
      </c>
      <c r="L512">
        <v>7</v>
      </c>
      <c r="M512">
        <v>2706306.3063063072</v>
      </c>
      <c r="N512">
        <v>914414.41441441502</v>
      </c>
      <c r="O512">
        <v>11449144.144144144</v>
      </c>
      <c r="P512">
        <v>11404270.270270271</v>
      </c>
      <c r="Q512">
        <v>2297837.8378378381</v>
      </c>
      <c r="R512">
        <v>2123873.8738738741</v>
      </c>
      <c r="S512">
        <v>3224</v>
      </c>
      <c r="T512">
        <v>3971</v>
      </c>
    </row>
    <row r="513" spans="1:20" x14ac:dyDescent="0.35">
      <c r="A513" s="7" t="s">
        <v>606</v>
      </c>
      <c r="B513" s="12" t="s">
        <v>241</v>
      </c>
      <c r="C513">
        <v>36103984.579777807</v>
      </c>
      <c r="D513">
        <v>33828467.457359783</v>
      </c>
      <c r="E513">
        <v>7207.2072072069996</v>
      </c>
      <c r="F513">
        <v>38378378.378378376</v>
      </c>
      <c r="G513">
        <v>13</v>
      </c>
      <c r="H513">
        <v>16</v>
      </c>
      <c r="K513">
        <v>14</v>
      </c>
      <c r="L513">
        <v>19</v>
      </c>
      <c r="M513">
        <v>2330540.5405405401</v>
      </c>
      <c r="N513">
        <v>1653153.1531531529</v>
      </c>
      <c r="O513">
        <v>10183063.063063065</v>
      </c>
      <c r="P513">
        <v>9881090.0900900923</v>
      </c>
      <c r="Q513">
        <v>2390450.4504504511</v>
      </c>
      <c r="R513">
        <v>805315.31531531597</v>
      </c>
      <c r="S513">
        <v>2333</v>
      </c>
      <c r="T513">
        <v>2559</v>
      </c>
    </row>
    <row r="514" spans="1:20" x14ac:dyDescent="0.35">
      <c r="A514" s="7" t="s">
        <v>607</v>
      </c>
      <c r="B514" s="12" t="s">
        <v>140</v>
      </c>
      <c r="C514">
        <v>10571590.596112292</v>
      </c>
      <c r="D514">
        <v>10233733.543322019</v>
      </c>
      <c r="F514">
        <v>2702.7027027029999</v>
      </c>
      <c r="H514">
        <v>3</v>
      </c>
      <c r="L514">
        <v>4</v>
      </c>
      <c r="N514">
        <v>2702.7027027029999</v>
      </c>
      <c r="O514">
        <v>1281936.936936937</v>
      </c>
      <c r="P514">
        <v>1113594.594594595</v>
      </c>
      <c r="Q514">
        <v>204864.864864865</v>
      </c>
      <c r="R514">
        <v>273963.96396396402</v>
      </c>
      <c r="S514">
        <v>321</v>
      </c>
      <c r="T514">
        <v>322</v>
      </c>
    </row>
    <row r="515" spans="1:20" x14ac:dyDescent="0.35">
      <c r="A515" s="7" t="s">
        <v>608</v>
      </c>
      <c r="B515" s="12" t="s">
        <v>189</v>
      </c>
      <c r="C515">
        <v>41419389.93644058</v>
      </c>
      <c r="D515">
        <v>37386053.796587959</v>
      </c>
      <c r="E515">
        <v>330630.63063063001</v>
      </c>
      <c r="F515">
        <v>729729.72972973005</v>
      </c>
      <c r="G515">
        <v>14</v>
      </c>
      <c r="H515">
        <v>24</v>
      </c>
      <c r="K515">
        <v>15</v>
      </c>
      <c r="L515">
        <v>24</v>
      </c>
      <c r="M515">
        <v>5897297.297297298</v>
      </c>
      <c r="N515">
        <v>4423423.4234234234</v>
      </c>
      <c r="O515">
        <v>7578486.4864864871</v>
      </c>
      <c r="P515">
        <v>9742040.5405405406</v>
      </c>
      <c r="Q515">
        <v>3466306.3063063058</v>
      </c>
      <c r="R515">
        <v>3598468.4684684682</v>
      </c>
      <c r="S515">
        <v>1647</v>
      </c>
      <c r="T515">
        <v>1574</v>
      </c>
    </row>
    <row r="516" spans="1:20" x14ac:dyDescent="0.35">
      <c r="A516" s="7" t="s">
        <v>609</v>
      </c>
      <c r="B516" s="12" t="s">
        <v>189</v>
      </c>
      <c r="C516">
        <v>122990519.52681886</v>
      </c>
      <c r="D516">
        <v>114271909.23950048</v>
      </c>
      <c r="E516">
        <v>8108.1081081080001</v>
      </c>
      <c r="F516">
        <v>270270.27027027099</v>
      </c>
      <c r="G516">
        <v>37</v>
      </c>
      <c r="H516">
        <v>31</v>
      </c>
      <c r="K516">
        <v>41</v>
      </c>
      <c r="L516">
        <v>37</v>
      </c>
      <c r="M516">
        <v>5076576.5765765756</v>
      </c>
      <c r="N516">
        <v>6306306.3063063053</v>
      </c>
      <c r="O516">
        <v>17962252.252252251</v>
      </c>
      <c r="P516">
        <v>20388963.963963963</v>
      </c>
      <c r="Q516">
        <v>3863063.0630630632</v>
      </c>
      <c r="R516">
        <v>3344414.4144144151</v>
      </c>
      <c r="S516">
        <v>5030</v>
      </c>
      <c r="T516">
        <v>5009</v>
      </c>
    </row>
    <row r="517" spans="1:20" x14ac:dyDescent="0.35">
      <c r="A517" s="7" t="s">
        <v>610</v>
      </c>
      <c r="B517" s="12" t="s">
        <v>189</v>
      </c>
      <c r="C517">
        <v>46364112.400009133</v>
      </c>
      <c r="D517">
        <v>44349696.738134541</v>
      </c>
      <c r="E517">
        <v>150450.450450451</v>
      </c>
      <c r="F517">
        <v>430405.40540540701</v>
      </c>
      <c r="G517">
        <v>9</v>
      </c>
      <c r="H517">
        <v>11</v>
      </c>
      <c r="K517">
        <v>9</v>
      </c>
      <c r="L517">
        <v>11</v>
      </c>
      <c r="M517">
        <v>3264864.8648648649</v>
      </c>
      <c r="N517">
        <v>2932432.4324324331</v>
      </c>
      <c r="O517">
        <v>5441576.5765765756</v>
      </c>
      <c r="P517">
        <v>4809954.9549549557</v>
      </c>
      <c r="Q517">
        <v>2632612.6126126102</v>
      </c>
      <c r="R517">
        <v>2657117.1171171172</v>
      </c>
      <c r="S517">
        <v>1700</v>
      </c>
      <c r="T517">
        <v>1711</v>
      </c>
    </row>
    <row r="518" spans="1:20" x14ac:dyDescent="0.35">
      <c r="A518" s="7" t="s">
        <v>611</v>
      </c>
      <c r="B518" s="12" t="s">
        <v>189</v>
      </c>
      <c r="C518">
        <v>13928364.505374135</v>
      </c>
      <c r="D518">
        <v>18320235.058126599</v>
      </c>
      <c r="E518">
        <v>6306.3063063059999</v>
      </c>
      <c r="F518">
        <v>134684.68468468499</v>
      </c>
      <c r="G518">
        <v>9</v>
      </c>
      <c r="H518">
        <v>5</v>
      </c>
      <c r="K518">
        <v>12</v>
      </c>
      <c r="L518">
        <v>6</v>
      </c>
      <c r="M518">
        <v>1142342.342342342</v>
      </c>
      <c r="N518">
        <v>2797657.6576576582</v>
      </c>
      <c r="O518">
        <v>2332207.207207208</v>
      </c>
      <c r="P518">
        <v>3375837.8378378381</v>
      </c>
      <c r="Q518">
        <v>715315.31531531503</v>
      </c>
      <c r="R518">
        <v>2686846.8468468469</v>
      </c>
      <c r="S518">
        <v>925</v>
      </c>
      <c r="T518">
        <v>969</v>
      </c>
    </row>
    <row r="519" spans="1:20" x14ac:dyDescent="0.35">
      <c r="A519" s="7" t="s">
        <v>612</v>
      </c>
      <c r="B519" s="12" t="s">
        <v>143</v>
      </c>
      <c r="C519">
        <v>117553736.43702261</v>
      </c>
      <c r="D519">
        <v>125431725.09081429</v>
      </c>
      <c r="E519">
        <v>49405.405405407</v>
      </c>
      <c r="F519">
        <v>714812.61261261394</v>
      </c>
      <c r="G519">
        <v>31</v>
      </c>
      <c r="H519">
        <v>32</v>
      </c>
      <c r="K519">
        <v>41</v>
      </c>
      <c r="L519">
        <v>42</v>
      </c>
      <c r="M519">
        <v>8202702.7027027011</v>
      </c>
      <c r="N519">
        <v>5139639.6396396393</v>
      </c>
      <c r="O519">
        <v>13952610.81081081</v>
      </c>
      <c r="P519">
        <v>15731513.513513513</v>
      </c>
      <c r="Q519">
        <v>11673513.513513517</v>
      </c>
      <c r="R519">
        <v>10639189.18918919</v>
      </c>
      <c r="S519">
        <v>6999</v>
      </c>
      <c r="T519">
        <v>6763</v>
      </c>
    </row>
    <row r="520" spans="1:20" x14ac:dyDescent="0.35">
      <c r="A520" s="7" t="s">
        <v>613</v>
      </c>
      <c r="B520" s="12" t="s">
        <v>189</v>
      </c>
      <c r="C520">
        <v>156824000.22161573</v>
      </c>
      <c r="D520">
        <v>145777011.22791651</v>
      </c>
      <c r="E520">
        <v>29408946.846846849</v>
      </c>
      <c r="F520">
        <v>28384328.82882883</v>
      </c>
      <c r="G520">
        <v>38</v>
      </c>
      <c r="H520">
        <v>43</v>
      </c>
      <c r="K520">
        <v>50</v>
      </c>
      <c r="L520">
        <v>55</v>
      </c>
      <c r="M520">
        <v>5036036.036036035</v>
      </c>
      <c r="N520">
        <v>7945945.9459459456</v>
      </c>
      <c r="O520">
        <v>13228762.162162164</v>
      </c>
      <c r="P520">
        <v>13902268.46846847</v>
      </c>
      <c r="Q520">
        <v>3711527.9279279271</v>
      </c>
      <c r="R520">
        <v>8015989.189189191</v>
      </c>
      <c r="S520">
        <v>7647</v>
      </c>
      <c r="T520">
        <v>7407</v>
      </c>
    </row>
    <row r="521" spans="1:20" x14ac:dyDescent="0.35">
      <c r="A521" s="7" t="s">
        <v>614</v>
      </c>
      <c r="B521" s="12" t="s">
        <v>54</v>
      </c>
      <c r="C521">
        <v>106371035.36508128</v>
      </c>
      <c r="D521">
        <v>100859896.66797976</v>
      </c>
      <c r="E521">
        <v>16040990.990990993</v>
      </c>
      <c r="F521">
        <v>24263513.513513517</v>
      </c>
      <c r="G521">
        <v>27</v>
      </c>
      <c r="H521">
        <v>24</v>
      </c>
      <c r="K521">
        <v>32</v>
      </c>
      <c r="L521">
        <v>28</v>
      </c>
      <c r="M521">
        <v>13350900.9009009</v>
      </c>
      <c r="N521">
        <v>17496396.396396395</v>
      </c>
      <c r="O521">
        <v>31179684.684684683</v>
      </c>
      <c r="P521">
        <v>32330378.37837838</v>
      </c>
      <c r="Q521">
        <v>16380990.990990989</v>
      </c>
      <c r="R521">
        <v>16138828.82882883</v>
      </c>
      <c r="S521">
        <v>6537</v>
      </c>
      <c r="T521">
        <v>6813</v>
      </c>
    </row>
    <row r="522" spans="1:20" x14ac:dyDescent="0.35">
      <c r="A522" s="7" t="s">
        <v>615</v>
      </c>
      <c r="B522" s="12" t="s">
        <v>54</v>
      </c>
      <c r="C522">
        <v>55158390.465490796</v>
      </c>
      <c r="D522">
        <v>54297098.09293317</v>
      </c>
      <c r="E522">
        <v>9909.9099099110008</v>
      </c>
      <c r="F522">
        <v>40540.540540540998</v>
      </c>
      <c r="G522">
        <v>10</v>
      </c>
      <c r="H522">
        <v>4</v>
      </c>
      <c r="K522">
        <v>10</v>
      </c>
      <c r="L522">
        <v>5</v>
      </c>
      <c r="M522">
        <v>2658558.558558559</v>
      </c>
      <c r="N522">
        <v>2022522.5225225219</v>
      </c>
      <c r="O522">
        <v>8908684.6846846864</v>
      </c>
      <c r="P522">
        <v>8968135.1351351347</v>
      </c>
      <c r="Q522">
        <v>2586216.216216214</v>
      </c>
      <c r="R522">
        <v>1549549.5495495489</v>
      </c>
      <c r="S522">
        <v>2721</v>
      </c>
      <c r="T522">
        <v>2727</v>
      </c>
    </row>
    <row r="523" spans="1:20" x14ac:dyDescent="0.35">
      <c r="A523" s="7" t="s">
        <v>616</v>
      </c>
      <c r="B523" s="12" t="s">
        <v>60</v>
      </c>
      <c r="C523">
        <v>84573151.415267706</v>
      </c>
      <c r="D523">
        <v>82595629.202850014</v>
      </c>
      <c r="E523">
        <v>78378.378378380003</v>
      </c>
      <c r="F523">
        <v>1972072.0720720771</v>
      </c>
      <c r="G523">
        <v>13</v>
      </c>
      <c r="H523">
        <v>30</v>
      </c>
      <c r="K523">
        <v>15</v>
      </c>
      <c r="L523">
        <v>101</v>
      </c>
      <c r="M523">
        <v>11656756.756756756</v>
      </c>
      <c r="N523">
        <v>13983603.603603603</v>
      </c>
      <c r="O523">
        <v>25010810.810810812</v>
      </c>
      <c r="P523">
        <v>26185468.468468469</v>
      </c>
      <c r="Q523">
        <v>10027117.117117116</v>
      </c>
      <c r="R523">
        <v>12448468.468468469</v>
      </c>
      <c r="S523">
        <v>4245</v>
      </c>
      <c r="T523">
        <v>4301</v>
      </c>
    </row>
    <row r="524" spans="1:20" x14ac:dyDescent="0.35">
      <c r="A524" s="7" t="s">
        <v>617</v>
      </c>
      <c r="B524" s="12" t="s">
        <v>60</v>
      </c>
      <c r="C524">
        <v>93471070.0721661</v>
      </c>
      <c r="D524">
        <v>90554968.852781415</v>
      </c>
      <c r="E524">
        <v>293693.693693696</v>
      </c>
      <c r="F524">
        <v>505405.405405408</v>
      </c>
      <c r="G524">
        <v>20</v>
      </c>
      <c r="H524">
        <v>25</v>
      </c>
      <c r="K524">
        <v>20</v>
      </c>
      <c r="L524">
        <v>31</v>
      </c>
      <c r="M524">
        <v>7762162.1621621614</v>
      </c>
      <c r="N524">
        <v>9788288.2882882878</v>
      </c>
      <c r="O524">
        <v>47121261.261261262</v>
      </c>
      <c r="P524">
        <v>45238477.477477469</v>
      </c>
      <c r="Q524">
        <v>8757297.2972972989</v>
      </c>
      <c r="R524">
        <v>11408288.288288288</v>
      </c>
      <c r="S524">
        <v>5738</v>
      </c>
      <c r="T524">
        <v>5364</v>
      </c>
    </row>
    <row r="525" spans="1:20" x14ac:dyDescent="0.35">
      <c r="A525" s="7" t="s">
        <v>618</v>
      </c>
      <c r="B525" s="12" t="s">
        <v>60</v>
      </c>
      <c r="C525">
        <v>120784110.01574714</v>
      </c>
      <c r="D525">
        <v>113264134.72922003</v>
      </c>
      <c r="E525">
        <v>517117.11711711797</v>
      </c>
      <c r="F525">
        <v>1360360.360360363</v>
      </c>
      <c r="G525">
        <v>18</v>
      </c>
      <c r="H525">
        <v>19</v>
      </c>
      <c r="K525">
        <v>22</v>
      </c>
      <c r="L525">
        <v>22</v>
      </c>
      <c r="M525">
        <v>6390990.9909909898</v>
      </c>
      <c r="N525">
        <v>18273873.873873875</v>
      </c>
      <c r="O525">
        <v>37179090.090090089</v>
      </c>
      <c r="P525">
        <v>37184160.360360362</v>
      </c>
      <c r="Q525">
        <v>5397927.9279279262</v>
      </c>
      <c r="R525">
        <v>17032432.432432435</v>
      </c>
      <c r="S525">
        <v>5851</v>
      </c>
      <c r="T525">
        <v>5556</v>
      </c>
    </row>
    <row r="526" spans="1:20" x14ac:dyDescent="0.35">
      <c r="A526" s="7" t="s">
        <v>619</v>
      </c>
      <c r="B526" s="12" t="s">
        <v>620</v>
      </c>
      <c r="C526">
        <v>135770789.91082433</v>
      </c>
      <c r="D526">
        <v>138925963.70025358</v>
      </c>
      <c r="E526">
        <v>832162.16216216201</v>
      </c>
      <c r="F526">
        <v>2083558.5585585609</v>
      </c>
      <c r="G526">
        <v>50</v>
      </c>
      <c r="H526">
        <v>42</v>
      </c>
      <c r="I526">
        <v>2</v>
      </c>
      <c r="K526">
        <v>62</v>
      </c>
      <c r="L526">
        <v>92</v>
      </c>
      <c r="M526">
        <v>11880810.810810808</v>
      </c>
      <c r="N526">
        <v>6956756.7567567565</v>
      </c>
      <c r="O526">
        <v>17016405.405405406</v>
      </c>
      <c r="P526">
        <v>16124630.630630629</v>
      </c>
      <c r="Q526">
        <v>8415135.1351351347</v>
      </c>
      <c r="R526">
        <v>10475585.585585587</v>
      </c>
      <c r="S526">
        <v>7388</v>
      </c>
      <c r="T526">
        <v>7666</v>
      </c>
    </row>
    <row r="527" spans="1:20" x14ac:dyDescent="0.35">
      <c r="A527" s="7" t="s">
        <v>621</v>
      </c>
      <c r="B527" s="12" t="s">
        <v>620</v>
      </c>
      <c r="C527">
        <v>106157287.29642205</v>
      </c>
      <c r="D527">
        <v>101103474.64038973</v>
      </c>
      <c r="E527">
        <v>594824.32432432403</v>
      </c>
      <c r="F527">
        <v>39102532.432432435</v>
      </c>
      <c r="G527">
        <v>30</v>
      </c>
      <c r="H527">
        <v>30</v>
      </c>
      <c r="I527">
        <v>2</v>
      </c>
      <c r="K527">
        <v>46</v>
      </c>
      <c r="L527">
        <v>42</v>
      </c>
      <c r="M527">
        <v>8624635.1351351328</v>
      </c>
      <c r="N527">
        <v>11247674.774774777</v>
      </c>
      <c r="O527">
        <v>14191238.73873874</v>
      </c>
      <c r="P527">
        <v>16928939.639639642</v>
      </c>
      <c r="Q527">
        <v>7220270.2702702694</v>
      </c>
      <c r="R527">
        <v>7893783.7837837841</v>
      </c>
      <c r="S527">
        <v>6116</v>
      </c>
      <c r="T527">
        <v>6731</v>
      </c>
    </row>
    <row r="528" spans="1:20" x14ac:dyDescent="0.35">
      <c r="A528" s="7" t="s">
        <v>622</v>
      </c>
      <c r="B528" s="12" t="s">
        <v>620</v>
      </c>
      <c r="C528">
        <v>113362589.40720612</v>
      </c>
      <c r="D528">
        <v>107025578.68176574</v>
      </c>
      <c r="E528">
        <v>586486.48648648697</v>
      </c>
      <c r="F528">
        <v>845045.045045048</v>
      </c>
      <c r="G528">
        <v>41</v>
      </c>
      <c r="H528">
        <v>35</v>
      </c>
      <c r="I528">
        <v>1</v>
      </c>
      <c r="K528">
        <v>56</v>
      </c>
      <c r="L528">
        <v>44</v>
      </c>
      <c r="M528">
        <v>10254054.054054052</v>
      </c>
      <c r="N528">
        <v>6670270.2702702703</v>
      </c>
      <c r="O528">
        <v>16212162.162162161</v>
      </c>
      <c r="P528">
        <v>16351698.198198199</v>
      </c>
      <c r="Q528">
        <v>8888558.558558559</v>
      </c>
      <c r="R528">
        <v>4788558.5585585572</v>
      </c>
      <c r="S528">
        <v>5908</v>
      </c>
      <c r="T528">
        <v>5784</v>
      </c>
    </row>
    <row r="529" spans="1:20" x14ac:dyDescent="0.35">
      <c r="A529" s="7" t="s">
        <v>623</v>
      </c>
      <c r="B529" s="12" t="s">
        <v>620</v>
      </c>
      <c r="C529">
        <v>78253175.297499627</v>
      </c>
      <c r="D529">
        <v>75649732.801124394</v>
      </c>
      <c r="E529">
        <v>146846.84684684701</v>
      </c>
      <c r="F529">
        <v>205405.40540540699</v>
      </c>
      <c r="G529">
        <v>36</v>
      </c>
      <c r="H529">
        <v>17</v>
      </c>
      <c r="K529">
        <v>45</v>
      </c>
      <c r="L529">
        <v>25</v>
      </c>
      <c r="M529">
        <v>7660360.3603603607</v>
      </c>
      <c r="N529">
        <v>6142792.7927927924</v>
      </c>
      <c r="O529">
        <v>9955855.8558558561</v>
      </c>
      <c r="P529">
        <v>9989950.4504504502</v>
      </c>
      <c r="Q529">
        <v>6174594.594594595</v>
      </c>
      <c r="R529">
        <v>6104054.0540540563</v>
      </c>
      <c r="S529">
        <v>3683</v>
      </c>
      <c r="T529">
        <v>3554</v>
      </c>
    </row>
    <row r="530" spans="1:20" x14ac:dyDescent="0.35">
      <c r="A530" s="7" t="s">
        <v>624</v>
      </c>
      <c r="B530" s="12" t="s">
        <v>260</v>
      </c>
      <c r="C530">
        <v>45178536.156779006</v>
      </c>
      <c r="D530">
        <v>39911133.709314041</v>
      </c>
      <c r="E530">
        <v>18018.018018018</v>
      </c>
      <c r="F530">
        <v>74774.774774774996</v>
      </c>
      <c r="G530">
        <v>2</v>
      </c>
      <c r="H530">
        <v>5</v>
      </c>
      <c r="K530">
        <v>2</v>
      </c>
      <c r="L530">
        <v>5</v>
      </c>
      <c r="M530">
        <v>5513513.5135135138</v>
      </c>
      <c r="N530">
        <v>716216.21621621598</v>
      </c>
      <c r="O530">
        <v>14303189.18918919</v>
      </c>
      <c r="P530">
        <v>13066765.765765764</v>
      </c>
      <c r="Q530">
        <v>5095315.3153153146</v>
      </c>
      <c r="R530">
        <v>3861801.8018018012</v>
      </c>
      <c r="S530">
        <v>2030</v>
      </c>
      <c r="T530">
        <v>2044</v>
      </c>
    </row>
    <row r="531" spans="1:20" x14ac:dyDescent="0.35">
      <c r="A531" s="7" t="s">
        <v>625</v>
      </c>
      <c r="B531" s="12" t="s">
        <v>52</v>
      </c>
      <c r="C531">
        <v>63943807.587797493</v>
      </c>
      <c r="D531">
        <v>63895003.077531129</v>
      </c>
      <c r="E531">
        <v>9189.1891891890009</v>
      </c>
      <c r="F531">
        <v>62162.162162162997</v>
      </c>
      <c r="G531">
        <v>9</v>
      </c>
      <c r="H531">
        <v>18</v>
      </c>
      <c r="K531">
        <v>11</v>
      </c>
      <c r="L531">
        <v>47</v>
      </c>
      <c r="M531">
        <v>130360.36036036001</v>
      </c>
      <c r="N531">
        <v>1863963.963963964</v>
      </c>
      <c r="O531">
        <v>21184765.765765768</v>
      </c>
      <c r="P531">
        <v>23397756.75675676</v>
      </c>
      <c r="Q531">
        <v>1425675.675675676</v>
      </c>
      <c r="R531">
        <v>1645675.675675675</v>
      </c>
      <c r="S531">
        <v>4312</v>
      </c>
      <c r="T531">
        <v>4371</v>
      </c>
    </row>
    <row r="532" spans="1:20" x14ac:dyDescent="0.35">
      <c r="A532" s="7" t="s">
        <v>626</v>
      </c>
      <c r="B532" s="12" t="s">
        <v>96</v>
      </c>
      <c r="C532">
        <v>157126502.45432231</v>
      </c>
      <c r="D532">
        <v>153672813.04481536</v>
      </c>
      <c r="E532">
        <v>44385633.333333336</v>
      </c>
      <c r="F532">
        <v>110047852.25225225</v>
      </c>
      <c r="G532">
        <v>79</v>
      </c>
      <c r="H532">
        <v>72</v>
      </c>
      <c r="I532">
        <v>1</v>
      </c>
      <c r="K532">
        <v>99</v>
      </c>
      <c r="L532">
        <v>93</v>
      </c>
      <c r="M532">
        <v>27693153.153153151</v>
      </c>
      <c r="N532">
        <v>62322378.378378384</v>
      </c>
      <c r="O532">
        <v>49706801.801801801</v>
      </c>
      <c r="P532">
        <v>50803211.711711712</v>
      </c>
      <c r="Q532">
        <v>27861891.891891889</v>
      </c>
      <c r="R532">
        <v>26584864.864864863</v>
      </c>
      <c r="S532">
        <v>10755</v>
      </c>
      <c r="T532">
        <v>10753</v>
      </c>
    </row>
    <row r="533" spans="1:20" x14ac:dyDescent="0.35">
      <c r="A533" s="7" t="s">
        <v>627</v>
      </c>
      <c r="B533" s="12" t="s">
        <v>96</v>
      </c>
      <c r="C533">
        <v>275940957.5598163</v>
      </c>
      <c r="D533">
        <v>254780728.95594797</v>
      </c>
      <c r="E533">
        <v>311351.35135135299</v>
      </c>
      <c r="F533">
        <v>1412612.612612613</v>
      </c>
      <c r="G533">
        <v>64</v>
      </c>
      <c r="H533">
        <v>43</v>
      </c>
      <c r="I533">
        <v>1</v>
      </c>
      <c r="K533">
        <v>87</v>
      </c>
      <c r="L533">
        <v>57</v>
      </c>
      <c r="M533">
        <v>36503783.783783786</v>
      </c>
      <c r="N533">
        <v>59034594.59459459</v>
      </c>
      <c r="O533">
        <v>107484783.78378378</v>
      </c>
      <c r="P533">
        <v>101715083.33333333</v>
      </c>
      <c r="Q533">
        <v>49611621.621621624</v>
      </c>
      <c r="R533">
        <v>69100720.720720723</v>
      </c>
      <c r="S533">
        <v>13864</v>
      </c>
      <c r="T533">
        <v>13260</v>
      </c>
    </row>
    <row r="534" spans="1:20" x14ac:dyDescent="0.35">
      <c r="A534" s="7" t="s">
        <v>628</v>
      </c>
      <c r="B534" s="12" t="s">
        <v>448</v>
      </c>
      <c r="C534">
        <v>198691258.03282642</v>
      </c>
      <c r="D534">
        <v>185591171.9654083</v>
      </c>
      <c r="E534">
        <v>134204687.38738739</v>
      </c>
      <c r="F534">
        <v>124436317.11711712</v>
      </c>
      <c r="G534">
        <v>98</v>
      </c>
      <c r="H534">
        <v>47</v>
      </c>
      <c r="K534">
        <v>116</v>
      </c>
      <c r="L534">
        <v>63</v>
      </c>
      <c r="M534">
        <v>57750450.45045045</v>
      </c>
      <c r="N534">
        <v>51699099.0990991</v>
      </c>
      <c r="O534">
        <v>55886243.24324324</v>
      </c>
      <c r="P534">
        <v>56180872.072072074</v>
      </c>
      <c r="Q534">
        <v>43675855.855855852</v>
      </c>
      <c r="R534">
        <v>41634774.774774775</v>
      </c>
      <c r="S534">
        <v>11456</v>
      </c>
      <c r="T534">
        <v>11428</v>
      </c>
    </row>
    <row r="535" spans="1:20" x14ac:dyDescent="0.35">
      <c r="A535" s="7" t="s">
        <v>629</v>
      </c>
      <c r="B535" s="12" t="s">
        <v>78</v>
      </c>
      <c r="C535">
        <v>9124352.3814149927</v>
      </c>
      <c r="D535">
        <v>8660888.9557960089</v>
      </c>
      <c r="E535">
        <v>180180.18018018</v>
      </c>
      <c r="F535">
        <v>278378.37837837799</v>
      </c>
      <c r="G535">
        <v>2</v>
      </c>
      <c r="H535">
        <v>1</v>
      </c>
      <c r="K535">
        <v>2</v>
      </c>
      <c r="L535">
        <v>1</v>
      </c>
      <c r="M535">
        <v>180180.18018018</v>
      </c>
      <c r="N535">
        <v>638738.738738738</v>
      </c>
      <c r="O535">
        <v>2410135.1351351351</v>
      </c>
      <c r="P535">
        <v>2525882.8828828828</v>
      </c>
      <c r="Q535">
        <v>267567.56756756798</v>
      </c>
      <c r="R535">
        <v>542792.79279279301</v>
      </c>
      <c r="S535">
        <v>399</v>
      </c>
      <c r="T535">
        <v>342</v>
      </c>
    </row>
    <row r="536" spans="1:20" x14ac:dyDescent="0.35">
      <c r="A536" s="7" t="s">
        <v>630</v>
      </c>
      <c r="B536" s="12" t="s">
        <v>241</v>
      </c>
      <c r="C536">
        <v>52321189.85369473</v>
      </c>
      <c r="D536">
        <v>48215437.263464376</v>
      </c>
      <c r="E536">
        <v>17297.297297297999</v>
      </c>
      <c r="F536">
        <v>119594.594594596</v>
      </c>
      <c r="G536">
        <v>20</v>
      </c>
      <c r="H536">
        <v>16</v>
      </c>
      <c r="K536">
        <v>24</v>
      </c>
      <c r="L536">
        <v>20</v>
      </c>
      <c r="M536">
        <v>7393963.9639639631</v>
      </c>
      <c r="N536">
        <v>3748468.468468464</v>
      </c>
      <c r="O536">
        <v>12447972.972972974</v>
      </c>
      <c r="P536">
        <v>10608783.783783784</v>
      </c>
      <c r="Q536">
        <v>8313423.4234234216</v>
      </c>
      <c r="R536">
        <v>3743063.0630630571</v>
      </c>
      <c r="S536">
        <v>2602</v>
      </c>
      <c r="T536">
        <v>2621</v>
      </c>
    </row>
    <row r="537" spans="1:20" x14ac:dyDescent="0.35">
      <c r="A537" s="7" t="s">
        <v>631</v>
      </c>
      <c r="B537" s="12" t="s">
        <v>68</v>
      </c>
      <c r="C537">
        <v>229093945.73861387</v>
      </c>
      <c r="D537">
        <v>218795728.93389812</v>
      </c>
      <c r="E537">
        <v>1024324.3243243271</v>
      </c>
      <c r="F537">
        <v>2032657.6576576589</v>
      </c>
      <c r="G537">
        <v>93</v>
      </c>
      <c r="H537">
        <v>47</v>
      </c>
      <c r="K537">
        <v>107</v>
      </c>
      <c r="L537">
        <v>54</v>
      </c>
      <c r="M537">
        <v>21735495.495495491</v>
      </c>
      <c r="N537">
        <v>22377027.02702703</v>
      </c>
      <c r="O537">
        <v>38581171.171171166</v>
      </c>
      <c r="P537">
        <v>38296029.729729727</v>
      </c>
      <c r="Q537">
        <v>18465675.675675675</v>
      </c>
      <c r="R537">
        <v>17506396.396396395</v>
      </c>
      <c r="S537">
        <v>9075</v>
      </c>
      <c r="T537">
        <v>9001</v>
      </c>
    </row>
    <row r="538" spans="1:20" x14ac:dyDescent="0.35">
      <c r="A538" s="7" t="s">
        <v>632</v>
      </c>
      <c r="B538" s="12" t="s">
        <v>70</v>
      </c>
      <c r="C538">
        <v>1780852.1102094869</v>
      </c>
      <c r="D538">
        <v>1635806.8711084791</v>
      </c>
      <c r="E538">
        <v>9684684.6846846845</v>
      </c>
      <c r="F538">
        <v>76189189.189189181</v>
      </c>
      <c r="G538">
        <v>2</v>
      </c>
      <c r="K538">
        <v>2</v>
      </c>
      <c r="L538">
        <v>1</v>
      </c>
      <c r="M538">
        <v>5128153.1531531531</v>
      </c>
      <c r="N538">
        <v>11281531.531531531</v>
      </c>
      <c r="O538">
        <v>1007657.657657658</v>
      </c>
      <c r="P538">
        <v>960225.22522522497</v>
      </c>
      <c r="Q538">
        <v>41261.261261261003</v>
      </c>
      <c r="R538">
        <v>164864.864864865</v>
      </c>
      <c r="S538">
        <v>186</v>
      </c>
      <c r="T538">
        <v>202</v>
      </c>
    </row>
    <row r="539" spans="1:20" x14ac:dyDescent="0.35">
      <c r="A539" s="7" t="s">
        <v>633</v>
      </c>
      <c r="B539" s="12" t="s">
        <v>60</v>
      </c>
      <c r="C539">
        <v>17031997.108422466</v>
      </c>
      <c r="D539">
        <v>17285838.860790864</v>
      </c>
      <c r="E539">
        <v>900.900900901</v>
      </c>
      <c r="F539">
        <v>2702.7027027029999</v>
      </c>
      <c r="G539">
        <v>3</v>
      </c>
      <c r="H539">
        <v>5</v>
      </c>
      <c r="K539">
        <v>3</v>
      </c>
      <c r="L539">
        <v>6</v>
      </c>
      <c r="M539">
        <v>271171.17117117101</v>
      </c>
      <c r="N539">
        <v>912612.61261261196</v>
      </c>
      <c r="O539">
        <v>6102927.927927928</v>
      </c>
      <c r="P539">
        <v>7383009.0090090092</v>
      </c>
      <c r="Q539">
        <v>110360.36036036001</v>
      </c>
      <c r="R539">
        <v>140990.99099099101</v>
      </c>
      <c r="S539">
        <v>984</v>
      </c>
      <c r="T539">
        <v>1075</v>
      </c>
    </row>
    <row r="540" spans="1:20" x14ac:dyDescent="0.35">
      <c r="A540" s="7" t="s">
        <v>634</v>
      </c>
      <c r="B540" s="12" t="s">
        <v>80</v>
      </c>
      <c r="C540">
        <v>181116383.92829219</v>
      </c>
      <c r="D540">
        <v>173094141.2382597</v>
      </c>
      <c r="E540">
        <v>1939639.6396396421</v>
      </c>
      <c r="F540">
        <v>1927027.0270270291</v>
      </c>
      <c r="G540">
        <v>48</v>
      </c>
      <c r="H540">
        <v>20</v>
      </c>
      <c r="K540">
        <v>62</v>
      </c>
      <c r="L540">
        <v>22</v>
      </c>
      <c r="M540">
        <v>20943603.603603605</v>
      </c>
      <c r="N540">
        <v>17930630.630630631</v>
      </c>
      <c r="O540">
        <v>32990081.081081081</v>
      </c>
      <c r="P540">
        <v>35622373.873873875</v>
      </c>
      <c r="Q540">
        <v>23886936.936936937</v>
      </c>
      <c r="R540">
        <v>17017297.297297299</v>
      </c>
      <c r="S540">
        <v>6492</v>
      </c>
      <c r="T540">
        <v>6590</v>
      </c>
    </row>
    <row r="541" spans="1:20" x14ac:dyDescent="0.35">
      <c r="A541" s="7" t="s">
        <v>635</v>
      </c>
      <c r="B541" s="12" t="s">
        <v>134</v>
      </c>
      <c r="C541">
        <v>28987302.015161693</v>
      </c>
      <c r="D541">
        <v>30221210.481261965</v>
      </c>
      <c r="G541">
        <v>2</v>
      </c>
      <c r="H541">
        <v>3</v>
      </c>
      <c r="K541">
        <v>4</v>
      </c>
      <c r="L541">
        <v>5</v>
      </c>
      <c r="N541">
        <v>630630.630630631</v>
      </c>
      <c r="O541">
        <v>1819594.594594595</v>
      </c>
      <c r="P541">
        <v>2000765.7657657659</v>
      </c>
      <c r="Q541">
        <v>452702.70270270301</v>
      </c>
      <c r="R541">
        <v>278558.55855855899</v>
      </c>
      <c r="S541">
        <v>1430</v>
      </c>
      <c r="T541">
        <v>1457</v>
      </c>
    </row>
    <row r="542" spans="1:20" x14ac:dyDescent="0.35">
      <c r="A542" s="7" t="s">
        <v>636</v>
      </c>
      <c r="B542" s="12" t="s">
        <v>479</v>
      </c>
      <c r="C542">
        <v>102334096.15773995</v>
      </c>
      <c r="D542">
        <v>90991290.080976218</v>
      </c>
      <c r="E542">
        <v>210360.360360361</v>
      </c>
      <c r="F542">
        <v>601801.80180180399</v>
      </c>
      <c r="G542">
        <v>14</v>
      </c>
      <c r="H542">
        <v>9</v>
      </c>
      <c r="K542">
        <v>15</v>
      </c>
      <c r="L542">
        <v>9</v>
      </c>
      <c r="M542">
        <v>12132882.88288288</v>
      </c>
      <c r="N542">
        <v>18543243.24324324</v>
      </c>
      <c r="O542">
        <v>32936040.540540539</v>
      </c>
      <c r="P542">
        <v>30764216.216216218</v>
      </c>
      <c r="Q542">
        <v>14433693.693693692</v>
      </c>
      <c r="R542">
        <v>19650630.630630627</v>
      </c>
      <c r="S542">
        <v>5864</v>
      </c>
      <c r="T542">
        <v>5638</v>
      </c>
    </row>
    <row r="543" spans="1:20" x14ac:dyDescent="0.35">
      <c r="A543" s="7" t="s">
        <v>637</v>
      </c>
      <c r="B543" s="12" t="s">
        <v>143</v>
      </c>
      <c r="C543">
        <v>168740798.03584844</v>
      </c>
      <c r="D543">
        <v>161075356.32091719</v>
      </c>
      <c r="E543">
        <v>51254470.270270273</v>
      </c>
      <c r="F543">
        <v>71366819.819819823</v>
      </c>
      <c r="G543">
        <v>22</v>
      </c>
      <c r="H543">
        <v>26</v>
      </c>
      <c r="K543">
        <v>30</v>
      </c>
      <c r="L543">
        <v>45</v>
      </c>
      <c r="M543">
        <v>17630450.45045045</v>
      </c>
      <c r="N543">
        <v>15274774.774774777</v>
      </c>
      <c r="O543">
        <v>15947549.54954955</v>
      </c>
      <c r="P543">
        <v>20225585.585585583</v>
      </c>
      <c r="Q543">
        <v>9625045.0450450443</v>
      </c>
      <c r="R543">
        <v>6659549.549549547</v>
      </c>
      <c r="S543">
        <v>9320</v>
      </c>
      <c r="T543">
        <v>9549</v>
      </c>
    </row>
    <row r="544" spans="1:20" x14ac:dyDescent="0.35">
      <c r="A544" s="7" t="s">
        <v>638</v>
      </c>
      <c r="B544" s="12" t="s">
        <v>241</v>
      </c>
      <c r="C544">
        <v>182184825.26554912</v>
      </c>
      <c r="D544">
        <v>167935399.91322291</v>
      </c>
      <c r="E544">
        <v>459459.45945945999</v>
      </c>
      <c r="F544">
        <v>1140540.5405405441</v>
      </c>
      <c r="G544">
        <v>89</v>
      </c>
      <c r="H544">
        <v>84</v>
      </c>
      <c r="K544">
        <v>99</v>
      </c>
      <c r="L544">
        <v>104</v>
      </c>
      <c r="M544">
        <v>7337567.5675675683</v>
      </c>
      <c r="N544">
        <v>8220720.7207207186</v>
      </c>
      <c r="O544">
        <v>58936936.936936937</v>
      </c>
      <c r="P544">
        <v>53391144.144144148</v>
      </c>
      <c r="Q544">
        <v>8594684.6846846826</v>
      </c>
      <c r="R544">
        <v>6762162.1621621624</v>
      </c>
      <c r="S544">
        <v>12596</v>
      </c>
      <c r="T544">
        <v>17751</v>
      </c>
    </row>
    <row r="545" spans="1:20" x14ac:dyDescent="0.35">
      <c r="A545" s="7" t="s">
        <v>639</v>
      </c>
      <c r="B545" s="12" t="s">
        <v>132</v>
      </c>
      <c r="C545">
        <v>75429344.960845828</v>
      </c>
      <c r="D545">
        <v>64093729.624511272</v>
      </c>
      <c r="E545">
        <v>15122172.072072072</v>
      </c>
      <c r="F545">
        <v>15264171.171171172</v>
      </c>
      <c r="G545">
        <v>24</v>
      </c>
      <c r="H545">
        <v>19</v>
      </c>
      <c r="K545">
        <v>32</v>
      </c>
      <c r="L545">
        <v>30</v>
      </c>
      <c r="M545">
        <v>6706306.3063063063</v>
      </c>
      <c r="N545">
        <v>738738.738738738</v>
      </c>
      <c r="O545">
        <v>26875513.513513513</v>
      </c>
      <c r="P545">
        <v>22525648.648648649</v>
      </c>
      <c r="Q545">
        <v>4176126.1261261259</v>
      </c>
      <c r="R545">
        <v>443333.33333333401</v>
      </c>
      <c r="S545">
        <v>5552</v>
      </c>
      <c r="T545">
        <v>5022</v>
      </c>
    </row>
    <row r="546" spans="1:20" x14ac:dyDescent="0.35">
      <c r="A546" s="7" t="s">
        <v>640</v>
      </c>
      <c r="B546" s="12" t="s">
        <v>134</v>
      </c>
      <c r="C546">
        <v>209714496.79258785</v>
      </c>
      <c r="D546">
        <v>203070578.50964954</v>
      </c>
      <c r="E546">
        <v>59459.459459461999</v>
      </c>
      <c r="F546">
        <v>388288.28828828997</v>
      </c>
      <c r="G546">
        <v>33</v>
      </c>
      <c r="H546">
        <v>23</v>
      </c>
      <c r="K546">
        <v>36</v>
      </c>
      <c r="L546">
        <v>29</v>
      </c>
      <c r="M546">
        <v>13748648.648648651</v>
      </c>
      <c r="N546">
        <v>15081261.261261258</v>
      </c>
      <c r="O546">
        <v>22989211.711711712</v>
      </c>
      <c r="P546">
        <v>26178723.423423424</v>
      </c>
      <c r="Q546">
        <v>11462882.882882884</v>
      </c>
      <c r="R546">
        <v>10987520.72072072</v>
      </c>
      <c r="S546">
        <v>7591</v>
      </c>
      <c r="T546">
        <v>7466</v>
      </c>
    </row>
    <row r="547" spans="1:20" x14ac:dyDescent="0.35">
      <c r="A547" s="7" t="s">
        <v>641</v>
      </c>
      <c r="B547" s="12" t="s">
        <v>80</v>
      </c>
      <c r="C547">
        <v>109083147.12881415</v>
      </c>
      <c r="D547">
        <v>108416325.70872967</v>
      </c>
      <c r="E547">
        <v>25001801.801801801</v>
      </c>
      <c r="F547">
        <v>17016216.216216218</v>
      </c>
      <c r="G547">
        <v>13</v>
      </c>
      <c r="H547">
        <v>21</v>
      </c>
      <c r="I547">
        <v>1</v>
      </c>
      <c r="K547">
        <v>16</v>
      </c>
      <c r="L547">
        <v>24</v>
      </c>
      <c r="M547">
        <v>11597297.297297295</v>
      </c>
      <c r="N547">
        <v>7442342.3423423423</v>
      </c>
      <c r="O547">
        <v>36511908.108108111</v>
      </c>
      <c r="P547">
        <v>38294364.864864863</v>
      </c>
      <c r="Q547">
        <v>9444504.5045045037</v>
      </c>
      <c r="R547">
        <v>8628198.1981981993</v>
      </c>
      <c r="S547">
        <v>4958</v>
      </c>
      <c r="T547">
        <v>5098</v>
      </c>
    </row>
    <row r="548" spans="1:20" x14ac:dyDescent="0.35">
      <c r="A548" s="7" t="s">
        <v>642</v>
      </c>
      <c r="B548" s="12" t="s">
        <v>169</v>
      </c>
      <c r="C548">
        <v>193775552.11322695</v>
      </c>
      <c r="D548">
        <v>171508871.54729569</v>
      </c>
      <c r="E548">
        <v>841891.89189189195</v>
      </c>
      <c r="F548">
        <v>721621.62162162201</v>
      </c>
      <c r="G548">
        <v>20</v>
      </c>
      <c r="H548">
        <v>19</v>
      </c>
      <c r="I548">
        <v>1</v>
      </c>
      <c r="K548">
        <v>24</v>
      </c>
      <c r="L548">
        <v>23</v>
      </c>
      <c r="M548">
        <v>14715765.765765766</v>
      </c>
      <c r="N548">
        <v>9325225.2252252232</v>
      </c>
      <c r="O548">
        <v>62760819.819819823</v>
      </c>
      <c r="P548">
        <v>63107792.79279279</v>
      </c>
      <c r="Q548">
        <v>13516306.306306304</v>
      </c>
      <c r="R548">
        <v>12748378.378378378</v>
      </c>
      <c r="S548">
        <v>8923</v>
      </c>
      <c r="T548">
        <v>8602</v>
      </c>
    </row>
    <row r="549" spans="1:20" x14ac:dyDescent="0.35">
      <c r="A549" s="7" t="s">
        <v>643</v>
      </c>
      <c r="B549" s="12" t="s">
        <v>58</v>
      </c>
      <c r="C549">
        <v>312367180.3823452</v>
      </c>
      <c r="D549">
        <v>298524481.05226344</v>
      </c>
      <c r="E549">
        <v>791441.44144144305</v>
      </c>
      <c r="F549">
        <v>1949549.5495495501</v>
      </c>
      <c r="G549">
        <v>70</v>
      </c>
      <c r="H549">
        <v>61</v>
      </c>
      <c r="K549">
        <v>80</v>
      </c>
      <c r="L549">
        <v>74</v>
      </c>
      <c r="M549">
        <v>24090540.540540535</v>
      </c>
      <c r="N549">
        <v>18277027.02702703</v>
      </c>
      <c r="O549">
        <v>60961792.79279279</v>
      </c>
      <c r="P549">
        <v>62698545.045045048</v>
      </c>
      <c r="Q549">
        <v>18354504.504504509</v>
      </c>
      <c r="R549">
        <v>19715225.225225225</v>
      </c>
      <c r="S549">
        <v>17339</v>
      </c>
      <c r="T549">
        <v>17863</v>
      </c>
    </row>
    <row r="550" spans="1:20" x14ac:dyDescent="0.35">
      <c r="A550" s="7" t="s">
        <v>644</v>
      </c>
      <c r="B550" s="12" t="s">
        <v>58</v>
      </c>
      <c r="C550">
        <v>390795944.81623381</v>
      </c>
      <c r="D550">
        <v>383787930.98152602</v>
      </c>
      <c r="E550">
        <v>126149071.17117117</v>
      </c>
      <c r="F550">
        <v>5729279.2792792823</v>
      </c>
      <c r="G550">
        <v>95</v>
      </c>
      <c r="H550">
        <v>95</v>
      </c>
      <c r="K550">
        <v>118</v>
      </c>
      <c r="L550">
        <v>125</v>
      </c>
      <c r="M550">
        <v>63047297.297297299</v>
      </c>
      <c r="N550">
        <v>61524324.324324325</v>
      </c>
      <c r="O550">
        <v>103068277.47747748</v>
      </c>
      <c r="P550">
        <v>107472756.75675675</v>
      </c>
      <c r="Q550">
        <v>47088198.198198199</v>
      </c>
      <c r="R550">
        <v>55742252.252252258</v>
      </c>
      <c r="S550">
        <v>22045</v>
      </c>
      <c r="T550">
        <v>21897</v>
      </c>
    </row>
    <row r="551" spans="1:20" x14ac:dyDescent="0.35">
      <c r="A551" s="7" t="s">
        <v>645</v>
      </c>
      <c r="B551" s="12" t="s">
        <v>307</v>
      </c>
      <c r="C551">
        <v>122458928.78031607</v>
      </c>
      <c r="D551">
        <v>121754971.89772063</v>
      </c>
      <c r="E551">
        <v>1000900.9009009009</v>
      </c>
      <c r="F551">
        <v>960360.36036036105</v>
      </c>
      <c r="G551">
        <v>14</v>
      </c>
      <c r="H551">
        <v>9</v>
      </c>
      <c r="K551">
        <v>16</v>
      </c>
      <c r="L551">
        <v>9</v>
      </c>
      <c r="M551">
        <v>2592342.3423423432</v>
      </c>
      <c r="N551">
        <v>2121621.6216216208</v>
      </c>
      <c r="O551">
        <v>20391036.036036037</v>
      </c>
      <c r="P551">
        <v>20398031.531531531</v>
      </c>
      <c r="Q551">
        <v>2674774.7747747758</v>
      </c>
      <c r="R551">
        <v>2134594.5945945941</v>
      </c>
      <c r="S551">
        <v>5248</v>
      </c>
      <c r="T551">
        <v>5109</v>
      </c>
    </row>
    <row r="552" spans="1:20" x14ac:dyDescent="0.35">
      <c r="A552" s="7" t="s">
        <v>13</v>
      </c>
      <c r="B552" s="12" t="s">
        <v>158</v>
      </c>
      <c r="C552">
        <v>147768906.01610869</v>
      </c>
      <c r="D552">
        <v>135459661.37104714</v>
      </c>
      <c r="E552">
        <v>388738.73873874301</v>
      </c>
      <c r="F552">
        <v>823423.42342342495</v>
      </c>
      <c r="G552">
        <v>15</v>
      </c>
      <c r="H552">
        <v>9</v>
      </c>
      <c r="I552">
        <v>1</v>
      </c>
      <c r="K552">
        <v>129</v>
      </c>
      <c r="L552">
        <v>95</v>
      </c>
      <c r="M552">
        <v>22531891.891891897</v>
      </c>
      <c r="N552">
        <v>27392702.702702705</v>
      </c>
      <c r="O552">
        <v>81883022.522522524</v>
      </c>
      <c r="P552">
        <v>77798054.054054052</v>
      </c>
      <c r="Q552">
        <v>25465945.945945948</v>
      </c>
      <c r="R552">
        <v>31047567.567567568</v>
      </c>
      <c r="S552">
        <v>7338</v>
      </c>
      <c r="T552">
        <v>7203</v>
      </c>
    </row>
    <row r="553" spans="1:20" x14ac:dyDescent="0.35">
      <c r="A553" s="7" t="s">
        <v>646</v>
      </c>
      <c r="B553" s="12" t="s">
        <v>121</v>
      </c>
      <c r="C553">
        <v>96091631.738586947</v>
      </c>
      <c r="D553">
        <v>101602942.52639332</v>
      </c>
      <c r="E553">
        <v>900.900900901</v>
      </c>
      <c r="F553">
        <v>68468.468468467996</v>
      </c>
      <c r="G553">
        <v>23</v>
      </c>
      <c r="H553">
        <v>20</v>
      </c>
      <c r="K553">
        <v>25</v>
      </c>
      <c r="L553">
        <v>21</v>
      </c>
      <c r="M553">
        <v>181081.08108108101</v>
      </c>
      <c r="N553">
        <v>252252.25225225199</v>
      </c>
      <c r="O553">
        <v>8269711.7117117122</v>
      </c>
      <c r="P553">
        <v>8297545.0450450452</v>
      </c>
      <c r="Q553">
        <v>137387.38738738699</v>
      </c>
      <c r="R553">
        <v>344774.77477477503</v>
      </c>
      <c r="S553">
        <v>3021</v>
      </c>
      <c r="T553">
        <v>3253</v>
      </c>
    </row>
    <row r="554" spans="1:20" x14ac:dyDescent="0.35">
      <c r="A554" s="7" t="s">
        <v>647</v>
      </c>
      <c r="B554" s="12" t="s">
        <v>315</v>
      </c>
      <c r="C554">
        <v>36825869.83036299</v>
      </c>
      <c r="D554">
        <v>32333036.358909089</v>
      </c>
      <c r="E554">
        <v>23641154.954954956</v>
      </c>
      <c r="F554">
        <v>40901375.675675675</v>
      </c>
      <c r="G554">
        <v>13</v>
      </c>
      <c r="H554">
        <v>2</v>
      </c>
      <c r="K554">
        <v>14</v>
      </c>
      <c r="L554">
        <v>4</v>
      </c>
      <c r="M554">
        <v>33688738.738738738</v>
      </c>
      <c r="N554">
        <v>4139189.1891891868</v>
      </c>
      <c r="O554">
        <v>8668626.1261261255</v>
      </c>
      <c r="P554">
        <v>8008846.8468468469</v>
      </c>
      <c r="Q554">
        <v>3052972.9729729728</v>
      </c>
      <c r="R554">
        <v>4022522.5225225221</v>
      </c>
      <c r="S554">
        <v>1381</v>
      </c>
      <c r="T554">
        <v>1242</v>
      </c>
    </row>
    <row r="555" spans="1:20" x14ac:dyDescent="0.35">
      <c r="A555" s="7" t="s">
        <v>648</v>
      </c>
      <c r="B555" s="12" t="s">
        <v>260</v>
      </c>
      <c r="C555">
        <v>91603575.300266698</v>
      </c>
      <c r="D555">
        <v>88847597.051399946</v>
      </c>
      <c r="E555">
        <v>148018.01801801799</v>
      </c>
      <c r="F555">
        <v>532657.65765765798</v>
      </c>
      <c r="G555">
        <v>22</v>
      </c>
      <c r="H555">
        <v>22</v>
      </c>
      <c r="K555">
        <v>23</v>
      </c>
      <c r="L555">
        <v>26</v>
      </c>
      <c r="M555">
        <v>18616486.486486487</v>
      </c>
      <c r="N555">
        <v>13658558.558558561</v>
      </c>
      <c r="O555">
        <v>28407567.567567568</v>
      </c>
      <c r="P555">
        <v>28534540.540540539</v>
      </c>
      <c r="Q555">
        <v>19417117.117117114</v>
      </c>
      <c r="R555">
        <v>14480360.36036036</v>
      </c>
      <c r="S555">
        <v>4553</v>
      </c>
      <c r="T555">
        <v>4306</v>
      </c>
    </row>
    <row r="556" spans="1:20" x14ac:dyDescent="0.35">
      <c r="A556" s="7" t="s">
        <v>649</v>
      </c>
      <c r="B556" s="12" t="s">
        <v>224</v>
      </c>
      <c r="C556">
        <v>95497470.971804753</v>
      </c>
      <c r="D556">
        <v>82540216.427973717</v>
      </c>
      <c r="E556">
        <v>26576.576576577001</v>
      </c>
      <c r="F556">
        <v>381756.75675675902</v>
      </c>
      <c r="G556">
        <v>13</v>
      </c>
      <c r="H556">
        <v>15</v>
      </c>
      <c r="K556">
        <v>19</v>
      </c>
      <c r="L556">
        <v>18</v>
      </c>
      <c r="M556">
        <v>4950720.7207207177</v>
      </c>
      <c r="N556">
        <v>6791891.8918918893</v>
      </c>
      <c r="O556">
        <v>19754774.774774775</v>
      </c>
      <c r="P556">
        <v>19881018.018018015</v>
      </c>
      <c r="Q556">
        <v>4266396.3963963939</v>
      </c>
      <c r="R556">
        <v>7436216.216216214</v>
      </c>
      <c r="S556">
        <v>5643</v>
      </c>
      <c r="T556">
        <v>5917</v>
      </c>
    </row>
    <row r="557" spans="1:20" x14ac:dyDescent="0.35">
      <c r="A557" s="7" t="s">
        <v>650</v>
      </c>
      <c r="B557" s="12" t="s">
        <v>224</v>
      </c>
      <c r="C557">
        <v>79106923.111394525</v>
      </c>
      <c r="D557">
        <v>66882748.656416625</v>
      </c>
      <c r="E557">
        <v>17117.117117116999</v>
      </c>
      <c r="F557">
        <v>27027.027027028002</v>
      </c>
      <c r="G557">
        <v>9</v>
      </c>
      <c r="H557">
        <v>13</v>
      </c>
      <c r="K557">
        <v>10</v>
      </c>
      <c r="L557">
        <v>15</v>
      </c>
      <c r="M557">
        <v>3898198.1981981979</v>
      </c>
      <c r="N557">
        <v>837837.83783783799</v>
      </c>
      <c r="O557">
        <v>10015855.855855856</v>
      </c>
      <c r="P557">
        <v>10606387.387387387</v>
      </c>
      <c r="Q557">
        <v>2438018.0180180189</v>
      </c>
      <c r="R557">
        <v>1599369.369369369</v>
      </c>
      <c r="S557">
        <v>3088</v>
      </c>
      <c r="T557">
        <v>3075</v>
      </c>
    </row>
    <row r="558" spans="1:20" x14ac:dyDescent="0.35">
      <c r="A558" s="7" t="s">
        <v>651</v>
      </c>
      <c r="B558" s="12" t="s">
        <v>224</v>
      </c>
      <c r="C558">
        <v>294385934.10493809</v>
      </c>
      <c r="D558">
        <v>255280816.4066278</v>
      </c>
      <c r="E558">
        <v>95218549.54954955</v>
      </c>
      <c r="F558">
        <v>67851706.306306317</v>
      </c>
      <c r="G558">
        <v>67</v>
      </c>
      <c r="H558">
        <v>69</v>
      </c>
      <c r="I558">
        <v>2</v>
      </c>
      <c r="K558">
        <v>98</v>
      </c>
      <c r="L558">
        <v>100</v>
      </c>
      <c r="M558">
        <v>39501711.711711712</v>
      </c>
      <c r="N558">
        <v>40497297.297297299</v>
      </c>
      <c r="O558">
        <v>65017585.585585587</v>
      </c>
      <c r="P558">
        <v>66454378.378378384</v>
      </c>
      <c r="Q558">
        <v>32210000.000000007</v>
      </c>
      <c r="R558">
        <v>33025495.495495491</v>
      </c>
      <c r="S558">
        <v>18087</v>
      </c>
      <c r="T558">
        <v>17849</v>
      </c>
    </row>
    <row r="559" spans="1:20" x14ac:dyDescent="0.35">
      <c r="A559" s="7" t="s">
        <v>652</v>
      </c>
      <c r="B559" s="12" t="s">
        <v>224</v>
      </c>
      <c r="C559">
        <v>33724401.895887747</v>
      </c>
      <c r="D559">
        <v>33645795.886246547</v>
      </c>
      <c r="F559">
        <v>207207.207207208</v>
      </c>
      <c r="G559">
        <v>12</v>
      </c>
      <c r="H559">
        <v>8</v>
      </c>
      <c r="K559">
        <v>13</v>
      </c>
      <c r="L559">
        <v>9</v>
      </c>
      <c r="M559">
        <v>1110630.6306306319</v>
      </c>
      <c r="N559">
        <v>207207.207207208</v>
      </c>
      <c r="O559">
        <v>5482837.8378378376</v>
      </c>
      <c r="P559">
        <v>5290270.2702702703</v>
      </c>
      <c r="Q559">
        <v>761261.261261262</v>
      </c>
      <c r="R559">
        <v>497117.11711711698</v>
      </c>
      <c r="S559">
        <v>1790</v>
      </c>
      <c r="T559">
        <v>1753</v>
      </c>
    </row>
    <row r="560" spans="1:20" x14ac:dyDescent="0.35">
      <c r="A560" s="7" t="s">
        <v>653</v>
      </c>
      <c r="B560" s="12" t="s">
        <v>96</v>
      </c>
      <c r="C560">
        <v>177500707.34550625</v>
      </c>
      <c r="D560">
        <v>167791812.50555983</v>
      </c>
      <c r="E560">
        <v>36936.936936938</v>
      </c>
      <c r="F560">
        <v>175675.67567567801</v>
      </c>
      <c r="G560">
        <v>31</v>
      </c>
      <c r="H560">
        <v>63</v>
      </c>
      <c r="K560">
        <v>38</v>
      </c>
      <c r="L560">
        <v>86</v>
      </c>
      <c r="M560">
        <v>4816216.2162162159</v>
      </c>
      <c r="N560">
        <v>4073873.8738738741</v>
      </c>
      <c r="O560">
        <v>21714900.900900904</v>
      </c>
      <c r="P560">
        <v>22913153.153153151</v>
      </c>
      <c r="Q560">
        <v>6146666.666666667</v>
      </c>
      <c r="R560">
        <v>2835045.0450450471</v>
      </c>
      <c r="S560">
        <v>9120</v>
      </c>
      <c r="T560">
        <v>8623</v>
      </c>
    </row>
    <row r="561" spans="1:20" x14ac:dyDescent="0.35">
      <c r="A561" s="7" t="s">
        <v>654</v>
      </c>
      <c r="B561" s="12" t="s">
        <v>66</v>
      </c>
      <c r="C561">
        <v>102017095.44657862</v>
      </c>
      <c r="D561">
        <v>106465574.77779639</v>
      </c>
      <c r="E561">
        <v>1650450.4504504499</v>
      </c>
      <c r="F561">
        <v>1831531.5315315309</v>
      </c>
      <c r="G561">
        <v>28</v>
      </c>
      <c r="H561">
        <v>41</v>
      </c>
      <c r="K561">
        <v>31</v>
      </c>
      <c r="L561">
        <v>71</v>
      </c>
      <c r="M561">
        <v>11460990.990990996</v>
      </c>
      <c r="N561">
        <v>20432432.432432432</v>
      </c>
      <c r="O561">
        <v>65057477.477477483</v>
      </c>
      <c r="P561">
        <v>67685324.324324325</v>
      </c>
      <c r="Q561">
        <v>10780720.720720723</v>
      </c>
      <c r="R561">
        <v>22006486.486486487</v>
      </c>
      <c r="S561">
        <v>5375</v>
      </c>
      <c r="T561">
        <v>5288</v>
      </c>
    </row>
    <row r="562" spans="1:20" x14ac:dyDescent="0.35">
      <c r="A562" s="7" t="s">
        <v>655</v>
      </c>
      <c r="B562" s="12" t="s">
        <v>68</v>
      </c>
      <c r="C562">
        <v>179735250.12627691</v>
      </c>
      <c r="D562">
        <v>156349823.73223233</v>
      </c>
      <c r="E562">
        <v>4875495.4954954963</v>
      </c>
      <c r="F562">
        <v>536936.93693693797</v>
      </c>
      <c r="G562">
        <v>39</v>
      </c>
      <c r="H562">
        <v>25</v>
      </c>
      <c r="K562">
        <v>46</v>
      </c>
      <c r="L562">
        <v>29</v>
      </c>
      <c r="M562">
        <v>13243423.423423423</v>
      </c>
      <c r="N562">
        <v>6347747.7477477472</v>
      </c>
      <c r="O562">
        <v>23599022.52252252</v>
      </c>
      <c r="P562">
        <v>22178504.504504506</v>
      </c>
      <c r="Q562">
        <v>8470720.7207207214</v>
      </c>
      <c r="R562">
        <v>5341261.2612612611</v>
      </c>
      <c r="S562">
        <v>7345</v>
      </c>
      <c r="T562">
        <v>7059</v>
      </c>
    </row>
    <row r="563" spans="1:20" x14ac:dyDescent="0.35">
      <c r="A563" s="7" t="s">
        <v>14</v>
      </c>
      <c r="B563" s="12" t="s">
        <v>158</v>
      </c>
      <c r="C563">
        <v>78311114.535648942</v>
      </c>
      <c r="D563">
        <v>70874971.238079786</v>
      </c>
      <c r="E563">
        <v>62162.162162166002</v>
      </c>
      <c r="F563">
        <v>669369.36936937098</v>
      </c>
      <c r="G563">
        <v>9</v>
      </c>
      <c r="H563">
        <v>8</v>
      </c>
      <c r="K563">
        <v>9</v>
      </c>
      <c r="L563">
        <v>10</v>
      </c>
      <c r="M563">
        <v>5557657.6576576596</v>
      </c>
      <c r="N563">
        <v>22243243.243243244</v>
      </c>
      <c r="O563">
        <v>24980801.801801801</v>
      </c>
      <c r="P563">
        <v>24617819.819819819</v>
      </c>
      <c r="Q563">
        <v>4851081.0810810812</v>
      </c>
      <c r="R563">
        <v>26924864.864864863</v>
      </c>
      <c r="S563">
        <v>4002</v>
      </c>
      <c r="T563">
        <v>3968</v>
      </c>
    </row>
    <row r="564" spans="1:20" x14ac:dyDescent="0.35">
      <c r="A564" s="7" t="s">
        <v>656</v>
      </c>
      <c r="B564" s="12" t="s">
        <v>304</v>
      </c>
      <c r="C564">
        <v>63430862.832288735</v>
      </c>
      <c r="D564">
        <v>79277446.816861033</v>
      </c>
      <c r="E564">
        <v>11711.711711712</v>
      </c>
      <c r="F564">
        <v>473873.87387387297</v>
      </c>
      <c r="G564">
        <v>28</v>
      </c>
      <c r="H564">
        <v>12</v>
      </c>
      <c r="K564">
        <v>31</v>
      </c>
      <c r="L564">
        <v>15</v>
      </c>
      <c r="M564">
        <v>13705405.405405406</v>
      </c>
      <c r="N564">
        <v>12130630.630630629</v>
      </c>
      <c r="O564">
        <v>20351972.97297297</v>
      </c>
      <c r="P564">
        <v>19147666.666666664</v>
      </c>
      <c r="Q564">
        <v>12505225.225225229</v>
      </c>
      <c r="R564">
        <v>10899189.189189188</v>
      </c>
      <c r="S564">
        <v>3287</v>
      </c>
      <c r="T564">
        <v>3082</v>
      </c>
    </row>
    <row r="565" spans="1:20" x14ac:dyDescent="0.35">
      <c r="A565" s="7" t="s">
        <v>657</v>
      </c>
      <c r="B565" s="12" t="s">
        <v>48</v>
      </c>
      <c r="C565">
        <v>111178111.82159886</v>
      </c>
      <c r="D565">
        <v>94003676.45935984</v>
      </c>
      <c r="E565">
        <v>283783.78378378402</v>
      </c>
      <c r="F565">
        <v>698198.19819819904</v>
      </c>
      <c r="G565">
        <v>2</v>
      </c>
      <c r="H565">
        <v>8</v>
      </c>
      <c r="K565">
        <v>4</v>
      </c>
      <c r="L565">
        <v>22</v>
      </c>
      <c r="M565">
        <v>8306126.1261261282</v>
      </c>
      <c r="N565">
        <v>17063603.603603601</v>
      </c>
      <c r="O565">
        <v>32470666.666666668</v>
      </c>
      <c r="P565">
        <v>27736288.288288288</v>
      </c>
      <c r="Q565">
        <v>7072702.7027027048</v>
      </c>
      <c r="R565">
        <v>14484504.5045045</v>
      </c>
      <c r="S565">
        <v>3333</v>
      </c>
      <c r="T565">
        <v>3365</v>
      </c>
    </row>
    <row r="566" spans="1:20" x14ac:dyDescent="0.35">
      <c r="A566" s="7" t="s">
        <v>658</v>
      </c>
      <c r="B566" s="12" t="s">
        <v>54</v>
      </c>
      <c r="C566">
        <v>32313494.502195138</v>
      </c>
      <c r="D566">
        <v>31981223.983155221</v>
      </c>
      <c r="E566">
        <v>194594.59459459499</v>
      </c>
      <c r="F566">
        <v>65765.765765766002</v>
      </c>
      <c r="G566">
        <v>4</v>
      </c>
      <c r="K566">
        <v>4</v>
      </c>
      <c r="M566">
        <v>4772972.9729729742</v>
      </c>
      <c r="N566">
        <v>2700900.9009009008</v>
      </c>
      <c r="O566">
        <v>6770405.4054054059</v>
      </c>
      <c r="P566">
        <v>7534234.2342342343</v>
      </c>
      <c r="Q566">
        <v>3353423.4234234239</v>
      </c>
      <c r="R566">
        <v>2623333.333333333</v>
      </c>
      <c r="S566">
        <v>1598</v>
      </c>
      <c r="T566">
        <v>1535</v>
      </c>
    </row>
    <row r="567" spans="1:20" x14ac:dyDescent="0.35">
      <c r="A567" s="7" t="s">
        <v>659</v>
      </c>
      <c r="B567" s="12" t="s">
        <v>50</v>
      </c>
      <c r="C567">
        <v>141110693.15520445</v>
      </c>
      <c r="D567">
        <v>141365128.01178804</v>
      </c>
      <c r="E567">
        <v>251081.081081082</v>
      </c>
      <c r="F567">
        <v>386486.48648648697</v>
      </c>
      <c r="G567">
        <v>12</v>
      </c>
      <c r="H567">
        <v>16</v>
      </c>
      <c r="K567">
        <v>14</v>
      </c>
      <c r="L567">
        <v>29</v>
      </c>
      <c r="M567">
        <v>32847387.387387387</v>
      </c>
      <c r="N567">
        <v>31634954.954954956</v>
      </c>
      <c r="O567">
        <v>67465747.747747749</v>
      </c>
      <c r="P567">
        <v>66582171.171171166</v>
      </c>
      <c r="Q567">
        <v>32966396.396396399</v>
      </c>
      <c r="R567">
        <v>30388558.558558561</v>
      </c>
      <c r="S567">
        <v>5974</v>
      </c>
      <c r="T567">
        <v>5684</v>
      </c>
    </row>
    <row r="568" spans="1:20" x14ac:dyDescent="0.35">
      <c r="A568" s="7" t="s">
        <v>660</v>
      </c>
      <c r="B568" s="12" t="s">
        <v>83</v>
      </c>
      <c r="C568">
        <v>162278578.31238809</v>
      </c>
      <c r="D568">
        <v>171871638.84603789</v>
      </c>
      <c r="E568">
        <v>480270.27027027099</v>
      </c>
      <c r="F568">
        <v>1140540.540540542</v>
      </c>
      <c r="G568">
        <v>40</v>
      </c>
      <c r="H568">
        <v>47</v>
      </c>
      <c r="I568">
        <v>2</v>
      </c>
      <c r="K568">
        <v>49</v>
      </c>
      <c r="L568">
        <v>56</v>
      </c>
      <c r="M568">
        <v>14015405.405405404</v>
      </c>
      <c r="N568">
        <v>38818918.918918923</v>
      </c>
      <c r="O568">
        <v>37908216.216216214</v>
      </c>
      <c r="P568">
        <v>44225603.603603601</v>
      </c>
      <c r="Q568">
        <v>12882792.792792792</v>
      </c>
      <c r="R568">
        <v>15539279.27927928</v>
      </c>
      <c r="S568">
        <v>8662</v>
      </c>
      <c r="T568">
        <v>9341</v>
      </c>
    </row>
    <row r="569" spans="1:20" x14ac:dyDescent="0.35">
      <c r="A569" s="14" t="s">
        <v>665</v>
      </c>
      <c r="B569" s="15"/>
      <c r="C569" s="16">
        <v>70214973027.414536</v>
      </c>
      <c r="D569" s="16">
        <v>68221081941.395256</v>
      </c>
      <c r="E569" s="16">
        <v>12001008896.396402</v>
      </c>
      <c r="F569" s="16">
        <v>12493793773.87388</v>
      </c>
      <c r="G569" s="16">
        <v>17546</v>
      </c>
      <c r="H569" s="16">
        <v>17754</v>
      </c>
      <c r="I569" s="16">
        <v>177</v>
      </c>
      <c r="J569" s="16"/>
      <c r="K569" s="16">
        <v>23668</v>
      </c>
      <c r="L569" s="16">
        <v>27006</v>
      </c>
      <c r="M569" s="16">
        <v>11497650647.747751</v>
      </c>
      <c r="N569" s="16">
        <v>11076654640.540548</v>
      </c>
      <c r="O569" s="16">
        <v>18349490010.810818</v>
      </c>
      <c r="P569" s="16">
        <v>19215753692.342327</v>
      </c>
      <c r="Q569" s="16">
        <v>9816834266.6666679</v>
      </c>
      <c r="R569" s="16">
        <v>9700111565.76577</v>
      </c>
      <c r="S569" s="16">
        <v>3708851</v>
      </c>
      <c r="T569" s="16">
        <v>3724516</v>
      </c>
    </row>
    <row r="570" spans="1:20" x14ac:dyDescent="0.35">
      <c r="A570" s="7" t="s">
        <v>659</v>
      </c>
      <c r="B570" s="12" t="s">
        <v>50</v>
      </c>
      <c r="C570">
        <v>114045865.65448868</v>
      </c>
      <c r="D570">
        <v>109535305.16254662</v>
      </c>
      <c r="E570">
        <v>247477.47747747801</v>
      </c>
      <c r="F570">
        <v>188288.28828829099</v>
      </c>
      <c r="G570">
        <v>9</v>
      </c>
      <c r="H570">
        <v>12</v>
      </c>
      <c r="K570">
        <v>12</v>
      </c>
      <c r="L570">
        <v>25</v>
      </c>
      <c r="M570">
        <v>31606846.846846849</v>
      </c>
      <c r="N570">
        <v>28037297.297297295</v>
      </c>
      <c r="O570">
        <v>53046216.216216214</v>
      </c>
      <c r="P570">
        <v>50948144.144144148</v>
      </c>
      <c r="Q570">
        <v>28000900.900900904</v>
      </c>
      <c r="R570">
        <v>21749459.459459461</v>
      </c>
      <c r="S570">
        <v>5869</v>
      </c>
      <c r="T570">
        <v>5797</v>
      </c>
    </row>
    <row r="571" spans="1:20" x14ac:dyDescent="0.35">
      <c r="A571" s="7" t="s">
        <v>660</v>
      </c>
      <c r="B571" s="12" t="s">
        <v>83</v>
      </c>
      <c r="C571">
        <v>129423295.5094423</v>
      </c>
      <c r="D571">
        <v>137118044.1253657</v>
      </c>
      <c r="E571">
        <v>9119009.0090090074</v>
      </c>
      <c r="F571">
        <v>933333.33333333395</v>
      </c>
      <c r="G571">
        <v>32</v>
      </c>
      <c r="H571">
        <v>35</v>
      </c>
      <c r="I571">
        <v>2</v>
      </c>
      <c r="K571">
        <v>38</v>
      </c>
      <c r="L571">
        <v>44</v>
      </c>
      <c r="M571">
        <v>10952342.342342339</v>
      </c>
      <c r="N571">
        <v>38442792.79279279</v>
      </c>
      <c r="O571">
        <v>30253756.756756756</v>
      </c>
      <c r="P571">
        <v>35648090.090090089</v>
      </c>
      <c r="Q571">
        <v>9273873.8738738727</v>
      </c>
      <c r="R571">
        <v>12243153.153153157</v>
      </c>
      <c r="S571">
        <v>8593</v>
      </c>
      <c r="T571">
        <v>9482</v>
      </c>
    </row>
    <row r="572" spans="1:20" x14ac:dyDescent="0.35">
      <c r="A572" s="14" t="s">
        <v>665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665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665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2026-09-11T06:50:23Z</dcterms:modified>
</cp:coreProperties>
</file>