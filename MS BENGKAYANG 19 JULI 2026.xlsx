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W11" i="1" s="1"/>
  <c r="V12" i="1"/>
  <c r="V13" i="1"/>
  <c r="W13" i="1" s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W9" i="1" s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7" i="1"/>
  <c r="W8" i="1"/>
  <c r="W6" i="1" l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<sst xmlns="http://schemas.openxmlformats.org/spreadsheetml/2006/main" count="1238" uniqueCount="674">
  <si>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</si>
  <si>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</si>
  <si>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</si>
  <si>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</si>
  <si>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</si>
  <si>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</si>
  <si>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</si>
  <si>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</si>
  <si>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</si>
  <si>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</si>
  <si>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</si>
  <si>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</si>
  <si>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</si>
  <si>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</si>
  <si>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</si>
  <si>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</si>
  <si>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</si>
  <si>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</si>
  <si>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</si>
  <si>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</si>
  <si>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</si>
  <si>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</si>
  <si>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</si>
  <si>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</si>
  <si>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</si>
  <si>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</si>
  <si>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</si>
  <si>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</si>
  <si>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</si>
  <si>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</si>
  <si>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</si>
  <si>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</si>
  <si>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</si>
  <si>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</si>
  <si>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</si>
  <si>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</si>
  <si>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</si>
  <si>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</si>
  <si>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</si>
  <si>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</si>
  <si>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</si>
  <si>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</si>
  <si>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</si>
  <si>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</si>
  <si>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</si>
  <si>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</si>
  <si>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</si>
  <si>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</si>
  <si>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</si>
  <si>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</si>
  <si>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</si>
  <si>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</si>
  <si>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</si>
  <si>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</si>
  <si>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</si>
  <si>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</si>
  <si>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</si>
  <si>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</si>
  <si>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</si>
  <si>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</si>
  <si>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</si>
  <si>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</si>
  <si>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</si>
  <si>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</si>
  <si>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</si>
  <si>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</si>
  <si>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</si>
  <si>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</si>
  <si>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</si>
  <si>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</si>
  <si>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</si>
  <si>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</si>
  <si>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</si>
  <si>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</si>
  <si>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</si>
  <si>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</si>
  <si>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</si>
  <si>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</si>
  <si>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</si>
  <si>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</si>
  <si>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</si>
  <si>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</si>
  <si>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</si>
  <si>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</si>
  <si>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</si>
  <si>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</si>
  <si>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</si>
  <si>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</si>
  <si>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</si>
  <si>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</si>
  <si>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</si>
  <si>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</si>
  <si>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</si>
  <si>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</si>
  <si>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</si>
  <si>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</si>
  <si>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</si>
  <si>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</si>
  <si>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</si>
  <si>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</si>
  <si>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</si>
  <si>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</si>
  <si>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</si>
  <si>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</si>
  <si>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</si>
  <si>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</si>
  <si>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</si>
  <si>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</si>
  <si>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</si>
  <si>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</si>
  <si>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</si>
  <si>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</si>
  <si>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</si>
  <si>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</si>
  <si>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</si>
  <si>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</si>
  <si>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</si>
  <si>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</si>
  <si>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</si>
  <si>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</si>
  <si>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</si>
  <si>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</si>
  <si>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</si>
  <si>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</si>
  <si>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</si>
  <si>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</si>
  <si>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</si>
  <si>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</si>
  <si>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</si>
  <si>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</si>
  <si>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</si>
  <si>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</si>
  <si>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</si>
  <si>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</si>
  <si>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</si>
  <si>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</si>
  <si>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</si>
  <si>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</si>
  <si>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</si>
  <si>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</si>
  <si>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</si>
  <si>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</si>
  <si>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</si>
  <si>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</si>
  <si>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</si>
  <si>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</si>
  <si>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</si>
  <si>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</si>
  <si>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</si>
  <si>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</si>
  <si>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</si>
  <si>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</si>
  <si>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</si>
  <si>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</si>
  <si>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</si>
  <si>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</si>
  <si>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</si>
  <si>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</si>
  <si>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</si>
  <si>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</si>
  <si>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</si>
  <si>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</si>
  <si>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</si>
  <si>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</si>
  <si>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</si>
  <si>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</si>
  <si>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</si>
  <si>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</si>
  <si>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</si>
  <si>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</si>
  <si>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</si>
  <si>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</si>
  <si>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</si>
  <si>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</si>
  <si>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</si>
  <si>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</si>
  <si>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</si>
  <si>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</si>
  <si>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</si>
  <si>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</si>
  <si>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</si>
  <si>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</si>
  <si>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</si>
  <si>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</si>
  <si>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</si>
  <si>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</si>
  <si>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</si>
  <si>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</si>
  <si>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</si>
  <si>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</si>
  <si>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</si>
  <si>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</si>
  <si>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</si>
  <si>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</si>
  <si>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</si>
  <si>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</si>
  <si>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</si>
  <si>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</si>
  <si>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</si>
  <si>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</si>
  <si>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</si>
  <si>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</si>
  <si>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</si>
  <si>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</si>
  <si>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</si>
  <si>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</si>
  <si>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</si>
  <si>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</si>
  <si>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</si>
  <si>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</si>
  <si>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</si>
  <si>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</si>
  <si>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</si>
  <si>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</si>
  <si>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</si>
  <si>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</si>
  <si>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</si>
  <si>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</si>
  <si>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</si>
  <si>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</si>
  <si>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</si>
  <si>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</si>
  <si>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</si>
  <si>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</si>
  <si>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</si>
  <si>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</si>
  <si>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</si>
  <si>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</si>
  <si>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</si>
  <si>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</si>
  <si>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</si>
  <si>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</si>
  <si>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</si>
  <si>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</si>
  <si>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</si>
  <si>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</si>
  <si>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</si>
  <si>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</si>
  <si>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</si>
  <si>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</si>
  <si>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</si>
  <si>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</si>
  <si>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</si>
  <si>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</si>
  <si>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</si>
  <si>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</si>
  <si>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</si>
  <si>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</si>
  <si>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</si>
  <si>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</si>
  <si>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</si>
  <si>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</si>
  <si>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</si>
  <si>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</si>
  <si>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</si>
  <si>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</si>
  <si>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</si>
  <si>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</si>
  <si>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</si>
  <si>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</si>
  <si>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</si>
  <si>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</si>
  <si>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</si>
  <si>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</si>
  <si>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</si>
  <si>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</si>
  <si>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</si>
  <si>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</si>
  <si>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</si>
  <si>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</si>
  <si>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</si>
  <si>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</si>
  <si>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</si>
  <si>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</si>
  <si>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</si>
  <si>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</si>
  <si>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</si>
  <si>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</si>
  <si>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</si>
  <si>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</si>
  <si>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</si>
  <si>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</si>
  <si>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</si>
  <si>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</si>
  <si>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</si>
  <si>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</si>
  <si>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</si>
  <si>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</si>
  <si>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</si>
  <si>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</si>
  <si>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</si>
  <si>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</si>
  <si>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</si>
  <si>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</si>
  <si>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</si>
  <si>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</si>
  <si>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</si>
  <si>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</si>
  <si>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</si>
  <si>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</si>
  <si>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</si>
  <si>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</si>
  <si>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</si>
  <si>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</si>
  <si>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</si>
  <si>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</si>
  <si>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</si>
  <si>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</si>
  <si>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</si>
  <si>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</si>
  <si>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</si>
  <si>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</si>
  <si>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</si>
  <si>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</si>
  <si>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</si>
  <si>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</si>
  <si>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</si>
  <si>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</si>
  <si>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</si>
  <si>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</si>
  <si>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</si>
  <si>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</si>
  <si>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</si>
  <si>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</si>
  <si>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</si>
  <si>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</si>
  <si>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</si>
  <si>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</si>
  <si>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</si>
  <si>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</si>
  <si>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</si>
  <si>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</si>
  <si>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</si>
  <si>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</si>
  <si>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</si>
  <si>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</si>
  <si>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</si>
  <si>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</si>
  <si>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</si>
  <si>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</si>
  <si>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</si>
  <si>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</si>
  <si>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</si>
  <si>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</si>
  <si>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</si>
  <si>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</si>
  <si>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</si>
  <si>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</si>
  <si>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</si>
  <si>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</si>
  <si>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</si>
  <si>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</si>
  <si>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</si>
  <si>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</si>
  <si>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</si>
  <si>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</si>
  <si>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</si>
  <si>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</si>
  <si>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</si>
  <si>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</si>
  <si>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</si>
  <si>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</si>
  <si>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</si>
  <si>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</si>
  <si>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</si>
  <si>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</si>
  <si>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</si>
  <si>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</si>
  <si>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</si>
  <si>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</si>
  <si>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</si>
  <si>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</si>
  <si>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</si>
  <si>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</si>
  <si>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</si>
  <si>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</si>
  <si>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</si>
  <si>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</si>
  <si>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</si>
  <si>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</si>
  <si>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</si>
  <si>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</si>
  <si>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</si>
  <si>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</si>
  <si>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</si>
  <si>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</si>
  <si>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</si>
  <si>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</si>
  <si>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</si>
  <si>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</si>
  <si>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</si>
  <si>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</si>
  <si>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</si>
  <si>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</si>
  <si>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</si>
  <si>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</si>
  <si>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</si>
  <si>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</si>
  <si>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</si>
  <si>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</si>
  <si>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</si>
  <si>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</si>
  <si>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</si>
  <si>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</si>
  <si>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</si>
  <si>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</si>
  <si>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</si>
  <si>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</si>
  <si>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</si>
  <si>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</si>
  <si>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</si>
  <si>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</si>
  <si>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</si>
  <si>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</si>
  <si>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</si>
  <si>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</si>
  <si>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</si>
  <si>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</si>
  <si>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</si>
  <si>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</si>
  <si>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</si>
  <si>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</si>
  <si>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</si>
  <si>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</si>
  <si>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</si>
  <si>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</si>
  <si>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</si>
  <si>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</si>
  <si>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</si>
  <si>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</si>
  <si>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</si>
  <si>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</si>
  <si>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</si>
  <si>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</si>
  <si>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</si>
  <si>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</si>
  <si>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</si>
  <si>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</si>
  <si>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</si>
  <si>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</si>
  <si>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</si>
  <si>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</si>
  <si>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</si>
  <si>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</si>
  <si>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</si>
  <si>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</si>
  <si>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</si>
  <si>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</si>
  <si>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</si>
  <si>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</si>
  <si>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</si>
  <si>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</si>
  <si>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</si>
  <si>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</si>
  <si>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</si>
  <si>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</si>
  <si>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</si>
  <si>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</si>
  <si>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</si>
  <si>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</si>
  <si>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</si>
  <si>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</si>
  <si>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</si>
  <si>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</si>
  <si>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</si>
  <si>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</si>
  <si>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</si>
  <si>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</si>
  <si>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</si>
  <si>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</si>
  <si>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</si>
  <si>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</si>
  <si>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</si>
  <si>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</si>
  <si>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</si>
  <si>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</si>
  <si>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</si>
  <si>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</si>
  <si>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</si>
  <si>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</si>
  <si>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</si>
  <si>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</si>
  <si>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</si>
  <si>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</si>
  <si>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</si>
  <si>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</si>
  <si>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</si>
  <si>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</si>
  <si>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</si>
  <si>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</si>
  <si>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</si>
  <si>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</si>
  <si>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</si>
  <si>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</si>
  <si>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</si>
  <si>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</si>
  <si>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</si>
  <si>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</si>
  <si>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</si>
  <si>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</si>
  <si>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</si>
  <si>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</si>
  <si>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</si>
  <si>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</si>
  <si>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</si>
  <si>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</si>
  <si>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</si>
  <si>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</si>
  <si>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</si>
  <si>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</si>
  <si>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</si>
  <si>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</si>
  <si>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</si>
  <si>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</si>
  <si>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</si>
  <si>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</si>
  <si>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</si>
  <si>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</si>
  <si>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</si>
  <si>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</si>
  <si>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</si>
  <si>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</si>
  <si>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</si>
  <si>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</si>
  <si>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</si>
  <si>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</si>
  <si>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</si>
  <si>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</si>
  <si>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</si>
  <si>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</si>
  <si>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</si>
  <si>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</si>
  <si>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</si>
  <si>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</si>
  <si>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</si>
  <si>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</si>
  <si>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</si>
  <si>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</si>
  <si>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</si>
  <si>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</si>
  <si>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</si>
  <si>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</si>
  <si>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</si>
  <si>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</si>
  <si>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</si>
  <si>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</si>
  <si>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</si>
  <si>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</si>
  <si>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</si>
  <si>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</si>
  <si>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</si>
  <si>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</si>
  <si>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</si>
  <si>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</si>
  <si>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</si>
  <si>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</si>
  <si>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</si>
  <si>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</si>
  <si>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</si>
  <si>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</si>
  <si>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</si>
  <si>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</si>
  <si>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</si>
  <si>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</si>
  <si>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</si>
  <si>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</si>
  <si>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</si>
  <si>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</si>
  <si>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</si>
  <si>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</si>
  <si>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</si>
  <si>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</si>
  <si>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</si>
  <si>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</si>
  <si>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</si>
  <si>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</si>
  <si>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</si>
  <si>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</si>
  <si>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</si>
  <si>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</si>
  <si>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</si>
  <si>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</si>
  <si>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</si>
  <si>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</si>
  <si>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</si>
  <si>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</si>
  <si>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</si>
  <si>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</si>
  <si>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</si>
  <si>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</si>
  <si>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</si>
  <si>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</si>
  <si>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</si>
  <si>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</si>
  <si>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</si>
  <si>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</si>
  <si>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</si>
  <si>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</si>
  <si>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</si>
  <si>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</si>
  <si>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</si>
  <si>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</si>
  <si>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</si>
  <si>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</si>
  <si>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</si>
  <si>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</si>
  <si>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</si>
  <si>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</si>
  <si>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</si>
  <si>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</si>
  <si>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</si>
  <si>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</si>
  <si>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</si>
  <si>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</si>
  <si>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</si>
  <si>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</si>
  <si>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</si>
  <si>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</si>
  <si>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</si>
  <si>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</si>
  <si>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</si>
  <si>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</si>
  <si>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</si>
  <si>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</si>
  <si>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</si>
  <si>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</si>
  <si>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</si>
  <si>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</si>
  <si>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</si>
  <si>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</si>
  <si>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</si>
  <si>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</si>
  <si>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</si>
  <si>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</si>
  <si>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</si>
  <si>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</si>
  <si>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</si>
  <si>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</si>
  <si>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</si>
  <si>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</si>
  <si>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</si>
  <si>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</si>
  <si>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</si>
  <si>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</si>
  <si>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</si>
  <si>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</si>
  <si>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</si>
  <si>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</si>
  <si>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</si>
  <si>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</si>
  <si>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</si>
  <si>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</si>
  <si>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</si>
  <si>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</si>
  <si>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</si>
  <si>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</si>
  <si>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</si>
  <si>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</si>
  <si>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</si>
  <si>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</si>
  <si>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</si>
  <si>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</si>
  <si>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</si>
  <si>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</si>
  <si>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MURUK RIAN|TANA TIDUNG</t>
  </si>
  <si>
    <t>RGUGA TRADE MTD</t>
  </si>
  <si>
    <t>RGUGA TRADE LMTD</t>
  </si>
  <si>
    <t>DAHA BARAT|HULU SUNGAI SELATAN</t>
  </si>
  <si>
    <t>KATINGAN HULU|KATINGAN</t>
  </si>
  <si>
    <t>KAYAN HULU|MALINAU</t>
  </si>
  <si>
    <t>MARATUA|BERAU</t>
  </si>
  <si>
    <t>PETAK MALAI|KATINGAN</t>
  </si>
  <si>
    <t>PINOH SELATAN|MELAWI</t>
  </si>
  <si>
    <t>SUMBER BARITO|MURUNG RAYA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</si>
</sst>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P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665</v>
      </c>
      <c r="V5" s="3" t="s">
        <v>666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465905294.21890908</v>
      </c>
      <c r="D6" s="4">
        <f>IFERROR(VLOOKUP($A:$A,MASTER!$A:$T,4,0),0)</f>
        <v>463283811.68199193</v>
      </c>
      <c r="E6" s="9">
        <f>IFERROR(C6/D6-1,0)</f>
        <v>5.6584807645223556E-3</v>
      </c>
      <c r="F6" s="4">
        <f>IFERROR(VLOOKUP(A:A,MASTER!A:E,5,0),0)</f>
        <v>3445945.9459459488</v>
      </c>
      <c r="G6" s="4">
        <f>IFERROR(VLOOKUP(A:A,MASTER!A:F,6,0),0)</f>
        <v>7259459.4594594603</v>
      </c>
      <c r="H6" s="9">
        <f>IFERROR(F6/G6-1,0)</f>
        <v>-0.52531645569620222</v>
      </c>
      <c r="I6" s="4">
        <f>IFERROR(VLOOKUP(A:A,MASTER!A:M,13,0),0)</f>
        <v>55123333.333333336</v>
      </c>
      <c r="J6" s="4">
        <f>IFERROR(VLOOKUP($A:$A,MASTER!$A:$T,14,0),0)</f>
        <v>100528378.37837839</v>
      </c>
      <c r="K6" s="9">
        <f>IFERROR(I6/J6-1,0)</f>
        <v>-0.45166395576525842</v>
      </c>
      <c r="L6" s="4">
        <f>IFERROR(VLOOKUP($A:$A,MASTER!$A:$T,15,0),0)</f>
        <v>221557009.00900903</v>
      </c>
      <c r="M6" s="4">
        <f>IFERROR(VLOOKUP($A:$A,MASTER!$A:$T,16,0),0)</f>
        <v>224718180.18018019</v>
      </c>
      <c r="N6" s="9">
        <f>IFERROR(L6/M6-1,0)</f>
        <v>-1.4067269362169621E-2</v>
      </c>
      <c r="O6" s="4">
        <f>IFERROR(VLOOKUP($A:$A,MASTER!$A:$T,17,0),0)</f>
        <v>52508558.558558561</v>
      </c>
      <c r="P6" s="4">
        <f>IFERROR(VLOOKUP($A:$A,MASTER!$A:$T,18,0),0)</f>
        <v>98196306.306306303</v>
      </c>
      <c r="Q6" s="9">
        <f>IFERROR(O6/P6-1,0)</f>
        <v>-0.46526951436679054</v>
      </c>
      <c r="R6" s="4">
        <f>IFERROR(VLOOKUP($A:$A,MASTER!$A:$T,19,0),0)</f>
        <v>9363</v>
      </c>
      <c r="S6" s="4">
        <f>IFERROR(VLOOKUP($A:$A,MASTER!$A:$T,20,0),0)</f>
        <v>8006</v>
      </c>
      <c r="T6" s="9">
        <f>IFERROR(R6/S6-1,0)</f>
        <v>0.16949787659255566</v>
      </c>
      <c r="U6" s="18">
        <f>IFERROR(VLOOKUP(A:A,MASTER!A:K,11,0),0)</f>
        <v>525</v>
      </c>
      <c r="V6" s="18">
        <f>IFERROR(VLOOKUP(A:A,MASTER!A:L,12,0),0)</f>
        <v>333</v>
      </c>
      <c r="W6" s="9">
        <f>IFERROR(U6/V6-1,0)</f>
        <v>0.57657657657657668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46764512.260022767</v>
      </c>
      <c r="D7" s="4">
        <f>IFERROR(VLOOKUP($A:$A,MASTER!$A:$T,4,0),0)</f>
        <v>28434988.600408819</v>
      </c>
      <c r="E7" s="9">
        <f t="shared" ref="E7:E22" si="0">IFERROR(C7/D7-1,0)</f>
        <v>0.64461160569448661</v>
      </c>
      <c r="F7" s="4">
        <f>IFERROR(VLOOKUP(A:A,MASTER!A:E,5,0),0)</f>
        <v>310810.81081081199</v>
      </c>
      <c r="G7" s="4">
        <f>IFERROR(VLOOKUP(A:A,MASTER!A:F,6,0),0)</f>
        <v>373873.87387387402</v>
      </c>
      <c r="H7" s="9">
        <f t="shared" ref="H7:H22" si="1">IFERROR(F7/G7-1,0)</f>
        <v>-0.16867469879517794</v>
      </c>
      <c r="I7" s="4">
        <f>IFERROR(VLOOKUP(A:A,MASTER!A:M,13,0),0)</f>
        <v>6662162.1621621633</v>
      </c>
      <c r="J7" s="4">
        <f>IFERROR(VLOOKUP($A:$A,MASTER!$A:$T,14,0),0)</f>
        <v>8391891.8918918911</v>
      </c>
      <c r="K7" s="9">
        <f t="shared" ref="K7:K22" si="2">IFERROR(I7/J7-1,0)</f>
        <v>-0.20611916264090158</v>
      </c>
      <c r="L7" s="4">
        <f>IFERROR(VLOOKUP($A:$A,MASTER!$A:$T,15,0),0)</f>
        <v>26209207.207207207</v>
      </c>
      <c r="M7" s="4">
        <f>IFERROR(VLOOKUP($A:$A,MASTER!$A:$T,16,0),0)</f>
        <v>17458909.909909911</v>
      </c>
      <c r="N7" s="9">
        <f t="shared" ref="N7:N22" si="3">IFERROR(L7/M7-1,0)</f>
        <v>0.50119379402550845</v>
      </c>
      <c r="O7" s="4">
        <f>IFERROR(VLOOKUP($A:$A,MASTER!$A:$T,17,0),0)</f>
        <v>6763063.0630630637</v>
      </c>
      <c r="P7" s="4">
        <f>IFERROR(VLOOKUP($A:$A,MASTER!$A:$T,18,0),0)</f>
        <v>8310360.3603603598</v>
      </c>
      <c r="Q7" s="9">
        <f t="shared" ref="Q7:Q22" si="4">IFERROR(O7/P7-1,0)</f>
        <v>-0.18618895333080376</v>
      </c>
      <c r="R7" s="4">
        <f>IFERROR(VLOOKUP($A:$A,MASTER!$A:$T,19,0),0)</f>
        <v>1303</v>
      </c>
      <c r="S7" s="4">
        <f>IFERROR(VLOOKUP($A:$A,MASTER!$A:$T,20,0),0)</f>
        <v>1122</v>
      </c>
      <c r="T7" s="9">
        <f t="shared" ref="T7:T22" si="5">IFERROR(R7/S7-1,0)</f>
        <v>0.16131907308377902</v>
      </c>
      <c r="U7" s="18">
        <f>IFERROR(VLOOKUP(A:A,MASTER!A:K,11,0),0)</f>
        <v>6</v>
      </c>
      <c r="V7" s="18">
        <f>IFERROR(VLOOKUP(A:A,MASTER!A:L,12,0),0)</f>
        <v>0</v>
      </c>
      <c r="W7" s="9">
        <f t="shared" ref="W7:W22" si="6">IFERROR(U7/V7-1,0)</f>
        <v>0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349031106.78019577</v>
      </c>
      <c r="D8" s="4">
        <f>IFERROR(VLOOKUP($A:$A,MASTER!$A:$T,4,0),0)</f>
        <v>310133093.33838075</v>
      </c>
      <c r="E8" s="9">
        <f t="shared" si="0"/>
        <v>0.1254236141751377</v>
      </c>
      <c r="F8" s="4">
        <f>IFERROR(VLOOKUP(A:A,MASTER!A:E,5,0),0)</f>
        <v>4836711.711711715</v>
      </c>
      <c r="G8" s="4">
        <f>IFERROR(VLOOKUP(A:A,MASTER!A:F,6,0),0)</f>
        <v>4087387.3873873879</v>
      </c>
      <c r="H8" s="9">
        <f t="shared" si="1"/>
        <v>0.18332598633458286</v>
      </c>
      <c r="I8" s="4">
        <f>IFERROR(VLOOKUP(A:A,MASTER!A:M,13,0),0)</f>
        <v>71794594.594594598</v>
      </c>
      <c r="J8" s="4">
        <f>IFERROR(VLOOKUP($A:$A,MASTER!$A:$T,14,0),0)</f>
        <v>96154054.054054052</v>
      </c>
      <c r="K8" s="9">
        <f t="shared" si="2"/>
        <v>-0.25333783062090676</v>
      </c>
      <c r="L8" s="4">
        <f>IFERROR(VLOOKUP($A:$A,MASTER!$A:$T,15,0),0)</f>
        <v>95333675.675675675</v>
      </c>
      <c r="M8" s="4">
        <f>IFERROR(VLOOKUP($A:$A,MASTER!$A:$T,16,0),0)</f>
        <v>89004963.963963971</v>
      </c>
      <c r="N8" s="9">
        <f t="shared" si="3"/>
        <v>7.1105154475137544E-2</v>
      </c>
      <c r="O8" s="4">
        <f>IFERROR(VLOOKUP($A:$A,MASTER!$A:$T,17,0),0)</f>
        <v>64784414.414414413</v>
      </c>
      <c r="P8" s="4">
        <f>IFERROR(VLOOKUP($A:$A,MASTER!$A:$T,18,0),0)</f>
        <v>89345945.945945948</v>
      </c>
      <c r="Q8" s="9">
        <f t="shared" si="4"/>
        <v>-0.27490370459999602</v>
      </c>
      <c r="R8" s="4">
        <f>IFERROR(VLOOKUP($A:$A,MASTER!$A:$T,19,0),0)</f>
        <v>3962</v>
      </c>
      <c r="S8" s="4">
        <f>IFERROR(VLOOKUP($A:$A,MASTER!$A:$T,20,0),0)</f>
        <v>3574</v>
      </c>
      <c r="T8" s="9">
        <f t="shared" si="5"/>
        <v>0.10856183547845544</v>
      </c>
      <c r="U8" s="18">
        <f>IFERROR(VLOOKUP(A:A,MASTER!A:K,11,0),0)</f>
        <v>61</v>
      </c>
      <c r="V8" s="18">
        <f>IFERROR(VLOOKUP(A:A,MASTER!A:L,12,0),0)</f>
        <v>66</v>
      </c>
      <c r="W8" s="9">
        <f t="shared" si="6"/>
        <v>-7.5757575757575801E-2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206819153.93967834</v>
      </c>
      <c r="D9" s="4">
        <f>IFERROR(VLOOKUP($A:$A,MASTER!$A:$T,4,0),0)</f>
        <v>199462944.76769054</v>
      </c>
      <c r="E9" s="9">
        <f t="shared" si="0"/>
        <v>3.6880079057066917E-2</v>
      </c>
      <c r="F9" s="4">
        <f>IFERROR(VLOOKUP(A:A,MASTER!A:E,5,0),0)</f>
        <v>3161261.2612612639</v>
      </c>
      <c r="G9" s="4">
        <f>IFERROR(VLOOKUP(A:A,MASTER!A:F,6,0),0)</f>
        <v>6254054.0540540544</v>
      </c>
      <c r="H9" s="9">
        <f t="shared" si="1"/>
        <v>-0.49452607317775821</v>
      </c>
      <c r="I9" s="4">
        <f>IFERROR(VLOOKUP(A:A,MASTER!A:M,13,0),0)</f>
        <v>33007207.207207207</v>
      </c>
      <c r="J9" s="4">
        <f>IFERROR(VLOOKUP($A:$A,MASTER!$A:$T,14,0),0)</f>
        <v>73787837.837837845</v>
      </c>
      <c r="K9" s="9">
        <f t="shared" si="2"/>
        <v>-0.55267415099292472</v>
      </c>
      <c r="L9" s="4">
        <f>IFERROR(VLOOKUP($A:$A,MASTER!$A:$T,15,0),0)</f>
        <v>73909441.441441447</v>
      </c>
      <c r="M9" s="4">
        <f>IFERROR(VLOOKUP($A:$A,MASTER!$A:$T,16,0),0)</f>
        <v>73404648.648648649</v>
      </c>
      <c r="N9" s="9">
        <f t="shared" si="3"/>
        <v>6.8768504731762103E-3</v>
      </c>
      <c r="O9" s="4">
        <f>IFERROR(VLOOKUP($A:$A,MASTER!$A:$T,17,0),0)</f>
        <v>41556126.126126125</v>
      </c>
      <c r="P9" s="4">
        <f>IFERROR(VLOOKUP($A:$A,MASTER!$A:$T,18,0),0)</f>
        <v>64161441.441441439</v>
      </c>
      <c r="Q9" s="9">
        <f t="shared" si="4"/>
        <v>-0.35231931838605324</v>
      </c>
      <c r="R9" s="4">
        <f>IFERROR(VLOOKUP($A:$A,MASTER!$A:$T,19,0),0)</f>
        <v>4304</v>
      </c>
      <c r="S9" s="4">
        <f>IFERROR(VLOOKUP($A:$A,MASTER!$A:$T,20,0),0)</f>
        <v>3545</v>
      </c>
      <c r="T9" s="9">
        <f t="shared" si="5"/>
        <v>0.21410437235543012</v>
      </c>
      <c r="U9" s="18">
        <f>IFERROR(VLOOKUP(A:A,MASTER!A:K,11,0),0)</f>
        <v>22</v>
      </c>
      <c r="V9" s="18">
        <f>IFERROR(VLOOKUP(A:A,MASTER!A:L,12,0),0)</f>
        <v>43</v>
      </c>
      <c r="W9" s="9">
        <f t="shared" si="6"/>
        <v>-0.48837209302325579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8">
        <f>IFERROR(VLOOKUP(A:A,MASTER!A:K,11,0),0)</f>
        <v>0</v>
      </c>
      <c r="V10" s="18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218819669.84899735</v>
      </c>
      <c r="D11" s="4">
        <f>IFERROR(VLOOKUP($A:$A,MASTER!$A:$T,4,0),0)</f>
        <v>223359105.36716664</v>
      </c>
      <c r="E11" s="9">
        <f t="shared" si="0"/>
        <v>-2.0323485405742359E-2</v>
      </c>
      <c r="F11" s="4">
        <f>IFERROR(VLOOKUP(A:A,MASTER!A:E,5,0),0)</f>
        <v>1099099.0990991001</v>
      </c>
      <c r="G11" s="4">
        <f>IFERROR(VLOOKUP(A:A,MASTER!A:F,6,0),0)</f>
        <v>151351.351351352</v>
      </c>
      <c r="H11" s="9">
        <f t="shared" si="1"/>
        <v>6.261904761904737</v>
      </c>
      <c r="I11" s="4">
        <f>IFERROR(VLOOKUP(A:A,MASTER!A:M,13,0),0)</f>
        <v>15196396.396396397</v>
      </c>
      <c r="J11" s="4">
        <f>IFERROR(VLOOKUP($A:$A,MASTER!$A:$T,14,0),0)</f>
        <v>40423648.648648649</v>
      </c>
      <c r="K11" s="9">
        <f t="shared" si="2"/>
        <v>-0.6240716287517899</v>
      </c>
      <c r="L11" s="4">
        <f>IFERROR(VLOOKUP($A:$A,MASTER!$A:$T,15,0),0)</f>
        <v>92876477.477477476</v>
      </c>
      <c r="M11" s="4">
        <f>IFERROR(VLOOKUP($A:$A,MASTER!$A:$T,16,0),0)</f>
        <v>94597342.342342332</v>
      </c>
      <c r="N11" s="9">
        <f t="shared" si="3"/>
        <v>-1.819147158106349E-2</v>
      </c>
      <c r="O11" s="4">
        <f>IFERROR(VLOOKUP($A:$A,MASTER!$A:$T,17,0),0)</f>
        <v>14188108.108108109</v>
      </c>
      <c r="P11" s="4">
        <f>IFERROR(VLOOKUP($A:$A,MASTER!$A:$T,18,0),0)</f>
        <v>38247252.252252258</v>
      </c>
      <c r="Q11" s="9">
        <f t="shared" si="4"/>
        <v>-0.62904242075919026</v>
      </c>
      <c r="R11" s="4">
        <f>IFERROR(VLOOKUP($A:$A,MASTER!$A:$T,19,0),0)</f>
        <v>3342</v>
      </c>
      <c r="S11" s="4">
        <f>IFERROR(VLOOKUP($A:$A,MASTER!$A:$T,20,0),0)</f>
        <v>3087</v>
      </c>
      <c r="T11" s="9">
        <f t="shared" si="5"/>
        <v>8.2604470359572302E-2</v>
      </c>
      <c r="U11" s="18">
        <f>IFERROR(VLOOKUP(A:A,MASTER!A:K,11,0),0)</f>
        <v>40</v>
      </c>
      <c r="V11" s="18">
        <f>IFERROR(VLOOKUP(A:A,MASTER!A:L,12,0),0)</f>
        <v>28</v>
      </c>
      <c r="W11" s="9">
        <f t="shared" si="6"/>
        <v>0.4285714285714286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802085273.86429095</v>
      </c>
      <c r="D12" s="4">
        <f>IFERROR(VLOOKUP($A:$A,MASTER!$A:$T,4,0),0)</f>
        <v>765087593.24241173</v>
      </c>
      <c r="E12" s="9">
        <f t="shared" si="0"/>
        <v>4.8357444230776814E-2</v>
      </c>
      <c r="F12" s="4">
        <f>IFERROR(VLOOKUP(A:A,MASTER!A:E,5,0),0)</f>
        <v>10413988.288288295</v>
      </c>
      <c r="G12" s="4">
        <f>IFERROR(VLOOKUP(A:A,MASTER!A:F,6,0),0)</f>
        <v>39327400.9009009</v>
      </c>
      <c r="H12" s="9">
        <f t="shared" si="1"/>
        <v>-0.73519764719438307</v>
      </c>
      <c r="I12" s="4">
        <f>IFERROR(VLOOKUP(A:A,MASTER!A:M,13,0),0)</f>
        <v>357263183.78378379</v>
      </c>
      <c r="J12" s="4">
        <f>IFERROR(VLOOKUP($A:$A,MASTER!$A:$T,14,0),0)</f>
        <v>541310914.41441441</v>
      </c>
      <c r="K12" s="9">
        <f t="shared" si="2"/>
        <v>-0.34000373118234994</v>
      </c>
      <c r="L12" s="4">
        <f>IFERROR(VLOOKUP($A:$A,MASTER!$A:$T,15,0),0)</f>
        <v>540433090.09009016</v>
      </c>
      <c r="M12" s="4">
        <f>IFERROR(VLOOKUP($A:$A,MASTER!$A:$T,16,0),0)</f>
        <v>528613387.38738739</v>
      </c>
      <c r="N12" s="9">
        <f t="shared" si="3"/>
        <v>2.2359824750410429E-2</v>
      </c>
      <c r="O12" s="4">
        <f>IFERROR(VLOOKUP($A:$A,MASTER!$A:$T,17,0),0)</f>
        <v>321065675.67567563</v>
      </c>
      <c r="P12" s="4">
        <f>IFERROR(VLOOKUP($A:$A,MASTER!$A:$T,18,0),0)</f>
        <v>508914864.86486489</v>
      </c>
      <c r="Q12" s="9">
        <f t="shared" si="4"/>
        <v>-0.3691171198920864</v>
      </c>
      <c r="R12" s="4">
        <f>IFERROR(VLOOKUP($A:$A,MASTER!$A:$T,19,0),0)</f>
        <v>14293</v>
      </c>
      <c r="S12" s="4">
        <f>IFERROR(VLOOKUP($A:$A,MASTER!$A:$T,20,0),0)</f>
        <v>13516</v>
      </c>
      <c r="T12" s="9">
        <f t="shared" si="5"/>
        <v>5.7487422314294268E-2</v>
      </c>
      <c r="U12" s="18">
        <f>IFERROR(VLOOKUP(A:A,MASTER!A:K,11,0),0)</f>
        <v>975</v>
      </c>
      <c r="V12" s="18">
        <f>IFERROR(VLOOKUP(A:A,MASTER!A:L,12,0),0)</f>
        <v>1317</v>
      </c>
      <c r="W12" s="9">
        <f t="shared" si="6"/>
        <v>-0.25968109339407741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186990081.78808588</v>
      </c>
      <c r="D13" s="4">
        <f>IFERROR(VLOOKUP($A:$A,MASTER!$A:$T,4,0),0)</f>
        <v>183334772.92148301</v>
      </c>
      <c r="E13" s="9">
        <f t="shared" si="0"/>
        <v>1.9937891805000607E-2</v>
      </c>
      <c r="F13" s="4">
        <f>IFERROR(VLOOKUP(A:A,MASTER!A:E,5,0),0)</f>
        <v>457657.65765765897</v>
      </c>
      <c r="G13" s="4">
        <f>IFERROR(VLOOKUP(A:A,MASTER!A:F,6,0),0)</f>
        <v>574774.77477477503</v>
      </c>
      <c r="H13" s="9">
        <f t="shared" si="1"/>
        <v>-0.20376175548589148</v>
      </c>
      <c r="I13" s="4">
        <f>IFERROR(VLOOKUP(A:A,MASTER!A:M,13,0),0)</f>
        <v>38869819.819819823</v>
      </c>
      <c r="J13" s="4">
        <f>IFERROR(VLOOKUP($A:$A,MASTER!$A:$T,14,0),0)</f>
        <v>59283783.783783786</v>
      </c>
      <c r="K13" s="9">
        <f t="shared" si="2"/>
        <v>-0.34434313502013525</v>
      </c>
      <c r="L13" s="4">
        <f>IFERROR(VLOOKUP($A:$A,MASTER!$A:$T,15,0),0)</f>
        <v>129879954.95495497</v>
      </c>
      <c r="M13" s="4">
        <f>IFERROR(VLOOKUP($A:$A,MASTER!$A:$T,16,0),0)</f>
        <v>122787540.54054055</v>
      </c>
      <c r="N13" s="9">
        <f t="shared" si="3"/>
        <v>5.7761678287486573E-2</v>
      </c>
      <c r="O13" s="4">
        <f>IFERROR(VLOOKUP($A:$A,MASTER!$A:$T,17,0),0)</f>
        <v>36896756.756756753</v>
      </c>
      <c r="P13" s="4">
        <f>IFERROR(VLOOKUP($A:$A,MASTER!$A:$T,18,0),0)</f>
        <v>60035315.315315314</v>
      </c>
      <c r="Q13" s="9">
        <f t="shared" si="4"/>
        <v>-0.38541579130601811</v>
      </c>
      <c r="R13" s="4">
        <f>IFERROR(VLOOKUP($A:$A,MASTER!$A:$T,19,0),0)</f>
        <v>5369</v>
      </c>
      <c r="S13" s="4">
        <f>IFERROR(VLOOKUP($A:$A,MASTER!$A:$T,20,0),0)</f>
        <v>4794</v>
      </c>
      <c r="T13" s="9">
        <f t="shared" si="5"/>
        <v>0.11994159365874002</v>
      </c>
      <c r="U13" s="18">
        <f>IFERROR(VLOOKUP(A:A,MASTER!A:K,11,0),0)</f>
        <v>75</v>
      </c>
      <c r="V13" s="18">
        <f>IFERROR(VLOOKUP(A:A,MASTER!A:L,12,0),0)</f>
        <v>58</v>
      </c>
      <c r="W13" s="9">
        <f t="shared" si="6"/>
        <v>0.2931034482758621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262602223.51215523</v>
      </c>
      <c r="D14" s="4">
        <f>IFERROR(VLOOKUP($A:$A,MASTER!$A:$T,4,0),0)</f>
        <v>262534511.81612736</v>
      </c>
      <c r="E14" s="9">
        <f t="shared" si="0"/>
        <v>2.5791540913799871E-4</v>
      </c>
      <c r="F14" s="4">
        <f>IFERROR(VLOOKUP(A:A,MASTER!A:E,5,0),0)</f>
        <v>5693693.6936936947</v>
      </c>
      <c r="G14" s="4">
        <f>IFERROR(VLOOKUP(A:A,MASTER!A:F,6,0),0)</f>
        <v>5261261.261261262</v>
      </c>
      <c r="H14" s="9">
        <f t="shared" si="1"/>
        <v>8.2191780821917915E-2</v>
      </c>
      <c r="I14" s="4">
        <f>IFERROR(VLOOKUP(A:A,MASTER!A:M,13,0),0)</f>
        <v>45001801.801801801</v>
      </c>
      <c r="J14" s="4">
        <f>IFERROR(VLOOKUP($A:$A,MASTER!$A:$T,14,0),0)</f>
        <v>49028378.378378384</v>
      </c>
      <c r="K14" s="9">
        <f t="shared" si="2"/>
        <v>-8.2127468004373427E-2</v>
      </c>
      <c r="L14" s="4">
        <f>IFERROR(VLOOKUP($A:$A,MASTER!$A:$T,15,0),0)</f>
        <v>77661774.774774775</v>
      </c>
      <c r="M14" s="4">
        <f>IFERROR(VLOOKUP($A:$A,MASTER!$A:$T,16,0),0)</f>
        <v>78360117.117117122</v>
      </c>
      <c r="N14" s="9">
        <f t="shared" si="3"/>
        <v>-8.9119614420509752E-3</v>
      </c>
      <c r="O14" s="4">
        <f>IFERROR(VLOOKUP($A:$A,MASTER!$A:$T,17,0),0)</f>
        <v>41715585.585585587</v>
      </c>
      <c r="P14" s="4">
        <f>IFERROR(VLOOKUP($A:$A,MASTER!$A:$T,18,0),0)</f>
        <v>43575315.315315314</v>
      </c>
      <c r="Q14" s="9">
        <f t="shared" si="4"/>
        <v>-4.2678514573504245E-2</v>
      </c>
      <c r="R14" s="4">
        <f>IFERROR(VLOOKUP($A:$A,MASTER!$A:$T,19,0),0)</f>
        <v>4287</v>
      </c>
      <c r="S14" s="4">
        <f>IFERROR(VLOOKUP($A:$A,MASTER!$A:$T,20,0),0)</f>
        <v>3529</v>
      </c>
      <c r="T14" s="9">
        <f t="shared" si="5"/>
        <v>0.21479172570133187</v>
      </c>
      <c r="U14" s="18">
        <f>IFERROR(VLOOKUP(A:A,MASTER!A:K,11,0),0)</f>
        <v>29</v>
      </c>
      <c r="V14" s="18">
        <f>IFERROR(VLOOKUP(A:A,MASTER!A:L,12,0),0)</f>
        <v>60</v>
      </c>
      <c r="W14" s="9">
        <f t="shared" si="6"/>
        <v>-0.51666666666666661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505917938.18955123</v>
      </c>
      <c r="D15" s="4">
        <f>IFERROR(VLOOKUP($A:$A,MASTER!$A:$T,4,0),0)</f>
        <v>480596720.7425977</v>
      </c>
      <c r="E15" s="9">
        <f t="shared" si="0"/>
        <v>5.2687037497526568E-2</v>
      </c>
      <c r="F15" s="4">
        <f>IFERROR(VLOOKUP(A:A,MASTER!A:E,5,0),0)</f>
        <v>13739057.657657661</v>
      </c>
      <c r="G15" s="4">
        <f>IFERROR(VLOOKUP(A:A,MASTER!A:F,6,0),0)</f>
        <v>10460973.873873876</v>
      </c>
      <c r="H15" s="9">
        <f t="shared" si="1"/>
        <v>0.31336315560167383</v>
      </c>
      <c r="I15" s="4">
        <f>IFERROR(VLOOKUP(A:A,MASTER!A:M,13,0),0)</f>
        <v>714869320.72072077</v>
      </c>
      <c r="J15" s="4">
        <f>IFERROR(VLOOKUP($A:$A,MASTER!$A:$T,14,0),0)</f>
        <v>698037235.13513505</v>
      </c>
      <c r="K15" s="9">
        <f t="shared" si="2"/>
        <v>2.4113449452774827E-2</v>
      </c>
      <c r="L15" s="4">
        <f>IFERROR(VLOOKUP($A:$A,MASTER!$A:$T,15,0),0)</f>
        <v>183004918.91891891</v>
      </c>
      <c r="M15" s="4">
        <f>IFERROR(VLOOKUP($A:$A,MASTER!$A:$T,16,0),0)</f>
        <v>175938403.6036036</v>
      </c>
      <c r="N15" s="9">
        <f t="shared" si="3"/>
        <v>4.01647120274915E-2</v>
      </c>
      <c r="O15" s="4">
        <f>IFERROR(VLOOKUP($A:$A,MASTER!$A:$T,17,0),0)</f>
        <v>623499279.27927923</v>
      </c>
      <c r="P15" s="4">
        <f>IFERROR(VLOOKUP($A:$A,MASTER!$A:$T,18,0),0)</f>
        <v>640624909.90990984</v>
      </c>
      <c r="Q15" s="9">
        <f t="shared" si="4"/>
        <v>-2.6732695475483403E-2</v>
      </c>
      <c r="R15" s="4">
        <f>IFERROR(VLOOKUP($A:$A,MASTER!$A:$T,19,0),0)</f>
        <v>8225</v>
      </c>
      <c r="S15" s="4">
        <f>IFERROR(VLOOKUP($A:$A,MASTER!$A:$T,20,0),0)</f>
        <v>7083</v>
      </c>
      <c r="T15" s="9">
        <f t="shared" si="5"/>
        <v>0.16123111675843571</v>
      </c>
      <c r="U15" s="18">
        <f>IFERROR(VLOOKUP(A:A,MASTER!A:K,11,0),0)</f>
        <v>89</v>
      </c>
      <c r="V15" s="18">
        <f>IFERROR(VLOOKUP(A:A,MASTER!A:L,12,0),0)</f>
        <v>139</v>
      </c>
      <c r="W15" s="9">
        <f t="shared" si="6"/>
        <v>-0.35971223021582732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8">
        <f>IFERROR(VLOOKUP(A:A,MASTER!A:K,11,0),0)</f>
        <v>0</v>
      </c>
      <c r="V16" s="18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212809991.18280357</v>
      </c>
      <c r="D17" s="4">
        <f>IFERROR(VLOOKUP($A:$A,MASTER!$A:$T,4,0),0)</f>
        <v>210192090.09296253</v>
      </c>
      <c r="E17" s="9">
        <f t="shared" si="0"/>
        <v>1.2454803074098519E-2</v>
      </c>
      <c r="F17" s="4">
        <f>IFERROR(VLOOKUP(A:A,MASTER!A:E,5,0),0)</f>
        <v>90720720.720720723</v>
      </c>
      <c r="G17" s="4">
        <f>IFERROR(VLOOKUP(A:A,MASTER!A:F,6,0),0)</f>
        <v>101306306.3063063</v>
      </c>
      <c r="H17" s="9">
        <f t="shared" si="1"/>
        <v>-0.10449088483770563</v>
      </c>
      <c r="I17" s="4">
        <f>IFERROR(VLOOKUP(A:A,MASTER!A:M,13,0),0)</f>
        <v>1489864.8648648651</v>
      </c>
      <c r="J17" s="4">
        <f>IFERROR(VLOOKUP($A:$A,MASTER!$A:$T,14,0),0)</f>
        <v>1424099.0990990989</v>
      </c>
      <c r="K17" s="9">
        <f t="shared" si="2"/>
        <v>4.6180610469714001E-2</v>
      </c>
      <c r="L17" s="4">
        <f>IFERROR(VLOOKUP($A:$A,MASTER!$A:$T,15,0),0)</f>
        <v>126906457.65765767</v>
      </c>
      <c r="M17" s="4">
        <f>IFERROR(VLOOKUP($A:$A,MASTER!$A:$T,16,0),0)</f>
        <v>124976495.49549548</v>
      </c>
      <c r="N17" s="9">
        <f t="shared" si="3"/>
        <v>1.5442601062787498E-2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4334</v>
      </c>
      <c r="S17" s="4">
        <f>IFERROR(VLOOKUP($A:$A,MASTER!$A:$T,20,0),0)</f>
        <v>3642</v>
      </c>
      <c r="T17" s="9">
        <f t="shared" si="5"/>
        <v>0.19000549148819323</v>
      </c>
      <c r="U17" s="18">
        <f>IFERROR(VLOOKUP(A:A,MASTER!A:K,11,0),0)</f>
        <v>32</v>
      </c>
      <c r="V17" s="18">
        <f>IFERROR(VLOOKUP(A:A,MASTER!A:L,12,0),0)</f>
        <v>27</v>
      </c>
      <c r="W17" s="9">
        <f t="shared" si="6"/>
        <v>0.18518518518518512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186072930.53448361</v>
      </c>
      <c r="D18" s="4">
        <f>IFERROR(VLOOKUP($A:$A,MASTER!$A:$T,4,0),0)</f>
        <v>172351993.54092339</v>
      </c>
      <c r="E18" s="9">
        <f t="shared" si="0"/>
        <v>7.9609969758210664E-2</v>
      </c>
      <c r="F18" s="4">
        <f>IFERROR(VLOOKUP(A:A,MASTER!A:E,5,0),0)</f>
        <v>313259906.3063063</v>
      </c>
      <c r="G18" s="4">
        <f>IFERROR(VLOOKUP(A:A,MASTER!A:F,6,0),0)</f>
        <v>348290429.72972971</v>
      </c>
      <c r="H18" s="9">
        <f t="shared" si="1"/>
        <v>-0.10057848402727221</v>
      </c>
      <c r="I18" s="4">
        <f>IFERROR(VLOOKUP(A:A,MASTER!A:M,13,0),0)</f>
        <v>15006306.306306308</v>
      </c>
      <c r="J18" s="4">
        <f>IFERROR(VLOOKUP($A:$A,MASTER!$A:$T,14,0),0)</f>
        <v>64009909.909909911</v>
      </c>
      <c r="K18" s="9">
        <f t="shared" si="2"/>
        <v>-0.7655627647745985</v>
      </c>
      <c r="L18" s="4">
        <f>IFERROR(VLOOKUP($A:$A,MASTER!$A:$T,15,0),0)</f>
        <v>62971110.360360362</v>
      </c>
      <c r="M18" s="4">
        <f>IFERROR(VLOOKUP($A:$A,MASTER!$A:$T,16,0),0)</f>
        <v>65808288.288288288</v>
      </c>
      <c r="N18" s="9">
        <f t="shared" si="3"/>
        <v>-4.3112775027653316E-2</v>
      </c>
      <c r="O18" s="4">
        <f>IFERROR(VLOOKUP($A:$A,MASTER!$A:$T,17,0),0)</f>
        <v>15703783.783783784</v>
      </c>
      <c r="P18" s="4">
        <f>IFERROR(VLOOKUP($A:$A,MASTER!$A:$T,18,0),0)</f>
        <v>22784504.504504506</v>
      </c>
      <c r="Q18" s="9">
        <f t="shared" si="4"/>
        <v>-0.31076913343982793</v>
      </c>
      <c r="R18" s="4">
        <f>IFERROR(VLOOKUP($A:$A,MASTER!$A:$T,19,0),0)</f>
        <v>6382</v>
      </c>
      <c r="S18" s="4">
        <f>IFERROR(VLOOKUP($A:$A,MASTER!$A:$T,20,0),0)</f>
        <v>3806</v>
      </c>
      <c r="T18" s="9">
        <f t="shared" si="5"/>
        <v>0.67682606410930113</v>
      </c>
      <c r="U18" s="18">
        <f>IFERROR(VLOOKUP(A:A,MASTER!A:K,11,0),0)</f>
        <v>49</v>
      </c>
      <c r="V18" s="18">
        <f>IFERROR(VLOOKUP(A:A,MASTER!A:L,12,0),0)</f>
        <v>42</v>
      </c>
      <c r="W18" s="9">
        <f t="shared" si="6"/>
        <v>0.16666666666666674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126547193.88730468</v>
      </c>
      <c r="D19" s="4">
        <f>IFERROR(VLOOKUP($A:$A,MASTER!$A:$T,4,0),0)</f>
        <v>112448266.23373733</v>
      </c>
      <c r="E19" s="9">
        <f t="shared" si="0"/>
        <v>0.12538145874353468</v>
      </c>
      <c r="F19" s="4">
        <f>IFERROR(VLOOKUP(A:A,MASTER!A:E,5,0),0)</f>
        <v>5449549.5495495489</v>
      </c>
      <c r="G19" s="4">
        <f>IFERROR(VLOOKUP(A:A,MASTER!A:F,6,0),0)</f>
        <v>719819.81981982104</v>
      </c>
      <c r="H19" s="9">
        <f t="shared" si="1"/>
        <v>6.5707133917396607</v>
      </c>
      <c r="I19" s="4">
        <f>IFERROR(VLOOKUP(A:A,MASTER!A:M,13,0),0)</f>
        <v>22656756.756756756</v>
      </c>
      <c r="J19" s="4">
        <f>IFERROR(VLOOKUP($A:$A,MASTER!$A:$T,14,0),0)</f>
        <v>10179279.27927928</v>
      </c>
      <c r="K19" s="9">
        <f t="shared" si="2"/>
        <v>1.2257721922294005</v>
      </c>
      <c r="L19" s="4">
        <f>IFERROR(VLOOKUP($A:$A,MASTER!$A:$T,15,0),0)</f>
        <v>49359477.477477483</v>
      </c>
      <c r="M19" s="4">
        <f>IFERROR(VLOOKUP($A:$A,MASTER!$A:$T,16,0),0)</f>
        <v>47820936.936936937</v>
      </c>
      <c r="N19" s="9">
        <f t="shared" si="3"/>
        <v>3.2172948484248121E-2</v>
      </c>
      <c r="O19" s="4">
        <f>IFERROR(VLOOKUP($A:$A,MASTER!$A:$T,17,0),0)</f>
        <v>26363243.243243244</v>
      </c>
      <c r="P19" s="4">
        <f>IFERROR(VLOOKUP($A:$A,MASTER!$A:$T,18,0),0)</f>
        <v>12044504.504504507</v>
      </c>
      <c r="Q19" s="9">
        <f t="shared" si="4"/>
        <v>1.1888192439451277</v>
      </c>
      <c r="R19" s="4">
        <f>IFERROR(VLOOKUP($A:$A,MASTER!$A:$T,19,0),0)</f>
        <v>5812</v>
      </c>
      <c r="S19" s="4">
        <f>IFERROR(VLOOKUP($A:$A,MASTER!$A:$T,20,0),0)</f>
        <v>2766</v>
      </c>
      <c r="T19" s="9">
        <f t="shared" si="5"/>
        <v>1.1012292118582789</v>
      </c>
      <c r="U19" s="18">
        <f>IFERROR(VLOOKUP(A:A,MASTER!A:K,11,0),0)</f>
        <v>22</v>
      </c>
      <c r="V19" s="18">
        <f>IFERROR(VLOOKUP(A:A,MASTER!A:L,12,0),0)</f>
        <v>25</v>
      </c>
      <c r="W19" s="9">
        <f t="shared" si="6"/>
        <v>-0.12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1179976097.2972975</v>
      </c>
      <c r="G20" s="4">
        <f>IFERROR(VLOOKUP(A:A,MASTER!A:F,6,0),0)</f>
        <v>1613487846.8468468</v>
      </c>
      <c r="H20" s="9">
        <f t="shared" si="1"/>
        <v>-0.26867989764951639</v>
      </c>
      <c r="I20" s="4">
        <f>IFERROR(VLOOKUP(A:A,MASTER!A:M,13,0),0)</f>
        <v>94273873.873873875</v>
      </c>
      <c r="J20" s="4">
        <f>IFERROR(VLOOKUP($A:$A,MASTER!$A:$T,14,0),0)</f>
        <v>103113063.06306306</v>
      </c>
      <c r="K20" s="9">
        <f t="shared" si="2"/>
        <v>-8.5723272363494862E-2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8">
        <f>IFERROR(VLOOKUP(A:A,MASTER!A:K,11,0),0)</f>
        <v>0</v>
      </c>
      <c r="V20" s="18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425990386.05065107</v>
      </c>
      <c r="D21" s="4">
        <f>IFERROR(VLOOKUP($A:$A,MASTER!$A:$T,4,0),0)</f>
        <v>403176479.18286675</v>
      </c>
      <c r="E21" s="9">
        <f t="shared" si="0"/>
        <v>5.6585411217495052E-2</v>
      </c>
      <c r="F21" s="4">
        <f>IFERROR(VLOOKUP(A:A,MASTER!A:E,5,0),0)</f>
        <v>4528828.8288288368</v>
      </c>
      <c r="G21" s="4">
        <f>IFERROR(VLOOKUP(A:A,MASTER!A:F,6,0),0)</f>
        <v>6459459.4594594631</v>
      </c>
      <c r="H21" s="9">
        <f t="shared" si="1"/>
        <v>-0.29888423988842316</v>
      </c>
      <c r="I21" s="4">
        <f>IFERROR(VLOOKUP(A:A,MASTER!A:M,13,0),0)</f>
        <v>101385810.81081082</v>
      </c>
      <c r="J21" s="4">
        <f>IFERROR(VLOOKUP($A:$A,MASTER!$A:$T,14,0),0)</f>
        <v>136371621.62162161</v>
      </c>
      <c r="K21" s="9">
        <f t="shared" si="2"/>
        <v>-0.25654758955556645</v>
      </c>
      <c r="L21" s="4">
        <f>IFERROR(VLOOKUP($A:$A,MASTER!$A:$T,15,0),0)</f>
        <v>246068063.06306309</v>
      </c>
      <c r="M21" s="4">
        <f>IFERROR(VLOOKUP($A:$A,MASTER!$A:$T,16,0),0)</f>
        <v>251600018.01801801</v>
      </c>
      <c r="N21" s="9">
        <f t="shared" si="3"/>
        <v>-2.1987100790107128E-2</v>
      </c>
      <c r="O21" s="4">
        <f>IFERROR(VLOOKUP($A:$A,MASTER!$A:$T,17,0),0)</f>
        <v>102991439.63963963</v>
      </c>
      <c r="P21" s="4">
        <f>IFERROR(VLOOKUP($A:$A,MASTER!$A:$T,18,0),0)</f>
        <v>140760090.0900901</v>
      </c>
      <c r="Q21" s="9">
        <f t="shared" si="4"/>
        <v>-0.26831931143463716</v>
      </c>
      <c r="R21" s="4">
        <f>IFERROR(VLOOKUP($A:$A,MASTER!$A:$T,19,0),0)</f>
        <v>9872</v>
      </c>
      <c r="S21" s="4">
        <f>IFERROR(VLOOKUP($A:$A,MASTER!$A:$T,20,0),0)</f>
        <v>7301</v>
      </c>
      <c r="T21" s="9">
        <f t="shared" si="5"/>
        <v>0.35214354198055053</v>
      </c>
      <c r="U21" s="18">
        <f>IFERROR(VLOOKUP(A:A,MASTER!A:K,11,0),0)</f>
        <v>335</v>
      </c>
      <c r="V21" s="18">
        <f>IFERROR(VLOOKUP(A:A,MASTER!A:L,12,0),0)</f>
        <v>843</v>
      </c>
      <c r="W21" s="9">
        <f t="shared" si="6"/>
        <v>-0.60260972716488737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215862561.79386717</v>
      </c>
      <c r="D22" s="4">
        <f>IFERROR(VLOOKUP($A:$A,MASTER!$A:$T,4,0),0)</f>
        <v>217452311.77853951</v>
      </c>
      <c r="E22" s="9">
        <f t="shared" si="0"/>
        <v>-7.3107982696059004E-3</v>
      </c>
      <c r="F22" s="4">
        <f>IFERROR(VLOOKUP(A:A,MASTER!A:E,5,0),0)</f>
        <v>1345945.945945946</v>
      </c>
      <c r="G22" s="4">
        <f>IFERROR(VLOOKUP(A:A,MASTER!A:F,6,0),0)</f>
        <v>861261.26126126305</v>
      </c>
      <c r="H22" s="9">
        <f t="shared" si="1"/>
        <v>0.56276150627614752</v>
      </c>
      <c r="I22" s="4">
        <f>IFERROR(VLOOKUP(A:A,MASTER!A:M,13,0),0)</f>
        <v>50199099.0990991</v>
      </c>
      <c r="J22" s="4">
        <f>IFERROR(VLOOKUP($A:$A,MASTER!$A:$T,14,0),0)</f>
        <v>33084234.234234232</v>
      </c>
      <c r="K22" s="9">
        <f t="shared" si="2"/>
        <v>0.51731180306887969</v>
      </c>
      <c r="L22" s="4">
        <f>IFERROR(VLOOKUP($A:$A,MASTER!$A:$T,15,0),0)</f>
        <v>72482747.747747749</v>
      </c>
      <c r="M22" s="4">
        <f>IFERROR(VLOOKUP($A:$A,MASTER!$A:$T,16,0),0)</f>
        <v>75670576.576576576</v>
      </c>
      <c r="N22" s="9">
        <f t="shared" si="3"/>
        <v>-4.2127719558246346E-2</v>
      </c>
      <c r="O22" s="4">
        <f>IFERROR(VLOOKUP($A:$A,MASTER!$A:$T,17,0),0)</f>
        <v>46376036.036036029</v>
      </c>
      <c r="P22" s="4">
        <f>IFERROR(VLOOKUP($A:$A,MASTER!$A:$T,18,0),0)</f>
        <v>29618108.108108107</v>
      </c>
      <c r="Q22" s="9">
        <f t="shared" si="4"/>
        <v>0.56580007969315083</v>
      </c>
      <c r="R22" s="4">
        <f>IFERROR(VLOOKUP($A:$A,MASTER!$A:$T,19,0),0)</f>
        <v>4122</v>
      </c>
      <c r="S22" s="4">
        <f>IFERROR(VLOOKUP($A:$A,MASTER!$A:$T,20,0),0)</f>
        <v>3918</v>
      </c>
      <c r="T22" s="9">
        <f t="shared" si="5"/>
        <v>5.2067381316998507E-2</v>
      </c>
      <c r="U22" s="18">
        <f>IFERROR(VLOOKUP(A:A,MASTER!A:K,11,0),0)</f>
        <v>34</v>
      </c>
      <c r="V22" s="18">
        <f>IFERROR(VLOOKUP(A:A,MASTER!A:L,12,0),0)</f>
        <v>34</v>
      </c>
      <c r="W22" s="9">
        <f t="shared" si="6"/>
        <v>0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A3" sqref="A3:T569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23.1796875" bestFit="1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676039299.61131322</v>
      </c>
      <c r="D4">
        <v>714330181.44777536</v>
      </c>
      <c r="E4">
        <v>107849099.0990991</v>
      </c>
      <c r="F4">
        <v>59212612.612612613</v>
      </c>
      <c r="G4">
        <v>99</v>
      </c>
      <c r="H4">
        <v>30</v>
      </c>
      <c r="K4">
        <v>189</v>
      </c>
      <c r="L4">
        <v>55</v>
      </c>
      <c r="M4">
        <v>63795045.045045041</v>
      </c>
      <c r="N4">
        <v>45010360.360360362</v>
      </c>
      <c r="O4">
        <v>85674971.171171173</v>
      </c>
      <c r="P4">
        <v>99789628.828828827</v>
      </c>
      <c r="Q4">
        <v>60122432.432432435</v>
      </c>
      <c r="R4">
        <v>34141981.981981978</v>
      </c>
      <c r="S4">
        <v>8880</v>
      </c>
      <c r="T4">
        <v>8745</v>
      </c>
    </row>
    <row r="5" spans="1:20" x14ac:dyDescent="0.35">
      <c r="A5" s="7" t="s">
        <v>50</v>
      </c>
      <c r="B5" s="12" t="s">
        <v>51</v>
      </c>
      <c r="C5">
        <v>1020473756.0444678</v>
      </c>
      <c r="D5">
        <v>1057066497.7472475</v>
      </c>
      <c r="E5">
        <v>17536936.936936945</v>
      </c>
      <c r="F5">
        <v>13173669.36936938</v>
      </c>
      <c r="G5">
        <v>1000</v>
      </c>
      <c r="H5">
        <v>536</v>
      </c>
      <c r="I5">
        <v>2</v>
      </c>
      <c r="K5">
        <v>1392</v>
      </c>
      <c r="L5">
        <v>887</v>
      </c>
      <c r="M5">
        <v>325253513.51351357</v>
      </c>
      <c r="N5">
        <v>297852747.74774778</v>
      </c>
      <c r="O5">
        <v>323718765.76576579</v>
      </c>
      <c r="P5">
        <v>341869252.25225222</v>
      </c>
      <c r="Q5">
        <v>313045945.94594592</v>
      </c>
      <c r="R5">
        <v>291685855.85585588</v>
      </c>
      <c r="S5">
        <v>24729</v>
      </c>
      <c r="T5">
        <v>20044</v>
      </c>
    </row>
    <row r="6" spans="1:20" x14ac:dyDescent="0.35">
      <c r="A6" s="7" t="s">
        <v>52</v>
      </c>
      <c r="B6" s="12" t="s">
        <v>53</v>
      </c>
      <c r="C6">
        <v>258075418.6951035</v>
      </c>
      <c r="D6">
        <v>269423893.77546608</v>
      </c>
      <c r="E6">
        <v>7453153.153153155</v>
      </c>
      <c r="F6">
        <v>5352702.7027027039</v>
      </c>
      <c r="G6">
        <v>136</v>
      </c>
      <c r="H6">
        <v>137</v>
      </c>
      <c r="I6">
        <v>1</v>
      </c>
      <c r="K6">
        <v>199</v>
      </c>
      <c r="L6">
        <v>170</v>
      </c>
      <c r="M6">
        <v>73480990.990990996</v>
      </c>
      <c r="N6">
        <v>44678648.648648649</v>
      </c>
      <c r="O6">
        <v>85608621.621621609</v>
      </c>
      <c r="P6">
        <v>89768828.828828827</v>
      </c>
      <c r="Q6">
        <v>63855495.495495506</v>
      </c>
      <c r="R6">
        <v>41655405.40540541</v>
      </c>
      <c r="S6">
        <v>5379</v>
      </c>
      <c r="T6">
        <v>4575</v>
      </c>
    </row>
    <row r="7" spans="1:20" x14ac:dyDescent="0.35">
      <c r="A7" s="7" t="s">
        <v>54</v>
      </c>
      <c r="B7" s="12" t="s">
        <v>55</v>
      </c>
      <c r="C7">
        <v>139420314.44380271</v>
      </c>
      <c r="D7">
        <v>129860866.17274399</v>
      </c>
      <c r="E7">
        <v>2693468.4684684728</v>
      </c>
      <c r="F7">
        <v>2968468.4684684719</v>
      </c>
      <c r="G7">
        <v>40</v>
      </c>
      <c r="H7">
        <v>69</v>
      </c>
      <c r="K7">
        <v>89</v>
      </c>
      <c r="L7">
        <v>117</v>
      </c>
      <c r="M7">
        <v>16585315.315315315</v>
      </c>
      <c r="N7">
        <v>20408918.918918919</v>
      </c>
      <c r="O7">
        <v>43987245.495495498</v>
      </c>
      <c r="P7">
        <v>43027513.513513513</v>
      </c>
      <c r="Q7">
        <v>16085945.945945948</v>
      </c>
      <c r="R7">
        <v>19940090.090090089</v>
      </c>
      <c r="S7">
        <v>5532</v>
      </c>
      <c r="T7">
        <v>3895</v>
      </c>
    </row>
    <row r="8" spans="1:20" x14ac:dyDescent="0.35">
      <c r="A8" s="7" t="s">
        <v>56</v>
      </c>
      <c r="B8" s="12" t="s">
        <v>55</v>
      </c>
      <c r="C8">
        <v>229384644.36124417</v>
      </c>
      <c r="D8">
        <v>242193476.38794708</v>
      </c>
      <c r="E8">
        <v>4750000.0000000019</v>
      </c>
      <c r="F8">
        <v>5779729.7297297344</v>
      </c>
      <c r="G8">
        <v>250</v>
      </c>
      <c r="H8">
        <v>113</v>
      </c>
      <c r="K8">
        <v>684</v>
      </c>
      <c r="L8">
        <v>469</v>
      </c>
      <c r="M8">
        <v>93003783.783783793</v>
      </c>
      <c r="N8">
        <v>147388648.64864865</v>
      </c>
      <c r="O8">
        <v>65432333.333333336</v>
      </c>
      <c r="P8">
        <v>75359133.333333328</v>
      </c>
      <c r="Q8">
        <v>82369549.54954955</v>
      </c>
      <c r="R8">
        <v>80331891.891891882</v>
      </c>
      <c r="S8">
        <v>7257</v>
      </c>
      <c r="T8">
        <v>4922</v>
      </c>
    </row>
    <row r="9" spans="1:20" x14ac:dyDescent="0.35">
      <c r="A9" s="7" t="s">
        <v>57</v>
      </c>
      <c r="B9" s="12" t="s">
        <v>55</v>
      </c>
      <c r="C9">
        <v>111989101.65809938</v>
      </c>
      <c r="D9">
        <v>118623729.11322747</v>
      </c>
      <c r="E9">
        <v>2240540.5405405411</v>
      </c>
      <c r="F9">
        <v>3297297.2972972961</v>
      </c>
      <c r="G9">
        <v>33</v>
      </c>
      <c r="H9">
        <v>64</v>
      </c>
      <c r="K9">
        <v>36</v>
      </c>
      <c r="L9">
        <v>99</v>
      </c>
      <c r="M9">
        <v>18133873.873873871</v>
      </c>
      <c r="N9">
        <v>18805405.405405402</v>
      </c>
      <c r="O9">
        <v>33288396.396396395</v>
      </c>
      <c r="P9">
        <v>37711459.459459454</v>
      </c>
      <c r="Q9">
        <v>16782522.522522524</v>
      </c>
      <c r="R9">
        <v>16844864.864864863</v>
      </c>
      <c r="S9">
        <v>3236</v>
      </c>
      <c r="T9">
        <v>2353</v>
      </c>
    </row>
    <row r="10" spans="1:20" x14ac:dyDescent="0.35">
      <c r="A10" s="7" t="s">
        <v>58</v>
      </c>
      <c r="B10" s="12" t="s">
        <v>59</v>
      </c>
      <c r="C10">
        <v>296674693.53402752</v>
      </c>
      <c r="D10">
        <v>295060056.29960662</v>
      </c>
      <c r="E10">
        <v>1103603.6036036049</v>
      </c>
      <c r="F10">
        <v>463963.96396396501</v>
      </c>
      <c r="G10">
        <v>95</v>
      </c>
      <c r="H10">
        <v>74</v>
      </c>
      <c r="I10">
        <v>1</v>
      </c>
      <c r="K10">
        <v>101</v>
      </c>
      <c r="L10">
        <v>96</v>
      </c>
      <c r="M10">
        <v>4536036.036036035</v>
      </c>
      <c r="N10">
        <v>7581081.0810810803</v>
      </c>
      <c r="O10">
        <v>55223619.819819815</v>
      </c>
      <c r="P10">
        <v>59491018.018018015</v>
      </c>
      <c r="Q10">
        <v>4610000</v>
      </c>
      <c r="R10">
        <v>7163243.2432432435</v>
      </c>
      <c r="S10">
        <v>5952</v>
      </c>
      <c r="T10">
        <v>5536</v>
      </c>
    </row>
    <row r="11" spans="1:20" x14ac:dyDescent="0.35">
      <c r="A11" s="7" t="s">
        <v>60</v>
      </c>
      <c r="B11" s="12" t="s">
        <v>61</v>
      </c>
      <c r="C11">
        <v>130607833.05497223</v>
      </c>
      <c r="D11">
        <v>136118067.76005396</v>
      </c>
      <c r="E11">
        <v>1338738.7387387389</v>
      </c>
      <c r="F11">
        <v>1519369.3693693711</v>
      </c>
      <c r="G11">
        <v>70</v>
      </c>
      <c r="H11">
        <v>38</v>
      </c>
      <c r="I11">
        <v>1</v>
      </c>
      <c r="K11">
        <v>144</v>
      </c>
      <c r="L11">
        <v>90</v>
      </c>
      <c r="M11">
        <v>18993397.297297295</v>
      </c>
      <c r="N11">
        <v>86085135.135135129</v>
      </c>
      <c r="O11">
        <v>59899423.423423424</v>
      </c>
      <c r="P11">
        <v>64471981.981981985</v>
      </c>
      <c r="Q11">
        <v>15548018.018018018</v>
      </c>
      <c r="R11">
        <v>78540720.720720723</v>
      </c>
      <c r="S11">
        <v>3619</v>
      </c>
      <c r="T11">
        <v>3026</v>
      </c>
    </row>
    <row r="12" spans="1:20" x14ac:dyDescent="0.35">
      <c r="A12" s="7" t="s">
        <v>62</v>
      </c>
      <c r="B12" s="12" t="s">
        <v>63</v>
      </c>
      <c r="C12">
        <v>593402991.94617093</v>
      </c>
      <c r="D12">
        <v>588650614.82906342</v>
      </c>
      <c r="E12">
        <v>5536486.4864864936</v>
      </c>
      <c r="F12">
        <v>5408108.1081081182</v>
      </c>
      <c r="G12">
        <v>86</v>
      </c>
      <c r="H12">
        <v>43</v>
      </c>
      <c r="K12">
        <v>95</v>
      </c>
      <c r="L12">
        <v>72</v>
      </c>
      <c r="M12">
        <v>72540000</v>
      </c>
      <c r="N12">
        <v>76588108.108108118</v>
      </c>
      <c r="O12">
        <v>62699142.342342347</v>
      </c>
      <c r="P12">
        <v>72707201.801801801</v>
      </c>
      <c r="Q12">
        <v>71100900.9009009</v>
      </c>
      <c r="R12">
        <v>77887117.117117122</v>
      </c>
      <c r="S12">
        <v>9481</v>
      </c>
      <c r="T12">
        <v>8531</v>
      </c>
    </row>
    <row r="13" spans="1:20" x14ac:dyDescent="0.35">
      <c r="A13" s="7" t="s">
        <v>64</v>
      </c>
      <c r="B13" s="12" t="s">
        <v>51</v>
      </c>
      <c r="C13">
        <v>314377426.78001976</v>
      </c>
      <c r="D13">
        <v>309853930.52279311</v>
      </c>
      <c r="E13">
        <v>3606306.30630631</v>
      </c>
      <c r="F13">
        <v>4384684.6846846882</v>
      </c>
      <c r="G13">
        <v>103</v>
      </c>
      <c r="H13">
        <v>88</v>
      </c>
      <c r="K13">
        <v>141</v>
      </c>
      <c r="L13">
        <v>110</v>
      </c>
      <c r="M13">
        <v>97631081.081081092</v>
      </c>
      <c r="N13">
        <v>61360972.972972974</v>
      </c>
      <c r="O13">
        <v>121576000</v>
      </c>
      <c r="P13">
        <v>125796819.81981982</v>
      </c>
      <c r="Q13">
        <v>95409009.009009004</v>
      </c>
      <c r="R13">
        <v>61157387.387387387</v>
      </c>
      <c r="S13">
        <v>5812</v>
      </c>
      <c r="T13">
        <v>5593</v>
      </c>
    </row>
    <row r="14" spans="1:20" x14ac:dyDescent="0.35">
      <c r="A14" s="7" t="s">
        <v>65</v>
      </c>
      <c r="B14" s="12" t="s">
        <v>51</v>
      </c>
      <c r="C14">
        <v>321379287.4446314</v>
      </c>
      <c r="D14">
        <v>316985090.6362341</v>
      </c>
      <c r="E14">
        <v>4730630.6306306301</v>
      </c>
      <c r="F14">
        <v>4285585.5855855867</v>
      </c>
      <c r="G14">
        <v>73</v>
      </c>
      <c r="H14">
        <v>44</v>
      </c>
      <c r="K14">
        <v>89</v>
      </c>
      <c r="L14">
        <v>56</v>
      </c>
      <c r="M14">
        <v>44450360.360360362</v>
      </c>
      <c r="N14">
        <v>49720900.9009009</v>
      </c>
      <c r="O14">
        <v>122280090.0900901</v>
      </c>
      <c r="P14">
        <v>124443477.47747748</v>
      </c>
      <c r="Q14">
        <v>42062702.702702701</v>
      </c>
      <c r="R14">
        <v>40219279.279279277</v>
      </c>
      <c r="S14">
        <v>5701</v>
      </c>
      <c r="T14">
        <v>6226</v>
      </c>
    </row>
    <row r="15" spans="1:20" x14ac:dyDescent="0.35">
      <c r="A15" s="7" t="s">
        <v>66</v>
      </c>
      <c r="B15" s="12" t="s">
        <v>67</v>
      </c>
      <c r="C15">
        <v>326103245.46481067</v>
      </c>
      <c r="D15">
        <v>317772492.92396641</v>
      </c>
      <c r="E15">
        <v>9224774.7747747805</v>
      </c>
      <c r="F15">
        <v>15975225.225225223</v>
      </c>
      <c r="G15">
        <v>83</v>
      </c>
      <c r="H15">
        <v>90</v>
      </c>
      <c r="K15">
        <v>97</v>
      </c>
      <c r="L15">
        <v>109</v>
      </c>
      <c r="M15">
        <v>167566036.03603604</v>
      </c>
      <c r="N15">
        <v>228027927.92792794</v>
      </c>
      <c r="O15">
        <v>165864243.24324322</v>
      </c>
      <c r="P15">
        <v>161285027.02702704</v>
      </c>
      <c r="Q15">
        <v>157577567.56756759</v>
      </c>
      <c r="R15">
        <v>216787747.74774775</v>
      </c>
      <c r="S15">
        <v>9519</v>
      </c>
      <c r="T15">
        <v>5532</v>
      </c>
    </row>
    <row r="16" spans="1:20" x14ac:dyDescent="0.35">
      <c r="A16" s="7" t="s">
        <v>68</v>
      </c>
      <c r="B16" s="12" t="s">
        <v>69</v>
      </c>
      <c r="C16">
        <v>191434423.30398414</v>
      </c>
      <c r="D16">
        <v>186114996.66688228</v>
      </c>
      <c r="E16">
        <v>1407207.207207208</v>
      </c>
      <c r="F16">
        <v>1415315.315315316</v>
      </c>
      <c r="G16">
        <v>77</v>
      </c>
      <c r="H16">
        <v>41</v>
      </c>
      <c r="K16">
        <v>82</v>
      </c>
      <c r="L16">
        <v>47</v>
      </c>
      <c r="M16">
        <v>33059099.0990991</v>
      </c>
      <c r="N16">
        <v>29092747.747747749</v>
      </c>
      <c r="O16">
        <v>52757459.459459454</v>
      </c>
      <c r="P16">
        <v>54822270.270270273</v>
      </c>
      <c r="Q16">
        <v>25069189.189189188</v>
      </c>
      <c r="R16">
        <v>24215090.090090092</v>
      </c>
      <c r="S16">
        <v>3471</v>
      </c>
      <c r="T16">
        <v>3094</v>
      </c>
    </row>
    <row r="17" spans="1:20" x14ac:dyDescent="0.35">
      <c r="A17" s="7" t="s">
        <v>70</v>
      </c>
      <c r="B17" s="12" t="s">
        <v>71</v>
      </c>
      <c r="C17">
        <v>14780197.298533959</v>
      </c>
      <c r="D17">
        <v>14600407.031277779</v>
      </c>
      <c r="E17">
        <v>114937703.6036036</v>
      </c>
      <c r="F17">
        <v>182410403.6036036</v>
      </c>
      <c r="G17">
        <v>4</v>
      </c>
      <c r="H17">
        <v>3</v>
      </c>
      <c r="K17">
        <v>4</v>
      </c>
      <c r="L17">
        <v>5</v>
      </c>
      <c r="M17">
        <v>36299109.009009011</v>
      </c>
      <c r="N17">
        <v>44119055.855855852</v>
      </c>
      <c r="O17">
        <v>4295373.8738738736</v>
      </c>
      <c r="P17">
        <v>4661792.7927927934</v>
      </c>
      <c r="Q17">
        <v>404054.05405405402</v>
      </c>
      <c r="R17">
        <v>1709909.9099099101</v>
      </c>
      <c r="S17">
        <v>490</v>
      </c>
      <c r="T17">
        <v>259</v>
      </c>
    </row>
    <row r="18" spans="1:20" x14ac:dyDescent="0.35">
      <c r="A18" s="7" t="s">
        <v>72</v>
      </c>
      <c r="B18" s="12" t="s">
        <v>73</v>
      </c>
      <c r="C18">
        <v>2494192597.5422425</v>
      </c>
      <c r="D18">
        <v>2569260902.3444204</v>
      </c>
      <c r="E18">
        <v>665096344.14414418</v>
      </c>
      <c r="F18">
        <v>921319454.05405414</v>
      </c>
      <c r="G18">
        <v>864</v>
      </c>
      <c r="H18">
        <v>987</v>
      </c>
      <c r="I18">
        <v>17</v>
      </c>
      <c r="K18">
        <v>1284</v>
      </c>
      <c r="L18">
        <v>1508</v>
      </c>
      <c r="M18">
        <v>287287845.04504508</v>
      </c>
      <c r="N18">
        <v>336482432.43243247</v>
      </c>
      <c r="O18">
        <v>512962800</v>
      </c>
      <c r="P18">
        <v>637307955.85585582</v>
      </c>
      <c r="Q18">
        <v>238940763.96396396</v>
      </c>
      <c r="R18">
        <v>277577790.990991</v>
      </c>
      <c r="S18">
        <v>50798</v>
      </c>
      <c r="T18">
        <v>46990</v>
      </c>
    </row>
    <row r="19" spans="1:20" x14ac:dyDescent="0.35">
      <c r="A19" s="7" t="s">
        <v>74</v>
      </c>
      <c r="B19" s="12" t="s">
        <v>73</v>
      </c>
      <c r="C19">
        <v>236336024.07651758</v>
      </c>
      <c r="D19">
        <v>246220640.01899481</v>
      </c>
      <c r="E19">
        <v>66403963.963963971</v>
      </c>
      <c r="F19">
        <v>142121891.8918919</v>
      </c>
      <c r="G19">
        <v>56</v>
      </c>
      <c r="H19">
        <v>40</v>
      </c>
      <c r="I19">
        <v>1</v>
      </c>
      <c r="K19">
        <v>68</v>
      </c>
      <c r="L19">
        <v>47</v>
      </c>
      <c r="M19">
        <v>11531081.081081079</v>
      </c>
      <c r="N19">
        <v>12559234.234234234</v>
      </c>
      <c r="O19">
        <v>35047855.855855852</v>
      </c>
      <c r="P19">
        <v>36563423.423423424</v>
      </c>
      <c r="Q19">
        <v>7083603.6036036042</v>
      </c>
      <c r="R19">
        <v>6002612.6126126116</v>
      </c>
      <c r="S19">
        <v>3384</v>
      </c>
      <c r="T19">
        <v>3730</v>
      </c>
    </row>
    <row r="20" spans="1:20" x14ac:dyDescent="0.35">
      <c r="A20" s="7" t="s">
        <v>75</v>
      </c>
      <c r="B20" s="12" t="s">
        <v>71</v>
      </c>
      <c r="C20">
        <v>261463181.64429447</v>
      </c>
      <c r="D20">
        <v>256779082.10193208</v>
      </c>
      <c r="E20">
        <v>6876576.5765765822</v>
      </c>
      <c r="F20">
        <v>13382882.88288288</v>
      </c>
      <c r="G20">
        <v>83</v>
      </c>
      <c r="H20">
        <v>63</v>
      </c>
      <c r="I20">
        <v>1</v>
      </c>
      <c r="K20">
        <v>225</v>
      </c>
      <c r="L20">
        <v>119</v>
      </c>
      <c r="M20">
        <v>58857657.657657653</v>
      </c>
      <c r="N20">
        <v>359006306.3063063</v>
      </c>
      <c r="O20">
        <v>97280693.693693697</v>
      </c>
      <c r="P20">
        <v>94844711.711711705</v>
      </c>
      <c r="Q20">
        <v>56767207.20720721</v>
      </c>
      <c r="R20">
        <v>346148018.01801807</v>
      </c>
      <c r="S20">
        <v>5915</v>
      </c>
      <c r="T20">
        <v>4899</v>
      </c>
    </row>
    <row r="21" spans="1:20" x14ac:dyDescent="0.35">
      <c r="A21" s="7" t="s">
        <v>76</v>
      </c>
      <c r="B21" s="12" t="s">
        <v>77</v>
      </c>
      <c r="C21">
        <v>75690071.718985006</v>
      </c>
      <c r="D21">
        <v>77860317.319907993</v>
      </c>
      <c r="E21">
        <v>632432.43243243301</v>
      </c>
      <c r="F21">
        <v>465765.76576576597</v>
      </c>
      <c r="G21">
        <v>24</v>
      </c>
      <c r="H21">
        <v>33</v>
      </c>
      <c r="K21">
        <v>25</v>
      </c>
      <c r="L21">
        <v>35</v>
      </c>
      <c r="M21">
        <v>9321981.9819819815</v>
      </c>
      <c r="N21">
        <v>11197297.297297299</v>
      </c>
      <c r="O21">
        <v>19062756.756756756</v>
      </c>
      <c r="P21">
        <v>22438945.945945945</v>
      </c>
      <c r="Q21">
        <v>7375135.1351351356</v>
      </c>
      <c r="R21">
        <v>8942342.3423423432</v>
      </c>
      <c r="S21">
        <v>1883</v>
      </c>
      <c r="T21">
        <v>2181</v>
      </c>
    </row>
    <row r="22" spans="1:20" x14ac:dyDescent="0.35">
      <c r="A22" s="7" t="s">
        <v>78</v>
      </c>
      <c r="B22" s="12" t="s">
        <v>79</v>
      </c>
      <c r="C22">
        <v>163016397.65926358</v>
      </c>
      <c r="D22">
        <v>165821295.28597653</v>
      </c>
      <c r="E22">
        <v>2587387.387387387</v>
      </c>
      <c r="F22">
        <v>2928378.3783783792</v>
      </c>
      <c r="G22">
        <v>34</v>
      </c>
      <c r="H22">
        <v>61</v>
      </c>
      <c r="I22">
        <v>1</v>
      </c>
      <c r="K22">
        <v>37</v>
      </c>
      <c r="L22">
        <v>90</v>
      </c>
      <c r="M22">
        <v>20556756.756756756</v>
      </c>
      <c r="N22">
        <v>29759909.909909908</v>
      </c>
      <c r="O22">
        <v>53802882.882882878</v>
      </c>
      <c r="P22">
        <v>54413034.234234229</v>
      </c>
      <c r="Q22">
        <v>22470450.450450446</v>
      </c>
      <c r="R22">
        <v>27878828.828828827</v>
      </c>
      <c r="S22">
        <v>2898</v>
      </c>
      <c r="T22">
        <v>2515</v>
      </c>
    </row>
    <row r="23" spans="1:20" x14ac:dyDescent="0.35">
      <c r="A23" s="7" t="s">
        <v>80</v>
      </c>
      <c r="B23" s="12" t="s">
        <v>81</v>
      </c>
      <c r="C23">
        <v>1489402678.588589</v>
      </c>
      <c r="D23">
        <v>1604281848.1614754</v>
      </c>
      <c r="E23">
        <v>10446621.621621624</v>
      </c>
      <c r="F23">
        <v>16718018.018018031</v>
      </c>
      <c r="G23">
        <v>1039</v>
      </c>
      <c r="H23">
        <v>963</v>
      </c>
      <c r="I23">
        <v>7</v>
      </c>
      <c r="K23">
        <v>1165</v>
      </c>
      <c r="L23">
        <v>1328</v>
      </c>
      <c r="M23">
        <v>395361261.26126122</v>
      </c>
      <c r="N23">
        <v>192718468.46846846</v>
      </c>
      <c r="O23">
        <v>389063349.0990991</v>
      </c>
      <c r="P23">
        <v>491230949.54954958</v>
      </c>
      <c r="Q23">
        <v>199409189.1891892</v>
      </c>
      <c r="R23">
        <v>172556396.3963964</v>
      </c>
      <c r="S23">
        <v>32594</v>
      </c>
      <c r="T23">
        <v>26350</v>
      </c>
    </row>
    <row r="24" spans="1:20" x14ac:dyDescent="0.35">
      <c r="A24" s="7" t="s">
        <v>82</v>
      </c>
      <c r="B24" s="12" t="s">
        <v>55</v>
      </c>
      <c r="C24">
        <v>46776912.064897619</v>
      </c>
      <c r="D24">
        <v>43891179.024580099</v>
      </c>
      <c r="E24">
        <v>459459.45945946098</v>
      </c>
      <c r="F24">
        <v>347747.74774774897</v>
      </c>
      <c r="G24">
        <v>15</v>
      </c>
      <c r="H24">
        <v>10</v>
      </c>
      <c r="K24">
        <v>20</v>
      </c>
      <c r="L24">
        <v>12</v>
      </c>
      <c r="M24">
        <v>3804324.3243243252</v>
      </c>
      <c r="N24">
        <v>3555855.8558558552</v>
      </c>
      <c r="O24">
        <v>10892099.0990991</v>
      </c>
      <c r="P24">
        <v>12307918.918918921</v>
      </c>
      <c r="Q24">
        <v>2997117.1171171181</v>
      </c>
      <c r="R24">
        <v>3410900.9009009008</v>
      </c>
      <c r="S24">
        <v>1855</v>
      </c>
      <c r="T24">
        <v>1241</v>
      </c>
    </row>
    <row r="25" spans="1:20" x14ac:dyDescent="0.35">
      <c r="A25" s="7" t="s">
        <v>83</v>
      </c>
      <c r="B25" s="12" t="s">
        <v>84</v>
      </c>
      <c r="C25">
        <v>1079600378.109304</v>
      </c>
      <c r="D25">
        <v>1065945419.4568172</v>
      </c>
      <c r="E25">
        <v>78047972.972972974</v>
      </c>
      <c r="F25">
        <v>157002702.70270273</v>
      </c>
      <c r="G25">
        <v>213</v>
      </c>
      <c r="H25">
        <v>165</v>
      </c>
      <c r="I25">
        <v>2</v>
      </c>
      <c r="K25">
        <v>250</v>
      </c>
      <c r="L25">
        <v>238</v>
      </c>
      <c r="M25">
        <v>218541216.21621624</v>
      </c>
      <c r="N25">
        <v>259097522.52252254</v>
      </c>
      <c r="O25">
        <v>316657967.11711711</v>
      </c>
      <c r="P25">
        <v>330597054.05405408</v>
      </c>
      <c r="Q25">
        <v>160987657.65765765</v>
      </c>
      <c r="R25">
        <v>176987387.38738739</v>
      </c>
      <c r="S25">
        <v>15639</v>
      </c>
      <c r="T25">
        <v>14886</v>
      </c>
    </row>
    <row r="26" spans="1:20" x14ac:dyDescent="0.35">
      <c r="A26" s="7" t="s">
        <v>85</v>
      </c>
      <c r="B26" s="12" t="s">
        <v>86</v>
      </c>
      <c r="C26">
        <v>101971907.40761805</v>
      </c>
      <c r="D26">
        <v>99650948.796300054</v>
      </c>
      <c r="E26">
        <v>2023873.873873875</v>
      </c>
      <c r="F26">
        <v>7442342.3423423423</v>
      </c>
      <c r="G26">
        <v>56</v>
      </c>
      <c r="H26">
        <v>151</v>
      </c>
      <c r="K26">
        <v>66</v>
      </c>
      <c r="L26">
        <v>165</v>
      </c>
      <c r="M26">
        <v>214375225.22522521</v>
      </c>
      <c r="N26">
        <v>154390990.99099097</v>
      </c>
      <c r="O26">
        <v>35937819.819819823</v>
      </c>
      <c r="P26">
        <v>46217045.045045048</v>
      </c>
      <c r="Q26">
        <v>190030990.99099097</v>
      </c>
      <c r="R26">
        <v>122371888.2882883</v>
      </c>
      <c r="S26">
        <v>2353</v>
      </c>
      <c r="T26">
        <v>2228</v>
      </c>
    </row>
    <row r="27" spans="1:20" x14ac:dyDescent="0.35">
      <c r="A27" s="7" t="s">
        <v>87</v>
      </c>
      <c r="B27" s="12" t="s">
        <v>88</v>
      </c>
      <c r="C27">
        <v>3834016.62648843</v>
      </c>
      <c r="D27">
        <v>5032291.602417429</v>
      </c>
      <c r="G27">
        <v>4</v>
      </c>
      <c r="K27">
        <v>4</v>
      </c>
      <c r="O27">
        <v>1689063.0630630639</v>
      </c>
      <c r="P27">
        <v>2473558.558558559</v>
      </c>
      <c r="S27">
        <v>177</v>
      </c>
      <c r="T27">
        <v>160</v>
      </c>
    </row>
    <row r="28" spans="1:20" x14ac:dyDescent="0.35">
      <c r="A28" s="7" t="s">
        <v>89</v>
      </c>
      <c r="B28" s="12" t="s">
        <v>90</v>
      </c>
      <c r="C28">
        <v>221847098.48730618</v>
      </c>
      <c r="D28">
        <v>234616658.87703612</v>
      </c>
      <c r="E28">
        <v>4927927.9279279271</v>
      </c>
      <c r="F28">
        <v>3600900.9009009041</v>
      </c>
      <c r="G28">
        <v>33</v>
      </c>
      <c r="H28">
        <v>43</v>
      </c>
      <c r="K28">
        <v>36</v>
      </c>
      <c r="L28">
        <v>55</v>
      </c>
      <c r="M28">
        <v>44329009.009009011</v>
      </c>
      <c r="N28">
        <v>36954414.414414413</v>
      </c>
      <c r="O28">
        <v>79182477.477477476</v>
      </c>
      <c r="P28">
        <v>82506099.0990991</v>
      </c>
      <c r="Q28">
        <v>42779639.639639638</v>
      </c>
      <c r="R28">
        <v>38441171.171171166</v>
      </c>
      <c r="S28">
        <v>3711</v>
      </c>
      <c r="T28">
        <v>3375</v>
      </c>
    </row>
    <row r="29" spans="1:20" x14ac:dyDescent="0.35">
      <c r="A29" s="7" t="s">
        <v>91</v>
      </c>
      <c r="B29" s="12" t="s">
        <v>61</v>
      </c>
      <c r="C29">
        <v>77963681.344680876</v>
      </c>
      <c r="D29">
        <v>81517858.000907749</v>
      </c>
      <c r="E29">
        <v>204504.50450450601</v>
      </c>
      <c r="F29">
        <v>1349549.5495495489</v>
      </c>
      <c r="G29">
        <v>21</v>
      </c>
      <c r="H29">
        <v>48</v>
      </c>
      <c r="K29">
        <v>160</v>
      </c>
      <c r="L29">
        <v>161</v>
      </c>
      <c r="M29">
        <v>5312612.6126126144</v>
      </c>
      <c r="N29">
        <v>9556756.7567567565</v>
      </c>
      <c r="O29">
        <v>45618765.765765771</v>
      </c>
      <c r="P29">
        <v>47942054.054054059</v>
      </c>
      <c r="Q29">
        <v>4996666.666666666</v>
      </c>
      <c r="R29">
        <v>9226936.9369369373</v>
      </c>
      <c r="S29">
        <v>1800</v>
      </c>
      <c r="T29">
        <v>1816</v>
      </c>
    </row>
    <row r="30" spans="1:20" x14ac:dyDescent="0.35">
      <c r="A30" s="7" t="s">
        <v>92</v>
      </c>
      <c r="B30" s="12" t="s">
        <v>93</v>
      </c>
      <c r="C30">
        <v>65478861.358709864</v>
      </c>
      <c r="D30">
        <v>59895132.013187177</v>
      </c>
      <c r="E30">
        <v>2318018.018018018</v>
      </c>
      <c r="F30">
        <v>1367567.567567568</v>
      </c>
      <c r="G30">
        <v>18</v>
      </c>
      <c r="H30">
        <v>8</v>
      </c>
      <c r="K30">
        <v>20</v>
      </c>
      <c r="L30">
        <v>9</v>
      </c>
      <c r="M30">
        <v>16535675.675675675</v>
      </c>
      <c r="N30">
        <v>19937387.387387387</v>
      </c>
      <c r="O30">
        <v>21356855.855855856</v>
      </c>
      <c r="P30">
        <v>22033459.459459461</v>
      </c>
      <c r="Q30">
        <v>16771711.711711712</v>
      </c>
      <c r="R30">
        <v>19485225.225225225</v>
      </c>
      <c r="S30">
        <v>1134</v>
      </c>
      <c r="T30">
        <v>1084</v>
      </c>
    </row>
    <row r="31" spans="1:20" x14ac:dyDescent="0.35">
      <c r="A31" s="7" t="s">
        <v>94</v>
      </c>
      <c r="B31" s="12" t="s">
        <v>95</v>
      </c>
      <c r="C31">
        <v>273977264.28860015</v>
      </c>
      <c r="D31">
        <v>287313918.24361563</v>
      </c>
      <c r="E31">
        <v>587837.83783783903</v>
      </c>
      <c r="F31">
        <v>265765.76576576702</v>
      </c>
      <c r="G31">
        <v>47</v>
      </c>
      <c r="H31">
        <v>21</v>
      </c>
      <c r="K31">
        <v>55</v>
      </c>
      <c r="L31">
        <v>28</v>
      </c>
      <c r="M31">
        <v>34695945.945945948</v>
      </c>
      <c r="N31">
        <v>35968468.468468465</v>
      </c>
      <c r="O31">
        <v>40004259.459459454</v>
      </c>
      <c r="P31">
        <v>49057272.972972974</v>
      </c>
      <c r="Q31">
        <v>29619099.099099096</v>
      </c>
      <c r="R31">
        <v>34832162.162162162</v>
      </c>
      <c r="S31">
        <v>4537</v>
      </c>
      <c r="T31">
        <v>4527</v>
      </c>
    </row>
    <row r="32" spans="1:20" x14ac:dyDescent="0.35">
      <c r="A32" s="7" t="s">
        <v>96</v>
      </c>
      <c r="B32" s="12" t="s">
        <v>97</v>
      </c>
      <c r="C32">
        <v>298001956.81472725</v>
      </c>
      <c r="D32">
        <v>306119355.99168664</v>
      </c>
      <c r="E32">
        <v>224050450.45045045</v>
      </c>
      <c r="F32">
        <v>263617567.56756756</v>
      </c>
      <c r="G32">
        <v>69</v>
      </c>
      <c r="H32">
        <v>110</v>
      </c>
      <c r="I32">
        <v>4</v>
      </c>
      <c r="K32">
        <v>75</v>
      </c>
      <c r="L32">
        <v>140</v>
      </c>
      <c r="M32">
        <v>82648873.873873875</v>
      </c>
      <c r="N32">
        <v>70438513.513513505</v>
      </c>
      <c r="O32">
        <v>148250738.73873875</v>
      </c>
      <c r="P32">
        <v>154925126.12612611</v>
      </c>
      <c r="Q32">
        <v>51999459.459459461</v>
      </c>
      <c r="R32">
        <v>52376306.306306303</v>
      </c>
      <c r="S32">
        <v>7334</v>
      </c>
      <c r="T32">
        <v>6211</v>
      </c>
    </row>
    <row r="33" spans="1:20" x14ac:dyDescent="0.35">
      <c r="A33" s="7" t="s">
        <v>98</v>
      </c>
      <c r="B33" s="12" t="s">
        <v>99</v>
      </c>
      <c r="C33">
        <v>1039714537.402946</v>
      </c>
      <c r="D33">
        <v>1032263887.1329302</v>
      </c>
      <c r="E33">
        <v>11978153.153153157</v>
      </c>
      <c r="F33">
        <v>12607207.207207208</v>
      </c>
      <c r="G33">
        <v>419</v>
      </c>
      <c r="H33">
        <v>270</v>
      </c>
      <c r="K33">
        <v>518</v>
      </c>
      <c r="L33">
        <v>341</v>
      </c>
      <c r="M33">
        <v>284498198.1981982</v>
      </c>
      <c r="N33">
        <v>244992567.56756756</v>
      </c>
      <c r="O33">
        <v>269144282.43243247</v>
      </c>
      <c r="P33">
        <v>287279360.36036032</v>
      </c>
      <c r="Q33">
        <v>227822522.52252254</v>
      </c>
      <c r="R33">
        <v>192987162.16216218</v>
      </c>
      <c r="S33">
        <v>27711</v>
      </c>
      <c r="T33">
        <v>22449</v>
      </c>
    </row>
    <row r="34" spans="1:20" x14ac:dyDescent="0.35">
      <c r="A34" s="7" t="s">
        <v>100</v>
      </c>
      <c r="B34" s="12" t="s">
        <v>99</v>
      </c>
      <c r="C34">
        <v>1681908393.1689415</v>
      </c>
      <c r="D34">
        <v>1683050331.2619045</v>
      </c>
      <c r="E34">
        <v>6631958.5585585646</v>
      </c>
      <c r="F34">
        <v>8150753.153153155</v>
      </c>
      <c r="G34">
        <v>530</v>
      </c>
      <c r="H34">
        <v>498</v>
      </c>
      <c r="I34">
        <v>25</v>
      </c>
      <c r="K34">
        <v>827</v>
      </c>
      <c r="L34">
        <v>665</v>
      </c>
      <c r="M34">
        <v>94340990.990990996</v>
      </c>
      <c r="N34">
        <v>295564009.009009</v>
      </c>
      <c r="O34">
        <v>321664914.86486483</v>
      </c>
      <c r="P34">
        <v>340755412.61261261</v>
      </c>
      <c r="Q34">
        <v>92422702.702702701</v>
      </c>
      <c r="R34">
        <v>109703198.19819821</v>
      </c>
      <c r="S34">
        <v>40330</v>
      </c>
      <c r="T34">
        <v>27604</v>
      </c>
    </row>
    <row r="35" spans="1:20" x14ac:dyDescent="0.35">
      <c r="A35" s="7" t="s">
        <v>101</v>
      </c>
      <c r="B35" s="12" t="s">
        <v>99</v>
      </c>
      <c r="C35">
        <v>2282683786.0851102</v>
      </c>
      <c r="D35">
        <v>2225592906.9360905</v>
      </c>
      <c r="E35">
        <v>200995720.72072074</v>
      </c>
      <c r="F35">
        <v>334175758.55855858</v>
      </c>
      <c r="G35">
        <v>480</v>
      </c>
      <c r="H35">
        <v>349</v>
      </c>
      <c r="I35">
        <v>16</v>
      </c>
      <c r="K35">
        <v>1293</v>
      </c>
      <c r="L35">
        <v>803</v>
      </c>
      <c r="M35">
        <v>1004194189.1891892</v>
      </c>
      <c r="N35">
        <v>294804136.93693697</v>
      </c>
      <c r="O35">
        <v>1012759324.7747748</v>
      </c>
      <c r="P35">
        <v>936824664.86486495</v>
      </c>
      <c r="Q35">
        <v>329469684.68468469</v>
      </c>
      <c r="R35">
        <v>183498963.96396396</v>
      </c>
      <c r="S35">
        <v>46065</v>
      </c>
      <c r="T35">
        <v>33498</v>
      </c>
    </row>
    <row r="36" spans="1:20" x14ac:dyDescent="0.35">
      <c r="A36" s="7" t="s">
        <v>102</v>
      </c>
      <c r="B36" s="12" t="s">
        <v>99</v>
      </c>
      <c r="C36">
        <v>968281593.47207952</v>
      </c>
      <c r="D36">
        <v>976233530.87895894</v>
      </c>
      <c r="E36">
        <v>6361261.261261262</v>
      </c>
      <c r="F36">
        <v>6052252.2522522556</v>
      </c>
      <c r="G36">
        <v>301</v>
      </c>
      <c r="H36">
        <v>215</v>
      </c>
      <c r="I36">
        <v>6</v>
      </c>
      <c r="K36">
        <v>354</v>
      </c>
      <c r="L36">
        <v>298</v>
      </c>
      <c r="M36">
        <v>83559909.909909904</v>
      </c>
      <c r="N36">
        <v>78556472.972972974</v>
      </c>
      <c r="O36">
        <v>211363315.31531534</v>
      </c>
      <c r="P36">
        <v>218941864.86486486</v>
      </c>
      <c r="Q36">
        <v>78706936.93693693</v>
      </c>
      <c r="R36">
        <v>77820630.630630627</v>
      </c>
      <c r="S36">
        <v>29657</v>
      </c>
      <c r="T36">
        <v>21611</v>
      </c>
    </row>
    <row r="37" spans="1:20" x14ac:dyDescent="0.35">
      <c r="A37" s="7" t="s">
        <v>103</v>
      </c>
      <c r="B37" s="12" t="s">
        <v>99</v>
      </c>
      <c r="C37">
        <v>1090972296.6102815</v>
      </c>
      <c r="D37">
        <v>1121014323.0105553</v>
      </c>
      <c r="E37">
        <v>11665765.765765768</v>
      </c>
      <c r="F37">
        <v>13878828.828828828</v>
      </c>
      <c r="G37">
        <v>251</v>
      </c>
      <c r="H37">
        <v>112</v>
      </c>
      <c r="I37">
        <v>1</v>
      </c>
      <c r="K37">
        <v>323</v>
      </c>
      <c r="L37">
        <v>218</v>
      </c>
      <c r="M37">
        <v>174192792.7927928</v>
      </c>
      <c r="N37">
        <v>228044864.86486486</v>
      </c>
      <c r="O37">
        <v>317377509.009009</v>
      </c>
      <c r="P37">
        <v>325215736.93693697</v>
      </c>
      <c r="Q37">
        <v>194344414.41441441</v>
      </c>
      <c r="R37">
        <v>198183063.06306309</v>
      </c>
      <c r="S37">
        <v>35091</v>
      </c>
      <c r="T37">
        <v>26071</v>
      </c>
    </row>
    <row r="38" spans="1:20" x14ac:dyDescent="0.35">
      <c r="A38" s="7" t="s">
        <v>104</v>
      </c>
      <c r="B38" s="12" t="s">
        <v>99</v>
      </c>
      <c r="C38">
        <v>2811442401.1720471</v>
      </c>
      <c r="D38">
        <v>2808349105.4790444</v>
      </c>
      <c r="E38">
        <v>957359656.75675678</v>
      </c>
      <c r="F38">
        <v>2106236033.3333333</v>
      </c>
      <c r="G38">
        <v>834</v>
      </c>
      <c r="H38">
        <v>534</v>
      </c>
      <c r="I38">
        <v>17</v>
      </c>
      <c r="K38">
        <v>1201</v>
      </c>
      <c r="L38">
        <v>682</v>
      </c>
      <c r="M38">
        <v>321325072.97297299</v>
      </c>
      <c r="N38">
        <v>1355672972.9729731</v>
      </c>
      <c r="O38">
        <v>595446394.5945946</v>
      </c>
      <c r="P38">
        <v>613261809.009009</v>
      </c>
      <c r="Q38">
        <v>288776306.3063063</v>
      </c>
      <c r="R38">
        <v>1070794504.5045044</v>
      </c>
      <c r="S38">
        <v>72882</v>
      </c>
      <c r="T38">
        <v>54996</v>
      </c>
    </row>
    <row r="39" spans="1:20" x14ac:dyDescent="0.35">
      <c r="A39" s="7" t="s">
        <v>105</v>
      </c>
      <c r="B39" s="12" t="s">
        <v>106</v>
      </c>
      <c r="C39">
        <v>197494954.97916755</v>
      </c>
      <c r="D39">
        <v>188097955.29645914</v>
      </c>
      <c r="E39">
        <v>1264864.8648648651</v>
      </c>
      <c r="F39">
        <v>165765.765765766</v>
      </c>
      <c r="G39">
        <v>44</v>
      </c>
      <c r="H39">
        <v>19</v>
      </c>
      <c r="K39">
        <v>47</v>
      </c>
      <c r="L39">
        <v>23</v>
      </c>
      <c r="M39">
        <v>1715315.315315315</v>
      </c>
      <c r="N39">
        <v>165765.765765766</v>
      </c>
      <c r="O39">
        <v>42982234.234234229</v>
      </c>
      <c r="P39">
        <v>44820252.252252258</v>
      </c>
      <c r="Q39">
        <v>1200360.36036036</v>
      </c>
      <c r="R39">
        <v>319819.81981982</v>
      </c>
      <c r="S39">
        <v>2763</v>
      </c>
      <c r="T39">
        <v>2587</v>
      </c>
    </row>
    <row r="40" spans="1:20" x14ac:dyDescent="0.35">
      <c r="A40" s="7" t="s">
        <v>107</v>
      </c>
      <c r="B40" s="12" t="s">
        <v>55</v>
      </c>
      <c r="C40">
        <v>67595914.644873187</v>
      </c>
      <c r="D40">
        <v>63559602.672785833</v>
      </c>
      <c r="E40">
        <v>148648.64864864899</v>
      </c>
      <c r="F40">
        <v>815315.31531531701</v>
      </c>
      <c r="G40">
        <v>35</v>
      </c>
      <c r="H40">
        <v>66</v>
      </c>
      <c r="I40">
        <v>11</v>
      </c>
      <c r="K40">
        <v>53</v>
      </c>
      <c r="L40">
        <v>76</v>
      </c>
      <c r="M40">
        <v>2611891.891891893</v>
      </c>
      <c r="N40">
        <v>4029729.7297297302</v>
      </c>
      <c r="O40">
        <v>17550774.774774775</v>
      </c>
      <c r="P40">
        <v>17039513.513513513</v>
      </c>
      <c r="Q40">
        <v>2383513.5135135129</v>
      </c>
      <c r="R40">
        <v>3474684.684684685</v>
      </c>
      <c r="S40">
        <v>2140</v>
      </c>
      <c r="T40">
        <v>670</v>
      </c>
    </row>
    <row r="41" spans="1:20" x14ac:dyDescent="0.35">
      <c r="A41" s="7" t="s">
        <v>108</v>
      </c>
      <c r="B41" s="12" t="s">
        <v>109</v>
      </c>
      <c r="C41">
        <v>542989968.42186487</v>
      </c>
      <c r="D41">
        <v>568851689.85051477</v>
      </c>
      <c r="E41">
        <v>6152702.7027027039</v>
      </c>
      <c r="F41">
        <v>8639639.6396396421</v>
      </c>
      <c r="G41">
        <v>160</v>
      </c>
      <c r="H41">
        <v>125</v>
      </c>
      <c r="I41">
        <v>1</v>
      </c>
      <c r="K41">
        <v>190</v>
      </c>
      <c r="L41">
        <v>157</v>
      </c>
      <c r="M41">
        <v>81671351.351351365</v>
      </c>
      <c r="N41">
        <v>77109909.909909904</v>
      </c>
      <c r="O41">
        <v>117789108.10810812</v>
      </c>
      <c r="P41">
        <v>123938522.52252252</v>
      </c>
      <c r="Q41">
        <v>69692792.792792797</v>
      </c>
      <c r="R41">
        <v>68736936.93693693</v>
      </c>
      <c r="S41">
        <v>13869</v>
      </c>
      <c r="T41">
        <v>9399</v>
      </c>
    </row>
    <row r="42" spans="1:20" x14ac:dyDescent="0.35">
      <c r="A42" s="7" t="s">
        <v>110</v>
      </c>
      <c r="B42" s="12" t="s">
        <v>109</v>
      </c>
      <c r="C42">
        <v>769226040.29773366</v>
      </c>
      <c r="D42">
        <v>796850029.42206645</v>
      </c>
      <c r="E42">
        <v>103635211.7117117</v>
      </c>
      <c r="F42">
        <v>719504810.8108108</v>
      </c>
      <c r="G42">
        <v>266</v>
      </c>
      <c r="H42">
        <v>231</v>
      </c>
      <c r="I42">
        <v>1</v>
      </c>
      <c r="K42">
        <v>598</v>
      </c>
      <c r="L42">
        <v>519</v>
      </c>
      <c r="M42">
        <v>64071972.072072074</v>
      </c>
      <c r="N42">
        <v>358571477.47747749</v>
      </c>
      <c r="O42">
        <v>219878747.74774775</v>
      </c>
      <c r="P42">
        <v>218247837.83783782</v>
      </c>
      <c r="Q42">
        <v>182987477.47747746</v>
      </c>
      <c r="R42">
        <v>248258648.64864865</v>
      </c>
      <c r="S42">
        <v>21400</v>
      </c>
      <c r="T42">
        <v>14803</v>
      </c>
    </row>
    <row r="43" spans="1:20" x14ac:dyDescent="0.35">
      <c r="A43" s="7" t="s">
        <v>111</v>
      </c>
      <c r="B43" s="12" t="s">
        <v>112</v>
      </c>
      <c r="C43">
        <v>886900607.94723463</v>
      </c>
      <c r="D43">
        <v>914854560.99876368</v>
      </c>
      <c r="E43">
        <v>11951351.351351352</v>
      </c>
      <c r="F43">
        <v>11950900.900900902</v>
      </c>
      <c r="G43">
        <v>336</v>
      </c>
      <c r="H43">
        <v>242</v>
      </c>
      <c r="K43">
        <v>658</v>
      </c>
      <c r="L43">
        <v>476</v>
      </c>
      <c r="M43">
        <v>95196420.720720723</v>
      </c>
      <c r="N43">
        <v>110032162.16216215</v>
      </c>
      <c r="O43">
        <v>308634036.03603601</v>
      </c>
      <c r="P43">
        <v>333269324.32432437</v>
      </c>
      <c r="Q43">
        <v>86374998.198198199</v>
      </c>
      <c r="R43">
        <v>106682162.16216215</v>
      </c>
      <c r="S43">
        <v>28225</v>
      </c>
      <c r="T43">
        <v>19024</v>
      </c>
    </row>
    <row r="44" spans="1:20" x14ac:dyDescent="0.35">
      <c r="A44" s="7" t="s">
        <v>113</v>
      </c>
      <c r="B44" s="12" t="s">
        <v>112</v>
      </c>
      <c r="C44">
        <v>1139062017.3173344</v>
      </c>
      <c r="D44">
        <v>1171892840.9187202</v>
      </c>
      <c r="E44">
        <v>16691891.891891891</v>
      </c>
      <c r="F44">
        <v>53755622.522522531</v>
      </c>
      <c r="G44">
        <v>428</v>
      </c>
      <c r="H44">
        <v>325</v>
      </c>
      <c r="I44">
        <v>1</v>
      </c>
      <c r="K44">
        <v>842</v>
      </c>
      <c r="L44">
        <v>543</v>
      </c>
      <c r="M44">
        <v>98933886.48648648</v>
      </c>
      <c r="N44">
        <v>318823910.8108108</v>
      </c>
      <c r="O44">
        <v>421283678.37837839</v>
      </c>
      <c r="P44">
        <v>437957954.95495492</v>
      </c>
      <c r="Q44">
        <v>95845765.765765756</v>
      </c>
      <c r="R44">
        <v>353517340.54054052</v>
      </c>
      <c r="S44">
        <v>40878</v>
      </c>
      <c r="T44">
        <v>27723</v>
      </c>
    </row>
    <row r="45" spans="1:20" x14ac:dyDescent="0.35">
      <c r="A45" s="7" t="s">
        <v>114</v>
      </c>
      <c r="B45" s="12" t="s">
        <v>112</v>
      </c>
      <c r="C45">
        <v>1626953369.2701983</v>
      </c>
      <c r="D45">
        <v>800809706.90364957</v>
      </c>
      <c r="E45">
        <v>11655855.85585586</v>
      </c>
      <c r="F45">
        <v>18730190.090090096</v>
      </c>
      <c r="G45">
        <v>437</v>
      </c>
      <c r="H45">
        <v>292</v>
      </c>
      <c r="I45">
        <v>1</v>
      </c>
      <c r="K45">
        <v>757</v>
      </c>
      <c r="L45">
        <v>583</v>
      </c>
      <c r="M45">
        <v>514812267.56756753</v>
      </c>
      <c r="N45">
        <v>709770280.18018019</v>
      </c>
      <c r="O45">
        <v>1099770484.6846848</v>
      </c>
      <c r="P45">
        <v>266099297.29729727</v>
      </c>
      <c r="Q45">
        <v>53562745.945945948</v>
      </c>
      <c r="R45">
        <v>112257387.38738739</v>
      </c>
      <c r="S45">
        <v>22863</v>
      </c>
      <c r="T45">
        <v>14466</v>
      </c>
    </row>
    <row r="46" spans="1:20" x14ac:dyDescent="0.35">
      <c r="A46" s="7" t="s">
        <v>115</v>
      </c>
      <c r="B46" s="12" t="s">
        <v>112</v>
      </c>
      <c r="C46">
        <v>909818021.05829465</v>
      </c>
      <c r="D46">
        <v>1530318031.5015533</v>
      </c>
      <c r="E46">
        <v>96985450.450450465</v>
      </c>
      <c r="F46">
        <v>1042217567.5675676</v>
      </c>
      <c r="G46">
        <v>535</v>
      </c>
      <c r="H46">
        <v>278</v>
      </c>
      <c r="I46">
        <v>12</v>
      </c>
      <c r="K46">
        <v>1432</v>
      </c>
      <c r="L46">
        <v>616</v>
      </c>
      <c r="M46">
        <v>118303873.87387387</v>
      </c>
      <c r="N46">
        <v>383267927.92792791</v>
      </c>
      <c r="O46">
        <v>271568630.63063061</v>
      </c>
      <c r="P46">
        <v>869883477.47747755</v>
      </c>
      <c r="Q46">
        <v>107007747.74774775</v>
      </c>
      <c r="R46">
        <v>376318198.1981982</v>
      </c>
      <c r="S46">
        <v>28729</v>
      </c>
      <c r="T46">
        <v>20519</v>
      </c>
    </row>
    <row r="47" spans="1:20" x14ac:dyDescent="0.35">
      <c r="A47" s="7" t="s">
        <v>116</v>
      </c>
      <c r="B47" s="12" t="s">
        <v>112</v>
      </c>
      <c r="C47">
        <v>1147780519.4570606</v>
      </c>
      <c r="D47">
        <v>1100210162.1275861</v>
      </c>
      <c r="E47">
        <v>1698257388.2882884</v>
      </c>
      <c r="F47">
        <v>1891431555.8558559</v>
      </c>
      <c r="G47">
        <v>500</v>
      </c>
      <c r="H47">
        <v>442</v>
      </c>
      <c r="K47">
        <v>796</v>
      </c>
      <c r="L47">
        <v>792</v>
      </c>
      <c r="M47">
        <v>894642171.17117119</v>
      </c>
      <c r="N47">
        <v>508040613.51351357</v>
      </c>
      <c r="O47">
        <v>359138908.55855852</v>
      </c>
      <c r="P47">
        <v>314818009.009009</v>
      </c>
      <c r="Q47">
        <v>846856843.24324322</v>
      </c>
      <c r="R47">
        <v>399391171.17117119</v>
      </c>
      <c r="S47">
        <v>34045</v>
      </c>
      <c r="T47">
        <v>22658</v>
      </c>
    </row>
    <row r="48" spans="1:20" x14ac:dyDescent="0.35">
      <c r="A48" s="7" t="s">
        <v>117</v>
      </c>
      <c r="B48" s="12" t="s">
        <v>55</v>
      </c>
      <c r="C48">
        <v>62647115.966245621</v>
      </c>
      <c r="D48">
        <v>60896589.25643453</v>
      </c>
      <c r="E48">
        <v>1199774.7747747749</v>
      </c>
      <c r="F48">
        <v>1785585.585585586</v>
      </c>
      <c r="G48">
        <v>12</v>
      </c>
      <c r="H48">
        <v>10</v>
      </c>
      <c r="K48">
        <v>12</v>
      </c>
      <c r="L48">
        <v>15</v>
      </c>
      <c r="M48">
        <v>5403153.1531531513</v>
      </c>
      <c r="N48">
        <v>8704504.5045045037</v>
      </c>
      <c r="O48">
        <v>15422495.495495496</v>
      </c>
      <c r="P48">
        <v>14629171.17117117</v>
      </c>
      <c r="Q48">
        <v>4805675.6756756753</v>
      </c>
      <c r="R48">
        <v>8680180.1801801808</v>
      </c>
      <c r="S48">
        <v>1258</v>
      </c>
      <c r="T48">
        <v>1421</v>
      </c>
    </row>
    <row r="49" spans="1:20" x14ac:dyDescent="0.35">
      <c r="A49" s="7" t="s">
        <v>119</v>
      </c>
      <c r="B49" s="12" t="s">
        <v>79</v>
      </c>
      <c r="C49">
        <v>525613174.03023499</v>
      </c>
      <c r="D49">
        <v>568154347.43252647</v>
      </c>
      <c r="E49">
        <v>414029105.4054054</v>
      </c>
      <c r="F49">
        <v>937373318.91891897</v>
      </c>
      <c r="G49">
        <v>219</v>
      </c>
      <c r="H49">
        <v>333</v>
      </c>
      <c r="I49">
        <v>7</v>
      </c>
      <c r="K49">
        <v>266</v>
      </c>
      <c r="L49">
        <v>509</v>
      </c>
      <c r="M49">
        <v>117809009.009009</v>
      </c>
      <c r="N49">
        <v>143768468.46846846</v>
      </c>
      <c r="O49">
        <v>210626351.8018018</v>
      </c>
      <c r="P49">
        <v>228337684.68468466</v>
      </c>
      <c r="Q49">
        <v>114567477.47747748</v>
      </c>
      <c r="R49">
        <v>135209729.72972974</v>
      </c>
      <c r="S49">
        <v>13936</v>
      </c>
      <c r="T49">
        <v>11438</v>
      </c>
    </row>
    <row r="50" spans="1:20" x14ac:dyDescent="0.35">
      <c r="A50" s="7" t="s">
        <v>120</v>
      </c>
      <c r="B50" s="12" t="s">
        <v>51</v>
      </c>
      <c r="C50">
        <v>166755676.72026053</v>
      </c>
      <c r="D50">
        <v>163049105.9209711</v>
      </c>
      <c r="E50">
        <v>4936936.9369369373</v>
      </c>
      <c r="F50">
        <v>2015315.315315319</v>
      </c>
      <c r="G50">
        <v>55</v>
      </c>
      <c r="H50">
        <v>28</v>
      </c>
      <c r="K50">
        <v>62</v>
      </c>
      <c r="L50">
        <v>32</v>
      </c>
      <c r="M50">
        <v>105381081.08108109</v>
      </c>
      <c r="N50">
        <v>25739279.27927928</v>
      </c>
      <c r="O50">
        <v>60644720.720720723</v>
      </c>
      <c r="P50">
        <v>63780360.360360362</v>
      </c>
      <c r="Q50">
        <v>99838288.288288295</v>
      </c>
      <c r="R50">
        <v>24367477.477477476</v>
      </c>
      <c r="S50">
        <v>2565</v>
      </c>
      <c r="T50">
        <v>2430</v>
      </c>
    </row>
    <row r="51" spans="1:20" x14ac:dyDescent="0.35">
      <c r="A51" s="7" t="s">
        <v>121</v>
      </c>
      <c r="B51" s="12" t="s">
        <v>122</v>
      </c>
      <c r="C51">
        <v>560721498.32417607</v>
      </c>
      <c r="D51">
        <v>523515363.33059663</v>
      </c>
      <c r="E51">
        <v>4825675.6756756781</v>
      </c>
      <c r="F51">
        <v>3314414.4144144212</v>
      </c>
      <c r="G51">
        <v>216</v>
      </c>
      <c r="H51">
        <v>226</v>
      </c>
      <c r="K51">
        <v>240</v>
      </c>
      <c r="L51">
        <v>404</v>
      </c>
      <c r="M51">
        <v>23026126.126126129</v>
      </c>
      <c r="N51">
        <v>24720720.72072072</v>
      </c>
      <c r="O51">
        <v>46582513.513513513</v>
      </c>
      <c r="P51">
        <v>50261801.801801801</v>
      </c>
      <c r="Q51">
        <v>19677297.297297295</v>
      </c>
      <c r="R51">
        <v>22325405.405405398</v>
      </c>
      <c r="S51">
        <v>8690</v>
      </c>
      <c r="T51">
        <v>8068</v>
      </c>
    </row>
    <row r="52" spans="1:20" x14ac:dyDescent="0.35">
      <c r="A52" s="7" t="s">
        <v>123</v>
      </c>
      <c r="B52" s="12" t="s">
        <v>124</v>
      </c>
      <c r="C52">
        <v>293383961.11863744</v>
      </c>
      <c r="D52">
        <v>299439363.96567768</v>
      </c>
      <c r="E52">
        <v>1277702.702702703</v>
      </c>
      <c r="F52">
        <v>2652252.2522522518</v>
      </c>
      <c r="G52">
        <v>47</v>
      </c>
      <c r="H52">
        <v>27</v>
      </c>
      <c r="K52">
        <v>53</v>
      </c>
      <c r="L52">
        <v>30</v>
      </c>
      <c r="M52">
        <v>59119909.909909911</v>
      </c>
      <c r="N52">
        <v>82040090.090090096</v>
      </c>
      <c r="O52">
        <v>134518720.72072071</v>
      </c>
      <c r="P52">
        <v>135753093.6936937</v>
      </c>
      <c r="Q52">
        <v>61566756.75675676</v>
      </c>
      <c r="R52">
        <v>65202291.891891889</v>
      </c>
      <c r="S52">
        <v>4821</v>
      </c>
      <c r="T52">
        <v>4694</v>
      </c>
    </row>
    <row r="53" spans="1:20" x14ac:dyDescent="0.35">
      <c r="A53" s="7" t="s">
        <v>125</v>
      </c>
      <c r="B53" s="12" t="s">
        <v>126</v>
      </c>
      <c r="C53">
        <v>384892928.98114449</v>
      </c>
      <c r="D53">
        <v>400905845.52885407</v>
      </c>
      <c r="E53">
        <v>213852252.25225225</v>
      </c>
      <c r="F53">
        <v>135227477.47747746</v>
      </c>
      <c r="G53">
        <v>99</v>
      </c>
      <c r="H53">
        <v>71</v>
      </c>
      <c r="K53">
        <v>163</v>
      </c>
      <c r="L53">
        <v>84</v>
      </c>
      <c r="M53">
        <v>104667567.56756757</v>
      </c>
      <c r="N53">
        <v>95055000</v>
      </c>
      <c r="O53">
        <v>119147787.38738739</v>
      </c>
      <c r="P53">
        <v>125452138.73873873</v>
      </c>
      <c r="Q53">
        <v>112409279.27927928</v>
      </c>
      <c r="R53">
        <v>100218558.55855855</v>
      </c>
      <c r="S53">
        <v>7052</v>
      </c>
      <c r="T53">
        <v>6177</v>
      </c>
    </row>
    <row r="54" spans="1:20" x14ac:dyDescent="0.35">
      <c r="A54" s="7" t="s">
        <v>127</v>
      </c>
      <c r="B54" s="12" t="s">
        <v>79</v>
      </c>
      <c r="C54">
        <v>255504959.89199224</v>
      </c>
      <c r="D54">
        <v>248261856.4023959</v>
      </c>
      <c r="E54">
        <v>5232432.4324324364</v>
      </c>
      <c r="F54">
        <v>6666666.6666666688</v>
      </c>
      <c r="G54">
        <v>87</v>
      </c>
      <c r="H54">
        <v>56</v>
      </c>
      <c r="I54">
        <v>1</v>
      </c>
      <c r="K54">
        <v>96</v>
      </c>
      <c r="L54">
        <v>62</v>
      </c>
      <c r="M54">
        <v>48277477.477477483</v>
      </c>
      <c r="N54">
        <v>56354054.054054059</v>
      </c>
      <c r="O54">
        <v>104712729.72972973</v>
      </c>
      <c r="P54">
        <v>102653423.42342342</v>
      </c>
      <c r="Q54">
        <v>44148468.468468472</v>
      </c>
      <c r="R54">
        <v>52223873.873873875</v>
      </c>
      <c r="S54">
        <v>5448</v>
      </c>
      <c r="T54">
        <v>6122</v>
      </c>
    </row>
    <row r="55" spans="1:20" x14ac:dyDescent="0.35">
      <c r="A55" s="7" t="s">
        <v>128</v>
      </c>
      <c r="B55" s="12" t="s">
        <v>79</v>
      </c>
      <c r="C55">
        <v>42648569.979833521</v>
      </c>
      <c r="D55">
        <v>42516796.378669657</v>
      </c>
      <c r="E55">
        <v>1325225.2252252251</v>
      </c>
      <c r="F55">
        <v>727027.02702702803</v>
      </c>
      <c r="G55">
        <v>15</v>
      </c>
      <c r="H55">
        <v>9</v>
      </c>
      <c r="K55">
        <v>20</v>
      </c>
      <c r="L55">
        <v>11</v>
      </c>
      <c r="M55">
        <v>19208108.108108107</v>
      </c>
      <c r="N55">
        <v>16132432.432432432</v>
      </c>
      <c r="O55">
        <v>24806891.891891893</v>
      </c>
      <c r="P55">
        <v>23229711.711711712</v>
      </c>
      <c r="Q55">
        <v>20438648.648648649</v>
      </c>
      <c r="R55">
        <v>12404144.144144144</v>
      </c>
      <c r="S55">
        <v>1459</v>
      </c>
      <c r="T55">
        <v>1132</v>
      </c>
    </row>
    <row r="56" spans="1:20" x14ac:dyDescent="0.35">
      <c r="A56" s="7" t="s">
        <v>129</v>
      </c>
      <c r="B56" s="12" t="s">
        <v>79</v>
      </c>
      <c r="C56">
        <v>244188428.76925704</v>
      </c>
      <c r="D56">
        <v>247493457.44184986</v>
      </c>
      <c r="E56">
        <v>2924099.0990991038</v>
      </c>
      <c r="F56">
        <v>3910360.360360363</v>
      </c>
      <c r="G56">
        <v>200</v>
      </c>
      <c r="H56">
        <v>72</v>
      </c>
      <c r="K56">
        <v>234</v>
      </c>
      <c r="L56">
        <v>139</v>
      </c>
      <c r="M56">
        <v>33135135.135135137</v>
      </c>
      <c r="N56">
        <v>44874324.324324325</v>
      </c>
      <c r="O56">
        <v>94181196.396396399</v>
      </c>
      <c r="P56">
        <v>100482225.22522523</v>
      </c>
      <c r="Q56">
        <v>31800540.540540535</v>
      </c>
      <c r="R56">
        <v>41934504.504504502</v>
      </c>
      <c r="S56">
        <v>6198</v>
      </c>
      <c r="T56">
        <v>5890</v>
      </c>
    </row>
    <row r="57" spans="1:20" x14ac:dyDescent="0.35">
      <c r="A57" s="7" t="s">
        <v>130</v>
      </c>
      <c r="B57" s="12" t="s">
        <v>86</v>
      </c>
      <c r="C57">
        <v>72284755.343095809</v>
      </c>
      <c r="D57">
        <v>75967179.646939248</v>
      </c>
      <c r="E57">
        <v>212612.612612614</v>
      </c>
      <c r="F57">
        <v>676576.57657657797</v>
      </c>
      <c r="G57">
        <v>16</v>
      </c>
      <c r="H57">
        <v>52</v>
      </c>
      <c r="K57">
        <v>18</v>
      </c>
      <c r="L57">
        <v>58</v>
      </c>
      <c r="M57">
        <v>87578108.108108118</v>
      </c>
      <c r="N57">
        <v>79552252.252252251</v>
      </c>
      <c r="O57">
        <v>33936648.648648649</v>
      </c>
      <c r="P57">
        <v>42666801.801801801</v>
      </c>
      <c r="Q57">
        <v>69338738.738738731</v>
      </c>
      <c r="R57">
        <v>72141981.981981978</v>
      </c>
      <c r="S57">
        <v>1384</v>
      </c>
      <c r="T57">
        <v>1172</v>
      </c>
    </row>
    <row r="58" spans="1:20" x14ac:dyDescent="0.35">
      <c r="A58" s="7" t="s">
        <v>131</v>
      </c>
      <c r="B58" s="12" t="s">
        <v>90</v>
      </c>
      <c r="C58">
        <v>669552161.11752439</v>
      </c>
      <c r="D58">
        <v>666697268.69387007</v>
      </c>
      <c r="E58">
        <v>4886936.9369369429</v>
      </c>
      <c r="F58">
        <v>8745945.9459459502</v>
      </c>
      <c r="G58">
        <v>83</v>
      </c>
      <c r="H58">
        <v>90</v>
      </c>
      <c r="K58">
        <v>115</v>
      </c>
      <c r="L58">
        <v>127</v>
      </c>
      <c r="M58">
        <v>72870180.180180177</v>
      </c>
      <c r="N58">
        <v>62045855.855855852</v>
      </c>
      <c r="O58">
        <v>208477609.009009</v>
      </c>
      <c r="P58">
        <v>213904468.46846849</v>
      </c>
      <c r="Q58">
        <v>70514590.990990996</v>
      </c>
      <c r="R58">
        <v>60705585.585585594</v>
      </c>
      <c r="S58">
        <v>12754</v>
      </c>
      <c r="T58">
        <v>10668</v>
      </c>
    </row>
    <row r="59" spans="1:20" x14ac:dyDescent="0.35">
      <c r="A59" s="7" t="s">
        <v>132</v>
      </c>
      <c r="B59" s="12" t="s">
        <v>133</v>
      </c>
      <c r="C59">
        <v>369247076.75609446</v>
      </c>
      <c r="D59">
        <v>353725717.32258213</v>
      </c>
      <c r="E59">
        <v>1705405.4054054071</v>
      </c>
      <c r="F59">
        <v>2836036.0360360402</v>
      </c>
      <c r="G59">
        <v>214</v>
      </c>
      <c r="H59">
        <v>144</v>
      </c>
      <c r="K59">
        <v>223</v>
      </c>
      <c r="L59">
        <v>160</v>
      </c>
      <c r="M59">
        <v>33683783.783783786</v>
      </c>
      <c r="N59">
        <v>60324324.324324325</v>
      </c>
      <c r="O59">
        <v>116311914.86486487</v>
      </c>
      <c r="P59">
        <v>119102864.86486487</v>
      </c>
      <c r="Q59">
        <v>33406306.306306314</v>
      </c>
      <c r="R59">
        <v>53627207.207207203</v>
      </c>
      <c r="S59">
        <v>7640</v>
      </c>
      <c r="T59">
        <v>7359</v>
      </c>
    </row>
    <row r="60" spans="1:20" x14ac:dyDescent="0.35">
      <c r="A60" s="7" t="s">
        <v>134</v>
      </c>
      <c r="B60" s="12" t="s">
        <v>135</v>
      </c>
      <c r="C60">
        <v>42614089.037054449</v>
      </c>
      <c r="D60">
        <v>60292090.411836736</v>
      </c>
      <c r="G60">
        <v>3</v>
      </c>
      <c r="H60">
        <v>4</v>
      </c>
      <c r="K60">
        <v>3</v>
      </c>
      <c r="L60">
        <v>6</v>
      </c>
      <c r="O60">
        <v>6955439.6396396393</v>
      </c>
      <c r="P60">
        <v>9673387.3873873875</v>
      </c>
      <c r="S60">
        <v>2304</v>
      </c>
      <c r="T60">
        <v>2284</v>
      </c>
    </row>
    <row r="61" spans="1:20" x14ac:dyDescent="0.35">
      <c r="A61" s="7" t="s">
        <v>136</v>
      </c>
      <c r="B61" s="12" t="s">
        <v>137</v>
      </c>
      <c r="C61">
        <v>298964731.13373744</v>
      </c>
      <c r="D61">
        <v>297617643.60607606</v>
      </c>
      <c r="E61">
        <v>1035135.1351351381</v>
      </c>
      <c r="F61">
        <v>1536036.036036039</v>
      </c>
      <c r="G61">
        <v>82</v>
      </c>
      <c r="H61">
        <v>60</v>
      </c>
      <c r="I61">
        <v>3</v>
      </c>
      <c r="K61">
        <v>85</v>
      </c>
      <c r="L61">
        <v>73</v>
      </c>
      <c r="M61">
        <v>25314414.414414417</v>
      </c>
      <c r="N61">
        <v>29486486.486486487</v>
      </c>
      <c r="O61">
        <v>46308081.081081077</v>
      </c>
      <c r="P61">
        <v>53101097.297297299</v>
      </c>
      <c r="Q61">
        <v>22068198.198198196</v>
      </c>
      <c r="R61">
        <v>25505765.765765768</v>
      </c>
      <c r="S61">
        <v>3882</v>
      </c>
      <c r="T61">
        <v>3537</v>
      </c>
    </row>
    <row r="62" spans="1:20" x14ac:dyDescent="0.35">
      <c r="A62" s="7" t="s">
        <v>138</v>
      </c>
      <c r="B62" s="12" t="s">
        <v>90</v>
      </c>
      <c r="C62">
        <v>329646452.07538265</v>
      </c>
      <c r="D62">
        <v>338869980.07865286</v>
      </c>
      <c r="E62">
        <v>4433108.1081081154</v>
      </c>
      <c r="F62">
        <v>5790090.0900900932</v>
      </c>
      <c r="G62">
        <v>70</v>
      </c>
      <c r="H62">
        <v>34</v>
      </c>
      <c r="I62">
        <v>10</v>
      </c>
      <c r="K62">
        <v>296</v>
      </c>
      <c r="L62">
        <v>79</v>
      </c>
      <c r="M62">
        <v>60955585.585585587</v>
      </c>
      <c r="N62">
        <v>66071171.171171166</v>
      </c>
      <c r="O62">
        <v>118227980.18018018</v>
      </c>
      <c r="P62">
        <v>124817756.75675675</v>
      </c>
      <c r="Q62">
        <v>54246126.126126125</v>
      </c>
      <c r="R62">
        <v>66075405.405405402</v>
      </c>
      <c r="S62">
        <v>5084</v>
      </c>
      <c r="T62">
        <v>4784</v>
      </c>
    </row>
    <row r="63" spans="1:20" x14ac:dyDescent="0.35">
      <c r="A63" s="7" t="s">
        <v>139</v>
      </c>
      <c r="B63" s="12" t="s">
        <v>79</v>
      </c>
      <c r="C63">
        <v>237629294.69119713</v>
      </c>
      <c r="D63">
        <v>239197643.60069969</v>
      </c>
      <c r="E63">
        <v>6393693.6936936947</v>
      </c>
      <c r="F63">
        <v>6688288.2882882906</v>
      </c>
      <c r="G63">
        <v>133</v>
      </c>
      <c r="H63">
        <v>105</v>
      </c>
      <c r="I63">
        <v>4</v>
      </c>
      <c r="K63">
        <v>151</v>
      </c>
      <c r="L63">
        <v>123</v>
      </c>
      <c r="M63">
        <v>35105405.405405402</v>
      </c>
      <c r="N63">
        <v>41039639.639639638</v>
      </c>
      <c r="O63">
        <v>102282416.66666667</v>
      </c>
      <c r="P63">
        <v>104746855.85585585</v>
      </c>
      <c r="Q63">
        <v>34256576.576576576</v>
      </c>
      <c r="R63">
        <v>36106846.846846849</v>
      </c>
      <c r="S63">
        <v>5732</v>
      </c>
      <c r="T63">
        <v>5201</v>
      </c>
    </row>
    <row r="64" spans="1:20" x14ac:dyDescent="0.35">
      <c r="A64" s="7" t="s">
        <v>140</v>
      </c>
      <c r="B64" s="12" t="s">
        <v>141</v>
      </c>
      <c r="C64">
        <v>328790555.2163626</v>
      </c>
      <c r="D64">
        <v>358081141.1912629</v>
      </c>
      <c r="E64">
        <v>3395495.4954954959</v>
      </c>
      <c r="F64">
        <v>3612612.612612613</v>
      </c>
      <c r="G64">
        <v>26</v>
      </c>
      <c r="H64">
        <v>14</v>
      </c>
      <c r="K64">
        <v>27</v>
      </c>
      <c r="L64">
        <v>33</v>
      </c>
      <c r="M64">
        <v>33793513.513513513</v>
      </c>
      <c r="N64">
        <v>34463063.063063063</v>
      </c>
      <c r="O64">
        <v>57560486.486486487</v>
      </c>
      <c r="P64">
        <v>64578021.621621624</v>
      </c>
      <c r="Q64">
        <v>27817837.837837841</v>
      </c>
      <c r="R64">
        <v>29226576.576576579</v>
      </c>
      <c r="S64">
        <v>4894</v>
      </c>
      <c r="T64">
        <v>5527</v>
      </c>
    </row>
    <row r="65" spans="1:20" x14ac:dyDescent="0.35">
      <c r="A65" s="7" t="s">
        <v>142</v>
      </c>
      <c r="B65" s="12" t="s">
        <v>63</v>
      </c>
      <c r="C65">
        <v>217524596.90959966</v>
      </c>
      <c r="D65">
        <v>228349533.47620678</v>
      </c>
      <c r="E65">
        <v>613998227.02702713</v>
      </c>
      <c r="F65">
        <v>817718515.31531537</v>
      </c>
      <c r="G65">
        <v>126</v>
      </c>
      <c r="H65">
        <v>33</v>
      </c>
      <c r="I65">
        <v>4</v>
      </c>
      <c r="K65">
        <v>142</v>
      </c>
      <c r="L65">
        <v>61</v>
      </c>
      <c r="M65">
        <v>177291068.46846849</v>
      </c>
      <c r="N65">
        <v>294774117.11711711</v>
      </c>
      <c r="O65">
        <v>48105891.891891889</v>
      </c>
      <c r="P65">
        <v>51997099.099099107</v>
      </c>
      <c r="Q65">
        <v>116290630.63063063</v>
      </c>
      <c r="R65">
        <v>251471981.98198199</v>
      </c>
      <c r="S65">
        <v>4315</v>
      </c>
      <c r="T65">
        <v>3883</v>
      </c>
    </row>
    <row r="66" spans="1:20" x14ac:dyDescent="0.35">
      <c r="A66" s="7" t="s">
        <v>143</v>
      </c>
      <c r="B66" s="12" t="s">
        <v>144</v>
      </c>
      <c r="C66">
        <v>2253607.9969365522</v>
      </c>
      <c r="D66">
        <v>2376253.8740562429</v>
      </c>
      <c r="G66">
        <v>1</v>
      </c>
      <c r="K66">
        <v>1</v>
      </c>
      <c r="O66">
        <v>169009.00900900899</v>
      </c>
      <c r="P66">
        <v>273693.69369369402</v>
      </c>
      <c r="S66">
        <v>235</v>
      </c>
      <c r="T66">
        <v>127</v>
      </c>
    </row>
    <row r="67" spans="1:20" x14ac:dyDescent="0.35">
      <c r="A67" s="7" t="s">
        <v>145</v>
      </c>
      <c r="B67" s="12" t="s">
        <v>141</v>
      </c>
      <c r="C67">
        <v>464009756.1072889</v>
      </c>
      <c r="D67">
        <v>469573670.33704454</v>
      </c>
      <c r="E67">
        <v>113264864.86486487</v>
      </c>
      <c r="F67">
        <v>174172252.25225225</v>
      </c>
      <c r="G67">
        <v>116</v>
      </c>
      <c r="H67">
        <v>54</v>
      </c>
      <c r="K67">
        <v>135</v>
      </c>
      <c r="L67">
        <v>69</v>
      </c>
      <c r="M67">
        <v>53971081.081081077</v>
      </c>
      <c r="N67">
        <v>60323423.423423424</v>
      </c>
      <c r="O67">
        <v>87441369.369369373</v>
      </c>
      <c r="P67">
        <v>93062576.576576576</v>
      </c>
      <c r="Q67">
        <v>50818288.288288288</v>
      </c>
      <c r="R67">
        <v>58173783.783783786</v>
      </c>
      <c r="S67">
        <v>8079</v>
      </c>
      <c r="T67">
        <v>7804</v>
      </c>
    </row>
    <row r="68" spans="1:20" x14ac:dyDescent="0.35">
      <c r="A68" s="7" t="s">
        <v>146</v>
      </c>
      <c r="B68" s="12" t="s">
        <v>79</v>
      </c>
      <c r="C68">
        <v>331695239.24317205</v>
      </c>
      <c r="D68">
        <v>334242943.41989207</v>
      </c>
      <c r="E68">
        <v>4445045.0450450471</v>
      </c>
      <c r="F68">
        <v>4321621.6216216236</v>
      </c>
      <c r="G68">
        <v>106</v>
      </c>
      <c r="H68">
        <v>78</v>
      </c>
      <c r="K68">
        <v>116</v>
      </c>
      <c r="L68">
        <v>104</v>
      </c>
      <c r="M68">
        <v>34151351.351351351</v>
      </c>
      <c r="N68">
        <v>41476126.126126125</v>
      </c>
      <c r="O68">
        <v>93986369.369369373</v>
      </c>
      <c r="P68">
        <v>97940151.351351365</v>
      </c>
      <c r="Q68">
        <v>33854144.14414414</v>
      </c>
      <c r="R68">
        <v>37883783.783783786</v>
      </c>
      <c r="S68">
        <v>6548</v>
      </c>
      <c r="T68">
        <v>6558</v>
      </c>
    </row>
    <row r="69" spans="1:20" x14ac:dyDescent="0.35">
      <c r="A69" s="7" t="s">
        <v>147</v>
      </c>
      <c r="B69" s="12" t="s">
        <v>148</v>
      </c>
      <c r="C69">
        <v>218250126.02782753</v>
      </c>
      <c r="D69">
        <v>213088284.78675213</v>
      </c>
      <c r="E69">
        <v>90673423.423423424</v>
      </c>
      <c r="F69">
        <v>184581081.08108109</v>
      </c>
      <c r="G69">
        <v>45</v>
      </c>
      <c r="H69">
        <v>31</v>
      </c>
      <c r="K69">
        <v>48</v>
      </c>
      <c r="L69">
        <v>34</v>
      </c>
      <c r="M69">
        <v>82735669.369369373</v>
      </c>
      <c r="N69">
        <v>89079729.729729727</v>
      </c>
      <c r="O69">
        <v>68956567.567567572</v>
      </c>
      <c r="P69">
        <v>69523052.252252251</v>
      </c>
      <c r="Q69">
        <v>67094864.864864863</v>
      </c>
      <c r="R69">
        <v>78707837.837837845</v>
      </c>
      <c r="S69">
        <v>4219</v>
      </c>
      <c r="T69">
        <v>3685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36.482644888000003</v>
      </c>
      <c r="S70">
        <v>1</v>
      </c>
    </row>
    <row r="71" spans="1:20" x14ac:dyDescent="0.35">
      <c r="A71" s="7" t="s">
        <v>150</v>
      </c>
      <c r="B71" s="12" t="s">
        <v>51</v>
      </c>
      <c r="C71">
        <v>193621203.02873296</v>
      </c>
      <c r="D71">
        <v>193568660.54660845</v>
      </c>
      <c r="E71">
        <v>571985517.11711717</v>
      </c>
      <c r="F71">
        <v>283941366.66666663</v>
      </c>
      <c r="G71">
        <v>61</v>
      </c>
      <c r="H71">
        <v>25</v>
      </c>
      <c r="K71">
        <v>62</v>
      </c>
      <c r="L71">
        <v>34</v>
      </c>
      <c r="M71">
        <v>108288738.73873873</v>
      </c>
      <c r="N71">
        <v>122129909.9099099</v>
      </c>
      <c r="O71">
        <v>86081216.216216221</v>
      </c>
      <c r="P71">
        <v>88903621.621621609</v>
      </c>
      <c r="Q71">
        <v>12006486.486486483</v>
      </c>
      <c r="R71">
        <v>15701531.53153153</v>
      </c>
      <c r="S71">
        <v>3554</v>
      </c>
      <c r="T71">
        <v>3552</v>
      </c>
    </row>
    <row r="72" spans="1:20" x14ac:dyDescent="0.35">
      <c r="A72" s="7" t="s">
        <v>151</v>
      </c>
      <c r="B72" s="12" t="s">
        <v>152</v>
      </c>
      <c r="C72">
        <v>58653422.199613869</v>
      </c>
      <c r="D72">
        <v>54798687.334160611</v>
      </c>
      <c r="E72">
        <v>583130630.63063061</v>
      </c>
      <c r="F72">
        <v>285984684.68468469</v>
      </c>
      <c r="G72">
        <v>11</v>
      </c>
      <c r="H72">
        <v>5</v>
      </c>
      <c r="K72">
        <v>12</v>
      </c>
      <c r="L72">
        <v>6</v>
      </c>
      <c r="M72">
        <v>86253153.153153151</v>
      </c>
      <c r="N72">
        <v>48434234.234234229</v>
      </c>
      <c r="O72">
        <v>16097603.603603603</v>
      </c>
      <c r="P72">
        <v>15362918.918918921</v>
      </c>
      <c r="Q72">
        <v>27580810.810810812</v>
      </c>
      <c r="R72">
        <v>32459279.27927928</v>
      </c>
      <c r="S72">
        <v>911</v>
      </c>
      <c r="T72">
        <v>666</v>
      </c>
    </row>
    <row r="73" spans="1:20" x14ac:dyDescent="0.35">
      <c r="A73" s="7" t="s">
        <v>153</v>
      </c>
      <c r="B73" s="12" t="s">
        <v>152</v>
      </c>
      <c r="C73">
        <v>575780372.13711035</v>
      </c>
      <c r="D73">
        <v>557090557.29109704</v>
      </c>
      <c r="E73">
        <v>257369949.54954955</v>
      </c>
      <c r="F73">
        <v>258721088.2882883</v>
      </c>
      <c r="G73">
        <v>339</v>
      </c>
      <c r="H73">
        <v>159</v>
      </c>
      <c r="I73">
        <v>2</v>
      </c>
      <c r="K73">
        <v>352</v>
      </c>
      <c r="L73">
        <v>264</v>
      </c>
      <c r="M73">
        <v>402692864.86486489</v>
      </c>
      <c r="N73">
        <v>415925706.3063063</v>
      </c>
      <c r="O73">
        <v>204332333.33333334</v>
      </c>
      <c r="P73">
        <v>203320585.58558559</v>
      </c>
      <c r="Q73">
        <v>315436565.76576579</v>
      </c>
      <c r="R73">
        <v>317169232.43243247</v>
      </c>
      <c r="S73">
        <v>8595</v>
      </c>
      <c r="T73">
        <v>8121</v>
      </c>
    </row>
    <row r="74" spans="1:20" x14ac:dyDescent="0.35">
      <c r="A74" s="7" t="s">
        <v>154</v>
      </c>
      <c r="B74" s="12" t="s">
        <v>155</v>
      </c>
      <c r="C74">
        <v>479368414.27032167</v>
      </c>
      <c r="D74">
        <v>471443707.68596011</v>
      </c>
      <c r="E74">
        <v>371227410.8108108</v>
      </c>
      <c r="F74">
        <v>356226247.74774778</v>
      </c>
      <c r="G74">
        <v>71</v>
      </c>
      <c r="H74">
        <v>41</v>
      </c>
      <c r="K74">
        <v>79</v>
      </c>
      <c r="L74">
        <v>55</v>
      </c>
      <c r="M74">
        <v>91981081.081081092</v>
      </c>
      <c r="N74">
        <v>111880630.63063063</v>
      </c>
      <c r="O74">
        <v>204941468.46846849</v>
      </c>
      <c r="P74">
        <v>210949378.37837836</v>
      </c>
      <c r="Q74">
        <v>60320360.360360362</v>
      </c>
      <c r="R74">
        <v>89906576.576576576</v>
      </c>
      <c r="S74">
        <v>7808</v>
      </c>
      <c r="T74">
        <v>12088</v>
      </c>
    </row>
    <row r="75" spans="1:20" x14ac:dyDescent="0.35">
      <c r="A75" s="7" t="s">
        <v>156</v>
      </c>
      <c r="B75" s="12" t="s">
        <v>155</v>
      </c>
      <c r="C75">
        <v>50834098.537995949</v>
      </c>
      <c r="D75">
        <v>58029936.035288975</v>
      </c>
      <c r="E75">
        <v>244144.144144144</v>
      </c>
      <c r="F75">
        <v>1184684.684684685</v>
      </c>
      <c r="G75">
        <v>12</v>
      </c>
      <c r="H75">
        <v>8</v>
      </c>
      <c r="K75">
        <v>15</v>
      </c>
      <c r="L75">
        <v>9</v>
      </c>
      <c r="M75">
        <v>5353153.1531531531</v>
      </c>
      <c r="N75">
        <v>23759459.459459461</v>
      </c>
      <c r="O75">
        <v>13288324.324324325</v>
      </c>
      <c r="P75">
        <v>17747864.864864863</v>
      </c>
      <c r="Q75">
        <v>4642522.5225225221</v>
      </c>
      <c r="R75">
        <v>17814144.144144148</v>
      </c>
      <c r="S75">
        <v>2089</v>
      </c>
      <c r="T75">
        <v>1969</v>
      </c>
    </row>
    <row r="76" spans="1:20" x14ac:dyDescent="0.35">
      <c r="A76" s="7" t="s">
        <v>157</v>
      </c>
      <c r="B76" s="12" t="s">
        <v>155</v>
      </c>
      <c r="C76">
        <v>561371006.24275887</v>
      </c>
      <c r="D76">
        <v>539515678.22742772</v>
      </c>
      <c r="E76">
        <v>4987612.6126126125</v>
      </c>
      <c r="F76">
        <v>12346846.846846852</v>
      </c>
      <c r="G76">
        <v>54</v>
      </c>
      <c r="H76">
        <v>43</v>
      </c>
      <c r="K76">
        <v>150</v>
      </c>
      <c r="L76">
        <v>211</v>
      </c>
      <c r="M76">
        <v>112702702.7027027</v>
      </c>
      <c r="N76">
        <v>173349189.1891892</v>
      </c>
      <c r="O76">
        <v>218306729.72972974</v>
      </c>
      <c r="P76">
        <v>230706243.24324322</v>
      </c>
      <c r="Q76">
        <v>122370900.9009009</v>
      </c>
      <c r="R76">
        <v>152517387.38738739</v>
      </c>
      <c r="S76">
        <v>8420</v>
      </c>
      <c r="T76">
        <v>7914</v>
      </c>
    </row>
    <row r="77" spans="1:20" x14ac:dyDescent="0.35">
      <c r="A77" s="7" t="s">
        <v>158</v>
      </c>
      <c r="B77" s="12" t="s">
        <v>135</v>
      </c>
      <c r="C77">
        <v>259131986.81081516</v>
      </c>
      <c r="D77">
        <v>248426124.35050055</v>
      </c>
      <c r="E77">
        <v>1390990.990990994</v>
      </c>
      <c r="F77">
        <v>3028828.8288288321</v>
      </c>
      <c r="G77">
        <v>48</v>
      </c>
      <c r="H77">
        <v>59</v>
      </c>
      <c r="K77">
        <v>53</v>
      </c>
      <c r="L77">
        <v>101</v>
      </c>
      <c r="M77">
        <v>34134242.342342347</v>
      </c>
      <c r="N77">
        <v>29803603.603603605</v>
      </c>
      <c r="O77">
        <v>25397828.828828827</v>
      </c>
      <c r="P77">
        <v>27191792.792792793</v>
      </c>
      <c r="Q77">
        <v>16697477.477477476</v>
      </c>
      <c r="R77">
        <v>16708918.918918921</v>
      </c>
      <c r="S77">
        <v>4855</v>
      </c>
      <c r="T77">
        <v>4539</v>
      </c>
    </row>
    <row r="78" spans="1:20" x14ac:dyDescent="0.35">
      <c r="A78" s="7" t="s">
        <v>1</v>
      </c>
      <c r="B78" s="12" t="s">
        <v>159</v>
      </c>
      <c r="C78">
        <v>465905294.21890908</v>
      </c>
      <c r="D78">
        <v>463283811.68199193</v>
      </c>
      <c r="E78">
        <v>3445945.9459459488</v>
      </c>
      <c r="F78">
        <v>7259459.4594594603</v>
      </c>
      <c r="G78">
        <v>269</v>
      </c>
      <c r="H78">
        <v>86</v>
      </c>
      <c r="I78">
        <v>1</v>
      </c>
      <c r="K78">
        <v>525</v>
      </c>
      <c r="L78">
        <v>333</v>
      </c>
      <c r="M78">
        <v>55123333.333333336</v>
      </c>
      <c r="N78">
        <v>100528378.37837839</v>
      </c>
      <c r="O78">
        <v>221557009.00900903</v>
      </c>
      <c r="P78">
        <v>224718180.18018019</v>
      </c>
      <c r="Q78">
        <v>52508558.558558561</v>
      </c>
      <c r="R78">
        <v>98196306.306306303</v>
      </c>
      <c r="S78">
        <v>9363</v>
      </c>
      <c r="T78">
        <v>8006</v>
      </c>
    </row>
    <row r="79" spans="1:20" x14ac:dyDescent="0.35">
      <c r="A79" s="7" t="s">
        <v>160</v>
      </c>
      <c r="B79" s="12" t="s">
        <v>122</v>
      </c>
      <c r="C79">
        <v>17123269.092442919</v>
      </c>
      <c r="D79">
        <v>14563386.650153302</v>
      </c>
      <c r="G79">
        <v>8</v>
      </c>
      <c r="H79">
        <v>9</v>
      </c>
      <c r="K79">
        <v>8</v>
      </c>
      <c r="L79">
        <v>11</v>
      </c>
      <c r="O79">
        <v>1664684.684684685</v>
      </c>
      <c r="P79">
        <v>1790180.1801801799</v>
      </c>
      <c r="Q79">
        <v>29729.729729729999</v>
      </c>
      <c r="R79">
        <v>116216.21621621599</v>
      </c>
      <c r="S79">
        <v>661</v>
      </c>
      <c r="T79">
        <v>500</v>
      </c>
    </row>
    <row r="80" spans="1:20" x14ac:dyDescent="0.35">
      <c r="A80" s="7" t="s">
        <v>161</v>
      </c>
      <c r="B80" s="12" t="s">
        <v>162</v>
      </c>
      <c r="C80">
        <v>245926811.10469615</v>
      </c>
      <c r="D80">
        <v>258019037.47044981</v>
      </c>
      <c r="E80">
        <v>7105405.4054054106</v>
      </c>
      <c r="F80">
        <v>5499099.0990991071</v>
      </c>
      <c r="G80">
        <v>186</v>
      </c>
      <c r="H80">
        <v>301</v>
      </c>
      <c r="K80">
        <v>278</v>
      </c>
      <c r="L80">
        <v>525</v>
      </c>
      <c r="M80">
        <v>99715521.621621609</v>
      </c>
      <c r="N80">
        <v>98492207.207207203</v>
      </c>
      <c r="O80">
        <v>107696486.48648648</v>
      </c>
      <c r="P80">
        <v>115202349.54954955</v>
      </c>
      <c r="Q80">
        <v>96636036.036036029</v>
      </c>
      <c r="R80">
        <v>98178063.06306307</v>
      </c>
      <c r="S80">
        <v>15794</v>
      </c>
      <c r="T80">
        <v>7876</v>
      </c>
    </row>
    <row r="81" spans="1:20" x14ac:dyDescent="0.35">
      <c r="A81" s="7" t="s">
        <v>163</v>
      </c>
      <c r="B81" s="12" t="s">
        <v>77</v>
      </c>
      <c r="C81">
        <v>111299463.05873467</v>
      </c>
      <c r="D81">
        <v>114042835.29304837</v>
      </c>
      <c r="E81">
        <v>370270.27027027099</v>
      </c>
      <c r="F81">
        <v>227927.92792792799</v>
      </c>
      <c r="G81">
        <v>50</v>
      </c>
      <c r="H81">
        <v>16</v>
      </c>
      <c r="K81">
        <v>53</v>
      </c>
      <c r="L81">
        <v>16</v>
      </c>
      <c r="M81">
        <v>1694594.594594595</v>
      </c>
      <c r="N81">
        <v>1754054.0540540549</v>
      </c>
      <c r="O81">
        <v>6176828.8288288293</v>
      </c>
      <c r="P81">
        <v>5844162.1621621624</v>
      </c>
      <c r="Q81">
        <v>1586756.7567567569</v>
      </c>
      <c r="R81">
        <v>1743603.6036036031</v>
      </c>
      <c r="S81">
        <v>1010</v>
      </c>
      <c r="T81">
        <v>939</v>
      </c>
    </row>
    <row r="82" spans="1:20" x14ac:dyDescent="0.35">
      <c r="A82" s="7" t="s">
        <v>164</v>
      </c>
      <c r="B82" s="12" t="s">
        <v>53</v>
      </c>
      <c r="C82">
        <v>85635689.92707409</v>
      </c>
      <c r="D82">
        <v>81425541.544633403</v>
      </c>
      <c r="E82">
        <v>1390090.0900900911</v>
      </c>
      <c r="F82">
        <v>1600000.0000000021</v>
      </c>
      <c r="G82">
        <v>26</v>
      </c>
      <c r="H82">
        <v>7</v>
      </c>
      <c r="K82">
        <v>28</v>
      </c>
      <c r="L82">
        <v>10</v>
      </c>
      <c r="M82">
        <v>1642342.3423423429</v>
      </c>
      <c r="N82">
        <v>3629909.9099099101</v>
      </c>
      <c r="O82">
        <v>41688288.288288288</v>
      </c>
      <c r="P82">
        <v>37560837.837837838</v>
      </c>
      <c r="Q82">
        <v>1788198.1981982</v>
      </c>
      <c r="R82">
        <v>3393153.1531531541</v>
      </c>
      <c r="S82">
        <v>1921</v>
      </c>
      <c r="T82">
        <v>1358</v>
      </c>
    </row>
    <row r="83" spans="1:20" x14ac:dyDescent="0.35">
      <c r="A83" s="7" t="s">
        <v>165</v>
      </c>
      <c r="B83" s="12" t="s">
        <v>88</v>
      </c>
      <c r="C83">
        <v>47167300.851022691</v>
      </c>
      <c r="D83">
        <v>59372589.002924025</v>
      </c>
      <c r="E83">
        <v>503603.60360360402</v>
      </c>
      <c r="F83">
        <v>65765.765765766002</v>
      </c>
      <c r="G83">
        <v>17</v>
      </c>
      <c r="H83">
        <v>17</v>
      </c>
      <c r="K83">
        <v>18</v>
      </c>
      <c r="L83">
        <v>19</v>
      </c>
      <c r="M83">
        <v>3561261.2612612611</v>
      </c>
      <c r="N83">
        <v>1971171.1711711721</v>
      </c>
      <c r="O83">
        <v>4846936.9369369373</v>
      </c>
      <c r="P83">
        <v>8788063.0630630627</v>
      </c>
      <c r="Q83">
        <v>3126216.2162162159</v>
      </c>
      <c r="R83">
        <v>2046126.1261261271</v>
      </c>
      <c r="S83">
        <v>1235</v>
      </c>
      <c r="T83">
        <v>1203</v>
      </c>
    </row>
    <row r="84" spans="1:20" x14ac:dyDescent="0.35">
      <c r="A84" s="7" t="s">
        <v>166</v>
      </c>
      <c r="B84" s="12" t="s">
        <v>144</v>
      </c>
      <c r="C84">
        <v>14795301.245126501</v>
      </c>
      <c r="D84">
        <v>14373405.257439587</v>
      </c>
      <c r="E84">
        <v>265765.76576576597</v>
      </c>
      <c r="F84">
        <v>297297.29729729798</v>
      </c>
      <c r="G84">
        <v>10</v>
      </c>
      <c r="K84">
        <v>10</v>
      </c>
      <c r="M84">
        <v>2220720.72072072</v>
      </c>
      <c r="N84">
        <v>747747.74774774804</v>
      </c>
      <c r="O84">
        <v>1739702.702702703</v>
      </c>
      <c r="P84">
        <v>1591297.297297297</v>
      </c>
      <c r="Q84">
        <v>893513.51351351303</v>
      </c>
      <c r="R84">
        <v>962972.97297297302</v>
      </c>
      <c r="S84">
        <v>384</v>
      </c>
      <c r="T84">
        <v>352</v>
      </c>
    </row>
    <row r="85" spans="1:20" x14ac:dyDescent="0.35">
      <c r="A85" s="7" t="s">
        <v>167</v>
      </c>
      <c r="B85" s="12" t="s">
        <v>168</v>
      </c>
      <c r="C85">
        <v>59563872.570280559</v>
      </c>
      <c r="D85">
        <v>55536901.318594277</v>
      </c>
      <c r="E85">
        <v>853153.15315315302</v>
      </c>
      <c r="F85">
        <v>2988288.2882882878</v>
      </c>
      <c r="G85">
        <v>19</v>
      </c>
      <c r="H85">
        <v>11</v>
      </c>
      <c r="K85">
        <v>21</v>
      </c>
      <c r="L85">
        <v>14</v>
      </c>
      <c r="M85">
        <v>9164414.4144144133</v>
      </c>
      <c r="N85">
        <v>9504504.5045045037</v>
      </c>
      <c r="O85">
        <v>28532394.594594598</v>
      </c>
      <c r="P85">
        <v>29760900.9009009</v>
      </c>
      <c r="Q85">
        <v>6278108.1081081079</v>
      </c>
      <c r="R85">
        <v>6858198.1981981993</v>
      </c>
      <c r="S85">
        <v>1432</v>
      </c>
      <c r="T85">
        <v>1437</v>
      </c>
    </row>
    <row r="86" spans="1:20" x14ac:dyDescent="0.35">
      <c r="A86" s="7" t="s">
        <v>169</v>
      </c>
      <c r="B86" s="12" t="s">
        <v>170</v>
      </c>
      <c r="C86">
        <v>281808510.50813359</v>
      </c>
      <c r="D86">
        <v>295261908.4690069</v>
      </c>
      <c r="E86">
        <v>1809009.009009009</v>
      </c>
      <c r="F86">
        <v>4321621.6216216236</v>
      </c>
      <c r="G86">
        <v>52</v>
      </c>
      <c r="H86">
        <v>44</v>
      </c>
      <c r="K86">
        <v>57</v>
      </c>
      <c r="L86">
        <v>54</v>
      </c>
      <c r="M86">
        <v>41566916.216216214</v>
      </c>
      <c r="N86">
        <v>64525225.225225225</v>
      </c>
      <c r="O86">
        <v>85900038.288288295</v>
      </c>
      <c r="P86">
        <v>95561522.522522524</v>
      </c>
      <c r="Q86">
        <v>42842162.162162162</v>
      </c>
      <c r="R86">
        <v>61108288.288288288</v>
      </c>
      <c r="S86">
        <v>6893</v>
      </c>
      <c r="T86">
        <v>6712</v>
      </c>
    </row>
    <row r="87" spans="1:20" x14ac:dyDescent="0.35">
      <c r="A87" s="7" t="s">
        <v>171</v>
      </c>
      <c r="B87" s="12" t="s">
        <v>55</v>
      </c>
      <c r="C87">
        <v>41720961.007106945</v>
      </c>
      <c r="D87">
        <v>49417144.874532253</v>
      </c>
      <c r="E87">
        <v>390090.09009009099</v>
      </c>
      <c r="F87">
        <v>188288.28828828901</v>
      </c>
      <c r="G87">
        <v>3</v>
      </c>
      <c r="H87">
        <v>4</v>
      </c>
      <c r="K87">
        <v>4</v>
      </c>
      <c r="L87">
        <v>5</v>
      </c>
      <c r="M87">
        <v>4401351.3513513524</v>
      </c>
      <c r="N87">
        <v>5936036.0360360369</v>
      </c>
      <c r="O87">
        <v>6778333.333333333</v>
      </c>
      <c r="P87">
        <v>8036036.0360360369</v>
      </c>
      <c r="Q87">
        <v>4013603.6036036029</v>
      </c>
      <c r="R87">
        <v>5830090.0900900913</v>
      </c>
      <c r="S87">
        <v>797</v>
      </c>
      <c r="T87">
        <v>1707</v>
      </c>
    </row>
    <row r="88" spans="1:20" x14ac:dyDescent="0.35">
      <c r="A88" s="7" t="s">
        <v>172</v>
      </c>
      <c r="B88" s="12" t="s">
        <v>61</v>
      </c>
      <c r="C88">
        <v>883001783.23539603</v>
      </c>
      <c r="D88">
        <v>863566457.77192175</v>
      </c>
      <c r="E88">
        <v>11288063.063063065</v>
      </c>
      <c r="F88">
        <v>7114414.4144144217</v>
      </c>
      <c r="G88">
        <v>236</v>
      </c>
      <c r="H88">
        <v>64</v>
      </c>
      <c r="K88">
        <v>271</v>
      </c>
      <c r="L88">
        <v>114</v>
      </c>
      <c r="M88">
        <v>46690090.090090089</v>
      </c>
      <c r="N88">
        <v>46078378.378378384</v>
      </c>
      <c r="O88">
        <v>324105774.77477479</v>
      </c>
      <c r="P88">
        <v>316174951.35135138</v>
      </c>
      <c r="Q88">
        <v>43025315.315315314</v>
      </c>
      <c r="R88">
        <v>42672612.612612613</v>
      </c>
      <c r="S88">
        <v>12806</v>
      </c>
      <c r="T88">
        <v>12217</v>
      </c>
    </row>
    <row r="89" spans="1:20" x14ac:dyDescent="0.35">
      <c r="A89" s="7" t="s">
        <v>173</v>
      </c>
      <c r="B89" s="12" t="s">
        <v>122</v>
      </c>
      <c r="C89">
        <v>362986787.68524325</v>
      </c>
      <c r="D89">
        <v>339484615.78751725</v>
      </c>
      <c r="E89">
        <v>2592792.7927927938</v>
      </c>
      <c r="F89">
        <v>1437837.837837846</v>
      </c>
      <c r="G89">
        <v>165</v>
      </c>
      <c r="H89">
        <v>128</v>
      </c>
      <c r="K89">
        <v>175</v>
      </c>
      <c r="L89">
        <v>153</v>
      </c>
      <c r="M89">
        <v>26227927.927927926</v>
      </c>
      <c r="N89">
        <v>27496396.396396399</v>
      </c>
      <c r="O89">
        <v>48889268.018018015</v>
      </c>
      <c r="P89">
        <v>54832684.684684686</v>
      </c>
      <c r="Q89">
        <v>16708108.108108109</v>
      </c>
      <c r="R89">
        <v>18628738.738738734</v>
      </c>
      <c r="S89">
        <v>5985</v>
      </c>
      <c r="T89">
        <v>5646</v>
      </c>
    </row>
    <row r="90" spans="1:20" x14ac:dyDescent="0.35">
      <c r="A90" s="7" t="s">
        <v>174</v>
      </c>
      <c r="B90" s="12" t="s">
        <v>175</v>
      </c>
      <c r="C90">
        <v>258119320.48450103</v>
      </c>
      <c r="D90">
        <v>270703242.94813478</v>
      </c>
      <c r="E90">
        <v>6306981.9819819806</v>
      </c>
      <c r="F90">
        <v>4563063.0630630665</v>
      </c>
      <c r="G90">
        <v>125</v>
      </c>
      <c r="H90">
        <v>46</v>
      </c>
      <c r="K90">
        <v>170</v>
      </c>
      <c r="L90">
        <v>71</v>
      </c>
      <c r="M90">
        <v>41868918.918918923</v>
      </c>
      <c r="N90">
        <v>45962612.612612605</v>
      </c>
      <c r="O90">
        <v>32812567.567567568</v>
      </c>
      <c r="P90">
        <v>36364846.846846849</v>
      </c>
      <c r="Q90">
        <v>37953873.873873875</v>
      </c>
      <c r="R90">
        <v>36763963.963963971</v>
      </c>
      <c r="S90">
        <v>5971</v>
      </c>
      <c r="T90">
        <v>4748</v>
      </c>
    </row>
    <row r="91" spans="1:20" x14ac:dyDescent="0.35">
      <c r="A91" s="7" t="s">
        <v>176</v>
      </c>
      <c r="B91" s="12" t="s">
        <v>175</v>
      </c>
      <c r="C91">
        <v>403591413.69424289</v>
      </c>
      <c r="D91">
        <v>417415777.86013877</v>
      </c>
      <c r="E91">
        <v>158385345.04504505</v>
      </c>
      <c r="F91">
        <v>159359217.11711711</v>
      </c>
      <c r="G91">
        <v>179</v>
      </c>
      <c r="H91">
        <v>183</v>
      </c>
      <c r="I91">
        <v>1</v>
      </c>
      <c r="K91">
        <v>220</v>
      </c>
      <c r="L91">
        <v>238</v>
      </c>
      <c r="M91">
        <v>75681081.081081092</v>
      </c>
      <c r="N91">
        <v>70186168.468468472</v>
      </c>
      <c r="O91">
        <v>69783450.45045045</v>
      </c>
      <c r="P91">
        <v>68685864.864864871</v>
      </c>
      <c r="Q91">
        <v>50696529.729729734</v>
      </c>
      <c r="R91">
        <v>44966666.666666672</v>
      </c>
      <c r="S91">
        <v>12370</v>
      </c>
      <c r="T91">
        <v>10102</v>
      </c>
    </row>
    <row r="92" spans="1:20" x14ac:dyDescent="0.35">
      <c r="A92" s="7" t="s">
        <v>177</v>
      </c>
      <c r="B92" s="12" t="s">
        <v>175</v>
      </c>
      <c r="C92">
        <v>551051319.78229046</v>
      </c>
      <c r="D92">
        <v>557697014.6695435</v>
      </c>
      <c r="E92">
        <v>2503603.6036036061</v>
      </c>
      <c r="F92">
        <v>3045945.945945954</v>
      </c>
      <c r="G92">
        <v>265</v>
      </c>
      <c r="H92">
        <v>245</v>
      </c>
      <c r="K92">
        <v>325</v>
      </c>
      <c r="L92">
        <v>355</v>
      </c>
      <c r="M92">
        <v>63666216.216216214</v>
      </c>
      <c r="N92">
        <v>64080637.837837838</v>
      </c>
      <c r="O92">
        <v>83013475.675675675</v>
      </c>
      <c r="P92">
        <v>88175021.621621609</v>
      </c>
      <c r="Q92">
        <v>53327027.027027026</v>
      </c>
      <c r="R92">
        <v>54986126.126126125</v>
      </c>
      <c r="S92">
        <v>17221</v>
      </c>
      <c r="T92">
        <v>12098</v>
      </c>
    </row>
    <row r="93" spans="1:20" x14ac:dyDescent="0.35">
      <c r="A93" s="7" t="s">
        <v>178</v>
      </c>
      <c r="B93" s="12" t="s">
        <v>179</v>
      </c>
      <c r="C93">
        <v>189279590.35882556</v>
      </c>
      <c r="D93">
        <v>169704846.86411002</v>
      </c>
      <c r="E93">
        <v>310967567.56756753</v>
      </c>
      <c r="F93">
        <v>290592792.7927928</v>
      </c>
      <c r="G93">
        <v>35</v>
      </c>
      <c r="H93">
        <v>44</v>
      </c>
      <c r="K93">
        <v>46</v>
      </c>
      <c r="L93">
        <v>100</v>
      </c>
      <c r="M93">
        <v>16187342.342342343</v>
      </c>
      <c r="N93">
        <v>14010585.585585585</v>
      </c>
      <c r="O93">
        <v>74819718.918918908</v>
      </c>
      <c r="P93">
        <v>67642828.828828827</v>
      </c>
      <c r="Q93">
        <v>9755630.6306306329</v>
      </c>
      <c r="R93">
        <v>9963153.1531531513</v>
      </c>
      <c r="S93">
        <v>3754</v>
      </c>
      <c r="T93">
        <v>3842</v>
      </c>
    </row>
    <row r="94" spans="1:20" x14ac:dyDescent="0.35">
      <c r="A94" s="7" t="s">
        <v>180</v>
      </c>
      <c r="B94" s="12" t="s">
        <v>168</v>
      </c>
      <c r="C94">
        <v>222393940.3243272</v>
      </c>
      <c r="D94">
        <v>240780383.23462662</v>
      </c>
      <c r="E94">
        <v>3509684.684684684</v>
      </c>
      <c r="F94">
        <v>7469819.8198198192</v>
      </c>
      <c r="G94">
        <v>37</v>
      </c>
      <c r="H94">
        <v>23</v>
      </c>
      <c r="K94">
        <v>52</v>
      </c>
      <c r="L94">
        <v>25</v>
      </c>
      <c r="M94">
        <v>12797297.297297301</v>
      </c>
      <c r="N94">
        <v>23921621.621621624</v>
      </c>
      <c r="O94">
        <v>55849288.288288288</v>
      </c>
      <c r="P94">
        <v>74990027.027027026</v>
      </c>
      <c r="Q94">
        <v>11240540.540540541</v>
      </c>
      <c r="R94">
        <v>18416576.576576576</v>
      </c>
      <c r="S94">
        <v>4858</v>
      </c>
      <c r="T94">
        <v>4389</v>
      </c>
    </row>
    <row r="95" spans="1:20" x14ac:dyDescent="0.35">
      <c r="A95" s="7" t="s">
        <v>181</v>
      </c>
      <c r="B95" s="12" t="s">
        <v>182</v>
      </c>
      <c r="C95">
        <v>176125011.55159065</v>
      </c>
      <c r="D95">
        <v>187133365.78080177</v>
      </c>
      <c r="E95">
        <v>472072.07207207399</v>
      </c>
      <c r="F95">
        <v>2864864.8648648658</v>
      </c>
      <c r="G95">
        <v>31</v>
      </c>
      <c r="H95">
        <v>38</v>
      </c>
      <c r="K95">
        <v>35</v>
      </c>
      <c r="L95">
        <v>42</v>
      </c>
      <c r="M95">
        <v>13283603.603603603</v>
      </c>
      <c r="N95">
        <v>30290540.540540535</v>
      </c>
      <c r="O95">
        <v>43829461.711711712</v>
      </c>
      <c r="P95">
        <v>45606972.972972974</v>
      </c>
      <c r="Q95">
        <v>12527297.297297295</v>
      </c>
      <c r="R95">
        <v>29665135.135135133</v>
      </c>
      <c r="S95">
        <v>3436</v>
      </c>
      <c r="T95">
        <v>3017</v>
      </c>
    </row>
    <row r="96" spans="1:20" x14ac:dyDescent="0.35">
      <c r="A96" s="7" t="s">
        <v>183</v>
      </c>
      <c r="B96" s="12" t="s">
        <v>95</v>
      </c>
      <c r="C96">
        <v>169152210.90692064</v>
      </c>
      <c r="D96">
        <v>177744729.13022596</v>
      </c>
      <c r="E96">
        <v>81081.081081081997</v>
      </c>
      <c r="F96">
        <v>180180.18018018</v>
      </c>
      <c r="G96">
        <v>53</v>
      </c>
      <c r="H96">
        <v>50</v>
      </c>
      <c r="K96">
        <v>60</v>
      </c>
      <c r="L96">
        <v>59</v>
      </c>
      <c r="M96">
        <v>4504504.5045045037</v>
      </c>
      <c r="N96">
        <v>1981981.981981982</v>
      </c>
      <c r="O96">
        <v>17569090.090090089</v>
      </c>
      <c r="P96">
        <v>26073864.864864863</v>
      </c>
      <c r="Q96">
        <v>1846126.1261261259</v>
      </c>
      <c r="R96">
        <v>965765.76576576498</v>
      </c>
      <c r="S96">
        <v>3934</v>
      </c>
      <c r="T96">
        <v>3588</v>
      </c>
    </row>
    <row r="97" spans="1:20" x14ac:dyDescent="0.35">
      <c r="A97" s="7" t="s">
        <v>184</v>
      </c>
      <c r="B97" s="12" t="s">
        <v>95</v>
      </c>
      <c r="C97">
        <v>1050035408.7254366</v>
      </c>
      <c r="D97">
        <v>1123720133.0951207</v>
      </c>
      <c r="E97">
        <v>1314740155.8558559</v>
      </c>
      <c r="F97">
        <v>301256575.67567569</v>
      </c>
      <c r="G97">
        <v>211</v>
      </c>
      <c r="H97">
        <v>290</v>
      </c>
      <c r="K97">
        <v>249</v>
      </c>
      <c r="L97">
        <v>374</v>
      </c>
      <c r="M97">
        <v>83944144.144144148</v>
      </c>
      <c r="N97">
        <v>75433423.423423424</v>
      </c>
      <c r="O97">
        <v>127737734.68468469</v>
      </c>
      <c r="P97">
        <v>161977882.88288289</v>
      </c>
      <c r="Q97">
        <v>57164684.684684686</v>
      </c>
      <c r="R97">
        <v>55338108.108108111</v>
      </c>
      <c r="S97">
        <v>16732</v>
      </c>
      <c r="T97">
        <v>16297</v>
      </c>
    </row>
    <row r="98" spans="1:20" x14ac:dyDescent="0.35">
      <c r="A98" s="7" t="s">
        <v>185</v>
      </c>
      <c r="B98" s="12" t="s">
        <v>90</v>
      </c>
      <c r="C98">
        <v>95755375.430033505</v>
      </c>
      <c r="D98">
        <v>87053207.24311699</v>
      </c>
      <c r="E98">
        <v>1214189.1891891891</v>
      </c>
      <c r="F98">
        <v>2354954.9549549539</v>
      </c>
      <c r="G98">
        <v>21</v>
      </c>
      <c r="H98">
        <v>10</v>
      </c>
      <c r="K98">
        <v>21</v>
      </c>
      <c r="L98">
        <v>11</v>
      </c>
      <c r="M98">
        <v>5001261.2612612611</v>
      </c>
      <c r="N98">
        <v>7051351.3513513524</v>
      </c>
      <c r="O98">
        <v>32027189.189189188</v>
      </c>
      <c r="P98">
        <v>32722810.810810808</v>
      </c>
      <c r="Q98">
        <v>4729099.0990990996</v>
      </c>
      <c r="R98">
        <v>6407297.297297297</v>
      </c>
      <c r="S98">
        <v>1919</v>
      </c>
      <c r="T98">
        <v>1550</v>
      </c>
    </row>
    <row r="99" spans="1:20" x14ac:dyDescent="0.35">
      <c r="A99" s="7" t="s">
        <v>186</v>
      </c>
      <c r="B99" s="12" t="s">
        <v>61</v>
      </c>
      <c r="C99">
        <v>58511446.229567096</v>
      </c>
      <c r="D99">
        <v>61345439.29598733</v>
      </c>
      <c r="E99">
        <v>35765765.765765771</v>
      </c>
      <c r="F99">
        <v>602285585.58558559</v>
      </c>
      <c r="G99">
        <v>13</v>
      </c>
      <c r="H99">
        <v>8</v>
      </c>
      <c r="K99">
        <v>13</v>
      </c>
      <c r="L99">
        <v>11</v>
      </c>
      <c r="M99">
        <v>2351351.3513513538</v>
      </c>
      <c r="N99">
        <v>3402702.7027027039</v>
      </c>
      <c r="O99">
        <v>19980380.630630631</v>
      </c>
      <c r="P99">
        <v>21156972.97297297</v>
      </c>
      <c r="Q99">
        <v>1533333.333333333</v>
      </c>
      <c r="R99">
        <v>3563693.6936936928</v>
      </c>
      <c r="S99">
        <v>980</v>
      </c>
      <c r="T99">
        <v>659</v>
      </c>
    </row>
    <row r="100" spans="1:20" x14ac:dyDescent="0.35">
      <c r="A100" s="7" t="s">
        <v>187</v>
      </c>
      <c r="B100" s="12" t="s">
        <v>168</v>
      </c>
      <c r="C100">
        <v>143548134.32021332</v>
      </c>
      <c r="D100">
        <v>136360525.86821848</v>
      </c>
      <c r="E100">
        <v>2413288.2882882892</v>
      </c>
      <c r="F100">
        <v>6599099.0990990987</v>
      </c>
      <c r="G100">
        <v>5</v>
      </c>
      <c r="H100">
        <v>6</v>
      </c>
      <c r="K100">
        <v>6</v>
      </c>
      <c r="L100">
        <v>12</v>
      </c>
      <c r="M100">
        <v>7913513.5135135129</v>
      </c>
      <c r="N100">
        <v>10912612.612612613</v>
      </c>
      <c r="O100">
        <v>37867144.144144148</v>
      </c>
      <c r="P100">
        <v>40854061.261261262</v>
      </c>
      <c r="Q100">
        <v>5803963.963963964</v>
      </c>
      <c r="R100">
        <v>7038468.4684684668</v>
      </c>
      <c r="S100">
        <v>3059</v>
      </c>
      <c r="T100">
        <v>2813</v>
      </c>
    </row>
    <row r="101" spans="1:20" x14ac:dyDescent="0.35">
      <c r="A101" s="7" t="s">
        <v>188</v>
      </c>
      <c r="B101" s="12" t="s">
        <v>168</v>
      </c>
      <c r="C101">
        <v>380147258.58110601</v>
      </c>
      <c r="D101">
        <v>404376791.40938216</v>
      </c>
      <c r="E101">
        <v>1455855.855855857</v>
      </c>
      <c r="F101">
        <v>4163963.9639639631</v>
      </c>
      <c r="G101">
        <v>56</v>
      </c>
      <c r="H101">
        <v>20</v>
      </c>
      <c r="K101">
        <v>65</v>
      </c>
      <c r="L101">
        <v>25</v>
      </c>
      <c r="M101">
        <v>16436518.018018018</v>
      </c>
      <c r="N101">
        <v>26100000</v>
      </c>
      <c r="O101">
        <v>78843693.693693697</v>
      </c>
      <c r="P101">
        <v>95223349.54954955</v>
      </c>
      <c r="Q101">
        <v>13279639.63963964</v>
      </c>
      <c r="R101">
        <v>20723153.153153155</v>
      </c>
      <c r="S101">
        <v>6359</v>
      </c>
      <c r="T101">
        <v>5629</v>
      </c>
    </row>
    <row r="102" spans="1:20" x14ac:dyDescent="0.35">
      <c r="A102" s="7" t="s">
        <v>189</v>
      </c>
      <c r="B102" s="12" t="s">
        <v>190</v>
      </c>
      <c r="C102">
        <v>166519427.24540293</v>
      </c>
      <c r="D102">
        <v>171695344.2770755</v>
      </c>
      <c r="E102">
        <v>270270.27027027</v>
      </c>
      <c r="F102">
        <v>270270.27027027</v>
      </c>
      <c r="G102">
        <v>22</v>
      </c>
      <c r="H102">
        <v>37</v>
      </c>
      <c r="I102">
        <v>1</v>
      </c>
      <c r="K102">
        <v>22</v>
      </c>
      <c r="L102">
        <v>39</v>
      </c>
      <c r="M102">
        <v>2522522.5225225231</v>
      </c>
      <c r="N102">
        <v>2657657.6576576582</v>
      </c>
      <c r="O102">
        <v>12260936.936936935</v>
      </c>
      <c r="P102">
        <v>14718657.657657659</v>
      </c>
      <c r="Q102">
        <v>2136036.036036036</v>
      </c>
      <c r="R102">
        <v>2166936.9369369368</v>
      </c>
      <c r="S102">
        <v>1876</v>
      </c>
      <c r="T102">
        <v>1710</v>
      </c>
    </row>
    <row r="103" spans="1:20" x14ac:dyDescent="0.35">
      <c r="A103" s="7" t="s">
        <v>191</v>
      </c>
      <c r="B103" s="12" t="s">
        <v>135</v>
      </c>
      <c r="C103">
        <v>40352773.767187379</v>
      </c>
      <c r="D103">
        <v>37178899.052778587</v>
      </c>
      <c r="E103">
        <v>13513.513513514001</v>
      </c>
      <c r="G103">
        <v>21</v>
      </c>
      <c r="H103">
        <v>33</v>
      </c>
      <c r="K103">
        <v>24</v>
      </c>
      <c r="L103">
        <v>35</v>
      </c>
      <c r="M103">
        <v>58558.558558559002</v>
      </c>
      <c r="O103">
        <v>2671306.3063063058</v>
      </c>
      <c r="P103">
        <v>3168099.0990990992</v>
      </c>
      <c r="Q103">
        <v>200900.900900901</v>
      </c>
      <c r="S103">
        <v>1159</v>
      </c>
      <c r="T103">
        <v>656</v>
      </c>
    </row>
    <row r="104" spans="1:20" x14ac:dyDescent="0.35">
      <c r="A104" s="7" t="s">
        <v>192</v>
      </c>
      <c r="B104" s="12" t="s">
        <v>61</v>
      </c>
      <c r="C104">
        <v>237682847.65635508</v>
      </c>
      <c r="D104">
        <v>242804526.23875618</v>
      </c>
      <c r="E104">
        <v>3644819.8198198192</v>
      </c>
      <c r="F104">
        <v>3171171.1711711721</v>
      </c>
      <c r="G104">
        <v>44</v>
      </c>
      <c r="H104">
        <v>43</v>
      </c>
      <c r="K104">
        <v>81</v>
      </c>
      <c r="L104">
        <v>101</v>
      </c>
      <c r="M104">
        <v>20843243.24324324</v>
      </c>
      <c r="N104">
        <v>28447747.747747745</v>
      </c>
      <c r="O104">
        <v>78472819.819819823</v>
      </c>
      <c r="P104">
        <v>83015963.963963971</v>
      </c>
      <c r="Q104">
        <v>19168018.018018018</v>
      </c>
      <c r="R104">
        <v>27490360.360360362</v>
      </c>
      <c r="S104">
        <v>2464</v>
      </c>
      <c r="T104">
        <v>3831</v>
      </c>
    </row>
    <row r="105" spans="1:20" x14ac:dyDescent="0.35">
      <c r="A105" s="7" t="s">
        <v>193</v>
      </c>
      <c r="B105" s="12" t="s">
        <v>61</v>
      </c>
      <c r="C105">
        <v>418579619.02894014</v>
      </c>
      <c r="D105">
        <v>419397990.261648</v>
      </c>
      <c r="E105">
        <v>3793693.6936936928</v>
      </c>
      <c r="F105">
        <v>3728828.8288288312</v>
      </c>
      <c r="G105">
        <v>40</v>
      </c>
      <c r="H105">
        <v>43</v>
      </c>
      <c r="I105">
        <v>2</v>
      </c>
      <c r="K105">
        <v>52</v>
      </c>
      <c r="L105">
        <v>61</v>
      </c>
      <c r="M105">
        <v>24136036.036036033</v>
      </c>
      <c r="N105">
        <v>33881981.981981985</v>
      </c>
      <c r="O105">
        <v>97507279.279279277</v>
      </c>
      <c r="P105">
        <v>98361944.144144148</v>
      </c>
      <c r="Q105">
        <v>20899009.009009007</v>
      </c>
      <c r="R105">
        <v>32899322.52252252</v>
      </c>
      <c r="S105">
        <v>8642</v>
      </c>
      <c r="T105">
        <v>6585</v>
      </c>
    </row>
    <row r="106" spans="1:20" x14ac:dyDescent="0.35">
      <c r="A106" s="7" t="s">
        <v>2</v>
      </c>
      <c r="B106" s="12" t="s">
        <v>194</v>
      </c>
      <c r="C106">
        <v>46764512.260022767</v>
      </c>
      <c r="D106">
        <v>28434988.600408819</v>
      </c>
      <c r="E106">
        <v>310810.81081081199</v>
      </c>
      <c r="F106">
        <v>373873.87387387402</v>
      </c>
      <c r="G106">
        <v>6</v>
      </c>
      <c r="K106">
        <v>6</v>
      </c>
      <c r="M106">
        <v>6662162.1621621633</v>
      </c>
      <c r="N106">
        <v>8391891.8918918911</v>
      </c>
      <c r="O106">
        <v>26209207.207207207</v>
      </c>
      <c r="P106">
        <v>17458909.909909911</v>
      </c>
      <c r="Q106">
        <v>6763063.0630630637</v>
      </c>
      <c r="R106">
        <v>8310360.3603603598</v>
      </c>
      <c r="S106">
        <v>1303</v>
      </c>
      <c r="T106">
        <v>1122</v>
      </c>
    </row>
    <row r="107" spans="1:20" x14ac:dyDescent="0.35">
      <c r="A107" s="7" t="s">
        <v>195</v>
      </c>
      <c r="B107" s="12" t="s">
        <v>196</v>
      </c>
      <c r="C107">
        <v>1439718452.8971353</v>
      </c>
      <c r="D107">
        <v>1474500230.3585775</v>
      </c>
      <c r="E107">
        <v>4436711.7117117113</v>
      </c>
      <c r="F107">
        <v>5763063.0630630692</v>
      </c>
      <c r="G107">
        <v>423</v>
      </c>
      <c r="H107">
        <v>150</v>
      </c>
      <c r="I107">
        <v>2</v>
      </c>
      <c r="K107">
        <v>599</v>
      </c>
      <c r="L107">
        <v>217</v>
      </c>
      <c r="M107">
        <v>80625945.945945948</v>
      </c>
      <c r="N107">
        <v>62979279.279279277</v>
      </c>
      <c r="O107">
        <v>279331387.38738739</v>
      </c>
      <c r="P107">
        <v>295791189.1891892</v>
      </c>
      <c r="Q107">
        <v>73283153.153153151</v>
      </c>
      <c r="R107">
        <v>61375675.675675675</v>
      </c>
      <c r="S107">
        <v>19448</v>
      </c>
      <c r="T107">
        <v>18447</v>
      </c>
    </row>
    <row r="108" spans="1:20" x14ac:dyDescent="0.35">
      <c r="A108" s="7" t="s">
        <v>197</v>
      </c>
      <c r="B108" s="12" t="s">
        <v>81</v>
      </c>
      <c r="C108">
        <v>440827894.17698628</v>
      </c>
      <c r="D108">
        <v>422342557.08504891</v>
      </c>
      <c r="E108">
        <v>2334234.2342342362</v>
      </c>
      <c r="F108">
        <v>3543243.243243244</v>
      </c>
      <c r="G108">
        <v>110</v>
      </c>
      <c r="H108">
        <v>68</v>
      </c>
      <c r="K108">
        <v>120</v>
      </c>
      <c r="L108">
        <v>88</v>
      </c>
      <c r="M108">
        <v>57785405.40540541</v>
      </c>
      <c r="N108">
        <v>63459009.009009011</v>
      </c>
      <c r="O108">
        <v>120018594.5945946</v>
      </c>
      <c r="P108">
        <v>117322189.18918918</v>
      </c>
      <c r="Q108">
        <v>56999009.009009011</v>
      </c>
      <c r="R108">
        <v>63839819.819819815</v>
      </c>
      <c r="S108">
        <v>7535</v>
      </c>
      <c r="T108">
        <v>6163</v>
      </c>
    </row>
    <row r="109" spans="1:20" x14ac:dyDescent="0.35">
      <c r="A109" s="7" t="s">
        <v>198</v>
      </c>
      <c r="B109" s="12" t="s">
        <v>109</v>
      </c>
      <c r="C109">
        <v>354206682.06778389</v>
      </c>
      <c r="D109">
        <v>364297944.0857169</v>
      </c>
      <c r="E109">
        <v>3559459.4594594608</v>
      </c>
      <c r="F109">
        <v>4986486.486486489</v>
      </c>
      <c r="G109">
        <v>127</v>
      </c>
      <c r="H109">
        <v>93</v>
      </c>
      <c r="I109">
        <v>1</v>
      </c>
      <c r="K109">
        <v>144</v>
      </c>
      <c r="L109">
        <v>127</v>
      </c>
      <c r="M109">
        <v>21055855.855855856</v>
      </c>
      <c r="N109">
        <v>27215945.945945948</v>
      </c>
      <c r="O109">
        <v>107896306.3063063</v>
      </c>
      <c r="P109">
        <v>111314243.24324325</v>
      </c>
      <c r="Q109">
        <v>18158198.198198196</v>
      </c>
      <c r="R109">
        <v>27303873.873873871</v>
      </c>
      <c r="S109">
        <v>8723</v>
      </c>
      <c r="T109">
        <v>7395</v>
      </c>
    </row>
    <row r="110" spans="1:20" x14ac:dyDescent="0.35">
      <c r="A110" s="7" t="s">
        <v>199</v>
      </c>
      <c r="B110" s="12" t="s">
        <v>93</v>
      </c>
      <c r="C110">
        <v>191470425.83227116</v>
      </c>
      <c r="D110">
        <v>196983601.47299266</v>
      </c>
      <c r="E110">
        <v>6039639.6396396402</v>
      </c>
      <c r="F110">
        <v>4961261.2612612611</v>
      </c>
      <c r="G110">
        <v>230</v>
      </c>
      <c r="H110">
        <v>33</v>
      </c>
      <c r="K110">
        <v>255</v>
      </c>
      <c r="L110">
        <v>35</v>
      </c>
      <c r="M110">
        <v>62930540.540540546</v>
      </c>
      <c r="N110">
        <v>39009459.459459454</v>
      </c>
      <c r="O110">
        <v>51786369.369369365</v>
      </c>
      <c r="P110">
        <v>51813567.567567565</v>
      </c>
      <c r="Q110">
        <v>61340720.720720723</v>
      </c>
      <c r="R110">
        <v>38980540.540540539</v>
      </c>
      <c r="S110">
        <v>3137</v>
      </c>
      <c r="T110">
        <v>2920</v>
      </c>
    </row>
    <row r="111" spans="1:20" x14ac:dyDescent="0.35">
      <c r="A111" s="7" t="s">
        <v>200</v>
      </c>
      <c r="B111" s="12" t="s">
        <v>124</v>
      </c>
      <c r="C111">
        <v>178705832.53003827</v>
      </c>
      <c r="D111">
        <v>146014290.77401945</v>
      </c>
      <c r="E111">
        <v>617117.11711711704</v>
      </c>
      <c r="F111">
        <v>1638288.2882882881</v>
      </c>
      <c r="G111">
        <v>64</v>
      </c>
      <c r="H111">
        <v>23</v>
      </c>
      <c r="K111">
        <v>67</v>
      </c>
      <c r="L111">
        <v>26</v>
      </c>
      <c r="M111">
        <v>5563423.4234234234</v>
      </c>
      <c r="N111">
        <v>9202972.9729729723</v>
      </c>
      <c r="O111">
        <v>33924729.729729727</v>
      </c>
      <c r="P111">
        <v>33242360.360360362</v>
      </c>
      <c r="Q111">
        <v>7314144.1441441439</v>
      </c>
      <c r="R111">
        <v>7290270.2702702694</v>
      </c>
      <c r="S111">
        <v>2622</v>
      </c>
      <c r="T111">
        <v>2548</v>
      </c>
    </row>
    <row r="112" spans="1:20" x14ac:dyDescent="0.35">
      <c r="A112" s="7" t="s">
        <v>667</v>
      </c>
      <c r="B112" s="12" t="s">
        <v>61</v>
      </c>
      <c r="T112">
        <v>1</v>
      </c>
    </row>
    <row r="113" spans="1:20" x14ac:dyDescent="0.35">
      <c r="A113" s="7" t="s">
        <v>201</v>
      </c>
      <c r="B113" s="12" t="s">
        <v>61</v>
      </c>
      <c r="C113">
        <v>130542220.40460001</v>
      </c>
      <c r="D113">
        <v>132516766.23682164</v>
      </c>
      <c r="E113">
        <v>2693693.6936936942</v>
      </c>
      <c r="F113">
        <v>1431531.5315315351</v>
      </c>
      <c r="G113">
        <v>29</v>
      </c>
      <c r="H113">
        <v>10</v>
      </c>
      <c r="I113">
        <v>1</v>
      </c>
      <c r="K113">
        <v>34</v>
      </c>
      <c r="L113">
        <v>22</v>
      </c>
      <c r="M113">
        <v>17918918.918918919</v>
      </c>
      <c r="N113">
        <v>18764864.864864867</v>
      </c>
      <c r="O113">
        <v>23847626.126126129</v>
      </c>
      <c r="P113">
        <v>24211504.504504506</v>
      </c>
      <c r="Q113">
        <v>18707477.47747748</v>
      </c>
      <c r="R113">
        <v>8314774.7747747749</v>
      </c>
      <c r="S113">
        <v>4424</v>
      </c>
      <c r="T113">
        <v>4423</v>
      </c>
    </row>
    <row r="114" spans="1:20" x14ac:dyDescent="0.35">
      <c r="A114" s="7" t="s">
        <v>202</v>
      </c>
      <c r="B114" s="12" t="s">
        <v>61</v>
      </c>
      <c r="C114">
        <v>43648257.197068706</v>
      </c>
      <c r="D114">
        <v>43143132.897570118</v>
      </c>
      <c r="E114">
        <v>247747.74774774999</v>
      </c>
      <c r="F114">
        <v>517117.11711711797</v>
      </c>
      <c r="G114">
        <v>16</v>
      </c>
      <c r="H114">
        <v>8</v>
      </c>
      <c r="K114">
        <v>19</v>
      </c>
      <c r="L114">
        <v>10</v>
      </c>
      <c r="M114">
        <v>2770270.2702702712</v>
      </c>
      <c r="N114">
        <v>2904504.5045045041</v>
      </c>
      <c r="O114">
        <v>7849441.441441441</v>
      </c>
      <c r="P114">
        <v>8962918.9189189188</v>
      </c>
      <c r="Q114">
        <v>1595405.405405405</v>
      </c>
      <c r="R114">
        <v>1549009.0090090099</v>
      </c>
      <c r="S114">
        <v>1475</v>
      </c>
      <c r="T114">
        <v>1083</v>
      </c>
    </row>
    <row r="115" spans="1:20" x14ac:dyDescent="0.35">
      <c r="A115" s="7" t="s">
        <v>203</v>
      </c>
      <c r="B115" s="12" t="s">
        <v>122</v>
      </c>
      <c r="C115">
        <v>81967071.524079666</v>
      </c>
      <c r="D115">
        <v>74879137.067224413</v>
      </c>
      <c r="E115">
        <v>639639.63963963999</v>
      </c>
      <c r="F115">
        <v>864864.86486486695</v>
      </c>
      <c r="G115">
        <v>46</v>
      </c>
      <c r="H115">
        <v>32</v>
      </c>
      <c r="K115">
        <v>49</v>
      </c>
      <c r="L115">
        <v>36</v>
      </c>
      <c r="M115">
        <v>1995495.4954954961</v>
      </c>
      <c r="N115">
        <v>2351351.3513513519</v>
      </c>
      <c r="O115">
        <v>8016225.2252252251</v>
      </c>
      <c r="P115">
        <v>7418144.1441441448</v>
      </c>
      <c r="Q115">
        <v>1427477.4774774781</v>
      </c>
      <c r="R115">
        <v>1554054.054054053</v>
      </c>
      <c r="S115">
        <v>1625</v>
      </c>
      <c r="T115">
        <v>1382</v>
      </c>
    </row>
    <row r="116" spans="1:20" x14ac:dyDescent="0.35">
      <c r="A116" s="7" t="s">
        <v>204</v>
      </c>
      <c r="B116" s="12" t="s">
        <v>55</v>
      </c>
      <c r="C116">
        <v>132808004.37519279</v>
      </c>
      <c r="D116">
        <v>138926699.67844889</v>
      </c>
      <c r="E116">
        <v>1170270.2702702701</v>
      </c>
      <c r="F116">
        <v>1668468.4684684691</v>
      </c>
      <c r="G116">
        <v>30</v>
      </c>
      <c r="H116">
        <v>22</v>
      </c>
      <c r="K116">
        <v>33</v>
      </c>
      <c r="L116">
        <v>22</v>
      </c>
      <c r="M116">
        <v>7219819.8198198201</v>
      </c>
      <c r="N116">
        <v>9395855.8558558561</v>
      </c>
      <c r="O116">
        <v>34283135.135135137</v>
      </c>
      <c r="P116">
        <v>36815486.486486487</v>
      </c>
      <c r="Q116">
        <v>7284774.774774774</v>
      </c>
      <c r="R116">
        <v>8901621.6216216218</v>
      </c>
      <c r="S116">
        <v>4404</v>
      </c>
      <c r="T116">
        <v>3863</v>
      </c>
    </row>
    <row r="117" spans="1:20" x14ac:dyDescent="0.35">
      <c r="A117" s="7" t="s">
        <v>205</v>
      </c>
      <c r="B117" s="12" t="s">
        <v>137</v>
      </c>
      <c r="C117">
        <v>473789961.85257852</v>
      </c>
      <c r="D117">
        <v>453951609.97246969</v>
      </c>
      <c r="E117">
        <v>1074774.774774771</v>
      </c>
      <c r="F117">
        <v>2966216.2162162238</v>
      </c>
      <c r="G117">
        <v>67</v>
      </c>
      <c r="H117">
        <v>69</v>
      </c>
      <c r="K117">
        <v>74</v>
      </c>
      <c r="L117">
        <v>81</v>
      </c>
      <c r="M117">
        <v>41840540.540540546</v>
      </c>
      <c r="N117">
        <v>41448198.198198199</v>
      </c>
      <c r="O117">
        <v>81270101.801801786</v>
      </c>
      <c r="P117">
        <v>86231927.927927941</v>
      </c>
      <c r="Q117">
        <v>34447657.657657653</v>
      </c>
      <c r="R117">
        <v>37767747.747747749</v>
      </c>
      <c r="S117">
        <v>6053</v>
      </c>
      <c r="T117">
        <v>5571</v>
      </c>
    </row>
    <row r="118" spans="1:20" x14ac:dyDescent="0.35">
      <c r="A118" s="7" t="s">
        <v>206</v>
      </c>
      <c r="B118" s="12" t="s">
        <v>137</v>
      </c>
      <c r="C118">
        <v>233709785.28597271</v>
      </c>
      <c r="D118">
        <v>227341946.40689418</v>
      </c>
      <c r="E118">
        <v>674774.77477477398</v>
      </c>
      <c r="F118">
        <v>340540.540540541</v>
      </c>
      <c r="G118">
        <v>44</v>
      </c>
      <c r="H118">
        <v>31</v>
      </c>
      <c r="K118">
        <v>49</v>
      </c>
      <c r="L118">
        <v>33</v>
      </c>
      <c r="M118">
        <v>7909009.0090090092</v>
      </c>
      <c r="N118">
        <v>7601801.8018018007</v>
      </c>
      <c r="O118">
        <v>45564700.9009009</v>
      </c>
      <c r="P118">
        <v>51174882.882882878</v>
      </c>
      <c r="Q118">
        <v>4493063.0630630637</v>
      </c>
      <c r="R118">
        <v>4399819.8198198183</v>
      </c>
      <c r="S118">
        <v>3339</v>
      </c>
      <c r="T118">
        <v>3143</v>
      </c>
    </row>
    <row r="119" spans="1:20" x14ac:dyDescent="0.35">
      <c r="A119" s="7" t="s">
        <v>207</v>
      </c>
      <c r="B119" s="12" t="s">
        <v>170</v>
      </c>
      <c r="C119">
        <v>553220856.15559351</v>
      </c>
      <c r="D119">
        <v>572511932.330194</v>
      </c>
      <c r="E119">
        <v>1688288.288288289</v>
      </c>
      <c r="F119">
        <v>26565951.351351351</v>
      </c>
      <c r="G119">
        <v>22</v>
      </c>
      <c r="H119">
        <v>24</v>
      </c>
      <c r="K119">
        <v>24</v>
      </c>
      <c r="L119">
        <v>28</v>
      </c>
      <c r="M119">
        <v>2467903445.9459462</v>
      </c>
      <c r="N119">
        <v>920048761.26126134</v>
      </c>
      <c r="O119">
        <v>263072549.54954955</v>
      </c>
      <c r="P119">
        <v>277977216.21621621</v>
      </c>
      <c r="Q119">
        <v>756726767.56756759</v>
      </c>
      <c r="R119">
        <v>259415189.1891892</v>
      </c>
      <c r="S119">
        <v>8157</v>
      </c>
      <c r="T119">
        <v>7614</v>
      </c>
    </row>
    <row r="120" spans="1:20" x14ac:dyDescent="0.35">
      <c r="A120" s="7" t="s">
        <v>208</v>
      </c>
      <c r="B120" s="12" t="s">
        <v>162</v>
      </c>
      <c r="C120">
        <v>611502856.67002332</v>
      </c>
      <c r="D120">
        <v>626561601.99443281</v>
      </c>
      <c r="E120">
        <v>185271218.01801801</v>
      </c>
      <c r="F120">
        <v>175584531.53153154</v>
      </c>
      <c r="G120">
        <v>422</v>
      </c>
      <c r="H120">
        <v>159</v>
      </c>
      <c r="K120">
        <v>593</v>
      </c>
      <c r="L120">
        <v>467</v>
      </c>
      <c r="M120">
        <v>108757198.19819821</v>
      </c>
      <c r="N120">
        <v>119029379.27927928</v>
      </c>
      <c r="O120">
        <v>178411545.04504505</v>
      </c>
      <c r="P120">
        <v>203603279.27927926</v>
      </c>
      <c r="Q120">
        <v>88015845.045045033</v>
      </c>
      <c r="R120">
        <v>95581520.720720723</v>
      </c>
      <c r="S120">
        <v>36277</v>
      </c>
      <c r="T120">
        <v>12166</v>
      </c>
    </row>
    <row r="121" spans="1:20" x14ac:dyDescent="0.35">
      <c r="A121" s="7" t="s">
        <v>209</v>
      </c>
      <c r="B121" s="12" t="s">
        <v>77</v>
      </c>
      <c r="C121">
        <v>18720615.923379168</v>
      </c>
      <c r="D121">
        <v>20291410.472869106</v>
      </c>
      <c r="H121">
        <v>3</v>
      </c>
      <c r="L121">
        <v>3</v>
      </c>
      <c r="O121">
        <v>1159459.4594594589</v>
      </c>
      <c r="P121">
        <v>1511666.666666666</v>
      </c>
      <c r="S121">
        <v>548</v>
      </c>
      <c r="T121">
        <v>537</v>
      </c>
    </row>
    <row r="122" spans="1:20" x14ac:dyDescent="0.35">
      <c r="A122" s="7" t="s">
        <v>210</v>
      </c>
      <c r="B122" s="12" t="s">
        <v>77</v>
      </c>
      <c r="C122">
        <v>279133096.19407833</v>
      </c>
      <c r="D122">
        <v>270804128.42327017</v>
      </c>
      <c r="E122">
        <v>267617641.44144145</v>
      </c>
      <c r="F122">
        <v>216216543.24324322</v>
      </c>
      <c r="G122">
        <v>154</v>
      </c>
      <c r="H122">
        <v>156</v>
      </c>
      <c r="I122">
        <v>4</v>
      </c>
      <c r="K122">
        <v>260</v>
      </c>
      <c r="L122">
        <v>227</v>
      </c>
      <c r="M122">
        <v>39782342.342342339</v>
      </c>
      <c r="N122">
        <v>33996854.954954952</v>
      </c>
      <c r="O122">
        <v>42246072.072072074</v>
      </c>
      <c r="P122">
        <v>45510108.108108103</v>
      </c>
      <c r="Q122">
        <v>38019099.0990991</v>
      </c>
      <c r="R122">
        <v>31161081.081081081</v>
      </c>
      <c r="S122">
        <v>5600</v>
      </c>
      <c r="T122">
        <v>4457</v>
      </c>
    </row>
    <row r="123" spans="1:20" x14ac:dyDescent="0.35">
      <c r="A123" s="7" t="s">
        <v>211</v>
      </c>
      <c r="B123" s="12" t="s">
        <v>77</v>
      </c>
      <c r="C123">
        <v>346538434.97012347</v>
      </c>
      <c r="D123">
        <v>375170419.75591481</v>
      </c>
      <c r="E123">
        <v>5269144.1441441486</v>
      </c>
      <c r="F123">
        <v>9329729.7297297325</v>
      </c>
      <c r="G123">
        <v>216</v>
      </c>
      <c r="H123">
        <v>398</v>
      </c>
      <c r="I123">
        <v>1</v>
      </c>
      <c r="K123">
        <v>280</v>
      </c>
      <c r="L123">
        <v>470</v>
      </c>
      <c r="M123">
        <v>173407117.11711711</v>
      </c>
      <c r="N123">
        <v>145391261.26126128</v>
      </c>
      <c r="O123">
        <v>105666146.84684685</v>
      </c>
      <c r="P123">
        <v>131014216.21621621</v>
      </c>
      <c r="Q123">
        <v>145385628.82882884</v>
      </c>
      <c r="R123">
        <v>113987837.83783785</v>
      </c>
      <c r="S123">
        <v>7277</v>
      </c>
      <c r="T123">
        <v>6817</v>
      </c>
    </row>
    <row r="124" spans="1:20" x14ac:dyDescent="0.35">
      <c r="A124" s="7" t="s">
        <v>212</v>
      </c>
      <c r="B124" s="12" t="s">
        <v>77</v>
      </c>
      <c r="C124">
        <v>252697872.70795864</v>
      </c>
      <c r="D124">
        <v>245288762.38304129</v>
      </c>
      <c r="E124">
        <v>3926801.8018018059</v>
      </c>
      <c r="F124">
        <v>3341441.4414414428</v>
      </c>
      <c r="G124">
        <v>114</v>
      </c>
      <c r="H124">
        <v>154</v>
      </c>
      <c r="K124">
        <v>127</v>
      </c>
      <c r="L124">
        <v>178</v>
      </c>
      <c r="M124">
        <v>26519279.279279284</v>
      </c>
      <c r="N124">
        <v>33239647.747747753</v>
      </c>
      <c r="O124">
        <v>38892849.0990991</v>
      </c>
      <c r="P124">
        <v>40724081.081081077</v>
      </c>
      <c r="Q124">
        <v>24609819.819819819</v>
      </c>
      <c r="R124">
        <v>30084234.234234236</v>
      </c>
      <c r="S124">
        <v>4466</v>
      </c>
      <c r="T124">
        <v>4037</v>
      </c>
    </row>
    <row r="125" spans="1:20" x14ac:dyDescent="0.35">
      <c r="A125" s="7" t="s">
        <v>213</v>
      </c>
      <c r="B125" s="12" t="s">
        <v>77</v>
      </c>
      <c r="C125">
        <v>90613810.909207836</v>
      </c>
      <c r="D125">
        <v>103708182.05054246</v>
      </c>
      <c r="E125">
        <v>66666.666666666002</v>
      </c>
      <c r="F125">
        <v>124324.324324324</v>
      </c>
      <c r="G125">
        <v>18</v>
      </c>
      <c r="H125">
        <v>12</v>
      </c>
      <c r="K125">
        <v>20</v>
      </c>
      <c r="L125">
        <v>13</v>
      </c>
      <c r="M125">
        <v>1541621.6216216199</v>
      </c>
      <c r="N125">
        <v>4516216.2162162159</v>
      </c>
      <c r="O125">
        <v>14124198.198198197</v>
      </c>
      <c r="P125">
        <v>16321486.486486487</v>
      </c>
      <c r="Q125">
        <v>2078738.7387387389</v>
      </c>
      <c r="R125">
        <v>4123243.243243244</v>
      </c>
      <c r="S125">
        <v>1945</v>
      </c>
      <c r="T125">
        <v>1928</v>
      </c>
    </row>
    <row r="126" spans="1:20" x14ac:dyDescent="0.35">
      <c r="A126" s="7" t="s">
        <v>214</v>
      </c>
      <c r="B126" s="12" t="s">
        <v>215</v>
      </c>
      <c r="C126">
        <v>129488501.67036296</v>
      </c>
      <c r="D126">
        <v>132264348.16934691</v>
      </c>
      <c r="E126">
        <v>818918.91891891905</v>
      </c>
      <c r="F126">
        <v>1345495.4954954949</v>
      </c>
      <c r="G126">
        <v>38</v>
      </c>
      <c r="H126">
        <v>18</v>
      </c>
      <c r="I126">
        <v>1</v>
      </c>
      <c r="K126">
        <v>43</v>
      </c>
      <c r="L126">
        <v>21</v>
      </c>
      <c r="M126">
        <v>14151819.819819819</v>
      </c>
      <c r="N126">
        <v>27122072.072072074</v>
      </c>
      <c r="O126">
        <v>58567601.801801801</v>
      </c>
      <c r="P126">
        <v>65200252.252252258</v>
      </c>
      <c r="Q126">
        <v>12741801.801801803</v>
      </c>
      <c r="R126">
        <v>28000000</v>
      </c>
      <c r="S126">
        <v>2680</v>
      </c>
      <c r="T126">
        <v>2219</v>
      </c>
    </row>
    <row r="127" spans="1:20" x14ac:dyDescent="0.35">
      <c r="A127" s="7" t="s">
        <v>216</v>
      </c>
      <c r="B127" s="12" t="s">
        <v>168</v>
      </c>
      <c r="C127">
        <v>136402675.06315643</v>
      </c>
      <c r="D127">
        <v>135991622.97062021</v>
      </c>
      <c r="E127">
        <v>1896396.3963963969</v>
      </c>
      <c r="F127">
        <v>2720720.7207207209</v>
      </c>
      <c r="G127">
        <v>7</v>
      </c>
      <c r="H127">
        <v>1</v>
      </c>
      <c r="K127">
        <v>7</v>
      </c>
      <c r="L127">
        <v>1</v>
      </c>
      <c r="M127">
        <v>2849549.5495495489</v>
      </c>
      <c r="N127">
        <v>5612612.6126126125</v>
      </c>
      <c r="O127">
        <v>23980630.630630631</v>
      </c>
      <c r="P127">
        <v>36296072.072072074</v>
      </c>
      <c r="Q127">
        <v>564414.41441441502</v>
      </c>
      <c r="R127">
        <v>2831081.0810810798</v>
      </c>
      <c r="S127">
        <v>1883</v>
      </c>
      <c r="T127">
        <v>1865</v>
      </c>
    </row>
    <row r="128" spans="1:20" x14ac:dyDescent="0.35">
      <c r="A128" s="7" t="s">
        <v>217</v>
      </c>
      <c r="B128" s="12" t="s">
        <v>86</v>
      </c>
      <c r="C128">
        <v>31981105.372284442</v>
      </c>
      <c r="D128">
        <v>36236914.113563001</v>
      </c>
      <c r="E128">
        <v>526219429.72972971</v>
      </c>
      <c r="F128">
        <v>790861367.56756759</v>
      </c>
      <c r="G128">
        <v>11</v>
      </c>
      <c r="H128">
        <v>6</v>
      </c>
      <c r="K128">
        <v>12</v>
      </c>
      <c r="L128">
        <v>6</v>
      </c>
      <c r="M128">
        <v>93304054.054054052</v>
      </c>
      <c r="N128">
        <v>75346846.846846849</v>
      </c>
      <c r="O128">
        <v>10072189.189189188</v>
      </c>
      <c r="P128">
        <v>12127097.297297295</v>
      </c>
      <c r="Q128">
        <v>51453243.243243247</v>
      </c>
      <c r="R128">
        <v>44108018.018018015</v>
      </c>
      <c r="S128">
        <v>676</v>
      </c>
      <c r="T128">
        <v>647</v>
      </c>
    </row>
    <row r="129" spans="1:20" x14ac:dyDescent="0.35">
      <c r="A129" s="7" t="s">
        <v>218</v>
      </c>
      <c r="B129" s="12" t="s">
        <v>86</v>
      </c>
      <c r="C129">
        <v>127049600.41817032</v>
      </c>
      <c r="D129">
        <v>130059259.80094808</v>
      </c>
      <c r="E129">
        <v>610810.810810811</v>
      </c>
      <c r="F129">
        <v>734234.23423423397</v>
      </c>
      <c r="G129">
        <v>48</v>
      </c>
      <c r="H129">
        <v>17</v>
      </c>
      <c r="K129">
        <v>52</v>
      </c>
      <c r="L129">
        <v>24</v>
      </c>
      <c r="M129">
        <v>40305585.585585587</v>
      </c>
      <c r="N129">
        <v>29966224.324324325</v>
      </c>
      <c r="O129">
        <v>24126333.333333332</v>
      </c>
      <c r="P129">
        <v>26786045.045045044</v>
      </c>
      <c r="Q129">
        <v>33393333.333333332</v>
      </c>
      <c r="R129">
        <v>22512882.882882886</v>
      </c>
      <c r="S129">
        <v>2632</v>
      </c>
      <c r="T129">
        <v>2440</v>
      </c>
    </row>
    <row r="130" spans="1:20" x14ac:dyDescent="0.35">
      <c r="A130" s="7" t="s">
        <v>219</v>
      </c>
      <c r="B130" s="12" t="s">
        <v>148</v>
      </c>
      <c r="C130">
        <v>123950468.77538127</v>
      </c>
      <c r="D130">
        <v>116211086.71244831</v>
      </c>
      <c r="E130">
        <v>8824324.3243243247</v>
      </c>
      <c r="F130">
        <v>9112612.6126126125</v>
      </c>
      <c r="G130">
        <v>78</v>
      </c>
      <c r="H130">
        <v>22</v>
      </c>
      <c r="K130">
        <v>87</v>
      </c>
      <c r="L130">
        <v>31</v>
      </c>
      <c r="M130">
        <v>76133359.459459454</v>
      </c>
      <c r="N130">
        <v>99443209.909909904</v>
      </c>
      <c r="O130">
        <v>38764639.639639638</v>
      </c>
      <c r="P130">
        <v>35140891.891891889</v>
      </c>
      <c r="Q130">
        <v>76266036.036036029</v>
      </c>
      <c r="R130">
        <v>97618108.108108118</v>
      </c>
      <c r="S130">
        <v>3504</v>
      </c>
      <c r="T130">
        <v>2499</v>
      </c>
    </row>
    <row r="131" spans="1:20" x14ac:dyDescent="0.35">
      <c r="A131" s="7" t="s">
        <v>220</v>
      </c>
      <c r="B131" s="12" t="s">
        <v>221</v>
      </c>
      <c r="C131">
        <v>244302777.60237792</v>
      </c>
      <c r="D131">
        <v>236479104.19566897</v>
      </c>
      <c r="E131">
        <v>6983847.747747751</v>
      </c>
      <c r="F131">
        <v>8854852.2522522509</v>
      </c>
      <c r="G131">
        <v>88</v>
      </c>
      <c r="H131">
        <v>100</v>
      </c>
      <c r="K131">
        <v>102</v>
      </c>
      <c r="L131">
        <v>163</v>
      </c>
      <c r="M131">
        <v>210462888.2882883</v>
      </c>
      <c r="N131">
        <v>422806704.5045045</v>
      </c>
      <c r="O131">
        <v>62780128.378378384</v>
      </c>
      <c r="P131">
        <v>66328828.828828834</v>
      </c>
      <c r="Q131">
        <v>343216036.03603601</v>
      </c>
      <c r="R131">
        <v>374246351.35135138</v>
      </c>
      <c r="S131">
        <v>6830</v>
      </c>
      <c r="T131">
        <v>6297</v>
      </c>
    </row>
    <row r="132" spans="1:20" x14ac:dyDescent="0.35">
      <c r="A132" s="7" t="s">
        <v>222</v>
      </c>
      <c r="B132" s="12" t="s">
        <v>53</v>
      </c>
      <c r="C132">
        <v>580232796.96278334</v>
      </c>
      <c r="D132">
        <v>611573278.57653832</v>
      </c>
      <c r="E132">
        <v>172843918.91891891</v>
      </c>
      <c r="F132">
        <v>347515765.76576579</v>
      </c>
      <c r="G132">
        <v>128</v>
      </c>
      <c r="H132">
        <v>117</v>
      </c>
      <c r="K132">
        <v>166</v>
      </c>
      <c r="L132">
        <v>183</v>
      </c>
      <c r="M132">
        <v>43521081.081081085</v>
      </c>
      <c r="N132">
        <v>75318063.063063055</v>
      </c>
      <c r="O132">
        <v>185886981.98198199</v>
      </c>
      <c r="P132">
        <v>198667315.31531534</v>
      </c>
      <c r="Q132">
        <v>52333783.783783786</v>
      </c>
      <c r="R132">
        <v>58832972.972972974</v>
      </c>
      <c r="S132">
        <v>13780</v>
      </c>
      <c r="T132">
        <v>10918</v>
      </c>
    </row>
    <row r="133" spans="1:20" x14ac:dyDescent="0.35">
      <c r="A133" s="7" t="s">
        <v>223</v>
      </c>
      <c r="B133" s="12" t="s">
        <v>77</v>
      </c>
      <c r="C133">
        <v>449305633.00059175</v>
      </c>
      <c r="D133">
        <v>454980492.91936284</v>
      </c>
      <c r="E133">
        <v>1414639.6396396451</v>
      </c>
      <c r="F133">
        <v>1784684.6846846931</v>
      </c>
      <c r="G133">
        <v>130</v>
      </c>
      <c r="H133">
        <v>108</v>
      </c>
      <c r="K133">
        <v>138</v>
      </c>
      <c r="L133">
        <v>118</v>
      </c>
      <c r="M133">
        <v>33690360.360360362</v>
      </c>
      <c r="N133">
        <v>41451351.351351351</v>
      </c>
      <c r="O133">
        <v>86102984.684684694</v>
      </c>
      <c r="P133">
        <v>95700774.774774775</v>
      </c>
      <c r="Q133">
        <v>28123873.873873871</v>
      </c>
      <c r="R133">
        <v>35701171.171171173</v>
      </c>
      <c r="S133">
        <v>7357</v>
      </c>
      <c r="T133">
        <v>7057</v>
      </c>
    </row>
    <row r="134" spans="1:20" x14ac:dyDescent="0.35">
      <c r="A134" s="7" t="s">
        <v>224</v>
      </c>
      <c r="B134" s="12" t="s">
        <v>225</v>
      </c>
      <c r="C134">
        <v>38619592.493783794</v>
      </c>
      <c r="D134">
        <v>38677971.27449441</v>
      </c>
      <c r="E134">
        <v>5405.4054054050002</v>
      </c>
      <c r="F134">
        <v>16216.216216216</v>
      </c>
      <c r="G134">
        <v>3</v>
      </c>
      <c r="H134">
        <v>2</v>
      </c>
      <c r="K134">
        <v>3</v>
      </c>
      <c r="L134">
        <v>2</v>
      </c>
      <c r="M134">
        <v>5405.4054054050002</v>
      </c>
      <c r="N134">
        <v>416216.21621621598</v>
      </c>
      <c r="O134">
        <v>9693585.5855855867</v>
      </c>
      <c r="P134">
        <v>9271414.4144144133</v>
      </c>
      <c r="Q134">
        <v>946576.57657657703</v>
      </c>
      <c r="R134">
        <v>1172522.5225225231</v>
      </c>
      <c r="S134">
        <v>822</v>
      </c>
      <c r="T134">
        <v>792</v>
      </c>
    </row>
    <row r="135" spans="1:20" x14ac:dyDescent="0.35">
      <c r="A135" s="7" t="s">
        <v>226</v>
      </c>
      <c r="B135" s="12" t="s">
        <v>144</v>
      </c>
      <c r="C135">
        <v>363982799.90563112</v>
      </c>
      <c r="D135">
        <v>374891227.58372563</v>
      </c>
      <c r="E135">
        <v>3789189.18918919</v>
      </c>
      <c r="F135">
        <v>1900900.900900908</v>
      </c>
      <c r="G135">
        <v>147</v>
      </c>
      <c r="H135">
        <v>37</v>
      </c>
      <c r="K135">
        <v>160</v>
      </c>
      <c r="L135">
        <v>48</v>
      </c>
      <c r="M135">
        <v>22945945.945945948</v>
      </c>
      <c r="N135">
        <v>21765765.765765768</v>
      </c>
      <c r="O135">
        <v>46842645.495495498</v>
      </c>
      <c r="P135">
        <v>54424423.423423424</v>
      </c>
      <c r="Q135">
        <v>14791441.441441445</v>
      </c>
      <c r="R135">
        <v>16360000</v>
      </c>
      <c r="S135">
        <v>6551</v>
      </c>
      <c r="T135">
        <v>6329</v>
      </c>
    </row>
    <row r="136" spans="1:20" x14ac:dyDescent="0.35">
      <c r="A136" s="7" t="s">
        <v>227</v>
      </c>
      <c r="B136" s="12" t="s">
        <v>225</v>
      </c>
      <c r="C136">
        <v>42369418.254263781</v>
      </c>
      <c r="D136">
        <v>41357991.103904605</v>
      </c>
      <c r="E136">
        <v>121621.62162162201</v>
      </c>
      <c r="F136">
        <v>130630.630630631</v>
      </c>
      <c r="G136">
        <v>14</v>
      </c>
      <c r="H136">
        <v>9</v>
      </c>
      <c r="K136">
        <v>16</v>
      </c>
      <c r="L136">
        <v>11</v>
      </c>
      <c r="M136">
        <v>6068648.6486486476</v>
      </c>
      <c r="N136">
        <v>10438288.288288288</v>
      </c>
      <c r="O136">
        <v>11383905.405405404</v>
      </c>
      <c r="P136">
        <v>9704063.0630630646</v>
      </c>
      <c r="Q136">
        <v>4911981.9819819815</v>
      </c>
      <c r="R136">
        <v>9004504.5045045037</v>
      </c>
      <c r="S136">
        <v>932</v>
      </c>
      <c r="T136">
        <v>770</v>
      </c>
    </row>
    <row r="137" spans="1:20" x14ac:dyDescent="0.35">
      <c r="A137" s="7" t="s">
        <v>228</v>
      </c>
      <c r="B137" s="12" t="s">
        <v>79</v>
      </c>
      <c r="C137">
        <v>342478093.0398829</v>
      </c>
      <c r="D137">
        <v>355408708.63870835</v>
      </c>
      <c r="E137">
        <v>89036936.936936945</v>
      </c>
      <c r="F137">
        <v>217873873.87387389</v>
      </c>
      <c r="G137">
        <v>73</v>
      </c>
      <c r="H137">
        <v>35</v>
      </c>
      <c r="K137">
        <v>84</v>
      </c>
      <c r="L137">
        <v>45</v>
      </c>
      <c r="M137">
        <v>44046666.666666664</v>
      </c>
      <c r="N137">
        <v>44226756.756756753</v>
      </c>
      <c r="O137">
        <v>137128702.7027027</v>
      </c>
      <c r="P137">
        <v>145348936.93693691</v>
      </c>
      <c r="Q137">
        <v>37276396.396396399</v>
      </c>
      <c r="R137">
        <v>33978511.711711712</v>
      </c>
      <c r="S137">
        <v>5255</v>
      </c>
      <c r="T137">
        <v>4729</v>
      </c>
    </row>
    <row r="138" spans="1:20" x14ac:dyDescent="0.35">
      <c r="A138" s="7" t="s">
        <v>229</v>
      </c>
      <c r="B138" s="12" t="s">
        <v>137</v>
      </c>
      <c r="C138">
        <v>449836486.81720114</v>
      </c>
      <c r="D138">
        <v>466061440.39712024</v>
      </c>
      <c r="E138">
        <v>3934459.4594594599</v>
      </c>
      <c r="F138">
        <v>3087387.3873873921</v>
      </c>
      <c r="G138">
        <v>114</v>
      </c>
      <c r="H138">
        <v>81</v>
      </c>
      <c r="I138">
        <v>1</v>
      </c>
      <c r="K138">
        <v>131</v>
      </c>
      <c r="L138">
        <v>101</v>
      </c>
      <c r="M138">
        <v>53824324.324324325</v>
      </c>
      <c r="N138">
        <v>69138738.738738731</v>
      </c>
      <c r="O138">
        <v>104126581.08108109</v>
      </c>
      <c r="P138">
        <v>112795609.009009</v>
      </c>
      <c r="Q138">
        <v>44407477.477477483</v>
      </c>
      <c r="R138">
        <v>63098738.738738745</v>
      </c>
      <c r="S138">
        <v>8015</v>
      </c>
      <c r="T138">
        <v>7739</v>
      </c>
    </row>
    <row r="139" spans="1:20" x14ac:dyDescent="0.35">
      <c r="A139" s="7" t="s">
        <v>230</v>
      </c>
      <c r="B139" s="12" t="s">
        <v>79</v>
      </c>
      <c r="C139">
        <v>128366943.80725485</v>
      </c>
      <c r="D139">
        <v>140982436.98574102</v>
      </c>
      <c r="E139">
        <v>4559909.9099099077</v>
      </c>
      <c r="F139">
        <v>6039639.6396396393</v>
      </c>
      <c r="G139">
        <v>51</v>
      </c>
      <c r="H139">
        <v>44</v>
      </c>
      <c r="I139">
        <v>2</v>
      </c>
      <c r="K139">
        <v>53</v>
      </c>
      <c r="L139">
        <v>61</v>
      </c>
      <c r="M139">
        <v>28166666.666666668</v>
      </c>
      <c r="N139">
        <v>28949549.549549554</v>
      </c>
      <c r="O139">
        <v>61438899.099099107</v>
      </c>
      <c r="P139">
        <v>67231610.810810804</v>
      </c>
      <c r="Q139">
        <v>27093286.486486487</v>
      </c>
      <c r="R139">
        <v>27203196.396396395</v>
      </c>
      <c r="S139">
        <v>2671</v>
      </c>
      <c r="T139">
        <v>2551</v>
      </c>
    </row>
    <row r="140" spans="1:20" x14ac:dyDescent="0.35">
      <c r="A140" s="7" t="s">
        <v>231</v>
      </c>
      <c r="B140" s="12" t="s">
        <v>55</v>
      </c>
      <c r="C140">
        <v>375271267.20014769</v>
      </c>
      <c r="D140">
        <v>382856350.28872633</v>
      </c>
      <c r="E140">
        <v>993693.69369369396</v>
      </c>
      <c r="F140">
        <v>1109459.4594594589</v>
      </c>
      <c r="G140">
        <v>47</v>
      </c>
      <c r="H140">
        <v>51</v>
      </c>
      <c r="K140">
        <v>53</v>
      </c>
      <c r="L140">
        <v>67</v>
      </c>
      <c r="M140">
        <v>23730630.630630631</v>
      </c>
      <c r="N140">
        <v>21623333.333333332</v>
      </c>
      <c r="O140">
        <v>92116302.702702701</v>
      </c>
      <c r="P140">
        <v>96105171.171171173</v>
      </c>
      <c r="Q140">
        <v>26504684.684684686</v>
      </c>
      <c r="R140">
        <v>15472522.522522524</v>
      </c>
      <c r="S140">
        <v>7220</v>
      </c>
      <c r="T140">
        <v>6802</v>
      </c>
    </row>
    <row r="141" spans="1:20" x14ac:dyDescent="0.35">
      <c r="A141" s="7" t="s">
        <v>232</v>
      </c>
      <c r="B141" s="12" t="s">
        <v>79</v>
      </c>
      <c r="C141">
        <v>144350295.31669337</v>
      </c>
      <c r="D141">
        <v>146759029.59195817</v>
      </c>
      <c r="E141">
        <v>3490990.9909909908</v>
      </c>
      <c r="F141">
        <v>6769819.8198198238</v>
      </c>
      <c r="G141">
        <v>79</v>
      </c>
      <c r="H141">
        <v>43</v>
      </c>
      <c r="I141">
        <v>1</v>
      </c>
      <c r="K141">
        <v>100</v>
      </c>
      <c r="L141">
        <v>76</v>
      </c>
      <c r="M141">
        <v>36778378.378378376</v>
      </c>
      <c r="N141">
        <v>47301351.351351351</v>
      </c>
      <c r="O141">
        <v>68961117.117117122</v>
      </c>
      <c r="P141">
        <v>69574828.828828827</v>
      </c>
      <c r="Q141">
        <v>36441891.891891889</v>
      </c>
      <c r="R141">
        <v>46965945.945945941</v>
      </c>
      <c r="S141">
        <v>4208</v>
      </c>
      <c r="T141">
        <v>3922</v>
      </c>
    </row>
    <row r="142" spans="1:20" x14ac:dyDescent="0.35">
      <c r="A142" s="7" t="s">
        <v>233</v>
      </c>
      <c r="B142" s="12" t="s">
        <v>61</v>
      </c>
      <c r="C142">
        <v>130134361.53370546</v>
      </c>
      <c r="D142">
        <v>130041573.13613702</v>
      </c>
      <c r="G142">
        <v>49</v>
      </c>
      <c r="H142">
        <v>5</v>
      </c>
      <c r="K142">
        <v>53</v>
      </c>
      <c r="L142">
        <v>9</v>
      </c>
      <c r="O142">
        <v>53795090.090090089</v>
      </c>
      <c r="P142">
        <v>54440396.396396399</v>
      </c>
      <c r="S142">
        <v>2039</v>
      </c>
      <c r="T142">
        <v>2172</v>
      </c>
    </row>
    <row r="143" spans="1:20" x14ac:dyDescent="0.35">
      <c r="A143" s="7" t="s">
        <v>234</v>
      </c>
      <c r="B143" s="12" t="s">
        <v>55</v>
      </c>
      <c r="C143">
        <v>62355928.96228651</v>
      </c>
      <c r="D143">
        <v>61304438.672353894</v>
      </c>
      <c r="E143">
        <v>154954.954954955</v>
      </c>
      <c r="F143">
        <v>1949549.5495495489</v>
      </c>
      <c r="G143">
        <v>47</v>
      </c>
      <c r="H143">
        <v>7</v>
      </c>
      <c r="K143">
        <v>62</v>
      </c>
      <c r="L143">
        <v>8</v>
      </c>
      <c r="M143">
        <v>3188558.5585585581</v>
      </c>
      <c r="N143">
        <v>6706306.3063063072</v>
      </c>
      <c r="O143">
        <v>13797288.288288288</v>
      </c>
      <c r="P143">
        <v>15661351.351351352</v>
      </c>
      <c r="Q143">
        <v>2920360.3603603588</v>
      </c>
      <c r="R143">
        <v>5666756.7567567574</v>
      </c>
      <c r="S143">
        <v>1805</v>
      </c>
      <c r="T143">
        <v>751</v>
      </c>
    </row>
    <row r="144" spans="1:20" x14ac:dyDescent="0.35">
      <c r="A144" s="7" t="s">
        <v>235</v>
      </c>
      <c r="B144" s="12" t="s">
        <v>168</v>
      </c>
      <c r="C144">
        <v>289262564.9567405</v>
      </c>
      <c r="D144">
        <v>276507272.29320103</v>
      </c>
      <c r="E144">
        <v>530630.63063062902</v>
      </c>
      <c r="F144">
        <v>2063963.9639639619</v>
      </c>
      <c r="G144">
        <v>23</v>
      </c>
      <c r="H144">
        <v>25</v>
      </c>
      <c r="K144">
        <v>28</v>
      </c>
      <c r="L144">
        <v>27</v>
      </c>
      <c r="M144">
        <v>33388636.936936937</v>
      </c>
      <c r="N144">
        <v>43226801.801801801</v>
      </c>
      <c r="O144">
        <v>80599779.279279277</v>
      </c>
      <c r="P144">
        <v>94023045.045045033</v>
      </c>
      <c r="Q144">
        <v>16351081.081081079</v>
      </c>
      <c r="R144">
        <v>24843288.288288288</v>
      </c>
      <c r="S144">
        <v>5514</v>
      </c>
      <c r="T144">
        <v>5035</v>
      </c>
    </row>
    <row r="145" spans="1:20" x14ac:dyDescent="0.35">
      <c r="A145" s="7" t="s">
        <v>236</v>
      </c>
      <c r="B145" s="12" t="s">
        <v>237</v>
      </c>
      <c r="C145">
        <v>6333.7681168629997</v>
      </c>
      <c r="D145">
        <v>1127.07201175</v>
      </c>
      <c r="O145">
        <v>13513.513513514001</v>
      </c>
      <c r="S145">
        <v>59</v>
      </c>
      <c r="T145">
        <v>47</v>
      </c>
    </row>
    <row r="146" spans="1:20" x14ac:dyDescent="0.35">
      <c r="A146" s="7" t="s">
        <v>238</v>
      </c>
      <c r="B146" s="12" t="s">
        <v>106</v>
      </c>
      <c r="C146">
        <v>169670862.07153317</v>
      </c>
      <c r="D146">
        <v>170798111.3125509</v>
      </c>
      <c r="E146">
        <v>940540.54054054001</v>
      </c>
      <c r="F146">
        <v>513513.513513515</v>
      </c>
      <c r="G146">
        <v>22</v>
      </c>
      <c r="H146">
        <v>22</v>
      </c>
      <c r="K146">
        <v>24</v>
      </c>
      <c r="L146">
        <v>24</v>
      </c>
      <c r="M146">
        <v>27392432.432432432</v>
      </c>
      <c r="N146">
        <v>22781081.081081081</v>
      </c>
      <c r="O146">
        <v>49508360.360360362</v>
      </c>
      <c r="P146">
        <v>53507162.162162162</v>
      </c>
      <c r="Q146">
        <v>25887567.567567568</v>
      </c>
      <c r="R146">
        <v>20476756.756756756</v>
      </c>
      <c r="S146">
        <v>2246</v>
      </c>
      <c r="T146">
        <v>1948</v>
      </c>
    </row>
    <row r="147" spans="1:20" x14ac:dyDescent="0.35">
      <c r="A147" s="7" t="s">
        <v>3</v>
      </c>
      <c r="B147" s="12" t="s">
        <v>159</v>
      </c>
      <c r="C147">
        <v>349031106.78019577</v>
      </c>
      <c r="D147">
        <v>310133093.33838075</v>
      </c>
      <c r="E147">
        <v>4836711.711711715</v>
      </c>
      <c r="F147">
        <v>4087387.3873873879</v>
      </c>
      <c r="G147">
        <v>56</v>
      </c>
      <c r="H147">
        <v>56</v>
      </c>
      <c r="K147">
        <v>61</v>
      </c>
      <c r="L147">
        <v>66</v>
      </c>
      <c r="M147">
        <v>71794594.594594598</v>
      </c>
      <c r="N147">
        <v>96154054.054054052</v>
      </c>
      <c r="O147">
        <v>95333675.675675675</v>
      </c>
      <c r="P147">
        <v>89004963.963963971</v>
      </c>
      <c r="Q147">
        <v>64784414.414414413</v>
      </c>
      <c r="R147">
        <v>89345945.945945948</v>
      </c>
      <c r="S147">
        <v>3962</v>
      </c>
      <c r="T147">
        <v>3574</v>
      </c>
    </row>
    <row r="148" spans="1:20" x14ac:dyDescent="0.35">
      <c r="A148" s="7" t="s">
        <v>239</v>
      </c>
      <c r="B148" s="12" t="s">
        <v>179</v>
      </c>
      <c r="C148">
        <v>270111562.27855641</v>
      </c>
      <c r="D148">
        <v>284908863.14631522</v>
      </c>
      <c r="E148">
        <v>567567.56756756804</v>
      </c>
      <c r="F148">
        <v>5419819.819819821</v>
      </c>
      <c r="G148">
        <v>71</v>
      </c>
      <c r="H148">
        <v>58</v>
      </c>
      <c r="K148">
        <v>89</v>
      </c>
      <c r="L148">
        <v>74</v>
      </c>
      <c r="M148">
        <v>38000000</v>
      </c>
      <c r="N148">
        <v>49999099.099099107</v>
      </c>
      <c r="O148">
        <v>86283063.06306307</v>
      </c>
      <c r="P148">
        <v>92645855.855855852</v>
      </c>
      <c r="Q148">
        <v>31995045.045045044</v>
      </c>
      <c r="R148">
        <v>46016036.036036037</v>
      </c>
      <c r="S148">
        <v>5698</v>
      </c>
      <c r="T148">
        <v>5083</v>
      </c>
    </row>
    <row r="149" spans="1:20" x14ac:dyDescent="0.35">
      <c r="A149" s="7" t="s">
        <v>240</v>
      </c>
      <c r="B149" s="12" t="s">
        <v>55</v>
      </c>
      <c r="C149">
        <v>194472368.50320643</v>
      </c>
      <c r="D149">
        <v>205819413.17713907</v>
      </c>
      <c r="E149">
        <v>4215315.3153153164</v>
      </c>
      <c r="F149">
        <v>2178378.3783783792</v>
      </c>
      <c r="G149">
        <v>35</v>
      </c>
      <c r="H149">
        <v>47</v>
      </c>
      <c r="K149">
        <v>36</v>
      </c>
      <c r="L149">
        <v>79</v>
      </c>
      <c r="M149">
        <v>27608468.468468469</v>
      </c>
      <c r="N149">
        <v>27293963.963963959</v>
      </c>
      <c r="O149">
        <v>53851735.135135137</v>
      </c>
      <c r="P149">
        <v>61321075.675675683</v>
      </c>
      <c r="Q149">
        <v>23579185.585585583</v>
      </c>
      <c r="R149">
        <v>26607747.747747749</v>
      </c>
      <c r="S149">
        <v>3626</v>
      </c>
      <c r="T149">
        <v>3355</v>
      </c>
    </row>
    <row r="150" spans="1:20" x14ac:dyDescent="0.35">
      <c r="A150" s="7" t="s">
        <v>241</v>
      </c>
      <c r="B150" s="12" t="s">
        <v>242</v>
      </c>
      <c r="C150">
        <v>167632160.80505353</v>
      </c>
      <c r="D150">
        <v>159795642.10464272</v>
      </c>
      <c r="E150">
        <v>1453153.1531531489</v>
      </c>
      <c r="F150">
        <v>1797297.297297298</v>
      </c>
      <c r="G150">
        <v>77</v>
      </c>
      <c r="H150">
        <v>54</v>
      </c>
      <c r="K150">
        <v>83</v>
      </c>
      <c r="L150">
        <v>75</v>
      </c>
      <c r="M150">
        <v>53218198.198198199</v>
      </c>
      <c r="N150">
        <v>23455495.495495494</v>
      </c>
      <c r="O150">
        <v>39166845.045045048</v>
      </c>
      <c r="P150">
        <v>42622270.270270273</v>
      </c>
      <c r="Q150">
        <v>47452522.522522517</v>
      </c>
      <c r="R150">
        <v>21172162.162162162</v>
      </c>
      <c r="S150">
        <v>3075</v>
      </c>
      <c r="T150">
        <v>3400</v>
      </c>
    </row>
    <row r="151" spans="1:20" x14ac:dyDescent="0.35">
      <c r="A151" s="7" t="s">
        <v>243</v>
      </c>
      <c r="B151" s="12" t="s">
        <v>242</v>
      </c>
      <c r="C151">
        <v>428730249.38877845</v>
      </c>
      <c r="D151">
        <v>388072793.00572431</v>
      </c>
      <c r="E151">
        <v>212627123.42342341</v>
      </c>
      <c r="F151">
        <v>137238654.05405405</v>
      </c>
      <c r="G151">
        <v>172</v>
      </c>
      <c r="H151">
        <v>143</v>
      </c>
      <c r="K151">
        <v>195</v>
      </c>
      <c r="L151">
        <v>172</v>
      </c>
      <c r="M151">
        <v>172228018.01801801</v>
      </c>
      <c r="N151">
        <v>154051261.26126125</v>
      </c>
      <c r="O151">
        <v>127283279.27927928</v>
      </c>
      <c r="P151">
        <v>126147270.27027027</v>
      </c>
      <c r="Q151">
        <v>149028378.37837836</v>
      </c>
      <c r="R151">
        <v>136052612.61261261</v>
      </c>
      <c r="S151">
        <v>8301</v>
      </c>
      <c r="T151">
        <v>6920</v>
      </c>
    </row>
    <row r="152" spans="1:20" x14ac:dyDescent="0.35">
      <c r="A152" s="7" t="s">
        <v>244</v>
      </c>
      <c r="B152" s="12" t="s">
        <v>51</v>
      </c>
      <c r="C152">
        <v>77112918.420356527</v>
      </c>
      <c r="D152">
        <v>70366613.740468442</v>
      </c>
      <c r="E152">
        <v>3543243.2432432449</v>
      </c>
      <c r="F152">
        <v>2278378.3783783801</v>
      </c>
      <c r="G152">
        <v>27</v>
      </c>
      <c r="H152">
        <v>11</v>
      </c>
      <c r="K152">
        <v>27</v>
      </c>
      <c r="L152">
        <v>12</v>
      </c>
      <c r="M152">
        <v>18368828.828828827</v>
      </c>
      <c r="N152">
        <v>5547072.072072071</v>
      </c>
      <c r="O152">
        <v>25061180.180180181</v>
      </c>
      <c r="P152">
        <v>24407630.630630631</v>
      </c>
      <c r="Q152">
        <v>16046576.576576576</v>
      </c>
      <c r="R152">
        <v>4544729.7297297306</v>
      </c>
      <c r="S152">
        <v>1320</v>
      </c>
      <c r="T152">
        <v>1128</v>
      </c>
    </row>
    <row r="153" spans="1:20" x14ac:dyDescent="0.35">
      <c r="A153" s="7" t="s">
        <v>245</v>
      </c>
      <c r="B153" s="12" t="s">
        <v>182</v>
      </c>
      <c r="C153">
        <v>2344415773.3916702</v>
      </c>
      <c r="D153">
        <v>2258272275.4411025</v>
      </c>
      <c r="E153">
        <v>231330222.52252254</v>
      </c>
      <c r="F153">
        <v>277836179.27927929</v>
      </c>
      <c r="G153">
        <v>1013</v>
      </c>
      <c r="H153">
        <v>897</v>
      </c>
      <c r="I153">
        <v>15</v>
      </c>
      <c r="K153">
        <v>1548</v>
      </c>
      <c r="L153">
        <v>1184</v>
      </c>
      <c r="M153">
        <v>340983153.15315318</v>
      </c>
      <c r="N153">
        <v>566713438.73873878</v>
      </c>
      <c r="O153">
        <v>510552794.59459454</v>
      </c>
      <c r="P153">
        <v>529726025.22522521</v>
      </c>
      <c r="Q153">
        <v>357715945.94594592</v>
      </c>
      <c r="R153">
        <v>559079819.81981981</v>
      </c>
      <c r="S153">
        <v>60057</v>
      </c>
      <c r="T153">
        <v>42064</v>
      </c>
    </row>
    <row r="154" spans="1:20" x14ac:dyDescent="0.35">
      <c r="A154" s="7" t="s">
        <v>246</v>
      </c>
      <c r="B154" s="12" t="s">
        <v>49</v>
      </c>
      <c r="C154">
        <v>103348718.09091759</v>
      </c>
      <c r="D154">
        <v>103230914.33567843</v>
      </c>
      <c r="E154">
        <v>2002027.0270270279</v>
      </c>
      <c r="F154">
        <v>141441.441441442</v>
      </c>
      <c r="G154">
        <v>14</v>
      </c>
      <c r="H154">
        <v>7</v>
      </c>
      <c r="K154">
        <v>19</v>
      </c>
      <c r="L154">
        <v>7</v>
      </c>
      <c r="M154">
        <v>28053153.153153151</v>
      </c>
      <c r="N154">
        <v>9849549.5495495517</v>
      </c>
      <c r="O154">
        <v>24650144.144144144</v>
      </c>
      <c r="P154">
        <v>27520333.333333332</v>
      </c>
      <c r="Q154">
        <v>29655765.765765768</v>
      </c>
      <c r="R154">
        <v>9726126.1261261273</v>
      </c>
      <c r="S154">
        <v>2187</v>
      </c>
      <c r="T154">
        <v>1794</v>
      </c>
    </row>
    <row r="155" spans="1:20" x14ac:dyDescent="0.35">
      <c r="A155" s="7" t="s">
        <v>247</v>
      </c>
      <c r="B155" s="12" t="s">
        <v>95</v>
      </c>
      <c r="C155">
        <v>31550204.138492145</v>
      </c>
      <c r="D155">
        <v>25911122.52276494</v>
      </c>
      <c r="G155">
        <v>5</v>
      </c>
      <c r="K155">
        <v>5</v>
      </c>
      <c r="O155">
        <v>6209504.5045045046</v>
      </c>
      <c r="P155">
        <v>5194954.9549549548</v>
      </c>
      <c r="S155">
        <v>729</v>
      </c>
      <c r="T155">
        <v>698</v>
      </c>
    </row>
    <row r="156" spans="1:20" x14ac:dyDescent="0.35">
      <c r="A156" s="7" t="s">
        <v>248</v>
      </c>
      <c r="B156" s="12" t="s">
        <v>118</v>
      </c>
      <c r="C156">
        <v>96044444.333968922</v>
      </c>
      <c r="D156">
        <v>89225724.772519171</v>
      </c>
      <c r="E156">
        <v>2490280.1801801799</v>
      </c>
      <c r="F156">
        <v>2500817.1171171181</v>
      </c>
      <c r="G156">
        <v>15</v>
      </c>
      <c r="H156">
        <v>19</v>
      </c>
      <c r="K156">
        <v>20</v>
      </c>
      <c r="L156">
        <v>30</v>
      </c>
      <c r="M156">
        <v>19342342.342342343</v>
      </c>
      <c r="N156">
        <v>110739590.09009008</v>
      </c>
      <c r="O156">
        <v>46128306.306306303</v>
      </c>
      <c r="P156">
        <v>46266945.945945941</v>
      </c>
      <c r="Q156">
        <v>18065585.585585583</v>
      </c>
      <c r="R156">
        <v>12799369.369369365</v>
      </c>
      <c r="S156">
        <v>1868</v>
      </c>
      <c r="T156">
        <v>1741</v>
      </c>
    </row>
    <row r="157" spans="1:20" x14ac:dyDescent="0.35">
      <c r="A157" s="7" t="s">
        <v>249</v>
      </c>
      <c r="B157" s="12" t="s">
        <v>122</v>
      </c>
      <c r="C157">
        <v>155413189.63323942</v>
      </c>
      <c r="D157">
        <v>142358266.27476421</v>
      </c>
      <c r="E157">
        <v>901801.80180180201</v>
      </c>
      <c r="F157">
        <v>274774.77477477898</v>
      </c>
      <c r="G157">
        <v>86</v>
      </c>
      <c r="H157">
        <v>82</v>
      </c>
      <c r="K157">
        <v>93</v>
      </c>
      <c r="L157">
        <v>91</v>
      </c>
      <c r="M157">
        <v>6815315.3153153136</v>
      </c>
      <c r="N157">
        <v>7913063.0630630646</v>
      </c>
      <c r="O157">
        <v>17686900.9009009</v>
      </c>
      <c r="P157">
        <v>15620351.351351352</v>
      </c>
      <c r="Q157">
        <v>4902972.9729729732</v>
      </c>
      <c r="R157">
        <v>5777027.0270270258</v>
      </c>
      <c r="S157">
        <v>2548</v>
      </c>
      <c r="T157">
        <v>2319</v>
      </c>
    </row>
    <row r="158" spans="1:20" x14ac:dyDescent="0.35">
      <c r="A158" s="7" t="s">
        <v>250</v>
      </c>
      <c r="B158" s="12" t="s">
        <v>77</v>
      </c>
      <c r="C158">
        <v>68581008.696339279</v>
      </c>
      <c r="D158">
        <v>65058919.634805121</v>
      </c>
      <c r="G158">
        <v>6</v>
      </c>
      <c r="K158">
        <v>7</v>
      </c>
      <c r="L158">
        <v>1</v>
      </c>
      <c r="O158">
        <v>6770135.1351351347</v>
      </c>
      <c r="P158">
        <v>7505324.3243243238</v>
      </c>
      <c r="S158">
        <v>1845</v>
      </c>
      <c r="T158">
        <v>1705</v>
      </c>
    </row>
    <row r="159" spans="1:20" x14ac:dyDescent="0.35">
      <c r="A159" s="7" t="s">
        <v>251</v>
      </c>
      <c r="B159" s="12" t="s">
        <v>168</v>
      </c>
      <c r="C159">
        <v>220662809.58140928</v>
      </c>
      <c r="D159">
        <v>222764775.55300501</v>
      </c>
      <c r="E159">
        <v>107149549.54954955</v>
      </c>
      <c r="F159">
        <v>216981981.98198199</v>
      </c>
      <c r="G159">
        <v>38</v>
      </c>
      <c r="H159">
        <v>9</v>
      </c>
      <c r="K159">
        <v>43</v>
      </c>
      <c r="L159">
        <v>12</v>
      </c>
      <c r="M159">
        <v>4954954.9549549539</v>
      </c>
      <c r="N159">
        <v>9145495.4954954963</v>
      </c>
      <c r="O159">
        <v>40991364.864864863</v>
      </c>
      <c r="P159">
        <v>56713099.0990991</v>
      </c>
      <c r="Q159">
        <v>3828108.1081081079</v>
      </c>
      <c r="R159">
        <v>5706756.7567567574</v>
      </c>
      <c r="S159">
        <v>3854</v>
      </c>
      <c r="T159">
        <v>3656</v>
      </c>
    </row>
    <row r="160" spans="1:20" x14ac:dyDescent="0.35">
      <c r="A160" s="7" t="s">
        <v>252</v>
      </c>
      <c r="B160" s="12" t="s">
        <v>90</v>
      </c>
      <c r="C160">
        <v>651356286.67994356</v>
      </c>
      <c r="D160">
        <v>676711446.75658834</v>
      </c>
      <c r="E160">
        <v>147022072.07207206</v>
      </c>
      <c r="F160">
        <v>420639189.1891892</v>
      </c>
      <c r="G160">
        <v>122</v>
      </c>
      <c r="H160">
        <v>51</v>
      </c>
      <c r="I160">
        <v>1</v>
      </c>
      <c r="K160">
        <v>132</v>
      </c>
      <c r="L160">
        <v>74</v>
      </c>
      <c r="M160">
        <v>57683873.873873875</v>
      </c>
      <c r="N160">
        <v>56377837.837837838</v>
      </c>
      <c r="O160">
        <v>158779818.01801801</v>
      </c>
      <c r="P160">
        <v>178075324.32432431</v>
      </c>
      <c r="Q160">
        <v>52962162.162162162</v>
      </c>
      <c r="R160">
        <v>55247387.387387395</v>
      </c>
      <c r="S160">
        <v>10588</v>
      </c>
      <c r="T160">
        <v>10938</v>
      </c>
    </row>
    <row r="161" spans="1:20" x14ac:dyDescent="0.35">
      <c r="A161" s="7" t="s">
        <v>253</v>
      </c>
      <c r="B161" s="12" t="s">
        <v>79</v>
      </c>
      <c r="C161">
        <v>192672202.62005228</v>
      </c>
      <c r="D161">
        <v>193986270.20518234</v>
      </c>
      <c r="E161">
        <v>2725225.2252252279</v>
      </c>
      <c r="F161">
        <v>1479279.279279283</v>
      </c>
      <c r="G161">
        <v>33</v>
      </c>
      <c r="H161">
        <v>18</v>
      </c>
      <c r="K161">
        <v>35</v>
      </c>
      <c r="L161">
        <v>21</v>
      </c>
      <c r="M161">
        <v>40056936.936936937</v>
      </c>
      <c r="N161">
        <v>32396576.576576576</v>
      </c>
      <c r="O161">
        <v>53412837.837837838</v>
      </c>
      <c r="P161">
        <v>56035450.45045045</v>
      </c>
      <c r="Q161">
        <v>37057297.297297299</v>
      </c>
      <c r="R161">
        <v>30739189.189189192</v>
      </c>
      <c r="S161">
        <v>3545</v>
      </c>
      <c r="T161">
        <v>2793</v>
      </c>
    </row>
    <row r="162" spans="1:20" x14ac:dyDescent="0.35">
      <c r="A162" s="7" t="s">
        <v>254</v>
      </c>
      <c r="B162" s="12" t="s">
        <v>106</v>
      </c>
      <c r="C162">
        <v>375507987.95715481</v>
      </c>
      <c r="D162">
        <v>390733141.79452604</v>
      </c>
      <c r="E162">
        <v>223037718.91891891</v>
      </c>
      <c r="F162">
        <v>338743321.62162161</v>
      </c>
      <c r="G162">
        <v>172</v>
      </c>
      <c r="H162">
        <v>96</v>
      </c>
      <c r="I162">
        <v>1</v>
      </c>
      <c r="K162">
        <v>217</v>
      </c>
      <c r="L162">
        <v>118</v>
      </c>
      <c r="M162">
        <v>70719639.639639646</v>
      </c>
      <c r="N162">
        <v>180485540.54054055</v>
      </c>
      <c r="O162">
        <v>109781234.23423424</v>
      </c>
      <c r="P162">
        <v>117508351.35135137</v>
      </c>
      <c r="Q162">
        <v>69576936.93693693</v>
      </c>
      <c r="R162">
        <v>179625720.72072071</v>
      </c>
      <c r="S162">
        <v>5778</v>
      </c>
      <c r="T162">
        <v>5656</v>
      </c>
    </row>
    <row r="163" spans="1:20" x14ac:dyDescent="0.35">
      <c r="A163" s="7" t="s">
        <v>255</v>
      </c>
      <c r="B163" s="12" t="s">
        <v>106</v>
      </c>
      <c r="C163">
        <v>249156931.43042251</v>
      </c>
      <c r="D163">
        <v>223104561.44496039</v>
      </c>
      <c r="E163">
        <v>2515090.0900900918</v>
      </c>
      <c r="F163">
        <v>2093693.693693694</v>
      </c>
      <c r="G163">
        <v>32</v>
      </c>
      <c r="H163">
        <v>36</v>
      </c>
      <c r="I163">
        <v>1</v>
      </c>
      <c r="K163">
        <v>38</v>
      </c>
      <c r="L163">
        <v>38</v>
      </c>
      <c r="M163">
        <v>20441801.801801801</v>
      </c>
      <c r="N163">
        <v>24700450.45045045</v>
      </c>
      <c r="O163">
        <v>78408792.792792797</v>
      </c>
      <c r="P163">
        <v>77527009.009009004</v>
      </c>
      <c r="Q163">
        <v>18230180.180180181</v>
      </c>
      <c r="R163">
        <v>22335855.855855856</v>
      </c>
      <c r="S163">
        <v>4232</v>
      </c>
      <c r="T163">
        <v>3721</v>
      </c>
    </row>
    <row r="164" spans="1:20" x14ac:dyDescent="0.35">
      <c r="A164" s="7" t="s">
        <v>256</v>
      </c>
      <c r="B164" s="12" t="s">
        <v>106</v>
      </c>
      <c r="C164">
        <v>204420052.2609368</v>
      </c>
      <c r="D164">
        <v>224126205.39340439</v>
      </c>
      <c r="E164">
        <v>133333.33333333401</v>
      </c>
      <c r="F164">
        <v>69369.369369370004</v>
      </c>
      <c r="G164">
        <v>35</v>
      </c>
      <c r="H164">
        <v>28</v>
      </c>
      <c r="I164">
        <v>4</v>
      </c>
      <c r="K164">
        <v>36</v>
      </c>
      <c r="L164">
        <v>32</v>
      </c>
      <c r="M164">
        <v>2385585.5855855858</v>
      </c>
      <c r="N164">
        <v>2546846.8468468469</v>
      </c>
      <c r="O164">
        <v>43510917.117117122</v>
      </c>
      <c r="P164">
        <v>52387828.828828834</v>
      </c>
      <c r="Q164">
        <v>2541891.8918918921</v>
      </c>
      <c r="R164">
        <v>1946666.666666667</v>
      </c>
      <c r="S164">
        <v>2664</v>
      </c>
      <c r="T164">
        <v>2008</v>
      </c>
    </row>
    <row r="165" spans="1:20" x14ac:dyDescent="0.35">
      <c r="A165" s="7" t="s">
        <v>257</v>
      </c>
      <c r="B165" s="12" t="s">
        <v>135</v>
      </c>
      <c r="C165">
        <v>315242785.8031286</v>
      </c>
      <c r="D165">
        <v>340224295.93135571</v>
      </c>
      <c r="E165">
        <v>344680489.1891892</v>
      </c>
      <c r="F165">
        <v>364360772.97297299</v>
      </c>
      <c r="G165">
        <v>24</v>
      </c>
      <c r="H165">
        <v>19</v>
      </c>
      <c r="K165">
        <v>26</v>
      </c>
      <c r="L165">
        <v>28</v>
      </c>
      <c r="M165">
        <v>50648648.648648649</v>
      </c>
      <c r="N165">
        <v>54013258.558558561</v>
      </c>
      <c r="O165">
        <v>22986126.126126129</v>
      </c>
      <c r="P165">
        <v>33090430.630630631</v>
      </c>
      <c r="Q165">
        <v>4376576.5765765766</v>
      </c>
      <c r="R165">
        <v>5659639.6396396393</v>
      </c>
      <c r="S165">
        <v>4542</v>
      </c>
      <c r="T165">
        <v>4243</v>
      </c>
    </row>
    <row r="166" spans="1:20" x14ac:dyDescent="0.35">
      <c r="A166" s="7" t="s">
        <v>258</v>
      </c>
      <c r="B166" s="12" t="s">
        <v>168</v>
      </c>
      <c r="C166">
        <v>114704422.23976423</v>
      </c>
      <c r="D166">
        <v>127367399.50235605</v>
      </c>
      <c r="E166">
        <v>1233333.333333333</v>
      </c>
      <c r="F166">
        <v>875675.67567567597</v>
      </c>
      <c r="G166">
        <v>25</v>
      </c>
      <c r="H166">
        <v>9</v>
      </c>
      <c r="K166">
        <v>27</v>
      </c>
      <c r="L166">
        <v>11</v>
      </c>
      <c r="M166">
        <v>6032224.3243243238</v>
      </c>
      <c r="N166">
        <v>10376576.576576576</v>
      </c>
      <c r="O166">
        <v>38301250.45045045</v>
      </c>
      <c r="P166">
        <v>49053495.495495498</v>
      </c>
      <c r="Q166">
        <v>5802162.1621621624</v>
      </c>
      <c r="R166">
        <v>9702252.2522522528</v>
      </c>
      <c r="S166">
        <v>2711</v>
      </c>
      <c r="T166">
        <v>2445</v>
      </c>
    </row>
    <row r="167" spans="1:20" x14ac:dyDescent="0.35">
      <c r="A167" s="7" t="s">
        <v>259</v>
      </c>
      <c r="B167" s="12" t="s">
        <v>61</v>
      </c>
      <c r="C167">
        <v>45023868.412476897</v>
      </c>
      <c r="D167">
        <v>44793933.574011996</v>
      </c>
      <c r="E167">
        <v>374774.77477477398</v>
      </c>
      <c r="F167">
        <v>1343693.693693693</v>
      </c>
      <c r="G167">
        <v>26</v>
      </c>
      <c r="H167">
        <v>17</v>
      </c>
      <c r="I167">
        <v>4</v>
      </c>
      <c r="K167">
        <v>31</v>
      </c>
      <c r="L167">
        <v>24</v>
      </c>
      <c r="M167">
        <v>9509909.9099099077</v>
      </c>
      <c r="N167">
        <v>13325675.675675675</v>
      </c>
      <c r="O167">
        <v>16203180.180180181</v>
      </c>
      <c r="P167">
        <v>16895288.288288288</v>
      </c>
      <c r="Q167">
        <v>8738918.9189189188</v>
      </c>
      <c r="R167">
        <v>12481801.801801804</v>
      </c>
      <c r="S167">
        <v>799</v>
      </c>
      <c r="T167">
        <v>640</v>
      </c>
    </row>
    <row r="168" spans="1:20" x14ac:dyDescent="0.35">
      <c r="A168" s="7" t="s">
        <v>260</v>
      </c>
      <c r="B168" s="12" t="s">
        <v>261</v>
      </c>
      <c r="C168">
        <v>26777216.434720326</v>
      </c>
      <c r="D168">
        <v>28017402.598583337</v>
      </c>
      <c r="E168">
        <v>18918.918918919</v>
      </c>
      <c r="F168">
        <v>1095495.4954954949</v>
      </c>
      <c r="G168">
        <v>7</v>
      </c>
      <c r="H168">
        <v>2</v>
      </c>
      <c r="K168">
        <v>11</v>
      </c>
      <c r="L168">
        <v>2</v>
      </c>
      <c r="M168">
        <v>4106756.7567567569</v>
      </c>
      <c r="N168">
        <v>3798198.1981981979</v>
      </c>
      <c r="O168">
        <v>4872639.6396396393</v>
      </c>
      <c r="P168">
        <v>6789351.3513513524</v>
      </c>
      <c r="Q168">
        <v>3307027.0270270258</v>
      </c>
      <c r="R168">
        <v>1680090.0900900899</v>
      </c>
      <c r="S168">
        <v>667</v>
      </c>
      <c r="T168">
        <v>556</v>
      </c>
    </row>
    <row r="169" spans="1:20" x14ac:dyDescent="0.35">
      <c r="A169" s="7" t="s">
        <v>262</v>
      </c>
      <c r="B169" s="12" t="s">
        <v>61</v>
      </c>
      <c r="C169">
        <v>417237444.81846732</v>
      </c>
      <c r="D169">
        <v>421413579.47182757</v>
      </c>
      <c r="E169">
        <v>264415518.01801801</v>
      </c>
      <c r="F169">
        <v>795115143.24324322</v>
      </c>
      <c r="G169">
        <v>310</v>
      </c>
      <c r="H169">
        <v>224</v>
      </c>
      <c r="I169">
        <v>3</v>
      </c>
      <c r="K169">
        <v>1006</v>
      </c>
      <c r="L169">
        <v>390</v>
      </c>
      <c r="M169">
        <v>84059909.909909919</v>
      </c>
      <c r="N169">
        <v>109737972.07207207</v>
      </c>
      <c r="O169">
        <v>153903358.1081081</v>
      </c>
      <c r="P169">
        <v>155305027.02702701</v>
      </c>
      <c r="Q169">
        <v>91068918.918918908</v>
      </c>
      <c r="R169">
        <v>105206756.75675675</v>
      </c>
      <c r="S169">
        <v>8682</v>
      </c>
      <c r="T169">
        <v>6117</v>
      </c>
    </row>
    <row r="170" spans="1:20" x14ac:dyDescent="0.35">
      <c r="A170" s="7" t="s">
        <v>263</v>
      </c>
      <c r="B170" s="12" t="s">
        <v>124</v>
      </c>
      <c r="C170">
        <v>321684424.43590289</v>
      </c>
      <c r="D170">
        <v>302258449.46974218</v>
      </c>
      <c r="E170">
        <v>1433333.333333333</v>
      </c>
      <c r="F170">
        <v>1354954.9549549581</v>
      </c>
      <c r="G170">
        <v>90</v>
      </c>
      <c r="H170">
        <v>75</v>
      </c>
      <c r="I170">
        <v>1</v>
      </c>
      <c r="K170">
        <v>115</v>
      </c>
      <c r="L170">
        <v>102</v>
      </c>
      <c r="M170">
        <v>33871981.981981985</v>
      </c>
      <c r="N170">
        <v>25788918.918918919</v>
      </c>
      <c r="O170">
        <v>126760063.06306306</v>
      </c>
      <c r="P170">
        <v>122678160.36036035</v>
      </c>
      <c r="Q170">
        <v>30673783.783783782</v>
      </c>
      <c r="R170">
        <v>24763873.873873871</v>
      </c>
      <c r="S170">
        <v>5896</v>
      </c>
      <c r="T170">
        <v>5772</v>
      </c>
    </row>
    <row r="171" spans="1:20" x14ac:dyDescent="0.35">
      <c r="A171" s="7" t="s">
        <v>264</v>
      </c>
      <c r="B171" s="12" t="s">
        <v>124</v>
      </c>
      <c r="C171">
        <v>136629238.06577879</v>
      </c>
      <c r="D171">
        <v>142247898.78794807</v>
      </c>
      <c r="E171">
        <v>2313738.7387387422</v>
      </c>
      <c r="F171">
        <v>4434684.6846846882</v>
      </c>
      <c r="G171">
        <v>103</v>
      </c>
      <c r="H171">
        <v>69</v>
      </c>
      <c r="I171">
        <v>2</v>
      </c>
      <c r="K171">
        <v>339</v>
      </c>
      <c r="L171">
        <v>323</v>
      </c>
      <c r="M171">
        <v>51482432.432432435</v>
      </c>
      <c r="N171">
        <v>39445315.315315321</v>
      </c>
      <c r="O171">
        <v>57543504.504504502</v>
      </c>
      <c r="P171">
        <v>64831774.774774775</v>
      </c>
      <c r="Q171">
        <v>52744144.144144148</v>
      </c>
      <c r="R171">
        <v>38268738.738738738</v>
      </c>
      <c r="S171">
        <v>3368</v>
      </c>
      <c r="T171">
        <v>2409</v>
      </c>
    </row>
    <row r="172" spans="1:20" x14ac:dyDescent="0.35">
      <c r="A172" s="7" t="s">
        <v>265</v>
      </c>
      <c r="B172" s="12" t="s">
        <v>126</v>
      </c>
      <c r="C172">
        <v>344101245.63154894</v>
      </c>
      <c r="D172">
        <v>344331035.58436161</v>
      </c>
      <c r="E172">
        <v>5033783.7837837851</v>
      </c>
      <c r="F172">
        <v>3501351.3513513552</v>
      </c>
      <c r="G172">
        <v>95</v>
      </c>
      <c r="H172">
        <v>48</v>
      </c>
      <c r="K172">
        <v>95</v>
      </c>
      <c r="L172">
        <v>50</v>
      </c>
      <c r="M172">
        <v>30709009.009009007</v>
      </c>
      <c r="N172">
        <v>34176126.126126125</v>
      </c>
      <c r="O172">
        <v>124320311.7117117</v>
      </c>
      <c r="P172">
        <v>123784423.42342342</v>
      </c>
      <c r="Q172">
        <v>31819592.792792793</v>
      </c>
      <c r="R172">
        <v>27547207.207207207</v>
      </c>
      <c r="S172">
        <v>4445</v>
      </c>
      <c r="T172">
        <v>4711</v>
      </c>
    </row>
    <row r="173" spans="1:20" x14ac:dyDescent="0.35">
      <c r="A173" s="7" t="s">
        <v>266</v>
      </c>
      <c r="B173" s="12" t="s">
        <v>124</v>
      </c>
      <c r="C173">
        <v>330404693.16592395</v>
      </c>
      <c r="D173">
        <v>316422240.52748042</v>
      </c>
      <c r="E173">
        <v>2156756.7567567569</v>
      </c>
      <c r="F173">
        <v>2163063.063063066</v>
      </c>
      <c r="G173">
        <v>54</v>
      </c>
      <c r="H173">
        <v>49</v>
      </c>
      <c r="I173">
        <v>1</v>
      </c>
      <c r="K173">
        <v>57</v>
      </c>
      <c r="L173">
        <v>53</v>
      </c>
      <c r="M173">
        <v>41322432.432432435</v>
      </c>
      <c r="N173">
        <v>55787927.927927926</v>
      </c>
      <c r="O173">
        <v>115589616.21621622</v>
      </c>
      <c r="P173">
        <v>121089888.2882883</v>
      </c>
      <c r="Q173">
        <v>37001441.441441439</v>
      </c>
      <c r="R173">
        <v>55533063.063063063</v>
      </c>
      <c r="S173">
        <v>5087</v>
      </c>
      <c r="T173">
        <v>3516</v>
      </c>
    </row>
    <row r="174" spans="1:20" x14ac:dyDescent="0.35">
      <c r="A174" s="7" t="s">
        <v>267</v>
      </c>
      <c r="B174" s="12" t="s">
        <v>124</v>
      </c>
      <c r="C174">
        <v>343314475.10816514</v>
      </c>
      <c r="D174">
        <v>347925591.22016186</v>
      </c>
      <c r="E174">
        <v>204048828.82882884</v>
      </c>
      <c r="F174">
        <v>432203153.15315318</v>
      </c>
      <c r="G174">
        <v>75</v>
      </c>
      <c r="H174">
        <v>89</v>
      </c>
      <c r="K174">
        <v>82</v>
      </c>
      <c r="L174">
        <v>100</v>
      </c>
      <c r="M174">
        <v>57432027.027027026</v>
      </c>
      <c r="N174">
        <v>44911351.351351351</v>
      </c>
      <c r="O174">
        <v>139587908.1081081</v>
      </c>
      <c r="P174">
        <v>139700879.27927929</v>
      </c>
      <c r="Q174">
        <v>55770360.360360362</v>
      </c>
      <c r="R174">
        <v>42359009.009009011</v>
      </c>
      <c r="S174">
        <v>5969</v>
      </c>
      <c r="T174">
        <v>4606</v>
      </c>
    </row>
    <row r="175" spans="1:20" x14ac:dyDescent="0.35">
      <c r="A175" s="7" t="s">
        <v>268</v>
      </c>
      <c r="B175" s="12" t="s">
        <v>179</v>
      </c>
      <c r="C175">
        <v>1751321946.6134598</v>
      </c>
      <c r="D175">
        <v>1748268639.0996189</v>
      </c>
      <c r="E175">
        <v>993857672.07207203</v>
      </c>
      <c r="F175">
        <v>859051841.44144142</v>
      </c>
      <c r="G175">
        <v>1005</v>
      </c>
      <c r="H175">
        <v>692</v>
      </c>
      <c r="I175">
        <v>2</v>
      </c>
      <c r="K175">
        <v>1626</v>
      </c>
      <c r="L175">
        <v>1584</v>
      </c>
      <c r="M175">
        <v>255865338.73873875</v>
      </c>
      <c r="N175">
        <v>486888063.06306303</v>
      </c>
      <c r="O175">
        <v>524988408.1081081</v>
      </c>
      <c r="P175">
        <v>560088174.77477479</v>
      </c>
      <c r="Q175">
        <v>231194054.05405405</v>
      </c>
      <c r="R175">
        <v>263283108.1081081</v>
      </c>
      <c r="S175">
        <v>38423</v>
      </c>
      <c r="T175">
        <v>33015</v>
      </c>
    </row>
    <row r="176" spans="1:20" x14ac:dyDescent="0.35">
      <c r="A176" s="7" t="s">
        <v>269</v>
      </c>
      <c r="B176" s="12" t="s">
        <v>63</v>
      </c>
      <c r="C176">
        <v>284378765.26362789</v>
      </c>
      <c r="D176">
        <v>297970147.54980546</v>
      </c>
      <c r="E176">
        <v>6948648.6486486513</v>
      </c>
      <c r="F176">
        <v>9144234.2342342362</v>
      </c>
      <c r="G176">
        <v>82</v>
      </c>
      <c r="H176">
        <v>198</v>
      </c>
      <c r="K176">
        <v>89</v>
      </c>
      <c r="L176">
        <v>255</v>
      </c>
      <c r="M176">
        <v>129677747.74774775</v>
      </c>
      <c r="N176">
        <v>91531621.621621639</v>
      </c>
      <c r="O176">
        <v>95019639.639639646</v>
      </c>
      <c r="P176">
        <v>108796142.34234233</v>
      </c>
      <c r="Q176">
        <v>78379639.639639631</v>
      </c>
      <c r="R176">
        <v>95460720.720720723</v>
      </c>
      <c r="S176">
        <v>4843</v>
      </c>
      <c r="T176">
        <v>4879</v>
      </c>
    </row>
    <row r="177" spans="1:20" x14ac:dyDescent="0.35">
      <c r="A177" s="7" t="s">
        <v>270</v>
      </c>
      <c r="B177" s="12" t="s">
        <v>71</v>
      </c>
      <c r="C177">
        <v>368739805.93900365</v>
      </c>
      <c r="D177">
        <v>355373056.45466381</v>
      </c>
      <c r="E177">
        <v>6569954.9549549604</v>
      </c>
      <c r="F177">
        <v>14273423.423423428</v>
      </c>
      <c r="G177">
        <v>146</v>
      </c>
      <c r="H177">
        <v>174</v>
      </c>
      <c r="K177">
        <v>433</v>
      </c>
      <c r="L177">
        <v>342</v>
      </c>
      <c r="M177">
        <v>33073873.873873878</v>
      </c>
      <c r="N177">
        <v>68084901.801801801</v>
      </c>
      <c r="O177">
        <v>172151648.64864865</v>
      </c>
      <c r="P177">
        <v>172455972.97297296</v>
      </c>
      <c r="Q177">
        <v>24330990.990990993</v>
      </c>
      <c r="R177">
        <v>54822252.252252251</v>
      </c>
      <c r="S177">
        <v>7902</v>
      </c>
      <c r="T177">
        <v>6985</v>
      </c>
    </row>
    <row r="178" spans="1:20" x14ac:dyDescent="0.35">
      <c r="A178" s="7" t="s">
        <v>271</v>
      </c>
      <c r="B178" s="12" t="s">
        <v>135</v>
      </c>
      <c r="C178">
        <v>5275942.1958987182</v>
      </c>
      <c r="D178">
        <v>5656085.7610306581</v>
      </c>
      <c r="L178">
        <v>1</v>
      </c>
      <c r="O178">
        <v>434864.86486486503</v>
      </c>
      <c r="P178">
        <v>372387.38738738699</v>
      </c>
      <c r="S178">
        <v>236</v>
      </c>
      <c r="T178">
        <v>265</v>
      </c>
    </row>
    <row r="179" spans="1:20" x14ac:dyDescent="0.35">
      <c r="A179" s="7" t="s">
        <v>272</v>
      </c>
      <c r="B179" s="12" t="s">
        <v>77</v>
      </c>
      <c r="C179">
        <v>169506223.42043936</v>
      </c>
      <c r="D179">
        <v>160789851.1187287</v>
      </c>
      <c r="E179">
        <v>346846.84684684698</v>
      </c>
      <c r="F179">
        <v>835135.13513513503</v>
      </c>
      <c r="G179">
        <v>20</v>
      </c>
      <c r="H179">
        <v>20</v>
      </c>
      <c r="K179">
        <v>23</v>
      </c>
      <c r="L179">
        <v>21</v>
      </c>
      <c r="M179">
        <v>436936.93693693698</v>
      </c>
      <c r="N179">
        <v>1141441.4414414419</v>
      </c>
      <c r="O179">
        <v>9937518.0180180166</v>
      </c>
      <c r="P179">
        <v>11570495.495495496</v>
      </c>
      <c r="Q179">
        <v>334234.23423423403</v>
      </c>
      <c r="R179">
        <v>782612.61261261196</v>
      </c>
      <c r="S179">
        <v>2590</v>
      </c>
      <c r="T179">
        <v>2498</v>
      </c>
    </row>
    <row r="180" spans="1:20" x14ac:dyDescent="0.35">
      <c r="A180" s="7" t="s">
        <v>273</v>
      </c>
      <c r="B180" s="12" t="s">
        <v>77</v>
      </c>
      <c r="C180">
        <v>59974092.848627858</v>
      </c>
      <c r="D180">
        <v>67724065.992742524</v>
      </c>
      <c r="E180">
        <v>182882.88288288401</v>
      </c>
      <c r="F180">
        <v>327027.02702702698</v>
      </c>
      <c r="G180">
        <v>6</v>
      </c>
      <c r="H180">
        <v>16</v>
      </c>
      <c r="K180">
        <v>8</v>
      </c>
      <c r="L180">
        <v>18</v>
      </c>
      <c r="M180">
        <v>12808288.288288288</v>
      </c>
      <c r="N180">
        <v>16247747.747747747</v>
      </c>
      <c r="O180">
        <v>14859243.243243244</v>
      </c>
      <c r="P180">
        <v>19708196.396396395</v>
      </c>
      <c r="Q180">
        <v>10366396.396396397</v>
      </c>
      <c r="R180">
        <v>13513243.243243244</v>
      </c>
      <c r="S180">
        <v>836</v>
      </c>
      <c r="T180">
        <v>867</v>
      </c>
    </row>
    <row r="181" spans="1:20" x14ac:dyDescent="0.35">
      <c r="A181" s="7" t="s">
        <v>274</v>
      </c>
      <c r="B181" s="12" t="s">
        <v>261</v>
      </c>
      <c r="C181">
        <v>1233421139.3765252</v>
      </c>
      <c r="D181">
        <v>1262654059.9381051</v>
      </c>
      <c r="E181">
        <v>14931531.531531531</v>
      </c>
      <c r="F181">
        <v>18423423.423423432</v>
      </c>
      <c r="G181">
        <v>475</v>
      </c>
      <c r="H181">
        <v>526</v>
      </c>
      <c r="K181">
        <v>604</v>
      </c>
      <c r="L181">
        <v>706</v>
      </c>
      <c r="M181">
        <v>254773873.87387389</v>
      </c>
      <c r="N181">
        <v>306422477.47747749</v>
      </c>
      <c r="O181">
        <v>379769698.1981982</v>
      </c>
      <c r="P181">
        <v>427048691.8918919</v>
      </c>
      <c r="Q181">
        <v>224063063.06306309</v>
      </c>
      <c r="R181">
        <v>279220855.85585588</v>
      </c>
      <c r="S181">
        <v>21439</v>
      </c>
      <c r="T181">
        <v>19066</v>
      </c>
    </row>
    <row r="182" spans="1:20" x14ac:dyDescent="0.35">
      <c r="A182" s="7" t="s">
        <v>668</v>
      </c>
      <c r="B182" s="12" t="s">
        <v>261</v>
      </c>
      <c r="E182">
        <v>434366270.27027029</v>
      </c>
      <c r="F182">
        <v>510055291.8918919</v>
      </c>
      <c r="M182">
        <v>61153153.153153151</v>
      </c>
      <c r="N182">
        <v>50720720.720720723</v>
      </c>
    </row>
    <row r="183" spans="1:20" x14ac:dyDescent="0.35">
      <c r="A183" s="7" t="s">
        <v>275</v>
      </c>
      <c r="B183" s="12" t="s">
        <v>261</v>
      </c>
      <c r="C183">
        <v>276154763.81879151</v>
      </c>
      <c r="D183">
        <v>266922589.64764729</v>
      </c>
      <c r="E183">
        <v>1530630.6306306319</v>
      </c>
      <c r="F183">
        <v>628828.82882883295</v>
      </c>
      <c r="G183">
        <v>15</v>
      </c>
      <c r="H183">
        <v>35</v>
      </c>
      <c r="K183">
        <v>19</v>
      </c>
      <c r="L183">
        <v>36</v>
      </c>
      <c r="M183">
        <v>20404054.054054055</v>
      </c>
      <c r="N183">
        <v>24262162.162162162</v>
      </c>
      <c r="O183">
        <v>56188630.630630635</v>
      </c>
      <c r="P183">
        <v>60642216.216216214</v>
      </c>
      <c r="Q183">
        <v>16747117.117117116</v>
      </c>
      <c r="R183">
        <v>22210763.963963963</v>
      </c>
      <c r="S183">
        <v>3885</v>
      </c>
      <c r="T183">
        <v>3770</v>
      </c>
    </row>
    <row r="184" spans="1:20" x14ac:dyDescent="0.35">
      <c r="A184" s="7" t="s">
        <v>276</v>
      </c>
      <c r="B184" s="12" t="s">
        <v>261</v>
      </c>
      <c r="C184">
        <v>307425326.02447236</v>
      </c>
      <c r="D184">
        <v>332994204.80119628</v>
      </c>
      <c r="E184">
        <v>9967207.2072072048</v>
      </c>
      <c r="F184">
        <v>8724282.8828828856</v>
      </c>
      <c r="G184">
        <v>218</v>
      </c>
      <c r="H184">
        <v>50</v>
      </c>
      <c r="K184">
        <v>227</v>
      </c>
      <c r="L184">
        <v>53</v>
      </c>
      <c r="M184">
        <v>60339639.639639638</v>
      </c>
      <c r="N184">
        <v>46692607.20720721</v>
      </c>
      <c r="O184">
        <v>75193171.171171173</v>
      </c>
      <c r="P184">
        <v>90976818.018018022</v>
      </c>
      <c r="Q184">
        <v>55601261.261261262</v>
      </c>
      <c r="R184">
        <v>47177207.20720721</v>
      </c>
      <c r="S184">
        <v>7035</v>
      </c>
      <c r="T184">
        <v>5776</v>
      </c>
    </row>
    <row r="185" spans="1:20" x14ac:dyDescent="0.35">
      <c r="A185" s="7" t="s">
        <v>277</v>
      </c>
      <c r="B185" s="12" t="s">
        <v>135</v>
      </c>
      <c r="C185">
        <v>378959399.78520429</v>
      </c>
      <c r="D185">
        <v>409017220.6573115</v>
      </c>
      <c r="E185">
        <v>2290990.9909909922</v>
      </c>
      <c r="F185">
        <v>2270270.2702702712</v>
      </c>
      <c r="G185">
        <v>75</v>
      </c>
      <c r="H185">
        <v>37</v>
      </c>
      <c r="K185">
        <v>82</v>
      </c>
      <c r="L185">
        <v>41</v>
      </c>
      <c r="M185">
        <v>18058558.558558561</v>
      </c>
      <c r="N185">
        <v>20382882.882882878</v>
      </c>
      <c r="O185">
        <v>35205905.405405402</v>
      </c>
      <c r="P185">
        <v>42496628.828828834</v>
      </c>
      <c r="Q185">
        <v>9280990.9909909926</v>
      </c>
      <c r="R185">
        <v>10585855.855855856</v>
      </c>
      <c r="S185">
        <v>6156</v>
      </c>
      <c r="T185">
        <v>5441</v>
      </c>
    </row>
    <row r="186" spans="1:20" x14ac:dyDescent="0.35">
      <c r="A186" s="7" t="s">
        <v>278</v>
      </c>
      <c r="B186" s="12" t="s">
        <v>170</v>
      </c>
      <c r="C186">
        <v>224620355.09616977</v>
      </c>
      <c r="D186">
        <v>209121626.35110006</v>
      </c>
      <c r="E186">
        <v>1592792.7927927929</v>
      </c>
      <c r="F186">
        <v>2783783.7837837851</v>
      </c>
      <c r="G186">
        <v>54</v>
      </c>
      <c r="H186">
        <v>13</v>
      </c>
      <c r="K186">
        <v>58</v>
      </c>
      <c r="L186">
        <v>14</v>
      </c>
      <c r="M186">
        <v>18757207.207207207</v>
      </c>
      <c r="N186">
        <v>16675675.675675675</v>
      </c>
      <c r="O186">
        <v>102909484.23423424</v>
      </c>
      <c r="P186">
        <v>96299079.279279277</v>
      </c>
      <c r="Q186">
        <v>14853243.243243244</v>
      </c>
      <c r="R186">
        <v>13950090.09009009</v>
      </c>
      <c r="S186">
        <v>6467</v>
      </c>
      <c r="T186">
        <v>3237</v>
      </c>
    </row>
    <row r="187" spans="1:20" x14ac:dyDescent="0.35">
      <c r="A187" s="7" t="s">
        <v>669</v>
      </c>
      <c r="B187" s="12" t="s">
        <v>88</v>
      </c>
      <c r="E187">
        <v>14954954.954954956</v>
      </c>
      <c r="F187">
        <v>32072072.072072074</v>
      </c>
      <c r="M187">
        <v>29729.729729729999</v>
      </c>
    </row>
    <row r="188" spans="1:20" x14ac:dyDescent="0.35">
      <c r="A188" s="7" t="s">
        <v>279</v>
      </c>
      <c r="B188" s="12" t="s">
        <v>170</v>
      </c>
      <c r="C188">
        <v>134033197.31009166</v>
      </c>
      <c r="D188">
        <v>115549748.99561447</v>
      </c>
      <c r="E188">
        <v>10810.810810810999</v>
      </c>
      <c r="F188">
        <v>9909.9099099100004</v>
      </c>
      <c r="G188">
        <v>20</v>
      </c>
      <c r="H188">
        <v>46</v>
      </c>
      <c r="K188">
        <v>21</v>
      </c>
      <c r="L188">
        <v>47</v>
      </c>
      <c r="M188">
        <v>7881644.1441441439</v>
      </c>
      <c r="N188">
        <v>6766666.666666667</v>
      </c>
      <c r="O188">
        <v>58660563.063063063</v>
      </c>
      <c r="P188">
        <v>59332801.801801801</v>
      </c>
      <c r="Q188">
        <v>6668828.8288288293</v>
      </c>
      <c r="R188">
        <v>5517927.927927928</v>
      </c>
      <c r="S188">
        <v>2102</v>
      </c>
      <c r="T188">
        <v>1961</v>
      </c>
    </row>
    <row r="189" spans="1:20" x14ac:dyDescent="0.35">
      <c r="A189" s="7" t="s">
        <v>280</v>
      </c>
      <c r="B189" s="12" t="s">
        <v>88</v>
      </c>
      <c r="C189">
        <v>3128242.3898067791</v>
      </c>
      <c r="D189">
        <v>3394183.2715527532</v>
      </c>
      <c r="G189">
        <v>6</v>
      </c>
      <c r="H189">
        <v>1</v>
      </c>
      <c r="K189">
        <v>7</v>
      </c>
      <c r="L189">
        <v>1</v>
      </c>
      <c r="O189">
        <v>1263432.432432432</v>
      </c>
      <c r="P189">
        <v>1354378.378378378</v>
      </c>
      <c r="S189">
        <v>197</v>
      </c>
      <c r="T189">
        <v>166</v>
      </c>
    </row>
    <row r="190" spans="1:20" x14ac:dyDescent="0.35">
      <c r="A190" s="7" t="s">
        <v>281</v>
      </c>
      <c r="B190" s="12" t="s">
        <v>170</v>
      </c>
      <c r="C190">
        <v>219423372.89503935</v>
      </c>
      <c r="D190">
        <v>252280982.7223545</v>
      </c>
      <c r="E190">
        <v>1165540.5405405411</v>
      </c>
      <c r="F190">
        <v>2358108.1081081089</v>
      </c>
      <c r="G190">
        <v>43</v>
      </c>
      <c r="H190">
        <v>98</v>
      </c>
      <c r="K190">
        <v>45</v>
      </c>
      <c r="L190">
        <v>112</v>
      </c>
      <c r="M190">
        <v>29903423.423423424</v>
      </c>
      <c r="N190">
        <v>30625495.495495494</v>
      </c>
      <c r="O190">
        <v>87162036.036036029</v>
      </c>
      <c r="P190">
        <v>105633072.07207206</v>
      </c>
      <c r="Q190">
        <v>28871214.414414417</v>
      </c>
      <c r="R190">
        <v>28135045.045045048</v>
      </c>
      <c r="S190">
        <v>4295</v>
      </c>
      <c r="T190">
        <v>4442</v>
      </c>
    </row>
    <row r="191" spans="1:20" x14ac:dyDescent="0.35">
      <c r="A191" s="7" t="s">
        <v>282</v>
      </c>
      <c r="B191" s="12" t="s">
        <v>55</v>
      </c>
      <c r="C191">
        <v>168355605.23963961</v>
      </c>
      <c r="D191">
        <v>173208967.70548472</v>
      </c>
      <c r="E191">
        <v>2570270.2702702722</v>
      </c>
      <c r="F191">
        <v>2770270.2702702791</v>
      </c>
      <c r="G191">
        <v>64</v>
      </c>
      <c r="H191">
        <v>79</v>
      </c>
      <c r="K191">
        <v>74</v>
      </c>
      <c r="L191">
        <v>97</v>
      </c>
      <c r="M191">
        <v>20068468.468468469</v>
      </c>
      <c r="N191">
        <v>39488918.918918923</v>
      </c>
      <c r="O191">
        <v>36500252.252252251</v>
      </c>
      <c r="P191">
        <v>41112079.279279277</v>
      </c>
      <c r="Q191">
        <v>19063963.963963963</v>
      </c>
      <c r="R191">
        <v>35652025.225225225</v>
      </c>
      <c r="S191">
        <v>3930</v>
      </c>
      <c r="T191">
        <v>3777</v>
      </c>
    </row>
    <row r="192" spans="1:20" x14ac:dyDescent="0.35">
      <c r="A192" s="7" t="s">
        <v>283</v>
      </c>
      <c r="B192" s="12" t="s">
        <v>284</v>
      </c>
      <c r="C192">
        <v>246334833.16619956</v>
      </c>
      <c r="D192">
        <v>273004764.49039453</v>
      </c>
      <c r="E192">
        <v>418018.01801801799</v>
      </c>
      <c r="F192">
        <v>1025225.225225228</v>
      </c>
      <c r="G192">
        <v>124</v>
      </c>
      <c r="H192">
        <v>23</v>
      </c>
      <c r="K192">
        <v>141</v>
      </c>
      <c r="L192">
        <v>57</v>
      </c>
      <c r="M192">
        <v>11475675.675675675</v>
      </c>
      <c r="N192">
        <v>10754954.954954954</v>
      </c>
      <c r="O192">
        <v>37323054.054054059</v>
      </c>
      <c r="P192">
        <v>40386153.153153151</v>
      </c>
      <c r="Q192">
        <v>11372702.702702701</v>
      </c>
      <c r="R192">
        <v>9479729.7297297306</v>
      </c>
      <c r="S192">
        <v>3420</v>
      </c>
      <c r="T192">
        <v>3284</v>
      </c>
    </row>
    <row r="193" spans="1:20" x14ac:dyDescent="0.35">
      <c r="A193" s="7" t="s">
        <v>285</v>
      </c>
      <c r="B193" s="12" t="s">
        <v>284</v>
      </c>
      <c r="C193">
        <v>471932451.59509343</v>
      </c>
      <c r="D193">
        <v>477276668.11176366</v>
      </c>
      <c r="E193">
        <v>3998648.6486486481</v>
      </c>
      <c r="F193">
        <v>7203603.6036036052</v>
      </c>
      <c r="G193">
        <v>115</v>
      </c>
      <c r="H193">
        <v>207</v>
      </c>
      <c r="K193">
        <v>175</v>
      </c>
      <c r="L193">
        <v>391</v>
      </c>
      <c r="M193">
        <v>56390810.810810804</v>
      </c>
      <c r="N193">
        <v>73513873.873873875</v>
      </c>
      <c r="O193">
        <v>99505063.06306307</v>
      </c>
      <c r="P193">
        <v>106588693.6936937</v>
      </c>
      <c r="Q193">
        <v>51322342.342342347</v>
      </c>
      <c r="R193">
        <v>61192522.522522531</v>
      </c>
      <c r="S193">
        <v>8309</v>
      </c>
      <c r="T193">
        <v>8185</v>
      </c>
    </row>
    <row r="194" spans="1:20" x14ac:dyDescent="0.35">
      <c r="A194" s="7" t="s">
        <v>286</v>
      </c>
      <c r="B194" s="12" t="s">
        <v>284</v>
      </c>
      <c r="C194">
        <v>250274038.88150844</v>
      </c>
      <c r="D194">
        <v>263438967.07167199</v>
      </c>
      <c r="E194">
        <v>2257567.5675675659</v>
      </c>
      <c r="F194">
        <v>3760360.360360363</v>
      </c>
      <c r="G194">
        <v>55</v>
      </c>
      <c r="H194">
        <v>31</v>
      </c>
      <c r="K194">
        <v>96</v>
      </c>
      <c r="L194">
        <v>92</v>
      </c>
      <c r="M194">
        <v>62270090.090090089</v>
      </c>
      <c r="N194">
        <v>75830630.630630627</v>
      </c>
      <c r="O194">
        <v>77579081.081081092</v>
      </c>
      <c r="P194">
        <v>84225657.657657668</v>
      </c>
      <c r="Q194">
        <v>56252792.79279279</v>
      </c>
      <c r="R194">
        <v>67850360.360360354</v>
      </c>
      <c r="S194">
        <v>4876</v>
      </c>
      <c r="T194">
        <v>5546</v>
      </c>
    </row>
    <row r="195" spans="1:20" x14ac:dyDescent="0.35">
      <c r="A195" s="7" t="s">
        <v>287</v>
      </c>
      <c r="B195" s="12" t="s">
        <v>284</v>
      </c>
      <c r="C195">
        <v>188454990.10760617</v>
      </c>
      <c r="D195">
        <v>194867792.03158191</v>
      </c>
      <c r="E195">
        <v>758558.55855855905</v>
      </c>
      <c r="F195">
        <v>922522.52252252295</v>
      </c>
      <c r="G195">
        <v>15</v>
      </c>
      <c r="H195">
        <v>12</v>
      </c>
      <c r="K195">
        <v>17</v>
      </c>
      <c r="L195">
        <v>14</v>
      </c>
      <c r="M195">
        <v>32575855.855855856</v>
      </c>
      <c r="N195">
        <v>13627927.927927928</v>
      </c>
      <c r="O195">
        <v>35361333.333333328</v>
      </c>
      <c r="P195">
        <v>37647189.189189196</v>
      </c>
      <c r="Q195">
        <v>32849099.0990991</v>
      </c>
      <c r="R195">
        <v>13166216.216216216</v>
      </c>
      <c r="S195">
        <v>2617</v>
      </c>
      <c r="T195">
        <v>2587</v>
      </c>
    </row>
    <row r="196" spans="1:20" x14ac:dyDescent="0.35">
      <c r="A196" s="7" t="s">
        <v>288</v>
      </c>
      <c r="B196" s="12" t="s">
        <v>284</v>
      </c>
      <c r="C196">
        <v>93609872.651301339</v>
      </c>
      <c r="D196">
        <v>97152162.369290501</v>
      </c>
      <c r="E196">
        <v>538738.73873874103</v>
      </c>
      <c r="F196">
        <v>1429729.7297297299</v>
      </c>
      <c r="G196">
        <v>1</v>
      </c>
      <c r="H196">
        <v>1</v>
      </c>
      <c r="K196">
        <v>2</v>
      </c>
      <c r="L196">
        <v>1</v>
      </c>
      <c r="M196">
        <v>12962162.162162162</v>
      </c>
      <c r="N196">
        <v>12820720.72072072</v>
      </c>
      <c r="O196">
        <v>16576594.594594596</v>
      </c>
      <c r="P196">
        <v>19668648.648648649</v>
      </c>
      <c r="Q196">
        <v>13716756.756756756</v>
      </c>
      <c r="R196">
        <v>11781711.711711712</v>
      </c>
      <c r="S196">
        <v>1466</v>
      </c>
      <c r="T196">
        <v>1405</v>
      </c>
    </row>
    <row r="197" spans="1:20" x14ac:dyDescent="0.35">
      <c r="A197" s="7" t="s">
        <v>289</v>
      </c>
      <c r="B197" s="12" t="s">
        <v>284</v>
      </c>
      <c r="C197">
        <v>14928233.298707204</v>
      </c>
      <c r="D197">
        <v>14068266.001151582</v>
      </c>
      <c r="E197">
        <v>393693.69369369402</v>
      </c>
      <c r="F197">
        <v>718918.91891891905</v>
      </c>
      <c r="M197">
        <v>19871171.171171173</v>
      </c>
      <c r="N197">
        <v>9154954.9549549557</v>
      </c>
      <c r="O197">
        <v>2510864.8648648649</v>
      </c>
      <c r="P197">
        <v>3053369.369369369</v>
      </c>
      <c r="Q197">
        <v>19748648.648648649</v>
      </c>
      <c r="R197">
        <v>8422522.5225225221</v>
      </c>
      <c r="S197">
        <v>377</v>
      </c>
      <c r="T197">
        <v>264</v>
      </c>
    </row>
    <row r="198" spans="1:20" x14ac:dyDescent="0.35">
      <c r="A198" s="7" t="s">
        <v>290</v>
      </c>
      <c r="B198" s="12" t="s">
        <v>291</v>
      </c>
      <c r="C198">
        <v>185464646.78815868</v>
      </c>
      <c r="D198">
        <v>194332122.13155219</v>
      </c>
      <c r="E198">
        <v>360005290.990991</v>
      </c>
      <c r="F198">
        <v>207549180.18018019</v>
      </c>
      <c r="G198">
        <v>46</v>
      </c>
      <c r="H198">
        <v>24</v>
      </c>
      <c r="K198">
        <v>51</v>
      </c>
      <c r="L198">
        <v>34</v>
      </c>
      <c r="M198">
        <v>27838086.486486487</v>
      </c>
      <c r="N198">
        <v>34226611.711711712</v>
      </c>
      <c r="O198">
        <v>17199677.477477476</v>
      </c>
      <c r="P198">
        <v>21894245.045045044</v>
      </c>
      <c r="Q198">
        <v>1352702.702702703</v>
      </c>
      <c r="R198">
        <v>1693243.243243244</v>
      </c>
      <c r="S198">
        <v>4682</v>
      </c>
      <c r="T198">
        <v>4386</v>
      </c>
    </row>
    <row r="199" spans="1:20" x14ac:dyDescent="0.35">
      <c r="A199" s="7" t="s">
        <v>292</v>
      </c>
      <c r="B199" s="12" t="s">
        <v>148</v>
      </c>
      <c r="C199">
        <v>448620361.66329765</v>
      </c>
      <c r="D199">
        <v>409602681.04818338</v>
      </c>
      <c r="E199">
        <v>6855135.1351351328</v>
      </c>
      <c r="F199">
        <v>7849829.7297297344</v>
      </c>
      <c r="G199">
        <v>112</v>
      </c>
      <c r="H199">
        <v>147</v>
      </c>
      <c r="I199">
        <v>1</v>
      </c>
      <c r="K199">
        <v>220</v>
      </c>
      <c r="L199">
        <v>379</v>
      </c>
      <c r="M199">
        <v>168799875.67567569</v>
      </c>
      <c r="N199">
        <v>174876500</v>
      </c>
      <c r="O199">
        <v>173950918.91891891</v>
      </c>
      <c r="P199">
        <v>164147495.4954955</v>
      </c>
      <c r="Q199">
        <v>161048288.2882883</v>
      </c>
      <c r="R199">
        <v>169043378.37837836</v>
      </c>
      <c r="S199">
        <v>9844</v>
      </c>
      <c r="T199">
        <v>7526</v>
      </c>
    </row>
    <row r="200" spans="1:20" x14ac:dyDescent="0.35">
      <c r="A200" s="7" t="s">
        <v>293</v>
      </c>
      <c r="B200" s="12" t="s">
        <v>294</v>
      </c>
      <c r="C200">
        <v>218523810.4921875</v>
      </c>
      <c r="D200">
        <v>220254872.57419804</v>
      </c>
      <c r="E200">
        <v>149044463.06306309</v>
      </c>
      <c r="F200">
        <v>141364685.58558559</v>
      </c>
      <c r="G200">
        <v>29</v>
      </c>
      <c r="H200">
        <v>12</v>
      </c>
      <c r="K200">
        <v>37</v>
      </c>
      <c r="L200">
        <v>16</v>
      </c>
      <c r="M200">
        <v>61752882.882882878</v>
      </c>
      <c r="N200">
        <v>61643423.423423424</v>
      </c>
      <c r="O200">
        <v>29918180.180180181</v>
      </c>
      <c r="P200">
        <v>31804702.702702705</v>
      </c>
      <c r="Q200">
        <v>51873603.603603601</v>
      </c>
      <c r="R200">
        <v>48506756.756756753</v>
      </c>
      <c r="S200">
        <v>8382</v>
      </c>
      <c r="T200">
        <v>2999</v>
      </c>
    </row>
    <row r="201" spans="1:20" x14ac:dyDescent="0.35">
      <c r="A201" s="7" t="s">
        <v>295</v>
      </c>
      <c r="B201" s="12" t="s">
        <v>291</v>
      </c>
      <c r="C201">
        <v>49429909.622907646</v>
      </c>
      <c r="D201">
        <v>54795407.363953002</v>
      </c>
      <c r="E201">
        <v>1112612.6126126121</v>
      </c>
      <c r="F201">
        <v>1081081.0810810821</v>
      </c>
      <c r="G201">
        <v>8</v>
      </c>
      <c r="H201">
        <v>10</v>
      </c>
      <c r="K201">
        <v>8</v>
      </c>
      <c r="L201">
        <v>10</v>
      </c>
      <c r="M201">
        <v>2960360.3603603598</v>
      </c>
      <c r="N201">
        <v>2049549.5495495489</v>
      </c>
      <c r="O201">
        <v>6764052.2522522509</v>
      </c>
      <c r="P201">
        <v>6702324.3243243247</v>
      </c>
      <c r="Q201">
        <v>2611981.981981982</v>
      </c>
      <c r="R201">
        <v>2365675.6756756748</v>
      </c>
      <c r="S201">
        <v>1348</v>
      </c>
      <c r="T201">
        <v>1216</v>
      </c>
    </row>
    <row r="202" spans="1:20" x14ac:dyDescent="0.35">
      <c r="A202" s="7" t="s">
        <v>296</v>
      </c>
      <c r="B202" s="12" t="s">
        <v>53</v>
      </c>
      <c r="C202">
        <v>625402193.28922474</v>
      </c>
      <c r="D202">
        <v>637574193.58129871</v>
      </c>
      <c r="E202">
        <v>8722522.5225225277</v>
      </c>
      <c r="F202">
        <v>11407855.85585586</v>
      </c>
      <c r="G202">
        <v>360</v>
      </c>
      <c r="H202">
        <v>235</v>
      </c>
      <c r="K202">
        <v>565</v>
      </c>
      <c r="L202">
        <v>394</v>
      </c>
      <c r="M202">
        <v>313921441.44144148</v>
      </c>
      <c r="N202">
        <v>114522810.81081082</v>
      </c>
      <c r="O202">
        <v>170208439.63963965</v>
      </c>
      <c r="P202">
        <v>176621207.2072072</v>
      </c>
      <c r="Q202">
        <v>326062432.43243247</v>
      </c>
      <c r="R202">
        <v>113010450.45045045</v>
      </c>
      <c r="S202">
        <v>16780</v>
      </c>
      <c r="T202">
        <v>11575</v>
      </c>
    </row>
    <row r="203" spans="1:20" x14ac:dyDescent="0.35">
      <c r="A203" s="7" t="s">
        <v>297</v>
      </c>
      <c r="B203" s="12" t="s">
        <v>170</v>
      </c>
      <c r="C203">
        <v>167126700.8500711</v>
      </c>
      <c r="D203">
        <v>204202395.56235477</v>
      </c>
      <c r="E203">
        <v>127027.027027028</v>
      </c>
      <c r="F203">
        <v>124774.77477477401</v>
      </c>
      <c r="G203">
        <v>22</v>
      </c>
      <c r="H203">
        <v>20</v>
      </c>
      <c r="K203">
        <v>30</v>
      </c>
      <c r="L203">
        <v>22</v>
      </c>
      <c r="M203">
        <v>13244144.144144144</v>
      </c>
      <c r="N203">
        <v>7395045.0450450461</v>
      </c>
      <c r="O203">
        <v>37360171.171171166</v>
      </c>
      <c r="P203">
        <v>53193009.009009011</v>
      </c>
      <c r="Q203">
        <v>11858018.01801802</v>
      </c>
      <c r="R203">
        <v>11050000</v>
      </c>
      <c r="S203">
        <v>4703</v>
      </c>
      <c r="T203">
        <v>4089</v>
      </c>
    </row>
    <row r="204" spans="1:20" x14ac:dyDescent="0.35">
      <c r="A204" s="7" t="s">
        <v>298</v>
      </c>
      <c r="B204" s="12" t="s">
        <v>170</v>
      </c>
      <c r="C204">
        <v>231516868.50972307</v>
      </c>
      <c r="D204">
        <v>197274014.0327602</v>
      </c>
      <c r="E204">
        <v>742909.90990991099</v>
      </c>
      <c r="F204">
        <v>182432.43243243301</v>
      </c>
      <c r="G204">
        <v>38</v>
      </c>
      <c r="H204">
        <v>25</v>
      </c>
      <c r="K204">
        <v>42</v>
      </c>
      <c r="L204">
        <v>29</v>
      </c>
      <c r="M204">
        <v>1841397702.7027025</v>
      </c>
      <c r="N204">
        <v>1832632882.8828828</v>
      </c>
      <c r="O204">
        <v>82062081.081081092</v>
      </c>
      <c r="P204">
        <v>80986594.594594598</v>
      </c>
      <c r="Q204">
        <v>1831344407.2072072</v>
      </c>
      <c r="R204">
        <v>1824699445.0450449</v>
      </c>
      <c r="S204">
        <v>2882</v>
      </c>
      <c r="T204">
        <v>2779</v>
      </c>
    </row>
    <row r="205" spans="1:20" x14ac:dyDescent="0.35">
      <c r="A205" s="7" t="s">
        <v>299</v>
      </c>
      <c r="B205" s="12" t="s">
        <v>90</v>
      </c>
      <c r="C205">
        <v>718908221.65580463</v>
      </c>
      <c r="D205">
        <v>727634755.7423296</v>
      </c>
      <c r="E205">
        <v>10540406.306306312</v>
      </c>
      <c r="F205">
        <v>6102702.7027027076</v>
      </c>
      <c r="G205">
        <v>145</v>
      </c>
      <c r="H205">
        <v>84</v>
      </c>
      <c r="I205">
        <v>2</v>
      </c>
      <c r="K205">
        <v>302</v>
      </c>
      <c r="L205">
        <v>109</v>
      </c>
      <c r="M205">
        <v>52384988.288288288</v>
      </c>
      <c r="N205">
        <v>643133018.01801801</v>
      </c>
      <c r="O205">
        <v>139820549.54954955</v>
      </c>
      <c r="P205">
        <v>154217324.32432431</v>
      </c>
      <c r="Q205">
        <v>54725945.945945948</v>
      </c>
      <c r="R205">
        <v>596666394.5945946</v>
      </c>
      <c r="S205">
        <v>11287</v>
      </c>
      <c r="T205">
        <v>10713</v>
      </c>
    </row>
    <row r="206" spans="1:20" x14ac:dyDescent="0.35">
      <c r="A206" s="7" t="s">
        <v>300</v>
      </c>
      <c r="B206" s="12" t="s">
        <v>135</v>
      </c>
      <c r="C206">
        <v>396033947.951653</v>
      </c>
      <c r="D206">
        <v>431443762.69727552</v>
      </c>
      <c r="E206">
        <v>3909909.9099099119</v>
      </c>
      <c r="F206">
        <v>3332432.4324324392</v>
      </c>
      <c r="G206">
        <v>85</v>
      </c>
      <c r="H206">
        <v>82</v>
      </c>
      <c r="K206">
        <v>104</v>
      </c>
      <c r="L206">
        <v>123</v>
      </c>
      <c r="M206">
        <v>29833333.333333336</v>
      </c>
      <c r="N206">
        <v>45713513.513513513</v>
      </c>
      <c r="O206">
        <v>49979837.837837838</v>
      </c>
      <c r="P206">
        <v>61920061.261261262</v>
      </c>
      <c r="Q206">
        <v>24903603.603603601</v>
      </c>
      <c r="R206">
        <v>37451531.531531535</v>
      </c>
      <c r="S206">
        <v>7386</v>
      </c>
      <c r="T206">
        <v>7072</v>
      </c>
    </row>
    <row r="207" spans="1:20" x14ac:dyDescent="0.35">
      <c r="A207" s="7" t="s">
        <v>301</v>
      </c>
      <c r="B207" s="12" t="s">
        <v>291</v>
      </c>
      <c r="C207">
        <v>269684597.81705374</v>
      </c>
      <c r="D207">
        <v>270443909.39737004</v>
      </c>
      <c r="E207">
        <v>4776576.5765765766</v>
      </c>
      <c r="F207">
        <v>3191891.8918918958</v>
      </c>
      <c r="G207">
        <v>82</v>
      </c>
      <c r="H207">
        <v>80</v>
      </c>
      <c r="K207">
        <v>91</v>
      </c>
      <c r="L207">
        <v>92</v>
      </c>
      <c r="M207">
        <v>43478385.585585587</v>
      </c>
      <c r="N207">
        <v>25444144.144144144</v>
      </c>
      <c r="O207">
        <v>37916446.846846849</v>
      </c>
      <c r="P207">
        <v>42611288.288288288</v>
      </c>
      <c r="Q207">
        <v>41779369.369369365</v>
      </c>
      <c r="R207">
        <v>30629909.909909911</v>
      </c>
      <c r="S207">
        <v>4753</v>
      </c>
      <c r="T207">
        <v>4370</v>
      </c>
    </row>
    <row r="208" spans="1:20" x14ac:dyDescent="0.35">
      <c r="A208" s="7" t="s">
        <v>302</v>
      </c>
      <c r="B208" s="12" t="s">
        <v>81</v>
      </c>
      <c r="C208">
        <v>397054375.34000754</v>
      </c>
      <c r="D208">
        <v>395022758.80300832</v>
      </c>
      <c r="E208">
        <v>4706081.081081083</v>
      </c>
      <c r="F208">
        <v>6520720.7207207242</v>
      </c>
      <c r="G208">
        <v>69</v>
      </c>
      <c r="H208">
        <v>37</v>
      </c>
      <c r="I208">
        <v>5</v>
      </c>
      <c r="K208">
        <v>77</v>
      </c>
      <c r="L208">
        <v>53</v>
      </c>
      <c r="M208">
        <v>61069729.729729727</v>
      </c>
      <c r="N208">
        <v>45800007.20720721</v>
      </c>
      <c r="O208">
        <v>83934277.477477476</v>
      </c>
      <c r="P208">
        <v>89819468.468468457</v>
      </c>
      <c r="Q208">
        <v>56374504.504504502</v>
      </c>
      <c r="R208">
        <v>39398918.918918923</v>
      </c>
      <c r="S208">
        <v>6643</v>
      </c>
      <c r="T208">
        <v>6110</v>
      </c>
    </row>
    <row r="209" spans="1:20" x14ac:dyDescent="0.35">
      <c r="A209" s="7" t="s">
        <v>303</v>
      </c>
      <c r="B209" s="12" t="s">
        <v>73</v>
      </c>
      <c r="C209">
        <v>592363429.27398288</v>
      </c>
      <c r="D209">
        <v>622446735.52532232</v>
      </c>
      <c r="E209">
        <v>1776576.5765765789</v>
      </c>
      <c r="F209">
        <v>2190990.9909909968</v>
      </c>
      <c r="G209">
        <v>138</v>
      </c>
      <c r="H209">
        <v>72</v>
      </c>
      <c r="I209">
        <v>2</v>
      </c>
      <c r="K209">
        <v>151</v>
      </c>
      <c r="L209">
        <v>84</v>
      </c>
      <c r="M209">
        <v>36378378.378378376</v>
      </c>
      <c r="N209">
        <v>48326126.126126125</v>
      </c>
      <c r="O209">
        <v>86253972.972972974</v>
      </c>
      <c r="P209">
        <v>97736998.198198214</v>
      </c>
      <c r="Q209">
        <v>29993783.783783782</v>
      </c>
      <c r="R209">
        <v>35600990.990990989</v>
      </c>
      <c r="S209">
        <v>9371</v>
      </c>
      <c r="T209">
        <v>9249</v>
      </c>
    </row>
    <row r="210" spans="1:20" x14ac:dyDescent="0.35">
      <c r="A210" s="7" t="s">
        <v>304</v>
      </c>
      <c r="B210" s="12" t="s">
        <v>305</v>
      </c>
      <c r="C210">
        <v>2051446.975937186</v>
      </c>
      <c r="D210">
        <v>2418469.0476206932</v>
      </c>
      <c r="O210">
        <v>725315.31531531503</v>
      </c>
      <c r="P210">
        <v>818324.32432432403</v>
      </c>
      <c r="S210">
        <v>72</v>
      </c>
      <c r="T210">
        <v>65</v>
      </c>
    </row>
    <row r="211" spans="1:20" x14ac:dyDescent="0.35">
      <c r="A211" s="7" t="s">
        <v>306</v>
      </c>
      <c r="B211" s="12" t="s">
        <v>118</v>
      </c>
      <c r="C211">
        <v>78826426.194041729</v>
      </c>
      <c r="D211">
        <v>78978798.40127182</v>
      </c>
      <c r="E211">
        <v>309909.90990990802</v>
      </c>
      <c r="F211">
        <v>923423.42342342297</v>
      </c>
      <c r="G211">
        <v>31</v>
      </c>
      <c r="H211">
        <v>17</v>
      </c>
      <c r="K211">
        <v>40</v>
      </c>
      <c r="L211">
        <v>64</v>
      </c>
      <c r="M211">
        <v>3285045.0450450461</v>
      </c>
      <c r="N211">
        <v>98500450.45045045</v>
      </c>
      <c r="O211">
        <v>33670540.540540539</v>
      </c>
      <c r="P211">
        <v>32381225.225225225</v>
      </c>
      <c r="Q211">
        <v>3561441.4414414419</v>
      </c>
      <c r="R211">
        <v>4457027.0270270249</v>
      </c>
      <c r="S211">
        <v>2148</v>
      </c>
      <c r="T211">
        <v>1759</v>
      </c>
    </row>
    <row r="212" spans="1:20" x14ac:dyDescent="0.35">
      <c r="A212" s="7" t="s">
        <v>307</v>
      </c>
      <c r="B212" s="12" t="s">
        <v>308</v>
      </c>
      <c r="C212">
        <v>98263578.53682287</v>
      </c>
      <c r="D212">
        <v>95864749.941501945</v>
      </c>
      <c r="E212">
        <v>392792.79279279598</v>
      </c>
      <c r="F212">
        <v>521621.62162162003</v>
      </c>
      <c r="G212">
        <v>49</v>
      </c>
      <c r="H212">
        <v>38</v>
      </c>
      <c r="K212">
        <v>58</v>
      </c>
      <c r="L212">
        <v>47</v>
      </c>
      <c r="M212">
        <v>1361261.2612612641</v>
      </c>
      <c r="N212">
        <v>2227927.927927928</v>
      </c>
      <c r="O212">
        <v>52845576.576576576</v>
      </c>
      <c r="P212">
        <v>50016819.819819823</v>
      </c>
      <c r="Q212">
        <v>1285945.945945946</v>
      </c>
      <c r="R212">
        <v>2344504.5045045041</v>
      </c>
      <c r="S212">
        <v>4697</v>
      </c>
      <c r="T212">
        <v>4282</v>
      </c>
    </row>
    <row r="213" spans="1:20" x14ac:dyDescent="0.35">
      <c r="A213" s="7" t="s">
        <v>309</v>
      </c>
      <c r="B213" s="12" t="s">
        <v>141</v>
      </c>
      <c r="C213">
        <v>634981176.89344049</v>
      </c>
      <c r="D213">
        <v>665913901.70259273</v>
      </c>
      <c r="E213">
        <v>3770270.2702702759</v>
      </c>
      <c r="F213">
        <v>5086486.486486489</v>
      </c>
      <c r="G213">
        <v>98</v>
      </c>
      <c r="H213">
        <v>60</v>
      </c>
      <c r="I213">
        <v>5</v>
      </c>
      <c r="K213">
        <v>122</v>
      </c>
      <c r="L213">
        <v>78</v>
      </c>
      <c r="M213">
        <v>119112162.16216215</v>
      </c>
      <c r="N213">
        <v>122420630.63063063</v>
      </c>
      <c r="O213">
        <v>140214112.61261261</v>
      </c>
      <c r="P213">
        <v>152548214.41441441</v>
      </c>
      <c r="Q213">
        <v>67385315.315315321</v>
      </c>
      <c r="R213">
        <v>70631441.441441447</v>
      </c>
      <c r="S213">
        <v>8479</v>
      </c>
      <c r="T213">
        <v>8259</v>
      </c>
    </row>
    <row r="214" spans="1:20" x14ac:dyDescent="0.35">
      <c r="A214" s="7" t="s">
        <v>310</v>
      </c>
      <c r="B214" s="12" t="s">
        <v>133</v>
      </c>
      <c r="C214">
        <v>632199379.93887448</v>
      </c>
      <c r="D214">
        <v>613744025.38139868</v>
      </c>
      <c r="E214">
        <v>4407207.2072072094</v>
      </c>
      <c r="F214">
        <v>3457657.6576576591</v>
      </c>
      <c r="G214">
        <v>184</v>
      </c>
      <c r="H214">
        <v>117</v>
      </c>
      <c r="K214">
        <v>202</v>
      </c>
      <c r="L214">
        <v>133</v>
      </c>
      <c r="M214">
        <v>26740540.540540542</v>
      </c>
      <c r="N214">
        <v>24677702.702702701</v>
      </c>
      <c r="O214">
        <v>170458693.6936937</v>
      </c>
      <c r="P214">
        <v>176050495.4954955</v>
      </c>
      <c r="Q214">
        <v>20692522.522522524</v>
      </c>
      <c r="R214">
        <v>18684369.369369369</v>
      </c>
      <c r="S214">
        <v>13912</v>
      </c>
      <c r="T214">
        <v>12034</v>
      </c>
    </row>
    <row r="215" spans="1:20" x14ac:dyDescent="0.35">
      <c r="A215" s="7" t="s">
        <v>311</v>
      </c>
      <c r="B215" s="12" t="s">
        <v>73</v>
      </c>
      <c r="C215">
        <v>1011910496.1547223</v>
      </c>
      <c r="D215">
        <v>1112987924.2397695</v>
      </c>
      <c r="E215">
        <v>7752927.9279279327</v>
      </c>
      <c r="F215">
        <v>7011711.7117117243</v>
      </c>
      <c r="G215">
        <v>245</v>
      </c>
      <c r="H215">
        <v>126</v>
      </c>
      <c r="I215">
        <v>3</v>
      </c>
      <c r="K215">
        <v>283</v>
      </c>
      <c r="L215">
        <v>150</v>
      </c>
      <c r="M215">
        <v>149142342.34234235</v>
      </c>
      <c r="N215">
        <v>169866666.66666666</v>
      </c>
      <c r="O215">
        <v>255281717.11711711</v>
      </c>
      <c r="P215">
        <v>359483861.26126122</v>
      </c>
      <c r="Q215">
        <v>131460763.96396396</v>
      </c>
      <c r="R215">
        <v>147613693.6936937</v>
      </c>
      <c r="S215">
        <v>18627</v>
      </c>
      <c r="T215">
        <v>16256</v>
      </c>
    </row>
    <row r="216" spans="1:20" x14ac:dyDescent="0.35">
      <c r="A216" s="7" t="s">
        <v>312</v>
      </c>
      <c r="B216" s="12" t="s">
        <v>63</v>
      </c>
      <c r="C216">
        <v>181028773.59463948</v>
      </c>
      <c r="D216">
        <v>174680310.13931042</v>
      </c>
      <c r="E216">
        <v>1845945.945945947</v>
      </c>
      <c r="F216">
        <v>2144144.144144143</v>
      </c>
      <c r="G216">
        <v>18</v>
      </c>
      <c r="H216">
        <v>14</v>
      </c>
      <c r="K216">
        <v>19</v>
      </c>
      <c r="L216">
        <v>19</v>
      </c>
      <c r="M216">
        <v>35461261.261261262</v>
      </c>
      <c r="N216">
        <v>36336936.936936937</v>
      </c>
      <c r="O216">
        <v>49115162.162162162</v>
      </c>
      <c r="P216">
        <v>49737495.495495498</v>
      </c>
      <c r="Q216">
        <v>30430900.900900904</v>
      </c>
      <c r="R216">
        <v>35476216.216216214</v>
      </c>
      <c r="S216">
        <v>2439</v>
      </c>
      <c r="T216">
        <v>2306</v>
      </c>
    </row>
    <row r="217" spans="1:20" x14ac:dyDescent="0.35">
      <c r="A217" s="7" t="s">
        <v>313</v>
      </c>
      <c r="B217" s="12" t="s">
        <v>90</v>
      </c>
      <c r="C217">
        <v>62228929.496098071</v>
      </c>
      <c r="D217">
        <v>65066702.549137525</v>
      </c>
      <c r="E217">
        <v>1034234.234234233</v>
      </c>
      <c r="F217">
        <v>3399099.0990991001</v>
      </c>
      <c r="G217">
        <v>16</v>
      </c>
      <c r="H217">
        <v>11</v>
      </c>
      <c r="I217">
        <v>1</v>
      </c>
      <c r="K217">
        <v>22</v>
      </c>
      <c r="L217">
        <v>14</v>
      </c>
      <c r="M217">
        <v>8680720.7207207214</v>
      </c>
      <c r="N217">
        <v>14179639.63963964</v>
      </c>
      <c r="O217">
        <v>21072054.054054055</v>
      </c>
      <c r="P217">
        <v>22838018.018018015</v>
      </c>
      <c r="Q217">
        <v>9031531.5315315314</v>
      </c>
      <c r="R217">
        <v>13228738.738738742</v>
      </c>
      <c r="S217">
        <v>1299</v>
      </c>
      <c r="T217">
        <v>1140</v>
      </c>
    </row>
    <row r="218" spans="1:20" x14ac:dyDescent="0.35">
      <c r="A218" s="7" t="s">
        <v>314</v>
      </c>
      <c r="B218" s="12" t="s">
        <v>93</v>
      </c>
      <c r="C218">
        <v>27639537.203106005</v>
      </c>
      <c r="D218">
        <v>22465465.8481628</v>
      </c>
      <c r="E218">
        <v>157762240.54054055</v>
      </c>
      <c r="F218">
        <v>126950110.81081082</v>
      </c>
      <c r="G218">
        <v>4</v>
      </c>
      <c r="H218">
        <v>5</v>
      </c>
      <c r="K218">
        <v>5</v>
      </c>
      <c r="L218">
        <v>5</v>
      </c>
      <c r="M218">
        <v>10414414.414414413</v>
      </c>
      <c r="N218">
        <v>8067035.1351351347</v>
      </c>
      <c r="O218">
        <v>2008918.9189189191</v>
      </c>
      <c r="P218">
        <v>2337378.3783783782</v>
      </c>
      <c r="Q218">
        <v>1361261.2612612611</v>
      </c>
      <c r="R218">
        <v>2153153.1531531531</v>
      </c>
      <c r="S218">
        <v>610</v>
      </c>
      <c r="T218">
        <v>846</v>
      </c>
    </row>
    <row r="219" spans="1:20" x14ac:dyDescent="0.35">
      <c r="A219" s="7" t="s">
        <v>315</v>
      </c>
      <c r="B219" s="12" t="s">
        <v>316</v>
      </c>
      <c r="C219">
        <v>208588130.77849466</v>
      </c>
      <c r="D219">
        <v>206894255.84021235</v>
      </c>
      <c r="E219">
        <v>855405.40540540498</v>
      </c>
      <c r="F219">
        <v>3226126.1261261278</v>
      </c>
      <c r="G219">
        <v>48</v>
      </c>
      <c r="H219">
        <v>47</v>
      </c>
      <c r="K219">
        <v>54</v>
      </c>
      <c r="L219">
        <v>62</v>
      </c>
      <c r="M219">
        <v>24770270.270270273</v>
      </c>
      <c r="N219">
        <v>45461261.261261262</v>
      </c>
      <c r="O219">
        <v>32319763.963963963</v>
      </c>
      <c r="P219">
        <v>36137540.540540546</v>
      </c>
      <c r="Q219">
        <v>24663063.063063063</v>
      </c>
      <c r="R219">
        <v>36144054.054054059</v>
      </c>
      <c r="S219">
        <v>3814</v>
      </c>
      <c r="T219">
        <v>3662</v>
      </c>
    </row>
    <row r="220" spans="1:20" x14ac:dyDescent="0.35">
      <c r="A220" s="7" t="s">
        <v>317</v>
      </c>
      <c r="B220" s="12" t="s">
        <v>63</v>
      </c>
      <c r="C220">
        <v>353829546.81091237</v>
      </c>
      <c r="D220">
        <v>380689540.50852513</v>
      </c>
      <c r="E220">
        <v>7077477.4774774816</v>
      </c>
      <c r="F220">
        <v>7355855.8558558626</v>
      </c>
      <c r="G220">
        <v>208</v>
      </c>
      <c r="H220">
        <v>85</v>
      </c>
      <c r="K220">
        <v>269</v>
      </c>
      <c r="L220">
        <v>200</v>
      </c>
      <c r="M220">
        <v>56805765.765765771</v>
      </c>
      <c r="N220">
        <v>69114313.513513505</v>
      </c>
      <c r="O220">
        <v>124295657.65765767</v>
      </c>
      <c r="P220">
        <v>137546349.54954955</v>
      </c>
      <c r="Q220">
        <v>54326126.126126118</v>
      </c>
      <c r="R220">
        <v>74482522.522522524</v>
      </c>
      <c r="S220">
        <v>9148</v>
      </c>
      <c r="T220">
        <v>9033</v>
      </c>
    </row>
    <row r="221" spans="1:20" x14ac:dyDescent="0.35">
      <c r="A221" s="7" t="s">
        <v>318</v>
      </c>
      <c r="B221" s="12" t="s">
        <v>63</v>
      </c>
      <c r="C221">
        <v>328985351.71466804</v>
      </c>
      <c r="D221">
        <v>358084709.53155172</v>
      </c>
      <c r="E221">
        <v>3572072.0720720752</v>
      </c>
      <c r="F221">
        <v>4665765.7657657675</v>
      </c>
      <c r="G221">
        <v>60</v>
      </c>
      <c r="H221">
        <v>13</v>
      </c>
      <c r="K221">
        <v>69</v>
      </c>
      <c r="L221">
        <v>29</v>
      </c>
      <c r="M221">
        <v>48963603.603603609</v>
      </c>
      <c r="N221">
        <v>58938738.738738738</v>
      </c>
      <c r="O221">
        <v>114092855.85585585</v>
      </c>
      <c r="P221">
        <v>124785315.31531531</v>
      </c>
      <c r="Q221">
        <v>45383513.513513513</v>
      </c>
      <c r="R221">
        <v>61396036.036036037</v>
      </c>
      <c r="S221">
        <v>5809</v>
      </c>
      <c r="T221">
        <v>5494</v>
      </c>
    </row>
    <row r="222" spans="1:20" x14ac:dyDescent="0.35">
      <c r="A222" s="7" t="s">
        <v>319</v>
      </c>
      <c r="B222" s="12" t="s">
        <v>79</v>
      </c>
      <c r="C222">
        <v>343749259.01091945</v>
      </c>
      <c r="D222">
        <v>350507910.01973331</v>
      </c>
      <c r="E222">
        <v>6479954.9549549576</v>
      </c>
      <c r="F222">
        <v>7845045.045045048</v>
      </c>
      <c r="G222">
        <v>207</v>
      </c>
      <c r="H222">
        <v>116</v>
      </c>
      <c r="I222">
        <v>2</v>
      </c>
      <c r="K222">
        <v>260</v>
      </c>
      <c r="L222">
        <v>145</v>
      </c>
      <c r="M222">
        <v>88950900.9009009</v>
      </c>
      <c r="N222">
        <v>96856756.756756753</v>
      </c>
      <c r="O222">
        <v>148999310.8108108</v>
      </c>
      <c r="P222">
        <v>153838025.22522521</v>
      </c>
      <c r="Q222">
        <v>90246846.846846849</v>
      </c>
      <c r="R222">
        <v>90380900.9009009</v>
      </c>
      <c r="S222">
        <v>9449</v>
      </c>
      <c r="T222">
        <v>8776</v>
      </c>
    </row>
    <row r="223" spans="1:20" x14ac:dyDescent="0.35">
      <c r="A223" s="7" t="s">
        <v>320</v>
      </c>
      <c r="B223" s="12" t="s">
        <v>79</v>
      </c>
      <c r="C223">
        <v>208642239.35548049</v>
      </c>
      <c r="D223">
        <v>206277203.41240993</v>
      </c>
      <c r="E223">
        <v>3832432.4324324331</v>
      </c>
      <c r="F223">
        <v>4671171.1711711753</v>
      </c>
      <c r="G223">
        <v>112</v>
      </c>
      <c r="H223">
        <v>55</v>
      </c>
      <c r="K223">
        <v>212</v>
      </c>
      <c r="L223">
        <v>132</v>
      </c>
      <c r="M223">
        <v>18868468.468468469</v>
      </c>
      <c r="N223">
        <v>23644144.144144144</v>
      </c>
      <c r="O223">
        <v>77712540.540540546</v>
      </c>
      <c r="P223">
        <v>81826504.504504502</v>
      </c>
      <c r="Q223">
        <v>17166396.396396399</v>
      </c>
      <c r="R223">
        <v>21641621.621621624</v>
      </c>
      <c r="S223">
        <v>6186</v>
      </c>
      <c r="T223">
        <v>6169</v>
      </c>
    </row>
    <row r="224" spans="1:20" x14ac:dyDescent="0.35">
      <c r="A224" s="7" t="s">
        <v>321</v>
      </c>
      <c r="B224" s="12" t="s">
        <v>122</v>
      </c>
      <c r="C224">
        <v>1606709.3727150189</v>
      </c>
      <c r="D224">
        <v>1241534.2356711819</v>
      </c>
      <c r="H224">
        <v>2</v>
      </c>
      <c r="K224">
        <v>1</v>
      </c>
      <c r="L224">
        <v>2</v>
      </c>
      <c r="O224">
        <v>202342.34234234199</v>
      </c>
      <c r="P224">
        <v>381036.03603603598</v>
      </c>
      <c r="S224">
        <v>92</v>
      </c>
      <c r="T224">
        <v>136</v>
      </c>
    </row>
    <row r="225" spans="1:20" x14ac:dyDescent="0.35">
      <c r="A225" s="7" t="s">
        <v>322</v>
      </c>
      <c r="B225" s="12" t="s">
        <v>225</v>
      </c>
      <c r="C225">
        <v>237887221.5816246</v>
      </c>
      <c r="D225">
        <v>238129925.76820689</v>
      </c>
      <c r="E225">
        <v>69369.369369370004</v>
      </c>
      <c r="F225">
        <v>29729.729729729999</v>
      </c>
      <c r="G225">
        <v>57</v>
      </c>
      <c r="H225">
        <v>35</v>
      </c>
      <c r="I225">
        <v>2</v>
      </c>
      <c r="K225">
        <v>61</v>
      </c>
      <c r="L225">
        <v>39</v>
      </c>
      <c r="M225">
        <v>10652432.432432432</v>
      </c>
      <c r="N225">
        <v>11006306.306306308</v>
      </c>
      <c r="O225">
        <v>95445385.585585579</v>
      </c>
      <c r="P225">
        <v>101550297.2972973</v>
      </c>
      <c r="Q225">
        <v>10401081.081081081</v>
      </c>
      <c r="R225">
        <v>11154324.324324325</v>
      </c>
      <c r="S225">
        <v>4433</v>
      </c>
      <c r="T225">
        <v>3956</v>
      </c>
    </row>
    <row r="226" spans="1:20" x14ac:dyDescent="0.35">
      <c r="A226" s="7" t="s">
        <v>323</v>
      </c>
      <c r="B226" s="12" t="s">
        <v>225</v>
      </c>
      <c r="C226">
        <v>169517044.13584128</v>
      </c>
      <c r="D226">
        <v>181365398.04046384</v>
      </c>
      <c r="E226">
        <v>90990.990990992999</v>
      </c>
      <c r="F226">
        <v>131081.08108108299</v>
      </c>
      <c r="G226">
        <v>13</v>
      </c>
      <c r="H226">
        <v>38</v>
      </c>
      <c r="K226">
        <v>15</v>
      </c>
      <c r="L226">
        <v>49</v>
      </c>
      <c r="M226">
        <v>19459639.639639638</v>
      </c>
      <c r="N226">
        <v>19488018.018018018</v>
      </c>
      <c r="O226">
        <v>51011648.648648649</v>
      </c>
      <c r="P226">
        <v>56183324.324324317</v>
      </c>
      <c r="Q226">
        <v>14553693.693693694</v>
      </c>
      <c r="R226">
        <v>15262702.702702705</v>
      </c>
      <c r="S226">
        <v>2317</v>
      </c>
      <c r="T226">
        <v>2196</v>
      </c>
    </row>
    <row r="227" spans="1:20" x14ac:dyDescent="0.35">
      <c r="A227" s="7" t="s">
        <v>324</v>
      </c>
      <c r="B227" s="12" t="s">
        <v>79</v>
      </c>
      <c r="C227">
        <v>257828467.2746582</v>
      </c>
      <c r="D227">
        <v>256253705.69172192</v>
      </c>
      <c r="E227">
        <v>1448648.648648652</v>
      </c>
      <c r="F227">
        <v>2525225.2252252311</v>
      </c>
      <c r="G227">
        <v>152</v>
      </c>
      <c r="H227">
        <v>128</v>
      </c>
      <c r="I227">
        <v>2</v>
      </c>
      <c r="K227">
        <v>181</v>
      </c>
      <c r="L227">
        <v>154</v>
      </c>
      <c r="M227">
        <v>26809009.009009011</v>
      </c>
      <c r="N227">
        <v>32391891.891891897</v>
      </c>
      <c r="O227">
        <v>76395144.144144148</v>
      </c>
      <c r="P227">
        <v>76838333.333333328</v>
      </c>
      <c r="Q227">
        <v>26397297.297297295</v>
      </c>
      <c r="R227">
        <v>29069189.189189192</v>
      </c>
      <c r="S227">
        <v>5096</v>
      </c>
      <c r="T227">
        <v>4727</v>
      </c>
    </row>
    <row r="228" spans="1:20" x14ac:dyDescent="0.35">
      <c r="A228" s="7" t="s">
        <v>325</v>
      </c>
      <c r="B228" s="12" t="s">
        <v>109</v>
      </c>
      <c r="C228">
        <v>1635945840.1715007</v>
      </c>
      <c r="D228">
        <v>1678716787.8965998</v>
      </c>
      <c r="E228">
        <v>1829857172.9729731</v>
      </c>
      <c r="F228">
        <v>1344360445.0450449</v>
      </c>
      <c r="G228">
        <v>508</v>
      </c>
      <c r="H228">
        <v>395</v>
      </c>
      <c r="I228">
        <v>5</v>
      </c>
      <c r="K228">
        <v>919</v>
      </c>
      <c r="L228">
        <v>889</v>
      </c>
      <c r="M228">
        <v>591140090.09009016</v>
      </c>
      <c r="N228">
        <v>177533063.06306309</v>
      </c>
      <c r="O228">
        <v>753935765.76576579</v>
      </c>
      <c r="P228">
        <v>773084111.71171176</v>
      </c>
      <c r="Q228">
        <v>139540540.54054055</v>
      </c>
      <c r="R228">
        <v>163429639.63963965</v>
      </c>
      <c r="S228">
        <v>30047</v>
      </c>
      <c r="T228">
        <v>22854</v>
      </c>
    </row>
    <row r="229" spans="1:20" x14ac:dyDescent="0.35">
      <c r="A229" s="7" t="s">
        <v>326</v>
      </c>
      <c r="B229" s="12" t="s">
        <v>225</v>
      </c>
      <c r="C229">
        <v>235687619.09493515</v>
      </c>
      <c r="D229">
        <v>258715010.05759785</v>
      </c>
      <c r="E229">
        <v>725225.22522522602</v>
      </c>
      <c r="F229">
        <v>923423.42342342401</v>
      </c>
      <c r="G229">
        <v>39</v>
      </c>
      <c r="H229">
        <v>47</v>
      </c>
      <c r="K229">
        <v>41</v>
      </c>
      <c r="L229">
        <v>64</v>
      </c>
      <c r="M229">
        <v>19287027.027027026</v>
      </c>
      <c r="N229">
        <v>21833333.333333332</v>
      </c>
      <c r="O229">
        <v>49988990.990990989</v>
      </c>
      <c r="P229">
        <v>60062369.369369365</v>
      </c>
      <c r="Q229">
        <v>19169909.909909908</v>
      </c>
      <c r="R229">
        <v>21881171.171171173</v>
      </c>
      <c r="S229">
        <v>4521</v>
      </c>
      <c r="T229">
        <v>4506</v>
      </c>
    </row>
    <row r="230" spans="1:20" x14ac:dyDescent="0.35">
      <c r="A230" s="7" t="s">
        <v>4</v>
      </c>
      <c r="B230" s="12" t="s">
        <v>159</v>
      </c>
      <c r="C230">
        <v>206819153.93967834</v>
      </c>
      <c r="D230">
        <v>199462944.76769054</v>
      </c>
      <c r="E230">
        <v>3161261.2612612639</v>
      </c>
      <c r="F230">
        <v>6254054.0540540544</v>
      </c>
      <c r="G230">
        <v>19</v>
      </c>
      <c r="H230">
        <v>35</v>
      </c>
      <c r="I230">
        <v>1</v>
      </c>
      <c r="K230">
        <v>22</v>
      </c>
      <c r="L230">
        <v>43</v>
      </c>
      <c r="M230">
        <v>33007207.207207207</v>
      </c>
      <c r="N230">
        <v>73787837.837837845</v>
      </c>
      <c r="O230">
        <v>73909441.441441447</v>
      </c>
      <c r="P230">
        <v>73404648.648648649</v>
      </c>
      <c r="Q230">
        <v>41556126.126126125</v>
      </c>
      <c r="R230">
        <v>64161441.441441439</v>
      </c>
      <c r="S230">
        <v>4304</v>
      </c>
      <c r="T230">
        <v>3545</v>
      </c>
    </row>
    <row r="231" spans="1:20" x14ac:dyDescent="0.35">
      <c r="A231" s="7" t="s">
        <v>327</v>
      </c>
      <c r="B231" s="12" t="s">
        <v>109</v>
      </c>
      <c r="C231">
        <v>971848132.04036987</v>
      </c>
      <c r="D231">
        <v>991396217.08725917</v>
      </c>
      <c r="E231">
        <v>17236642.342342347</v>
      </c>
      <c r="F231">
        <v>73973574.77477479</v>
      </c>
      <c r="G231">
        <v>531</v>
      </c>
      <c r="H231">
        <v>315</v>
      </c>
      <c r="I231">
        <v>1</v>
      </c>
      <c r="K231">
        <v>1341</v>
      </c>
      <c r="L231">
        <v>816</v>
      </c>
      <c r="M231">
        <v>599277499.09909916</v>
      </c>
      <c r="N231">
        <v>383078501.8018018</v>
      </c>
      <c r="O231">
        <v>298744704.95495492</v>
      </c>
      <c r="P231">
        <v>305816585.58558559</v>
      </c>
      <c r="Q231">
        <v>134596576.57657659</v>
      </c>
      <c r="R231">
        <v>329416936.93693697</v>
      </c>
      <c r="S231">
        <v>24295</v>
      </c>
      <c r="T231">
        <v>21030</v>
      </c>
    </row>
    <row r="232" spans="1:20" x14ac:dyDescent="0.35">
      <c r="A232" s="7" t="s">
        <v>328</v>
      </c>
      <c r="B232" s="12" t="s">
        <v>79</v>
      </c>
      <c r="C232">
        <v>102524885.98248301</v>
      </c>
      <c r="D232">
        <v>99862891.064036608</v>
      </c>
      <c r="E232">
        <v>649549.54954955203</v>
      </c>
      <c r="F232">
        <v>955855.85585585597</v>
      </c>
      <c r="G232">
        <v>33</v>
      </c>
      <c r="H232">
        <v>35</v>
      </c>
      <c r="K232">
        <v>39</v>
      </c>
      <c r="L232">
        <v>38</v>
      </c>
      <c r="M232">
        <v>8217117.1171171172</v>
      </c>
      <c r="N232">
        <v>15479279.279279279</v>
      </c>
      <c r="O232">
        <v>31893090.090090092</v>
      </c>
      <c r="P232">
        <v>34293405.405405402</v>
      </c>
      <c r="Q232">
        <v>8528198.1981981974</v>
      </c>
      <c r="R232">
        <v>14968558.558558557</v>
      </c>
      <c r="S232">
        <v>2224</v>
      </c>
      <c r="T232">
        <v>1865</v>
      </c>
    </row>
    <row r="233" spans="1:20" x14ac:dyDescent="0.35">
      <c r="A233" s="7" t="s">
        <v>329</v>
      </c>
      <c r="B233" s="12" t="s">
        <v>122</v>
      </c>
      <c r="C233">
        <v>259621622.53600645</v>
      </c>
      <c r="D233">
        <v>248957892.68579707</v>
      </c>
      <c r="E233">
        <v>2455180.1801801799</v>
      </c>
      <c r="F233">
        <v>860360.36036036501</v>
      </c>
      <c r="G233">
        <v>79</v>
      </c>
      <c r="H233">
        <v>88</v>
      </c>
      <c r="I233">
        <v>9</v>
      </c>
      <c r="K233">
        <v>86</v>
      </c>
      <c r="L233">
        <v>99</v>
      </c>
      <c r="M233">
        <v>24598198.198198199</v>
      </c>
      <c r="N233">
        <v>19486486.486486487</v>
      </c>
      <c r="O233">
        <v>40522118.018018015</v>
      </c>
      <c r="P233">
        <v>43680657.657657653</v>
      </c>
      <c r="Q233">
        <v>17705315.315315314</v>
      </c>
      <c r="R233">
        <v>16164054.054054055</v>
      </c>
      <c r="S233">
        <v>7754</v>
      </c>
      <c r="T233">
        <v>3520</v>
      </c>
    </row>
    <row r="234" spans="1:20" x14ac:dyDescent="0.35">
      <c r="A234" s="7" t="s">
        <v>330</v>
      </c>
      <c r="B234" s="12" t="s">
        <v>331</v>
      </c>
      <c r="C234">
        <v>636811590.30929887</v>
      </c>
      <c r="D234">
        <v>608342582.85502839</v>
      </c>
      <c r="E234">
        <v>10432432.432432428</v>
      </c>
      <c r="F234">
        <v>4385135.1351351449</v>
      </c>
      <c r="G234">
        <v>239</v>
      </c>
      <c r="H234">
        <v>277</v>
      </c>
      <c r="I234">
        <v>33</v>
      </c>
      <c r="K234">
        <v>395</v>
      </c>
      <c r="L234">
        <v>355</v>
      </c>
      <c r="M234">
        <v>96515675.675675675</v>
      </c>
      <c r="N234">
        <v>106588108.10810812</v>
      </c>
      <c r="O234">
        <v>161463513.96396396</v>
      </c>
      <c r="P234">
        <v>140502178.37837839</v>
      </c>
      <c r="Q234">
        <v>88819592.792792797</v>
      </c>
      <c r="R234">
        <v>112258558.55855855</v>
      </c>
      <c r="S234">
        <v>18559</v>
      </c>
      <c r="T234">
        <v>13663</v>
      </c>
    </row>
    <row r="235" spans="1:20" x14ac:dyDescent="0.35">
      <c r="A235" s="7" t="s">
        <v>332</v>
      </c>
      <c r="B235" s="12" t="s">
        <v>291</v>
      </c>
      <c r="C235">
        <v>932695015.00775301</v>
      </c>
      <c r="D235">
        <v>931985424.13534844</v>
      </c>
      <c r="E235">
        <v>9973873.8738738764</v>
      </c>
      <c r="F235">
        <v>4368018.0180180324</v>
      </c>
      <c r="G235">
        <v>399</v>
      </c>
      <c r="H235">
        <v>352</v>
      </c>
      <c r="K235">
        <v>568</v>
      </c>
      <c r="L235">
        <v>422</v>
      </c>
      <c r="M235">
        <v>164490990.99099097</v>
      </c>
      <c r="N235">
        <v>89881531.531531543</v>
      </c>
      <c r="O235">
        <v>169159385.58558559</v>
      </c>
      <c r="P235">
        <v>174409818.01801801</v>
      </c>
      <c r="Q235">
        <v>150275855.85585588</v>
      </c>
      <c r="R235">
        <v>99080630.630630642</v>
      </c>
      <c r="S235">
        <v>19589</v>
      </c>
      <c r="T235">
        <v>17110</v>
      </c>
    </row>
    <row r="236" spans="1:20" x14ac:dyDescent="0.35">
      <c r="A236" s="7" t="s">
        <v>333</v>
      </c>
      <c r="B236" s="12" t="s">
        <v>291</v>
      </c>
      <c r="C236">
        <v>707667730.11029994</v>
      </c>
      <c r="D236">
        <v>725741753.64769959</v>
      </c>
      <c r="E236">
        <v>10990765.765765773</v>
      </c>
      <c r="F236">
        <v>5954954.9549549622</v>
      </c>
      <c r="G236">
        <v>216</v>
      </c>
      <c r="H236">
        <v>215</v>
      </c>
      <c r="I236">
        <v>2</v>
      </c>
      <c r="K236">
        <v>261</v>
      </c>
      <c r="L236">
        <v>386</v>
      </c>
      <c r="M236">
        <v>148519819.81981981</v>
      </c>
      <c r="N236">
        <v>104295045.04504503</v>
      </c>
      <c r="O236">
        <v>193109333.33333334</v>
      </c>
      <c r="P236">
        <v>203564358.55855855</v>
      </c>
      <c r="Q236">
        <v>144376036.03603604</v>
      </c>
      <c r="R236">
        <v>158630180.18018019</v>
      </c>
      <c r="S236">
        <v>16847</v>
      </c>
      <c r="T236">
        <v>14749</v>
      </c>
    </row>
    <row r="237" spans="1:20" x14ac:dyDescent="0.35">
      <c r="A237" s="7" t="s">
        <v>334</v>
      </c>
      <c r="B237" s="12" t="s">
        <v>61</v>
      </c>
      <c r="C237">
        <v>97306258.124459118</v>
      </c>
      <c r="D237">
        <v>98705208.473212302</v>
      </c>
      <c r="E237">
        <v>3229729.7297297311</v>
      </c>
      <c r="F237">
        <v>2156756.7567567569</v>
      </c>
      <c r="G237">
        <v>98</v>
      </c>
      <c r="H237">
        <v>51</v>
      </c>
      <c r="I237">
        <v>2</v>
      </c>
      <c r="K237">
        <v>161</v>
      </c>
      <c r="L237">
        <v>88</v>
      </c>
      <c r="M237">
        <v>40798198.198198199</v>
      </c>
      <c r="N237">
        <v>17138738.738738742</v>
      </c>
      <c r="O237">
        <v>33849036.036036037</v>
      </c>
      <c r="P237">
        <v>33781630.630630635</v>
      </c>
      <c r="Q237">
        <v>38603603.603603601</v>
      </c>
      <c r="R237">
        <v>15016036.036036037</v>
      </c>
      <c r="S237">
        <v>2359</v>
      </c>
      <c r="T237">
        <v>1936</v>
      </c>
    </row>
    <row r="238" spans="1:20" x14ac:dyDescent="0.35">
      <c r="A238" s="7" t="s">
        <v>335</v>
      </c>
      <c r="B238" s="12" t="s">
        <v>61</v>
      </c>
      <c r="C238">
        <v>18858566.795691319</v>
      </c>
      <c r="D238">
        <v>21552935.121410847</v>
      </c>
      <c r="E238">
        <v>243243.24324324299</v>
      </c>
      <c r="F238">
        <v>535135.13513513596</v>
      </c>
      <c r="G238">
        <v>7</v>
      </c>
      <c r="H238">
        <v>11</v>
      </c>
      <c r="K238">
        <v>9</v>
      </c>
      <c r="L238">
        <v>12</v>
      </c>
      <c r="M238">
        <v>902252.25225225196</v>
      </c>
      <c r="N238">
        <v>1631981.9819819829</v>
      </c>
      <c r="O238">
        <v>10591711.711711712</v>
      </c>
      <c r="P238">
        <v>10765648.648648648</v>
      </c>
      <c r="Q238">
        <v>850720.72072072094</v>
      </c>
      <c r="R238">
        <v>1688648.6486486481</v>
      </c>
      <c r="S238">
        <v>1152</v>
      </c>
      <c r="T238">
        <v>859</v>
      </c>
    </row>
    <row r="239" spans="1:20" x14ac:dyDescent="0.35">
      <c r="A239" s="7" t="s">
        <v>336</v>
      </c>
      <c r="B239" s="12" t="s">
        <v>122</v>
      </c>
      <c r="C239">
        <v>1994015.2411718729</v>
      </c>
      <c r="D239">
        <v>2579364.803187124</v>
      </c>
      <c r="G239">
        <v>1</v>
      </c>
      <c r="K239">
        <v>1</v>
      </c>
      <c r="L239">
        <v>1</v>
      </c>
      <c r="O239">
        <v>97747.747747747999</v>
      </c>
      <c r="P239">
        <v>529504.50450450496</v>
      </c>
      <c r="S239">
        <v>168</v>
      </c>
      <c r="T239">
        <v>167</v>
      </c>
    </row>
    <row r="240" spans="1:20" x14ac:dyDescent="0.35">
      <c r="A240" s="7" t="s">
        <v>337</v>
      </c>
      <c r="B240" s="12" t="s">
        <v>122</v>
      </c>
      <c r="C240">
        <v>3401182.8135785321</v>
      </c>
      <c r="D240">
        <v>3616762.977847788</v>
      </c>
      <c r="G240">
        <v>2</v>
      </c>
      <c r="H240">
        <v>2</v>
      </c>
      <c r="K240">
        <v>3</v>
      </c>
      <c r="L240">
        <v>2</v>
      </c>
      <c r="O240">
        <v>636531.53153153195</v>
      </c>
      <c r="P240">
        <v>1143828.8288288291</v>
      </c>
      <c r="S240">
        <v>110</v>
      </c>
      <c r="T240">
        <v>98</v>
      </c>
    </row>
    <row r="241" spans="1:20" x14ac:dyDescent="0.35">
      <c r="A241" s="7" t="s">
        <v>338</v>
      </c>
      <c r="B241" s="12" t="s">
        <v>122</v>
      </c>
      <c r="C241">
        <v>2736458.1913712681</v>
      </c>
      <c r="D241">
        <v>2940326.4972761832</v>
      </c>
      <c r="G241">
        <v>1</v>
      </c>
      <c r="K241">
        <v>1</v>
      </c>
      <c r="O241">
        <v>29504.504504504999</v>
      </c>
      <c r="P241">
        <v>372297.29729729699</v>
      </c>
      <c r="S241">
        <v>164</v>
      </c>
      <c r="T241">
        <v>132</v>
      </c>
    </row>
    <row r="242" spans="1:20" x14ac:dyDescent="0.35">
      <c r="A242" s="7" t="s">
        <v>339</v>
      </c>
      <c r="B242" s="12" t="s">
        <v>141</v>
      </c>
      <c r="C242">
        <v>1068940723.3153614</v>
      </c>
      <c r="D242">
        <v>1081375540.4490271</v>
      </c>
      <c r="E242">
        <v>4931531.531531537</v>
      </c>
      <c r="F242">
        <v>4678828.8288288331</v>
      </c>
      <c r="G242">
        <v>408</v>
      </c>
      <c r="H242">
        <v>109</v>
      </c>
      <c r="I242">
        <v>1</v>
      </c>
      <c r="K242">
        <v>438</v>
      </c>
      <c r="L242">
        <v>283</v>
      </c>
      <c r="M242">
        <v>104724144.14414415</v>
      </c>
      <c r="N242">
        <v>113401179.27927928</v>
      </c>
      <c r="O242">
        <v>212768628.82882884</v>
      </c>
      <c r="P242">
        <v>241298562.16216218</v>
      </c>
      <c r="Q242">
        <v>93910990.990990996</v>
      </c>
      <c r="R242">
        <v>98106936.936936945</v>
      </c>
      <c r="S242">
        <v>16666</v>
      </c>
      <c r="T242">
        <v>16212</v>
      </c>
    </row>
    <row r="243" spans="1:20" x14ac:dyDescent="0.35">
      <c r="A243" s="7" t="s">
        <v>340</v>
      </c>
      <c r="B243" s="12" t="s">
        <v>122</v>
      </c>
      <c r="C243">
        <v>160087330.71804416</v>
      </c>
      <c r="D243">
        <v>159830100.2385917</v>
      </c>
      <c r="G243">
        <v>51</v>
      </c>
      <c r="H243">
        <v>62</v>
      </c>
      <c r="K243">
        <v>54</v>
      </c>
      <c r="L243">
        <v>70</v>
      </c>
      <c r="N243">
        <v>270270.27027027</v>
      </c>
      <c r="O243">
        <v>10299720.72072072</v>
      </c>
      <c r="P243">
        <v>11588295.495495496</v>
      </c>
      <c r="R243">
        <v>270270.27027027</v>
      </c>
      <c r="S243">
        <v>2635</v>
      </c>
      <c r="T243">
        <v>2406</v>
      </c>
    </row>
    <row r="244" spans="1:20" x14ac:dyDescent="0.35">
      <c r="A244" s="7" t="s">
        <v>341</v>
      </c>
      <c r="B244" s="12" t="s">
        <v>141</v>
      </c>
      <c r="C244">
        <v>563001314.59676361</v>
      </c>
      <c r="D244">
        <v>594856995.74208415</v>
      </c>
      <c r="E244">
        <v>3882882.8828828852</v>
      </c>
      <c r="F244">
        <v>3181981.9819819829</v>
      </c>
      <c r="G244">
        <v>117</v>
      </c>
      <c r="H244">
        <v>64</v>
      </c>
      <c r="I244">
        <v>4</v>
      </c>
      <c r="K244">
        <v>147</v>
      </c>
      <c r="L244">
        <v>111</v>
      </c>
      <c r="M244">
        <v>102879459.45945945</v>
      </c>
      <c r="N244">
        <v>103680585.58558558</v>
      </c>
      <c r="O244">
        <v>166535550</v>
      </c>
      <c r="P244">
        <v>179797936.93693691</v>
      </c>
      <c r="Q244">
        <v>95530180.180180177</v>
      </c>
      <c r="R244">
        <v>93219684.684684694</v>
      </c>
      <c r="S244">
        <v>9134</v>
      </c>
      <c r="T244">
        <v>9040</v>
      </c>
    </row>
    <row r="245" spans="1:20" x14ac:dyDescent="0.35">
      <c r="A245" s="7" t="s">
        <v>342</v>
      </c>
      <c r="B245" s="12" t="s">
        <v>135</v>
      </c>
      <c r="C245">
        <v>64331597.796643525</v>
      </c>
      <c r="D245">
        <v>57600157.208172344</v>
      </c>
      <c r="E245">
        <v>54054.054054054002</v>
      </c>
      <c r="F245">
        <v>54054.054054054999</v>
      </c>
      <c r="G245">
        <v>13</v>
      </c>
      <c r="H245">
        <v>16</v>
      </c>
      <c r="I245">
        <v>1</v>
      </c>
      <c r="K245">
        <v>13</v>
      </c>
      <c r="L245">
        <v>18</v>
      </c>
      <c r="M245">
        <v>1765765.7657657659</v>
      </c>
      <c r="N245">
        <v>2486486.4864864862</v>
      </c>
      <c r="O245">
        <v>5888747.7477477482</v>
      </c>
      <c r="P245">
        <v>6791585.5855855849</v>
      </c>
      <c r="Q245">
        <v>1479189.1891891891</v>
      </c>
      <c r="R245">
        <v>1021801.801801802</v>
      </c>
      <c r="S245">
        <v>1425</v>
      </c>
      <c r="T245">
        <v>1393</v>
      </c>
    </row>
    <row r="246" spans="1:20" x14ac:dyDescent="0.35">
      <c r="A246" s="7" t="s">
        <v>343</v>
      </c>
      <c r="B246" s="12" t="s">
        <v>122</v>
      </c>
      <c r="C246">
        <v>2826545.3209896372</v>
      </c>
      <c r="D246">
        <v>3624631.7933636801</v>
      </c>
      <c r="G246">
        <v>10</v>
      </c>
      <c r="H246">
        <v>3</v>
      </c>
      <c r="K246">
        <v>14</v>
      </c>
      <c r="L246">
        <v>5</v>
      </c>
      <c r="O246">
        <v>1064819.8198198201</v>
      </c>
      <c r="P246">
        <v>2345135.1351351351</v>
      </c>
      <c r="S246">
        <v>385</v>
      </c>
      <c r="T246">
        <v>384</v>
      </c>
    </row>
    <row r="247" spans="1:20" x14ac:dyDescent="0.35">
      <c r="A247" s="7" t="s">
        <v>5</v>
      </c>
      <c r="B247" s="12" t="s">
        <v>159</v>
      </c>
      <c r="C247">
        <v>218819669.84899735</v>
      </c>
      <c r="D247">
        <v>223359105.36716664</v>
      </c>
      <c r="E247">
        <v>1099099.0990991001</v>
      </c>
      <c r="F247">
        <v>151351.351351352</v>
      </c>
      <c r="G247">
        <v>38</v>
      </c>
      <c r="H247">
        <v>24</v>
      </c>
      <c r="I247">
        <v>1</v>
      </c>
      <c r="K247">
        <v>40</v>
      </c>
      <c r="L247">
        <v>28</v>
      </c>
      <c r="M247">
        <v>15196396.396396397</v>
      </c>
      <c r="N247">
        <v>40423648.648648649</v>
      </c>
      <c r="O247">
        <v>92876477.477477476</v>
      </c>
      <c r="P247">
        <v>94597342.342342332</v>
      </c>
      <c r="Q247">
        <v>14188108.108108109</v>
      </c>
      <c r="R247">
        <v>38247252.252252258</v>
      </c>
      <c r="S247">
        <v>3342</v>
      </c>
      <c r="T247">
        <v>3087</v>
      </c>
    </row>
    <row r="248" spans="1:20" x14ac:dyDescent="0.35">
      <c r="A248" s="7" t="s">
        <v>344</v>
      </c>
      <c r="B248" s="12" t="s">
        <v>305</v>
      </c>
      <c r="C248">
        <v>20741288.506435204</v>
      </c>
      <c r="D248">
        <v>34611570.816755109</v>
      </c>
      <c r="E248">
        <v>9909909.9099099096</v>
      </c>
      <c r="F248">
        <v>33274054.054054055</v>
      </c>
      <c r="G248">
        <v>20</v>
      </c>
      <c r="H248">
        <v>51</v>
      </c>
      <c r="K248">
        <v>26</v>
      </c>
      <c r="L248">
        <v>63</v>
      </c>
      <c r="M248">
        <v>1395945.945945946</v>
      </c>
      <c r="N248">
        <v>441441.44144144101</v>
      </c>
      <c r="O248">
        <v>3568342.3423423418</v>
      </c>
      <c r="P248">
        <v>6640583.7837837841</v>
      </c>
      <c r="Q248">
        <v>294954.95495495503</v>
      </c>
      <c r="R248">
        <v>395495.49549549498</v>
      </c>
      <c r="S248">
        <v>663</v>
      </c>
      <c r="T248">
        <v>534</v>
      </c>
    </row>
    <row r="249" spans="1:20" x14ac:dyDescent="0.35">
      <c r="A249" s="7" t="s">
        <v>345</v>
      </c>
      <c r="B249" s="12" t="s">
        <v>106</v>
      </c>
      <c r="C249">
        <v>444369304.71902603</v>
      </c>
      <c r="D249">
        <v>456434296.65839809</v>
      </c>
      <c r="E249">
        <v>2946396.3963963962</v>
      </c>
      <c r="F249">
        <v>2127927.927927929</v>
      </c>
      <c r="G249">
        <v>172</v>
      </c>
      <c r="H249">
        <v>108</v>
      </c>
      <c r="K249">
        <v>206</v>
      </c>
      <c r="L249">
        <v>123</v>
      </c>
      <c r="M249">
        <v>64016216.216216214</v>
      </c>
      <c r="N249">
        <v>127253378.37837839</v>
      </c>
      <c r="O249">
        <v>110557504.50450452</v>
      </c>
      <c r="P249">
        <v>116950054.05405405</v>
      </c>
      <c r="Q249">
        <v>58056306.306306303</v>
      </c>
      <c r="R249">
        <v>123333018.01801802</v>
      </c>
      <c r="S249">
        <v>6744</v>
      </c>
      <c r="T249">
        <v>5926</v>
      </c>
    </row>
    <row r="250" spans="1:20" x14ac:dyDescent="0.35">
      <c r="A250" s="7" t="s">
        <v>346</v>
      </c>
      <c r="B250" s="12" t="s">
        <v>88</v>
      </c>
      <c r="C250">
        <v>129526745.54255749</v>
      </c>
      <c r="D250">
        <v>130320868.75992775</v>
      </c>
      <c r="E250">
        <v>981981.98198198096</v>
      </c>
      <c r="F250">
        <v>943243.24324324401</v>
      </c>
      <c r="G250">
        <v>59</v>
      </c>
      <c r="H250">
        <v>59</v>
      </c>
      <c r="K250">
        <v>63</v>
      </c>
      <c r="L250">
        <v>66</v>
      </c>
      <c r="M250">
        <v>36349909.909909904</v>
      </c>
      <c r="N250">
        <v>34555855.855855852</v>
      </c>
      <c r="O250">
        <v>34947451.351351351</v>
      </c>
      <c r="P250">
        <v>40274935.135135137</v>
      </c>
      <c r="Q250">
        <v>27794951.351351351</v>
      </c>
      <c r="R250">
        <v>23820540.540540539</v>
      </c>
      <c r="S250">
        <v>2329</v>
      </c>
      <c r="T250">
        <v>3121</v>
      </c>
    </row>
    <row r="251" spans="1:20" x14ac:dyDescent="0.35">
      <c r="A251" s="7" t="s">
        <v>347</v>
      </c>
      <c r="B251" s="12" t="s">
        <v>88</v>
      </c>
      <c r="C251">
        <v>376574283.11784518</v>
      </c>
      <c r="D251">
        <v>345264772.56184351</v>
      </c>
      <c r="E251">
        <v>3986711.7117117131</v>
      </c>
      <c r="F251">
        <v>2229729.7297297348</v>
      </c>
      <c r="G251">
        <v>212</v>
      </c>
      <c r="H251">
        <v>214</v>
      </c>
      <c r="I251">
        <v>4</v>
      </c>
      <c r="K251">
        <v>262</v>
      </c>
      <c r="L251">
        <v>274</v>
      </c>
      <c r="M251">
        <v>36401621.621621616</v>
      </c>
      <c r="N251">
        <v>36220720.720720723</v>
      </c>
      <c r="O251">
        <v>61237277.477477469</v>
      </c>
      <c r="P251">
        <v>67837036.036036029</v>
      </c>
      <c r="Q251">
        <v>27354324.324324321</v>
      </c>
      <c r="R251">
        <v>29923603.603603605</v>
      </c>
      <c r="S251">
        <v>7564</v>
      </c>
      <c r="T251">
        <v>6281</v>
      </c>
    </row>
    <row r="252" spans="1:20" x14ac:dyDescent="0.35">
      <c r="A252" s="7" t="s">
        <v>348</v>
      </c>
      <c r="B252" s="12" t="s">
        <v>88</v>
      </c>
      <c r="C252">
        <v>11020731.580538604</v>
      </c>
      <c r="D252">
        <v>11317946.227499682</v>
      </c>
      <c r="G252">
        <v>26</v>
      </c>
      <c r="H252">
        <v>9</v>
      </c>
      <c r="K252">
        <v>27</v>
      </c>
      <c r="L252">
        <v>11</v>
      </c>
      <c r="O252">
        <v>5025846.8468468478</v>
      </c>
      <c r="P252">
        <v>6249504.5045045046</v>
      </c>
      <c r="S252">
        <v>880</v>
      </c>
      <c r="T252">
        <v>813</v>
      </c>
    </row>
    <row r="253" spans="1:20" x14ac:dyDescent="0.35">
      <c r="A253" s="7" t="s">
        <v>349</v>
      </c>
      <c r="B253" s="12" t="s">
        <v>88</v>
      </c>
      <c r="C253">
        <v>4942234.1920221811</v>
      </c>
      <c r="D253">
        <v>4205506.2175342496</v>
      </c>
      <c r="G253">
        <v>3</v>
      </c>
      <c r="K253">
        <v>3</v>
      </c>
      <c r="O253">
        <v>1706351.351351351</v>
      </c>
      <c r="P253">
        <v>1437792.792792792</v>
      </c>
      <c r="S253">
        <v>171</v>
      </c>
      <c r="T253">
        <v>200</v>
      </c>
    </row>
    <row r="254" spans="1:20" x14ac:dyDescent="0.35">
      <c r="A254" s="7" t="s">
        <v>350</v>
      </c>
      <c r="B254" s="12" t="s">
        <v>88</v>
      </c>
      <c r="C254">
        <v>4108318.155870487</v>
      </c>
      <c r="D254">
        <v>1998083.9604962571</v>
      </c>
      <c r="G254">
        <v>7</v>
      </c>
      <c r="H254">
        <v>5</v>
      </c>
      <c r="K254">
        <v>13</v>
      </c>
      <c r="L254">
        <v>9</v>
      </c>
      <c r="O254">
        <v>2213207.2072072071</v>
      </c>
      <c r="P254">
        <v>1275945.945945946</v>
      </c>
      <c r="S254">
        <v>677</v>
      </c>
      <c r="T254">
        <v>472</v>
      </c>
    </row>
    <row r="255" spans="1:20" x14ac:dyDescent="0.35">
      <c r="A255" s="7" t="s">
        <v>351</v>
      </c>
      <c r="B255" s="12" t="s">
        <v>88</v>
      </c>
      <c r="C255">
        <v>120322879.68868561</v>
      </c>
      <c r="D255">
        <v>120822668.49674751</v>
      </c>
      <c r="E255">
        <v>188288.28828828901</v>
      </c>
      <c r="F255">
        <v>692792.79279279499</v>
      </c>
      <c r="G255">
        <v>93</v>
      </c>
      <c r="H255">
        <v>60</v>
      </c>
      <c r="I255">
        <v>1</v>
      </c>
      <c r="K255">
        <v>98</v>
      </c>
      <c r="L255">
        <v>70</v>
      </c>
      <c r="M255">
        <v>9046306.3063063081</v>
      </c>
      <c r="N255">
        <v>13341441.441441439</v>
      </c>
      <c r="O255">
        <v>22725698.198198199</v>
      </c>
      <c r="P255">
        <v>28789621.621621624</v>
      </c>
      <c r="Q255">
        <v>8032792.7927927934</v>
      </c>
      <c r="R255">
        <v>11239279.27927928</v>
      </c>
      <c r="S255">
        <v>1627</v>
      </c>
      <c r="T255">
        <v>2164</v>
      </c>
    </row>
    <row r="256" spans="1:20" x14ac:dyDescent="0.35">
      <c r="A256" s="7" t="s">
        <v>352</v>
      </c>
      <c r="B256" s="12" t="s">
        <v>51</v>
      </c>
      <c r="C256">
        <v>322641154.61089832</v>
      </c>
      <c r="D256">
        <v>305686879.41323936</v>
      </c>
      <c r="E256">
        <v>930365630.63063061</v>
      </c>
      <c r="F256">
        <v>780944144.14414418</v>
      </c>
      <c r="G256">
        <v>85</v>
      </c>
      <c r="H256">
        <v>115</v>
      </c>
      <c r="K256">
        <v>91</v>
      </c>
      <c r="L256">
        <v>164</v>
      </c>
      <c r="M256">
        <v>57582342.342342347</v>
      </c>
      <c r="N256">
        <v>53545045.045045048</v>
      </c>
      <c r="O256">
        <v>125652256.75675675</v>
      </c>
      <c r="P256">
        <v>126342351.35135135</v>
      </c>
      <c r="Q256">
        <v>53345765.765765771</v>
      </c>
      <c r="R256">
        <v>50519594.59459459</v>
      </c>
      <c r="S256">
        <v>4494</v>
      </c>
      <c r="T256">
        <v>5226</v>
      </c>
    </row>
    <row r="257" spans="1:20" x14ac:dyDescent="0.35">
      <c r="A257" s="7" t="s">
        <v>353</v>
      </c>
      <c r="B257" s="12" t="s">
        <v>124</v>
      </c>
      <c r="C257">
        <v>1939815.6689727651</v>
      </c>
      <c r="D257">
        <v>3191971.9770702831</v>
      </c>
      <c r="G257">
        <v>1</v>
      </c>
      <c r="H257">
        <v>1</v>
      </c>
      <c r="K257">
        <v>2</v>
      </c>
      <c r="L257">
        <v>1</v>
      </c>
      <c r="O257">
        <v>748738.73873873905</v>
      </c>
      <c r="P257">
        <v>928099.09909909905</v>
      </c>
      <c r="S257">
        <v>132</v>
      </c>
      <c r="T257">
        <v>115</v>
      </c>
    </row>
    <row r="258" spans="1:20" x14ac:dyDescent="0.35">
      <c r="A258" s="7" t="s">
        <v>354</v>
      </c>
      <c r="B258" s="12" t="s">
        <v>355</v>
      </c>
      <c r="C258">
        <v>556352219.96682668</v>
      </c>
      <c r="D258">
        <v>589174138.61466575</v>
      </c>
      <c r="E258">
        <v>11150450.450450452</v>
      </c>
      <c r="F258">
        <v>20328892.792792793</v>
      </c>
      <c r="G258">
        <v>465</v>
      </c>
      <c r="H258">
        <v>537</v>
      </c>
      <c r="I258">
        <v>1</v>
      </c>
      <c r="K258">
        <v>624</v>
      </c>
      <c r="L258">
        <v>671</v>
      </c>
      <c r="M258">
        <v>350147162.16216218</v>
      </c>
      <c r="N258">
        <v>358361325.22522521</v>
      </c>
      <c r="O258">
        <v>332334900.9009009</v>
      </c>
      <c r="P258">
        <v>355123513.51351357</v>
      </c>
      <c r="Q258">
        <v>368826441.44144148</v>
      </c>
      <c r="R258">
        <v>341839099.0990991</v>
      </c>
      <c r="S258">
        <v>10539</v>
      </c>
      <c r="T258">
        <v>10108</v>
      </c>
    </row>
    <row r="259" spans="1:20" x14ac:dyDescent="0.35">
      <c r="A259" s="7" t="s">
        <v>356</v>
      </c>
      <c r="B259" s="12" t="s">
        <v>49</v>
      </c>
      <c r="C259">
        <v>390715581.99390393</v>
      </c>
      <c r="D259">
        <v>426757424.57675922</v>
      </c>
      <c r="E259">
        <v>1869369.3693693711</v>
      </c>
      <c r="F259">
        <v>657657.65765765903</v>
      </c>
      <c r="G259">
        <v>43</v>
      </c>
      <c r="H259">
        <v>12</v>
      </c>
      <c r="K259">
        <v>44</v>
      </c>
      <c r="L259">
        <v>15</v>
      </c>
      <c r="M259">
        <v>8701801.8018018007</v>
      </c>
      <c r="N259">
        <v>803603.60360360495</v>
      </c>
      <c r="O259">
        <v>29251414.414414417</v>
      </c>
      <c r="P259">
        <v>35134783.783783786</v>
      </c>
      <c r="Q259">
        <v>8622072.072072072</v>
      </c>
      <c r="R259">
        <v>1049369.369369372</v>
      </c>
      <c r="S259">
        <v>5949</v>
      </c>
      <c r="T259">
        <v>5612</v>
      </c>
    </row>
    <row r="260" spans="1:20" x14ac:dyDescent="0.35">
      <c r="A260" s="7" t="s">
        <v>357</v>
      </c>
      <c r="B260" s="12" t="s">
        <v>124</v>
      </c>
      <c r="C260">
        <v>431148383.8079021</v>
      </c>
      <c r="D260">
        <v>420072036.3296361</v>
      </c>
      <c r="E260">
        <v>209909.90990991099</v>
      </c>
      <c r="F260">
        <v>1514414.414414414</v>
      </c>
      <c r="G260">
        <v>99</v>
      </c>
      <c r="H260">
        <v>66</v>
      </c>
      <c r="K260">
        <v>104</v>
      </c>
      <c r="L260">
        <v>72</v>
      </c>
      <c r="M260">
        <v>22667477.477477476</v>
      </c>
      <c r="N260">
        <v>18617207.207207207</v>
      </c>
      <c r="O260">
        <v>91092270.270270273</v>
      </c>
      <c r="P260">
        <v>100407513.51351352</v>
      </c>
      <c r="Q260">
        <v>21077747.747747745</v>
      </c>
      <c r="R260">
        <v>17128648.648648649</v>
      </c>
      <c r="S260">
        <v>6821</v>
      </c>
      <c r="T260">
        <v>5570</v>
      </c>
    </row>
    <row r="261" spans="1:20" x14ac:dyDescent="0.35">
      <c r="A261" s="7" t="s">
        <v>358</v>
      </c>
      <c r="B261" s="12" t="s">
        <v>63</v>
      </c>
      <c r="C261">
        <v>233071827.26794264</v>
      </c>
      <c r="D261">
        <v>239654550.6630671</v>
      </c>
      <c r="E261">
        <v>3087387.3873873898</v>
      </c>
      <c r="F261">
        <v>1906306.3063063109</v>
      </c>
      <c r="G261">
        <v>50</v>
      </c>
      <c r="H261">
        <v>7</v>
      </c>
      <c r="K261">
        <v>53</v>
      </c>
      <c r="L261">
        <v>10</v>
      </c>
      <c r="M261">
        <v>37336576.576576576</v>
      </c>
      <c r="N261">
        <v>48923333.333333336</v>
      </c>
      <c r="O261">
        <v>65413531.531531535</v>
      </c>
      <c r="P261">
        <v>74562720.720720723</v>
      </c>
      <c r="Q261">
        <v>36799369.369369365</v>
      </c>
      <c r="R261">
        <v>31309099.0990991</v>
      </c>
      <c r="S261">
        <v>4188</v>
      </c>
      <c r="T261">
        <v>3754</v>
      </c>
    </row>
    <row r="262" spans="1:20" x14ac:dyDescent="0.35">
      <c r="A262" s="7" t="s">
        <v>359</v>
      </c>
      <c r="B262" s="12" t="s">
        <v>316</v>
      </c>
      <c r="C262">
        <v>5705572.5544652361</v>
      </c>
      <c r="D262">
        <v>14767287.607941803</v>
      </c>
      <c r="G262">
        <v>10</v>
      </c>
      <c r="H262">
        <v>16</v>
      </c>
      <c r="K262">
        <v>11</v>
      </c>
      <c r="L262">
        <v>16</v>
      </c>
      <c r="O262">
        <v>2316846.8468468469</v>
      </c>
      <c r="P262">
        <v>7821351.3513513505</v>
      </c>
      <c r="T262">
        <v>560</v>
      </c>
    </row>
    <row r="263" spans="1:20" x14ac:dyDescent="0.35">
      <c r="A263" s="7" t="s">
        <v>360</v>
      </c>
      <c r="B263" s="12" t="s">
        <v>316</v>
      </c>
      <c r="C263">
        <v>235423444.60958236</v>
      </c>
      <c r="D263">
        <v>184201563.16059649</v>
      </c>
      <c r="E263">
        <v>1779279.2792792791</v>
      </c>
      <c r="F263">
        <v>436036.036036039</v>
      </c>
      <c r="G263">
        <v>52</v>
      </c>
      <c r="H263">
        <v>24</v>
      </c>
      <c r="K263">
        <v>61</v>
      </c>
      <c r="L263">
        <v>32</v>
      </c>
      <c r="M263">
        <v>61367027.027027026</v>
      </c>
      <c r="N263">
        <v>58886936.936936937</v>
      </c>
      <c r="O263">
        <v>85149711.711711705</v>
      </c>
      <c r="P263">
        <v>76409603.603603601</v>
      </c>
      <c r="Q263">
        <v>54525405.40540541</v>
      </c>
      <c r="R263">
        <v>53766306.306306303</v>
      </c>
      <c r="S263">
        <v>3376</v>
      </c>
      <c r="T263">
        <v>3115</v>
      </c>
    </row>
    <row r="264" spans="1:20" x14ac:dyDescent="0.35">
      <c r="A264" s="7" t="s">
        <v>361</v>
      </c>
      <c r="B264" s="12" t="s">
        <v>93</v>
      </c>
      <c r="C264">
        <v>430674969.75384551</v>
      </c>
      <c r="D264">
        <v>426251202.69799572</v>
      </c>
      <c r="E264">
        <v>69908108.108108118</v>
      </c>
      <c r="F264">
        <v>22162612.612612616</v>
      </c>
      <c r="G264">
        <v>222</v>
      </c>
      <c r="H264">
        <v>90</v>
      </c>
      <c r="I264">
        <v>2</v>
      </c>
      <c r="K264">
        <v>256</v>
      </c>
      <c r="L264">
        <v>134</v>
      </c>
      <c r="M264">
        <v>108557387.38738739</v>
      </c>
      <c r="N264">
        <v>79018918.918918908</v>
      </c>
      <c r="O264">
        <v>125264827.02702703</v>
      </c>
      <c r="P264">
        <v>127664234.23423424</v>
      </c>
      <c r="Q264">
        <v>101972565.76576576</v>
      </c>
      <c r="R264">
        <v>76526576.576576576</v>
      </c>
      <c r="S264">
        <v>6975</v>
      </c>
      <c r="T264">
        <v>7216</v>
      </c>
    </row>
    <row r="265" spans="1:20" x14ac:dyDescent="0.35">
      <c r="A265" s="7" t="s">
        <v>362</v>
      </c>
      <c r="B265" s="12" t="s">
        <v>59</v>
      </c>
      <c r="C265">
        <v>836687677.84982622</v>
      </c>
      <c r="D265">
        <v>863017773.70544863</v>
      </c>
      <c r="E265">
        <v>15199774.774774777</v>
      </c>
      <c r="F265">
        <v>39671171.171171173</v>
      </c>
      <c r="G265">
        <v>136</v>
      </c>
      <c r="H265">
        <v>243</v>
      </c>
      <c r="K265">
        <v>147</v>
      </c>
      <c r="L265">
        <v>282</v>
      </c>
      <c r="M265">
        <v>35207207.20720721</v>
      </c>
      <c r="N265">
        <v>78819819.819819823</v>
      </c>
      <c r="O265">
        <v>131795063.06306306</v>
      </c>
      <c r="P265">
        <v>154004792.7927928</v>
      </c>
      <c r="Q265">
        <v>32475135.135135137</v>
      </c>
      <c r="R265">
        <v>74371711.711711705</v>
      </c>
      <c r="S265">
        <v>14214</v>
      </c>
      <c r="T265">
        <v>12928</v>
      </c>
    </row>
    <row r="266" spans="1:20" x14ac:dyDescent="0.35">
      <c r="A266" s="7" t="s">
        <v>670</v>
      </c>
      <c r="B266" s="12" t="s">
        <v>144</v>
      </c>
      <c r="E266">
        <v>102522522.52252252</v>
      </c>
      <c r="F266">
        <v>24234234.234234232</v>
      </c>
      <c r="M266">
        <v>972972.97297297302</v>
      </c>
      <c r="N266">
        <v>1000000</v>
      </c>
    </row>
    <row r="267" spans="1:20" x14ac:dyDescent="0.35">
      <c r="A267" s="7" t="s">
        <v>363</v>
      </c>
      <c r="B267" s="12" t="s">
        <v>49</v>
      </c>
      <c r="C267">
        <v>297087918.40773779</v>
      </c>
      <c r="D267">
        <v>305608083.12266529</v>
      </c>
      <c r="E267">
        <v>228835369.36936939</v>
      </c>
      <c r="F267">
        <v>106723509.9099099</v>
      </c>
      <c r="G267">
        <v>25</v>
      </c>
      <c r="H267">
        <v>9</v>
      </c>
      <c r="K267">
        <v>29</v>
      </c>
      <c r="L267">
        <v>10</v>
      </c>
      <c r="M267">
        <v>72634645.945945948</v>
      </c>
      <c r="N267">
        <v>32583072.972972974</v>
      </c>
      <c r="O267">
        <v>48382054.054054059</v>
      </c>
      <c r="P267">
        <v>56307918.918918923</v>
      </c>
      <c r="Q267">
        <v>48320360.360360362</v>
      </c>
      <c r="R267">
        <v>17816396.396396399</v>
      </c>
      <c r="S267">
        <v>4028</v>
      </c>
      <c r="T267">
        <v>4390</v>
      </c>
    </row>
    <row r="268" spans="1:20" x14ac:dyDescent="0.35">
      <c r="A268" s="7" t="s">
        <v>364</v>
      </c>
      <c r="B268" s="12" t="s">
        <v>53</v>
      </c>
      <c r="C268">
        <v>125993071.67529371</v>
      </c>
      <c r="D268">
        <v>125061152.15124945</v>
      </c>
      <c r="E268">
        <v>378378.37837837898</v>
      </c>
      <c r="F268">
        <v>1075675.6756756781</v>
      </c>
      <c r="G268">
        <v>68</v>
      </c>
      <c r="H268">
        <v>23</v>
      </c>
      <c r="K268">
        <v>82</v>
      </c>
      <c r="L268">
        <v>29</v>
      </c>
      <c r="M268">
        <v>2648648.648648649</v>
      </c>
      <c r="N268">
        <v>6263063.0630630627</v>
      </c>
      <c r="O268">
        <v>60093468.468468472</v>
      </c>
      <c r="P268">
        <v>59306052.252252258</v>
      </c>
      <c r="Q268">
        <v>2528558.5585585581</v>
      </c>
      <c r="R268">
        <v>5957477.4774774751</v>
      </c>
      <c r="S268">
        <v>3522</v>
      </c>
      <c r="T268">
        <v>2484</v>
      </c>
    </row>
    <row r="269" spans="1:20" x14ac:dyDescent="0.35">
      <c r="A269" s="7" t="s">
        <v>365</v>
      </c>
      <c r="B269" s="12" t="s">
        <v>53</v>
      </c>
      <c r="C269">
        <v>96463972.776431888</v>
      </c>
      <c r="D269">
        <v>96968742.223517135</v>
      </c>
      <c r="E269">
        <v>3530630.6306306329</v>
      </c>
      <c r="F269">
        <v>2876126.1261261259</v>
      </c>
      <c r="G269">
        <v>106</v>
      </c>
      <c r="H269">
        <v>56</v>
      </c>
      <c r="I269">
        <v>1</v>
      </c>
      <c r="K269">
        <v>411</v>
      </c>
      <c r="L269">
        <v>162</v>
      </c>
      <c r="M269">
        <v>10405225.225225225</v>
      </c>
      <c r="N269">
        <v>16695945.945945946</v>
      </c>
      <c r="O269">
        <v>53832369.369369365</v>
      </c>
      <c r="P269">
        <v>54976117.117117122</v>
      </c>
      <c r="Q269">
        <v>14717117.117117116</v>
      </c>
      <c r="R269">
        <v>15163243.243243244</v>
      </c>
      <c r="S269">
        <v>3068</v>
      </c>
      <c r="T269">
        <v>2420</v>
      </c>
    </row>
    <row r="270" spans="1:20" x14ac:dyDescent="0.35">
      <c r="A270" s="7" t="s">
        <v>366</v>
      </c>
      <c r="B270" s="12" t="s">
        <v>53</v>
      </c>
      <c r="C270">
        <v>1095502661.7943537</v>
      </c>
      <c r="D270">
        <v>1099487093.9991622</v>
      </c>
      <c r="E270">
        <v>341210380.18018013</v>
      </c>
      <c r="F270">
        <v>360660355.85585588</v>
      </c>
      <c r="G270">
        <v>381</v>
      </c>
      <c r="H270">
        <v>599</v>
      </c>
      <c r="I270">
        <v>3</v>
      </c>
      <c r="K270">
        <v>739</v>
      </c>
      <c r="L270">
        <v>1269</v>
      </c>
      <c r="M270">
        <v>74676223.423423424</v>
      </c>
      <c r="N270">
        <v>566851801.8018018</v>
      </c>
      <c r="O270">
        <v>397599233.33333331</v>
      </c>
      <c r="P270">
        <v>415895396.3963964</v>
      </c>
      <c r="Q270">
        <v>86015495.495495483</v>
      </c>
      <c r="R270">
        <v>107576756.75675675</v>
      </c>
      <c r="S270">
        <v>33986</v>
      </c>
      <c r="T270">
        <v>20134</v>
      </c>
    </row>
    <row r="271" spans="1:20" x14ac:dyDescent="0.35">
      <c r="A271" s="7" t="s">
        <v>367</v>
      </c>
      <c r="B271" s="12" t="s">
        <v>294</v>
      </c>
      <c r="C271">
        <v>631819926.25289488</v>
      </c>
      <c r="D271">
        <v>629757665.77720737</v>
      </c>
      <c r="E271">
        <v>4544144.1441441393</v>
      </c>
      <c r="F271">
        <v>8774774.7747747749</v>
      </c>
      <c r="G271">
        <v>343</v>
      </c>
      <c r="H271">
        <v>92</v>
      </c>
      <c r="K271">
        <v>394</v>
      </c>
      <c r="L271">
        <v>307</v>
      </c>
      <c r="M271">
        <v>76633783.783783793</v>
      </c>
      <c r="N271">
        <v>103298018.01801802</v>
      </c>
      <c r="O271">
        <v>203806092.7927928</v>
      </c>
      <c r="P271">
        <v>208094329.72972974</v>
      </c>
      <c r="Q271">
        <v>75958018.018018022</v>
      </c>
      <c r="R271">
        <v>99184367.567567572</v>
      </c>
      <c r="S271">
        <v>18481</v>
      </c>
      <c r="T271">
        <v>10774</v>
      </c>
    </row>
    <row r="272" spans="1:20" x14ac:dyDescent="0.35">
      <c r="A272" s="7" t="s">
        <v>368</v>
      </c>
      <c r="B272" s="12" t="s">
        <v>369</v>
      </c>
      <c r="C272">
        <v>267323216.4374474</v>
      </c>
      <c r="D272">
        <v>255886188.59317786</v>
      </c>
      <c r="E272">
        <v>128124682.88288288</v>
      </c>
      <c r="F272">
        <v>210071488.2882883</v>
      </c>
      <c r="G272">
        <v>72</v>
      </c>
      <c r="H272">
        <v>35</v>
      </c>
      <c r="K272">
        <v>87</v>
      </c>
      <c r="L272">
        <v>42</v>
      </c>
      <c r="M272">
        <v>87902702.702702701</v>
      </c>
      <c r="N272">
        <v>121070360.36036037</v>
      </c>
      <c r="O272">
        <v>113935756.75675675</v>
      </c>
      <c r="P272">
        <v>111402214.41441442</v>
      </c>
      <c r="Q272">
        <v>86100090.090090081</v>
      </c>
      <c r="R272">
        <v>110601531.53153154</v>
      </c>
      <c r="S272">
        <v>6327</v>
      </c>
      <c r="T272">
        <v>3660</v>
      </c>
    </row>
    <row r="273" spans="1:20" x14ac:dyDescent="0.35">
      <c r="A273" s="7" t="s">
        <v>370</v>
      </c>
      <c r="B273" s="12" t="s">
        <v>71</v>
      </c>
      <c r="C273">
        <v>76812722.846733257</v>
      </c>
      <c r="D273">
        <v>76945344.961770058</v>
      </c>
      <c r="E273">
        <v>2217117.1171171181</v>
      </c>
      <c r="F273">
        <v>2106306.3063063058</v>
      </c>
      <c r="G273">
        <v>48</v>
      </c>
      <c r="H273">
        <v>33</v>
      </c>
      <c r="K273">
        <v>79</v>
      </c>
      <c r="L273">
        <v>50</v>
      </c>
      <c r="M273">
        <v>15775675.675675675</v>
      </c>
      <c r="N273">
        <v>16359459.459459459</v>
      </c>
      <c r="O273">
        <v>25320369.369369369</v>
      </c>
      <c r="P273">
        <v>25503216.216216218</v>
      </c>
      <c r="Q273">
        <v>14760270.270270271</v>
      </c>
      <c r="R273">
        <v>14735855.855855856</v>
      </c>
      <c r="S273">
        <v>1450</v>
      </c>
      <c r="T273">
        <v>1045</v>
      </c>
    </row>
    <row r="274" spans="1:20" x14ac:dyDescent="0.35">
      <c r="A274" s="7" t="s">
        <v>371</v>
      </c>
      <c r="B274" s="12" t="s">
        <v>51</v>
      </c>
      <c r="C274">
        <v>161292469.55084652</v>
      </c>
      <c r="D274">
        <v>142101886.48706198</v>
      </c>
      <c r="E274">
        <v>1318918.9189189209</v>
      </c>
      <c r="F274">
        <v>1674324.324324324</v>
      </c>
      <c r="G274">
        <v>40</v>
      </c>
      <c r="H274">
        <v>22</v>
      </c>
      <c r="K274">
        <v>43</v>
      </c>
      <c r="L274">
        <v>26</v>
      </c>
      <c r="M274">
        <v>14055585.585585585</v>
      </c>
      <c r="N274">
        <v>14293063.063063065</v>
      </c>
      <c r="O274">
        <v>73170801.801801801</v>
      </c>
      <c r="P274">
        <v>64715405.40540541</v>
      </c>
      <c r="Q274">
        <v>13170720.72072072</v>
      </c>
      <c r="R274">
        <v>11870090.090090092</v>
      </c>
      <c r="S274">
        <v>2921</v>
      </c>
      <c r="T274">
        <v>2971</v>
      </c>
    </row>
    <row r="275" spans="1:20" x14ac:dyDescent="0.35">
      <c r="A275" s="7" t="s">
        <v>372</v>
      </c>
      <c r="B275" s="12" t="s">
        <v>122</v>
      </c>
      <c r="C275">
        <v>158585600.80667257</v>
      </c>
      <c r="D275">
        <v>149027449.60718626</v>
      </c>
      <c r="E275">
        <v>990090.09009008994</v>
      </c>
      <c r="F275">
        <v>959459.45945946395</v>
      </c>
      <c r="G275">
        <v>67</v>
      </c>
      <c r="H275">
        <v>78</v>
      </c>
      <c r="K275">
        <v>76</v>
      </c>
      <c r="L275">
        <v>92</v>
      </c>
      <c r="M275">
        <v>6373873.8738738727</v>
      </c>
      <c r="N275">
        <v>5554054.0540540563</v>
      </c>
      <c r="O275">
        <v>15807198.198198197</v>
      </c>
      <c r="P275">
        <v>16964198.198198199</v>
      </c>
      <c r="Q275">
        <v>5091261.2612612611</v>
      </c>
      <c r="R275">
        <v>4810270.2702702703</v>
      </c>
      <c r="S275">
        <v>2998</v>
      </c>
      <c r="T275">
        <v>2778</v>
      </c>
    </row>
    <row r="276" spans="1:20" x14ac:dyDescent="0.35">
      <c r="A276" s="7" t="s">
        <v>373</v>
      </c>
      <c r="B276" s="12" t="s">
        <v>374</v>
      </c>
      <c r="C276">
        <v>366144929.09955674</v>
      </c>
      <c r="D276">
        <v>370185231.15665191</v>
      </c>
      <c r="E276">
        <v>51364815.315315321</v>
      </c>
      <c r="F276">
        <v>118371684.68468469</v>
      </c>
      <c r="G276">
        <v>54</v>
      </c>
      <c r="H276">
        <v>30</v>
      </c>
      <c r="K276">
        <v>58</v>
      </c>
      <c r="L276">
        <v>39</v>
      </c>
      <c r="M276">
        <v>77148018.018018022</v>
      </c>
      <c r="N276">
        <v>112473018.01801802</v>
      </c>
      <c r="O276">
        <v>140369522.52252254</v>
      </c>
      <c r="P276">
        <v>149079968.46846849</v>
      </c>
      <c r="Q276">
        <v>65637297.297297299</v>
      </c>
      <c r="R276">
        <v>78465540.540540546</v>
      </c>
      <c r="S276">
        <v>11597</v>
      </c>
      <c r="T276">
        <v>10170</v>
      </c>
    </row>
    <row r="277" spans="1:20" x14ac:dyDescent="0.35">
      <c r="A277" s="7" t="s">
        <v>375</v>
      </c>
      <c r="B277" s="12" t="s">
        <v>67</v>
      </c>
      <c r="C277">
        <v>271051674.44057107</v>
      </c>
      <c r="D277">
        <v>284532913.45670336</v>
      </c>
      <c r="E277">
        <v>13380180.180180181</v>
      </c>
      <c r="F277">
        <v>16050900.900900904</v>
      </c>
      <c r="G277">
        <v>113</v>
      </c>
      <c r="H277">
        <v>56</v>
      </c>
      <c r="K277">
        <v>127</v>
      </c>
      <c r="L277">
        <v>70</v>
      </c>
      <c r="M277">
        <v>206600630.63063061</v>
      </c>
      <c r="N277">
        <v>375259684.68468469</v>
      </c>
      <c r="O277">
        <v>99292927.927927941</v>
      </c>
      <c r="P277">
        <v>108313007.2072072</v>
      </c>
      <c r="Q277">
        <v>188460630.63063061</v>
      </c>
      <c r="R277">
        <v>244824232.43243241</v>
      </c>
      <c r="S277">
        <v>12274</v>
      </c>
      <c r="T277">
        <v>7046</v>
      </c>
    </row>
    <row r="278" spans="1:20" x14ac:dyDescent="0.35">
      <c r="A278" s="7" t="s">
        <v>376</v>
      </c>
      <c r="B278" s="12" t="s">
        <v>355</v>
      </c>
      <c r="C278">
        <v>406117268.58308738</v>
      </c>
      <c r="D278">
        <v>409886541.00822055</v>
      </c>
      <c r="E278">
        <v>429590800</v>
      </c>
      <c r="F278">
        <v>485334361.26126122</v>
      </c>
      <c r="G278">
        <v>557</v>
      </c>
      <c r="H278">
        <v>515</v>
      </c>
      <c r="K278">
        <v>573</v>
      </c>
      <c r="L278">
        <v>540</v>
      </c>
      <c r="M278">
        <v>112677117.11711712</v>
      </c>
      <c r="N278">
        <v>161604369.36936939</v>
      </c>
      <c r="O278">
        <v>249393306.3063063</v>
      </c>
      <c r="P278">
        <v>244913549.54954955</v>
      </c>
      <c r="Q278">
        <v>106583423.42342342</v>
      </c>
      <c r="R278">
        <v>80536216.216216221</v>
      </c>
      <c r="S278">
        <v>8078</v>
      </c>
      <c r="T278">
        <v>6803</v>
      </c>
    </row>
    <row r="279" spans="1:20" x14ac:dyDescent="0.35">
      <c r="A279" s="7" t="s">
        <v>377</v>
      </c>
      <c r="B279" s="12" t="s">
        <v>67</v>
      </c>
      <c r="C279">
        <v>155410791.3839117</v>
      </c>
      <c r="D279">
        <v>160949744.10344222</v>
      </c>
      <c r="E279">
        <v>1865765.765765768</v>
      </c>
      <c r="F279">
        <v>3090990.9909909922</v>
      </c>
      <c r="G279">
        <v>64</v>
      </c>
      <c r="H279">
        <v>28</v>
      </c>
      <c r="K279">
        <v>75</v>
      </c>
      <c r="L279">
        <v>36</v>
      </c>
      <c r="M279">
        <v>26476576.576576576</v>
      </c>
      <c r="N279">
        <v>100179504.5045045</v>
      </c>
      <c r="O279">
        <v>73042319.819819823</v>
      </c>
      <c r="P279">
        <v>73722504.504504517</v>
      </c>
      <c r="Q279">
        <v>21425225.225225225</v>
      </c>
      <c r="R279">
        <v>93972747.747747749</v>
      </c>
      <c r="S279">
        <v>7694</v>
      </c>
      <c r="T279">
        <v>5151</v>
      </c>
    </row>
    <row r="280" spans="1:20" x14ac:dyDescent="0.35">
      <c r="A280" s="7" t="s">
        <v>378</v>
      </c>
      <c r="B280" s="12" t="s">
        <v>261</v>
      </c>
      <c r="C280">
        <v>129812780.75318982</v>
      </c>
      <c r="D280">
        <v>130751750.30281998</v>
      </c>
      <c r="E280">
        <v>213513.51351351399</v>
      </c>
      <c r="F280">
        <v>657657.65765765798</v>
      </c>
      <c r="G280">
        <v>10</v>
      </c>
      <c r="H280">
        <v>27</v>
      </c>
      <c r="K280">
        <v>10</v>
      </c>
      <c r="L280">
        <v>34</v>
      </c>
      <c r="M280">
        <v>7745045.0450450443</v>
      </c>
      <c r="N280">
        <v>8242342.3423423423</v>
      </c>
      <c r="O280">
        <v>21090288.288288288</v>
      </c>
      <c r="P280">
        <v>28945310.810810812</v>
      </c>
      <c r="Q280">
        <v>3807117.1171171172</v>
      </c>
      <c r="R280">
        <v>8229009.0090090092</v>
      </c>
      <c r="S280">
        <v>1711</v>
      </c>
      <c r="T280">
        <v>1615</v>
      </c>
    </row>
    <row r="281" spans="1:20" x14ac:dyDescent="0.35">
      <c r="A281" s="7" t="s">
        <v>379</v>
      </c>
      <c r="B281" s="12" t="s">
        <v>355</v>
      </c>
      <c r="C281">
        <v>338920019.61183029</v>
      </c>
      <c r="D281">
        <v>328410005.98938411</v>
      </c>
      <c r="E281">
        <v>5520720.7207207214</v>
      </c>
      <c r="F281">
        <v>8345495.4954954954</v>
      </c>
      <c r="G281">
        <v>67</v>
      </c>
      <c r="H281">
        <v>121</v>
      </c>
      <c r="K281">
        <v>72</v>
      </c>
      <c r="L281">
        <v>129</v>
      </c>
      <c r="M281">
        <v>62730630.630630635</v>
      </c>
      <c r="N281">
        <v>79574324.324324325</v>
      </c>
      <c r="O281">
        <v>186735005.4054054</v>
      </c>
      <c r="P281">
        <v>182908270.27027026</v>
      </c>
      <c r="Q281">
        <v>59686396.396396391</v>
      </c>
      <c r="R281">
        <v>73995045.045045063</v>
      </c>
      <c r="S281">
        <v>5155</v>
      </c>
      <c r="T281">
        <v>4728</v>
      </c>
    </row>
    <row r="282" spans="1:20" x14ac:dyDescent="0.35">
      <c r="A282" s="7" t="s">
        <v>380</v>
      </c>
      <c r="B282" s="12" t="s">
        <v>88</v>
      </c>
      <c r="C282">
        <v>8589938.2028495874</v>
      </c>
      <c r="D282">
        <v>8854163.8236022536</v>
      </c>
      <c r="F282">
        <v>567066.66666666698</v>
      </c>
      <c r="G282">
        <v>2</v>
      </c>
      <c r="H282">
        <v>6</v>
      </c>
      <c r="K282">
        <v>3</v>
      </c>
      <c r="L282">
        <v>6</v>
      </c>
      <c r="N282">
        <v>2702702.702702703</v>
      </c>
      <c r="O282">
        <v>518378.37837837799</v>
      </c>
      <c r="P282">
        <v>1605180.1801801811</v>
      </c>
      <c r="S282">
        <v>147</v>
      </c>
      <c r="T282">
        <v>251</v>
      </c>
    </row>
    <row r="283" spans="1:20" x14ac:dyDescent="0.35">
      <c r="A283" s="7" t="s">
        <v>381</v>
      </c>
      <c r="B283" s="12" t="s">
        <v>88</v>
      </c>
      <c r="C283">
        <v>11858015.074048236</v>
      </c>
      <c r="D283">
        <v>11073645.297566056</v>
      </c>
      <c r="G283">
        <v>25</v>
      </c>
      <c r="H283">
        <v>31</v>
      </c>
      <c r="K283">
        <v>27</v>
      </c>
      <c r="L283">
        <v>38</v>
      </c>
      <c r="O283">
        <v>1473477.4774774769</v>
      </c>
      <c r="P283">
        <v>1925270.2702702701</v>
      </c>
      <c r="S283">
        <v>390</v>
      </c>
      <c r="T283">
        <v>307</v>
      </c>
    </row>
    <row r="284" spans="1:20" x14ac:dyDescent="0.35">
      <c r="A284" s="7" t="s">
        <v>382</v>
      </c>
      <c r="B284" s="12" t="s">
        <v>81</v>
      </c>
      <c r="C284">
        <v>2267295082.6162734</v>
      </c>
      <c r="D284">
        <v>2300824921.3837423</v>
      </c>
      <c r="E284">
        <v>1384420438.7387388</v>
      </c>
      <c r="F284">
        <v>1111314348.6486487</v>
      </c>
      <c r="G284">
        <v>901</v>
      </c>
      <c r="H284">
        <v>608</v>
      </c>
      <c r="I284">
        <v>9</v>
      </c>
      <c r="K284">
        <v>1049</v>
      </c>
      <c r="L284">
        <v>920</v>
      </c>
      <c r="M284">
        <v>366186036.03603601</v>
      </c>
      <c r="N284">
        <v>604219121.62162161</v>
      </c>
      <c r="O284">
        <v>591351802.25225234</v>
      </c>
      <c r="P284">
        <v>655336541.44144142</v>
      </c>
      <c r="Q284">
        <v>327509909.9099099</v>
      </c>
      <c r="R284">
        <v>300801304.5045045</v>
      </c>
      <c r="S284">
        <v>44765</v>
      </c>
      <c r="T284">
        <v>38316</v>
      </c>
    </row>
    <row r="285" spans="1:20" x14ac:dyDescent="0.35">
      <c r="A285" s="7" t="s">
        <v>383</v>
      </c>
      <c r="B285" s="12" t="s">
        <v>81</v>
      </c>
      <c r="C285">
        <v>624159050.89442623</v>
      </c>
      <c r="D285">
        <v>603881741.51598883</v>
      </c>
      <c r="E285">
        <v>8096621.6216216246</v>
      </c>
      <c r="F285">
        <v>6327927.9279279336</v>
      </c>
      <c r="G285">
        <v>211</v>
      </c>
      <c r="H285">
        <v>210</v>
      </c>
      <c r="I285">
        <v>1</v>
      </c>
      <c r="K285">
        <v>238</v>
      </c>
      <c r="L285">
        <v>318</v>
      </c>
      <c r="M285">
        <v>128085585.58558558</v>
      </c>
      <c r="N285">
        <v>141345945.94594595</v>
      </c>
      <c r="O285">
        <v>257778339.1891892</v>
      </c>
      <c r="P285">
        <v>264160611.7117117</v>
      </c>
      <c r="Q285">
        <v>112759769.36936936</v>
      </c>
      <c r="R285">
        <v>130632115.31531531</v>
      </c>
      <c r="S285">
        <v>10794</v>
      </c>
      <c r="T285">
        <v>9604</v>
      </c>
    </row>
    <row r="286" spans="1:20" x14ac:dyDescent="0.35">
      <c r="A286" s="7" t="s">
        <v>384</v>
      </c>
      <c r="B286" s="12" t="s">
        <v>81</v>
      </c>
      <c r="C286">
        <v>787603977.66531634</v>
      </c>
      <c r="D286">
        <v>808316375.60011315</v>
      </c>
      <c r="E286">
        <v>884303.60360360495</v>
      </c>
      <c r="F286">
        <v>1965765.7657657659</v>
      </c>
      <c r="G286">
        <v>116</v>
      </c>
      <c r="H286">
        <v>61</v>
      </c>
      <c r="I286">
        <v>2</v>
      </c>
      <c r="K286">
        <v>124</v>
      </c>
      <c r="L286">
        <v>77</v>
      </c>
      <c r="M286">
        <v>58802301.801801801</v>
      </c>
      <c r="N286">
        <v>42603603.603603601</v>
      </c>
      <c r="O286">
        <v>160044900.9009009</v>
      </c>
      <c r="P286">
        <v>173127007.2072072</v>
      </c>
      <c r="Q286">
        <v>61794414.414414413</v>
      </c>
      <c r="R286">
        <v>50394594.59459459</v>
      </c>
      <c r="S286">
        <v>10140</v>
      </c>
      <c r="T286">
        <v>9851</v>
      </c>
    </row>
    <row r="287" spans="1:20" x14ac:dyDescent="0.35">
      <c r="A287" s="7" t="s">
        <v>385</v>
      </c>
      <c r="B287" s="12" t="s">
        <v>69</v>
      </c>
      <c r="C287">
        <v>340344622.56520909</v>
      </c>
      <c r="D287">
        <v>325148077.82174921</v>
      </c>
      <c r="E287">
        <v>143721318.91891891</v>
      </c>
      <c r="F287">
        <v>139634554.05405405</v>
      </c>
      <c r="G287">
        <v>71</v>
      </c>
      <c r="H287">
        <v>45</v>
      </c>
      <c r="I287">
        <v>2</v>
      </c>
      <c r="K287">
        <v>77</v>
      </c>
      <c r="L287">
        <v>54</v>
      </c>
      <c r="M287">
        <v>16663963.963963963</v>
      </c>
      <c r="N287">
        <v>44652702.702702701</v>
      </c>
      <c r="O287">
        <v>48531504.504504502</v>
      </c>
      <c r="P287">
        <v>48302481.081081077</v>
      </c>
      <c r="Q287">
        <v>12382972.972972972</v>
      </c>
      <c r="R287">
        <v>14929369.369369367</v>
      </c>
      <c r="S287">
        <v>5567</v>
      </c>
      <c r="T287">
        <v>5649</v>
      </c>
    </row>
    <row r="288" spans="1:20" x14ac:dyDescent="0.35">
      <c r="A288" s="7" t="s">
        <v>386</v>
      </c>
      <c r="B288" s="12" t="s">
        <v>168</v>
      </c>
      <c r="C288">
        <v>115582653.66206625</v>
      </c>
      <c r="D288">
        <v>135648360.03653073</v>
      </c>
      <c r="E288">
        <v>1997297.297297298</v>
      </c>
      <c r="F288">
        <v>4432432.4324324308</v>
      </c>
      <c r="G288">
        <v>42</v>
      </c>
      <c r="H288">
        <v>23</v>
      </c>
      <c r="K288">
        <v>51</v>
      </c>
      <c r="L288">
        <v>31</v>
      </c>
      <c r="M288">
        <v>27446912.612612616</v>
      </c>
      <c r="N288">
        <v>24365765.765765768</v>
      </c>
      <c r="O288">
        <v>49393351.351351351</v>
      </c>
      <c r="P288">
        <v>62177854.054054059</v>
      </c>
      <c r="Q288">
        <v>23525135.135135137</v>
      </c>
      <c r="R288">
        <v>26336486.486486487</v>
      </c>
      <c r="S288">
        <v>2809</v>
      </c>
      <c r="T288">
        <v>2442</v>
      </c>
    </row>
    <row r="289" spans="1:20" x14ac:dyDescent="0.35">
      <c r="A289" s="7" t="s">
        <v>387</v>
      </c>
      <c r="B289" s="12" t="s">
        <v>95</v>
      </c>
      <c r="C289">
        <v>670781007.58187771</v>
      </c>
      <c r="D289">
        <v>692231781.5269109</v>
      </c>
      <c r="E289">
        <v>806306.30630630697</v>
      </c>
      <c r="F289">
        <v>2621621.6216216241</v>
      </c>
      <c r="G289">
        <v>157</v>
      </c>
      <c r="H289">
        <v>144</v>
      </c>
      <c r="I289">
        <v>2</v>
      </c>
      <c r="K289">
        <v>171</v>
      </c>
      <c r="L289">
        <v>167</v>
      </c>
      <c r="M289">
        <v>23696396.396396395</v>
      </c>
      <c r="N289">
        <v>25189189.189189192</v>
      </c>
      <c r="O289">
        <v>78295583.783783793</v>
      </c>
      <c r="P289">
        <v>100456612.61261261</v>
      </c>
      <c r="Q289">
        <v>19112432.432432432</v>
      </c>
      <c r="R289">
        <v>17007117.117117114</v>
      </c>
      <c r="S289">
        <v>8447</v>
      </c>
      <c r="T289">
        <v>8751</v>
      </c>
    </row>
    <row r="290" spans="1:20" x14ac:dyDescent="0.35">
      <c r="A290" s="7" t="s">
        <v>388</v>
      </c>
      <c r="B290" s="12" t="s">
        <v>215</v>
      </c>
      <c r="C290">
        <v>122226019.46483585</v>
      </c>
      <c r="D290">
        <v>132294019.45270398</v>
      </c>
      <c r="E290">
        <v>1431531.5315315321</v>
      </c>
      <c r="F290">
        <v>1287387.387387387</v>
      </c>
      <c r="G290">
        <v>48</v>
      </c>
      <c r="H290">
        <v>7</v>
      </c>
      <c r="K290">
        <v>53</v>
      </c>
      <c r="L290">
        <v>9</v>
      </c>
      <c r="M290">
        <v>3233333.333333334</v>
      </c>
      <c r="N290">
        <v>5633783.7837837832</v>
      </c>
      <c r="O290">
        <v>58508090.090090089</v>
      </c>
      <c r="P290">
        <v>61738495.495495498</v>
      </c>
      <c r="Q290">
        <v>2842882.8828828828</v>
      </c>
      <c r="R290">
        <v>5328648.6486486476</v>
      </c>
      <c r="S290">
        <v>2519</v>
      </c>
      <c r="T290">
        <v>2371</v>
      </c>
    </row>
    <row r="291" spans="1:20" x14ac:dyDescent="0.35">
      <c r="A291" s="7" t="s">
        <v>389</v>
      </c>
      <c r="B291" s="12" t="s">
        <v>118</v>
      </c>
      <c r="C291">
        <v>49987925.59871202</v>
      </c>
      <c r="D291">
        <v>48300711.390430592</v>
      </c>
      <c r="E291">
        <v>826126.12612612499</v>
      </c>
      <c r="F291">
        <v>481981.981981983</v>
      </c>
      <c r="G291">
        <v>37</v>
      </c>
      <c r="H291">
        <v>32</v>
      </c>
      <c r="K291">
        <v>45</v>
      </c>
      <c r="L291">
        <v>38</v>
      </c>
      <c r="M291">
        <v>15465881.081081079</v>
      </c>
      <c r="N291">
        <v>8662103.6036036033</v>
      </c>
      <c r="O291">
        <v>23444018.018018015</v>
      </c>
      <c r="P291">
        <v>21533576.576576576</v>
      </c>
      <c r="Q291">
        <v>13552072.072072072</v>
      </c>
      <c r="R291">
        <v>8742792.7927927934</v>
      </c>
      <c r="S291">
        <v>2242</v>
      </c>
      <c r="T291">
        <v>1697</v>
      </c>
    </row>
    <row r="292" spans="1:20" x14ac:dyDescent="0.35">
      <c r="A292" s="7" t="s">
        <v>390</v>
      </c>
      <c r="B292" s="12" t="s">
        <v>316</v>
      </c>
      <c r="C292">
        <v>218603023.64900014</v>
      </c>
      <c r="D292">
        <v>216454842.58651161</v>
      </c>
      <c r="E292">
        <v>231976463.96396396</v>
      </c>
      <c r="F292">
        <v>265419938.73873875</v>
      </c>
      <c r="G292">
        <v>23</v>
      </c>
      <c r="H292">
        <v>13</v>
      </c>
      <c r="I292">
        <v>2</v>
      </c>
      <c r="K292">
        <v>23</v>
      </c>
      <c r="L292">
        <v>14</v>
      </c>
      <c r="M292">
        <v>9915315.3153153155</v>
      </c>
      <c r="N292">
        <v>24959909.909909911</v>
      </c>
      <c r="O292">
        <v>44695189.189189196</v>
      </c>
      <c r="P292">
        <v>44978162.162162162</v>
      </c>
      <c r="Q292">
        <v>9052072.072072072</v>
      </c>
      <c r="R292">
        <v>10831531.531531531</v>
      </c>
      <c r="S292">
        <v>2821</v>
      </c>
      <c r="T292">
        <v>2814</v>
      </c>
    </row>
    <row r="293" spans="1:20" x14ac:dyDescent="0.35">
      <c r="A293" s="7" t="s">
        <v>391</v>
      </c>
      <c r="B293" s="12" t="s">
        <v>225</v>
      </c>
      <c r="C293">
        <v>89440637.61225538</v>
      </c>
      <c r="D293">
        <v>84576582.598579139</v>
      </c>
      <c r="G293">
        <v>11</v>
      </c>
      <c r="H293">
        <v>6</v>
      </c>
      <c r="K293">
        <v>11</v>
      </c>
      <c r="L293">
        <v>6</v>
      </c>
      <c r="O293">
        <v>16885315.315315317</v>
      </c>
      <c r="P293">
        <v>16112189.189189188</v>
      </c>
      <c r="S293">
        <v>1554</v>
      </c>
      <c r="T293">
        <v>1399</v>
      </c>
    </row>
    <row r="294" spans="1:20" x14ac:dyDescent="0.35">
      <c r="A294" s="7" t="s">
        <v>6</v>
      </c>
      <c r="B294" s="12" t="s">
        <v>194</v>
      </c>
      <c r="C294">
        <v>802085273.86429095</v>
      </c>
      <c r="D294">
        <v>765087593.24241173</v>
      </c>
      <c r="E294">
        <v>10413988.288288295</v>
      </c>
      <c r="F294">
        <v>39327400.9009009</v>
      </c>
      <c r="G294">
        <v>528</v>
      </c>
      <c r="H294">
        <v>743</v>
      </c>
      <c r="K294">
        <v>975</v>
      </c>
      <c r="L294">
        <v>1317</v>
      </c>
      <c r="M294">
        <v>357263183.78378379</v>
      </c>
      <c r="N294">
        <v>541310914.41441441</v>
      </c>
      <c r="O294">
        <v>540433090.09009016</v>
      </c>
      <c r="P294">
        <v>528613387.38738739</v>
      </c>
      <c r="Q294">
        <v>321065675.67567563</v>
      </c>
      <c r="R294">
        <v>508914864.86486489</v>
      </c>
      <c r="S294">
        <v>14293</v>
      </c>
      <c r="T294">
        <v>13516</v>
      </c>
    </row>
    <row r="295" spans="1:20" x14ac:dyDescent="0.35">
      <c r="A295" s="7" t="s">
        <v>392</v>
      </c>
      <c r="B295" s="12" t="s">
        <v>122</v>
      </c>
      <c r="C295">
        <v>34551463.636189058</v>
      </c>
      <c r="D295">
        <v>33861734.873707801</v>
      </c>
      <c r="G295">
        <v>10</v>
      </c>
      <c r="H295">
        <v>24</v>
      </c>
      <c r="K295">
        <v>12</v>
      </c>
      <c r="L295">
        <v>27</v>
      </c>
      <c r="O295">
        <v>1743360.36036036</v>
      </c>
      <c r="P295">
        <v>2529603.6036036038</v>
      </c>
      <c r="S295">
        <v>612</v>
      </c>
      <c r="T295">
        <v>570</v>
      </c>
    </row>
    <row r="296" spans="1:20" x14ac:dyDescent="0.35">
      <c r="A296" s="7" t="s">
        <v>393</v>
      </c>
      <c r="B296" s="12" t="s">
        <v>135</v>
      </c>
      <c r="C296">
        <v>105453082.40297471</v>
      </c>
      <c r="D296">
        <v>112972088.64597499</v>
      </c>
      <c r="E296">
        <v>67567.567567567996</v>
      </c>
      <c r="F296">
        <v>582882.88288288296</v>
      </c>
      <c r="G296">
        <v>33</v>
      </c>
      <c r="H296">
        <v>17</v>
      </c>
      <c r="K296">
        <v>38</v>
      </c>
      <c r="L296">
        <v>23</v>
      </c>
      <c r="M296">
        <v>7067567.5675675664</v>
      </c>
      <c r="N296">
        <v>10648198.198198197</v>
      </c>
      <c r="O296">
        <v>21502421.62162162</v>
      </c>
      <c r="P296">
        <v>30449882.882882886</v>
      </c>
      <c r="Q296">
        <v>2258738.7387387399</v>
      </c>
      <c r="R296">
        <v>3663423.423423423</v>
      </c>
      <c r="S296">
        <v>3810</v>
      </c>
      <c r="T296">
        <v>3657</v>
      </c>
    </row>
    <row r="297" spans="1:20" x14ac:dyDescent="0.35">
      <c r="A297" s="7" t="s">
        <v>394</v>
      </c>
      <c r="B297" s="12" t="s">
        <v>59</v>
      </c>
      <c r="C297">
        <v>520123236.25254464</v>
      </c>
      <c r="D297">
        <v>542751638.11731422</v>
      </c>
      <c r="E297">
        <v>14211261.261261264</v>
      </c>
      <c r="F297">
        <v>8393693.6936936993</v>
      </c>
      <c r="G297">
        <v>186</v>
      </c>
      <c r="H297">
        <v>140</v>
      </c>
      <c r="K297">
        <v>212</v>
      </c>
      <c r="L297">
        <v>190</v>
      </c>
      <c r="M297">
        <v>46737837.837837838</v>
      </c>
      <c r="N297">
        <v>94366666.666666672</v>
      </c>
      <c r="O297">
        <v>83849711.711711705</v>
      </c>
      <c r="P297">
        <v>95999783.783783779</v>
      </c>
      <c r="Q297">
        <v>52149189.189189196</v>
      </c>
      <c r="R297">
        <v>92556666.666666672</v>
      </c>
      <c r="S297">
        <v>9919</v>
      </c>
      <c r="T297">
        <v>9168</v>
      </c>
    </row>
    <row r="298" spans="1:20" x14ac:dyDescent="0.35">
      <c r="A298" s="7" t="s">
        <v>395</v>
      </c>
      <c r="B298" s="12" t="s">
        <v>135</v>
      </c>
      <c r="C298">
        <v>179586356.1516107</v>
      </c>
      <c r="D298">
        <v>190033762.57374701</v>
      </c>
      <c r="E298">
        <v>1098648.6486486499</v>
      </c>
      <c r="F298">
        <v>981081.081081082</v>
      </c>
      <c r="G298">
        <v>28</v>
      </c>
      <c r="H298">
        <v>20</v>
      </c>
      <c r="K298">
        <v>32</v>
      </c>
      <c r="L298">
        <v>27</v>
      </c>
      <c r="M298">
        <v>25977477.477477476</v>
      </c>
      <c r="N298">
        <v>27189189.189189192</v>
      </c>
      <c r="O298">
        <v>32615511.711711712</v>
      </c>
      <c r="P298">
        <v>39965540.540540546</v>
      </c>
      <c r="Q298">
        <v>18029459.459459461</v>
      </c>
      <c r="R298">
        <v>15933063.063063065</v>
      </c>
      <c r="S298">
        <v>4198</v>
      </c>
      <c r="T298">
        <v>3973</v>
      </c>
    </row>
    <row r="299" spans="1:20" x14ac:dyDescent="0.35">
      <c r="A299" s="7" t="s">
        <v>396</v>
      </c>
      <c r="B299" s="12" t="s">
        <v>55</v>
      </c>
      <c r="C299">
        <v>75554821.330526412</v>
      </c>
      <c r="D299">
        <v>72716090.963076815</v>
      </c>
      <c r="E299">
        <v>56756.756756757</v>
      </c>
      <c r="F299">
        <v>1173873.8738738741</v>
      </c>
      <c r="G299">
        <v>20</v>
      </c>
      <c r="H299">
        <v>20</v>
      </c>
      <c r="K299">
        <v>21</v>
      </c>
      <c r="L299">
        <v>23</v>
      </c>
      <c r="M299">
        <v>3281981.981981982</v>
      </c>
      <c r="N299">
        <v>6285585.5855855849</v>
      </c>
      <c r="O299">
        <v>12327864.864864863</v>
      </c>
      <c r="P299">
        <v>13284009.009009007</v>
      </c>
      <c r="Q299">
        <v>3571621.6216216218</v>
      </c>
      <c r="R299">
        <v>5729009.0090090083</v>
      </c>
      <c r="S299">
        <v>1706</v>
      </c>
      <c r="T299">
        <v>1385</v>
      </c>
    </row>
    <row r="300" spans="1:20" x14ac:dyDescent="0.35">
      <c r="A300" s="7" t="s">
        <v>397</v>
      </c>
      <c r="B300" s="12" t="s">
        <v>398</v>
      </c>
      <c r="C300">
        <v>534251772.27244908</v>
      </c>
      <c r="D300">
        <v>526172132.51636839</v>
      </c>
      <c r="E300">
        <v>5658108.1081081061</v>
      </c>
      <c r="F300">
        <v>7005855.855855857</v>
      </c>
      <c r="G300">
        <v>431</v>
      </c>
      <c r="H300">
        <v>276</v>
      </c>
      <c r="I300">
        <v>1</v>
      </c>
      <c r="K300">
        <v>592</v>
      </c>
      <c r="L300">
        <v>401</v>
      </c>
      <c r="M300">
        <v>68761036.036036029</v>
      </c>
      <c r="N300">
        <v>62619594.59459459</v>
      </c>
      <c r="O300">
        <v>107689434.23423424</v>
      </c>
      <c r="P300">
        <v>113284441.44144145</v>
      </c>
      <c r="Q300">
        <v>61772207.20720721</v>
      </c>
      <c r="R300">
        <v>53196621.621621624</v>
      </c>
      <c r="S300">
        <v>12842</v>
      </c>
      <c r="T300">
        <v>9330</v>
      </c>
    </row>
    <row r="301" spans="1:20" x14ac:dyDescent="0.35">
      <c r="A301" s="7" t="s">
        <v>399</v>
      </c>
      <c r="B301" s="12" t="s">
        <v>400</v>
      </c>
      <c r="C301">
        <v>582383601.5705657</v>
      </c>
      <c r="D301">
        <v>578684654.03317797</v>
      </c>
      <c r="E301">
        <v>165755691.8918919</v>
      </c>
      <c r="F301">
        <v>146427558.55855855</v>
      </c>
      <c r="G301">
        <v>126</v>
      </c>
      <c r="H301">
        <v>114</v>
      </c>
      <c r="K301">
        <v>139</v>
      </c>
      <c r="L301">
        <v>141</v>
      </c>
      <c r="M301">
        <v>62344144.144144148</v>
      </c>
      <c r="N301">
        <v>118798619.81981982</v>
      </c>
      <c r="O301">
        <v>106565288.2882883</v>
      </c>
      <c r="P301">
        <v>116079936.93693694</v>
      </c>
      <c r="Q301">
        <v>52671981.981981985</v>
      </c>
      <c r="R301">
        <v>57070493.69369369</v>
      </c>
      <c r="S301">
        <v>12866</v>
      </c>
      <c r="T301">
        <v>12104</v>
      </c>
    </row>
    <row r="302" spans="1:20" x14ac:dyDescent="0.35">
      <c r="A302" s="7" t="s">
        <v>401</v>
      </c>
      <c r="B302" s="12" t="s">
        <v>141</v>
      </c>
      <c r="C302">
        <v>187072012.52188626</v>
      </c>
      <c r="D302">
        <v>190906054.77004042</v>
      </c>
      <c r="E302">
        <v>2670270.2702702712</v>
      </c>
      <c r="F302">
        <v>2400000.0000000009</v>
      </c>
      <c r="G302">
        <v>51</v>
      </c>
      <c r="H302">
        <v>30</v>
      </c>
      <c r="K302">
        <v>56</v>
      </c>
      <c r="L302">
        <v>37</v>
      </c>
      <c r="M302">
        <v>39286666.666666672</v>
      </c>
      <c r="N302">
        <v>39242342.342342347</v>
      </c>
      <c r="O302">
        <v>57660626.126126125</v>
      </c>
      <c r="P302">
        <v>61654441.441441439</v>
      </c>
      <c r="Q302">
        <v>36728108.108108103</v>
      </c>
      <c r="R302">
        <v>38881801.801801801</v>
      </c>
      <c r="S302">
        <v>3535</v>
      </c>
      <c r="T302">
        <v>3178</v>
      </c>
    </row>
    <row r="303" spans="1:20" x14ac:dyDescent="0.35">
      <c r="A303" s="7" t="s">
        <v>402</v>
      </c>
      <c r="B303" s="12" t="s">
        <v>122</v>
      </c>
      <c r="C303">
        <v>51492881.05518733</v>
      </c>
      <c r="D303">
        <v>44726560.154844508</v>
      </c>
      <c r="E303">
        <v>414414.41441441502</v>
      </c>
      <c r="F303">
        <v>133333.33333333401</v>
      </c>
      <c r="G303">
        <v>17</v>
      </c>
      <c r="H303">
        <v>33</v>
      </c>
      <c r="K303">
        <v>22</v>
      </c>
      <c r="L303">
        <v>41</v>
      </c>
      <c r="M303">
        <v>2216216.2162162168</v>
      </c>
      <c r="N303">
        <v>2385585.5855855858</v>
      </c>
      <c r="O303">
        <v>4874650.9009009013</v>
      </c>
      <c r="P303">
        <v>6318603.6036036042</v>
      </c>
      <c r="Q303">
        <v>1302702.702702702</v>
      </c>
      <c r="R303">
        <v>2009909.9099099101</v>
      </c>
      <c r="S303">
        <v>1159</v>
      </c>
      <c r="T303">
        <v>1032</v>
      </c>
    </row>
    <row r="304" spans="1:20" x14ac:dyDescent="0.35">
      <c r="A304" s="7" t="s">
        <v>403</v>
      </c>
      <c r="B304" s="12" t="s">
        <v>291</v>
      </c>
      <c r="C304">
        <v>81271025.760429472</v>
      </c>
      <c r="D304">
        <v>79750619.109137326</v>
      </c>
      <c r="E304">
        <v>466216.21621621703</v>
      </c>
      <c r="F304">
        <v>166666.66666666701</v>
      </c>
      <c r="G304">
        <v>18</v>
      </c>
      <c r="H304">
        <v>11</v>
      </c>
      <c r="K304">
        <v>22</v>
      </c>
      <c r="L304">
        <v>18</v>
      </c>
      <c r="M304">
        <v>3552252.2522522528</v>
      </c>
      <c r="N304">
        <v>4864864.8648648644</v>
      </c>
      <c r="O304">
        <v>10774873.873873875</v>
      </c>
      <c r="P304">
        <v>11934918.918918921</v>
      </c>
      <c r="Q304">
        <v>3927117.1171171172</v>
      </c>
      <c r="R304">
        <v>3306396.3963963971</v>
      </c>
      <c r="S304">
        <v>2061</v>
      </c>
      <c r="T304">
        <v>1674</v>
      </c>
    </row>
    <row r="305" spans="1:20" x14ac:dyDescent="0.35">
      <c r="A305" s="7" t="s">
        <v>404</v>
      </c>
      <c r="B305" s="12" t="s">
        <v>122</v>
      </c>
      <c r="C305">
        <v>89345733.886668891</v>
      </c>
      <c r="D305">
        <v>82503184.735051543</v>
      </c>
      <c r="E305">
        <v>57432.432432431997</v>
      </c>
      <c r="F305">
        <v>9009.0090090100002</v>
      </c>
      <c r="G305">
        <v>16</v>
      </c>
      <c r="H305">
        <v>12</v>
      </c>
      <c r="K305">
        <v>18</v>
      </c>
      <c r="L305">
        <v>13</v>
      </c>
      <c r="M305">
        <v>60360.360360359999</v>
      </c>
      <c r="N305">
        <v>144144.14414414499</v>
      </c>
      <c r="O305">
        <v>6626747.7477477482</v>
      </c>
      <c r="P305">
        <v>8630756.7567567565</v>
      </c>
      <c r="Q305">
        <v>13513.513513514001</v>
      </c>
      <c r="R305">
        <v>162162.16216216201</v>
      </c>
      <c r="S305">
        <v>1250</v>
      </c>
      <c r="T305">
        <v>1035</v>
      </c>
    </row>
    <row r="306" spans="1:20" x14ac:dyDescent="0.35">
      <c r="A306" s="7" t="s">
        <v>405</v>
      </c>
      <c r="B306" s="12" t="s">
        <v>369</v>
      </c>
      <c r="C306">
        <v>199350415.45687056</v>
      </c>
      <c r="D306">
        <v>200834075.89760119</v>
      </c>
      <c r="E306">
        <v>2312162.162162161</v>
      </c>
      <c r="F306">
        <v>3298198.1981982039</v>
      </c>
      <c r="G306">
        <v>130</v>
      </c>
      <c r="H306">
        <v>13</v>
      </c>
      <c r="K306">
        <v>171</v>
      </c>
      <c r="L306">
        <v>50</v>
      </c>
      <c r="M306">
        <v>51269639.639639638</v>
      </c>
      <c r="N306">
        <v>93403513.51351352</v>
      </c>
      <c r="O306">
        <v>71599166.666666657</v>
      </c>
      <c r="P306">
        <v>68640717.117117122</v>
      </c>
      <c r="Q306">
        <v>48906126.126126125</v>
      </c>
      <c r="R306">
        <v>87820180.180180177</v>
      </c>
      <c r="S306">
        <v>7559</v>
      </c>
      <c r="T306">
        <v>3961</v>
      </c>
    </row>
    <row r="307" spans="1:20" x14ac:dyDescent="0.35">
      <c r="A307" s="7" t="s">
        <v>406</v>
      </c>
      <c r="B307" s="12" t="s">
        <v>141</v>
      </c>
      <c r="C307">
        <v>97628465.844454378</v>
      </c>
      <c r="D307">
        <v>99540793.088821277</v>
      </c>
      <c r="E307">
        <v>255630.63063063001</v>
      </c>
      <c r="F307">
        <v>119819.819819821</v>
      </c>
      <c r="G307">
        <v>20</v>
      </c>
      <c r="H307">
        <v>11</v>
      </c>
      <c r="K307">
        <v>21</v>
      </c>
      <c r="L307">
        <v>14</v>
      </c>
      <c r="M307">
        <v>12647207.207207208</v>
      </c>
      <c r="N307">
        <v>22168108.108108107</v>
      </c>
      <c r="O307">
        <v>26297331.531531531</v>
      </c>
      <c r="P307">
        <v>30526018.018018015</v>
      </c>
      <c r="Q307">
        <v>13677387.387387387</v>
      </c>
      <c r="R307">
        <v>18078468.468468469</v>
      </c>
      <c r="S307">
        <v>1514</v>
      </c>
      <c r="T307">
        <v>1427</v>
      </c>
    </row>
    <row r="308" spans="1:20" x14ac:dyDescent="0.35">
      <c r="A308" s="7" t="s">
        <v>407</v>
      </c>
      <c r="B308" s="12" t="s">
        <v>55</v>
      </c>
      <c r="C308">
        <v>134859071.5842208</v>
      </c>
      <c r="D308">
        <v>136271522.68249792</v>
      </c>
      <c r="E308">
        <v>2716216.2162162182</v>
      </c>
      <c r="F308">
        <v>5625675.6756756771</v>
      </c>
      <c r="G308">
        <v>115</v>
      </c>
      <c r="H308">
        <v>77</v>
      </c>
      <c r="I308">
        <v>1</v>
      </c>
      <c r="K308">
        <v>194</v>
      </c>
      <c r="L308">
        <v>139</v>
      </c>
      <c r="M308">
        <v>11840900.900900902</v>
      </c>
      <c r="N308">
        <v>18624954.954954956</v>
      </c>
      <c r="O308">
        <v>30187558.558558561</v>
      </c>
      <c r="P308">
        <v>33255756.756756756</v>
      </c>
      <c r="Q308">
        <v>12632972.972972972</v>
      </c>
      <c r="R308">
        <v>16459909.90990991</v>
      </c>
      <c r="S308">
        <v>2287</v>
      </c>
      <c r="T308">
        <v>2219</v>
      </c>
    </row>
    <row r="309" spans="1:20" x14ac:dyDescent="0.35">
      <c r="A309" s="7" t="s">
        <v>408</v>
      </c>
      <c r="B309" s="12" t="s">
        <v>135</v>
      </c>
      <c r="C309">
        <v>60627839.769507639</v>
      </c>
      <c r="D309">
        <v>64786149.868120819</v>
      </c>
      <c r="E309">
        <v>27027.027027027001</v>
      </c>
      <c r="F309">
        <v>280180.18018018</v>
      </c>
      <c r="G309">
        <v>7</v>
      </c>
      <c r="H309">
        <v>1</v>
      </c>
      <c r="K309">
        <v>7</v>
      </c>
      <c r="L309">
        <v>3</v>
      </c>
      <c r="M309">
        <v>1873873.8738738729</v>
      </c>
      <c r="N309">
        <v>3622522.5225225231</v>
      </c>
      <c r="O309">
        <v>5231954.9549549548</v>
      </c>
      <c r="P309">
        <v>7428684.6846846854</v>
      </c>
      <c r="Q309">
        <v>1542522.5225225219</v>
      </c>
      <c r="R309">
        <v>3452252.2522522528</v>
      </c>
      <c r="S309">
        <v>979</v>
      </c>
      <c r="T309">
        <v>946</v>
      </c>
    </row>
    <row r="310" spans="1:20" x14ac:dyDescent="0.35">
      <c r="A310" s="7" t="s">
        <v>409</v>
      </c>
      <c r="B310" s="12" t="s">
        <v>291</v>
      </c>
      <c r="C310">
        <v>33880055.532592885</v>
      </c>
      <c r="D310">
        <v>34596457.05723922</v>
      </c>
      <c r="E310">
        <v>880180.18018018105</v>
      </c>
      <c r="F310">
        <v>310810.810810811</v>
      </c>
      <c r="G310">
        <v>16</v>
      </c>
      <c r="H310">
        <v>14</v>
      </c>
      <c r="K310">
        <v>17</v>
      </c>
      <c r="L310">
        <v>18</v>
      </c>
      <c r="M310">
        <v>11225225.225225225</v>
      </c>
      <c r="N310">
        <v>4432432.4324324317</v>
      </c>
      <c r="O310">
        <v>6875522.5225225231</v>
      </c>
      <c r="P310">
        <v>7500783.7837837841</v>
      </c>
      <c r="Q310">
        <v>7528288.2882882878</v>
      </c>
      <c r="R310">
        <v>2319729.7297297302</v>
      </c>
      <c r="S310">
        <v>1049</v>
      </c>
      <c r="T310">
        <v>901</v>
      </c>
    </row>
    <row r="311" spans="1:20" x14ac:dyDescent="0.35">
      <c r="A311" s="7" t="s">
        <v>410</v>
      </c>
      <c r="B311" s="12" t="s">
        <v>179</v>
      </c>
      <c r="C311">
        <v>602623729.00685239</v>
      </c>
      <c r="D311">
        <v>565707274.32450974</v>
      </c>
      <c r="E311">
        <v>4565765.7657657657</v>
      </c>
      <c r="F311">
        <v>5518018.0180180212</v>
      </c>
      <c r="G311">
        <v>214</v>
      </c>
      <c r="H311">
        <v>185</v>
      </c>
      <c r="K311">
        <v>381</v>
      </c>
      <c r="L311">
        <v>387</v>
      </c>
      <c r="M311">
        <v>65201702.702702701</v>
      </c>
      <c r="N311">
        <v>67223873.873873875</v>
      </c>
      <c r="O311">
        <v>205710716.21621624</v>
      </c>
      <c r="P311">
        <v>220202781.98198199</v>
      </c>
      <c r="Q311">
        <v>57504324.324324325</v>
      </c>
      <c r="R311">
        <v>67214954.954954952</v>
      </c>
      <c r="S311">
        <v>11322</v>
      </c>
      <c r="T311">
        <v>8655</v>
      </c>
    </row>
    <row r="312" spans="1:20" x14ac:dyDescent="0.35">
      <c r="A312" s="7" t="s">
        <v>664</v>
      </c>
      <c r="B312" s="12" t="s">
        <v>88</v>
      </c>
      <c r="S312">
        <v>3</v>
      </c>
    </row>
    <row r="313" spans="1:20" x14ac:dyDescent="0.35">
      <c r="A313" s="7" t="s">
        <v>411</v>
      </c>
      <c r="B313" s="12" t="s">
        <v>55</v>
      </c>
      <c r="C313">
        <v>1100589853.2025259</v>
      </c>
      <c r="D313">
        <v>1102855091.8598993</v>
      </c>
      <c r="E313">
        <v>237050737.83783785</v>
      </c>
      <c r="F313">
        <v>532951406.3063063</v>
      </c>
      <c r="G313">
        <v>406</v>
      </c>
      <c r="H313">
        <v>312</v>
      </c>
      <c r="I313">
        <v>1</v>
      </c>
      <c r="K313">
        <v>867</v>
      </c>
      <c r="L313">
        <v>876</v>
      </c>
      <c r="M313">
        <v>86162612.612612605</v>
      </c>
      <c r="N313">
        <v>117253963.96396397</v>
      </c>
      <c r="O313">
        <v>226954585.58558559</v>
      </c>
      <c r="P313">
        <v>240840340.54054055</v>
      </c>
      <c r="Q313">
        <v>77124414.414414421</v>
      </c>
      <c r="R313">
        <v>102565989.18918918</v>
      </c>
      <c r="S313">
        <v>21381</v>
      </c>
      <c r="T313">
        <v>20006</v>
      </c>
    </row>
    <row r="314" spans="1:20" x14ac:dyDescent="0.35">
      <c r="A314" s="7" t="s">
        <v>412</v>
      </c>
      <c r="B314" s="12" t="s">
        <v>225</v>
      </c>
      <c r="C314">
        <v>552618386.17861772</v>
      </c>
      <c r="D314">
        <v>631655378.90053141</v>
      </c>
      <c r="E314">
        <v>2089189.1891891931</v>
      </c>
      <c r="F314">
        <v>4513513.5135135166</v>
      </c>
      <c r="G314">
        <v>206</v>
      </c>
      <c r="H314">
        <v>161</v>
      </c>
      <c r="K314">
        <v>236</v>
      </c>
      <c r="L314">
        <v>193</v>
      </c>
      <c r="M314">
        <v>69242342.342342347</v>
      </c>
      <c r="N314">
        <v>110045315.31531531</v>
      </c>
      <c r="O314">
        <v>157820530.63063061</v>
      </c>
      <c r="P314">
        <v>196305268.46846849</v>
      </c>
      <c r="Q314">
        <v>75719592.792792797</v>
      </c>
      <c r="R314">
        <v>99606306.306306303</v>
      </c>
      <c r="S314">
        <v>13950</v>
      </c>
      <c r="T314">
        <v>13648</v>
      </c>
    </row>
    <row r="315" spans="1:20" x14ac:dyDescent="0.35">
      <c r="A315" s="7" t="s">
        <v>413</v>
      </c>
      <c r="B315" s="12" t="s">
        <v>414</v>
      </c>
      <c r="C315">
        <v>218973294.62352401</v>
      </c>
      <c r="D315">
        <v>214052545.65949574</v>
      </c>
      <c r="E315">
        <v>612162.16216216597</v>
      </c>
      <c r="F315">
        <v>1256756.7567567611</v>
      </c>
      <c r="G315">
        <v>22</v>
      </c>
      <c r="H315">
        <v>14</v>
      </c>
      <c r="K315">
        <v>22</v>
      </c>
      <c r="L315">
        <v>31</v>
      </c>
      <c r="M315">
        <v>3720720.7207207242</v>
      </c>
      <c r="N315">
        <v>144481081.08108109</v>
      </c>
      <c r="O315">
        <v>87590891.891891882</v>
      </c>
      <c r="P315">
        <v>95985243.243243247</v>
      </c>
      <c r="Q315">
        <v>4368558.558558559</v>
      </c>
      <c r="R315">
        <v>5669819.819819821</v>
      </c>
      <c r="S315">
        <v>4337</v>
      </c>
      <c r="T315">
        <v>4035</v>
      </c>
    </row>
    <row r="316" spans="1:20" x14ac:dyDescent="0.35">
      <c r="A316" s="7" t="s">
        <v>415</v>
      </c>
      <c r="B316" s="12" t="s">
        <v>215</v>
      </c>
      <c r="C316">
        <v>1413770865.57671</v>
      </c>
      <c r="D316">
        <v>1313573319.7192225</v>
      </c>
      <c r="E316">
        <v>614530881.08108103</v>
      </c>
      <c r="F316">
        <v>488528702.7027027</v>
      </c>
      <c r="G316">
        <v>1283</v>
      </c>
      <c r="H316">
        <v>660</v>
      </c>
      <c r="I316">
        <v>3</v>
      </c>
      <c r="K316">
        <v>1414</v>
      </c>
      <c r="L316">
        <v>936</v>
      </c>
      <c r="M316">
        <v>202835810.8108108</v>
      </c>
      <c r="N316">
        <v>203736126.12612611</v>
      </c>
      <c r="O316">
        <v>628466376.57657647</v>
      </c>
      <c r="P316">
        <v>596478009.009009</v>
      </c>
      <c r="Q316">
        <v>181259099.0990991</v>
      </c>
      <c r="R316">
        <v>190581981.98198199</v>
      </c>
      <c r="S316">
        <v>26348</v>
      </c>
      <c r="T316">
        <v>23355</v>
      </c>
    </row>
    <row r="317" spans="1:20" x14ac:dyDescent="0.35">
      <c r="A317" s="7" t="s">
        <v>416</v>
      </c>
      <c r="B317" s="12" t="s">
        <v>414</v>
      </c>
      <c r="C317">
        <v>123105069.40625481</v>
      </c>
      <c r="D317">
        <v>118520850.83866237</v>
      </c>
      <c r="E317">
        <v>790540.54054054199</v>
      </c>
      <c r="F317">
        <v>1894594.5945945969</v>
      </c>
      <c r="G317">
        <v>41</v>
      </c>
      <c r="H317">
        <v>26</v>
      </c>
      <c r="K317">
        <v>47</v>
      </c>
      <c r="L317">
        <v>27</v>
      </c>
      <c r="M317">
        <v>19224542.342342339</v>
      </c>
      <c r="N317">
        <v>22632702.702702705</v>
      </c>
      <c r="O317">
        <v>44796164.414414413</v>
      </c>
      <c r="P317">
        <v>46970585.585585587</v>
      </c>
      <c r="Q317">
        <v>17097477.477477476</v>
      </c>
      <c r="R317">
        <v>18613693.693693697</v>
      </c>
      <c r="S317">
        <v>3091</v>
      </c>
      <c r="T317">
        <v>3029</v>
      </c>
    </row>
    <row r="318" spans="1:20" x14ac:dyDescent="0.35">
      <c r="A318" s="7" t="s">
        <v>417</v>
      </c>
      <c r="B318" s="12" t="s">
        <v>237</v>
      </c>
      <c r="C318">
        <v>881476422.76979625</v>
      </c>
      <c r="D318">
        <v>870922171.81642151</v>
      </c>
      <c r="E318">
        <v>5209009.0090090064</v>
      </c>
      <c r="F318">
        <v>3834234.2342342362</v>
      </c>
      <c r="G318">
        <v>330</v>
      </c>
      <c r="H318">
        <v>216</v>
      </c>
      <c r="I318">
        <v>8</v>
      </c>
      <c r="K318">
        <v>444</v>
      </c>
      <c r="L318">
        <v>377</v>
      </c>
      <c r="M318">
        <v>176758441.44144145</v>
      </c>
      <c r="N318">
        <v>104221936.93693694</v>
      </c>
      <c r="O318">
        <v>205845630.63063061</v>
      </c>
      <c r="P318">
        <v>221595457.65765765</v>
      </c>
      <c r="Q318">
        <v>171431621.62162164</v>
      </c>
      <c r="R318">
        <v>90577162.162162155</v>
      </c>
      <c r="S318">
        <v>11858</v>
      </c>
      <c r="T318">
        <v>10992</v>
      </c>
    </row>
    <row r="319" spans="1:20" x14ac:dyDescent="0.35">
      <c r="A319" s="7" t="s">
        <v>418</v>
      </c>
      <c r="B319" s="12" t="s">
        <v>118</v>
      </c>
      <c r="C319">
        <v>852974820.20817268</v>
      </c>
      <c r="D319">
        <v>862333977.19721055</v>
      </c>
      <c r="E319">
        <v>651323797.29729724</v>
      </c>
      <c r="F319">
        <v>558902319.81981981</v>
      </c>
      <c r="G319">
        <v>723</v>
      </c>
      <c r="H319">
        <v>694</v>
      </c>
      <c r="I319">
        <v>5</v>
      </c>
      <c r="K319">
        <v>1127</v>
      </c>
      <c r="L319">
        <v>1639</v>
      </c>
      <c r="M319">
        <v>223051702.7027027</v>
      </c>
      <c r="N319">
        <v>443094642.34234232</v>
      </c>
      <c r="O319">
        <v>391196281.98198193</v>
      </c>
      <c r="P319">
        <v>433967106.3063063</v>
      </c>
      <c r="Q319">
        <v>221262792.7927928</v>
      </c>
      <c r="R319">
        <v>237349054.05405405</v>
      </c>
      <c r="S319">
        <v>20818</v>
      </c>
      <c r="T319">
        <v>17752</v>
      </c>
    </row>
    <row r="320" spans="1:20" x14ac:dyDescent="0.35">
      <c r="A320" s="7" t="s">
        <v>419</v>
      </c>
      <c r="B320" s="12" t="s">
        <v>148</v>
      </c>
      <c r="C320">
        <v>20973035.117160011</v>
      </c>
      <c r="D320">
        <v>21977156.663194358</v>
      </c>
      <c r="E320">
        <v>445620013.51351357</v>
      </c>
      <c r="F320">
        <v>430461460.36036038</v>
      </c>
      <c r="G320">
        <v>3</v>
      </c>
      <c r="H320">
        <v>5</v>
      </c>
      <c r="K320">
        <v>3</v>
      </c>
      <c r="L320">
        <v>5</v>
      </c>
      <c r="M320">
        <v>27027027.02702703</v>
      </c>
      <c r="N320">
        <v>16666666.666666668</v>
      </c>
      <c r="O320">
        <v>7030801.8018018007</v>
      </c>
      <c r="P320">
        <v>7151477.4774774769</v>
      </c>
      <c r="S320">
        <v>599</v>
      </c>
      <c r="T320">
        <v>520</v>
      </c>
    </row>
    <row r="321" spans="1:20" x14ac:dyDescent="0.35">
      <c r="A321" s="7" t="s">
        <v>420</v>
      </c>
      <c r="B321" s="12" t="s">
        <v>305</v>
      </c>
      <c r="C321">
        <v>187754123.35125703</v>
      </c>
      <c r="D321">
        <v>172367735.8634263</v>
      </c>
      <c r="E321">
        <v>4789864.8648648644</v>
      </c>
      <c r="F321">
        <v>3356756.7567567611</v>
      </c>
      <c r="G321">
        <v>136</v>
      </c>
      <c r="H321">
        <v>79</v>
      </c>
      <c r="K321">
        <v>152</v>
      </c>
      <c r="L321">
        <v>102</v>
      </c>
      <c r="M321">
        <v>33911711.711711712</v>
      </c>
      <c r="N321">
        <v>40299099.099099107</v>
      </c>
      <c r="O321">
        <v>42107525.225225225</v>
      </c>
      <c r="P321">
        <v>39191963.963963963</v>
      </c>
      <c r="Q321">
        <v>33269729.729729731</v>
      </c>
      <c r="R321">
        <v>38068918.918918923</v>
      </c>
      <c r="S321">
        <v>4850</v>
      </c>
      <c r="T321">
        <v>2286</v>
      </c>
    </row>
    <row r="322" spans="1:20" x14ac:dyDescent="0.35">
      <c r="A322" s="7" t="s">
        <v>421</v>
      </c>
      <c r="B322" s="12" t="s">
        <v>305</v>
      </c>
      <c r="C322">
        <v>210064630.26576573</v>
      </c>
      <c r="D322">
        <v>207036400.64962271</v>
      </c>
      <c r="E322">
        <v>137686951.35135135</v>
      </c>
      <c r="F322">
        <v>125393857.65765768</v>
      </c>
      <c r="G322">
        <v>651</v>
      </c>
      <c r="H322">
        <v>324</v>
      </c>
      <c r="K322">
        <v>930</v>
      </c>
      <c r="L322">
        <v>679</v>
      </c>
      <c r="M322">
        <v>39513513.513513513</v>
      </c>
      <c r="N322">
        <v>65616486.486486487</v>
      </c>
      <c r="O322">
        <v>63345041.441441439</v>
      </c>
      <c r="P322">
        <v>66697967.567567565</v>
      </c>
      <c r="Q322">
        <v>34458151.351351358</v>
      </c>
      <c r="R322">
        <v>40165989.189189181</v>
      </c>
      <c r="S322">
        <v>9415</v>
      </c>
      <c r="T322">
        <v>3094</v>
      </c>
    </row>
    <row r="323" spans="1:20" x14ac:dyDescent="0.35">
      <c r="A323" s="7" t="s">
        <v>422</v>
      </c>
      <c r="B323" s="12" t="s">
        <v>122</v>
      </c>
      <c r="C323">
        <v>9868010.4079518802</v>
      </c>
      <c r="D323">
        <v>9792456.9658458121</v>
      </c>
      <c r="E323">
        <v>5529054.0540540544</v>
      </c>
      <c r="F323">
        <v>26855855.855855856</v>
      </c>
      <c r="G323">
        <v>5</v>
      </c>
      <c r="H323">
        <v>5</v>
      </c>
      <c r="K323">
        <v>5</v>
      </c>
      <c r="L323">
        <v>6</v>
      </c>
      <c r="M323">
        <v>127927.927927928</v>
      </c>
      <c r="N323">
        <v>234234.234234234</v>
      </c>
      <c r="O323">
        <v>1195036.036036036</v>
      </c>
      <c r="P323">
        <v>955225.22522522497</v>
      </c>
      <c r="Q323">
        <v>169369.369369369</v>
      </c>
      <c r="R323">
        <v>262612.61261261202</v>
      </c>
      <c r="S323">
        <v>502</v>
      </c>
      <c r="T323">
        <v>323</v>
      </c>
    </row>
    <row r="324" spans="1:20" x14ac:dyDescent="0.35">
      <c r="A324" s="7" t="s">
        <v>423</v>
      </c>
      <c r="B324" s="12" t="s">
        <v>61</v>
      </c>
      <c r="C324">
        <v>110682415.76521526</v>
      </c>
      <c r="D324">
        <v>106298267.87381507</v>
      </c>
      <c r="E324">
        <v>1228828.82882883</v>
      </c>
      <c r="F324">
        <v>1331531.531531533</v>
      </c>
      <c r="G324">
        <v>48</v>
      </c>
      <c r="H324">
        <v>33</v>
      </c>
      <c r="I324">
        <v>5</v>
      </c>
      <c r="K324">
        <v>54</v>
      </c>
      <c r="L324">
        <v>66</v>
      </c>
      <c r="M324">
        <v>24663063.063063063</v>
      </c>
      <c r="N324">
        <v>22107207.207207207</v>
      </c>
      <c r="O324">
        <v>38960315.315315314</v>
      </c>
      <c r="P324">
        <v>39922243.243243247</v>
      </c>
      <c r="Q324">
        <v>24642342.342342343</v>
      </c>
      <c r="R324">
        <v>24345855.855855856</v>
      </c>
      <c r="S324">
        <v>2605</v>
      </c>
      <c r="T324">
        <v>2029</v>
      </c>
    </row>
    <row r="325" spans="1:20" x14ac:dyDescent="0.35">
      <c r="A325" s="7" t="s">
        <v>424</v>
      </c>
      <c r="B325" s="12" t="s">
        <v>182</v>
      </c>
      <c r="C325">
        <v>1080306448.4235194</v>
      </c>
      <c r="D325">
        <v>1121204766.610553</v>
      </c>
      <c r="E325">
        <v>13746396.396396397</v>
      </c>
      <c r="F325">
        <v>14383783.783783795</v>
      </c>
      <c r="G325">
        <v>445</v>
      </c>
      <c r="H325">
        <v>389</v>
      </c>
      <c r="I325">
        <v>7</v>
      </c>
      <c r="K325">
        <v>626</v>
      </c>
      <c r="L325">
        <v>509</v>
      </c>
      <c r="M325">
        <v>193534234.23423424</v>
      </c>
      <c r="N325">
        <v>250242342.34234235</v>
      </c>
      <c r="O325">
        <v>311269059.45945948</v>
      </c>
      <c r="P325">
        <v>336452846.84684682</v>
      </c>
      <c r="Q325">
        <v>185700180.18018019</v>
      </c>
      <c r="R325">
        <v>246864549.54954958</v>
      </c>
      <c r="S325">
        <v>31674</v>
      </c>
      <c r="T325">
        <v>23733</v>
      </c>
    </row>
    <row r="326" spans="1:20" x14ac:dyDescent="0.35">
      <c r="A326" s="7" t="s">
        <v>425</v>
      </c>
      <c r="B326" s="12" t="s">
        <v>77</v>
      </c>
      <c r="C326">
        <v>36441313.405129373</v>
      </c>
      <c r="D326">
        <v>31510130.281496014</v>
      </c>
      <c r="E326">
        <v>109482342.34234233</v>
      </c>
      <c r="F326">
        <v>88963963.963963971</v>
      </c>
      <c r="G326">
        <v>8</v>
      </c>
      <c r="H326">
        <v>4</v>
      </c>
      <c r="K326">
        <v>9</v>
      </c>
      <c r="L326">
        <v>5</v>
      </c>
      <c r="M326">
        <v>2639639.6396396388</v>
      </c>
      <c r="N326">
        <v>5236936.9369369373</v>
      </c>
      <c r="O326">
        <v>3292270.2702702698</v>
      </c>
      <c r="P326">
        <v>4784540.5405405406</v>
      </c>
      <c r="Q326">
        <v>2684684.684684685</v>
      </c>
      <c r="R326">
        <v>2732972.9729729728</v>
      </c>
      <c r="S326">
        <v>1047</v>
      </c>
      <c r="T326">
        <v>865</v>
      </c>
    </row>
    <row r="327" spans="1:20" x14ac:dyDescent="0.35">
      <c r="A327" s="7" t="s">
        <v>426</v>
      </c>
      <c r="B327" s="12" t="s">
        <v>77</v>
      </c>
      <c r="C327">
        <v>125293450.53399152</v>
      </c>
      <c r="D327">
        <v>126645616.75167571</v>
      </c>
      <c r="E327">
        <v>199099.09909910001</v>
      </c>
      <c r="F327">
        <v>1034234.234234234</v>
      </c>
      <c r="G327">
        <v>31</v>
      </c>
      <c r="H327">
        <v>27</v>
      </c>
      <c r="K327">
        <v>33</v>
      </c>
      <c r="L327">
        <v>30</v>
      </c>
      <c r="M327">
        <v>14122612.612612613</v>
      </c>
      <c r="N327">
        <v>25267747.747747745</v>
      </c>
      <c r="O327">
        <v>27951864.864864863</v>
      </c>
      <c r="P327">
        <v>29461666.666666668</v>
      </c>
      <c r="Q327">
        <v>11844954.954954952</v>
      </c>
      <c r="R327">
        <v>19933873.873873871</v>
      </c>
      <c r="S327">
        <v>1557</v>
      </c>
      <c r="T327">
        <v>1478</v>
      </c>
    </row>
    <row r="328" spans="1:20" x14ac:dyDescent="0.35">
      <c r="A328" s="7" t="s">
        <v>427</v>
      </c>
      <c r="B328" s="12" t="s">
        <v>331</v>
      </c>
      <c r="C328">
        <v>654275900.35202897</v>
      </c>
      <c r="D328">
        <v>595501153.72021353</v>
      </c>
      <c r="E328">
        <v>6393468.4684684677</v>
      </c>
      <c r="F328">
        <v>819438018.01801801</v>
      </c>
      <c r="G328">
        <v>259</v>
      </c>
      <c r="H328">
        <v>238</v>
      </c>
      <c r="K328">
        <v>287</v>
      </c>
      <c r="L328">
        <v>306</v>
      </c>
      <c r="M328">
        <v>43754279.279279277</v>
      </c>
      <c r="N328">
        <v>120173468.46846846</v>
      </c>
      <c r="O328">
        <v>166302407.65765765</v>
      </c>
      <c r="P328">
        <v>114424917.11711712</v>
      </c>
      <c r="Q328">
        <v>37623513.513513513</v>
      </c>
      <c r="R328">
        <v>116979819.81981982</v>
      </c>
      <c r="S328">
        <v>16313</v>
      </c>
      <c r="T328">
        <v>11716</v>
      </c>
    </row>
    <row r="329" spans="1:20" x14ac:dyDescent="0.35">
      <c r="A329" s="7" t="s">
        <v>428</v>
      </c>
      <c r="B329" s="12" t="s">
        <v>242</v>
      </c>
      <c r="C329">
        <v>166565925.67988059</v>
      </c>
      <c r="D329">
        <v>158452565.78352639</v>
      </c>
      <c r="E329">
        <v>1190990.9909909919</v>
      </c>
      <c r="F329">
        <v>2544144.1441441458</v>
      </c>
      <c r="G329">
        <v>61</v>
      </c>
      <c r="H329">
        <v>55</v>
      </c>
      <c r="K329">
        <v>70</v>
      </c>
      <c r="L329">
        <v>63</v>
      </c>
      <c r="M329">
        <v>44064324.324324325</v>
      </c>
      <c r="N329">
        <v>27201801.801801801</v>
      </c>
      <c r="O329">
        <v>63796612.612612613</v>
      </c>
      <c r="P329">
        <v>64705558.558558561</v>
      </c>
      <c r="Q329">
        <v>42705135.135135137</v>
      </c>
      <c r="R329">
        <v>28085765.765765768</v>
      </c>
      <c r="S329">
        <v>5690</v>
      </c>
      <c r="T329">
        <v>5752</v>
      </c>
    </row>
    <row r="330" spans="1:20" x14ac:dyDescent="0.35">
      <c r="A330" s="7" t="s">
        <v>429</v>
      </c>
      <c r="B330" s="12" t="s">
        <v>284</v>
      </c>
      <c r="C330">
        <v>70608670.1699588</v>
      </c>
      <c r="D330">
        <v>87478248.110665753</v>
      </c>
      <c r="E330">
        <v>370569530.63063067</v>
      </c>
      <c r="F330">
        <v>212513444.14414415</v>
      </c>
      <c r="G330">
        <v>20</v>
      </c>
      <c r="H330">
        <v>33</v>
      </c>
      <c r="K330">
        <v>52</v>
      </c>
      <c r="L330">
        <v>101</v>
      </c>
      <c r="M330">
        <v>54899616.216216214</v>
      </c>
      <c r="N330">
        <v>42754679.279279277</v>
      </c>
      <c r="O330">
        <v>13581288.288288288</v>
      </c>
      <c r="P330">
        <v>20798873.873873871</v>
      </c>
      <c r="Q330">
        <v>28699009.009009007</v>
      </c>
      <c r="R330">
        <v>18822072.072072074</v>
      </c>
      <c r="S330">
        <v>1182</v>
      </c>
      <c r="T330">
        <v>1415</v>
      </c>
    </row>
    <row r="331" spans="1:20" x14ac:dyDescent="0.35">
      <c r="A331" s="7" t="s">
        <v>430</v>
      </c>
      <c r="B331" s="12" t="s">
        <v>284</v>
      </c>
      <c r="C331">
        <v>22092414.125125144</v>
      </c>
      <c r="D331">
        <v>21370426.761758614</v>
      </c>
      <c r="E331">
        <v>255855.85585585501</v>
      </c>
      <c r="F331">
        <v>531531.53153153195</v>
      </c>
      <c r="G331">
        <v>1</v>
      </c>
      <c r="H331">
        <v>1</v>
      </c>
      <c r="K331">
        <v>1</v>
      </c>
      <c r="L331">
        <v>2</v>
      </c>
      <c r="M331">
        <v>3138738.7387387389</v>
      </c>
      <c r="N331">
        <v>5198198.1981981983</v>
      </c>
      <c r="O331">
        <v>1610621.621621622</v>
      </c>
      <c r="P331">
        <v>2188036.036036036</v>
      </c>
      <c r="Q331">
        <v>3806576.576576577</v>
      </c>
      <c r="R331">
        <v>4732612.6126126116</v>
      </c>
      <c r="S331">
        <v>672</v>
      </c>
      <c r="T331">
        <v>473</v>
      </c>
    </row>
    <row r="332" spans="1:20" x14ac:dyDescent="0.35">
      <c r="A332" s="7" t="s">
        <v>431</v>
      </c>
      <c r="B332" s="12" t="s">
        <v>284</v>
      </c>
      <c r="C332">
        <v>47400237.210430287</v>
      </c>
      <c r="D332">
        <v>50273720.556958281</v>
      </c>
      <c r="E332">
        <v>265765.76576576597</v>
      </c>
      <c r="F332">
        <v>608108.10810810898</v>
      </c>
      <c r="G332">
        <v>5</v>
      </c>
      <c r="H332">
        <v>3</v>
      </c>
      <c r="K332">
        <v>5</v>
      </c>
      <c r="L332">
        <v>4</v>
      </c>
      <c r="M332">
        <v>355855.85585585597</v>
      </c>
      <c r="N332">
        <v>608108.10810810898</v>
      </c>
      <c r="O332">
        <v>3990225.2252252251</v>
      </c>
      <c r="P332">
        <v>4817243.2432432426</v>
      </c>
      <c r="Q332">
        <v>173423.423423423</v>
      </c>
      <c r="R332">
        <v>340720.720720721</v>
      </c>
      <c r="S332">
        <v>862</v>
      </c>
      <c r="T332">
        <v>804</v>
      </c>
    </row>
    <row r="333" spans="1:20" x14ac:dyDescent="0.35">
      <c r="A333" s="7" t="s">
        <v>432</v>
      </c>
      <c r="B333" s="12" t="s">
        <v>79</v>
      </c>
      <c r="C333">
        <v>283412446.02799076</v>
      </c>
      <c r="D333">
        <v>284079799.24840802</v>
      </c>
      <c r="E333">
        <v>4700900.900900905</v>
      </c>
      <c r="F333">
        <v>7094144.1441441467</v>
      </c>
      <c r="G333">
        <v>300</v>
      </c>
      <c r="H333">
        <v>100</v>
      </c>
      <c r="K333">
        <v>382</v>
      </c>
      <c r="L333">
        <v>234</v>
      </c>
      <c r="M333">
        <v>30097297.297297299</v>
      </c>
      <c r="N333">
        <v>41940090.090090096</v>
      </c>
      <c r="O333">
        <v>125234225.22522523</v>
      </c>
      <c r="P333">
        <v>123879126.12612613</v>
      </c>
      <c r="Q333">
        <v>28150720.72072072</v>
      </c>
      <c r="R333">
        <v>36120270.270270273</v>
      </c>
      <c r="S333">
        <v>6663</v>
      </c>
      <c r="T333">
        <v>6568</v>
      </c>
    </row>
    <row r="334" spans="1:20" x14ac:dyDescent="0.35">
      <c r="A334" s="7" t="s">
        <v>433</v>
      </c>
      <c r="B334" s="12" t="s">
        <v>106</v>
      </c>
      <c r="C334">
        <v>251898024.18618837</v>
      </c>
      <c r="D334">
        <v>233339031.80232787</v>
      </c>
      <c r="E334">
        <v>1172972.9729729739</v>
      </c>
      <c r="F334">
        <v>1298198.1981981981</v>
      </c>
      <c r="G334">
        <v>31</v>
      </c>
      <c r="H334">
        <v>46</v>
      </c>
      <c r="I334">
        <v>2</v>
      </c>
      <c r="K334">
        <v>36</v>
      </c>
      <c r="L334">
        <v>51</v>
      </c>
      <c r="M334">
        <v>31087522.52252252</v>
      </c>
      <c r="N334">
        <v>41553603.603603601</v>
      </c>
      <c r="O334">
        <v>59993531.531531528</v>
      </c>
      <c r="P334">
        <v>64138198.198198199</v>
      </c>
      <c r="Q334">
        <v>32282387.387387387</v>
      </c>
      <c r="R334">
        <v>41112792.79279279</v>
      </c>
      <c r="S334">
        <v>3333</v>
      </c>
      <c r="T334">
        <v>3653</v>
      </c>
    </row>
    <row r="335" spans="1:20" x14ac:dyDescent="0.35">
      <c r="A335" s="7" t="s">
        <v>434</v>
      </c>
      <c r="B335" s="12" t="s">
        <v>73</v>
      </c>
      <c r="C335">
        <v>1345443564.7819684</v>
      </c>
      <c r="D335">
        <v>1330308821.6335351</v>
      </c>
      <c r="E335">
        <v>8916666.6666666791</v>
      </c>
      <c r="F335">
        <v>7483783.7837837953</v>
      </c>
      <c r="G335">
        <v>402</v>
      </c>
      <c r="H335">
        <v>313</v>
      </c>
      <c r="I335">
        <v>3</v>
      </c>
      <c r="K335">
        <v>515</v>
      </c>
      <c r="L335">
        <v>398</v>
      </c>
      <c r="M335">
        <v>199619369.36936939</v>
      </c>
      <c r="N335">
        <v>220023873.87387386</v>
      </c>
      <c r="O335">
        <v>281762565.31531531</v>
      </c>
      <c r="P335">
        <v>306739747.74774778</v>
      </c>
      <c r="Q335">
        <v>150200720.72072074</v>
      </c>
      <c r="R335">
        <v>164109549.54954955</v>
      </c>
      <c r="S335">
        <v>19078</v>
      </c>
      <c r="T335">
        <v>18155</v>
      </c>
    </row>
    <row r="336" spans="1:20" x14ac:dyDescent="0.35">
      <c r="A336" s="7" t="s">
        <v>435</v>
      </c>
      <c r="B336" s="12" t="s">
        <v>73</v>
      </c>
      <c r="C336">
        <v>918760128.15689099</v>
      </c>
      <c r="D336">
        <v>940597387.17844462</v>
      </c>
      <c r="E336">
        <v>5782207.2072072141</v>
      </c>
      <c r="F336">
        <v>7147747.7477477612</v>
      </c>
      <c r="G336">
        <v>224</v>
      </c>
      <c r="H336">
        <v>155</v>
      </c>
      <c r="I336">
        <v>1</v>
      </c>
      <c r="K336">
        <v>255</v>
      </c>
      <c r="L336">
        <v>202</v>
      </c>
      <c r="M336">
        <v>107645045.04504503</v>
      </c>
      <c r="N336">
        <v>118946846.84684685</v>
      </c>
      <c r="O336">
        <v>172715270.27027026</v>
      </c>
      <c r="P336">
        <v>199107585.58558559</v>
      </c>
      <c r="Q336">
        <v>76339729.729729727</v>
      </c>
      <c r="R336">
        <v>82301891.891891882</v>
      </c>
      <c r="S336">
        <v>14453</v>
      </c>
      <c r="T336">
        <v>14875</v>
      </c>
    </row>
    <row r="337" spans="1:20" x14ac:dyDescent="0.35">
      <c r="A337" s="7" t="s">
        <v>436</v>
      </c>
      <c r="B337" s="12" t="s">
        <v>95</v>
      </c>
      <c r="C337">
        <v>64659758.051039256</v>
      </c>
      <c r="D337">
        <v>66542237.409908578</v>
      </c>
      <c r="E337">
        <v>13513.513513514001</v>
      </c>
      <c r="G337">
        <v>5</v>
      </c>
      <c r="H337">
        <v>7</v>
      </c>
      <c r="K337">
        <v>5</v>
      </c>
      <c r="L337">
        <v>9</v>
      </c>
      <c r="M337">
        <v>554054.05405405397</v>
      </c>
      <c r="N337">
        <v>630630.63063062995</v>
      </c>
      <c r="O337">
        <v>15879477.477477476</v>
      </c>
      <c r="P337">
        <v>18106765.765765768</v>
      </c>
      <c r="Q337">
        <v>484774.77477477503</v>
      </c>
      <c r="R337">
        <v>308558.55855855899</v>
      </c>
      <c r="S337">
        <v>925</v>
      </c>
      <c r="T337">
        <v>911</v>
      </c>
    </row>
    <row r="338" spans="1:20" x14ac:dyDescent="0.35">
      <c r="A338" s="7" t="s">
        <v>437</v>
      </c>
      <c r="B338" s="12" t="s">
        <v>90</v>
      </c>
      <c r="C338">
        <v>340943547.73989201</v>
      </c>
      <c r="D338">
        <v>355005566.00186509</v>
      </c>
      <c r="E338">
        <v>5309909.9099099161</v>
      </c>
      <c r="F338">
        <v>8113513.5135135166</v>
      </c>
      <c r="G338">
        <v>97</v>
      </c>
      <c r="H338">
        <v>60</v>
      </c>
      <c r="I338">
        <v>1</v>
      </c>
      <c r="K338">
        <v>106</v>
      </c>
      <c r="L338">
        <v>74</v>
      </c>
      <c r="M338">
        <v>75949549.54954955</v>
      </c>
      <c r="N338">
        <v>54344414.414414413</v>
      </c>
      <c r="O338">
        <v>154359950.45045045</v>
      </c>
      <c r="P338">
        <v>163550117.11711711</v>
      </c>
      <c r="Q338">
        <v>74495945.945945948</v>
      </c>
      <c r="R338">
        <v>56740000</v>
      </c>
      <c r="S338">
        <v>5984</v>
      </c>
      <c r="T338">
        <v>4616</v>
      </c>
    </row>
    <row r="339" spans="1:20" x14ac:dyDescent="0.35">
      <c r="A339" s="7" t="s">
        <v>438</v>
      </c>
      <c r="B339" s="12" t="s">
        <v>71</v>
      </c>
      <c r="C339">
        <v>10773055.404006392</v>
      </c>
      <c r="D339">
        <v>10139965.590262596</v>
      </c>
      <c r="G339">
        <v>8</v>
      </c>
      <c r="H339">
        <v>5</v>
      </c>
      <c r="K339">
        <v>9</v>
      </c>
      <c r="L339">
        <v>5</v>
      </c>
      <c r="O339">
        <v>7533369.369369369</v>
      </c>
      <c r="P339">
        <v>6775855.8558558561</v>
      </c>
      <c r="S339">
        <v>2092</v>
      </c>
      <c r="T339">
        <v>2406</v>
      </c>
    </row>
    <row r="340" spans="1:20" x14ac:dyDescent="0.35">
      <c r="A340" s="7" t="s">
        <v>439</v>
      </c>
      <c r="B340" s="12" t="s">
        <v>196</v>
      </c>
      <c r="C340">
        <v>1617144369.0032184</v>
      </c>
      <c r="D340">
        <v>1604757985.8012576</v>
      </c>
      <c r="E340">
        <v>256104528.82882884</v>
      </c>
      <c r="F340">
        <v>351654896.3963964</v>
      </c>
      <c r="G340">
        <v>438</v>
      </c>
      <c r="H340">
        <v>248</v>
      </c>
      <c r="K340">
        <v>549</v>
      </c>
      <c r="L340">
        <v>390</v>
      </c>
      <c r="M340">
        <v>185551891.8918919</v>
      </c>
      <c r="N340">
        <v>149910810.8108108</v>
      </c>
      <c r="O340">
        <v>273698603.6036036</v>
      </c>
      <c r="P340">
        <v>285005097.2972973</v>
      </c>
      <c r="Q340">
        <v>157188288.2882883</v>
      </c>
      <c r="R340">
        <v>127090360.36036037</v>
      </c>
      <c r="S340">
        <v>21358</v>
      </c>
      <c r="T340">
        <v>20788</v>
      </c>
    </row>
    <row r="341" spans="1:20" x14ac:dyDescent="0.35">
      <c r="A341" s="7" t="s">
        <v>440</v>
      </c>
      <c r="B341" s="12" t="s">
        <v>179</v>
      </c>
      <c r="C341">
        <v>805741029.10654581</v>
      </c>
      <c r="D341">
        <v>803165721.09557462</v>
      </c>
      <c r="E341">
        <v>5954954.9549549548</v>
      </c>
      <c r="F341">
        <v>10678378.378378384</v>
      </c>
      <c r="G341">
        <v>243</v>
      </c>
      <c r="H341">
        <v>110</v>
      </c>
      <c r="I341">
        <v>1</v>
      </c>
      <c r="K341">
        <v>483</v>
      </c>
      <c r="L341">
        <v>162</v>
      </c>
      <c r="M341">
        <v>140597242.34234235</v>
      </c>
      <c r="N341">
        <v>149909009.009009</v>
      </c>
      <c r="O341">
        <v>327642698.1981982</v>
      </c>
      <c r="P341">
        <v>340075693.6936937</v>
      </c>
      <c r="Q341">
        <v>132085630.63063064</v>
      </c>
      <c r="R341">
        <v>135046846.84684685</v>
      </c>
      <c r="S341">
        <v>16106</v>
      </c>
      <c r="T341">
        <v>15030</v>
      </c>
    </row>
    <row r="342" spans="1:20" x14ac:dyDescent="0.35">
      <c r="A342" s="7" t="s">
        <v>441</v>
      </c>
      <c r="B342" s="12" t="s">
        <v>79</v>
      </c>
      <c r="C342">
        <v>345455688.01758838</v>
      </c>
      <c r="D342">
        <v>346716730.50035554</v>
      </c>
      <c r="E342">
        <v>4504279.2792792823</v>
      </c>
      <c r="F342">
        <v>7150450.450450453</v>
      </c>
      <c r="G342">
        <v>83</v>
      </c>
      <c r="H342">
        <v>140</v>
      </c>
      <c r="I342">
        <v>5</v>
      </c>
      <c r="K342">
        <v>188</v>
      </c>
      <c r="L342">
        <v>221</v>
      </c>
      <c r="M342">
        <v>37482882.882882878</v>
      </c>
      <c r="N342">
        <v>49692792.79279279</v>
      </c>
      <c r="O342">
        <v>71366252.252252251</v>
      </c>
      <c r="P342">
        <v>77832504.504504517</v>
      </c>
      <c r="Q342">
        <v>35563783.783783786</v>
      </c>
      <c r="R342">
        <v>44761711.711711712</v>
      </c>
      <c r="S342">
        <v>5276</v>
      </c>
      <c r="T342">
        <v>5109</v>
      </c>
    </row>
    <row r="343" spans="1:20" x14ac:dyDescent="0.35">
      <c r="A343" s="7" t="s">
        <v>442</v>
      </c>
      <c r="B343" s="12" t="s">
        <v>79</v>
      </c>
      <c r="C343">
        <v>146852188.9941577</v>
      </c>
      <c r="D343">
        <v>153790053.71780682</v>
      </c>
      <c r="E343">
        <v>2687387.3873873889</v>
      </c>
      <c r="F343">
        <v>2234234.2342342348</v>
      </c>
      <c r="G343">
        <v>48</v>
      </c>
      <c r="H343">
        <v>29</v>
      </c>
      <c r="I343">
        <v>2</v>
      </c>
      <c r="K343">
        <v>54</v>
      </c>
      <c r="L343">
        <v>34</v>
      </c>
      <c r="M343">
        <v>71752882.882882878</v>
      </c>
      <c r="N343">
        <v>27216036.036036037</v>
      </c>
      <c r="O343">
        <v>32395558.558558561</v>
      </c>
      <c r="P343">
        <v>32424405.405405402</v>
      </c>
      <c r="Q343">
        <v>70122612.61261262</v>
      </c>
      <c r="R343">
        <v>25037657.657657657</v>
      </c>
      <c r="S343">
        <v>2637</v>
      </c>
      <c r="T343">
        <v>2307</v>
      </c>
    </row>
    <row r="344" spans="1:20" x14ac:dyDescent="0.35">
      <c r="A344" s="7" t="s">
        <v>443</v>
      </c>
      <c r="B344" s="12" t="s">
        <v>124</v>
      </c>
      <c r="C344">
        <v>1954051.1528875229</v>
      </c>
      <c r="D344">
        <v>1676829.7545468251</v>
      </c>
      <c r="K344">
        <v>1</v>
      </c>
      <c r="O344">
        <v>740450.45045044995</v>
      </c>
      <c r="P344">
        <v>734945.94594594603</v>
      </c>
      <c r="S344">
        <v>308</v>
      </c>
      <c r="T344">
        <v>350</v>
      </c>
    </row>
    <row r="345" spans="1:20" x14ac:dyDescent="0.35">
      <c r="A345" s="7" t="s">
        <v>444</v>
      </c>
      <c r="B345" s="12" t="s">
        <v>141</v>
      </c>
      <c r="C345">
        <v>351067705.11314982</v>
      </c>
      <c r="D345">
        <v>355312060.01736051</v>
      </c>
      <c r="E345">
        <v>3903153.153153155</v>
      </c>
      <c r="F345">
        <v>5361261.2612612657</v>
      </c>
      <c r="G345">
        <v>59</v>
      </c>
      <c r="H345">
        <v>81</v>
      </c>
      <c r="I345">
        <v>10</v>
      </c>
      <c r="K345">
        <v>108</v>
      </c>
      <c r="L345">
        <v>117</v>
      </c>
      <c r="M345">
        <v>43272432.432432435</v>
      </c>
      <c r="N345">
        <v>47320810.810810804</v>
      </c>
      <c r="O345">
        <v>94309378.378378391</v>
      </c>
      <c r="P345">
        <v>100295198.1981982</v>
      </c>
      <c r="Q345">
        <v>38117747.747747749</v>
      </c>
      <c r="R345">
        <v>40447837.837837838</v>
      </c>
      <c r="S345">
        <v>5825</v>
      </c>
      <c r="T345">
        <v>5657</v>
      </c>
    </row>
    <row r="346" spans="1:20" x14ac:dyDescent="0.35">
      <c r="A346" s="7" t="s">
        <v>445</v>
      </c>
      <c r="B346" s="12" t="s">
        <v>77</v>
      </c>
      <c r="C346">
        <v>39731808.282358147</v>
      </c>
      <c r="D346">
        <v>36940638.7079034</v>
      </c>
      <c r="E346">
        <v>302702.70270270301</v>
      </c>
      <c r="F346">
        <v>209909.90990991099</v>
      </c>
      <c r="G346">
        <v>6</v>
      </c>
      <c r="H346">
        <v>3</v>
      </c>
      <c r="K346">
        <v>7</v>
      </c>
      <c r="L346">
        <v>3</v>
      </c>
      <c r="M346">
        <v>5442342.3423423423</v>
      </c>
      <c r="N346">
        <v>10790090.090090089</v>
      </c>
      <c r="O346">
        <v>9125378.3783783782</v>
      </c>
      <c r="P346">
        <v>9085396.3963963967</v>
      </c>
      <c r="Q346">
        <v>5687477.4774774769</v>
      </c>
      <c r="R346">
        <v>8416936.9369369373</v>
      </c>
      <c r="S346">
        <v>2231</v>
      </c>
      <c r="T346">
        <v>568</v>
      </c>
    </row>
    <row r="347" spans="1:20" x14ac:dyDescent="0.35">
      <c r="A347" s="7" t="s">
        <v>446</v>
      </c>
      <c r="B347" s="12" t="s">
        <v>90</v>
      </c>
      <c r="C347">
        <v>1088663762.58215</v>
      </c>
      <c r="D347">
        <v>1086120976.7419224</v>
      </c>
      <c r="E347">
        <v>419881562.16216218</v>
      </c>
      <c r="F347">
        <v>755201400.90090084</v>
      </c>
      <c r="G347">
        <v>883</v>
      </c>
      <c r="H347">
        <v>292</v>
      </c>
      <c r="I347">
        <v>8</v>
      </c>
      <c r="K347">
        <v>1915</v>
      </c>
      <c r="L347">
        <v>845</v>
      </c>
      <c r="M347">
        <v>345821441.44144148</v>
      </c>
      <c r="N347">
        <v>159280180.18018019</v>
      </c>
      <c r="O347">
        <v>359740718.91891891</v>
      </c>
      <c r="P347">
        <v>357547279.27927929</v>
      </c>
      <c r="Q347">
        <v>245928558.55855855</v>
      </c>
      <c r="R347">
        <v>156787567.56756756</v>
      </c>
      <c r="S347">
        <v>19490</v>
      </c>
      <c r="T347">
        <v>16433</v>
      </c>
    </row>
    <row r="348" spans="1:20" x14ac:dyDescent="0.35">
      <c r="A348" s="7" t="s">
        <v>447</v>
      </c>
      <c r="B348" s="12" t="s">
        <v>49</v>
      </c>
      <c r="C348">
        <v>107599781.34092915</v>
      </c>
      <c r="D348">
        <v>105403935.91700746</v>
      </c>
      <c r="E348">
        <v>2626126.1261261269</v>
      </c>
      <c r="F348">
        <v>1145045.0450450459</v>
      </c>
      <c r="G348">
        <v>16</v>
      </c>
      <c r="H348">
        <v>4</v>
      </c>
      <c r="K348">
        <v>17</v>
      </c>
      <c r="L348">
        <v>5</v>
      </c>
      <c r="M348">
        <v>28733513.513513513</v>
      </c>
      <c r="N348">
        <v>18120720.72072072</v>
      </c>
      <c r="O348">
        <v>36694936.936936937</v>
      </c>
      <c r="P348">
        <v>39233180.180180177</v>
      </c>
      <c r="Q348">
        <v>28298918.918918919</v>
      </c>
      <c r="R348">
        <v>17849009.009009007</v>
      </c>
      <c r="S348">
        <v>1171</v>
      </c>
      <c r="T348">
        <v>1098</v>
      </c>
    </row>
    <row r="349" spans="1:20" x14ac:dyDescent="0.35">
      <c r="A349" s="7" t="s">
        <v>448</v>
      </c>
      <c r="B349" s="12" t="s">
        <v>449</v>
      </c>
      <c r="C349">
        <v>215244332.88522595</v>
      </c>
      <c r="D349">
        <v>225090420.8852748</v>
      </c>
      <c r="E349">
        <v>4689189.1891891873</v>
      </c>
      <c r="F349">
        <v>7634684.6846846854</v>
      </c>
      <c r="G349">
        <v>188</v>
      </c>
      <c r="H349">
        <v>412</v>
      </c>
      <c r="K349">
        <v>218</v>
      </c>
      <c r="L349">
        <v>443</v>
      </c>
      <c r="M349">
        <v>27362882.882882878</v>
      </c>
      <c r="N349">
        <v>106120945.94594595</v>
      </c>
      <c r="O349">
        <v>86211621.621621609</v>
      </c>
      <c r="P349">
        <v>93762666.666666672</v>
      </c>
      <c r="Q349">
        <v>26388018.018018018</v>
      </c>
      <c r="R349">
        <v>105916711.7117117</v>
      </c>
      <c r="S349">
        <v>10859</v>
      </c>
      <c r="T349">
        <v>5745</v>
      </c>
    </row>
    <row r="350" spans="1:20" x14ac:dyDescent="0.35">
      <c r="A350" s="7" t="s">
        <v>450</v>
      </c>
      <c r="B350" s="12" t="s">
        <v>77</v>
      </c>
      <c r="C350">
        <v>52754655.23793494</v>
      </c>
      <c r="D350">
        <v>55586945.353385888</v>
      </c>
      <c r="E350">
        <v>624324.32432432706</v>
      </c>
      <c r="F350">
        <v>558558.55855855998</v>
      </c>
      <c r="G350">
        <v>29</v>
      </c>
      <c r="H350">
        <v>23</v>
      </c>
      <c r="I350">
        <v>1</v>
      </c>
      <c r="K350">
        <v>30</v>
      </c>
      <c r="L350">
        <v>30</v>
      </c>
      <c r="M350">
        <v>18466036.036036041</v>
      </c>
      <c r="N350">
        <v>17554054.054054052</v>
      </c>
      <c r="O350">
        <v>18606304.504504506</v>
      </c>
      <c r="P350">
        <v>19669495.495495494</v>
      </c>
      <c r="Q350">
        <v>15245855.855855856</v>
      </c>
      <c r="R350">
        <v>13609999.999999998</v>
      </c>
      <c r="S350">
        <v>1949</v>
      </c>
      <c r="T350">
        <v>1854</v>
      </c>
    </row>
    <row r="351" spans="1:20" x14ac:dyDescent="0.35">
      <c r="A351" s="7" t="s">
        <v>451</v>
      </c>
      <c r="B351" s="12" t="s">
        <v>84</v>
      </c>
      <c r="C351">
        <v>1926246393.5302837</v>
      </c>
      <c r="D351">
        <v>1979611410.1564572</v>
      </c>
      <c r="E351">
        <v>771437505.4054054</v>
      </c>
      <c r="F351">
        <v>754068543.24324322</v>
      </c>
      <c r="G351">
        <v>826</v>
      </c>
      <c r="H351">
        <v>385</v>
      </c>
      <c r="I351">
        <v>4</v>
      </c>
      <c r="K351">
        <v>959</v>
      </c>
      <c r="L351">
        <v>715</v>
      </c>
      <c r="M351">
        <v>293039054.05405408</v>
      </c>
      <c r="N351">
        <v>300685450.45045042</v>
      </c>
      <c r="O351">
        <v>410608056.3063063</v>
      </c>
      <c r="P351">
        <v>455885727.92792791</v>
      </c>
      <c r="Q351">
        <v>282379504.5045045</v>
      </c>
      <c r="R351">
        <v>277933648.64864862</v>
      </c>
      <c r="S351">
        <v>35217</v>
      </c>
      <c r="T351">
        <v>32390</v>
      </c>
    </row>
    <row r="352" spans="1:20" x14ac:dyDescent="0.35">
      <c r="A352" s="7" t="s">
        <v>452</v>
      </c>
      <c r="B352" s="12" t="s">
        <v>71</v>
      </c>
      <c r="C352">
        <v>130384155.91675346</v>
      </c>
      <c r="D352">
        <v>120496158.52035518</v>
      </c>
      <c r="E352">
        <v>719819.81981982104</v>
      </c>
      <c r="F352">
        <v>2120720.7207207209</v>
      </c>
      <c r="G352">
        <v>30</v>
      </c>
      <c r="H352">
        <v>12</v>
      </c>
      <c r="K352">
        <v>32</v>
      </c>
      <c r="L352">
        <v>16</v>
      </c>
      <c r="M352">
        <v>4559459.4594594575</v>
      </c>
      <c r="N352">
        <v>192589189.1891892</v>
      </c>
      <c r="O352">
        <v>79175081.081081092</v>
      </c>
      <c r="P352">
        <v>70298333.333333343</v>
      </c>
      <c r="Q352">
        <v>3674954.9549549529</v>
      </c>
      <c r="R352">
        <v>190166486.48648649</v>
      </c>
      <c r="S352">
        <v>2953</v>
      </c>
      <c r="T352">
        <v>2715</v>
      </c>
    </row>
    <row r="353" spans="1:20" x14ac:dyDescent="0.35">
      <c r="A353" s="7" t="s">
        <v>453</v>
      </c>
      <c r="B353" s="12" t="s">
        <v>168</v>
      </c>
      <c r="C353">
        <v>153324588.92173862</v>
      </c>
      <c r="D353">
        <v>156367242.40124866</v>
      </c>
      <c r="E353">
        <v>3269369.369369369</v>
      </c>
      <c r="F353">
        <v>4035135.1351351342</v>
      </c>
      <c r="G353">
        <v>6</v>
      </c>
      <c r="H353">
        <v>24</v>
      </c>
      <c r="K353">
        <v>6</v>
      </c>
      <c r="L353">
        <v>29</v>
      </c>
      <c r="M353">
        <v>8630180.1801801808</v>
      </c>
      <c r="N353">
        <v>13845945.945945945</v>
      </c>
      <c r="O353">
        <v>29181720.72072072</v>
      </c>
      <c r="P353">
        <v>37866072.072072074</v>
      </c>
      <c r="Q353">
        <v>7498648.6486486476</v>
      </c>
      <c r="R353">
        <v>9194054.0540540516</v>
      </c>
      <c r="S353">
        <v>3165</v>
      </c>
      <c r="T353">
        <v>2808</v>
      </c>
    </row>
    <row r="354" spans="1:20" x14ac:dyDescent="0.35">
      <c r="A354" s="7" t="s">
        <v>454</v>
      </c>
      <c r="B354" s="12" t="s">
        <v>122</v>
      </c>
      <c r="C354">
        <v>6131847.0390644614</v>
      </c>
      <c r="D354">
        <v>7028723.6688298713</v>
      </c>
      <c r="E354">
        <v>34234.234234233998</v>
      </c>
      <c r="F354">
        <v>9009.0090090100002</v>
      </c>
      <c r="G354">
        <v>2</v>
      </c>
      <c r="K354">
        <v>2</v>
      </c>
      <c r="M354">
        <v>36036.036036035999</v>
      </c>
      <c r="N354">
        <v>99099.0990991</v>
      </c>
      <c r="O354">
        <v>630765.76576576603</v>
      </c>
      <c r="P354">
        <v>629315.31531531503</v>
      </c>
      <c r="R354">
        <v>90090.090090090001</v>
      </c>
      <c r="S354">
        <v>162</v>
      </c>
      <c r="T354">
        <v>147</v>
      </c>
    </row>
    <row r="355" spans="1:20" x14ac:dyDescent="0.35">
      <c r="A355" s="7" t="s">
        <v>455</v>
      </c>
      <c r="B355" s="12" t="s">
        <v>225</v>
      </c>
      <c r="C355">
        <v>51858793.415773086</v>
      </c>
      <c r="D355">
        <v>53640371.151573054</v>
      </c>
      <c r="F355">
        <v>13513.513513514001</v>
      </c>
      <c r="G355">
        <v>1</v>
      </c>
      <c r="H355">
        <v>1</v>
      </c>
      <c r="K355">
        <v>3</v>
      </c>
      <c r="L355">
        <v>1</v>
      </c>
      <c r="N355">
        <v>914414.41441441397</v>
      </c>
      <c r="O355">
        <v>9960351.3513513524</v>
      </c>
      <c r="P355">
        <v>14145099.0990991</v>
      </c>
      <c r="Q355">
        <v>257027.02702702701</v>
      </c>
      <c r="R355">
        <v>258738.73873873899</v>
      </c>
      <c r="S355">
        <v>1437</v>
      </c>
      <c r="T355">
        <v>1303</v>
      </c>
    </row>
    <row r="356" spans="1:20" x14ac:dyDescent="0.35">
      <c r="A356" s="7" t="s">
        <v>456</v>
      </c>
      <c r="B356" s="12" t="s">
        <v>95</v>
      </c>
      <c r="C356">
        <v>77115705.755272046</v>
      </c>
      <c r="D356">
        <v>95599778.94731307</v>
      </c>
      <c r="E356">
        <v>698198.19819819904</v>
      </c>
      <c r="F356">
        <v>1869369.369369373</v>
      </c>
      <c r="G356">
        <v>25</v>
      </c>
      <c r="H356">
        <v>36</v>
      </c>
      <c r="K356">
        <v>26</v>
      </c>
      <c r="L356">
        <v>42</v>
      </c>
      <c r="M356">
        <v>30060810.810810812</v>
      </c>
      <c r="N356">
        <v>20337837.837837838</v>
      </c>
      <c r="O356">
        <v>17924743.243243244</v>
      </c>
      <c r="P356">
        <v>24769878.378378376</v>
      </c>
      <c r="Q356">
        <v>29614864.864864863</v>
      </c>
      <c r="R356">
        <v>17611081.081081081</v>
      </c>
      <c r="S356">
        <v>2201</v>
      </c>
      <c r="T356">
        <v>2084</v>
      </c>
    </row>
    <row r="357" spans="1:20" x14ac:dyDescent="0.35">
      <c r="A357" s="7" t="s">
        <v>671</v>
      </c>
      <c r="B357" s="12" t="s">
        <v>261</v>
      </c>
      <c r="E357">
        <v>69860360.360360354</v>
      </c>
      <c r="F357">
        <v>58693693.693693697</v>
      </c>
      <c r="M357">
        <v>3368693.6936936942</v>
      </c>
      <c r="N357">
        <v>477477.47747747699</v>
      </c>
    </row>
    <row r="358" spans="1:20" x14ac:dyDescent="0.35">
      <c r="A358" s="7" t="s">
        <v>457</v>
      </c>
      <c r="B358" s="12" t="s">
        <v>61</v>
      </c>
      <c r="C358">
        <v>11289806.770880524</v>
      </c>
      <c r="D358">
        <v>13385258.234557521</v>
      </c>
      <c r="E358">
        <v>193693.69369369399</v>
      </c>
      <c r="F358">
        <v>46846.846846847002</v>
      </c>
      <c r="G358">
        <v>5</v>
      </c>
      <c r="H358">
        <v>4</v>
      </c>
      <c r="K358">
        <v>6</v>
      </c>
      <c r="L358">
        <v>5</v>
      </c>
      <c r="M358">
        <v>1229729.7297297299</v>
      </c>
      <c r="N358">
        <v>947747.74774774804</v>
      </c>
      <c r="O358">
        <v>5149900.9009009013</v>
      </c>
      <c r="P358">
        <v>6935288.2882882878</v>
      </c>
      <c r="Q358">
        <v>753063.06306306296</v>
      </c>
      <c r="R358">
        <v>979189.189189189</v>
      </c>
      <c r="S358">
        <v>643</v>
      </c>
      <c r="T358">
        <v>792</v>
      </c>
    </row>
    <row r="359" spans="1:20" x14ac:dyDescent="0.35">
      <c r="A359" s="7" t="s">
        <v>672</v>
      </c>
      <c r="B359" s="12" t="s">
        <v>215</v>
      </c>
      <c r="E359">
        <v>101261261.26126127</v>
      </c>
      <c r="F359">
        <v>232567567.56756756</v>
      </c>
      <c r="M359">
        <v>1803603.603603604</v>
      </c>
      <c r="N359">
        <v>50675.675675676001</v>
      </c>
    </row>
    <row r="360" spans="1:20" x14ac:dyDescent="0.35">
      <c r="A360" s="7" t="s">
        <v>458</v>
      </c>
      <c r="B360" s="12" t="s">
        <v>215</v>
      </c>
      <c r="C360">
        <v>212422019.58502477</v>
      </c>
      <c r="D360">
        <v>205308009.64611733</v>
      </c>
      <c r="E360">
        <v>473873.87387387402</v>
      </c>
      <c r="G360">
        <v>43</v>
      </c>
      <c r="H360">
        <v>12</v>
      </c>
      <c r="K360">
        <v>45</v>
      </c>
      <c r="L360">
        <v>15</v>
      </c>
      <c r="M360">
        <v>1014414.414414414</v>
      </c>
      <c r="N360">
        <v>360360.36036036001</v>
      </c>
      <c r="O360">
        <v>109772486.48648648</v>
      </c>
      <c r="P360">
        <v>108899414.41441442</v>
      </c>
      <c r="Q360">
        <v>1794144.1441441439</v>
      </c>
      <c r="R360">
        <v>427117.11711711698</v>
      </c>
      <c r="S360">
        <v>3246</v>
      </c>
      <c r="T360">
        <v>3414</v>
      </c>
    </row>
    <row r="361" spans="1:20" x14ac:dyDescent="0.35">
      <c r="A361" s="7" t="s">
        <v>459</v>
      </c>
      <c r="B361" s="12" t="s">
        <v>460</v>
      </c>
      <c r="C361">
        <v>831251663.60072041</v>
      </c>
      <c r="D361">
        <v>864421291.42955518</v>
      </c>
      <c r="E361">
        <v>22253378.378378391</v>
      </c>
      <c r="F361">
        <v>27151351.351351365</v>
      </c>
      <c r="G361">
        <v>583</v>
      </c>
      <c r="H361">
        <v>376</v>
      </c>
      <c r="I361">
        <v>2</v>
      </c>
      <c r="K361">
        <v>705</v>
      </c>
      <c r="L361">
        <v>566</v>
      </c>
      <c r="M361">
        <v>277460900.9009009</v>
      </c>
      <c r="N361">
        <v>280239549.54954952</v>
      </c>
      <c r="O361">
        <v>294842515.76576579</v>
      </c>
      <c r="P361">
        <v>325415969.36936933</v>
      </c>
      <c r="Q361">
        <v>225587297.29729727</v>
      </c>
      <c r="R361">
        <v>245931621.62162164</v>
      </c>
      <c r="S361">
        <v>44241</v>
      </c>
      <c r="T361">
        <v>25013</v>
      </c>
    </row>
    <row r="362" spans="1:20" x14ac:dyDescent="0.35">
      <c r="A362" s="7" t="s">
        <v>461</v>
      </c>
      <c r="B362" s="12" t="s">
        <v>460</v>
      </c>
      <c r="C362">
        <v>2698777362.1073189</v>
      </c>
      <c r="D362">
        <v>2759917792.2613697</v>
      </c>
      <c r="E362">
        <v>19530630.630630638</v>
      </c>
      <c r="F362">
        <v>23313063.063063081</v>
      </c>
      <c r="G362">
        <v>856</v>
      </c>
      <c r="H362">
        <v>606</v>
      </c>
      <c r="I362">
        <v>6</v>
      </c>
      <c r="K362">
        <v>990</v>
      </c>
      <c r="L362">
        <v>901</v>
      </c>
      <c r="M362">
        <v>144633693.6936937</v>
      </c>
      <c r="N362">
        <v>228770945.94594595</v>
      </c>
      <c r="O362">
        <v>1687345095.0450449</v>
      </c>
      <c r="P362">
        <v>1743849666.6666667</v>
      </c>
      <c r="Q362">
        <v>133558468.46846846</v>
      </c>
      <c r="R362">
        <v>175794279.27927926</v>
      </c>
      <c r="S362">
        <v>57628</v>
      </c>
      <c r="T362">
        <v>31277</v>
      </c>
    </row>
    <row r="363" spans="1:20" x14ac:dyDescent="0.35">
      <c r="A363" s="7" t="s">
        <v>462</v>
      </c>
      <c r="B363" s="12" t="s">
        <v>460</v>
      </c>
      <c r="C363">
        <v>1304214848.4604995</v>
      </c>
      <c r="D363">
        <v>1306690640.4844897</v>
      </c>
      <c r="E363">
        <v>30737325.225225236</v>
      </c>
      <c r="F363">
        <v>38515463.963963971</v>
      </c>
      <c r="G363">
        <v>790</v>
      </c>
      <c r="H363">
        <v>539</v>
      </c>
      <c r="I363">
        <v>6</v>
      </c>
      <c r="K363">
        <v>928</v>
      </c>
      <c r="L363">
        <v>777</v>
      </c>
      <c r="M363">
        <v>1544099181.981982</v>
      </c>
      <c r="N363">
        <v>1113225283.7837839</v>
      </c>
      <c r="O363">
        <v>357844959.45945948</v>
      </c>
      <c r="P363">
        <v>388942313.51351357</v>
      </c>
      <c r="Q363">
        <v>1522991576.5765765</v>
      </c>
      <c r="R363">
        <v>256374234.23423424</v>
      </c>
      <c r="S363">
        <v>45673</v>
      </c>
      <c r="T363">
        <v>23801</v>
      </c>
    </row>
    <row r="364" spans="1:20" x14ac:dyDescent="0.35">
      <c r="A364" s="7" t="s">
        <v>463</v>
      </c>
      <c r="B364" s="12" t="s">
        <v>460</v>
      </c>
      <c r="C364">
        <v>956066127.61762333</v>
      </c>
      <c r="D364">
        <v>866232576.62083912</v>
      </c>
      <c r="E364">
        <v>7381531.5315315472</v>
      </c>
      <c r="F364">
        <v>12403603.603603603</v>
      </c>
      <c r="G364">
        <v>402</v>
      </c>
      <c r="H364">
        <v>190</v>
      </c>
      <c r="I364">
        <v>5</v>
      </c>
      <c r="K364">
        <v>455</v>
      </c>
      <c r="L364">
        <v>242</v>
      </c>
      <c r="M364">
        <v>151577387.38738739</v>
      </c>
      <c r="N364">
        <v>152892504.5045045</v>
      </c>
      <c r="O364">
        <v>214942441.44144145</v>
      </c>
      <c r="P364">
        <v>218802106.3063063</v>
      </c>
      <c r="Q364">
        <v>104396846.84684685</v>
      </c>
      <c r="R364">
        <v>127523243.24324323</v>
      </c>
      <c r="S364">
        <v>32049</v>
      </c>
      <c r="T364">
        <v>18183</v>
      </c>
    </row>
    <row r="365" spans="1:20" x14ac:dyDescent="0.35">
      <c r="A365" s="7" t="s">
        <v>464</v>
      </c>
      <c r="B365" s="12" t="s">
        <v>460</v>
      </c>
      <c r="C365">
        <v>914222081.9519881</v>
      </c>
      <c r="D365">
        <v>953987719.70746553</v>
      </c>
      <c r="E365">
        <v>17036261.261261269</v>
      </c>
      <c r="F365">
        <v>16127027.027027028</v>
      </c>
      <c r="G365">
        <v>1520</v>
      </c>
      <c r="H365">
        <v>746</v>
      </c>
      <c r="I365">
        <v>1</v>
      </c>
      <c r="K365">
        <v>1718</v>
      </c>
      <c r="L365">
        <v>1325</v>
      </c>
      <c r="M365">
        <v>191231711.7117117</v>
      </c>
      <c r="N365">
        <v>346699009.009009</v>
      </c>
      <c r="O365">
        <v>370093610.36036038</v>
      </c>
      <c r="P365">
        <v>389073180.18018013</v>
      </c>
      <c r="Q365">
        <v>176340000</v>
      </c>
      <c r="R365">
        <v>290419684.68468469</v>
      </c>
      <c r="S365">
        <v>41224</v>
      </c>
      <c r="T365">
        <v>26448</v>
      </c>
    </row>
    <row r="366" spans="1:20" x14ac:dyDescent="0.35">
      <c r="A366" s="7" t="s">
        <v>465</v>
      </c>
      <c r="B366" s="12" t="s">
        <v>460</v>
      </c>
      <c r="C366">
        <v>1059070415.0115972</v>
      </c>
      <c r="D366">
        <v>1046014663.1881695</v>
      </c>
      <c r="E366">
        <v>2450011762.1621623</v>
      </c>
      <c r="F366">
        <v>2280530530.6306305</v>
      </c>
      <c r="G366">
        <v>444</v>
      </c>
      <c r="H366">
        <v>278</v>
      </c>
      <c r="I366">
        <v>4</v>
      </c>
      <c r="K366">
        <v>510</v>
      </c>
      <c r="L366">
        <v>389</v>
      </c>
      <c r="M366">
        <v>179314170.27027026</v>
      </c>
      <c r="N366">
        <v>279726936.93693691</v>
      </c>
      <c r="O366">
        <v>455162185.13513517</v>
      </c>
      <c r="P366">
        <v>474468369.36936933</v>
      </c>
      <c r="Q366">
        <v>159950000</v>
      </c>
      <c r="R366">
        <v>236485900.9009009</v>
      </c>
      <c r="S366">
        <v>48591</v>
      </c>
      <c r="T366">
        <v>30012</v>
      </c>
    </row>
    <row r="367" spans="1:20" x14ac:dyDescent="0.35">
      <c r="A367" s="7" t="s">
        <v>466</v>
      </c>
      <c r="B367" s="12" t="s">
        <v>55</v>
      </c>
      <c r="C367">
        <v>70766118.788374051</v>
      </c>
      <c r="D367">
        <v>69343580.527847156</v>
      </c>
      <c r="E367">
        <v>941441.44144144095</v>
      </c>
      <c r="F367">
        <v>655855.85585585795</v>
      </c>
      <c r="G367">
        <v>25</v>
      </c>
      <c r="H367">
        <v>15</v>
      </c>
      <c r="K367">
        <v>35</v>
      </c>
      <c r="L367">
        <v>54</v>
      </c>
      <c r="M367">
        <v>7440360.3603603607</v>
      </c>
      <c r="N367">
        <v>7805405.4054054059</v>
      </c>
      <c r="O367">
        <v>14563774.774774775</v>
      </c>
      <c r="P367">
        <v>14820657.657657659</v>
      </c>
      <c r="Q367">
        <v>7025135.1351351328</v>
      </c>
      <c r="R367">
        <v>6881441.4414414419</v>
      </c>
      <c r="S367">
        <v>1352</v>
      </c>
      <c r="T367">
        <v>876</v>
      </c>
    </row>
    <row r="368" spans="1:20" x14ac:dyDescent="0.35">
      <c r="A368" s="7" t="s">
        <v>467</v>
      </c>
      <c r="B368" s="12" t="s">
        <v>88</v>
      </c>
      <c r="C368">
        <v>2588297.5519576459</v>
      </c>
      <c r="D368">
        <v>3013943.315475937</v>
      </c>
      <c r="H368">
        <v>1</v>
      </c>
      <c r="L368">
        <v>1</v>
      </c>
      <c r="O368">
        <v>389864.86486486503</v>
      </c>
      <c r="P368">
        <v>1172072.072072072</v>
      </c>
      <c r="S368">
        <v>96</v>
      </c>
      <c r="T368">
        <v>94</v>
      </c>
    </row>
    <row r="369" spans="1:20" x14ac:dyDescent="0.35">
      <c r="A369" s="7" t="s">
        <v>468</v>
      </c>
      <c r="B369" s="12" t="s">
        <v>144</v>
      </c>
      <c r="C369">
        <v>331392880.3005259</v>
      </c>
      <c r="D369">
        <v>358931100.50934011</v>
      </c>
      <c r="E369">
        <v>317117.11711711797</v>
      </c>
      <c r="F369">
        <v>355855.85585585702</v>
      </c>
      <c r="G369">
        <v>74</v>
      </c>
      <c r="H369">
        <v>16</v>
      </c>
      <c r="K369">
        <v>82</v>
      </c>
      <c r="L369">
        <v>20</v>
      </c>
      <c r="M369">
        <v>20028828.828828827</v>
      </c>
      <c r="N369">
        <v>18959459.459459461</v>
      </c>
      <c r="O369">
        <v>52102464.864864863</v>
      </c>
      <c r="P369">
        <v>66143601.801801801</v>
      </c>
      <c r="Q369">
        <v>15222162.162162161</v>
      </c>
      <c r="R369">
        <v>16565358.558558557</v>
      </c>
      <c r="S369">
        <v>5406</v>
      </c>
      <c r="T369">
        <v>4990</v>
      </c>
    </row>
    <row r="370" spans="1:20" x14ac:dyDescent="0.35">
      <c r="A370" s="7" t="s">
        <v>469</v>
      </c>
      <c r="B370" s="12" t="s">
        <v>81</v>
      </c>
      <c r="C370">
        <v>283763672.48808777</v>
      </c>
      <c r="D370">
        <v>272719004.42175239</v>
      </c>
      <c r="E370">
        <v>85135.135135138</v>
      </c>
      <c r="F370">
        <v>1138738.738738741</v>
      </c>
      <c r="G370">
        <v>41</v>
      </c>
      <c r="H370">
        <v>30</v>
      </c>
      <c r="K370">
        <v>45</v>
      </c>
      <c r="L370">
        <v>35</v>
      </c>
      <c r="M370">
        <v>7635585.5855855858</v>
      </c>
      <c r="N370">
        <v>8165765.7657657657</v>
      </c>
      <c r="O370">
        <v>106921171.17117117</v>
      </c>
      <c r="P370">
        <v>105282073.87387387</v>
      </c>
      <c r="Q370">
        <v>6216846.8468468478</v>
      </c>
      <c r="R370">
        <v>6819909.9099099096</v>
      </c>
      <c r="S370">
        <v>5234</v>
      </c>
      <c r="T370">
        <v>5196</v>
      </c>
    </row>
    <row r="371" spans="1:20" x14ac:dyDescent="0.35">
      <c r="A371" s="7" t="s">
        <v>470</v>
      </c>
      <c r="B371" s="12" t="s">
        <v>471</v>
      </c>
      <c r="C371">
        <v>342628166.27264255</v>
      </c>
      <c r="D371">
        <v>335858784.90707898</v>
      </c>
      <c r="E371">
        <v>3711711.7117117131</v>
      </c>
      <c r="F371">
        <v>3030630.6306306319</v>
      </c>
      <c r="G371">
        <v>43</v>
      </c>
      <c r="H371">
        <v>19</v>
      </c>
      <c r="K371">
        <v>47</v>
      </c>
      <c r="L371">
        <v>56</v>
      </c>
      <c r="M371">
        <v>29350900.900900904</v>
      </c>
      <c r="N371">
        <v>19859459.459459465</v>
      </c>
      <c r="O371">
        <v>108441367.56756757</v>
      </c>
      <c r="P371">
        <v>112598005.4054054</v>
      </c>
      <c r="Q371">
        <v>28780854.054054055</v>
      </c>
      <c r="R371">
        <v>35895747.747747749</v>
      </c>
      <c r="S371">
        <v>5664</v>
      </c>
      <c r="T371">
        <v>5447</v>
      </c>
    </row>
    <row r="372" spans="1:20" x14ac:dyDescent="0.35">
      <c r="A372" s="7" t="s">
        <v>472</v>
      </c>
      <c r="B372" s="12" t="s">
        <v>471</v>
      </c>
      <c r="C372">
        <v>28536490.51212804</v>
      </c>
      <c r="D372">
        <v>29564897.636273257</v>
      </c>
      <c r="E372">
        <v>220720.720720721</v>
      </c>
      <c r="F372">
        <v>117117.117117117</v>
      </c>
      <c r="G372">
        <v>3</v>
      </c>
      <c r="H372">
        <v>1</v>
      </c>
      <c r="K372">
        <v>4</v>
      </c>
      <c r="L372">
        <v>1</v>
      </c>
      <c r="M372">
        <v>3049549.5495495489</v>
      </c>
      <c r="N372">
        <v>387387.38738738699</v>
      </c>
      <c r="O372">
        <v>2468198.1981981979</v>
      </c>
      <c r="P372">
        <v>3500702.702702703</v>
      </c>
      <c r="Q372">
        <v>3069909.9099099091</v>
      </c>
      <c r="R372">
        <v>218918.91891891899</v>
      </c>
      <c r="S372">
        <v>645</v>
      </c>
      <c r="T372">
        <v>666</v>
      </c>
    </row>
    <row r="373" spans="1:20" x14ac:dyDescent="0.35">
      <c r="A373" s="7" t="s">
        <v>473</v>
      </c>
      <c r="B373" s="12" t="s">
        <v>471</v>
      </c>
      <c r="C373">
        <v>3444082.0913943029</v>
      </c>
      <c r="D373">
        <v>3588016.6609497862</v>
      </c>
      <c r="E373">
        <v>393693.69369369402</v>
      </c>
      <c r="F373">
        <v>585585.58558558603</v>
      </c>
      <c r="G373">
        <v>1</v>
      </c>
      <c r="K373">
        <v>1</v>
      </c>
      <c r="M373">
        <v>2943243.243243244</v>
      </c>
      <c r="N373">
        <v>1045045.045045045</v>
      </c>
      <c r="O373">
        <v>765450.45045044995</v>
      </c>
      <c r="P373">
        <v>839369.369369369</v>
      </c>
      <c r="Q373">
        <v>2703603.6036036038</v>
      </c>
      <c r="R373">
        <v>4247207.2072072066</v>
      </c>
      <c r="S373">
        <v>492</v>
      </c>
      <c r="T373">
        <v>349</v>
      </c>
    </row>
    <row r="374" spans="1:20" x14ac:dyDescent="0.35">
      <c r="A374" s="7" t="s">
        <v>474</v>
      </c>
      <c r="B374" s="12" t="s">
        <v>471</v>
      </c>
      <c r="C374">
        <v>120660981.92208059</v>
      </c>
      <c r="D374">
        <v>117575579.61761566</v>
      </c>
      <c r="E374">
        <v>361068245.94594592</v>
      </c>
      <c r="F374">
        <v>191947295.4954955</v>
      </c>
      <c r="G374">
        <v>15</v>
      </c>
      <c r="H374">
        <v>11</v>
      </c>
      <c r="K374">
        <v>15</v>
      </c>
      <c r="L374">
        <v>44</v>
      </c>
      <c r="M374">
        <v>99588884.684684694</v>
      </c>
      <c r="N374">
        <v>33428017.117117122</v>
      </c>
      <c r="O374">
        <v>16534980.180180181</v>
      </c>
      <c r="P374">
        <v>20407800</v>
      </c>
      <c r="Q374">
        <v>32710360.360360362</v>
      </c>
      <c r="R374">
        <v>19745585.585585583</v>
      </c>
      <c r="S374">
        <v>2403</v>
      </c>
      <c r="T374">
        <v>2246</v>
      </c>
    </row>
    <row r="375" spans="1:20" x14ac:dyDescent="0.35">
      <c r="A375" s="7" t="s">
        <v>475</v>
      </c>
      <c r="B375" s="12" t="s">
        <v>471</v>
      </c>
      <c r="C375">
        <v>169494160.80453563</v>
      </c>
      <c r="D375">
        <v>167272693.85962453</v>
      </c>
      <c r="E375">
        <v>1162162.1621621631</v>
      </c>
      <c r="F375">
        <v>1490090.090090093</v>
      </c>
      <c r="G375">
        <v>35</v>
      </c>
      <c r="H375">
        <v>10</v>
      </c>
      <c r="K375">
        <v>36</v>
      </c>
      <c r="L375">
        <v>25</v>
      </c>
      <c r="M375">
        <v>12303693.693693692</v>
      </c>
      <c r="N375">
        <v>8872432.4324324355</v>
      </c>
      <c r="O375">
        <v>36626000</v>
      </c>
      <c r="P375">
        <v>40923756.75675676</v>
      </c>
      <c r="Q375">
        <v>13167027.027027028</v>
      </c>
      <c r="R375">
        <v>12815675.675675675</v>
      </c>
      <c r="S375">
        <v>2544</v>
      </c>
      <c r="T375">
        <v>2350</v>
      </c>
    </row>
    <row r="376" spans="1:20" x14ac:dyDescent="0.35">
      <c r="A376" s="7" t="s">
        <v>476</v>
      </c>
      <c r="B376" s="12" t="s">
        <v>471</v>
      </c>
      <c r="C376">
        <v>62664201.565080442</v>
      </c>
      <c r="D376">
        <v>61813231.508965477</v>
      </c>
      <c r="E376">
        <v>400000.00000000099</v>
      </c>
      <c r="F376">
        <v>470270.27027027198</v>
      </c>
      <c r="G376">
        <v>6</v>
      </c>
      <c r="H376">
        <v>6</v>
      </c>
      <c r="K376">
        <v>6</v>
      </c>
      <c r="L376">
        <v>8</v>
      </c>
      <c r="M376">
        <v>8309909.9099099096</v>
      </c>
      <c r="N376">
        <v>3690990.9909909922</v>
      </c>
      <c r="O376">
        <v>13296187.387387387</v>
      </c>
      <c r="P376">
        <v>15999387.387387387</v>
      </c>
      <c r="Q376">
        <v>7253153.1531531531</v>
      </c>
      <c r="R376">
        <v>8123693.6936936947</v>
      </c>
      <c r="S376">
        <v>1438</v>
      </c>
      <c r="T376">
        <v>1402</v>
      </c>
    </row>
    <row r="377" spans="1:20" x14ac:dyDescent="0.35">
      <c r="A377" s="7" t="s">
        <v>477</v>
      </c>
      <c r="B377" s="12" t="s">
        <v>471</v>
      </c>
      <c r="C377">
        <v>643446972.71154821</v>
      </c>
      <c r="D377">
        <v>676088504.89410853</v>
      </c>
      <c r="E377">
        <v>12466666.666666672</v>
      </c>
      <c r="F377">
        <v>12517117.117117126</v>
      </c>
      <c r="G377">
        <v>258</v>
      </c>
      <c r="H377">
        <v>311</v>
      </c>
      <c r="I377">
        <v>1</v>
      </c>
      <c r="K377">
        <v>535</v>
      </c>
      <c r="L377">
        <v>604</v>
      </c>
      <c r="M377">
        <v>212769279.27927929</v>
      </c>
      <c r="N377">
        <v>160025495.4954955</v>
      </c>
      <c r="O377">
        <v>168890836.03603604</v>
      </c>
      <c r="P377">
        <v>190450740.54054055</v>
      </c>
      <c r="Q377">
        <v>206649639.63963965</v>
      </c>
      <c r="R377">
        <v>159502115.31531534</v>
      </c>
      <c r="S377">
        <v>19243</v>
      </c>
      <c r="T377">
        <v>16634</v>
      </c>
    </row>
    <row r="378" spans="1:20" x14ac:dyDescent="0.35">
      <c r="A378" s="7" t="s">
        <v>478</v>
      </c>
      <c r="B378" s="12" t="s">
        <v>261</v>
      </c>
      <c r="C378">
        <v>751442744.42684007</v>
      </c>
      <c r="D378">
        <v>745907054.67907417</v>
      </c>
      <c r="E378">
        <v>4143018.0180180189</v>
      </c>
      <c r="F378">
        <v>6879279.2792792842</v>
      </c>
      <c r="G378">
        <v>195</v>
      </c>
      <c r="H378">
        <v>92</v>
      </c>
      <c r="I378">
        <v>1</v>
      </c>
      <c r="K378">
        <v>206</v>
      </c>
      <c r="L378">
        <v>105</v>
      </c>
      <c r="M378">
        <v>97117117.117117122</v>
      </c>
      <c r="N378">
        <v>112329729.72972973</v>
      </c>
      <c r="O378">
        <v>201587229.72972974</v>
      </c>
      <c r="P378">
        <v>213517909.90990993</v>
      </c>
      <c r="Q378">
        <v>97659909.909909904</v>
      </c>
      <c r="R378">
        <v>110816396.3963964</v>
      </c>
      <c r="S378">
        <v>11807</v>
      </c>
      <c r="T378">
        <v>11959</v>
      </c>
    </row>
    <row r="379" spans="1:20" x14ac:dyDescent="0.35">
      <c r="A379" s="7" t="s">
        <v>479</v>
      </c>
      <c r="B379" s="12" t="s">
        <v>480</v>
      </c>
      <c r="C379">
        <v>56338669.862352759</v>
      </c>
      <c r="D379">
        <v>55900551.153216526</v>
      </c>
      <c r="E379">
        <v>50095495.495495498</v>
      </c>
      <c r="F379">
        <v>67178828.828828827</v>
      </c>
      <c r="G379">
        <v>15</v>
      </c>
      <c r="H379">
        <v>17</v>
      </c>
      <c r="K379">
        <v>15</v>
      </c>
      <c r="L379">
        <v>19</v>
      </c>
      <c r="M379">
        <v>21896621.621621624</v>
      </c>
      <c r="N379">
        <v>20285675.675675675</v>
      </c>
      <c r="O379">
        <v>13565000</v>
      </c>
      <c r="P379">
        <v>14953547.747747747</v>
      </c>
      <c r="Q379">
        <v>17698018.018018018</v>
      </c>
      <c r="R379">
        <v>17930720.72072072</v>
      </c>
      <c r="S379">
        <v>1313</v>
      </c>
      <c r="T379">
        <v>785</v>
      </c>
    </row>
    <row r="380" spans="1:20" x14ac:dyDescent="0.35">
      <c r="A380" s="7" t="s">
        <v>481</v>
      </c>
      <c r="B380" s="12" t="s">
        <v>124</v>
      </c>
      <c r="C380">
        <v>408759564.49034917</v>
      </c>
      <c r="D380">
        <v>394728176.22595668</v>
      </c>
      <c r="E380">
        <v>3790990.9909909931</v>
      </c>
      <c r="F380">
        <v>2598198.1981981988</v>
      </c>
      <c r="G380">
        <v>85</v>
      </c>
      <c r="H380">
        <v>58</v>
      </c>
      <c r="K380">
        <v>92</v>
      </c>
      <c r="L380">
        <v>66</v>
      </c>
      <c r="M380">
        <v>32113603.603603609</v>
      </c>
      <c r="N380">
        <v>30633333.333333332</v>
      </c>
      <c r="O380">
        <v>153922274.77477479</v>
      </c>
      <c r="P380">
        <v>160364482.88288289</v>
      </c>
      <c r="Q380">
        <v>30266756.75675676</v>
      </c>
      <c r="R380">
        <v>28883827.027027026</v>
      </c>
      <c r="S380">
        <v>6101</v>
      </c>
      <c r="T380">
        <v>6082</v>
      </c>
    </row>
    <row r="381" spans="1:20" x14ac:dyDescent="0.35">
      <c r="A381" s="7" t="s">
        <v>482</v>
      </c>
      <c r="B381" s="12" t="s">
        <v>471</v>
      </c>
      <c r="C381">
        <v>32327996.238235828</v>
      </c>
      <c r="D381">
        <v>32263990.466842931</v>
      </c>
      <c r="E381">
        <v>95495.495495495998</v>
      </c>
      <c r="F381">
        <v>328828.82882882899</v>
      </c>
      <c r="G381">
        <v>3</v>
      </c>
      <c r="H381">
        <v>3</v>
      </c>
      <c r="K381">
        <v>4</v>
      </c>
      <c r="L381">
        <v>3</v>
      </c>
      <c r="M381">
        <v>1897297.297297297</v>
      </c>
      <c r="N381">
        <v>792792.79279279301</v>
      </c>
      <c r="O381">
        <v>4315126.1261261264</v>
      </c>
      <c r="P381">
        <v>4283909.9099099096</v>
      </c>
      <c r="Q381">
        <v>1041351.351351351</v>
      </c>
      <c r="R381">
        <v>1249189.1891891891</v>
      </c>
      <c r="S381">
        <v>663</v>
      </c>
      <c r="T381">
        <v>601</v>
      </c>
    </row>
    <row r="382" spans="1:20" x14ac:dyDescent="0.35">
      <c r="A382" s="7" t="s">
        <v>483</v>
      </c>
      <c r="B382" s="12" t="s">
        <v>168</v>
      </c>
      <c r="C382">
        <v>339662448.48640645</v>
      </c>
      <c r="D382">
        <v>354332871.30884659</v>
      </c>
      <c r="E382">
        <v>4134234.2342342339</v>
      </c>
      <c r="F382">
        <v>8919819.8198198173</v>
      </c>
      <c r="G382">
        <v>302</v>
      </c>
      <c r="H382">
        <v>84</v>
      </c>
      <c r="I382">
        <v>1</v>
      </c>
      <c r="K382">
        <v>376</v>
      </c>
      <c r="L382">
        <v>243</v>
      </c>
      <c r="M382">
        <v>36013550.45045045</v>
      </c>
      <c r="N382">
        <v>44243018.018018015</v>
      </c>
      <c r="O382">
        <v>139805261.26126125</v>
      </c>
      <c r="P382">
        <v>155850954.95495495</v>
      </c>
      <c r="Q382">
        <v>32797387.387387391</v>
      </c>
      <c r="R382">
        <v>42116981.981981985</v>
      </c>
      <c r="S382">
        <v>10098</v>
      </c>
      <c r="T382">
        <v>8660</v>
      </c>
    </row>
    <row r="383" spans="1:20" x14ac:dyDescent="0.35">
      <c r="A383" s="7" t="s">
        <v>484</v>
      </c>
      <c r="B383" s="12" t="s">
        <v>168</v>
      </c>
      <c r="C383">
        <v>385438218.90399295</v>
      </c>
      <c r="D383">
        <v>405028956.4111492</v>
      </c>
      <c r="E383">
        <v>478896105.40540546</v>
      </c>
      <c r="F383">
        <v>540230624.32432437</v>
      </c>
      <c r="G383">
        <v>799</v>
      </c>
      <c r="H383">
        <v>399</v>
      </c>
      <c r="I383">
        <v>1</v>
      </c>
      <c r="K383">
        <v>1466</v>
      </c>
      <c r="L383">
        <v>1162</v>
      </c>
      <c r="M383">
        <v>65885811.711711712</v>
      </c>
      <c r="N383">
        <v>101259909.9099099</v>
      </c>
      <c r="O383">
        <v>149467327.02702704</v>
      </c>
      <c r="P383">
        <v>181999996.3963964</v>
      </c>
      <c r="Q383">
        <v>56812565.765765771</v>
      </c>
      <c r="R383">
        <v>92347790.990990996</v>
      </c>
      <c r="S383">
        <v>9838</v>
      </c>
      <c r="T383">
        <v>9563</v>
      </c>
    </row>
    <row r="384" spans="1:20" x14ac:dyDescent="0.35">
      <c r="A384" s="7" t="s">
        <v>485</v>
      </c>
      <c r="B384" s="12" t="s">
        <v>51</v>
      </c>
      <c r="C384">
        <v>229021733.05846819</v>
      </c>
      <c r="D384">
        <v>234130570.67395958</v>
      </c>
      <c r="E384">
        <v>3827927.9279279299</v>
      </c>
      <c r="F384">
        <v>3547747.74774775</v>
      </c>
      <c r="G384">
        <v>67</v>
      </c>
      <c r="H384">
        <v>38</v>
      </c>
      <c r="K384">
        <v>71</v>
      </c>
      <c r="L384">
        <v>45</v>
      </c>
      <c r="M384">
        <v>47190000</v>
      </c>
      <c r="N384">
        <v>42880090.090090096</v>
      </c>
      <c r="O384">
        <v>100488016.21621621</v>
      </c>
      <c r="P384">
        <v>106662432.43243243</v>
      </c>
      <c r="Q384">
        <v>44122342.342342347</v>
      </c>
      <c r="R384">
        <v>39100180.180180185</v>
      </c>
      <c r="S384">
        <v>3786</v>
      </c>
      <c r="T384">
        <v>3485</v>
      </c>
    </row>
    <row r="385" spans="1:20" x14ac:dyDescent="0.35">
      <c r="A385" s="7" t="s">
        <v>486</v>
      </c>
      <c r="B385" s="12" t="s">
        <v>135</v>
      </c>
      <c r="C385">
        <v>306429037.81807166</v>
      </c>
      <c r="D385">
        <v>304213548.81598681</v>
      </c>
      <c r="E385">
        <v>2865990.9909909898</v>
      </c>
      <c r="F385">
        <v>2074774.774774777</v>
      </c>
      <c r="G385">
        <v>68</v>
      </c>
      <c r="H385">
        <v>62</v>
      </c>
      <c r="K385">
        <v>68</v>
      </c>
      <c r="L385">
        <v>72</v>
      </c>
      <c r="M385">
        <v>48137837.837837838</v>
      </c>
      <c r="N385">
        <v>49499099.099099107</v>
      </c>
      <c r="O385">
        <v>59571867.567567565</v>
      </c>
      <c r="P385">
        <v>66495684.684684686</v>
      </c>
      <c r="Q385">
        <v>32130810.810810808</v>
      </c>
      <c r="R385">
        <v>36552882.882882878</v>
      </c>
      <c r="S385">
        <v>4873</v>
      </c>
      <c r="T385">
        <v>4656</v>
      </c>
    </row>
    <row r="386" spans="1:20" x14ac:dyDescent="0.35">
      <c r="A386" s="7" t="s">
        <v>487</v>
      </c>
      <c r="B386" s="12" t="s">
        <v>77</v>
      </c>
      <c r="C386">
        <v>66807717.560759641</v>
      </c>
      <c r="D386">
        <v>81394990.091214523</v>
      </c>
      <c r="E386">
        <v>1490990.9909909919</v>
      </c>
      <c r="F386">
        <v>1045045.045045046</v>
      </c>
      <c r="G386">
        <v>19</v>
      </c>
      <c r="H386">
        <v>25</v>
      </c>
      <c r="K386">
        <v>19</v>
      </c>
      <c r="L386">
        <v>27</v>
      </c>
      <c r="M386">
        <v>13566756.756756758</v>
      </c>
      <c r="N386">
        <v>18080180.180180181</v>
      </c>
      <c r="O386">
        <v>25770990.090090089</v>
      </c>
      <c r="P386">
        <v>29496313.513513513</v>
      </c>
      <c r="Q386">
        <v>13468688.288288288</v>
      </c>
      <c r="R386">
        <v>16536169.369369367</v>
      </c>
      <c r="S386">
        <v>1604</v>
      </c>
      <c r="T386">
        <v>1640</v>
      </c>
    </row>
    <row r="387" spans="1:20" x14ac:dyDescent="0.35">
      <c r="A387" s="7" t="s">
        <v>488</v>
      </c>
      <c r="B387" s="12" t="s">
        <v>308</v>
      </c>
      <c r="C387">
        <v>519476536.48245603</v>
      </c>
      <c r="D387">
        <v>520360074.89807588</v>
      </c>
      <c r="E387">
        <v>587384684.68468463</v>
      </c>
      <c r="F387">
        <v>840398918.91891897</v>
      </c>
      <c r="G387">
        <v>198</v>
      </c>
      <c r="H387">
        <v>155</v>
      </c>
      <c r="K387">
        <v>215</v>
      </c>
      <c r="L387">
        <v>180</v>
      </c>
      <c r="M387">
        <v>119219009.009009</v>
      </c>
      <c r="N387">
        <v>182566801.8018018</v>
      </c>
      <c r="O387">
        <v>219815378.37837836</v>
      </c>
      <c r="P387">
        <v>228819468.46846849</v>
      </c>
      <c r="Q387">
        <v>113084054.05405405</v>
      </c>
      <c r="R387">
        <v>168891846.84684685</v>
      </c>
      <c r="S387">
        <v>15404</v>
      </c>
      <c r="T387">
        <v>11666</v>
      </c>
    </row>
    <row r="388" spans="1:20" x14ac:dyDescent="0.35">
      <c r="A388" s="7" t="s">
        <v>489</v>
      </c>
      <c r="B388" s="12" t="s">
        <v>316</v>
      </c>
      <c r="C388">
        <v>119372910.70768489</v>
      </c>
      <c r="D388">
        <v>115106987.73054567</v>
      </c>
      <c r="E388">
        <v>1779279.2792792791</v>
      </c>
      <c r="F388">
        <v>1090990.990990995</v>
      </c>
      <c r="G388">
        <v>10</v>
      </c>
      <c r="H388">
        <v>7</v>
      </c>
      <c r="K388">
        <v>11</v>
      </c>
      <c r="L388">
        <v>7</v>
      </c>
      <c r="M388">
        <v>54862072.072072074</v>
      </c>
      <c r="N388">
        <v>71336126.126126125</v>
      </c>
      <c r="O388">
        <v>51504360.360360362</v>
      </c>
      <c r="P388">
        <v>47335189.189189181</v>
      </c>
      <c r="Q388">
        <v>49977657.657657653</v>
      </c>
      <c r="R388">
        <v>72265225.225225225</v>
      </c>
      <c r="S388">
        <v>1667</v>
      </c>
      <c r="T388">
        <v>1733</v>
      </c>
    </row>
    <row r="389" spans="1:20" x14ac:dyDescent="0.35">
      <c r="A389" s="7" t="s">
        <v>490</v>
      </c>
      <c r="B389" s="12" t="s">
        <v>182</v>
      </c>
      <c r="C389">
        <v>276098472.24058419</v>
      </c>
      <c r="D389">
        <v>283246051.29861248</v>
      </c>
      <c r="E389">
        <v>67194144.144144148</v>
      </c>
      <c r="F389">
        <v>220981081.08108109</v>
      </c>
      <c r="G389">
        <v>147</v>
      </c>
      <c r="H389">
        <v>110</v>
      </c>
      <c r="I389">
        <v>1</v>
      </c>
      <c r="K389">
        <v>189</v>
      </c>
      <c r="L389">
        <v>136</v>
      </c>
      <c r="M389">
        <v>37226486.486486487</v>
      </c>
      <c r="N389">
        <v>40634234.234234229</v>
      </c>
      <c r="O389">
        <v>80480252.252252251</v>
      </c>
      <c r="P389">
        <v>91506034.234234244</v>
      </c>
      <c r="Q389">
        <v>31814144.144144144</v>
      </c>
      <c r="R389">
        <v>37368288.288288288</v>
      </c>
      <c r="S389">
        <v>8019</v>
      </c>
      <c r="T389">
        <v>6533</v>
      </c>
    </row>
    <row r="390" spans="1:20" x14ac:dyDescent="0.35">
      <c r="A390" s="7" t="s">
        <v>491</v>
      </c>
      <c r="B390" s="12" t="s">
        <v>221</v>
      </c>
      <c r="C390">
        <v>162128942.52492937</v>
      </c>
      <c r="D390">
        <v>160734832.44348171</v>
      </c>
      <c r="E390">
        <v>102702.702702703</v>
      </c>
      <c r="F390">
        <v>27027.027027027001</v>
      </c>
      <c r="G390">
        <v>57</v>
      </c>
      <c r="H390">
        <v>53</v>
      </c>
      <c r="I390">
        <v>1</v>
      </c>
      <c r="K390">
        <v>67</v>
      </c>
      <c r="L390">
        <v>91</v>
      </c>
      <c r="M390">
        <v>4973333.333333334</v>
      </c>
      <c r="N390">
        <v>1677477.477477479</v>
      </c>
      <c r="O390">
        <v>40206484.684684686</v>
      </c>
      <c r="P390">
        <v>43378178.378378376</v>
      </c>
      <c r="Q390">
        <v>3753783.7837837851</v>
      </c>
      <c r="R390">
        <v>924414.41441441595</v>
      </c>
      <c r="S390">
        <v>4290</v>
      </c>
      <c r="T390">
        <v>4051</v>
      </c>
    </row>
    <row r="391" spans="1:20" x14ac:dyDescent="0.35">
      <c r="A391" s="7" t="s">
        <v>492</v>
      </c>
      <c r="B391" s="12" t="s">
        <v>221</v>
      </c>
      <c r="C391">
        <v>52195574.902346395</v>
      </c>
      <c r="D391">
        <v>40211782.518153571</v>
      </c>
      <c r="E391">
        <v>699530966.66666663</v>
      </c>
      <c r="F391">
        <v>567130375.67567563</v>
      </c>
      <c r="G391">
        <v>27</v>
      </c>
      <c r="H391">
        <v>11</v>
      </c>
      <c r="I391">
        <v>1</v>
      </c>
      <c r="K391">
        <v>30</v>
      </c>
      <c r="L391">
        <v>14</v>
      </c>
      <c r="M391">
        <v>51045990.990990989</v>
      </c>
      <c r="N391">
        <v>29107907.207207207</v>
      </c>
      <c r="O391">
        <v>15216342.342342341</v>
      </c>
      <c r="P391">
        <v>14265034.234234234</v>
      </c>
      <c r="Q391">
        <v>15955945.945945946</v>
      </c>
      <c r="R391">
        <v>13670000</v>
      </c>
      <c r="S391">
        <v>1424</v>
      </c>
      <c r="T391">
        <v>1137</v>
      </c>
    </row>
    <row r="392" spans="1:20" x14ac:dyDescent="0.35">
      <c r="A392" s="7" t="s">
        <v>493</v>
      </c>
      <c r="B392" s="12" t="s">
        <v>61</v>
      </c>
      <c r="C392">
        <v>185162308.61917618</v>
      </c>
      <c r="D392">
        <v>191239346.93759733</v>
      </c>
      <c r="E392">
        <v>2972072.0720720771</v>
      </c>
      <c r="F392">
        <v>3614414.4144144189</v>
      </c>
      <c r="G392">
        <v>54</v>
      </c>
      <c r="H392">
        <v>21</v>
      </c>
      <c r="K392">
        <v>89</v>
      </c>
      <c r="L392">
        <v>32</v>
      </c>
      <c r="M392">
        <v>39862792.79279279</v>
      </c>
      <c r="N392">
        <v>42673423.423423424</v>
      </c>
      <c r="O392">
        <v>83152702.702702701</v>
      </c>
      <c r="P392">
        <v>87915558.558558553</v>
      </c>
      <c r="Q392">
        <v>35878288.288288288</v>
      </c>
      <c r="R392">
        <v>36883243.243243247</v>
      </c>
      <c r="S392">
        <v>3880</v>
      </c>
      <c r="T392">
        <v>3712</v>
      </c>
    </row>
    <row r="393" spans="1:20" x14ac:dyDescent="0.35">
      <c r="A393" s="7" t="s">
        <v>494</v>
      </c>
      <c r="B393" s="12" t="s">
        <v>449</v>
      </c>
      <c r="C393">
        <v>222321662.51841861</v>
      </c>
      <c r="D393">
        <v>214341891.53860009</v>
      </c>
      <c r="E393">
        <v>765765.76576576801</v>
      </c>
      <c r="F393">
        <v>4433333.333333334</v>
      </c>
      <c r="G393">
        <v>144</v>
      </c>
      <c r="H393">
        <v>98</v>
      </c>
      <c r="K393">
        <v>223</v>
      </c>
      <c r="L393">
        <v>177</v>
      </c>
      <c r="M393">
        <v>37339639.639639638</v>
      </c>
      <c r="N393">
        <v>42210135.135135137</v>
      </c>
      <c r="O393">
        <v>79491702.702702701</v>
      </c>
      <c r="P393">
        <v>84359756.756756753</v>
      </c>
      <c r="Q393">
        <v>36841891.891891897</v>
      </c>
      <c r="R393">
        <v>40013423.423423424</v>
      </c>
      <c r="S393">
        <v>5736</v>
      </c>
      <c r="T393">
        <v>4747</v>
      </c>
    </row>
    <row r="394" spans="1:20" x14ac:dyDescent="0.35">
      <c r="A394" s="7" t="s">
        <v>7</v>
      </c>
      <c r="B394" s="12" t="s">
        <v>194</v>
      </c>
      <c r="C394">
        <v>186990081.78808588</v>
      </c>
      <c r="D394">
        <v>183334772.92148301</v>
      </c>
      <c r="E394">
        <v>457657.65765765897</v>
      </c>
      <c r="F394">
        <v>574774.77477477503</v>
      </c>
      <c r="G394">
        <v>61</v>
      </c>
      <c r="H394">
        <v>51</v>
      </c>
      <c r="I394">
        <v>1</v>
      </c>
      <c r="K394">
        <v>75</v>
      </c>
      <c r="L394">
        <v>58</v>
      </c>
      <c r="M394">
        <v>38869819.819819823</v>
      </c>
      <c r="N394">
        <v>59283783.783783786</v>
      </c>
      <c r="O394">
        <v>129879954.95495497</v>
      </c>
      <c r="P394">
        <v>122787540.54054055</v>
      </c>
      <c r="Q394">
        <v>36896756.756756753</v>
      </c>
      <c r="R394">
        <v>60035315.315315314</v>
      </c>
      <c r="S394">
        <v>5369</v>
      </c>
      <c r="T394">
        <v>4794</v>
      </c>
    </row>
    <row r="395" spans="1:20" x14ac:dyDescent="0.35">
      <c r="A395" s="7" t="s">
        <v>495</v>
      </c>
      <c r="B395" s="12" t="s">
        <v>331</v>
      </c>
      <c r="C395">
        <v>215619245.62334743</v>
      </c>
      <c r="D395">
        <v>216119125.50882933</v>
      </c>
      <c r="E395">
        <v>878378.37837837799</v>
      </c>
      <c r="F395">
        <v>266666.66666666802</v>
      </c>
      <c r="G395">
        <v>105</v>
      </c>
      <c r="H395">
        <v>102</v>
      </c>
      <c r="K395">
        <v>178</v>
      </c>
      <c r="L395">
        <v>130</v>
      </c>
      <c r="M395">
        <v>12848108.108108109</v>
      </c>
      <c r="N395">
        <v>13095495.495495496</v>
      </c>
      <c r="O395">
        <v>53016468.468468465</v>
      </c>
      <c r="P395">
        <v>55792252.252252258</v>
      </c>
      <c r="Q395">
        <v>11851801.801801801</v>
      </c>
      <c r="R395">
        <v>11790540.540540541</v>
      </c>
      <c r="S395">
        <v>8326</v>
      </c>
      <c r="T395">
        <v>5936</v>
      </c>
    </row>
    <row r="396" spans="1:20" x14ac:dyDescent="0.35">
      <c r="A396" s="7" t="s">
        <v>496</v>
      </c>
      <c r="B396" s="12" t="s">
        <v>331</v>
      </c>
      <c r="C396">
        <v>368146195.36545396</v>
      </c>
      <c r="D396">
        <v>369195824.42350686</v>
      </c>
      <c r="E396">
        <v>3758108.1081081112</v>
      </c>
      <c r="F396">
        <v>1335135.1351351361</v>
      </c>
      <c r="G396">
        <v>163</v>
      </c>
      <c r="H396">
        <v>137</v>
      </c>
      <c r="K396">
        <v>184</v>
      </c>
      <c r="L396">
        <v>184</v>
      </c>
      <c r="M396">
        <v>25485765.765765768</v>
      </c>
      <c r="N396">
        <v>22126666.666666664</v>
      </c>
      <c r="O396">
        <v>83607301.801801801</v>
      </c>
      <c r="P396">
        <v>89435772.972972974</v>
      </c>
      <c r="Q396">
        <v>24039099.0990991</v>
      </c>
      <c r="R396">
        <v>24572702.702702701</v>
      </c>
      <c r="S396">
        <v>10175</v>
      </c>
      <c r="T396">
        <v>7747</v>
      </c>
    </row>
    <row r="397" spans="1:20" x14ac:dyDescent="0.35">
      <c r="A397" s="7" t="s">
        <v>497</v>
      </c>
      <c r="B397" s="12" t="s">
        <v>331</v>
      </c>
      <c r="C397">
        <v>370126165.54999268</v>
      </c>
      <c r="D397">
        <v>338410955.2523216</v>
      </c>
      <c r="E397">
        <v>6947297.2972972989</v>
      </c>
      <c r="F397">
        <v>3397297.2972972998</v>
      </c>
      <c r="G397">
        <v>188</v>
      </c>
      <c r="H397">
        <v>174</v>
      </c>
      <c r="K397">
        <v>269</v>
      </c>
      <c r="L397">
        <v>230</v>
      </c>
      <c r="M397">
        <v>48474234.234234229</v>
      </c>
      <c r="N397">
        <v>43693423.423423424</v>
      </c>
      <c r="O397">
        <v>81787675.675675675</v>
      </c>
      <c r="P397">
        <v>82078855.855855852</v>
      </c>
      <c r="Q397">
        <v>44474774.774774775</v>
      </c>
      <c r="R397">
        <v>43990450.45045045</v>
      </c>
      <c r="S397">
        <v>12274</v>
      </c>
      <c r="T397">
        <v>8333</v>
      </c>
    </row>
    <row r="398" spans="1:20" x14ac:dyDescent="0.35">
      <c r="A398" s="7" t="s">
        <v>498</v>
      </c>
      <c r="B398" s="12" t="s">
        <v>331</v>
      </c>
      <c r="C398">
        <v>1642340881.3238254</v>
      </c>
      <c r="D398">
        <v>1335614533.3756461</v>
      </c>
      <c r="E398">
        <v>1338401716.2162163</v>
      </c>
      <c r="F398">
        <v>16446609.009009024</v>
      </c>
      <c r="G398">
        <v>1110</v>
      </c>
      <c r="H398">
        <v>657</v>
      </c>
      <c r="I398">
        <v>1</v>
      </c>
      <c r="K398">
        <v>2170</v>
      </c>
      <c r="L398">
        <v>815</v>
      </c>
      <c r="M398">
        <v>678486456.75675678</v>
      </c>
      <c r="N398">
        <v>588167600</v>
      </c>
      <c r="O398">
        <v>418488522.52252251</v>
      </c>
      <c r="P398">
        <v>288162063.06306309</v>
      </c>
      <c r="Q398">
        <v>276419279.27927929</v>
      </c>
      <c r="R398">
        <v>509929459.45945948</v>
      </c>
      <c r="S398">
        <v>36794</v>
      </c>
      <c r="T398">
        <v>26959</v>
      </c>
    </row>
    <row r="399" spans="1:20" x14ac:dyDescent="0.35">
      <c r="A399" s="7" t="s">
        <v>499</v>
      </c>
      <c r="B399" s="12" t="s">
        <v>331</v>
      </c>
      <c r="C399">
        <v>1181361296.70522</v>
      </c>
      <c r="D399">
        <v>1092742963.118752</v>
      </c>
      <c r="E399">
        <v>14576576.576576581</v>
      </c>
      <c r="F399">
        <v>4763963.9639639761</v>
      </c>
      <c r="G399">
        <v>466</v>
      </c>
      <c r="H399">
        <v>440</v>
      </c>
      <c r="I399">
        <v>1</v>
      </c>
      <c r="K399">
        <v>639</v>
      </c>
      <c r="L399">
        <v>557</v>
      </c>
      <c r="M399">
        <v>333089909.9099099</v>
      </c>
      <c r="N399">
        <v>138709009.009009</v>
      </c>
      <c r="O399">
        <v>334857308.55855852</v>
      </c>
      <c r="P399">
        <v>291531974.77477479</v>
      </c>
      <c r="Q399">
        <v>325049279.27927929</v>
      </c>
      <c r="R399">
        <v>140279009.009009</v>
      </c>
      <c r="S399">
        <v>30695</v>
      </c>
      <c r="T399">
        <v>26245</v>
      </c>
    </row>
    <row r="400" spans="1:20" x14ac:dyDescent="0.35">
      <c r="A400" s="7" t="s">
        <v>500</v>
      </c>
      <c r="B400" s="12" t="s">
        <v>144</v>
      </c>
      <c r="C400">
        <v>480322920.43927515</v>
      </c>
      <c r="D400">
        <v>484190211.08166456</v>
      </c>
      <c r="E400">
        <v>2423648.6486486509</v>
      </c>
      <c r="F400">
        <v>1081081.0810810861</v>
      </c>
      <c r="G400">
        <v>262</v>
      </c>
      <c r="H400">
        <v>78</v>
      </c>
      <c r="K400">
        <v>279</v>
      </c>
      <c r="L400">
        <v>100</v>
      </c>
      <c r="M400">
        <v>44235135.135135129</v>
      </c>
      <c r="N400">
        <v>42822522.522522531</v>
      </c>
      <c r="O400">
        <v>72851322.522522524</v>
      </c>
      <c r="P400">
        <v>88230801.801801801</v>
      </c>
      <c r="Q400">
        <v>28930180.180180177</v>
      </c>
      <c r="R400">
        <v>31977027.02702703</v>
      </c>
      <c r="S400">
        <v>8763</v>
      </c>
      <c r="T400">
        <v>8430</v>
      </c>
    </row>
    <row r="401" spans="1:20" x14ac:dyDescent="0.35">
      <c r="A401" s="7" t="s">
        <v>501</v>
      </c>
      <c r="B401" s="12" t="s">
        <v>221</v>
      </c>
      <c r="C401">
        <v>564216013.12163532</v>
      </c>
      <c r="D401">
        <v>590931414.2838155</v>
      </c>
      <c r="E401">
        <v>8279504.5045045102</v>
      </c>
      <c r="F401">
        <v>13502702.702702709</v>
      </c>
      <c r="G401">
        <v>250</v>
      </c>
      <c r="H401">
        <v>287</v>
      </c>
      <c r="I401">
        <v>5</v>
      </c>
      <c r="K401">
        <v>320</v>
      </c>
      <c r="L401">
        <v>428</v>
      </c>
      <c r="M401">
        <v>211365585.58558559</v>
      </c>
      <c r="N401">
        <v>336724774.77477479</v>
      </c>
      <c r="O401">
        <v>173100481.98198199</v>
      </c>
      <c r="P401">
        <v>186856855.85585588</v>
      </c>
      <c r="Q401">
        <v>202250270.27027026</v>
      </c>
      <c r="R401">
        <v>320326036.03603601</v>
      </c>
      <c r="S401">
        <v>18904</v>
      </c>
      <c r="T401">
        <v>12845</v>
      </c>
    </row>
    <row r="402" spans="1:20" x14ac:dyDescent="0.35">
      <c r="A402" s="7" t="s">
        <v>502</v>
      </c>
      <c r="B402" s="12" t="s">
        <v>398</v>
      </c>
      <c r="C402">
        <v>1596651002.9237325</v>
      </c>
      <c r="D402">
        <v>1634012699.0073731</v>
      </c>
      <c r="E402">
        <v>179845147.74774775</v>
      </c>
      <c r="F402">
        <v>278976006.3063063</v>
      </c>
      <c r="G402">
        <v>494</v>
      </c>
      <c r="H402">
        <v>408</v>
      </c>
      <c r="K402">
        <v>610</v>
      </c>
      <c r="L402">
        <v>594</v>
      </c>
      <c r="M402">
        <v>176973198.1981982</v>
      </c>
      <c r="N402">
        <v>250951891.8918919</v>
      </c>
      <c r="O402">
        <v>337200775.67567563</v>
      </c>
      <c r="P402">
        <v>364519706.3063063</v>
      </c>
      <c r="Q402">
        <v>167221846.84684685</v>
      </c>
      <c r="R402">
        <v>232681981.98198199</v>
      </c>
      <c r="S402">
        <v>28681</v>
      </c>
      <c r="T402">
        <v>27291</v>
      </c>
    </row>
    <row r="403" spans="1:20" x14ac:dyDescent="0.35">
      <c r="A403" s="7" t="s">
        <v>503</v>
      </c>
      <c r="B403" s="12" t="s">
        <v>71</v>
      </c>
      <c r="C403">
        <v>24794399.30124148</v>
      </c>
      <c r="D403">
        <v>25329001.436736211</v>
      </c>
      <c r="E403">
        <v>252252.25225225301</v>
      </c>
      <c r="F403">
        <v>1373423.423423423</v>
      </c>
      <c r="G403">
        <v>10</v>
      </c>
      <c r="H403">
        <v>8</v>
      </c>
      <c r="K403">
        <v>10</v>
      </c>
      <c r="L403">
        <v>9</v>
      </c>
      <c r="M403">
        <v>1111711.711711711</v>
      </c>
      <c r="N403">
        <v>4703153.1531531541</v>
      </c>
      <c r="O403">
        <v>17942738.738738742</v>
      </c>
      <c r="P403">
        <v>19310585.585585583</v>
      </c>
      <c r="Q403">
        <v>915585.58558558498</v>
      </c>
      <c r="R403">
        <v>3380990.9909909908</v>
      </c>
      <c r="S403">
        <v>730</v>
      </c>
      <c r="T403">
        <v>388</v>
      </c>
    </row>
    <row r="404" spans="1:20" x14ac:dyDescent="0.35">
      <c r="A404" s="7" t="s">
        <v>504</v>
      </c>
      <c r="B404" s="12" t="s">
        <v>331</v>
      </c>
      <c r="C404">
        <v>673722291.087044</v>
      </c>
      <c r="D404">
        <v>664508521.512079</v>
      </c>
      <c r="E404">
        <v>6885810.8108108109</v>
      </c>
      <c r="F404">
        <v>5191891.8918918977</v>
      </c>
      <c r="G404">
        <v>293</v>
      </c>
      <c r="H404">
        <v>205</v>
      </c>
      <c r="K404">
        <v>416</v>
      </c>
      <c r="L404">
        <v>253</v>
      </c>
      <c r="M404">
        <v>81338918.918918908</v>
      </c>
      <c r="N404">
        <v>182062252.25225225</v>
      </c>
      <c r="O404">
        <v>207468380.63063061</v>
      </c>
      <c r="P404">
        <v>175419412.61261261</v>
      </c>
      <c r="Q404">
        <v>76128468.468468457</v>
      </c>
      <c r="R404">
        <v>184752522.52252254</v>
      </c>
      <c r="S404">
        <v>18432</v>
      </c>
      <c r="T404">
        <v>16080</v>
      </c>
    </row>
    <row r="405" spans="1:20" x14ac:dyDescent="0.35">
      <c r="A405" s="7" t="s">
        <v>505</v>
      </c>
      <c r="B405" s="12" t="s">
        <v>284</v>
      </c>
      <c r="C405">
        <v>208355654.48773143</v>
      </c>
      <c r="D405">
        <v>209523964.58745223</v>
      </c>
      <c r="E405">
        <v>344144.14414414403</v>
      </c>
      <c r="F405">
        <v>1855855.8558558561</v>
      </c>
      <c r="G405">
        <v>39</v>
      </c>
      <c r="H405">
        <v>10</v>
      </c>
      <c r="K405">
        <v>41</v>
      </c>
      <c r="L405">
        <v>20</v>
      </c>
      <c r="M405">
        <v>16398198.198198199</v>
      </c>
      <c r="N405">
        <v>16351351.351351351</v>
      </c>
      <c r="O405">
        <v>35724216.216216214</v>
      </c>
      <c r="P405">
        <v>40067567.567567565</v>
      </c>
      <c r="Q405">
        <v>14568738.738738738</v>
      </c>
      <c r="R405">
        <v>14795855.855855856</v>
      </c>
      <c r="S405">
        <v>3175</v>
      </c>
      <c r="T405">
        <v>2903</v>
      </c>
    </row>
    <row r="406" spans="1:20" x14ac:dyDescent="0.35">
      <c r="A406" s="7" t="s">
        <v>506</v>
      </c>
      <c r="B406" s="12" t="s">
        <v>261</v>
      </c>
      <c r="C406">
        <v>127207745.46743284</v>
      </c>
      <c r="D406">
        <v>134663832.89939448</v>
      </c>
      <c r="E406">
        <v>108108.108108108</v>
      </c>
      <c r="F406">
        <v>13513.513513514001</v>
      </c>
      <c r="G406">
        <v>6</v>
      </c>
      <c r="H406">
        <v>12</v>
      </c>
      <c r="K406">
        <v>8</v>
      </c>
      <c r="L406">
        <v>16</v>
      </c>
      <c r="M406">
        <v>2040540.540540542</v>
      </c>
      <c r="N406">
        <v>2716216.2162162168</v>
      </c>
      <c r="O406">
        <v>28745792.792792793</v>
      </c>
      <c r="P406">
        <v>37963809.009009011</v>
      </c>
      <c r="Q406">
        <v>2305945.945945947</v>
      </c>
      <c r="R406">
        <v>3436036.036036036</v>
      </c>
      <c r="S406">
        <v>2291</v>
      </c>
      <c r="T406">
        <v>2303</v>
      </c>
    </row>
    <row r="407" spans="1:20" x14ac:dyDescent="0.35">
      <c r="A407" s="7" t="s">
        <v>507</v>
      </c>
      <c r="B407" s="12" t="s">
        <v>237</v>
      </c>
      <c r="C407">
        <v>310398648.44817889</v>
      </c>
      <c r="D407">
        <v>301518100.17150795</v>
      </c>
      <c r="E407">
        <v>3468918.9189189179</v>
      </c>
      <c r="F407">
        <v>3210810.8108108211</v>
      </c>
      <c r="G407">
        <v>79</v>
      </c>
      <c r="H407">
        <v>116</v>
      </c>
      <c r="I407">
        <v>1</v>
      </c>
      <c r="K407">
        <v>229</v>
      </c>
      <c r="L407">
        <v>162</v>
      </c>
      <c r="M407">
        <v>93535000</v>
      </c>
      <c r="N407">
        <v>55949549.549549542</v>
      </c>
      <c r="O407">
        <v>69867842.342342347</v>
      </c>
      <c r="P407">
        <v>71856963.963963971</v>
      </c>
      <c r="Q407">
        <v>89668153.153153151</v>
      </c>
      <c r="R407">
        <v>52287657.657657653</v>
      </c>
      <c r="S407">
        <v>5406</v>
      </c>
      <c r="T407">
        <v>4562</v>
      </c>
    </row>
    <row r="408" spans="1:20" x14ac:dyDescent="0.35">
      <c r="A408" s="7" t="s">
        <v>508</v>
      </c>
      <c r="B408" s="12" t="s">
        <v>135</v>
      </c>
      <c r="C408">
        <v>36877690.874907725</v>
      </c>
      <c r="D408">
        <v>52795994.588372782</v>
      </c>
      <c r="G408">
        <v>2</v>
      </c>
      <c r="H408">
        <v>3</v>
      </c>
      <c r="K408">
        <v>2</v>
      </c>
      <c r="L408">
        <v>4</v>
      </c>
      <c r="O408">
        <v>6664675.6756756762</v>
      </c>
      <c r="P408">
        <v>9277063.0630630646</v>
      </c>
      <c r="S408">
        <v>1309</v>
      </c>
      <c r="T408">
        <v>1220</v>
      </c>
    </row>
    <row r="409" spans="1:20" x14ac:dyDescent="0.35">
      <c r="A409" s="7" t="s">
        <v>509</v>
      </c>
      <c r="B409" s="12" t="s">
        <v>398</v>
      </c>
      <c r="C409">
        <v>326522577.49499166</v>
      </c>
      <c r="D409">
        <v>333359354.45537335</v>
      </c>
      <c r="E409">
        <v>86307657.657657668</v>
      </c>
      <c r="F409">
        <v>106569369.36936937</v>
      </c>
      <c r="G409">
        <v>61</v>
      </c>
      <c r="H409">
        <v>58</v>
      </c>
      <c r="K409">
        <v>84</v>
      </c>
      <c r="L409">
        <v>89</v>
      </c>
      <c r="M409">
        <v>39813063.063063063</v>
      </c>
      <c r="N409">
        <v>40271846.846846849</v>
      </c>
      <c r="O409">
        <v>48526441.441441439</v>
      </c>
      <c r="P409">
        <v>51773918.918918923</v>
      </c>
      <c r="Q409">
        <v>35569729.729729727</v>
      </c>
      <c r="R409">
        <v>31425360.360360362</v>
      </c>
      <c r="S409">
        <v>4710</v>
      </c>
      <c r="T409">
        <v>4489</v>
      </c>
    </row>
    <row r="410" spans="1:20" x14ac:dyDescent="0.35">
      <c r="A410" s="7" t="s">
        <v>510</v>
      </c>
      <c r="B410" s="12" t="s">
        <v>135</v>
      </c>
      <c r="C410">
        <v>359119686.66023535</v>
      </c>
      <c r="D410">
        <v>380559485.34359908</v>
      </c>
      <c r="E410">
        <v>1958558.55855856</v>
      </c>
      <c r="F410">
        <v>2629729.729729733</v>
      </c>
      <c r="G410">
        <v>93</v>
      </c>
      <c r="H410">
        <v>78</v>
      </c>
      <c r="K410">
        <v>102</v>
      </c>
      <c r="L410">
        <v>86</v>
      </c>
      <c r="M410">
        <v>33992792.79279279</v>
      </c>
      <c r="N410">
        <v>40332432.432432435</v>
      </c>
      <c r="O410">
        <v>57730957.20720721</v>
      </c>
      <c r="P410">
        <v>65302198.198198199</v>
      </c>
      <c r="Q410">
        <v>28154684.684684683</v>
      </c>
      <c r="R410">
        <v>31456216.216216218</v>
      </c>
      <c r="S410">
        <v>6066</v>
      </c>
      <c r="T410">
        <v>5417</v>
      </c>
    </row>
    <row r="411" spans="1:20" x14ac:dyDescent="0.35">
      <c r="A411" s="7" t="s">
        <v>511</v>
      </c>
      <c r="B411" s="12" t="s">
        <v>135</v>
      </c>
      <c r="C411">
        <v>992736686.97354388</v>
      </c>
      <c r="D411">
        <v>1022837900.071407</v>
      </c>
      <c r="E411">
        <v>6376801.8018018082</v>
      </c>
      <c r="F411">
        <v>8688288.2882882953</v>
      </c>
      <c r="G411">
        <v>212</v>
      </c>
      <c r="H411">
        <v>203</v>
      </c>
      <c r="K411">
        <v>270</v>
      </c>
      <c r="L411">
        <v>326</v>
      </c>
      <c r="M411">
        <v>86454954.954954967</v>
      </c>
      <c r="N411">
        <v>92055405.405405402</v>
      </c>
      <c r="O411">
        <v>103732135.13513513</v>
      </c>
      <c r="P411">
        <v>117009090.0900901</v>
      </c>
      <c r="Q411">
        <v>85375135.135135129</v>
      </c>
      <c r="R411">
        <v>83971261.261261269</v>
      </c>
      <c r="S411">
        <v>19156</v>
      </c>
      <c r="T411">
        <v>16880</v>
      </c>
    </row>
    <row r="412" spans="1:20" x14ac:dyDescent="0.35">
      <c r="A412" s="7" t="s">
        <v>8</v>
      </c>
      <c r="B412" s="12" t="s">
        <v>159</v>
      </c>
      <c r="C412">
        <v>262602223.51215523</v>
      </c>
      <c r="D412">
        <v>262534511.81612736</v>
      </c>
      <c r="E412">
        <v>5693693.6936936947</v>
      </c>
      <c r="F412">
        <v>5261261.261261262</v>
      </c>
      <c r="G412">
        <v>28</v>
      </c>
      <c r="H412">
        <v>54</v>
      </c>
      <c r="K412">
        <v>29</v>
      </c>
      <c r="L412">
        <v>60</v>
      </c>
      <c r="M412">
        <v>45001801.801801801</v>
      </c>
      <c r="N412">
        <v>49028378.378378384</v>
      </c>
      <c r="O412">
        <v>77661774.774774775</v>
      </c>
      <c r="P412">
        <v>78360117.117117122</v>
      </c>
      <c r="Q412">
        <v>41715585.585585587</v>
      </c>
      <c r="R412">
        <v>43575315.315315314</v>
      </c>
      <c r="S412">
        <v>4287</v>
      </c>
      <c r="T412">
        <v>3529</v>
      </c>
    </row>
    <row r="413" spans="1:20" x14ac:dyDescent="0.35">
      <c r="A413" s="7" t="s">
        <v>512</v>
      </c>
      <c r="B413" s="12" t="s">
        <v>135</v>
      </c>
      <c r="C413">
        <v>189175132.52730927</v>
      </c>
      <c r="D413">
        <v>218893001.96570697</v>
      </c>
      <c r="E413">
        <v>743243.24324324296</v>
      </c>
      <c r="F413">
        <v>747747.74774774897</v>
      </c>
      <c r="G413">
        <v>13</v>
      </c>
      <c r="H413">
        <v>1</v>
      </c>
      <c r="K413">
        <v>16</v>
      </c>
      <c r="L413">
        <v>3</v>
      </c>
      <c r="M413">
        <v>6148648.6486486495</v>
      </c>
      <c r="N413">
        <v>14301801.801801804</v>
      </c>
      <c r="O413">
        <v>25982135.135135137</v>
      </c>
      <c r="P413">
        <v>31874486.486486487</v>
      </c>
      <c r="Q413">
        <v>5103243.2432432435</v>
      </c>
      <c r="R413">
        <v>6531171.1711711716</v>
      </c>
      <c r="S413">
        <v>3897</v>
      </c>
      <c r="T413">
        <v>4031</v>
      </c>
    </row>
    <row r="414" spans="1:20" x14ac:dyDescent="0.35">
      <c r="A414" s="7" t="s">
        <v>513</v>
      </c>
      <c r="B414" s="12" t="s">
        <v>63</v>
      </c>
      <c r="C414">
        <v>838327802.95501828</v>
      </c>
      <c r="D414">
        <v>822561858.56017113</v>
      </c>
      <c r="E414">
        <v>5809009.0090090157</v>
      </c>
      <c r="F414">
        <v>5749549.5495495526</v>
      </c>
      <c r="G414">
        <v>260</v>
      </c>
      <c r="H414">
        <v>146</v>
      </c>
      <c r="I414">
        <v>1</v>
      </c>
      <c r="K414">
        <v>339</v>
      </c>
      <c r="L414">
        <v>251</v>
      </c>
      <c r="M414">
        <v>115696306.3063063</v>
      </c>
      <c r="N414">
        <v>57589189.189189196</v>
      </c>
      <c r="O414">
        <v>173112172.07207206</v>
      </c>
      <c r="P414">
        <v>180963252.25225225</v>
      </c>
      <c r="Q414">
        <v>113263423.42342342</v>
      </c>
      <c r="R414">
        <v>64079863.063063055</v>
      </c>
      <c r="S414">
        <v>15755</v>
      </c>
      <c r="T414">
        <v>14987</v>
      </c>
    </row>
    <row r="415" spans="1:20" x14ac:dyDescent="0.35">
      <c r="A415" s="7" t="s">
        <v>514</v>
      </c>
      <c r="B415" s="12" t="s">
        <v>118</v>
      </c>
      <c r="C415">
        <v>86187167.813996583</v>
      </c>
      <c r="D415">
        <v>74483468.338458151</v>
      </c>
      <c r="E415">
        <v>107446846.84684685</v>
      </c>
      <c r="F415">
        <v>142220900.9009009</v>
      </c>
      <c r="G415">
        <v>35</v>
      </c>
      <c r="H415">
        <v>36</v>
      </c>
      <c r="K415">
        <v>37</v>
      </c>
      <c r="L415">
        <v>40</v>
      </c>
      <c r="M415">
        <v>7146711.7117117122</v>
      </c>
      <c r="N415">
        <v>7943018.0180180203</v>
      </c>
      <c r="O415">
        <v>37724117.117117122</v>
      </c>
      <c r="P415">
        <v>33957369.369369365</v>
      </c>
      <c r="Q415">
        <v>3516576.576576578</v>
      </c>
      <c r="R415">
        <v>5281666.666666666</v>
      </c>
      <c r="S415">
        <v>2192</v>
      </c>
      <c r="T415">
        <v>1927</v>
      </c>
    </row>
    <row r="416" spans="1:20" x14ac:dyDescent="0.35">
      <c r="A416" s="7" t="s">
        <v>515</v>
      </c>
      <c r="B416" s="12" t="s">
        <v>305</v>
      </c>
      <c r="C416">
        <v>155217672.93416452</v>
      </c>
      <c r="D416">
        <v>148518616.50147018</v>
      </c>
      <c r="E416">
        <v>1819819.8198198189</v>
      </c>
      <c r="F416">
        <v>1000000.000000001</v>
      </c>
      <c r="G416">
        <v>83</v>
      </c>
      <c r="H416">
        <v>83</v>
      </c>
      <c r="I416">
        <v>2</v>
      </c>
      <c r="K416">
        <v>84</v>
      </c>
      <c r="L416">
        <v>89</v>
      </c>
      <c r="M416">
        <v>12536486.486486487</v>
      </c>
      <c r="N416">
        <v>7210810.8108108109</v>
      </c>
      <c r="O416">
        <v>15415270.270270271</v>
      </c>
      <c r="P416">
        <v>16129396.396396397</v>
      </c>
      <c r="Q416">
        <v>12322162.162162162</v>
      </c>
      <c r="R416">
        <v>6365675.6756756771</v>
      </c>
      <c r="S416">
        <v>2083</v>
      </c>
      <c r="T416">
        <v>1441</v>
      </c>
    </row>
    <row r="417" spans="1:20" x14ac:dyDescent="0.35">
      <c r="A417" s="7" t="s">
        <v>516</v>
      </c>
      <c r="B417" s="12" t="s">
        <v>305</v>
      </c>
      <c r="C417">
        <v>43350066.919063278</v>
      </c>
      <c r="D417">
        <v>48186874.801912941</v>
      </c>
      <c r="E417">
        <v>442342.34234234202</v>
      </c>
      <c r="F417">
        <v>394594.59459459799</v>
      </c>
      <c r="G417">
        <v>10</v>
      </c>
      <c r="H417">
        <v>11</v>
      </c>
      <c r="K417">
        <v>12</v>
      </c>
      <c r="L417">
        <v>11</v>
      </c>
      <c r="M417">
        <v>5308108.1081081079</v>
      </c>
      <c r="N417">
        <v>7655855.855855858</v>
      </c>
      <c r="O417">
        <v>6285099.0990990987</v>
      </c>
      <c r="P417">
        <v>7471522.5225225231</v>
      </c>
      <c r="Q417">
        <v>3783513.5135135129</v>
      </c>
      <c r="R417">
        <v>5696756.7567567546</v>
      </c>
      <c r="S417">
        <v>953</v>
      </c>
      <c r="T417">
        <v>547</v>
      </c>
    </row>
    <row r="418" spans="1:20" x14ac:dyDescent="0.35">
      <c r="A418" s="7" t="s">
        <v>517</v>
      </c>
      <c r="B418" s="12" t="s">
        <v>305</v>
      </c>
      <c r="C418">
        <v>90802961.188924983</v>
      </c>
      <c r="D418">
        <v>94099426.596819684</v>
      </c>
      <c r="E418">
        <v>770270.27027026704</v>
      </c>
      <c r="F418">
        <v>270270.27027027402</v>
      </c>
      <c r="G418">
        <v>42</v>
      </c>
      <c r="H418">
        <v>29</v>
      </c>
      <c r="K418">
        <v>47</v>
      </c>
      <c r="L418">
        <v>45</v>
      </c>
      <c r="M418">
        <v>4998198.1981981993</v>
      </c>
      <c r="N418">
        <v>7036036.0360360378</v>
      </c>
      <c r="O418">
        <v>14290189.189189188</v>
      </c>
      <c r="P418">
        <v>14477864.864864863</v>
      </c>
      <c r="Q418">
        <v>4560360.3603603588</v>
      </c>
      <c r="R418">
        <v>6810270.2702702703</v>
      </c>
      <c r="S418">
        <v>1825</v>
      </c>
      <c r="T418">
        <v>1071</v>
      </c>
    </row>
    <row r="419" spans="1:20" x14ac:dyDescent="0.35">
      <c r="A419" s="7" t="s">
        <v>518</v>
      </c>
      <c r="B419" s="12" t="s">
        <v>305</v>
      </c>
      <c r="C419">
        <v>71911714.790479675</v>
      </c>
      <c r="D419">
        <v>70553442.964181691</v>
      </c>
      <c r="E419">
        <v>102702.702702703</v>
      </c>
      <c r="F419">
        <v>76576.576576577994</v>
      </c>
      <c r="G419">
        <v>26</v>
      </c>
      <c r="H419">
        <v>25</v>
      </c>
      <c r="K419">
        <v>26</v>
      </c>
      <c r="L419">
        <v>26</v>
      </c>
      <c r="M419">
        <v>1731531.5315315309</v>
      </c>
      <c r="N419">
        <v>2630630.6306306301</v>
      </c>
      <c r="O419">
        <v>9224270.2702702712</v>
      </c>
      <c r="P419">
        <v>10618639.63963964</v>
      </c>
      <c r="Q419">
        <v>1294504.5045045039</v>
      </c>
      <c r="R419">
        <v>1640990.9909909901</v>
      </c>
      <c r="S419">
        <v>1241</v>
      </c>
      <c r="T419">
        <v>757</v>
      </c>
    </row>
    <row r="420" spans="1:20" x14ac:dyDescent="0.35">
      <c r="A420" s="7" t="s">
        <v>519</v>
      </c>
      <c r="B420" s="12" t="s">
        <v>449</v>
      </c>
      <c r="C420">
        <v>73733230.477784663</v>
      </c>
      <c r="D420">
        <v>72723923.330531165</v>
      </c>
      <c r="E420">
        <v>409909.90990991</v>
      </c>
      <c r="F420">
        <v>1660360.3603603621</v>
      </c>
      <c r="G420">
        <v>19</v>
      </c>
      <c r="H420">
        <v>30</v>
      </c>
      <c r="K420">
        <v>24</v>
      </c>
      <c r="L420">
        <v>39</v>
      </c>
      <c r="M420">
        <v>4782432.4324324317</v>
      </c>
      <c r="N420">
        <v>68314684.684684694</v>
      </c>
      <c r="O420">
        <v>25087425.675675675</v>
      </c>
      <c r="P420">
        <v>25337351.351351351</v>
      </c>
      <c r="Q420">
        <v>5083423.4234234234</v>
      </c>
      <c r="R420">
        <v>68076306.306306303</v>
      </c>
      <c r="S420">
        <v>3523</v>
      </c>
      <c r="T420">
        <v>3590</v>
      </c>
    </row>
    <row r="421" spans="1:20" x14ac:dyDescent="0.35">
      <c r="A421" s="7" t="s">
        <v>520</v>
      </c>
      <c r="B421" s="12" t="s">
        <v>86</v>
      </c>
      <c r="C421">
        <v>228151873.99077609</v>
      </c>
      <c r="D421">
        <v>233443303.03044346</v>
      </c>
      <c r="E421">
        <v>2147747.7477477482</v>
      </c>
      <c r="F421">
        <v>3287387.3873873898</v>
      </c>
      <c r="G421">
        <v>43</v>
      </c>
      <c r="H421">
        <v>18</v>
      </c>
      <c r="K421">
        <v>48</v>
      </c>
      <c r="L421">
        <v>24</v>
      </c>
      <c r="M421">
        <v>53095045.045045048</v>
      </c>
      <c r="N421">
        <v>87760270.270270273</v>
      </c>
      <c r="O421">
        <v>56275953.153153151</v>
      </c>
      <c r="P421">
        <v>64101693.693693697</v>
      </c>
      <c r="Q421">
        <v>43613376.576576576</v>
      </c>
      <c r="R421">
        <v>71039909.909909919</v>
      </c>
      <c r="S421">
        <v>4286</v>
      </c>
      <c r="T421">
        <v>4038</v>
      </c>
    </row>
    <row r="422" spans="1:20" x14ac:dyDescent="0.35">
      <c r="A422" s="7" t="s">
        <v>521</v>
      </c>
      <c r="B422" s="12" t="s">
        <v>305</v>
      </c>
      <c r="C422">
        <v>114380034.26886044</v>
      </c>
      <c r="D422">
        <v>115250226.39625435</v>
      </c>
      <c r="E422">
        <v>84684.684684684995</v>
      </c>
      <c r="F422">
        <v>18018.018018019</v>
      </c>
      <c r="G422">
        <v>15</v>
      </c>
      <c r="H422">
        <v>16</v>
      </c>
      <c r="K422">
        <v>15</v>
      </c>
      <c r="L422">
        <v>17</v>
      </c>
      <c r="M422">
        <v>7736936.9369369382</v>
      </c>
      <c r="N422">
        <v>5945945.9459459456</v>
      </c>
      <c r="O422">
        <v>20114022.522522524</v>
      </c>
      <c r="P422">
        <v>21227954.954954956</v>
      </c>
      <c r="Q422">
        <v>4452702.702702703</v>
      </c>
      <c r="R422">
        <v>4927567.5675675673</v>
      </c>
      <c r="S422">
        <v>1479</v>
      </c>
      <c r="T422">
        <v>1416</v>
      </c>
    </row>
    <row r="423" spans="1:20" x14ac:dyDescent="0.35">
      <c r="A423" s="7" t="s">
        <v>522</v>
      </c>
      <c r="B423" s="12" t="s">
        <v>400</v>
      </c>
      <c r="C423">
        <v>808608473.72742677</v>
      </c>
      <c r="D423">
        <v>809104968.17501342</v>
      </c>
      <c r="E423">
        <v>30794144.144144151</v>
      </c>
      <c r="F423">
        <v>40035135.135135144</v>
      </c>
      <c r="G423">
        <v>316</v>
      </c>
      <c r="H423">
        <v>187</v>
      </c>
      <c r="I423">
        <v>6</v>
      </c>
      <c r="K423">
        <v>628</v>
      </c>
      <c r="L423">
        <v>953</v>
      </c>
      <c r="M423">
        <v>135911486.48648649</v>
      </c>
      <c r="N423">
        <v>175935810.8108108</v>
      </c>
      <c r="O423">
        <v>204339536.03603604</v>
      </c>
      <c r="P423">
        <v>213770738.73873875</v>
      </c>
      <c r="Q423">
        <v>122248108.10810812</v>
      </c>
      <c r="R423">
        <v>160803556.75675678</v>
      </c>
      <c r="S423">
        <v>16607</v>
      </c>
      <c r="T423">
        <v>13703</v>
      </c>
    </row>
    <row r="424" spans="1:20" x14ac:dyDescent="0.35">
      <c r="A424" s="7" t="s">
        <v>523</v>
      </c>
      <c r="B424" s="12" t="s">
        <v>144</v>
      </c>
      <c r="C424">
        <v>227386500.34478742</v>
      </c>
      <c r="D424">
        <v>236665679.03462583</v>
      </c>
      <c r="E424">
        <v>107246215.31531531</v>
      </c>
      <c r="F424">
        <v>141772784.68468469</v>
      </c>
      <c r="G424">
        <v>61</v>
      </c>
      <c r="H424">
        <v>18</v>
      </c>
      <c r="K424">
        <v>62</v>
      </c>
      <c r="L424">
        <v>21</v>
      </c>
      <c r="M424">
        <v>46790090.090090089</v>
      </c>
      <c r="N424">
        <v>38950450.45045045</v>
      </c>
      <c r="O424">
        <v>28928018.018018015</v>
      </c>
      <c r="P424">
        <v>29923302.702702705</v>
      </c>
      <c r="Q424">
        <v>12790630.630630629</v>
      </c>
      <c r="R424">
        <v>11118648.648648648</v>
      </c>
      <c r="S424">
        <v>3170</v>
      </c>
      <c r="T424">
        <v>3085</v>
      </c>
    </row>
    <row r="425" spans="1:20" x14ac:dyDescent="0.35">
      <c r="A425" s="7" t="s">
        <v>524</v>
      </c>
      <c r="B425" s="12" t="s">
        <v>67</v>
      </c>
      <c r="C425">
        <v>157655503.83596841</v>
      </c>
      <c r="D425">
        <v>147443284.20944774</v>
      </c>
      <c r="E425">
        <v>4255855.855855857</v>
      </c>
      <c r="F425">
        <v>4390090.0900900904</v>
      </c>
      <c r="G425">
        <v>37</v>
      </c>
      <c r="H425">
        <v>38</v>
      </c>
      <c r="K425">
        <v>43</v>
      </c>
      <c r="L425">
        <v>47</v>
      </c>
      <c r="M425">
        <v>67200360.360360354</v>
      </c>
      <c r="N425">
        <v>69675450.45045045</v>
      </c>
      <c r="O425">
        <v>75245990.990990996</v>
      </c>
      <c r="P425">
        <v>73677099.0990991</v>
      </c>
      <c r="Q425">
        <v>61708738.738738738</v>
      </c>
      <c r="R425">
        <v>65312027.027027026</v>
      </c>
      <c r="S425">
        <v>5485</v>
      </c>
      <c r="T425">
        <v>3668</v>
      </c>
    </row>
    <row r="426" spans="1:20" x14ac:dyDescent="0.35">
      <c r="A426" s="7" t="s">
        <v>525</v>
      </c>
      <c r="B426" s="12" t="s">
        <v>221</v>
      </c>
      <c r="C426">
        <v>203601377.84170166</v>
      </c>
      <c r="D426">
        <v>204325137.61632231</v>
      </c>
      <c r="E426">
        <v>860360.36036036001</v>
      </c>
      <c r="F426">
        <v>382882.88288288401</v>
      </c>
      <c r="G426">
        <v>73</v>
      </c>
      <c r="H426">
        <v>59</v>
      </c>
      <c r="K426">
        <v>83</v>
      </c>
      <c r="L426">
        <v>65</v>
      </c>
      <c r="M426">
        <v>13031531.53153153</v>
      </c>
      <c r="N426">
        <v>12792567.567567568</v>
      </c>
      <c r="O426">
        <v>51507018.018018015</v>
      </c>
      <c r="P426">
        <v>55045827.027027026</v>
      </c>
      <c r="Q426">
        <v>10504054.054054052</v>
      </c>
      <c r="R426">
        <v>8335450.4504504502</v>
      </c>
      <c r="S426">
        <v>4611</v>
      </c>
      <c r="T426">
        <v>4325</v>
      </c>
    </row>
    <row r="427" spans="1:20" x14ac:dyDescent="0.35">
      <c r="A427" s="7" t="s">
        <v>526</v>
      </c>
      <c r="B427" s="12" t="s">
        <v>414</v>
      </c>
      <c r="C427">
        <v>2249159243.3883576</v>
      </c>
      <c r="D427">
        <v>2283957892.5435653</v>
      </c>
      <c r="E427">
        <v>683732381.08108103</v>
      </c>
      <c r="F427">
        <v>755655255.85585582</v>
      </c>
      <c r="G427">
        <v>695</v>
      </c>
      <c r="H427">
        <v>871</v>
      </c>
      <c r="I427">
        <v>1</v>
      </c>
      <c r="K427">
        <v>1280</v>
      </c>
      <c r="L427">
        <v>1588</v>
      </c>
      <c r="M427">
        <v>185291477.47747746</v>
      </c>
      <c r="N427">
        <v>423830765.76576579</v>
      </c>
      <c r="O427">
        <v>655239310.8108108</v>
      </c>
      <c r="P427">
        <v>734559390.09009016</v>
      </c>
      <c r="Q427">
        <v>186895855.85585588</v>
      </c>
      <c r="R427">
        <v>227767747.74774778</v>
      </c>
      <c r="S427">
        <v>34413</v>
      </c>
      <c r="T427">
        <v>37676</v>
      </c>
    </row>
    <row r="428" spans="1:20" x14ac:dyDescent="0.35">
      <c r="A428" s="7" t="s">
        <v>527</v>
      </c>
      <c r="B428" s="12" t="s">
        <v>414</v>
      </c>
      <c r="C428">
        <v>253294030.92404795</v>
      </c>
      <c r="D428">
        <v>257036589.2093848</v>
      </c>
      <c r="E428">
        <v>2777702.702702703</v>
      </c>
      <c r="F428">
        <v>117117.11711711901</v>
      </c>
      <c r="G428">
        <v>44</v>
      </c>
      <c r="H428">
        <v>30</v>
      </c>
      <c r="K428">
        <v>48</v>
      </c>
      <c r="L428">
        <v>34</v>
      </c>
      <c r="M428">
        <v>14938606.306306308</v>
      </c>
      <c r="N428">
        <v>15108018.01801802</v>
      </c>
      <c r="O428">
        <v>79931693.693693697</v>
      </c>
      <c r="P428">
        <v>83115905.405405402</v>
      </c>
      <c r="Q428">
        <v>13138828.828828828</v>
      </c>
      <c r="R428">
        <v>13314864.864864863</v>
      </c>
      <c r="S428">
        <v>4952</v>
      </c>
      <c r="T428">
        <v>4482</v>
      </c>
    </row>
    <row r="429" spans="1:20" x14ac:dyDescent="0.35">
      <c r="A429" s="7" t="s">
        <v>663</v>
      </c>
      <c r="B429" s="12" t="s">
        <v>190</v>
      </c>
      <c r="C429">
        <v>1390055.465859835</v>
      </c>
      <c r="G429">
        <v>3</v>
      </c>
      <c r="K429">
        <v>4</v>
      </c>
      <c r="O429">
        <v>866486.48648648604</v>
      </c>
      <c r="S429">
        <v>139</v>
      </c>
    </row>
    <row r="430" spans="1:20" x14ac:dyDescent="0.35">
      <c r="A430" s="7" t="s">
        <v>528</v>
      </c>
      <c r="B430" s="12" t="s">
        <v>148</v>
      </c>
      <c r="C430">
        <v>526916866.28435695</v>
      </c>
      <c r="D430">
        <v>501672663.46502149</v>
      </c>
      <c r="E430">
        <v>9808333.3333333358</v>
      </c>
      <c r="F430">
        <v>11647747.747747753</v>
      </c>
      <c r="G430">
        <v>324</v>
      </c>
      <c r="H430">
        <v>196</v>
      </c>
      <c r="K430">
        <v>503</v>
      </c>
      <c r="L430">
        <v>265</v>
      </c>
      <c r="M430">
        <v>146577236.03603604</v>
      </c>
      <c r="N430">
        <v>139688121.62162164</v>
      </c>
      <c r="O430">
        <v>186191628.82882884</v>
      </c>
      <c r="P430">
        <v>190659700.9009009</v>
      </c>
      <c r="Q430">
        <v>139423873.87387386</v>
      </c>
      <c r="R430">
        <v>130698198.1981982</v>
      </c>
      <c r="S430">
        <v>11263</v>
      </c>
      <c r="T430">
        <v>9788</v>
      </c>
    </row>
    <row r="431" spans="1:20" x14ac:dyDescent="0.35">
      <c r="A431" s="7" t="s">
        <v>529</v>
      </c>
      <c r="B431" s="12" t="s">
        <v>122</v>
      </c>
      <c r="C431">
        <v>58622937.852416269</v>
      </c>
      <c r="D431">
        <v>51327134.866071835</v>
      </c>
      <c r="E431">
        <v>494594.59459459502</v>
      </c>
      <c r="F431">
        <v>411711.711711713</v>
      </c>
      <c r="G431">
        <v>27</v>
      </c>
      <c r="H431">
        <v>28</v>
      </c>
      <c r="K431">
        <v>31</v>
      </c>
      <c r="L431">
        <v>34</v>
      </c>
      <c r="M431">
        <v>5760360.3603603607</v>
      </c>
      <c r="N431">
        <v>4790090.0900900913</v>
      </c>
      <c r="O431">
        <v>7666139.6396396402</v>
      </c>
      <c r="P431">
        <v>7004108.1081081089</v>
      </c>
      <c r="Q431">
        <v>5158738.7387387389</v>
      </c>
      <c r="R431">
        <v>4974504.5045045055</v>
      </c>
      <c r="S431">
        <v>993</v>
      </c>
      <c r="T431">
        <v>926</v>
      </c>
    </row>
    <row r="432" spans="1:20" x14ac:dyDescent="0.35">
      <c r="A432" s="7" t="s">
        <v>530</v>
      </c>
      <c r="B432" s="12" t="s">
        <v>449</v>
      </c>
      <c r="C432">
        <v>108351212.41762677</v>
      </c>
      <c r="D432">
        <v>136219701.5300343</v>
      </c>
      <c r="E432">
        <v>517548648.64864862</v>
      </c>
      <c r="F432">
        <v>154181081.08108109</v>
      </c>
      <c r="G432">
        <v>113</v>
      </c>
      <c r="H432">
        <v>28</v>
      </c>
      <c r="K432">
        <v>153</v>
      </c>
      <c r="L432">
        <v>31</v>
      </c>
      <c r="M432">
        <v>23981531.531531531</v>
      </c>
      <c r="N432">
        <v>20547072.072072074</v>
      </c>
      <c r="O432">
        <v>53109209.459459454</v>
      </c>
      <c r="P432">
        <v>65486360.360360362</v>
      </c>
      <c r="Q432">
        <v>22211801.801801801</v>
      </c>
      <c r="R432">
        <v>17250990.990990993</v>
      </c>
      <c r="S432">
        <v>2522</v>
      </c>
      <c r="T432">
        <v>2177</v>
      </c>
    </row>
    <row r="433" spans="1:20" x14ac:dyDescent="0.35">
      <c r="A433" s="7" t="s">
        <v>531</v>
      </c>
      <c r="B433" s="12" t="s">
        <v>449</v>
      </c>
      <c r="C433">
        <v>245273143.08878431</v>
      </c>
      <c r="D433">
        <v>248399108.16411972</v>
      </c>
      <c r="E433">
        <v>1948648.648648649</v>
      </c>
      <c r="F433">
        <v>5678378.3783783792</v>
      </c>
      <c r="G433">
        <v>222</v>
      </c>
      <c r="H433">
        <v>242</v>
      </c>
      <c r="K433">
        <v>233</v>
      </c>
      <c r="L433">
        <v>256</v>
      </c>
      <c r="M433">
        <v>45861711.711711712</v>
      </c>
      <c r="N433">
        <v>38563288.288288288</v>
      </c>
      <c r="O433">
        <v>116997225.22522523</v>
      </c>
      <c r="P433">
        <v>119568275.67567568</v>
      </c>
      <c r="Q433">
        <v>45868288.288288288</v>
      </c>
      <c r="R433">
        <v>37435630.630630635</v>
      </c>
      <c r="S433">
        <v>7902</v>
      </c>
      <c r="T433">
        <v>5328</v>
      </c>
    </row>
    <row r="434" spans="1:20" x14ac:dyDescent="0.35">
      <c r="A434" s="7" t="s">
        <v>532</v>
      </c>
      <c r="B434" s="12" t="s">
        <v>124</v>
      </c>
      <c r="C434">
        <v>646151178.69848382</v>
      </c>
      <c r="D434">
        <v>655190971.09019351</v>
      </c>
      <c r="E434">
        <v>317874767.56756753</v>
      </c>
      <c r="F434">
        <v>550700451.35135138</v>
      </c>
      <c r="G434">
        <v>457</v>
      </c>
      <c r="H434">
        <v>346</v>
      </c>
      <c r="I434">
        <v>8</v>
      </c>
      <c r="K434">
        <v>920</v>
      </c>
      <c r="L434">
        <v>972</v>
      </c>
      <c r="M434">
        <v>265429279.27927926</v>
      </c>
      <c r="N434">
        <v>410472702.7027027</v>
      </c>
      <c r="O434">
        <v>227560430.63063061</v>
      </c>
      <c r="P434">
        <v>246736290.99099097</v>
      </c>
      <c r="Q434">
        <v>263740180.18018019</v>
      </c>
      <c r="R434">
        <v>410153513.51351357</v>
      </c>
      <c r="S434">
        <v>17967</v>
      </c>
      <c r="T434">
        <v>11106</v>
      </c>
    </row>
    <row r="435" spans="1:20" x14ac:dyDescent="0.35">
      <c r="A435" s="7" t="s">
        <v>533</v>
      </c>
      <c r="B435" s="12" t="s">
        <v>86</v>
      </c>
      <c r="C435">
        <v>188057677.51826489</v>
      </c>
      <c r="D435">
        <v>215828941.46512362</v>
      </c>
      <c r="E435">
        <v>2018018.0180180189</v>
      </c>
      <c r="F435">
        <v>3754054.054054054</v>
      </c>
      <c r="G435">
        <v>46</v>
      </c>
      <c r="H435">
        <v>33</v>
      </c>
      <c r="K435">
        <v>54</v>
      </c>
      <c r="L435">
        <v>46</v>
      </c>
      <c r="M435">
        <v>34181621.621621624</v>
      </c>
      <c r="N435">
        <v>70918468.468468457</v>
      </c>
      <c r="O435">
        <v>41073558.558558561</v>
      </c>
      <c r="P435">
        <v>55525369.369369365</v>
      </c>
      <c r="Q435">
        <v>26900180.180180181</v>
      </c>
      <c r="R435">
        <v>56346846.846846849</v>
      </c>
      <c r="S435">
        <v>3983</v>
      </c>
      <c r="T435">
        <v>3884</v>
      </c>
    </row>
    <row r="436" spans="1:20" x14ac:dyDescent="0.35">
      <c r="A436" s="7" t="s">
        <v>9</v>
      </c>
      <c r="B436" s="12" t="s">
        <v>159</v>
      </c>
      <c r="C436">
        <v>505917938.18955123</v>
      </c>
      <c r="D436">
        <v>480596720.7425977</v>
      </c>
      <c r="E436">
        <v>13739057.657657661</v>
      </c>
      <c r="F436">
        <v>10460973.873873876</v>
      </c>
      <c r="G436">
        <v>83</v>
      </c>
      <c r="H436">
        <v>116</v>
      </c>
      <c r="I436">
        <v>1</v>
      </c>
      <c r="K436">
        <v>89</v>
      </c>
      <c r="L436">
        <v>139</v>
      </c>
      <c r="M436">
        <v>714869320.72072077</v>
      </c>
      <c r="N436">
        <v>698037235.13513505</v>
      </c>
      <c r="O436">
        <v>183004918.91891891</v>
      </c>
      <c r="P436">
        <v>175938403.6036036</v>
      </c>
      <c r="Q436">
        <v>623499279.27927923</v>
      </c>
      <c r="R436">
        <v>640624909.90990984</v>
      </c>
      <c r="S436">
        <v>8225</v>
      </c>
      <c r="T436">
        <v>7083</v>
      </c>
    </row>
    <row r="437" spans="1:20" x14ac:dyDescent="0.35">
      <c r="A437" s="7" t="s">
        <v>534</v>
      </c>
      <c r="B437" s="12" t="s">
        <v>95</v>
      </c>
      <c r="C437">
        <v>485204338.19432199</v>
      </c>
      <c r="D437">
        <v>499496569.15942681</v>
      </c>
      <c r="E437">
        <v>1548648.648648652</v>
      </c>
      <c r="F437">
        <v>1998198.1981982</v>
      </c>
      <c r="G437">
        <v>98</v>
      </c>
      <c r="H437">
        <v>107</v>
      </c>
      <c r="K437">
        <v>109</v>
      </c>
      <c r="L437">
        <v>132</v>
      </c>
      <c r="M437">
        <v>45667567.567567565</v>
      </c>
      <c r="N437">
        <v>52498198.198198199</v>
      </c>
      <c r="O437">
        <v>63925396.396396399</v>
      </c>
      <c r="P437">
        <v>75448140.540540546</v>
      </c>
      <c r="Q437">
        <v>28605225.225225229</v>
      </c>
      <c r="R437">
        <v>31547477.47747748</v>
      </c>
      <c r="S437">
        <v>6620</v>
      </c>
      <c r="T437">
        <v>6546</v>
      </c>
    </row>
    <row r="438" spans="1:20" x14ac:dyDescent="0.35">
      <c r="A438" s="7" t="s">
        <v>535</v>
      </c>
      <c r="B438" s="12" t="s">
        <v>305</v>
      </c>
      <c r="C438">
        <v>13604071.059637109</v>
      </c>
      <c r="D438">
        <v>18037584.83170281</v>
      </c>
      <c r="G438">
        <v>7</v>
      </c>
      <c r="H438">
        <v>7</v>
      </c>
      <c r="K438">
        <v>8</v>
      </c>
      <c r="L438">
        <v>7</v>
      </c>
      <c r="O438">
        <v>2464054.054054054</v>
      </c>
      <c r="P438">
        <v>2144909.9099099101</v>
      </c>
      <c r="S438">
        <v>474</v>
      </c>
      <c r="T438">
        <v>398</v>
      </c>
    </row>
    <row r="439" spans="1:20" x14ac:dyDescent="0.35">
      <c r="A439" s="7" t="s">
        <v>536</v>
      </c>
      <c r="B439" s="12" t="s">
        <v>305</v>
      </c>
      <c r="C439">
        <v>198621185.17733851</v>
      </c>
      <c r="D439">
        <v>191542637.61771753</v>
      </c>
      <c r="E439">
        <v>1072972.9729729739</v>
      </c>
      <c r="F439">
        <v>1635135.1351351361</v>
      </c>
      <c r="G439">
        <v>22</v>
      </c>
      <c r="H439">
        <v>35</v>
      </c>
      <c r="K439">
        <v>30</v>
      </c>
      <c r="L439">
        <v>39</v>
      </c>
      <c r="M439">
        <v>15939639.63963964</v>
      </c>
      <c r="N439">
        <v>18536036.036036037</v>
      </c>
      <c r="O439">
        <v>17830540.540540539</v>
      </c>
      <c r="P439">
        <v>17120306.306306306</v>
      </c>
      <c r="Q439">
        <v>8735135.1351351365</v>
      </c>
      <c r="R439">
        <v>9623603.6036036015</v>
      </c>
      <c r="S439">
        <v>2953</v>
      </c>
      <c r="T439">
        <v>2709</v>
      </c>
    </row>
    <row r="440" spans="1:20" x14ac:dyDescent="0.35">
      <c r="A440" s="7" t="s">
        <v>537</v>
      </c>
      <c r="B440" s="12" t="s">
        <v>86</v>
      </c>
      <c r="C440">
        <v>177937580.69254452</v>
      </c>
      <c r="D440">
        <v>185507445.02297071</v>
      </c>
      <c r="E440">
        <v>1168468.46846847</v>
      </c>
      <c r="F440">
        <v>1681981.981981985</v>
      </c>
      <c r="G440">
        <v>85</v>
      </c>
      <c r="H440">
        <v>191</v>
      </c>
      <c r="I440">
        <v>4</v>
      </c>
      <c r="K440">
        <v>100</v>
      </c>
      <c r="L440">
        <v>225</v>
      </c>
      <c r="M440">
        <v>68734144.144144148</v>
      </c>
      <c r="N440">
        <v>97168288.288288295</v>
      </c>
      <c r="O440">
        <v>78027459.459459454</v>
      </c>
      <c r="P440">
        <v>87028450.45045045</v>
      </c>
      <c r="Q440">
        <v>57642612.612612613</v>
      </c>
      <c r="R440">
        <v>83696576.576576576</v>
      </c>
      <c r="S440">
        <v>3132</v>
      </c>
      <c r="T440">
        <v>3004</v>
      </c>
    </row>
    <row r="441" spans="1:20" x14ac:dyDescent="0.35">
      <c r="A441" s="7" t="s">
        <v>538</v>
      </c>
      <c r="B441" s="12" t="s">
        <v>449</v>
      </c>
      <c r="C441">
        <v>243729363.67179582</v>
      </c>
      <c r="D441">
        <v>232215786.01044983</v>
      </c>
      <c r="E441">
        <v>2581981.981981982</v>
      </c>
      <c r="F441">
        <v>1562162.162162164</v>
      </c>
      <c r="G441">
        <v>232</v>
      </c>
      <c r="H441">
        <v>76</v>
      </c>
      <c r="I441">
        <v>2</v>
      </c>
      <c r="K441">
        <v>276</v>
      </c>
      <c r="L441">
        <v>93</v>
      </c>
      <c r="M441">
        <v>26993423.423423424</v>
      </c>
      <c r="N441">
        <v>32745045.045045048</v>
      </c>
      <c r="O441">
        <v>67911268.468468457</v>
      </c>
      <c r="P441">
        <v>70692387.387387395</v>
      </c>
      <c r="Q441">
        <v>27788378.378378376</v>
      </c>
      <c r="R441">
        <v>30559729.729729727</v>
      </c>
      <c r="S441">
        <v>6986</v>
      </c>
      <c r="T441">
        <v>5228</v>
      </c>
    </row>
    <row r="442" spans="1:20" x14ac:dyDescent="0.35">
      <c r="A442" s="7" t="s">
        <v>539</v>
      </c>
      <c r="B442" s="12" t="s">
        <v>118</v>
      </c>
      <c r="C442">
        <v>550185589.9541713</v>
      </c>
      <c r="D442">
        <v>527284454.11658937</v>
      </c>
      <c r="E442">
        <v>12331756.756756758</v>
      </c>
      <c r="F442">
        <v>12699999.999999998</v>
      </c>
      <c r="G442">
        <v>186</v>
      </c>
      <c r="H442">
        <v>180</v>
      </c>
      <c r="K442">
        <v>225</v>
      </c>
      <c r="L442">
        <v>239</v>
      </c>
      <c r="M442">
        <v>131479728.82882883</v>
      </c>
      <c r="N442">
        <v>125262939.63963965</v>
      </c>
      <c r="O442">
        <v>314112545.04504508</v>
      </c>
      <c r="P442">
        <v>300516981.98198193</v>
      </c>
      <c r="Q442">
        <v>115856486.48648648</v>
      </c>
      <c r="R442">
        <v>106000225.22522521</v>
      </c>
      <c r="S442">
        <v>12276</v>
      </c>
      <c r="T442">
        <v>11849</v>
      </c>
    </row>
    <row r="443" spans="1:20" x14ac:dyDescent="0.35">
      <c r="A443" s="7" t="s">
        <v>540</v>
      </c>
      <c r="B443" s="12" t="s">
        <v>84</v>
      </c>
      <c r="C443">
        <v>1729031455.1267116</v>
      </c>
      <c r="D443">
        <v>1707462873.2396445</v>
      </c>
      <c r="E443">
        <v>8661338.7387387417</v>
      </c>
      <c r="F443">
        <v>10591441.441441445</v>
      </c>
      <c r="G443">
        <v>341</v>
      </c>
      <c r="H443">
        <v>287</v>
      </c>
      <c r="I443">
        <v>1</v>
      </c>
      <c r="K443">
        <v>380</v>
      </c>
      <c r="L443">
        <v>385</v>
      </c>
      <c r="M443">
        <v>127013594.5945946</v>
      </c>
      <c r="N443">
        <v>114412162.16216215</v>
      </c>
      <c r="O443">
        <v>186644660.8108108</v>
      </c>
      <c r="P443">
        <v>201903632.43243244</v>
      </c>
      <c r="Q443">
        <v>119073646.84684685</v>
      </c>
      <c r="R443">
        <v>100963016.21621622</v>
      </c>
      <c r="S443">
        <v>23333</v>
      </c>
      <c r="T443">
        <v>21769</v>
      </c>
    </row>
    <row r="444" spans="1:20" x14ac:dyDescent="0.35">
      <c r="A444" s="7" t="s">
        <v>541</v>
      </c>
      <c r="B444" s="12" t="s">
        <v>316</v>
      </c>
      <c r="C444">
        <v>210167488.880831</v>
      </c>
      <c r="D444">
        <v>205792375.58305728</v>
      </c>
      <c r="E444">
        <v>2999324.3243243238</v>
      </c>
      <c r="F444">
        <v>2885135.1351351389</v>
      </c>
      <c r="G444">
        <v>46</v>
      </c>
      <c r="H444">
        <v>18</v>
      </c>
      <c r="K444">
        <v>50</v>
      </c>
      <c r="L444">
        <v>22</v>
      </c>
      <c r="M444">
        <v>14854054.054054054</v>
      </c>
      <c r="N444">
        <v>29327477.47747748</v>
      </c>
      <c r="O444">
        <v>39717342.342342347</v>
      </c>
      <c r="P444">
        <v>41675360.360360362</v>
      </c>
      <c r="Q444">
        <v>12808018.018018018</v>
      </c>
      <c r="R444">
        <v>27835315.315315317</v>
      </c>
      <c r="S444">
        <v>2690</v>
      </c>
      <c r="T444">
        <v>2596</v>
      </c>
    </row>
    <row r="445" spans="1:20" x14ac:dyDescent="0.35">
      <c r="A445" s="7" t="s">
        <v>542</v>
      </c>
      <c r="B445" s="12" t="s">
        <v>170</v>
      </c>
      <c r="C445">
        <v>1460104248.8129008</v>
      </c>
      <c r="D445">
        <v>1478403147.5426323</v>
      </c>
      <c r="E445">
        <v>3867567.567567565</v>
      </c>
      <c r="F445">
        <v>7035135.1351351347</v>
      </c>
      <c r="G445">
        <v>181</v>
      </c>
      <c r="H445">
        <v>241</v>
      </c>
      <c r="I445">
        <v>1</v>
      </c>
      <c r="K445">
        <v>226</v>
      </c>
      <c r="L445">
        <v>327</v>
      </c>
      <c r="M445">
        <v>89285292.792792797</v>
      </c>
      <c r="N445">
        <v>92931981.081081092</v>
      </c>
      <c r="O445">
        <v>537244231.98198199</v>
      </c>
      <c r="P445">
        <v>573070063.06306303</v>
      </c>
      <c r="Q445">
        <v>89510540.540540546</v>
      </c>
      <c r="R445">
        <v>90808378.378378391</v>
      </c>
      <c r="S445">
        <v>24054</v>
      </c>
      <c r="T445">
        <v>20214</v>
      </c>
    </row>
    <row r="446" spans="1:20" x14ac:dyDescent="0.35">
      <c r="A446" s="7" t="s">
        <v>543</v>
      </c>
      <c r="B446" s="12" t="s">
        <v>480</v>
      </c>
      <c r="C446">
        <v>452702872.21613497</v>
      </c>
      <c r="D446">
        <v>444331463.58400947</v>
      </c>
      <c r="E446">
        <v>1193693.693693694</v>
      </c>
      <c r="F446">
        <v>2162162.1621621619</v>
      </c>
      <c r="G446">
        <v>50</v>
      </c>
      <c r="H446">
        <v>35</v>
      </c>
      <c r="K446">
        <v>54</v>
      </c>
      <c r="L446">
        <v>43</v>
      </c>
      <c r="M446">
        <v>3445945.9459459451</v>
      </c>
      <c r="N446">
        <v>3513513.5135135222</v>
      </c>
      <c r="O446">
        <v>57827531.531531535</v>
      </c>
      <c r="P446">
        <v>78940072.072072074</v>
      </c>
      <c r="Q446">
        <v>2818198.1981981969</v>
      </c>
      <c r="R446">
        <v>3202792.7927928008</v>
      </c>
      <c r="S446">
        <v>6020</v>
      </c>
      <c r="T446">
        <v>5373</v>
      </c>
    </row>
    <row r="447" spans="1:20" x14ac:dyDescent="0.35">
      <c r="A447" s="7" t="s">
        <v>544</v>
      </c>
      <c r="B447" s="12" t="s">
        <v>81</v>
      </c>
      <c r="C447">
        <v>111628017.49966702</v>
      </c>
      <c r="D447">
        <v>119662595.69793631</v>
      </c>
      <c r="E447">
        <v>979729.72972973005</v>
      </c>
      <c r="F447">
        <v>1835135.1351351361</v>
      </c>
      <c r="G447">
        <v>38</v>
      </c>
      <c r="H447">
        <v>8</v>
      </c>
      <c r="K447">
        <v>42</v>
      </c>
      <c r="L447">
        <v>15</v>
      </c>
      <c r="M447">
        <v>28917567.567567568</v>
      </c>
      <c r="N447">
        <v>14216216.216216216</v>
      </c>
      <c r="O447">
        <v>41369774.774774775</v>
      </c>
      <c r="P447">
        <v>43314846.846846849</v>
      </c>
      <c r="Q447">
        <v>28622342.342342343</v>
      </c>
      <c r="R447">
        <v>13174774.774774777</v>
      </c>
      <c r="S447">
        <v>3000</v>
      </c>
      <c r="T447">
        <v>2468</v>
      </c>
    </row>
    <row r="448" spans="1:20" x14ac:dyDescent="0.35">
      <c r="A448" s="7" t="s">
        <v>545</v>
      </c>
      <c r="B448" s="12" t="s">
        <v>170</v>
      </c>
      <c r="C448">
        <v>113266971.29621682</v>
      </c>
      <c r="D448">
        <v>155534341.59400588</v>
      </c>
      <c r="E448">
        <v>971854054.05405402</v>
      </c>
      <c r="F448">
        <v>2112736036.036036</v>
      </c>
      <c r="G448">
        <v>17</v>
      </c>
      <c r="H448">
        <v>4</v>
      </c>
      <c r="K448">
        <v>18</v>
      </c>
      <c r="L448">
        <v>5</v>
      </c>
      <c r="M448">
        <v>10416036.036036037</v>
      </c>
      <c r="N448">
        <v>34604504.504504502</v>
      </c>
      <c r="O448">
        <v>46979313.513513513</v>
      </c>
      <c r="P448">
        <v>57237315.315315314</v>
      </c>
      <c r="Q448">
        <v>814054.05405405397</v>
      </c>
      <c r="R448">
        <v>1186036.036036036</v>
      </c>
      <c r="S448">
        <v>2494</v>
      </c>
      <c r="T448">
        <v>2501</v>
      </c>
    </row>
    <row r="449" spans="1:20" x14ac:dyDescent="0.35">
      <c r="A449" s="7" t="s">
        <v>546</v>
      </c>
      <c r="B449" s="12" t="s">
        <v>225</v>
      </c>
      <c r="C449">
        <v>14736.473542234</v>
      </c>
      <c r="D449">
        <v>42313.454668708</v>
      </c>
      <c r="O449">
        <v>6081.0810810809999</v>
      </c>
      <c r="P449">
        <v>6081.0810810809999</v>
      </c>
      <c r="S449">
        <v>1</v>
      </c>
    </row>
    <row r="450" spans="1:20" x14ac:dyDescent="0.35">
      <c r="A450" s="7" t="s">
        <v>547</v>
      </c>
      <c r="B450" s="12" t="s">
        <v>137</v>
      </c>
      <c r="C450">
        <v>284769431.7055167</v>
      </c>
      <c r="D450">
        <v>298701773.11511087</v>
      </c>
      <c r="E450">
        <v>1072972.9729729709</v>
      </c>
      <c r="F450">
        <v>2323423.4234234239</v>
      </c>
      <c r="G450">
        <v>95</v>
      </c>
      <c r="H450">
        <v>57</v>
      </c>
      <c r="K450">
        <v>100</v>
      </c>
      <c r="L450">
        <v>60</v>
      </c>
      <c r="M450">
        <v>66895495.495495498</v>
      </c>
      <c r="N450">
        <v>68098198.198198199</v>
      </c>
      <c r="O450">
        <v>94127763.963963971</v>
      </c>
      <c r="P450">
        <v>115206700.9009009</v>
      </c>
      <c r="Q450">
        <v>52749279.279279277</v>
      </c>
      <c r="R450">
        <v>55432702.702702701</v>
      </c>
      <c r="S450">
        <v>4549</v>
      </c>
      <c r="T450">
        <v>4507</v>
      </c>
    </row>
    <row r="451" spans="1:20" x14ac:dyDescent="0.35">
      <c r="A451" s="7" t="s">
        <v>548</v>
      </c>
      <c r="B451" s="12" t="s">
        <v>137</v>
      </c>
      <c r="C451">
        <v>535527025.08282977</v>
      </c>
      <c r="D451">
        <v>542125968.93438482</v>
      </c>
      <c r="E451">
        <v>364905131.53153151</v>
      </c>
      <c r="F451">
        <v>413840376.57657659</v>
      </c>
      <c r="G451">
        <v>262</v>
      </c>
      <c r="H451">
        <v>252</v>
      </c>
      <c r="I451">
        <v>7</v>
      </c>
      <c r="K451">
        <v>304</v>
      </c>
      <c r="L451">
        <v>341</v>
      </c>
      <c r="M451">
        <v>136329729.72972974</v>
      </c>
      <c r="N451">
        <v>131310810.81081082</v>
      </c>
      <c r="O451">
        <v>177507137.83783782</v>
      </c>
      <c r="P451">
        <v>186928682.88288289</v>
      </c>
      <c r="Q451">
        <v>114996702.7027027</v>
      </c>
      <c r="R451">
        <v>109546216.21621622</v>
      </c>
      <c r="S451">
        <v>12912</v>
      </c>
      <c r="T451">
        <v>12788</v>
      </c>
    </row>
    <row r="452" spans="1:20" x14ac:dyDescent="0.35">
      <c r="A452" s="7" t="s">
        <v>549</v>
      </c>
      <c r="B452" s="12" t="s">
        <v>137</v>
      </c>
      <c r="C452">
        <v>604039197.06723368</v>
      </c>
      <c r="D452">
        <v>626386108.00017107</v>
      </c>
      <c r="E452">
        <v>4530630.6306306329</v>
      </c>
      <c r="F452">
        <v>2294594.594594596</v>
      </c>
      <c r="G452">
        <v>93</v>
      </c>
      <c r="H452">
        <v>120</v>
      </c>
      <c r="I452">
        <v>2</v>
      </c>
      <c r="K452">
        <v>102</v>
      </c>
      <c r="L452">
        <v>127</v>
      </c>
      <c r="M452">
        <v>23089189.189189192</v>
      </c>
      <c r="N452">
        <v>24501801.801801804</v>
      </c>
      <c r="O452">
        <v>97835610.810810819</v>
      </c>
      <c r="P452">
        <v>106008972.97297297</v>
      </c>
      <c r="Q452">
        <v>21082432.432432432</v>
      </c>
      <c r="R452">
        <v>21208828.828828823</v>
      </c>
      <c r="S452">
        <v>8402</v>
      </c>
      <c r="T452">
        <v>10951</v>
      </c>
    </row>
    <row r="453" spans="1:20" x14ac:dyDescent="0.35">
      <c r="A453" s="7" t="s">
        <v>550</v>
      </c>
      <c r="B453" s="12" t="s">
        <v>137</v>
      </c>
      <c r="C453">
        <v>254175496.5325453</v>
      </c>
      <c r="D453">
        <v>235582747.26276183</v>
      </c>
      <c r="E453">
        <v>18861261.261261258</v>
      </c>
      <c r="F453">
        <v>84903603.603603601</v>
      </c>
      <c r="G453">
        <v>44</v>
      </c>
      <c r="H453">
        <v>58</v>
      </c>
      <c r="I453">
        <v>1</v>
      </c>
      <c r="K453">
        <v>47</v>
      </c>
      <c r="L453">
        <v>66</v>
      </c>
      <c r="M453">
        <v>19209909.909909908</v>
      </c>
      <c r="N453">
        <v>20907207.207207207</v>
      </c>
      <c r="O453">
        <v>41587855.855855852</v>
      </c>
      <c r="P453">
        <v>45483486.486486487</v>
      </c>
      <c r="Q453">
        <v>15003513.513513513</v>
      </c>
      <c r="R453">
        <v>17352432.432432432</v>
      </c>
      <c r="S453">
        <v>4044</v>
      </c>
      <c r="T453">
        <v>3205</v>
      </c>
    </row>
    <row r="454" spans="1:20" x14ac:dyDescent="0.35">
      <c r="A454" s="7" t="s">
        <v>551</v>
      </c>
      <c r="B454" s="12" t="s">
        <v>88</v>
      </c>
      <c r="C454">
        <v>105932061.05744162</v>
      </c>
      <c r="D454">
        <v>103129837.64366496</v>
      </c>
      <c r="E454">
        <v>158558.55855855899</v>
      </c>
      <c r="F454">
        <v>54054.054054054999</v>
      </c>
      <c r="G454">
        <v>58</v>
      </c>
      <c r="H454">
        <v>30</v>
      </c>
      <c r="K454">
        <v>62</v>
      </c>
      <c r="L454">
        <v>32</v>
      </c>
      <c r="M454">
        <v>6082882.8828828838</v>
      </c>
      <c r="N454">
        <v>5630630.630630631</v>
      </c>
      <c r="O454">
        <v>17074529.729729731</v>
      </c>
      <c r="P454">
        <v>18215432.432432432</v>
      </c>
      <c r="Q454">
        <v>6221171.1711711707</v>
      </c>
      <c r="R454">
        <v>4522072.072072072</v>
      </c>
      <c r="S454">
        <v>1494</v>
      </c>
      <c r="T454">
        <v>1327</v>
      </c>
    </row>
    <row r="455" spans="1:20" x14ac:dyDescent="0.35">
      <c r="A455" s="7" t="s">
        <v>552</v>
      </c>
      <c r="B455" s="12" t="s">
        <v>88</v>
      </c>
      <c r="C455">
        <v>158446758.31901693</v>
      </c>
      <c r="D455">
        <v>161086942.58518681</v>
      </c>
      <c r="E455">
        <v>94712355.855855852</v>
      </c>
      <c r="F455">
        <v>83154221.621621609</v>
      </c>
      <c r="G455">
        <v>97</v>
      </c>
      <c r="H455">
        <v>63</v>
      </c>
      <c r="K455">
        <v>107</v>
      </c>
      <c r="L455">
        <v>69</v>
      </c>
      <c r="M455">
        <v>11915315.315315315</v>
      </c>
      <c r="N455">
        <v>13301801.801801801</v>
      </c>
      <c r="O455">
        <v>22469538.738738742</v>
      </c>
      <c r="P455">
        <v>22292576.576576576</v>
      </c>
      <c r="Q455">
        <v>9040900.9009009004</v>
      </c>
      <c r="R455">
        <v>9329819.8198198192</v>
      </c>
      <c r="S455">
        <v>2828</v>
      </c>
      <c r="T455">
        <v>2683</v>
      </c>
    </row>
    <row r="456" spans="1:20" x14ac:dyDescent="0.35">
      <c r="A456" s="7" t="s">
        <v>553</v>
      </c>
      <c r="B456" s="12" t="s">
        <v>67</v>
      </c>
      <c r="C456">
        <v>319413859.37124902</v>
      </c>
      <c r="D456">
        <v>323363748.5545752</v>
      </c>
      <c r="E456">
        <v>12541441.441441445</v>
      </c>
      <c r="F456">
        <v>16850900.900900904</v>
      </c>
      <c r="G456">
        <v>202</v>
      </c>
      <c r="H456">
        <v>95</v>
      </c>
      <c r="I456">
        <v>1</v>
      </c>
      <c r="K456">
        <v>229</v>
      </c>
      <c r="L456">
        <v>141</v>
      </c>
      <c r="M456">
        <v>223807927.92792794</v>
      </c>
      <c r="N456">
        <v>308231846.84684682</v>
      </c>
      <c r="O456">
        <v>136905713.96396396</v>
      </c>
      <c r="P456">
        <v>137326819.81981984</v>
      </c>
      <c r="Q456">
        <v>205555405.4054054</v>
      </c>
      <c r="R456">
        <v>200797567.56756756</v>
      </c>
      <c r="S456">
        <v>15780</v>
      </c>
      <c r="T456">
        <v>9249</v>
      </c>
    </row>
    <row r="457" spans="1:20" x14ac:dyDescent="0.35">
      <c r="A457" s="7" t="s">
        <v>554</v>
      </c>
      <c r="B457" s="12" t="s">
        <v>555</v>
      </c>
      <c r="C457">
        <v>633815072.79312015</v>
      </c>
      <c r="D457">
        <v>623496345.70279634</v>
      </c>
      <c r="E457">
        <v>225056954.95495495</v>
      </c>
      <c r="F457">
        <v>210655988.2882883</v>
      </c>
      <c r="G457">
        <v>144</v>
      </c>
      <c r="H457">
        <v>75</v>
      </c>
      <c r="I457">
        <v>5</v>
      </c>
      <c r="K457">
        <v>176</v>
      </c>
      <c r="L457">
        <v>94</v>
      </c>
      <c r="M457">
        <v>232420270.27027026</v>
      </c>
      <c r="N457">
        <v>244877477.47747746</v>
      </c>
      <c r="O457">
        <v>173732486.48648649</v>
      </c>
      <c r="P457">
        <v>194754738.73873875</v>
      </c>
      <c r="Q457">
        <v>212523333.33333334</v>
      </c>
      <c r="R457">
        <v>206418558.55855855</v>
      </c>
      <c r="S457">
        <v>9446</v>
      </c>
      <c r="T457">
        <v>8994</v>
      </c>
    </row>
    <row r="458" spans="1:20" x14ac:dyDescent="0.35">
      <c r="A458" s="7" t="s">
        <v>556</v>
      </c>
      <c r="B458" s="12" t="s">
        <v>555</v>
      </c>
      <c r="C458">
        <v>97913526.184402078</v>
      </c>
      <c r="D458">
        <v>96881312.196081653</v>
      </c>
      <c r="E458">
        <v>2103603.6036036038</v>
      </c>
      <c r="F458">
        <v>469369.36936937098</v>
      </c>
      <c r="G458">
        <v>34</v>
      </c>
      <c r="H458">
        <v>30</v>
      </c>
      <c r="K458">
        <v>36</v>
      </c>
      <c r="L458">
        <v>39</v>
      </c>
      <c r="M458">
        <v>12896396.396396397</v>
      </c>
      <c r="N458">
        <v>9142792.7927927934</v>
      </c>
      <c r="O458">
        <v>35037738.738738738</v>
      </c>
      <c r="P458">
        <v>39278549.54954955</v>
      </c>
      <c r="Q458">
        <v>12633063.063063065</v>
      </c>
      <c r="R458">
        <v>8108918.9189189197</v>
      </c>
      <c r="S458">
        <v>1674</v>
      </c>
      <c r="T458">
        <v>1580</v>
      </c>
    </row>
    <row r="459" spans="1:20" x14ac:dyDescent="0.35">
      <c r="A459" s="7" t="s">
        <v>557</v>
      </c>
      <c r="B459" s="12" t="s">
        <v>122</v>
      </c>
      <c r="C459">
        <v>71348280.866256282</v>
      </c>
      <c r="D459">
        <v>72573252.530348569</v>
      </c>
      <c r="E459">
        <v>74625768.468468457</v>
      </c>
      <c r="F459">
        <v>75265821.621621609</v>
      </c>
      <c r="G459">
        <v>36</v>
      </c>
      <c r="H459">
        <v>32</v>
      </c>
      <c r="K459">
        <v>40</v>
      </c>
      <c r="L459">
        <v>35</v>
      </c>
      <c r="M459">
        <v>18119045.045045044</v>
      </c>
      <c r="N459">
        <v>1092792.7927927929</v>
      </c>
      <c r="O459">
        <v>6378459.4594594594</v>
      </c>
      <c r="P459">
        <v>9159369.3693693709</v>
      </c>
      <c r="Q459">
        <v>243693.69369369399</v>
      </c>
      <c r="R459">
        <v>216216.21621621601</v>
      </c>
      <c r="S459">
        <v>1525</v>
      </c>
      <c r="T459">
        <v>1325</v>
      </c>
    </row>
    <row r="460" spans="1:20" x14ac:dyDescent="0.35">
      <c r="A460" s="7" t="s">
        <v>558</v>
      </c>
      <c r="B460" s="12" t="s">
        <v>71</v>
      </c>
      <c r="C460">
        <v>583145182.09447742</v>
      </c>
      <c r="D460">
        <v>577164442.60419345</v>
      </c>
      <c r="E460">
        <v>83727027.027027041</v>
      </c>
      <c r="F460">
        <v>60836486.486486487</v>
      </c>
      <c r="G460">
        <v>138</v>
      </c>
      <c r="H460">
        <v>158</v>
      </c>
      <c r="K460">
        <v>203</v>
      </c>
      <c r="L460">
        <v>194</v>
      </c>
      <c r="M460">
        <v>125761711.7117117</v>
      </c>
      <c r="N460">
        <v>237682657.65765765</v>
      </c>
      <c r="O460">
        <v>243782720.72072071</v>
      </c>
      <c r="P460">
        <v>244190576.57657659</v>
      </c>
      <c r="Q460">
        <v>77956036.036036029</v>
      </c>
      <c r="R460">
        <v>176290000</v>
      </c>
      <c r="S460">
        <v>10973</v>
      </c>
      <c r="T460">
        <v>10682</v>
      </c>
    </row>
    <row r="461" spans="1:20" x14ac:dyDescent="0.35">
      <c r="A461" s="7" t="s">
        <v>559</v>
      </c>
      <c r="B461" s="12" t="s">
        <v>63</v>
      </c>
      <c r="C461">
        <v>1057092151.1443455</v>
      </c>
      <c r="D461">
        <v>1059457066.493664</v>
      </c>
      <c r="E461">
        <v>16634319.81981983</v>
      </c>
      <c r="F461">
        <v>25186486.486486495</v>
      </c>
      <c r="G461">
        <v>560</v>
      </c>
      <c r="H461">
        <v>493</v>
      </c>
      <c r="K461">
        <v>815</v>
      </c>
      <c r="L461">
        <v>856</v>
      </c>
      <c r="M461">
        <v>148002702.7027027</v>
      </c>
      <c r="N461">
        <v>276140540.54054052</v>
      </c>
      <c r="O461">
        <v>248037472.97297296</v>
      </c>
      <c r="P461">
        <v>278326072.07207209</v>
      </c>
      <c r="Q461">
        <v>144164864.86486486</v>
      </c>
      <c r="R461">
        <v>287497520.72072071</v>
      </c>
      <c r="S461">
        <v>19658</v>
      </c>
      <c r="T461">
        <v>18496</v>
      </c>
    </row>
    <row r="462" spans="1:20" x14ac:dyDescent="0.35">
      <c r="A462" s="7" t="s">
        <v>560</v>
      </c>
      <c r="B462" s="12" t="s">
        <v>480</v>
      </c>
      <c r="C462">
        <v>498769373.976807</v>
      </c>
      <c r="D462">
        <v>501583055.21124011</v>
      </c>
      <c r="E462">
        <v>5286486.4864864834</v>
      </c>
      <c r="F462">
        <v>3705405.4054054068</v>
      </c>
      <c r="G462">
        <v>212</v>
      </c>
      <c r="H462">
        <v>108</v>
      </c>
      <c r="I462">
        <v>1</v>
      </c>
      <c r="K462">
        <v>246</v>
      </c>
      <c r="L462">
        <v>129</v>
      </c>
      <c r="M462">
        <v>74819009.009009004</v>
      </c>
      <c r="N462">
        <v>73114189.189189181</v>
      </c>
      <c r="O462">
        <v>152867867.56756756</v>
      </c>
      <c r="P462">
        <v>154691153.15315315</v>
      </c>
      <c r="Q462">
        <v>66693513.51351352</v>
      </c>
      <c r="R462">
        <v>77415630.630630627</v>
      </c>
      <c r="S462">
        <v>9859</v>
      </c>
      <c r="T462">
        <v>7738</v>
      </c>
    </row>
    <row r="463" spans="1:20" x14ac:dyDescent="0.35">
      <c r="A463" s="7" t="s">
        <v>561</v>
      </c>
      <c r="B463" s="12" t="s">
        <v>237</v>
      </c>
      <c r="C463">
        <v>85561772.916842431</v>
      </c>
      <c r="D463">
        <v>86565585.148916349</v>
      </c>
      <c r="E463">
        <v>195376696.3963964</v>
      </c>
      <c r="F463">
        <v>244670498.1981982</v>
      </c>
      <c r="G463">
        <v>35</v>
      </c>
      <c r="H463">
        <v>24</v>
      </c>
      <c r="K463">
        <v>60</v>
      </c>
      <c r="L463">
        <v>29</v>
      </c>
      <c r="M463">
        <v>32499054.054054055</v>
      </c>
      <c r="N463">
        <v>18302837.837837841</v>
      </c>
      <c r="O463">
        <v>31125241.441441439</v>
      </c>
      <c r="P463">
        <v>35064540.540540539</v>
      </c>
      <c r="Q463">
        <v>7106756.7567567546</v>
      </c>
      <c r="R463">
        <v>4678513.5135135129</v>
      </c>
      <c r="S463">
        <v>2415</v>
      </c>
      <c r="T463">
        <v>2062</v>
      </c>
    </row>
    <row r="464" spans="1:20" x14ac:dyDescent="0.35">
      <c r="A464" s="7" t="s">
        <v>562</v>
      </c>
      <c r="B464" s="12" t="s">
        <v>61</v>
      </c>
      <c r="C464">
        <v>81415349.635894403</v>
      </c>
      <c r="D464">
        <v>79617122.085882843</v>
      </c>
      <c r="E464">
        <v>3351351.3513513501</v>
      </c>
      <c r="F464">
        <v>2417117.1171171172</v>
      </c>
      <c r="G464">
        <v>27</v>
      </c>
      <c r="H464">
        <v>48</v>
      </c>
      <c r="K464">
        <v>45</v>
      </c>
      <c r="L464">
        <v>123</v>
      </c>
      <c r="M464">
        <v>23215315.315315317</v>
      </c>
      <c r="N464">
        <v>19714414.414414417</v>
      </c>
      <c r="O464">
        <v>29098738.738738742</v>
      </c>
      <c r="P464">
        <v>28198360.360360362</v>
      </c>
      <c r="Q464">
        <v>22111891.891891893</v>
      </c>
      <c r="R464">
        <v>19073873.873873871</v>
      </c>
      <c r="S464">
        <v>1826</v>
      </c>
      <c r="T464">
        <v>1207</v>
      </c>
    </row>
    <row r="465" spans="1:20" x14ac:dyDescent="0.35">
      <c r="A465" s="7" t="s">
        <v>563</v>
      </c>
      <c r="B465" s="12" t="s">
        <v>564</v>
      </c>
      <c r="C465">
        <v>455275974.34218901</v>
      </c>
      <c r="D465">
        <v>472923365.14989823</v>
      </c>
      <c r="E465">
        <v>1038958702.7027028</v>
      </c>
      <c r="F465">
        <v>537337324.32432437</v>
      </c>
      <c r="G465">
        <v>711</v>
      </c>
      <c r="H465">
        <v>400</v>
      </c>
      <c r="I465">
        <v>3</v>
      </c>
      <c r="K465">
        <v>1127</v>
      </c>
      <c r="L465">
        <v>897</v>
      </c>
      <c r="M465">
        <v>735724520.72072077</v>
      </c>
      <c r="N465">
        <v>488498560.36036038</v>
      </c>
      <c r="O465">
        <v>193474459.45945945</v>
      </c>
      <c r="P465">
        <v>219165585.58558559</v>
      </c>
      <c r="Q465">
        <v>573488106.30630636</v>
      </c>
      <c r="R465">
        <v>691073351.35135126</v>
      </c>
      <c r="S465">
        <v>21592</v>
      </c>
      <c r="T465">
        <v>8495</v>
      </c>
    </row>
    <row r="466" spans="1:20" x14ac:dyDescent="0.35">
      <c r="A466" s="7" t="s">
        <v>565</v>
      </c>
      <c r="B466" s="12" t="s">
        <v>564</v>
      </c>
      <c r="C466">
        <v>621696764.32152367</v>
      </c>
      <c r="D466">
        <v>609288190.7390604</v>
      </c>
      <c r="E466">
        <v>7614414.4144144161</v>
      </c>
      <c r="F466">
        <v>14467567.567567568</v>
      </c>
      <c r="G466">
        <v>219</v>
      </c>
      <c r="H466">
        <v>205</v>
      </c>
      <c r="K466">
        <v>254</v>
      </c>
      <c r="L466">
        <v>338</v>
      </c>
      <c r="M466">
        <v>66338154.954954952</v>
      </c>
      <c r="N466">
        <v>109330270.27027027</v>
      </c>
      <c r="O466">
        <v>257415765.76576576</v>
      </c>
      <c r="P466">
        <v>265268063.06306309</v>
      </c>
      <c r="Q466">
        <v>80120000</v>
      </c>
      <c r="R466">
        <v>102063243.24324325</v>
      </c>
      <c r="S466">
        <v>21627</v>
      </c>
      <c r="T466">
        <v>11771</v>
      </c>
    </row>
    <row r="467" spans="1:20" x14ac:dyDescent="0.35">
      <c r="A467" s="7" t="s">
        <v>566</v>
      </c>
      <c r="B467" s="12" t="s">
        <v>564</v>
      </c>
      <c r="C467">
        <v>447295918.2680251</v>
      </c>
      <c r="D467">
        <v>479298503.65413845</v>
      </c>
      <c r="E467">
        <v>7769781.9819819899</v>
      </c>
      <c r="F467">
        <v>12049023.423423421</v>
      </c>
      <c r="G467">
        <v>358</v>
      </c>
      <c r="H467">
        <v>226</v>
      </c>
      <c r="K467">
        <v>420</v>
      </c>
      <c r="L467">
        <v>333</v>
      </c>
      <c r="M467">
        <v>59700496.396396399</v>
      </c>
      <c r="N467">
        <v>105216982.88288288</v>
      </c>
      <c r="O467">
        <v>196795675.67567569</v>
      </c>
      <c r="P467">
        <v>216055243.24324322</v>
      </c>
      <c r="Q467">
        <v>57556486.486486487</v>
      </c>
      <c r="R467">
        <v>100093468.46846846</v>
      </c>
      <c r="S467">
        <v>25618</v>
      </c>
      <c r="T467">
        <v>11920</v>
      </c>
    </row>
    <row r="468" spans="1:20" x14ac:dyDescent="0.35">
      <c r="A468" s="7" t="s">
        <v>567</v>
      </c>
      <c r="B468" s="12" t="s">
        <v>564</v>
      </c>
      <c r="C468">
        <v>295708066.7915203</v>
      </c>
      <c r="D468">
        <v>314069979.74599379</v>
      </c>
      <c r="E468">
        <v>5754954.9549549567</v>
      </c>
      <c r="F468">
        <v>10342792.792792795</v>
      </c>
      <c r="G468">
        <v>35</v>
      </c>
      <c r="H468">
        <v>32</v>
      </c>
      <c r="K468">
        <v>43</v>
      </c>
      <c r="L468">
        <v>105</v>
      </c>
      <c r="M468">
        <v>62802718.918918923</v>
      </c>
      <c r="N468">
        <v>84864189.189189181</v>
      </c>
      <c r="O468">
        <v>174450144.14414412</v>
      </c>
      <c r="P468">
        <v>178245324.32432431</v>
      </c>
      <c r="Q468">
        <v>62019414.414414413</v>
      </c>
      <c r="R468">
        <v>87231126.126126125</v>
      </c>
      <c r="S468">
        <v>9047</v>
      </c>
      <c r="T468">
        <v>7537</v>
      </c>
    </row>
    <row r="469" spans="1:20" x14ac:dyDescent="0.35">
      <c r="A469" s="7" t="s">
        <v>568</v>
      </c>
      <c r="B469" s="12" t="s">
        <v>564</v>
      </c>
      <c r="C469">
        <v>172335541.17032498</v>
      </c>
      <c r="D469">
        <v>176067319.52873626</v>
      </c>
      <c r="E469">
        <v>117295495.49549548</v>
      </c>
      <c r="F469">
        <v>463016666.66666669</v>
      </c>
      <c r="G469">
        <v>54</v>
      </c>
      <c r="H469">
        <v>48</v>
      </c>
      <c r="I469">
        <v>3</v>
      </c>
      <c r="K469">
        <v>64</v>
      </c>
      <c r="L469">
        <v>111</v>
      </c>
      <c r="M469">
        <v>65959452.252252258</v>
      </c>
      <c r="N469">
        <v>79669819.819819823</v>
      </c>
      <c r="O469">
        <v>70382106.306306303</v>
      </c>
      <c r="P469">
        <v>77134828.828828827</v>
      </c>
      <c r="Q469">
        <v>37055045.045045048</v>
      </c>
      <c r="R469">
        <v>69213693.693693697</v>
      </c>
      <c r="S469">
        <v>9834</v>
      </c>
      <c r="T469">
        <v>4927</v>
      </c>
    </row>
    <row r="470" spans="1:20" x14ac:dyDescent="0.35">
      <c r="A470" s="7" t="s">
        <v>569</v>
      </c>
      <c r="B470" s="12" t="s">
        <v>49</v>
      </c>
      <c r="C470">
        <v>386929397.51853371</v>
      </c>
      <c r="D470">
        <v>380775935.54505807</v>
      </c>
      <c r="E470">
        <v>1468468.4684684691</v>
      </c>
      <c r="F470">
        <v>1178378.3783783789</v>
      </c>
      <c r="G470">
        <v>48</v>
      </c>
      <c r="H470">
        <v>21</v>
      </c>
      <c r="K470">
        <v>49</v>
      </c>
      <c r="L470">
        <v>22</v>
      </c>
      <c r="M470">
        <v>16666666.666666668</v>
      </c>
      <c r="N470">
        <v>11538738.73873874</v>
      </c>
      <c r="O470">
        <v>48256823.423423424</v>
      </c>
      <c r="P470">
        <v>52720781.981981985</v>
      </c>
      <c r="Q470">
        <v>19762162.162162162</v>
      </c>
      <c r="R470">
        <v>16341124.324324327</v>
      </c>
      <c r="S470">
        <v>6415</v>
      </c>
      <c r="T470">
        <v>5726</v>
      </c>
    </row>
    <row r="471" spans="1:20" x14ac:dyDescent="0.35">
      <c r="A471" s="7" t="s">
        <v>570</v>
      </c>
      <c r="B471" s="12" t="s">
        <v>170</v>
      </c>
      <c r="C471">
        <v>5208455050.5744095</v>
      </c>
      <c r="D471">
        <v>5066930514.3639364</v>
      </c>
      <c r="E471">
        <v>3345185752.2522521</v>
      </c>
      <c r="F471">
        <v>5319514957.6576576</v>
      </c>
      <c r="G471">
        <v>1922</v>
      </c>
      <c r="H471">
        <v>1771</v>
      </c>
      <c r="I471">
        <v>13</v>
      </c>
      <c r="K471">
        <v>2379</v>
      </c>
      <c r="L471">
        <v>3423</v>
      </c>
      <c r="M471">
        <v>723520819.81981981</v>
      </c>
      <c r="N471">
        <v>948318851.35135126</v>
      </c>
      <c r="O471">
        <v>3119315100</v>
      </c>
      <c r="P471">
        <v>5507459522.5225229</v>
      </c>
      <c r="Q471">
        <v>695044544.14414418</v>
      </c>
      <c r="R471">
        <v>884880625.22522521</v>
      </c>
      <c r="S471">
        <v>58809</v>
      </c>
      <c r="T471">
        <v>57431</v>
      </c>
    </row>
    <row r="472" spans="1:20" x14ac:dyDescent="0.35">
      <c r="A472" s="7" t="s">
        <v>571</v>
      </c>
      <c r="B472" s="12" t="s">
        <v>221</v>
      </c>
      <c r="C472">
        <v>336870851.51784843</v>
      </c>
      <c r="D472">
        <v>348369004.96419883</v>
      </c>
      <c r="E472">
        <v>1590990.9909909931</v>
      </c>
      <c r="F472">
        <v>2985585.5855855839</v>
      </c>
      <c r="G472">
        <v>34</v>
      </c>
      <c r="H472">
        <v>39</v>
      </c>
      <c r="K472">
        <v>36</v>
      </c>
      <c r="L472">
        <v>45</v>
      </c>
      <c r="M472">
        <v>14541171.171171172</v>
      </c>
      <c r="N472">
        <v>23522072.072072074</v>
      </c>
      <c r="O472">
        <v>55340702.702702701</v>
      </c>
      <c r="P472">
        <v>62816133.333333336</v>
      </c>
      <c r="Q472">
        <v>13677027.027027026</v>
      </c>
      <c r="R472">
        <v>22875675.675675679</v>
      </c>
      <c r="S472">
        <v>5408</v>
      </c>
      <c r="T472">
        <v>5252</v>
      </c>
    </row>
    <row r="473" spans="1:20" x14ac:dyDescent="0.35">
      <c r="A473" s="7" t="s">
        <v>572</v>
      </c>
      <c r="B473" s="12" t="s">
        <v>86</v>
      </c>
      <c r="C473">
        <v>419325137.47694993</v>
      </c>
      <c r="D473">
        <v>459550191.71751142</v>
      </c>
      <c r="E473">
        <v>818918.91891892103</v>
      </c>
      <c r="F473">
        <v>5581081.0810810812</v>
      </c>
      <c r="G473">
        <v>53</v>
      </c>
      <c r="H473">
        <v>20</v>
      </c>
      <c r="K473">
        <v>57</v>
      </c>
      <c r="L473">
        <v>25</v>
      </c>
      <c r="M473">
        <v>52838817.117117122</v>
      </c>
      <c r="N473">
        <v>106043513.51351352</v>
      </c>
      <c r="O473">
        <v>94735016.216216221</v>
      </c>
      <c r="P473">
        <v>115101655.85585585</v>
      </c>
      <c r="Q473">
        <v>41373963.963963971</v>
      </c>
      <c r="R473">
        <v>82867207.207207203</v>
      </c>
      <c r="S473">
        <v>5312</v>
      </c>
      <c r="T473">
        <v>5075</v>
      </c>
    </row>
    <row r="474" spans="1:20" x14ac:dyDescent="0.35">
      <c r="A474" s="7" t="s">
        <v>573</v>
      </c>
      <c r="B474" s="12" t="s">
        <v>480</v>
      </c>
      <c r="C474">
        <v>216597234.61665151</v>
      </c>
      <c r="D474">
        <v>197356575.82614416</v>
      </c>
      <c r="E474">
        <v>3854054.0540540451</v>
      </c>
      <c r="F474">
        <v>3440540.5405405439</v>
      </c>
      <c r="G474">
        <v>147</v>
      </c>
      <c r="H474">
        <v>98</v>
      </c>
      <c r="K474">
        <v>178</v>
      </c>
      <c r="L474">
        <v>139</v>
      </c>
      <c r="M474">
        <v>38196126.126126118</v>
      </c>
      <c r="N474">
        <v>56827027.027027026</v>
      </c>
      <c r="O474">
        <v>89166111.711711705</v>
      </c>
      <c r="P474">
        <v>87954936.936936945</v>
      </c>
      <c r="Q474">
        <v>38337297.297297306</v>
      </c>
      <c r="R474">
        <v>52862972.972972974</v>
      </c>
      <c r="S474">
        <v>10989</v>
      </c>
      <c r="T474">
        <v>5244</v>
      </c>
    </row>
    <row r="475" spans="1:20" x14ac:dyDescent="0.35">
      <c r="A475" s="7" t="s">
        <v>574</v>
      </c>
      <c r="B475" s="12" t="s">
        <v>95</v>
      </c>
      <c r="C475">
        <v>561568851.60539401</v>
      </c>
      <c r="D475">
        <v>591704973.48851717</v>
      </c>
      <c r="E475">
        <v>3383783.783783786</v>
      </c>
      <c r="F475">
        <v>5861261.2612612629</v>
      </c>
      <c r="G475">
        <v>112</v>
      </c>
      <c r="H475">
        <v>190</v>
      </c>
      <c r="I475">
        <v>2</v>
      </c>
      <c r="K475">
        <v>141</v>
      </c>
      <c r="L475">
        <v>354</v>
      </c>
      <c r="M475">
        <v>861408108.10810816</v>
      </c>
      <c r="N475">
        <v>49433333.333333336</v>
      </c>
      <c r="O475">
        <v>119868721.17117117</v>
      </c>
      <c r="P475">
        <v>134781493.6936937</v>
      </c>
      <c r="Q475">
        <v>45294144.144144148</v>
      </c>
      <c r="R475">
        <v>47147207.20720721</v>
      </c>
      <c r="S475">
        <v>10037</v>
      </c>
      <c r="T475">
        <v>9831</v>
      </c>
    </row>
    <row r="476" spans="1:20" x14ac:dyDescent="0.35">
      <c r="A476" s="7" t="s">
        <v>673</v>
      </c>
      <c r="B476" s="12" t="s">
        <v>225</v>
      </c>
      <c r="E476">
        <v>148433873.87387389</v>
      </c>
      <c r="F476">
        <v>186576576.57657659</v>
      </c>
      <c r="M476">
        <v>3872072.072072072</v>
      </c>
      <c r="N476">
        <v>4133333.333333333</v>
      </c>
    </row>
    <row r="477" spans="1:20" x14ac:dyDescent="0.35">
      <c r="A477" s="7" t="s">
        <v>575</v>
      </c>
      <c r="B477" s="12" t="s">
        <v>308</v>
      </c>
      <c r="C477">
        <v>1304734444.8439841</v>
      </c>
      <c r="D477">
        <v>1332771690.2444487</v>
      </c>
      <c r="E477">
        <v>24121351.351351362</v>
      </c>
      <c r="F477">
        <v>27506306.306306306</v>
      </c>
      <c r="G477">
        <v>622</v>
      </c>
      <c r="H477">
        <v>517</v>
      </c>
      <c r="I477">
        <v>5</v>
      </c>
      <c r="K477">
        <v>720</v>
      </c>
      <c r="L477">
        <v>649</v>
      </c>
      <c r="M477">
        <v>1484645135.1351352</v>
      </c>
      <c r="N477">
        <v>510902432.43243247</v>
      </c>
      <c r="O477">
        <v>536689773.42342341</v>
      </c>
      <c r="P477">
        <v>559872234.23423421</v>
      </c>
      <c r="Q477">
        <v>286911621.62162161</v>
      </c>
      <c r="R477">
        <v>314736216.21621621</v>
      </c>
      <c r="S477">
        <v>43892</v>
      </c>
      <c r="T477">
        <v>33056</v>
      </c>
    </row>
    <row r="478" spans="1:20" x14ac:dyDescent="0.35">
      <c r="A478" s="7" t="s">
        <v>10</v>
      </c>
      <c r="B478" s="12" t="s">
        <v>194</v>
      </c>
      <c r="C478">
        <v>212809991.18280357</v>
      </c>
      <c r="D478">
        <v>210192090.09296253</v>
      </c>
      <c r="E478">
        <v>90720720.720720723</v>
      </c>
      <c r="F478">
        <v>101306306.3063063</v>
      </c>
      <c r="G478">
        <v>30</v>
      </c>
      <c r="H478">
        <v>21</v>
      </c>
      <c r="K478">
        <v>32</v>
      </c>
      <c r="L478">
        <v>27</v>
      </c>
      <c r="M478">
        <v>1489864.8648648651</v>
      </c>
      <c r="N478">
        <v>1424099.0990990989</v>
      </c>
      <c r="O478">
        <v>126906457.65765767</v>
      </c>
      <c r="P478">
        <v>124976495.49549548</v>
      </c>
      <c r="Q478">
        <v>19639.639639640001</v>
      </c>
      <c r="R478">
        <v>576486.48648648604</v>
      </c>
      <c r="S478">
        <v>4334</v>
      </c>
      <c r="T478">
        <v>3642</v>
      </c>
    </row>
    <row r="479" spans="1:20" x14ac:dyDescent="0.35">
      <c r="A479" s="7" t="s">
        <v>576</v>
      </c>
      <c r="B479" s="12" t="s">
        <v>88</v>
      </c>
      <c r="C479">
        <v>4578509.6019653752</v>
      </c>
      <c r="D479">
        <v>5331790.0523656579</v>
      </c>
      <c r="G479">
        <v>22</v>
      </c>
      <c r="H479">
        <v>11</v>
      </c>
      <c r="K479">
        <v>23</v>
      </c>
      <c r="L479">
        <v>11</v>
      </c>
      <c r="O479">
        <v>1589926.1261261259</v>
      </c>
      <c r="P479">
        <v>1866036.036036036</v>
      </c>
      <c r="S479">
        <v>263</v>
      </c>
      <c r="T479">
        <v>209</v>
      </c>
    </row>
    <row r="480" spans="1:20" x14ac:dyDescent="0.35">
      <c r="A480" s="7" t="s">
        <v>577</v>
      </c>
      <c r="B480" s="12" t="s">
        <v>284</v>
      </c>
      <c r="C480">
        <v>298016816.83683437</v>
      </c>
      <c r="D480">
        <v>308719707.90094239</v>
      </c>
      <c r="E480">
        <v>413513.51351351402</v>
      </c>
      <c r="F480">
        <v>433333.33333333302</v>
      </c>
      <c r="G480">
        <v>56</v>
      </c>
      <c r="H480">
        <v>8</v>
      </c>
      <c r="I480">
        <v>1</v>
      </c>
      <c r="K480">
        <v>58</v>
      </c>
      <c r="L480">
        <v>15</v>
      </c>
      <c r="M480">
        <v>20737837.837837841</v>
      </c>
      <c r="N480">
        <v>19045945.945945945</v>
      </c>
      <c r="O480">
        <v>46996684.684684686</v>
      </c>
      <c r="P480">
        <v>46004468.468468472</v>
      </c>
      <c r="Q480">
        <v>20659729.729729731</v>
      </c>
      <c r="R480">
        <v>18128648.648648649</v>
      </c>
      <c r="S480">
        <v>3699</v>
      </c>
      <c r="T480">
        <v>3546</v>
      </c>
    </row>
    <row r="481" spans="1:20" x14ac:dyDescent="0.35">
      <c r="A481" s="7" t="s">
        <v>578</v>
      </c>
      <c r="B481" s="12" t="s">
        <v>308</v>
      </c>
      <c r="C481">
        <v>1284521959.3848588</v>
      </c>
      <c r="D481">
        <v>1304173781.7260368</v>
      </c>
      <c r="E481">
        <v>14874324.32432434</v>
      </c>
      <c r="F481">
        <v>23584234.23423424</v>
      </c>
      <c r="G481">
        <v>636</v>
      </c>
      <c r="H481">
        <v>454</v>
      </c>
      <c r="K481">
        <v>716</v>
      </c>
      <c r="L481">
        <v>584</v>
      </c>
      <c r="M481">
        <v>151430090.09009007</v>
      </c>
      <c r="N481">
        <v>408822079.27927929</v>
      </c>
      <c r="O481">
        <v>537451279.27927935</v>
      </c>
      <c r="P481">
        <v>555513313.51351357</v>
      </c>
      <c r="Q481">
        <v>136909819.81981984</v>
      </c>
      <c r="R481">
        <v>268842972.97297299</v>
      </c>
      <c r="S481">
        <v>60183</v>
      </c>
      <c r="T481">
        <v>38355</v>
      </c>
    </row>
    <row r="482" spans="1:20" x14ac:dyDescent="0.35">
      <c r="A482" s="7" t="s">
        <v>579</v>
      </c>
      <c r="B482" s="12" t="s">
        <v>331</v>
      </c>
      <c r="C482">
        <v>1186190319.2813365</v>
      </c>
      <c r="D482">
        <v>1183087508.56423</v>
      </c>
      <c r="E482">
        <v>13437837.837837834</v>
      </c>
      <c r="F482">
        <v>8923423.42342343</v>
      </c>
      <c r="G482">
        <v>459</v>
      </c>
      <c r="H482">
        <v>453</v>
      </c>
      <c r="I482">
        <v>21</v>
      </c>
      <c r="K482">
        <v>673</v>
      </c>
      <c r="L482">
        <v>578</v>
      </c>
      <c r="M482">
        <v>289570450.45045042</v>
      </c>
      <c r="N482">
        <v>320627387.38738739</v>
      </c>
      <c r="O482">
        <v>255610819.81981981</v>
      </c>
      <c r="P482">
        <v>269016989.1891892</v>
      </c>
      <c r="Q482">
        <v>285195585.58558559</v>
      </c>
      <c r="R482">
        <v>317423693.6936937</v>
      </c>
      <c r="S482">
        <v>36897</v>
      </c>
      <c r="T482">
        <v>29123</v>
      </c>
    </row>
    <row r="483" spans="1:20" x14ac:dyDescent="0.35">
      <c r="A483" s="7" t="s">
        <v>580</v>
      </c>
      <c r="B483" s="12" t="s">
        <v>67</v>
      </c>
      <c r="C483">
        <v>184539569.46973363</v>
      </c>
      <c r="D483">
        <v>178877154.28013557</v>
      </c>
      <c r="E483">
        <v>448198.19819819898</v>
      </c>
      <c r="F483">
        <v>89189.189189190001</v>
      </c>
      <c r="G483">
        <v>33</v>
      </c>
      <c r="H483">
        <v>19</v>
      </c>
      <c r="K483">
        <v>35</v>
      </c>
      <c r="L483">
        <v>24</v>
      </c>
      <c r="M483">
        <v>5322072.0720720738</v>
      </c>
      <c r="N483">
        <v>3620270.2702702698</v>
      </c>
      <c r="O483">
        <v>49612472.972972974</v>
      </c>
      <c r="P483">
        <v>45591099.0990991</v>
      </c>
      <c r="Q483">
        <v>4927837.8378378414</v>
      </c>
      <c r="R483">
        <v>4414414.4144144151</v>
      </c>
      <c r="S483">
        <v>5301</v>
      </c>
      <c r="T483">
        <v>3732</v>
      </c>
    </row>
    <row r="484" spans="1:20" x14ac:dyDescent="0.35">
      <c r="A484" s="7" t="s">
        <v>581</v>
      </c>
      <c r="B484" s="12" t="s">
        <v>237</v>
      </c>
      <c r="C484">
        <v>12051.991542125999</v>
      </c>
      <c r="D484">
        <v>41678.784961646001</v>
      </c>
      <c r="P484">
        <v>34234.234234233998</v>
      </c>
    </row>
    <row r="485" spans="1:20" x14ac:dyDescent="0.35">
      <c r="A485" s="7" t="s">
        <v>582</v>
      </c>
      <c r="B485" s="12" t="s">
        <v>63</v>
      </c>
      <c r="C485">
        <v>472966867.717143</v>
      </c>
      <c r="D485">
        <v>473127711.84806371</v>
      </c>
      <c r="E485">
        <v>202554054.05405408</v>
      </c>
      <c r="F485">
        <v>88885585.585585579</v>
      </c>
      <c r="G485">
        <v>276</v>
      </c>
      <c r="H485">
        <v>65</v>
      </c>
      <c r="K485">
        <v>282</v>
      </c>
      <c r="L485">
        <v>189</v>
      </c>
      <c r="M485">
        <v>54144189.189189181</v>
      </c>
      <c r="N485">
        <v>54947927.927927926</v>
      </c>
      <c r="O485">
        <v>108019486.48648649</v>
      </c>
      <c r="P485">
        <v>119814603.6036036</v>
      </c>
      <c r="Q485">
        <v>42778828.828828834</v>
      </c>
      <c r="R485">
        <v>46521351.351351351</v>
      </c>
      <c r="S485">
        <v>7063</v>
      </c>
      <c r="T485">
        <v>6776</v>
      </c>
    </row>
    <row r="486" spans="1:20" x14ac:dyDescent="0.35">
      <c r="A486" s="7" t="s">
        <v>583</v>
      </c>
      <c r="B486" s="12" t="s">
        <v>49</v>
      </c>
      <c r="C486">
        <v>425484041.13337719</v>
      </c>
      <c r="D486">
        <v>405261649.72505742</v>
      </c>
      <c r="E486">
        <v>2998693.6936936961</v>
      </c>
      <c r="F486">
        <v>4755855.8558558561</v>
      </c>
      <c r="G486">
        <v>53</v>
      </c>
      <c r="H486">
        <v>19</v>
      </c>
      <c r="K486">
        <v>56</v>
      </c>
      <c r="L486">
        <v>22</v>
      </c>
      <c r="M486">
        <v>133313783.78378379</v>
      </c>
      <c r="N486">
        <v>41011711.711711712</v>
      </c>
      <c r="O486">
        <v>62342698.198198199</v>
      </c>
      <c r="P486">
        <v>68898477.477477476</v>
      </c>
      <c r="Q486">
        <v>127861711.7117117</v>
      </c>
      <c r="R486">
        <v>69934684.684684694</v>
      </c>
      <c r="S486">
        <v>5855</v>
      </c>
      <c r="T486">
        <v>5437</v>
      </c>
    </row>
    <row r="487" spans="1:20" x14ac:dyDescent="0.35">
      <c r="A487" s="7" t="s">
        <v>584</v>
      </c>
      <c r="B487" s="12" t="s">
        <v>55</v>
      </c>
      <c r="C487">
        <v>84183446.125333071</v>
      </c>
      <c r="D487">
        <v>84214523.180993423</v>
      </c>
      <c r="E487">
        <v>1990990.9909909931</v>
      </c>
      <c r="F487">
        <v>4144594.5945945978</v>
      </c>
      <c r="G487">
        <v>27</v>
      </c>
      <c r="H487">
        <v>72</v>
      </c>
      <c r="K487">
        <v>79</v>
      </c>
      <c r="L487">
        <v>213</v>
      </c>
      <c r="M487">
        <v>14377117.117117116</v>
      </c>
      <c r="N487">
        <v>22841531.531531531</v>
      </c>
      <c r="O487">
        <v>21825146.396396395</v>
      </c>
      <c r="P487">
        <v>24537387.387387387</v>
      </c>
      <c r="Q487">
        <v>11828378.378378378</v>
      </c>
      <c r="R487">
        <v>19971711.711711712</v>
      </c>
      <c r="S487">
        <v>3099</v>
      </c>
      <c r="T487">
        <v>2013</v>
      </c>
    </row>
    <row r="488" spans="1:20" x14ac:dyDescent="0.35">
      <c r="A488" s="7" t="s">
        <v>585</v>
      </c>
      <c r="B488" s="12" t="s">
        <v>71</v>
      </c>
      <c r="C488">
        <v>217586083.80886674</v>
      </c>
      <c r="D488">
        <v>211514938.31489784</v>
      </c>
      <c r="E488">
        <v>133333.33333333401</v>
      </c>
      <c r="F488">
        <v>871621.62162162201</v>
      </c>
      <c r="G488">
        <v>57</v>
      </c>
      <c r="H488">
        <v>32</v>
      </c>
      <c r="I488">
        <v>2</v>
      </c>
      <c r="K488">
        <v>59</v>
      </c>
      <c r="L488">
        <v>49</v>
      </c>
      <c r="M488">
        <v>1981981.9819819841</v>
      </c>
      <c r="N488">
        <v>4199549.5495495498</v>
      </c>
      <c r="O488">
        <v>100115099.0990991</v>
      </c>
      <c r="P488">
        <v>97157980.180180177</v>
      </c>
      <c r="Q488">
        <v>2165765.7657657671</v>
      </c>
      <c r="R488">
        <v>3445495.4954954949</v>
      </c>
      <c r="S488">
        <v>3833</v>
      </c>
      <c r="T488">
        <v>3510</v>
      </c>
    </row>
    <row r="489" spans="1:20" x14ac:dyDescent="0.35">
      <c r="A489" s="7" t="s">
        <v>586</v>
      </c>
      <c r="B489" s="12" t="s">
        <v>331</v>
      </c>
      <c r="C489">
        <v>820496505.19747186</v>
      </c>
      <c r="D489">
        <v>770863801.28583193</v>
      </c>
      <c r="E489">
        <v>10211486.486486487</v>
      </c>
      <c r="F489">
        <v>4730630.6306306347</v>
      </c>
      <c r="G489">
        <v>361</v>
      </c>
      <c r="H489">
        <v>357</v>
      </c>
      <c r="K489">
        <v>418</v>
      </c>
      <c r="L489">
        <v>439</v>
      </c>
      <c r="M489">
        <v>106717837.83783785</v>
      </c>
      <c r="N489">
        <v>166891216.21621624</v>
      </c>
      <c r="O489">
        <v>238707877.47747746</v>
      </c>
      <c r="P489">
        <v>206002699.0990991</v>
      </c>
      <c r="Q489">
        <v>97088558.558558553</v>
      </c>
      <c r="R489">
        <v>169814459.45945945</v>
      </c>
      <c r="S489">
        <v>25307</v>
      </c>
      <c r="T489">
        <v>19827</v>
      </c>
    </row>
    <row r="490" spans="1:20" x14ac:dyDescent="0.35">
      <c r="A490" s="7" t="s">
        <v>587</v>
      </c>
      <c r="B490" s="12" t="s">
        <v>67</v>
      </c>
      <c r="C490">
        <v>392898477.32998842</v>
      </c>
      <c r="D490">
        <v>415047774.3874492</v>
      </c>
      <c r="E490">
        <v>1168136686.4864864</v>
      </c>
      <c r="F490">
        <v>1509079483.7837837</v>
      </c>
      <c r="G490">
        <v>269</v>
      </c>
      <c r="H490">
        <v>164</v>
      </c>
      <c r="K490">
        <v>609</v>
      </c>
      <c r="L490">
        <v>214</v>
      </c>
      <c r="M490">
        <v>108090990.990991</v>
      </c>
      <c r="N490">
        <v>275657636.03603601</v>
      </c>
      <c r="O490">
        <v>194885079.27927926</v>
      </c>
      <c r="P490">
        <v>212918666.66666666</v>
      </c>
      <c r="Q490">
        <v>82644232.432432428</v>
      </c>
      <c r="R490">
        <v>130537747.74774775</v>
      </c>
      <c r="S490">
        <v>17948</v>
      </c>
      <c r="T490">
        <v>10639</v>
      </c>
    </row>
    <row r="491" spans="1:20" x14ac:dyDescent="0.35">
      <c r="A491" s="7" t="s">
        <v>11</v>
      </c>
      <c r="B491" s="12" t="s">
        <v>194</v>
      </c>
      <c r="C491">
        <v>186072930.53448361</v>
      </c>
      <c r="D491">
        <v>172351993.54092339</v>
      </c>
      <c r="E491">
        <v>313259906.3063063</v>
      </c>
      <c r="F491">
        <v>348290429.72972971</v>
      </c>
      <c r="G491">
        <v>43</v>
      </c>
      <c r="H491">
        <v>37</v>
      </c>
      <c r="K491">
        <v>49</v>
      </c>
      <c r="L491">
        <v>42</v>
      </c>
      <c r="M491">
        <v>15006306.306306308</v>
      </c>
      <c r="N491">
        <v>64009909.909909911</v>
      </c>
      <c r="O491">
        <v>62971110.360360362</v>
      </c>
      <c r="P491">
        <v>65808288.288288288</v>
      </c>
      <c r="Q491">
        <v>15703783.783783784</v>
      </c>
      <c r="R491">
        <v>22784504.504504506</v>
      </c>
      <c r="S491">
        <v>6382</v>
      </c>
      <c r="T491">
        <v>3806</v>
      </c>
    </row>
    <row r="492" spans="1:20" x14ac:dyDescent="0.35">
      <c r="A492" s="7" t="s">
        <v>12</v>
      </c>
      <c r="B492" s="12" t="s">
        <v>194</v>
      </c>
      <c r="C492">
        <v>126547193.88730468</v>
      </c>
      <c r="D492">
        <v>112448266.23373733</v>
      </c>
      <c r="E492">
        <v>5449549.5495495489</v>
      </c>
      <c r="F492">
        <v>719819.81981982104</v>
      </c>
      <c r="G492">
        <v>21</v>
      </c>
      <c r="H492">
        <v>19</v>
      </c>
      <c r="K492">
        <v>22</v>
      </c>
      <c r="L492">
        <v>25</v>
      </c>
      <c r="M492">
        <v>22656756.756756756</v>
      </c>
      <c r="N492">
        <v>10179279.27927928</v>
      </c>
      <c r="O492">
        <v>49359477.477477483</v>
      </c>
      <c r="P492">
        <v>47820936.936936937</v>
      </c>
      <c r="Q492">
        <v>26363243.243243244</v>
      </c>
      <c r="R492">
        <v>12044504.504504507</v>
      </c>
      <c r="S492">
        <v>5812</v>
      </c>
      <c r="T492">
        <v>2766</v>
      </c>
    </row>
    <row r="493" spans="1:20" x14ac:dyDescent="0.35">
      <c r="A493" s="7" t="s">
        <v>588</v>
      </c>
      <c r="B493" s="12" t="s">
        <v>61</v>
      </c>
      <c r="C493">
        <v>99034521.193495661</v>
      </c>
      <c r="D493">
        <v>102947844.73869374</v>
      </c>
      <c r="E493">
        <v>1747747.7477477479</v>
      </c>
      <c r="F493">
        <v>3179729.7297297302</v>
      </c>
      <c r="G493">
        <v>46</v>
      </c>
      <c r="H493">
        <v>41</v>
      </c>
      <c r="I493">
        <v>3</v>
      </c>
      <c r="K493">
        <v>56</v>
      </c>
      <c r="L493">
        <v>79</v>
      </c>
      <c r="M493">
        <v>16945945.945945948</v>
      </c>
      <c r="N493">
        <v>22973243.243243244</v>
      </c>
      <c r="O493">
        <v>36371704.954954952</v>
      </c>
      <c r="P493">
        <v>39493790.990990989</v>
      </c>
      <c r="Q493">
        <v>15597207.207207208</v>
      </c>
      <c r="R493">
        <v>21337971.171171173</v>
      </c>
      <c r="S493">
        <v>2279</v>
      </c>
      <c r="T493">
        <v>1879</v>
      </c>
    </row>
    <row r="494" spans="1:20" x14ac:dyDescent="0.35">
      <c r="A494" s="7" t="s">
        <v>589</v>
      </c>
      <c r="B494" s="12" t="s">
        <v>308</v>
      </c>
      <c r="C494">
        <v>2796975836.9787378</v>
      </c>
      <c r="D494">
        <v>2744033601.6557274</v>
      </c>
      <c r="E494">
        <v>2488248844.1441445</v>
      </c>
      <c r="F494">
        <v>2130461327.0270269</v>
      </c>
      <c r="G494">
        <v>1599</v>
      </c>
      <c r="H494">
        <v>795</v>
      </c>
      <c r="I494">
        <v>5</v>
      </c>
      <c r="K494">
        <v>1853</v>
      </c>
      <c r="L494">
        <v>1052</v>
      </c>
      <c r="M494">
        <v>614913185.58558559</v>
      </c>
      <c r="N494">
        <v>970929864.86486495</v>
      </c>
      <c r="O494">
        <v>895327707.2072072</v>
      </c>
      <c r="P494">
        <v>914296648.64864874</v>
      </c>
      <c r="Q494">
        <v>566707972.97297299</v>
      </c>
      <c r="R494">
        <v>682278468.46846843</v>
      </c>
      <c r="S494">
        <v>99890</v>
      </c>
      <c r="T494">
        <v>65378</v>
      </c>
    </row>
    <row r="495" spans="1:20" x14ac:dyDescent="0.35">
      <c r="A495" s="7" t="s">
        <v>590</v>
      </c>
      <c r="B495" s="12" t="s">
        <v>53</v>
      </c>
      <c r="C495">
        <v>674900729.91659153</v>
      </c>
      <c r="D495">
        <v>699879244.91684568</v>
      </c>
      <c r="E495">
        <v>11767865.765765768</v>
      </c>
      <c r="F495">
        <v>18569819.819819823</v>
      </c>
      <c r="G495">
        <v>186</v>
      </c>
      <c r="H495">
        <v>339</v>
      </c>
      <c r="I495">
        <v>1</v>
      </c>
      <c r="K495">
        <v>468</v>
      </c>
      <c r="L495">
        <v>833</v>
      </c>
      <c r="M495">
        <v>188620666.66666666</v>
      </c>
      <c r="N495">
        <v>239504054.05405405</v>
      </c>
      <c r="O495">
        <v>268532981.98198199</v>
      </c>
      <c r="P495">
        <v>295402000</v>
      </c>
      <c r="Q495">
        <v>212874459.45945945</v>
      </c>
      <c r="R495">
        <v>230831441.44144145</v>
      </c>
      <c r="S495">
        <v>18068</v>
      </c>
      <c r="T495">
        <v>15324</v>
      </c>
    </row>
    <row r="496" spans="1:20" x14ac:dyDescent="0.35">
      <c r="A496" s="7" t="s">
        <v>591</v>
      </c>
      <c r="B496" s="12" t="s">
        <v>55</v>
      </c>
      <c r="C496">
        <v>57230477.116349347</v>
      </c>
      <c r="D496">
        <v>54976108.159645177</v>
      </c>
      <c r="E496">
        <v>1236036.036036036</v>
      </c>
      <c r="F496">
        <v>2308108.1081081089</v>
      </c>
      <c r="G496">
        <v>23</v>
      </c>
      <c r="H496">
        <v>37</v>
      </c>
      <c r="K496">
        <v>29</v>
      </c>
      <c r="L496">
        <v>44</v>
      </c>
      <c r="M496">
        <v>15164414.414414415</v>
      </c>
      <c r="N496">
        <v>11144054.054054055</v>
      </c>
      <c r="O496">
        <v>18109121.62162162</v>
      </c>
      <c r="P496">
        <v>19058581.081081081</v>
      </c>
      <c r="Q496">
        <v>13507927.927927928</v>
      </c>
      <c r="R496">
        <v>12218198.198198199</v>
      </c>
      <c r="S496">
        <v>1804</v>
      </c>
      <c r="T496">
        <v>1561</v>
      </c>
    </row>
    <row r="497" spans="1:20" x14ac:dyDescent="0.35">
      <c r="A497" s="7" t="s">
        <v>592</v>
      </c>
      <c r="B497" s="12" t="s">
        <v>170</v>
      </c>
      <c r="C497">
        <v>1630123183.2824152</v>
      </c>
      <c r="D497">
        <v>1596137540.7005928</v>
      </c>
      <c r="E497">
        <v>9883558.5585585609</v>
      </c>
      <c r="F497">
        <v>23979551.351351362</v>
      </c>
      <c r="G497">
        <v>171</v>
      </c>
      <c r="H497">
        <v>158</v>
      </c>
      <c r="I497">
        <v>3</v>
      </c>
      <c r="K497">
        <v>191</v>
      </c>
      <c r="L497">
        <v>196</v>
      </c>
      <c r="M497">
        <v>312341619.81981987</v>
      </c>
      <c r="N497">
        <v>413517839.63963962</v>
      </c>
      <c r="O497">
        <v>550341166.66666675</v>
      </c>
      <c r="P497">
        <v>575833171.17117119</v>
      </c>
      <c r="Q497">
        <v>281721981.98198199</v>
      </c>
      <c r="R497">
        <v>354738018.01801807</v>
      </c>
      <c r="S497">
        <v>24203</v>
      </c>
      <c r="T497">
        <v>23039</v>
      </c>
    </row>
    <row r="498" spans="1:20" x14ac:dyDescent="0.35">
      <c r="A498" s="7" t="s">
        <v>593</v>
      </c>
      <c r="B498" s="12" t="s">
        <v>88</v>
      </c>
      <c r="C498">
        <v>8145996.3959566513</v>
      </c>
      <c r="D498">
        <v>7124599.453084724</v>
      </c>
      <c r="G498">
        <v>2</v>
      </c>
      <c r="K498">
        <v>2</v>
      </c>
      <c r="M498">
        <v>1108108.1081081079</v>
      </c>
      <c r="N498">
        <v>1783783.7837837839</v>
      </c>
      <c r="O498">
        <v>1995675.675675675</v>
      </c>
      <c r="P498">
        <v>3124189.1891891891</v>
      </c>
      <c r="S498">
        <v>354</v>
      </c>
      <c r="T498">
        <v>323</v>
      </c>
    </row>
    <row r="499" spans="1:20" x14ac:dyDescent="0.35">
      <c r="A499" s="7" t="s">
        <v>36</v>
      </c>
      <c r="B499" s="12" t="s">
        <v>159</v>
      </c>
      <c r="E499">
        <v>1179976097.2972975</v>
      </c>
      <c r="F499">
        <v>1613487846.8468468</v>
      </c>
      <c r="M499">
        <v>94273873.873873875</v>
      </c>
      <c r="N499">
        <v>103113063.06306306</v>
      </c>
    </row>
    <row r="500" spans="1:20" x14ac:dyDescent="0.35">
      <c r="A500" s="7" t="s">
        <v>594</v>
      </c>
      <c r="B500" s="12" t="s">
        <v>144</v>
      </c>
      <c r="C500">
        <v>114070725.97985552</v>
      </c>
      <c r="D500">
        <v>113936350.26420379</v>
      </c>
      <c r="E500">
        <v>345720.72072072199</v>
      </c>
      <c r="F500">
        <v>162162.162162163</v>
      </c>
      <c r="G500">
        <v>30</v>
      </c>
      <c r="H500">
        <v>4</v>
      </c>
      <c r="K500">
        <v>31</v>
      </c>
      <c r="L500">
        <v>4</v>
      </c>
      <c r="M500">
        <v>10923423.423423424</v>
      </c>
      <c r="N500">
        <v>9981981.9819819815</v>
      </c>
      <c r="O500">
        <v>11819675.675675675</v>
      </c>
      <c r="P500">
        <v>11657171.171171172</v>
      </c>
      <c r="Q500">
        <v>6222252.2522522518</v>
      </c>
      <c r="R500">
        <v>6340450.4504504502</v>
      </c>
      <c r="S500">
        <v>1659</v>
      </c>
      <c r="T500">
        <v>1622</v>
      </c>
    </row>
    <row r="501" spans="1:20" x14ac:dyDescent="0.35">
      <c r="A501" s="7" t="s">
        <v>595</v>
      </c>
      <c r="B501" s="12" t="s">
        <v>291</v>
      </c>
      <c r="C501">
        <v>31062947.722765777</v>
      </c>
      <c r="D501">
        <v>29469970.272464871</v>
      </c>
      <c r="G501">
        <v>1</v>
      </c>
      <c r="H501">
        <v>14</v>
      </c>
      <c r="K501">
        <v>2</v>
      </c>
      <c r="L501">
        <v>16</v>
      </c>
      <c r="O501">
        <v>1731801.8018018019</v>
      </c>
      <c r="P501">
        <v>1969279.2792792791</v>
      </c>
      <c r="S501">
        <v>759</v>
      </c>
      <c r="T501">
        <v>770</v>
      </c>
    </row>
    <row r="502" spans="1:20" x14ac:dyDescent="0.35">
      <c r="A502" s="7" t="s">
        <v>596</v>
      </c>
      <c r="B502" s="12" t="s">
        <v>93</v>
      </c>
      <c r="C502">
        <v>42243661.609259911</v>
      </c>
      <c r="D502">
        <v>39285838.966205791</v>
      </c>
      <c r="E502">
        <v>1338738.7387387389</v>
      </c>
      <c r="F502">
        <v>1590090.0900900899</v>
      </c>
      <c r="G502">
        <v>29</v>
      </c>
      <c r="H502">
        <v>8</v>
      </c>
      <c r="K502">
        <v>29</v>
      </c>
      <c r="L502">
        <v>9</v>
      </c>
      <c r="M502">
        <v>4366126.1261261264</v>
      </c>
      <c r="N502">
        <v>6762162.1621621624</v>
      </c>
      <c r="O502">
        <v>7143954.9549549548</v>
      </c>
      <c r="P502">
        <v>7113414.4144144151</v>
      </c>
      <c r="Q502">
        <v>4309099.0990990987</v>
      </c>
      <c r="R502">
        <v>6556306.3063063072</v>
      </c>
      <c r="S502">
        <v>901</v>
      </c>
      <c r="T502">
        <v>706</v>
      </c>
    </row>
    <row r="503" spans="1:20" x14ac:dyDescent="0.35">
      <c r="A503" s="7" t="s">
        <v>597</v>
      </c>
      <c r="B503" s="12" t="s">
        <v>51</v>
      </c>
      <c r="C503">
        <v>140059352.2589263</v>
      </c>
      <c r="D503">
        <v>138391137.57627946</v>
      </c>
      <c r="E503">
        <v>4754729.7297297278</v>
      </c>
      <c r="F503">
        <v>1747747.747747751</v>
      </c>
      <c r="G503">
        <v>12</v>
      </c>
      <c r="H503">
        <v>10</v>
      </c>
      <c r="K503">
        <v>14</v>
      </c>
      <c r="L503">
        <v>14</v>
      </c>
      <c r="M503">
        <v>46505405.40540541</v>
      </c>
      <c r="N503">
        <v>18713153.153153151</v>
      </c>
      <c r="O503">
        <v>30376753.153153151</v>
      </c>
      <c r="P503">
        <v>31724666.666666668</v>
      </c>
      <c r="Q503">
        <v>44356216.216216214</v>
      </c>
      <c r="R503">
        <v>23407297.297297295</v>
      </c>
      <c r="S503">
        <v>1717</v>
      </c>
      <c r="T503">
        <v>3328</v>
      </c>
    </row>
    <row r="504" spans="1:20" x14ac:dyDescent="0.35">
      <c r="A504" s="7" t="s">
        <v>598</v>
      </c>
      <c r="B504" s="12" t="s">
        <v>90</v>
      </c>
      <c r="C504">
        <v>212784205.26866594</v>
      </c>
      <c r="D504">
        <v>217147384.49371085</v>
      </c>
      <c r="E504">
        <v>2794594.5945945992</v>
      </c>
      <c r="F504">
        <v>5545045.0450450461</v>
      </c>
      <c r="G504">
        <v>58</v>
      </c>
      <c r="H504">
        <v>49</v>
      </c>
      <c r="I504">
        <v>5</v>
      </c>
      <c r="K504">
        <v>372</v>
      </c>
      <c r="L504">
        <v>157</v>
      </c>
      <c r="M504">
        <v>17041801.801801801</v>
      </c>
      <c r="N504">
        <v>36984144.144144148</v>
      </c>
      <c r="O504">
        <v>53151689.189189196</v>
      </c>
      <c r="P504">
        <v>59847972.972972974</v>
      </c>
      <c r="Q504">
        <v>16339729.729729723</v>
      </c>
      <c r="R504">
        <v>36191441.441441439</v>
      </c>
      <c r="S504">
        <v>3753</v>
      </c>
      <c r="T504">
        <v>4367</v>
      </c>
    </row>
    <row r="505" spans="1:20" x14ac:dyDescent="0.35">
      <c r="A505" s="7" t="s">
        <v>599</v>
      </c>
      <c r="B505" s="12" t="s">
        <v>144</v>
      </c>
      <c r="C505">
        <v>81438804.36146079</v>
      </c>
      <c r="D505">
        <v>77474987.455427065</v>
      </c>
      <c r="E505">
        <v>1420945.945945946</v>
      </c>
      <c r="F505">
        <v>337837.83783783898</v>
      </c>
      <c r="G505">
        <v>12</v>
      </c>
      <c r="H505">
        <v>2</v>
      </c>
      <c r="K505">
        <v>12</v>
      </c>
      <c r="L505">
        <v>3</v>
      </c>
      <c r="M505">
        <v>7397297.297297297</v>
      </c>
      <c r="N505">
        <v>5202702.7027027011</v>
      </c>
      <c r="O505">
        <v>7778477.4774774779</v>
      </c>
      <c r="P505">
        <v>6979144.1441441439</v>
      </c>
      <c r="Q505">
        <v>5634504.5045045046</v>
      </c>
      <c r="R505">
        <v>4693333.333333333</v>
      </c>
      <c r="S505">
        <v>1327</v>
      </c>
      <c r="T505">
        <v>1155</v>
      </c>
    </row>
    <row r="506" spans="1:20" x14ac:dyDescent="0.35">
      <c r="A506" s="7" t="s">
        <v>600</v>
      </c>
      <c r="B506" s="12" t="s">
        <v>126</v>
      </c>
      <c r="C506">
        <v>210989442.02254993</v>
      </c>
      <c r="D506">
        <v>213119675.17451227</v>
      </c>
      <c r="E506">
        <v>60464198.198198199</v>
      </c>
      <c r="F506">
        <v>44940502.702702701</v>
      </c>
      <c r="G506">
        <v>24</v>
      </c>
      <c r="H506">
        <v>26</v>
      </c>
      <c r="K506">
        <v>28</v>
      </c>
      <c r="L506">
        <v>29</v>
      </c>
      <c r="M506">
        <v>31021081.081081081</v>
      </c>
      <c r="N506">
        <v>24649819.819819819</v>
      </c>
      <c r="O506">
        <v>81447331.531531543</v>
      </c>
      <c r="P506">
        <v>83912531.531531543</v>
      </c>
      <c r="Q506">
        <v>19642342.342342343</v>
      </c>
      <c r="R506">
        <v>16173063.063063065</v>
      </c>
      <c r="S506">
        <v>3814</v>
      </c>
      <c r="T506">
        <v>2764</v>
      </c>
    </row>
    <row r="507" spans="1:20" x14ac:dyDescent="0.35">
      <c r="A507" s="7" t="s">
        <v>601</v>
      </c>
      <c r="B507" s="12" t="s">
        <v>51</v>
      </c>
      <c r="C507">
        <v>514630995.20408678</v>
      </c>
      <c r="D507">
        <v>536037901.17447835</v>
      </c>
      <c r="E507">
        <v>6972072.072072072</v>
      </c>
      <c r="F507">
        <v>4097297.2972973031</v>
      </c>
      <c r="G507">
        <v>50</v>
      </c>
      <c r="H507">
        <v>55</v>
      </c>
      <c r="I507">
        <v>1</v>
      </c>
      <c r="K507">
        <v>62</v>
      </c>
      <c r="L507">
        <v>67</v>
      </c>
      <c r="M507">
        <v>94418018.018018022</v>
      </c>
      <c r="N507">
        <v>61916126.126126125</v>
      </c>
      <c r="O507">
        <v>215792864.86486486</v>
      </c>
      <c r="P507">
        <v>232994594.5945946</v>
      </c>
      <c r="Q507">
        <v>93873063.06306307</v>
      </c>
      <c r="R507">
        <v>63949729.729729727</v>
      </c>
      <c r="S507">
        <v>8117</v>
      </c>
      <c r="T507">
        <v>7594</v>
      </c>
    </row>
    <row r="508" spans="1:20" x14ac:dyDescent="0.35">
      <c r="A508" s="7" t="s">
        <v>602</v>
      </c>
      <c r="B508" s="12" t="s">
        <v>90</v>
      </c>
      <c r="C508">
        <v>150704485.82934085</v>
      </c>
      <c r="D508">
        <v>150946031.83242804</v>
      </c>
      <c r="E508">
        <v>1660360.3603603649</v>
      </c>
      <c r="F508">
        <v>3808108.1081081112</v>
      </c>
      <c r="G508">
        <v>15</v>
      </c>
      <c r="H508">
        <v>15</v>
      </c>
      <c r="K508">
        <v>15</v>
      </c>
      <c r="L508">
        <v>16</v>
      </c>
      <c r="M508">
        <v>32692972.972972974</v>
      </c>
      <c r="N508">
        <v>50124516.216216214</v>
      </c>
      <c r="O508">
        <v>45676009.009009011</v>
      </c>
      <c r="P508">
        <v>48905153.153153151</v>
      </c>
      <c r="Q508">
        <v>31058198.198198199</v>
      </c>
      <c r="R508">
        <v>49177837.837837838</v>
      </c>
      <c r="S508">
        <v>2654</v>
      </c>
      <c r="T508">
        <v>2115</v>
      </c>
    </row>
    <row r="509" spans="1:20" x14ac:dyDescent="0.35">
      <c r="A509" s="7" t="s">
        <v>603</v>
      </c>
      <c r="B509" s="12" t="s">
        <v>88</v>
      </c>
      <c r="C509">
        <v>132194928.65525585</v>
      </c>
      <c r="D509">
        <v>134262042.23768172</v>
      </c>
      <c r="E509">
        <v>1157657.657657658</v>
      </c>
      <c r="F509">
        <v>896396.39639639703</v>
      </c>
      <c r="G509">
        <v>15</v>
      </c>
      <c r="H509">
        <v>11</v>
      </c>
      <c r="K509">
        <v>16</v>
      </c>
      <c r="L509">
        <v>14</v>
      </c>
      <c r="M509">
        <v>2202702.702702702</v>
      </c>
      <c r="N509">
        <v>2563063.0630630632</v>
      </c>
      <c r="O509">
        <v>10733585.585585587</v>
      </c>
      <c r="P509">
        <v>14392585.585585587</v>
      </c>
      <c r="Q509">
        <v>1888378.378378378</v>
      </c>
      <c r="R509">
        <v>2505225.2252252251</v>
      </c>
      <c r="S509">
        <v>1344</v>
      </c>
      <c r="T509">
        <v>1243</v>
      </c>
    </row>
    <row r="510" spans="1:20" x14ac:dyDescent="0.35">
      <c r="A510" s="7" t="s">
        <v>604</v>
      </c>
      <c r="B510" s="12" t="s">
        <v>141</v>
      </c>
      <c r="C510">
        <v>1071571739.0493141</v>
      </c>
      <c r="D510">
        <v>1124130829.7503233</v>
      </c>
      <c r="E510">
        <v>858967172.97297287</v>
      </c>
      <c r="F510">
        <v>825547342.34234238</v>
      </c>
      <c r="G510">
        <v>849</v>
      </c>
      <c r="H510">
        <v>423</v>
      </c>
      <c r="I510">
        <v>11</v>
      </c>
      <c r="K510">
        <v>1198</v>
      </c>
      <c r="L510">
        <v>894</v>
      </c>
      <c r="M510">
        <v>218208378.37837836</v>
      </c>
      <c r="N510">
        <v>273090720.72072071</v>
      </c>
      <c r="O510">
        <v>265546720.72072071</v>
      </c>
      <c r="P510">
        <v>288291416.21621621</v>
      </c>
      <c r="Q510">
        <v>214605135.13513514</v>
      </c>
      <c r="R510">
        <v>216254097.2972973</v>
      </c>
      <c r="S510">
        <v>20087</v>
      </c>
      <c r="T510">
        <v>19117</v>
      </c>
    </row>
    <row r="511" spans="1:20" x14ac:dyDescent="0.35">
      <c r="A511" s="7" t="s">
        <v>605</v>
      </c>
      <c r="B511" s="12" t="s">
        <v>225</v>
      </c>
      <c r="C511">
        <v>177355531.7470541</v>
      </c>
      <c r="D511">
        <v>201262486.40929419</v>
      </c>
      <c r="E511">
        <v>86486.486486485999</v>
      </c>
      <c r="F511">
        <v>2091891.8918918921</v>
      </c>
      <c r="G511">
        <v>29</v>
      </c>
      <c r="H511">
        <v>31</v>
      </c>
      <c r="K511">
        <v>36</v>
      </c>
      <c r="L511">
        <v>34</v>
      </c>
      <c r="M511">
        <v>5311711.7117117113</v>
      </c>
      <c r="N511">
        <v>8209009.0090090092</v>
      </c>
      <c r="O511">
        <v>58149018.018018015</v>
      </c>
      <c r="P511">
        <v>73604801.801801801</v>
      </c>
      <c r="Q511">
        <v>5984684.6846846836</v>
      </c>
      <c r="R511">
        <v>8652702.702702703</v>
      </c>
      <c r="S511">
        <v>3647</v>
      </c>
      <c r="T511">
        <v>3745</v>
      </c>
    </row>
    <row r="512" spans="1:20" x14ac:dyDescent="0.35">
      <c r="A512" s="7" t="s">
        <v>606</v>
      </c>
      <c r="B512" s="12" t="s">
        <v>225</v>
      </c>
      <c r="C512">
        <v>116710401.13668679</v>
      </c>
      <c r="D512">
        <v>128149995.47255564</v>
      </c>
      <c r="E512">
        <v>84684.684684684005</v>
      </c>
      <c r="F512">
        <v>63063.063063064001</v>
      </c>
      <c r="G512">
        <v>44</v>
      </c>
      <c r="H512">
        <v>31</v>
      </c>
      <c r="K512">
        <v>45</v>
      </c>
      <c r="L512">
        <v>35</v>
      </c>
      <c r="M512">
        <v>6390990.9909909908</v>
      </c>
      <c r="N512">
        <v>9870540.5405405406</v>
      </c>
      <c r="O512">
        <v>35460936.936936937</v>
      </c>
      <c r="P512">
        <v>43905432.432432435</v>
      </c>
      <c r="Q512">
        <v>7133963.963963964</v>
      </c>
      <c r="R512">
        <v>10559639.63963964</v>
      </c>
      <c r="S512">
        <v>3169</v>
      </c>
      <c r="T512">
        <v>3299</v>
      </c>
    </row>
    <row r="513" spans="1:20" x14ac:dyDescent="0.35">
      <c r="A513" s="7" t="s">
        <v>607</v>
      </c>
      <c r="B513" s="12" t="s">
        <v>242</v>
      </c>
      <c r="C513">
        <v>103255667.93776675</v>
      </c>
      <c r="D513">
        <v>105979973.91266289</v>
      </c>
      <c r="E513">
        <v>857657.65765765798</v>
      </c>
      <c r="F513">
        <v>103603.603603604</v>
      </c>
      <c r="G513">
        <v>55</v>
      </c>
      <c r="H513">
        <v>42</v>
      </c>
      <c r="K513">
        <v>61</v>
      </c>
      <c r="L513">
        <v>52</v>
      </c>
      <c r="M513">
        <v>12950450.450450448</v>
      </c>
      <c r="N513">
        <v>4457657.6576576587</v>
      </c>
      <c r="O513">
        <v>31209963.963963963</v>
      </c>
      <c r="P513">
        <v>34096441.441441439</v>
      </c>
      <c r="Q513">
        <v>12140810.810810808</v>
      </c>
      <c r="R513">
        <v>5087117.1171171162</v>
      </c>
      <c r="S513">
        <v>3713</v>
      </c>
      <c r="T513">
        <v>2319</v>
      </c>
    </row>
    <row r="514" spans="1:20" x14ac:dyDescent="0.35">
      <c r="A514" s="7" t="s">
        <v>608</v>
      </c>
      <c r="B514" s="12" t="s">
        <v>141</v>
      </c>
      <c r="C514">
        <v>30680596.713885736</v>
      </c>
      <c r="D514">
        <v>30119300.465908367</v>
      </c>
      <c r="E514">
        <v>2702.7027027029999</v>
      </c>
      <c r="F514">
        <v>45945.945945945998</v>
      </c>
      <c r="G514">
        <v>4</v>
      </c>
      <c r="H514">
        <v>10</v>
      </c>
      <c r="I514">
        <v>3</v>
      </c>
      <c r="K514">
        <v>4</v>
      </c>
      <c r="L514">
        <v>12</v>
      </c>
      <c r="M514">
        <v>678378.37837837799</v>
      </c>
      <c r="N514">
        <v>761261.26126126095</v>
      </c>
      <c r="O514">
        <v>3542873.8738738741</v>
      </c>
      <c r="P514">
        <v>4846351.3513513505</v>
      </c>
      <c r="Q514">
        <v>687117.11711711704</v>
      </c>
      <c r="R514">
        <v>973513.51351351396</v>
      </c>
      <c r="S514">
        <v>353</v>
      </c>
      <c r="T514">
        <v>353</v>
      </c>
    </row>
    <row r="515" spans="1:20" x14ac:dyDescent="0.35">
      <c r="A515" s="7" t="s">
        <v>609</v>
      </c>
      <c r="B515" s="12" t="s">
        <v>190</v>
      </c>
      <c r="C515">
        <v>111655682.48362115</v>
      </c>
      <c r="D515">
        <v>102598383.88019651</v>
      </c>
      <c r="E515">
        <v>2184684.684684685</v>
      </c>
      <c r="F515">
        <v>926126.12612612802</v>
      </c>
      <c r="G515">
        <v>63</v>
      </c>
      <c r="H515">
        <v>25</v>
      </c>
      <c r="K515">
        <v>67</v>
      </c>
      <c r="L515">
        <v>28</v>
      </c>
      <c r="M515">
        <v>15617117.117117116</v>
      </c>
      <c r="N515">
        <v>15507207.207207208</v>
      </c>
      <c r="O515">
        <v>28067265.765765768</v>
      </c>
      <c r="P515">
        <v>26274936.936936937</v>
      </c>
      <c r="Q515">
        <v>10876936.936936935</v>
      </c>
      <c r="R515">
        <v>9486756.7567567583</v>
      </c>
      <c r="S515">
        <v>1791</v>
      </c>
      <c r="T515">
        <v>1425</v>
      </c>
    </row>
    <row r="516" spans="1:20" x14ac:dyDescent="0.35">
      <c r="A516" s="7" t="s">
        <v>610</v>
      </c>
      <c r="B516" s="12" t="s">
        <v>190</v>
      </c>
      <c r="C516">
        <v>337098424.07292086</v>
      </c>
      <c r="D516">
        <v>325697300.18757057</v>
      </c>
      <c r="E516">
        <v>459459.45945946098</v>
      </c>
      <c r="F516">
        <v>1318056.756756759</v>
      </c>
      <c r="G516">
        <v>108</v>
      </c>
      <c r="H516">
        <v>93</v>
      </c>
      <c r="K516">
        <v>115</v>
      </c>
      <c r="L516">
        <v>103</v>
      </c>
      <c r="M516">
        <v>19341081.081081081</v>
      </c>
      <c r="N516">
        <v>27098918.918918919</v>
      </c>
      <c r="O516">
        <v>58868306.306306303</v>
      </c>
      <c r="P516">
        <v>57829171.171171166</v>
      </c>
      <c r="Q516">
        <v>11135315.315315315</v>
      </c>
      <c r="R516">
        <v>13676846.846846849</v>
      </c>
      <c r="S516">
        <v>6021</v>
      </c>
      <c r="T516">
        <v>5012</v>
      </c>
    </row>
    <row r="517" spans="1:20" x14ac:dyDescent="0.35">
      <c r="A517" s="7" t="s">
        <v>611</v>
      </c>
      <c r="B517" s="12" t="s">
        <v>190</v>
      </c>
      <c r="C517">
        <v>127812945.33818121</v>
      </c>
      <c r="D517">
        <v>142661509.00719246</v>
      </c>
      <c r="E517">
        <v>798648.64864865004</v>
      </c>
      <c r="F517">
        <v>216216.216216217</v>
      </c>
      <c r="G517">
        <v>22</v>
      </c>
      <c r="H517">
        <v>26</v>
      </c>
      <c r="K517">
        <v>24</v>
      </c>
      <c r="L517">
        <v>31</v>
      </c>
      <c r="M517">
        <v>8205585.5855855849</v>
      </c>
      <c r="N517">
        <v>5689189.189189191</v>
      </c>
      <c r="O517">
        <v>15816387.387387387</v>
      </c>
      <c r="P517">
        <v>20820765.765765764</v>
      </c>
      <c r="Q517">
        <v>6794144.1441441448</v>
      </c>
      <c r="R517">
        <v>5067657.6576576577</v>
      </c>
      <c r="S517">
        <v>1934</v>
      </c>
      <c r="T517">
        <v>1703</v>
      </c>
    </row>
    <row r="518" spans="1:20" x14ac:dyDescent="0.35">
      <c r="A518" s="7" t="s">
        <v>612</v>
      </c>
      <c r="B518" s="12" t="s">
        <v>190</v>
      </c>
      <c r="C518">
        <v>48194137.014789328</v>
      </c>
      <c r="D518">
        <v>54598681.591203727</v>
      </c>
      <c r="E518">
        <v>211261.261261262</v>
      </c>
      <c r="F518">
        <v>72072.072072073002</v>
      </c>
      <c r="G518">
        <v>23</v>
      </c>
      <c r="H518">
        <v>47</v>
      </c>
      <c r="K518">
        <v>26</v>
      </c>
      <c r="L518">
        <v>59</v>
      </c>
      <c r="M518">
        <v>8298738.7387387389</v>
      </c>
      <c r="N518">
        <v>6727027.0270270268</v>
      </c>
      <c r="O518">
        <v>8769432.4324324317</v>
      </c>
      <c r="P518">
        <v>11572981.981981982</v>
      </c>
      <c r="Q518">
        <v>7435585.5855855849</v>
      </c>
      <c r="R518">
        <v>3898648.648648649</v>
      </c>
      <c r="S518">
        <v>945</v>
      </c>
      <c r="T518">
        <v>951</v>
      </c>
    </row>
    <row r="519" spans="1:20" x14ac:dyDescent="0.35">
      <c r="A519" s="7" t="s">
        <v>613</v>
      </c>
      <c r="B519" s="12" t="s">
        <v>144</v>
      </c>
      <c r="C519">
        <v>406782390.20846868</v>
      </c>
      <c r="D519">
        <v>389954618.4265542</v>
      </c>
      <c r="E519">
        <v>4151432.4324324331</v>
      </c>
      <c r="F519">
        <v>1285263.063063069</v>
      </c>
      <c r="G519">
        <v>510</v>
      </c>
      <c r="H519">
        <v>142</v>
      </c>
      <c r="K519">
        <v>543</v>
      </c>
      <c r="L519">
        <v>278</v>
      </c>
      <c r="M519">
        <v>35359459.459459461</v>
      </c>
      <c r="N519">
        <v>36939639.639639638</v>
      </c>
      <c r="O519">
        <v>48650896.396396391</v>
      </c>
      <c r="P519">
        <v>57804252.252252258</v>
      </c>
      <c r="Q519">
        <v>36852836.036036029</v>
      </c>
      <c r="R519">
        <v>40281981.981981985</v>
      </c>
      <c r="S519">
        <v>7665</v>
      </c>
      <c r="T519">
        <v>7807</v>
      </c>
    </row>
    <row r="520" spans="1:20" x14ac:dyDescent="0.35">
      <c r="A520" s="7" t="s">
        <v>614</v>
      </c>
      <c r="B520" s="12" t="s">
        <v>190</v>
      </c>
      <c r="C520">
        <v>428746043.05682176</v>
      </c>
      <c r="D520">
        <v>453594243.40480942</v>
      </c>
      <c r="E520">
        <v>93074945.045045033</v>
      </c>
      <c r="F520">
        <v>99000363.963963971</v>
      </c>
      <c r="G520">
        <v>172</v>
      </c>
      <c r="H520">
        <v>202</v>
      </c>
      <c r="I520">
        <v>3</v>
      </c>
      <c r="K520">
        <v>209</v>
      </c>
      <c r="L520">
        <v>281</v>
      </c>
      <c r="M520">
        <v>33590671.171171173</v>
      </c>
      <c r="N520">
        <v>21145765.765765768</v>
      </c>
      <c r="O520">
        <v>42119176.576576576</v>
      </c>
      <c r="P520">
        <v>51882014.414414413</v>
      </c>
      <c r="Q520">
        <v>15834367.567567568</v>
      </c>
      <c r="R520">
        <v>13538918.918918921</v>
      </c>
      <c r="S520">
        <v>8983</v>
      </c>
      <c r="T520">
        <v>7548</v>
      </c>
    </row>
    <row r="521" spans="1:20" x14ac:dyDescent="0.35">
      <c r="A521" s="7" t="s">
        <v>615</v>
      </c>
      <c r="B521" s="12" t="s">
        <v>55</v>
      </c>
      <c r="C521">
        <v>306751755.15784764</v>
      </c>
      <c r="D521">
        <v>311048734.45899725</v>
      </c>
      <c r="E521">
        <v>6251351.3513513561</v>
      </c>
      <c r="F521">
        <v>8938738.7387387417</v>
      </c>
      <c r="G521">
        <v>109</v>
      </c>
      <c r="H521">
        <v>90</v>
      </c>
      <c r="I521">
        <v>2</v>
      </c>
      <c r="K521">
        <v>215</v>
      </c>
      <c r="L521">
        <v>139</v>
      </c>
      <c r="M521">
        <v>50744144.144144148</v>
      </c>
      <c r="N521">
        <v>59936936.936936937</v>
      </c>
      <c r="O521">
        <v>96589918.918918908</v>
      </c>
      <c r="P521">
        <v>100548765.76576576</v>
      </c>
      <c r="Q521">
        <v>48241531.531531528</v>
      </c>
      <c r="R521">
        <v>57741081.081081077</v>
      </c>
      <c r="S521">
        <v>10524</v>
      </c>
      <c r="T521">
        <v>6314</v>
      </c>
    </row>
    <row r="522" spans="1:20" x14ac:dyDescent="0.35">
      <c r="A522" s="7" t="s">
        <v>616</v>
      </c>
      <c r="B522" s="12" t="s">
        <v>55</v>
      </c>
      <c r="C522">
        <v>166174407.46245468</v>
      </c>
      <c r="D522">
        <v>170545005.47767717</v>
      </c>
      <c r="E522">
        <v>814414.41441441595</v>
      </c>
      <c r="F522">
        <v>1589189.189189191</v>
      </c>
      <c r="G522">
        <v>20</v>
      </c>
      <c r="H522">
        <v>19</v>
      </c>
      <c r="I522">
        <v>1</v>
      </c>
      <c r="K522">
        <v>25</v>
      </c>
      <c r="L522">
        <v>32</v>
      </c>
      <c r="M522">
        <v>7776576.5765765766</v>
      </c>
      <c r="N522">
        <v>9415315.3153153155</v>
      </c>
      <c r="O522">
        <v>27786459.459459461</v>
      </c>
      <c r="P522">
        <v>30018504.504504506</v>
      </c>
      <c r="Q522">
        <v>7034414.4144144151</v>
      </c>
      <c r="R522">
        <v>9574144.1441441439</v>
      </c>
      <c r="S522">
        <v>3117</v>
      </c>
      <c r="T522">
        <v>2867</v>
      </c>
    </row>
    <row r="523" spans="1:20" x14ac:dyDescent="0.35">
      <c r="A523" s="7" t="s">
        <v>617</v>
      </c>
      <c r="B523" s="12" t="s">
        <v>61</v>
      </c>
      <c r="C523">
        <v>247775229.64131206</v>
      </c>
      <c r="D523">
        <v>269781688.18508345</v>
      </c>
      <c r="E523">
        <v>4152702.702702702</v>
      </c>
      <c r="F523">
        <v>2692792.7927927952</v>
      </c>
      <c r="G523">
        <v>104</v>
      </c>
      <c r="H523">
        <v>37</v>
      </c>
      <c r="K523">
        <v>136</v>
      </c>
      <c r="L523">
        <v>56</v>
      </c>
      <c r="M523">
        <v>39744594.59459459</v>
      </c>
      <c r="N523">
        <v>46604954.954954959</v>
      </c>
      <c r="O523">
        <v>80804945.945945948</v>
      </c>
      <c r="P523">
        <v>87911045.045045033</v>
      </c>
      <c r="Q523">
        <v>38161531.531531528</v>
      </c>
      <c r="R523">
        <v>42004504.504504502</v>
      </c>
      <c r="S523">
        <v>4169</v>
      </c>
      <c r="T523">
        <v>4533</v>
      </c>
    </row>
    <row r="524" spans="1:20" x14ac:dyDescent="0.35">
      <c r="A524" s="7" t="s">
        <v>618</v>
      </c>
      <c r="B524" s="12" t="s">
        <v>61</v>
      </c>
      <c r="C524">
        <v>275926967.83114719</v>
      </c>
      <c r="D524">
        <v>272593292.17470473</v>
      </c>
      <c r="E524">
        <v>2240540.5405405429</v>
      </c>
      <c r="F524">
        <v>3422522.5225225259</v>
      </c>
      <c r="G524">
        <v>67</v>
      </c>
      <c r="H524">
        <v>52</v>
      </c>
      <c r="K524">
        <v>73</v>
      </c>
      <c r="L524">
        <v>72</v>
      </c>
      <c r="M524">
        <v>36253153.153153151</v>
      </c>
      <c r="N524">
        <v>124785135.13513513</v>
      </c>
      <c r="O524">
        <v>142376806.3063063</v>
      </c>
      <c r="P524">
        <v>143085720.72072071</v>
      </c>
      <c r="Q524">
        <v>35260360.360360362</v>
      </c>
      <c r="R524">
        <v>118857747.74774775</v>
      </c>
      <c r="S524">
        <v>6983</v>
      </c>
      <c r="T524">
        <v>5456</v>
      </c>
    </row>
    <row r="525" spans="1:20" x14ac:dyDescent="0.35">
      <c r="A525" s="7" t="s">
        <v>619</v>
      </c>
      <c r="B525" s="12" t="s">
        <v>61</v>
      </c>
      <c r="C525">
        <v>348815431.39162046</v>
      </c>
      <c r="D525">
        <v>357476869.56346756</v>
      </c>
      <c r="E525">
        <v>6470945.9459459484</v>
      </c>
      <c r="F525">
        <v>9483783.7837837879</v>
      </c>
      <c r="G525">
        <v>55</v>
      </c>
      <c r="H525">
        <v>35</v>
      </c>
      <c r="I525">
        <v>1</v>
      </c>
      <c r="K525">
        <v>65</v>
      </c>
      <c r="L525">
        <v>51</v>
      </c>
      <c r="M525">
        <v>52464864.864864863</v>
      </c>
      <c r="N525">
        <v>132627927.92792794</v>
      </c>
      <c r="O525">
        <v>114695176.12612613</v>
      </c>
      <c r="P525">
        <v>119059358.55855855</v>
      </c>
      <c r="Q525">
        <v>48801531.531531535</v>
      </c>
      <c r="R525">
        <v>123734144.14414415</v>
      </c>
      <c r="S525">
        <v>7095</v>
      </c>
      <c r="T525">
        <v>5544</v>
      </c>
    </row>
    <row r="526" spans="1:20" x14ac:dyDescent="0.35">
      <c r="A526" s="7" t="s">
        <v>620</v>
      </c>
      <c r="B526" s="12" t="s">
        <v>621</v>
      </c>
      <c r="C526">
        <v>411232019.32292098</v>
      </c>
      <c r="D526">
        <v>409558270.72553074</v>
      </c>
      <c r="E526">
        <v>81670687.387387395</v>
      </c>
      <c r="F526">
        <v>128181045.04504506</v>
      </c>
      <c r="G526">
        <v>266</v>
      </c>
      <c r="H526">
        <v>138</v>
      </c>
      <c r="I526">
        <v>2</v>
      </c>
      <c r="K526">
        <v>441</v>
      </c>
      <c r="L526">
        <v>241</v>
      </c>
      <c r="M526">
        <v>42853080.180180177</v>
      </c>
      <c r="N526">
        <v>49270990.990990989</v>
      </c>
      <c r="O526">
        <v>49740738.738738738</v>
      </c>
      <c r="P526">
        <v>60706252.252252258</v>
      </c>
      <c r="Q526">
        <v>30544954.954954952</v>
      </c>
      <c r="R526">
        <v>32315855.855855856</v>
      </c>
      <c r="S526">
        <v>11782</v>
      </c>
      <c r="T526">
        <v>7621</v>
      </c>
    </row>
    <row r="527" spans="1:20" x14ac:dyDescent="0.35">
      <c r="A527" s="7" t="s">
        <v>622</v>
      </c>
      <c r="B527" s="12" t="s">
        <v>621</v>
      </c>
      <c r="C527">
        <v>300480606.02054483</v>
      </c>
      <c r="D527">
        <v>301311209.13250506</v>
      </c>
      <c r="E527">
        <v>4713963.9639639659</v>
      </c>
      <c r="F527">
        <v>5325225.2252252279</v>
      </c>
      <c r="G527">
        <v>108</v>
      </c>
      <c r="H527">
        <v>127</v>
      </c>
      <c r="I527">
        <v>1</v>
      </c>
      <c r="K527">
        <v>128</v>
      </c>
      <c r="L527">
        <v>165</v>
      </c>
      <c r="M527">
        <v>26737837.837837841</v>
      </c>
      <c r="N527">
        <v>31178378.378378376</v>
      </c>
      <c r="O527">
        <v>48298816.216216214</v>
      </c>
      <c r="P527">
        <v>53233177.477477483</v>
      </c>
      <c r="Q527">
        <v>23323333.333333336</v>
      </c>
      <c r="R527">
        <v>31696126.126126129</v>
      </c>
      <c r="S527">
        <v>9614</v>
      </c>
      <c r="T527">
        <v>5875</v>
      </c>
    </row>
    <row r="528" spans="1:20" x14ac:dyDescent="0.35">
      <c r="A528" s="7" t="s">
        <v>623</v>
      </c>
      <c r="B528" s="12" t="s">
        <v>621</v>
      </c>
      <c r="C528">
        <v>314751647.19592649</v>
      </c>
      <c r="D528">
        <v>306356790.46759057</v>
      </c>
      <c r="E528">
        <v>1704954.954954955</v>
      </c>
      <c r="F528">
        <v>2744144.1441441518</v>
      </c>
      <c r="G528">
        <v>134</v>
      </c>
      <c r="H528">
        <v>95</v>
      </c>
      <c r="I528">
        <v>1</v>
      </c>
      <c r="K528">
        <v>161</v>
      </c>
      <c r="L528">
        <v>122</v>
      </c>
      <c r="M528">
        <v>23396846.846846845</v>
      </c>
      <c r="N528">
        <v>28133513.513513517</v>
      </c>
      <c r="O528">
        <v>48281768.468468465</v>
      </c>
      <c r="P528">
        <v>52345527.927927926</v>
      </c>
      <c r="Q528">
        <v>18323423.423423424</v>
      </c>
      <c r="R528">
        <v>23928511.711711712</v>
      </c>
      <c r="S528">
        <v>9617</v>
      </c>
      <c r="T528">
        <v>5431</v>
      </c>
    </row>
    <row r="529" spans="1:20" x14ac:dyDescent="0.35">
      <c r="A529" s="7" t="s">
        <v>624</v>
      </c>
      <c r="B529" s="12" t="s">
        <v>621</v>
      </c>
      <c r="C529">
        <v>231404416.13139966</v>
      </c>
      <c r="D529">
        <v>230580085.12451404</v>
      </c>
      <c r="E529">
        <v>842342.34234234097</v>
      </c>
      <c r="F529">
        <v>2982882.8828828828</v>
      </c>
      <c r="G529">
        <v>59</v>
      </c>
      <c r="H529">
        <v>135</v>
      </c>
      <c r="I529">
        <v>4</v>
      </c>
      <c r="K529">
        <v>75</v>
      </c>
      <c r="L529">
        <v>165</v>
      </c>
      <c r="M529">
        <v>19393243.243243244</v>
      </c>
      <c r="N529">
        <v>22686936.936936937</v>
      </c>
      <c r="O529">
        <v>29674022.52252252</v>
      </c>
      <c r="P529">
        <v>33804151.351351351</v>
      </c>
      <c r="Q529">
        <v>18609369.369369369</v>
      </c>
      <c r="R529">
        <v>22155945.945945945</v>
      </c>
      <c r="S529">
        <v>5111</v>
      </c>
      <c r="T529">
        <v>3632</v>
      </c>
    </row>
    <row r="530" spans="1:20" x14ac:dyDescent="0.35">
      <c r="A530" s="7" t="s">
        <v>625</v>
      </c>
      <c r="B530" s="12" t="s">
        <v>261</v>
      </c>
      <c r="C530">
        <v>121664513.20546153</v>
      </c>
      <c r="D530">
        <v>127295170.04299575</v>
      </c>
      <c r="E530">
        <v>830630.630630631</v>
      </c>
      <c r="F530">
        <v>393693.69369369303</v>
      </c>
      <c r="G530">
        <v>18</v>
      </c>
      <c r="H530">
        <v>3</v>
      </c>
      <c r="K530">
        <v>18</v>
      </c>
      <c r="L530">
        <v>3</v>
      </c>
      <c r="M530">
        <v>14679279.279279279</v>
      </c>
      <c r="N530">
        <v>11044864.864864863</v>
      </c>
      <c r="O530">
        <v>40147612.612612613</v>
      </c>
      <c r="P530">
        <v>43277648.648648649</v>
      </c>
      <c r="Q530">
        <v>16876036.036036037</v>
      </c>
      <c r="R530">
        <v>14521531.531531531</v>
      </c>
      <c r="S530">
        <v>2444</v>
      </c>
      <c r="T530">
        <v>2083</v>
      </c>
    </row>
    <row r="531" spans="1:20" x14ac:dyDescent="0.35">
      <c r="A531" s="7" t="s">
        <v>626</v>
      </c>
      <c r="B531" s="12" t="s">
        <v>53</v>
      </c>
      <c r="C531">
        <v>189835780.45907846</v>
      </c>
      <c r="D531">
        <v>195764748.66451043</v>
      </c>
      <c r="E531">
        <v>602702.702702704</v>
      </c>
      <c r="F531">
        <v>1097297.2972973001</v>
      </c>
      <c r="G531">
        <v>74</v>
      </c>
      <c r="H531">
        <v>84</v>
      </c>
      <c r="I531">
        <v>1</v>
      </c>
      <c r="K531">
        <v>157</v>
      </c>
      <c r="L531">
        <v>189</v>
      </c>
      <c r="M531">
        <v>6332432.4324324336</v>
      </c>
      <c r="N531">
        <v>4867567.5675675701</v>
      </c>
      <c r="O531">
        <v>68010495.495495498</v>
      </c>
      <c r="P531">
        <v>72313052.252252251</v>
      </c>
      <c r="Q531">
        <v>4641531.5315315332</v>
      </c>
      <c r="R531">
        <v>5186126.1261261255</v>
      </c>
      <c r="S531">
        <v>5659</v>
      </c>
      <c r="T531">
        <v>4171</v>
      </c>
    </row>
    <row r="532" spans="1:20" x14ac:dyDescent="0.35">
      <c r="A532" s="7" t="s">
        <v>627</v>
      </c>
      <c r="B532" s="12" t="s">
        <v>97</v>
      </c>
      <c r="C532">
        <v>481620951.95724273</v>
      </c>
      <c r="D532">
        <v>446371422.43728793</v>
      </c>
      <c r="E532">
        <v>8289189.189189191</v>
      </c>
      <c r="F532">
        <v>6759909.9099099115</v>
      </c>
      <c r="G532">
        <v>225</v>
      </c>
      <c r="H532">
        <v>227</v>
      </c>
      <c r="I532">
        <v>1</v>
      </c>
      <c r="K532">
        <v>265</v>
      </c>
      <c r="L532">
        <v>682</v>
      </c>
      <c r="M532">
        <v>102072072.07207207</v>
      </c>
      <c r="N532">
        <v>104665315.31531531</v>
      </c>
      <c r="O532">
        <v>155880995.94594595</v>
      </c>
      <c r="P532">
        <v>159660673.87387389</v>
      </c>
      <c r="Q532">
        <v>85971801.801801801</v>
      </c>
      <c r="R532">
        <v>99458421.621621639</v>
      </c>
      <c r="S532">
        <v>12958</v>
      </c>
      <c r="T532">
        <v>10836</v>
      </c>
    </row>
    <row r="533" spans="1:20" x14ac:dyDescent="0.35">
      <c r="A533" s="7" t="s">
        <v>628</v>
      </c>
      <c r="B533" s="12" t="s">
        <v>97</v>
      </c>
      <c r="C533">
        <v>800782378.03613365</v>
      </c>
      <c r="D533">
        <v>771669873.38347626</v>
      </c>
      <c r="E533">
        <v>5449774.7747747758</v>
      </c>
      <c r="F533">
        <v>9637387.3873873912</v>
      </c>
      <c r="G533">
        <v>218</v>
      </c>
      <c r="H533">
        <v>215</v>
      </c>
      <c r="I533">
        <v>3</v>
      </c>
      <c r="K533">
        <v>296</v>
      </c>
      <c r="L533">
        <v>317</v>
      </c>
      <c r="M533">
        <v>222289639.63963965</v>
      </c>
      <c r="N533">
        <v>169149774.77477479</v>
      </c>
      <c r="O533">
        <v>324357439.1891892</v>
      </c>
      <c r="P533">
        <v>319247135.13513511</v>
      </c>
      <c r="Q533">
        <v>186736486.48648649</v>
      </c>
      <c r="R533">
        <v>168235630.63063061</v>
      </c>
      <c r="S533">
        <v>16587</v>
      </c>
      <c r="T533">
        <v>13571</v>
      </c>
    </row>
    <row r="534" spans="1:20" x14ac:dyDescent="0.35">
      <c r="A534" s="7" t="s">
        <v>629</v>
      </c>
      <c r="B534" s="12" t="s">
        <v>449</v>
      </c>
      <c r="C534">
        <v>582429413.90020466</v>
      </c>
      <c r="D534">
        <v>559961555.04687226</v>
      </c>
      <c r="E534">
        <v>170422012.61261261</v>
      </c>
      <c r="F534">
        <v>343798038.73873878</v>
      </c>
      <c r="G534">
        <v>217</v>
      </c>
      <c r="H534">
        <v>272</v>
      </c>
      <c r="I534">
        <v>2</v>
      </c>
      <c r="K534">
        <v>269</v>
      </c>
      <c r="L534">
        <v>416</v>
      </c>
      <c r="M534">
        <v>323950090.0900901</v>
      </c>
      <c r="N534">
        <v>183182657.65765765</v>
      </c>
      <c r="O534">
        <v>172577790.99099097</v>
      </c>
      <c r="P534">
        <v>181586783.78378376</v>
      </c>
      <c r="Q534">
        <v>323180900.9009009</v>
      </c>
      <c r="R534">
        <v>167898423.42342341</v>
      </c>
      <c r="S534">
        <v>13976</v>
      </c>
      <c r="T534">
        <v>11238</v>
      </c>
    </row>
    <row r="535" spans="1:20" x14ac:dyDescent="0.35">
      <c r="A535" s="7" t="s">
        <v>630</v>
      </c>
      <c r="B535" s="12" t="s">
        <v>79</v>
      </c>
      <c r="C535">
        <v>26337286.252372701</v>
      </c>
      <c r="D535">
        <v>26677824.618508689</v>
      </c>
      <c r="E535">
        <v>529729.72972972901</v>
      </c>
      <c r="F535">
        <v>312612.61261261301</v>
      </c>
      <c r="G535">
        <v>3</v>
      </c>
      <c r="H535">
        <v>3</v>
      </c>
      <c r="K535">
        <v>4</v>
      </c>
      <c r="L535">
        <v>3</v>
      </c>
      <c r="M535">
        <v>2754954.9549549539</v>
      </c>
      <c r="N535">
        <v>2433333.333333334</v>
      </c>
      <c r="O535">
        <v>7201018.0180180185</v>
      </c>
      <c r="P535">
        <v>8641495.4954954945</v>
      </c>
      <c r="Q535">
        <v>2367747.7477477482</v>
      </c>
      <c r="R535">
        <v>1877387.3873873879</v>
      </c>
      <c r="S535">
        <v>431</v>
      </c>
      <c r="T535">
        <v>361</v>
      </c>
    </row>
    <row r="536" spans="1:20" x14ac:dyDescent="0.35">
      <c r="A536" s="7" t="s">
        <v>631</v>
      </c>
      <c r="B536" s="12" t="s">
        <v>242</v>
      </c>
      <c r="C536">
        <v>153699548.5852941</v>
      </c>
      <c r="D536">
        <v>142650345.94675896</v>
      </c>
      <c r="E536">
        <v>1098873.8738738741</v>
      </c>
      <c r="F536">
        <v>3236036.0360360369</v>
      </c>
      <c r="G536">
        <v>67</v>
      </c>
      <c r="H536">
        <v>40</v>
      </c>
      <c r="K536">
        <v>74</v>
      </c>
      <c r="L536">
        <v>90</v>
      </c>
      <c r="M536">
        <v>27957477.47747748</v>
      </c>
      <c r="N536">
        <v>39727837.837837838</v>
      </c>
      <c r="O536">
        <v>35984558.558558561</v>
      </c>
      <c r="P536">
        <v>35832864.864864863</v>
      </c>
      <c r="Q536">
        <v>27395675.675675675</v>
      </c>
      <c r="R536">
        <v>37382162.162162162</v>
      </c>
      <c r="S536">
        <v>2837</v>
      </c>
      <c r="T536">
        <v>2530</v>
      </c>
    </row>
    <row r="537" spans="1:20" x14ac:dyDescent="0.35">
      <c r="A537" s="7" t="s">
        <v>632</v>
      </c>
      <c r="B537" s="12" t="s">
        <v>69</v>
      </c>
      <c r="C537">
        <v>664183875.00739455</v>
      </c>
      <c r="D537">
        <v>682312545.94399214</v>
      </c>
      <c r="E537">
        <v>7064414.4144144151</v>
      </c>
      <c r="F537">
        <v>3789189.18918919</v>
      </c>
      <c r="G537">
        <v>438</v>
      </c>
      <c r="H537">
        <v>116</v>
      </c>
      <c r="I537">
        <v>1</v>
      </c>
      <c r="K537">
        <v>480</v>
      </c>
      <c r="L537">
        <v>222</v>
      </c>
      <c r="M537">
        <v>67909009.009009004</v>
      </c>
      <c r="N537">
        <v>76874054.054054052</v>
      </c>
      <c r="O537">
        <v>113530454.05405405</v>
      </c>
      <c r="P537">
        <v>131209545.94594595</v>
      </c>
      <c r="Q537">
        <v>51314774.774774775</v>
      </c>
      <c r="R537">
        <v>58749639.639639638</v>
      </c>
      <c r="S537">
        <v>9535</v>
      </c>
      <c r="T537">
        <v>9227</v>
      </c>
    </row>
    <row r="538" spans="1:20" x14ac:dyDescent="0.35">
      <c r="A538" s="7" t="s">
        <v>633</v>
      </c>
      <c r="B538" s="12" t="s">
        <v>71</v>
      </c>
      <c r="C538">
        <v>4845302.5394802131</v>
      </c>
      <c r="D538">
        <v>5090262.5466781463</v>
      </c>
      <c r="E538">
        <v>54054.054054054002</v>
      </c>
      <c r="F538">
        <v>234234.234234234</v>
      </c>
      <c r="G538">
        <v>2</v>
      </c>
      <c r="K538">
        <v>2</v>
      </c>
      <c r="M538">
        <v>54054.054054054002</v>
      </c>
      <c r="N538">
        <v>288288.28828828799</v>
      </c>
      <c r="O538">
        <v>2843513.5135135138</v>
      </c>
      <c r="P538">
        <v>3063603.6036036038</v>
      </c>
      <c r="Q538">
        <v>164864.864864865</v>
      </c>
      <c r="S538">
        <v>324</v>
      </c>
      <c r="T538">
        <v>180</v>
      </c>
    </row>
    <row r="539" spans="1:20" x14ac:dyDescent="0.35">
      <c r="A539" s="7" t="s">
        <v>634</v>
      </c>
      <c r="B539" s="12" t="s">
        <v>61</v>
      </c>
      <c r="C539">
        <v>51233379.670612723</v>
      </c>
      <c r="D539">
        <v>52000622.277352713</v>
      </c>
      <c r="E539">
        <v>151351.351351352</v>
      </c>
      <c r="F539">
        <v>374774.77477477601</v>
      </c>
      <c r="G539">
        <v>15</v>
      </c>
      <c r="H539">
        <v>5</v>
      </c>
      <c r="I539">
        <v>1</v>
      </c>
      <c r="K539">
        <v>16</v>
      </c>
      <c r="L539">
        <v>8</v>
      </c>
      <c r="M539">
        <v>1953153.1531531529</v>
      </c>
      <c r="N539">
        <v>6845045.0450450452</v>
      </c>
      <c r="O539">
        <v>21648387.387387387</v>
      </c>
      <c r="P539">
        <v>20443549.54954955</v>
      </c>
      <c r="Q539">
        <v>256306.30630630601</v>
      </c>
      <c r="R539">
        <v>5785135.1351351347</v>
      </c>
      <c r="S539">
        <v>1089</v>
      </c>
      <c r="T539">
        <v>1072</v>
      </c>
    </row>
    <row r="540" spans="1:20" x14ac:dyDescent="0.35">
      <c r="A540" s="7" t="s">
        <v>635</v>
      </c>
      <c r="B540" s="12" t="s">
        <v>81</v>
      </c>
      <c r="C540">
        <v>518121670.52306217</v>
      </c>
      <c r="D540">
        <v>530756937.00693464</v>
      </c>
      <c r="E540">
        <v>120961351.35135137</v>
      </c>
      <c r="F540">
        <v>162276216.21621624</v>
      </c>
      <c r="G540">
        <v>76</v>
      </c>
      <c r="H540">
        <v>60</v>
      </c>
      <c r="K540">
        <v>85</v>
      </c>
      <c r="L540">
        <v>82</v>
      </c>
      <c r="M540">
        <v>62849099.0990991</v>
      </c>
      <c r="N540">
        <v>73216036.036036029</v>
      </c>
      <c r="O540">
        <v>103758175.67567568</v>
      </c>
      <c r="P540">
        <v>107300171.17117117</v>
      </c>
      <c r="Q540">
        <v>55254504.504504502</v>
      </c>
      <c r="R540">
        <v>63639279.279279277</v>
      </c>
      <c r="S540">
        <v>7224</v>
      </c>
      <c r="T540">
        <v>6204</v>
      </c>
    </row>
    <row r="541" spans="1:20" x14ac:dyDescent="0.35">
      <c r="A541" s="7" t="s">
        <v>636</v>
      </c>
      <c r="B541" s="12" t="s">
        <v>135</v>
      </c>
      <c r="C541">
        <v>94608589.153558522</v>
      </c>
      <c r="D541">
        <v>99559803.200434551</v>
      </c>
      <c r="E541">
        <v>874774.77477477503</v>
      </c>
      <c r="G541">
        <v>19</v>
      </c>
      <c r="H541">
        <v>13</v>
      </c>
      <c r="K541">
        <v>19</v>
      </c>
      <c r="L541">
        <v>16</v>
      </c>
      <c r="M541">
        <v>10933333.333333332</v>
      </c>
      <c r="N541">
        <v>1432432.432432432</v>
      </c>
      <c r="O541">
        <v>5282513.5135135138</v>
      </c>
      <c r="P541">
        <v>6979819.8198198192</v>
      </c>
      <c r="Q541">
        <v>10183513.513513515</v>
      </c>
      <c r="R541">
        <v>1312702.702702702</v>
      </c>
      <c r="S541">
        <v>1513</v>
      </c>
      <c r="T541">
        <v>1548</v>
      </c>
    </row>
    <row r="542" spans="1:20" x14ac:dyDescent="0.35">
      <c r="A542" s="7" t="s">
        <v>637</v>
      </c>
      <c r="B542" s="12" t="s">
        <v>480</v>
      </c>
      <c r="C542">
        <v>284156085.97970623</v>
      </c>
      <c r="D542">
        <v>276576459.66276783</v>
      </c>
      <c r="E542">
        <v>158163772.97297299</v>
      </c>
      <c r="F542">
        <v>173067194.5945946</v>
      </c>
      <c r="G542">
        <v>88</v>
      </c>
      <c r="H542">
        <v>59</v>
      </c>
      <c r="K542">
        <v>98</v>
      </c>
      <c r="L542">
        <v>67</v>
      </c>
      <c r="M542">
        <v>75865165.765765756</v>
      </c>
      <c r="N542">
        <v>80631666.666666672</v>
      </c>
      <c r="O542">
        <v>101269837.83783785</v>
      </c>
      <c r="P542">
        <v>105567639.63963965</v>
      </c>
      <c r="Q542">
        <v>72062927.927927941</v>
      </c>
      <c r="R542">
        <v>86955900.900900915</v>
      </c>
      <c r="S542">
        <v>7652</v>
      </c>
      <c r="T542">
        <v>5633</v>
      </c>
    </row>
    <row r="543" spans="1:20" x14ac:dyDescent="0.35">
      <c r="A543" s="7" t="s">
        <v>638</v>
      </c>
      <c r="B543" s="12" t="s">
        <v>144</v>
      </c>
      <c r="C543">
        <v>482893619.57759476</v>
      </c>
      <c r="D543">
        <v>495789563.9382866</v>
      </c>
      <c r="E543">
        <v>4046846.846846845</v>
      </c>
      <c r="F543">
        <v>3892792.792792799</v>
      </c>
      <c r="G543">
        <v>121</v>
      </c>
      <c r="H543">
        <v>44</v>
      </c>
      <c r="K543">
        <v>150</v>
      </c>
      <c r="L543">
        <v>56</v>
      </c>
      <c r="M543">
        <v>32384234.234234232</v>
      </c>
      <c r="N543">
        <v>36288288.288288288</v>
      </c>
      <c r="O543">
        <v>60707123.873873875</v>
      </c>
      <c r="P543">
        <v>62315612.612612605</v>
      </c>
      <c r="Q543">
        <v>25804594.594594598</v>
      </c>
      <c r="R543">
        <v>29525225.225225225</v>
      </c>
      <c r="S543">
        <v>10572</v>
      </c>
      <c r="T543">
        <v>9191</v>
      </c>
    </row>
    <row r="544" spans="1:20" x14ac:dyDescent="0.35">
      <c r="A544" s="7" t="s">
        <v>639</v>
      </c>
      <c r="B544" s="12" t="s">
        <v>242</v>
      </c>
      <c r="C544">
        <v>527513852.90179652</v>
      </c>
      <c r="D544">
        <v>519455673.24166375</v>
      </c>
      <c r="E544">
        <v>183332702.7027027</v>
      </c>
      <c r="F544">
        <v>70986576.576576576</v>
      </c>
      <c r="G544">
        <v>264</v>
      </c>
      <c r="H544">
        <v>230</v>
      </c>
      <c r="K544">
        <v>312</v>
      </c>
      <c r="L544">
        <v>364</v>
      </c>
      <c r="M544">
        <v>53854954.954954959</v>
      </c>
      <c r="N544">
        <v>49830810.810810819</v>
      </c>
      <c r="O544">
        <v>170928726.12612611</v>
      </c>
      <c r="P544">
        <v>183460711.7117117</v>
      </c>
      <c r="Q544">
        <v>49276936.936936937</v>
      </c>
      <c r="R544">
        <v>46539009.009009011</v>
      </c>
      <c r="S544">
        <v>17504</v>
      </c>
      <c r="T544">
        <v>12608</v>
      </c>
    </row>
    <row r="545" spans="1:20" x14ac:dyDescent="0.35">
      <c r="A545" s="7" t="s">
        <v>640</v>
      </c>
      <c r="B545" s="12" t="s">
        <v>133</v>
      </c>
      <c r="C545">
        <v>202609245.01637596</v>
      </c>
      <c r="D545">
        <v>210652392.08953586</v>
      </c>
      <c r="E545">
        <v>74826271.171171173</v>
      </c>
      <c r="F545">
        <v>104903427.92792794</v>
      </c>
      <c r="G545">
        <v>82</v>
      </c>
      <c r="H545">
        <v>66</v>
      </c>
      <c r="K545">
        <v>95</v>
      </c>
      <c r="L545">
        <v>79</v>
      </c>
      <c r="M545">
        <v>15436261.26126126</v>
      </c>
      <c r="N545">
        <v>15875450.45045045</v>
      </c>
      <c r="O545">
        <v>72502711.711711705</v>
      </c>
      <c r="P545">
        <v>75137178.378378391</v>
      </c>
      <c r="Q545">
        <v>4946486.4864864862</v>
      </c>
      <c r="R545">
        <v>5908693.6936936928</v>
      </c>
      <c r="S545">
        <v>6745</v>
      </c>
      <c r="T545">
        <v>5531</v>
      </c>
    </row>
    <row r="546" spans="1:20" x14ac:dyDescent="0.35">
      <c r="A546" s="7" t="s">
        <v>641</v>
      </c>
      <c r="B546" s="12" t="s">
        <v>135</v>
      </c>
      <c r="C546">
        <v>609748568.80756593</v>
      </c>
      <c r="D546">
        <v>650159573.02387178</v>
      </c>
      <c r="E546">
        <v>1841441.441441444</v>
      </c>
      <c r="F546">
        <v>3788288.2882882939</v>
      </c>
      <c r="G546">
        <v>102</v>
      </c>
      <c r="H546">
        <v>89</v>
      </c>
      <c r="I546">
        <v>1</v>
      </c>
      <c r="K546">
        <v>108</v>
      </c>
      <c r="L546">
        <v>116</v>
      </c>
      <c r="M546">
        <v>50937657.657657653</v>
      </c>
      <c r="N546">
        <v>60450090.090090089</v>
      </c>
      <c r="O546">
        <v>80842900</v>
      </c>
      <c r="P546">
        <v>94523027.027027026</v>
      </c>
      <c r="Q546">
        <v>41275358.558558553</v>
      </c>
      <c r="R546">
        <v>50249819.819819823</v>
      </c>
      <c r="S546">
        <v>8631</v>
      </c>
      <c r="T546">
        <v>8353</v>
      </c>
    </row>
    <row r="547" spans="1:20" x14ac:dyDescent="0.35">
      <c r="A547" s="7" t="s">
        <v>642</v>
      </c>
      <c r="B547" s="12" t="s">
        <v>81</v>
      </c>
      <c r="C547">
        <v>319312094.36326361</v>
      </c>
      <c r="D547">
        <v>323865880.20207465</v>
      </c>
      <c r="E547">
        <v>1260360.3603603591</v>
      </c>
      <c r="F547">
        <v>1498198.1981982</v>
      </c>
      <c r="G547">
        <v>59</v>
      </c>
      <c r="H547">
        <v>36</v>
      </c>
      <c r="K547">
        <v>74</v>
      </c>
      <c r="L547">
        <v>72</v>
      </c>
      <c r="M547">
        <v>36119819.819819815</v>
      </c>
      <c r="N547">
        <v>40645045.045045048</v>
      </c>
      <c r="O547">
        <v>115041939.63963965</v>
      </c>
      <c r="P547">
        <v>118510881.08108109</v>
      </c>
      <c r="Q547">
        <v>33994324.324324325</v>
      </c>
      <c r="R547">
        <v>36478378.378378376</v>
      </c>
      <c r="S547">
        <v>5125</v>
      </c>
      <c r="T547">
        <v>4987</v>
      </c>
    </row>
    <row r="548" spans="1:20" x14ac:dyDescent="0.35">
      <c r="A548" s="7" t="s">
        <v>643</v>
      </c>
      <c r="B548" s="12" t="s">
        <v>170</v>
      </c>
      <c r="C548">
        <v>532481175.57972294</v>
      </c>
      <c r="D548">
        <v>557360310.21168637</v>
      </c>
      <c r="E548">
        <v>1891891.8918918909</v>
      </c>
      <c r="F548">
        <v>3224324.3243243238</v>
      </c>
      <c r="G548">
        <v>54</v>
      </c>
      <c r="H548">
        <v>63</v>
      </c>
      <c r="I548">
        <v>2</v>
      </c>
      <c r="K548">
        <v>57</v>
      </c>
      <c r="L548">
        <v>69</v>
      </c>
      <c r="M548">
        <v>45446141.441441439</v>
      </c>
      <c r="N548">
        <v>48044144.144144148</v>
      </c>
      <c r="O548">
        <v>189354225.22522521</v>
      </c>
      <c r="P548">
        <v>213106414.41441441</v>
      </c>
      <c r="Q548">
        <v>43509369.369369365</v>
      </c>
      <c r="R548">
        <v>45861081.081081077</v>
      </c>
      <c r="S548">
        <v>9089</v>
      </c>
      <c r="T548">
        <v>8633</v>
      </c>
    </row>
    <row r="549" spans="1:20" x14ac:dyDescent="0.35">
      <c r="A549" s="7" t="s">
        <v>644</v>
      </c>
      <c r="B549" s="12" t="s">
        <v>59</v>
      </c>
      <c r="C549">
        <v>913335824.13495886</v>
      </c>
      <c r="D549">
        <v>912536258.28706598</v>
      </c>
      <c r="E549">
        <v>11925450.450450448</v>
      </c>
      <c r="F549">
        <v>10922522.52252253</v>
      </c>
      <c r="G549">
        <v>277</v>
      </c>
      <c r="H549">
        <v>197</v>
      </c>
      <c r="K549">
        <v>307</v>
      </c>
      <c r="L549">
        <v>240</v>
      </c>
      <c r="M549">
        <v>116781531.53153154</v>
      </c>
      <c r="N549">
        <v>162572522.52252254</v>
      </c>
      <c r="O549">
        <v>189285301.8018018</v>
      </c>
      <c r="P549">
        <v>195031890.09009007</v>
      </c>
      <c r="Q549">
        <v>63656666.666666664</v>
      </c>
      <c r="R549">
        <v>167925765.76576576</v>
      </c>
      <c r="S549">
        <v>19897</v>
      </c>
      <c r="T549">
        <v>17363</v>
      </c>
    </row>
    <row r="550" spans="1:20" x14ac:dyDescent="0.35">
      <c r="A550" s="7" t="s">
        <v>645</v>
      </c>
      <c r="B550" s="12" t="s">
        <v>59</v>
      </c>
      <c r="C550">
        <v>1139497864.2249603</v>
      </c>
      <c r="D550">
        <v>1169296736.0058558</v>
      </c>
      <c r="E550">
        <v>360148664.86486489</v>
      </c>
      <c r="F550">
        <v>575578910.8108108</v>
      </c>
      <c r="G550">
        <v>1250</v>
      </c>
      <c r="H550">
        <v>475</v>
      </c>
      <c r="I550">
        <v>1</v>
      </c>
      <c r="K550">
        <v>1448</v>
      </c>
      <c r="L550">
        <v>815</v>
      </c>
      <c r="M550">
        <v>203591891.8918919</v>
      </c>
      <c r="N550">
        <v>298081981.98198193</v>
      </c>
      <c r="O550">
        <v>344694229.72972971</v>
      </c>
      <c r="P550">
        <v>340117219.81981987</v>
      </c>
      <c r="Q550">
        <v>171645225.22522521</v>
      </c>
      <c r="R550">
        <v>300509318.91891891</v>
      </c>
      <c r="S550">
        <v>33878</v>
      </c>
      <c r="T550">
        <v>23321</v>
      </c>
    </row>
    <row r="551" spans="1:20" x14ac:dyDescent="0.35">
      <c r="A551" s="7" t="s">
        <v>646</v>
      </c>
      <c r="B551" s="12" t="s">
        <v>308</v>
      </c>
      <c r="C551">
        <v>372612045.14379144</v>
      </c>
      <c r="D551">
        <v>357298122.08913368</v>
      </c>
      <c r="E551">
        <v>1884684.684684685</v>
      </c>
      <c r="F551">
        <v>2206306.3063063058</v>
      </c>
      <c r="G551">
        <v>58</v>
      </c>
      <c r="H551">
        <v>34</v>
      </c>
      <c r="K551">
        <v>61</v>
      </c>
      <c r="L551">
        <v>43</v>
      </c>
      <c r="M551">
        <v>7342882.8828828838</v>
      </c>
      <c r="N551">
        <v>7342522.5225225212</v>
      </c>
      <c r="O551">
        <v>62019912.612612613</v>
      </c>
      <c r="P551">
        <v>66334436.936936937</v>
      </c>
      <c r="Q551">
        <v>6799549.5495495498</v>
      </c>
      <c r="R551">
        <v>6998468.4684684677</v>
      </c>
      <c r="S551">
        <v>5549</v>
      </c>
      <c r="T551">
        <v>5209</v>
      </c>
    </row>
    <row r="552" spans="1:20" x14ac:dyDescent="0.35">
      <c r="A552" s="7" t="s">
        <v>13</v>
      </c>
      <c r="B552" s="12" t="s">
        <v>159</v>
      </c>
      <c r="C552">
        <v>425990386.05065107</v>
      </c>
      <c r="D552">
        <v>403176479.18286675</v>
      </c>
      <c r="E552">
        <v>4528828.8288288368</v>
      </c>
      <c r="F552">
        <v>6459459.4594594631</v>
      </c>
      <c r="G552">
        <v>170</v>
      </c>
      <c r="H552">
        <v>137</v>
      </c>
      <c r="I552">
        <v>1</v>
      </c>
      <c r="K552">
        <v>335</v>
      </c>
      <c r="L552">
        <v>843</v>
      </c>
      <c r="M552">
        <v>101385810.81081082</v>
      </c>
      <c r="N552">
        <v>136371621.62162161</v>
      </c>
      <c r="O552">
        <v>246068063.06306309</v>
      </c>
      <c r="P552">
        <v>251600018.01801801</v>
      </c>
      <c r="Q552">
        <v>102991439.63963963</v>
      </c>
      <c r="R552">
        <v>140760090.0900901</v>
      </c>
      <c r="S552">
        <v>9872</v>
      </c>
      <c r="T552">
        <v>7301</v>
      </c>
    </row>
    <row r="553" spans="1:20" x14ac:dyDescent="0.35">
      <c r="A553" s="7" t="s">
        <v>647</v>
      </c>
      <c r="B553" s="12" t="s">
        <v>122</v>
      </c>
      <c r="C553">
        <v>286973866.80426061</v>
      </c>
      <c r="D553">
        <v>295435056.71560335</v>
      </c>
      <c r="E553">
        <v>163063.06306306299</v>
      </c>
      <c r="F553">
        <v>90090.090090091995</v>
      </c>
      <c r="G553">
        <v>68</v>
      </c>
      <c r="H553">
        <v>89</v>
      </c>
      <c r="K553">
        <v>73</v>
      </c>
      <c r="L553">
        <v>96</v>
      </c>
      <c r="M553">
        <v>1157657.657657658</v>
      </c>
      <c r="N553">
        <v>1441441.4414414431</v>
      </c>
      <c r="O553">
        <v>25104502.252252251</v>
      </c>
      <c r="P553">
        <v>28659158.558558561</v>
      </c>
      <c r="Q553">
        <v>1054864.8648648651</v>
      </c>
      <c r="R553">
        <v>1036486.486486486</v>
      </c>
      <c r="S553">
        <v>3405</v>
      </c>
      <c r="T553">
        <v>3729</v>
      </c>
    </row>
    <row r="554" spans="1:20" x14ac:dyDescent="0.35">
      <c r="A554" s="7" t="s">
        <v>648</v>
      </c>
      <c r="B554" s="12" t="s">
        <v>316</v>
      </c>
      <c r="C554">
        <v>104062801.73083293</v>
      </c>
      <c r="D554">
        <v>94473329.086236402</v>
      </c>
      <c r="E554">
        <v>1547747.7477477479</v>
      </c>
      <c r="F554">
        <v>1407207.207207209</v>
      </c>
      <c r="G554">
        <v>43</v>
      </c>
      <c r="H554">
        <v>11</v>
      </c>
      <c r="K554">
        <v>45</v>
      </c>
      <c r="L554">
        <v>12</v>
      </c>
      <c r="M554">
        <v>18428828.828828827</v>
      </c>
      <c r="N554">
        <v>36207657.657657653</v>
      </c>
      <c r="O554">
        <v>26589603.603603605</v>
      </c>
      <c r="P554">
        <v>25263270.270270273</v>
      </c>
      <c r="Q554">
        <v>19641891.891891893</v>
      </c>
      <c r="R554">
        <v>34027657.657657661</v>
      </c>
      <c r="S554">
        <v>1562</v>
      </c>
      <c r="T554">
        <v>1312</v>
      </c>
    </row>
    <row r="555" spans="1:20" x14ac:dyDescent="0.35">
      <c r="A555" s="7" t="s">
        <v>649</v>
      </c>
      <c r="B555" s="12" t="s">
        <v>261</v>
      </c>
      <c r="C555">
        <v>264076998.48243159</v>
      </c>
      <c r="D555">
        <v>279715024.79322869</v>
      </c>
      <c r="E555">
        <v>1438738.738738738</v>
      </c>
      <c r="F555">
        <v>1458558.55855856</v>
      </c>
      <c r="G555">
        <v>90</v>
      </c>
      <c r="H555">
        <v>65</v>
      </c>
      <c r="K555">
        <v>99</v>
      </c>
      <c r="L555">
        <v>72</v>
      </c>
      <c r="M555">
        <v>49216216.216216214</v>
      </c>
      <c r="N555">
        <v>56271171.171171166</v>
      </c>
      <c r="O555">
        <v>87466702.702702701</v>
      </c>
      <c r="P555">
        <v>97414261.261261269</v>
      </c>
      <c r="Q555">
        <v>49659189.189189196</v>
      </c>
      <c r="R555">
        <v>53925045.045045048</v>
      </c>
      <c r="S555">
        <v>4744</v>
      </c>
      <c r="T555">
        <v>4152</v>
      </c>
    </row>
    <row r="556" spans="1:20" x14ac:dyDescent="0.35">
      <c r="A556" s="7" t="s">
        <v>650</v>
      </c>
      <c r="B556" s="12" t="s">
        <v>225</v>
      </c>
      <c r="C556">
        <v>257857078.98842239</v>
      </c>
      <c r="D556">
        <v>299090838.63406581</v>
      </c>
      <c r="E556">
        <v>5224099.0990991006</v>
      </c>
      <c r="F556">
        <v>3663963.963963965</v>
      </c>
      <c r="G556">
        <v>75</v>
      </c>
      <c r="H556">
        <v>88</v>
      </c>
      <c r="K556">
        <v>84</v>
      </c>
      <c r="L556">
        <v>122</v>
      </c>
      <c r="M556">
        <v>84658558.558558553</v>
      </c>
      <c r="N556">
        <v>40438738.738738738</v>
      </c>
      <c r="O556">
        <v>59439989.189189181</v>
      </c>
      <c r="P556">
        <v>73606709.909909904</v>
      </c>
      <c r="Q556">
        <v>77955315.315315306</v>
      </c>
      <c r="R556">
        <v>37580000</v>
      </c>
      <c r="S556">
        <v>5810</v>
      </c>
      <c r="T556">
        <v>5656</v>
      </c>
    </row>
    <row r="557" spans="1:20" x14ac:dyDescent="0.35">
      <c r="A557" s="7" t="s">
        <v>651</v>
      </c>
      <c r="B557" s="12" t="s">
        <v>225</v>
      </c>
      <c r="C557">
        <v>208020921.34074241</v>
      </c>
      <c r="D557">
        <v>239412417.40674889</v>
      </c>
      <c r="E557">
        <v>63963.963963964998</v>
      </c>
      <c r="F557">
        <v>102702.702702704</v>
      </c>
      <c r="G557">
        <v>41</v>
      </c>
      <c r="H557">
        <v>45</v>
      </c>
      <c r="K557">
        <v>44</v>
      </c>
      <c r="L557">
        <v>51</v>
      </c>
      <c r="M557">
        <v>10274414.414414413</v>
      </c>
      <c r="N557">
        <v>14203603.603603603</v>
      </c>
      <c r="O557">
        <v>29085306.306306306</v>
      </c>
      <c r="P557">
        <v>38318783.783783786</v>
      </c>
      <c r="Q557">
        <v>9469549.5495495517</v>
      </c>
      <c r="R557">
        <v>12966126.126126127</v>
      </c>
      <c r="S557">
        <v>3219</v>
      </c>
      <c r="T557">
        <v>3125</v>
      </c>
    </row>
    <row r="558" spans="1:20" x14ac:dyDescent="0.35">
      <c r="A558" s="7" t="s">
        <v>652</v>
      </c>
      <c r="B558" s="12" t="s">
        <v>225</v>
      </c>
      <c r="C558">
        <v>803897060.57166362</v>
      </c>
      <c r="D558">
        <v>909150374.69785345</v>
      </c>
      <c r="E558">
        <v>296123279.27927929</v>
      </c>
      <c r="F558">
        <v>384458676.57657659</v>
      </c>
      <c r="G558">
        <v>304</v>
      </c>
      <c r="H558">
        <v>344</v>
      </c>
      <c r="K558">
        <v>467</v>
      </c>
      <c r="L558">
        <v>466</v>
      </c>
      <c r="M558">
        <v>246258558.55855855</v>
      </c>
      <c r="N558">
        <v>197172522.52252254</v>
      </c>
      <c r="O558">
        <v>199324319.81981981</v>
      </c>
      <c r="P558">
        <v>237779926.12612611</v>
      </c>
      <c r="Q558">
        <v>230074684.68468466</v>
      </c>
      <c r="R558">
        <v>173752072.07207206</v>
      </c>
      <c r="S558">
        <v>19430</v>
      </c>
      <c r="T558">
        <v>19073</v>
      </c>
    </row>
    <row r="559" spans="1:20" x14ac:dyDescent="0.35">
      <c r="A559" s="7" t="s">
        <v>653</v>
      </c>
      <c r="B559" s="12" t="s">
        <v>225</v>
      </c>
      <c r="C559">
        <v>96317044.576341674</v>
      </c>
      <c r="D559">
        <v>114653762.99705108</v>
      </c>
      <c r="E559">
        <v>207207.207207208</v>
      </c>
      <c r="F559">
        <v>401801.80180180201</v>
      </c>
      <c r="G559">
        <v>25</v>
      </c>
      <c r="H559">
        <v>31</v>
      </c>
      <c r="K559">
        <v>27</v>
      </c>
      <c r="L559">
        <v>33</v>
      </c>
      <c r="M559">
        <v>1648648.6486486481</v>
      </c>
      <c r="N559">
        <v>4036036.036036035</v>
      </c>
      <c r="O559">
        <v>15509450.45045045</v>
      </c>
      <c r="P559">
        <v>21057790.990990993</v>
      </c>
      <c r="Q559">
        <v>1591981.981981982</v>
      </c>
      <c r="R559">
        <v>2411081.0810810798</v>
      </c>
      <c r="S559">
        <v>1798</v>
      </c>
      <c r="T559">
        <v>1841</v>
      </c>
    </row>
    <row r="560" spans="1:20" x14ac:dyDescent="0.35">
      <c r="A560" s="7" t="s">
        <v>654</v>
      </c>
      <c r="B560" s="12" t="s">
        <v>97</v>
      </c>
      <c r="C560">
        <v>508989724.80836809</v>
      </c>
      <c r="D560">
        <v>488378392.72351462</v>
      </c>
      <c r="E560">
        <v>205223285.58558559</v>
      </c>
      <c r="F560">
        <v>230400717.11711711</v>
      </c>
      <c r="G560">
        <v>236</v>
      </c>
      <c r="H560">
        <v>155</v>
      </c>
      <c r="K560">
        <v>247</v>
      </c>
      <c r="L560">
        <v>181</v>
      </c>
      <c r="M560">
        <v>79508864.864864871</v>
      </c>
      <c r="N560">
        <v>21129729.729729727</v>
      </c>
      <c r="O560">
        <v>68378414.414414421</v>
      </c>
      <c r="P560">
        <v>65002558.558558561</v>
      </c>
      <c r="Q560">
        <v>10554234.234234236</v>
      </c>
      <c r="R560">
        <v>17189189.189189188</v>
      </c>
      <c r="S560">
        <v>10544</v>
      </c>
      <c r="T560">
        <v>8548</v>
      </c>
    </row>
    <row r="561" spans="1:20" x14ac:dyDescent="0.35">
      <c r="A561" s="7" t="s">
        <v>655</v>
      </c>
      <c r="B561" s="12" t="s">
        <v>67</v>
      </c>
      <c r="C561">
        <v>314623950.14489216</v>
      </c>
      <c r="D561">
        <v>293081440.96819395</v>
      </c>
      <c r="E561">
        <v>7600900.9009009032</v>
      </c>
      <c r="F561">
        <v>5925225.2252252242</v>
      </c>
      <c r="G561">
        <v>110</v>
      </c>
      <c r="H561">
        <v>77</v>
      </c>
      <c r="K561">
        <v>117</v>
      </c>
      <c r="L561">
        <v>85</v>
      </c>
      <c r="M561">
        <v>96296396.396396399</v>
      </c>
      <c r="N561">
        <v>102616171.17117117</v>
      </c>
      <c r="O561">
        <v>204626234.23423424</v>
      </c>
      <c r="P561">
        <v>194163360.36036035</v>
      </c>
      <c r="Q561">
        <v>93636036.036036029</v>
      </c>
      <c r="R561">
        <v>97386351.351351351</v>
      </c>
      <c r="S561">
        <v>6601</v>
      </c>
      <c r="T561">
        <v>5362</v>
      </c>
    </row>
    <row r="562" spans="1:20" x14ac:dyDescent="0.35">
      <c r="A562" s="7" t="s">
        <v>656</v>
      </c>
      <c r="B562" s="12" t="s">
        <v>69</v>
      </c>
      <c r="C562">
        <v>501766911.5189569</v>
      </c>
      <c r="D562">
        <v>510064129.09833205</v>
      </c>
      <c r="E562">
        <v>1230180.180180179</v>
      </c>
      <c r="F562">
        <v>706306.30630630895</v>
      </c>
      <c r="G562">
        <v>87</v>
      </c>
      <c r="H562">
        <v>59</v>
      </c>
      <c r="I562">
        <v>2</v>
      </c>
      <c r="K562">
        <v>96</v>
      </c>
      <c r="L562">
        <v>67</v>
      </c>
      <c r="M562">
        <v>20859545.045045044</v>
      </c>
      <c r="N562">
        <v>32807432.432432432</v>
      </c>
      <c r="O562">
        <v>66617954.954954959</v>
      </c>
      <c r="P562">
        <v>75567306.306306303</v>
      </c>
      <c r="Q562">
        <v>16317567.567567568</v>
      </c>
      <c r="R562">
        <v>21109234.234234232</v>
      </c>
      <c r="S562">
        <v>7003</v>
      </c>
      <c r="T562">
        <v>6226</v>
      </c>
    </row>
    <row r="563" spans="1:20" x14ac:dyDescent="0.35">
      <c r="A563" s="7" t="s">
        <v>14</v>
      </c>
      <c r="B563" s="12" t="s">
        <v>159</v>
      </c>
      <c r="C563">
        <v>215862561.79386717</v>
      </c>
      <c r="D563">
        <v>217452311.77853951</v>
      </c>
      <c r="E563">
        <v>1345945.945945946</v>
      </c>
      <c r="F563">
        <v>861261.26126126305</v>
      </c>
      <c r="G563">
        <v>32</v>
      </c>
      <c r="H563">
        <v>32</v>
      </c>
      <c r="K563">
        <v>34</v>
      </c>
      <c r="L563">
        <v>34</v>
      </c>
      <c r="M563">
        <v>50199099.0990991</v>
      </c>
      <c r="N563">
        <v>33084234.234234232</v>
      </c>
      <c r="O563">
        <v>72482747.747747749</v>
      </c>
      <c r="P563">
        <v>75670576.576576576</v>
      </c>
      <c r="Q563">
        <v>46376036.036036029</v>
      </c>
      <c r="R563">
        <v>29618108.108108107</v>
      </c>
      <c r="S563">
        <v>4122</v>
      </c>
      <c r="T563">
        <v>3918</v>
      </c>
    </row>
    <row r="564" spans="1:20" x14ac:dyDescent="0.35">
      <c r="A564" s="7" t="s">
        <v>657</v>
      </c>
      <c r="B564" s="12" t="s">
        <v>305</v>
      </c>
      <c r="C564">
        <v>231106324.27316442</v>
      </c>
      <c r="D564">
        <v>233431931.20934013</v>
      </c>
      <c r="E564">
        <v>974774.77477477398</v>
      </c>
      <c r="F564">
        <v>667567.567567572</v>
      </c>
      <c r="G564">
        <v>295</v>
      </c>
      <c r="H564">
        <v>51</v>
      </c>
      <c r="K564">
        <v>313</v>
      </c>
      <c r="L564">
        <v>55</v>
      </c>
      <c r="M564">
        <v>38444144.144144148</v>
      </c>
      <c r="N564">
        <v>42692342.342342347</v>
      </c>
      <c r="O564">
        <v>70897833.333333343</v>
      </c>
      <c r="P564">
        <v>70645297.297297299</v>
      </c>
      <c r="Q564">
        <v>38003153.153153151</v>
      </c>
      <c r="R564">
        <v>34942252.252252251</v>
      </c>
      <c r="S564">
        <v>3476</v>
      </c>
      <c r="T564">
        <v>3021</v>
      </c>
    </row>
    <row r="565" spans="1:20" x14ac:dyDescent="0.35">
      <c r="A565" s="7" t="s">
        <v>658</v>
      </c>
      <c r="B565" s="12" t="s">
        <v>49</v>
      </c>
      <c r="C565">
        <v>288265260.04737389</v>
      </c>
      <c r="D565">
        <v>279243825.49735427</v>
      </c>
      <c r="E565">
        <v>1908108.10810811</v>
      </c>
      <c r="F565">
        <v>3354954.9549549581</v>
      </c>
      <c r="G565">
        <v>89</v>
      </c>
      <c r="H565">
        <v>14</v>
      </c>
      <c r="K565">
        <v>145</v>
      </c>
      <c r="L565">
        <v>19</v>
      </c>
      <c r="M565">
        <v>58262702.702702701</v>
      </c>
      <c r="N565">
        <v>20327927.927927926</v>
      </c>
      <c r="O565">
        <v>92086099.0990991</v>
      </c>
      <c r="P565">
        <v>87510709.909909904</v>
      </c>
      <c r="Q565">
        <v>58176126.126126125</v>
      </c>
      <c r="R565">
        <v>19750540.540540539</v>
      </c>
      <c r="S565">
        <v>3660</v>
      </c>
      <c r="T565">
        <v>3083</v>
      </c>
    </row>
    <row r="566" spans="1:20" x14ac:dyDescent="0.35">
      <c r="A566" s="7" t="s">
        <v>659</v>
      </c>
      <c r="B566" s="12" t="s">
        <v>55</v>
      </c>
      <c r="C566">
        <v>94867585.665303513</v>
      </c>
      <c r="D566">
        <v>97996020.746206507</v>
      </c>
      <c r="E566">
        <v>909909.90990991006</v>
      </c>
      <c r="F566">
        <v>3069369.369369369</v>
      </c>
      <c r="G566">
        <v>1</v>
      </c>
      <c r="H566">
        <v>16</v>
      </c>
      <c r="K566">
        <v>2</v>
      </c>
      <c r="L566">
        <v>25</v>
      </c>
      <c r="M566">
        <v>7413513.5135135138</v>
      </c>
      <c r="N566">
        <v>11659819.819819819</v>
      </c>
      <c r="O566">
        <v>21862882.882882886</v>
      </c>
      <c r="P566">
        <v>23295378.378378376</v>
      </c>
      <c r="Q566">
        <v>6808648.6486486504</v>
      </c>
      <c r="R566">
        <v>9706576.5765765756</v>
      </c>
      <c r="S566">
        <v>1722</v>
      </c>
      <c r="T566">
        <v>1561</v>
      </c>
    </row>
    <row r="567" spans="1:20" x14ac:dyDescent="0.35">
      <c r="A567" s="7" t="s">
        <v>660</v>
      </c>
      <c r="B567" s="12" t="s">
        <v>51</v>
      </c>
      <c r="C567">
        <v>420988380.94385177</v>
      </c>
      <c r="D567">
        <v>430615979.19991046</v>
      </c>
      <c r="E567">
        <v>1909009.009009012</v>
      </c>
      <c r="F567">
        <v>1813963.963963967</v>
      </c>
      <c r="G567">
        <v>85</v>
      </c>
      <c r="H567">
        <v>22</v>
      </c>
      <c r="K567">
        <v>96</v>
      </c>
      <c r="L567">
        <v>25</v>
      </c>
      <c r="M567">
        <v>106477657.65765767</v>
      </c>
      <c r="N567">
        <v>81188288.288288295</v>
      </c>
      <c r="O567">
        <v>210097648.64864865</v>
      </c>
      <c r="P567">
        <v>219213324.32432431</v>
      </c>
      <c r="Q567">
        <v>100920540.54054055</v>
      </c>
      <c r="R567">
        <v>81007297.297297299</v>
      </c>
      <c r="S567">
        <v>8724</v>
      </c>
      <c r="T567">
        <v>5814</v>
      </c>
    </row>
    <row r="568" spans="1:20" x14ac:dyDescent="0.35">
      <c r="A568" s="7" t="s">
        <v>661</v>
      </c>
      <c r="B568" s="12" t="s">
        <v>84</v>
      </c>
      <c r="C568">
        <v>510576210.151658</v>
      </c>
      <c r="D568">
        <v>501392261.21528405</v>
      </c>
      <c r="E568">
        <v>3794386.4864864871</v>
      </c>
      <c r="F568">
        <v>4695495.4954954945</v>
      </c>
      <c r="G568">
        <v>135</v>
      </c>
      <c r="H568">
        <v>131</v>
      </c>
      <c r="K568">
        <v>155</v>
      </c>
      <c r="L568">
        <v>166</v>
      </c>
      <c r="M568">
        <v>71617479.279279277</v>
      </c>
      <c r="N568">
        <v>105504279.27927928</v>
      </c>
      <c r="O568">
        <v>129991027.02702703</v>
      </c>
      <c r="P568">
        <v>136254354.95495495</v>
      </c>
      <c r="Q568">
        <v>44045990.990990989</v>
      </c>
      <c r="R568">
        <v>48798376.576576576</v>
      </c>
      <c r="S568">
        <v>9624</v>
      </c>
      <c r="T568">
        <v>8879</v>
      </c>
    </row>
    <row r="569" spans="1:20" x14ac:dyDescent="0.35">
      <c r="A569" s="16" t="s">
        <v>662</v>
      </c>
      <c r="B569" s="14"/>
      <c r="C569" s="17">
        <v>210569423001.06317</v>
      </c>
      <c r="D569" s="17">
        <v>211396617428.3454</v>
      </c>
      <c r="E569" s="17">
        <v>48978140421.621613</v>
      </c>
      <c r="F569" s="17">
        <v>57263569676.576546</v>
      </c>
      <c r="G569" s="17">
        <v>80186</v>
      </c>
      <c r="H569" s="17">
        <v>59548</v>
      </c>
      <c r="I569" s="17">
        <v>596</v>
      </c>
      <c r="J569" s="17"/>
      <c r="K569" s="17">
        <v>111596</v>
      </c>
      <c r="L569" s="17">
        <v>95739</v>
      </c>
      <c r="M569" s="17">
        <v>45735845046.84684</v>
      </c>
      <c r="N569" s="17">
        <v>49053704154.054062</v>
      </c>
      <c r="O569" s="17">
        <v>62778471980.180183</v>
      </c>
      <c r="P569" s="17">
        <v>68049946838.738815</v>
      </c>
      <c r="Q569" s="17">
        <v>35649507243.243256</v>
      </c>
      <c r="R569" s="17">
        <v>39592646439.639641</v>
      </c>
      <c r="S569" s="17">
        <v>4618524</v>
      </c>
      <c r="T569" s="17">
        <v>3746540</v>
      </c>
    </row>
    <row r="570" spans="1:20" x14ac:dyDescent="0.35">
      <c r="A570" s="16" t="s">
        <v>662</v>
      </c>
      <c r="B570" s="14"/>
      <c r="C570" s="17">
        <v>194904985542.80176</v>
      </c>
      <c r="D570" s="17">
        <v>196651935561.60696</v>
      </c>
      <c r="E570" s="17">
        <v>44216988413.513519</v>
      </c>
      <c r="F570" s="17">
        <v>50702832307.207176</v>
      </c>
      <c r="G570" s="17">
        <v>62699</v>
      </c>
      <c r="H570" s="17">
        <v>58786</v>
      </c>
      <c r="I570" s="17">
        <v>477</v>
      </c>
      <c r="J570" s="17"/>
      <c r="K570" s="17">
        <v>87978</v>
      </c>
      <c r="L570" s="17">
        <v>86481</v>
      </c>
      <c r="M570" s="17">
        <v>41760146061.261269</v>
      </c>
      <c r="N570" s="17">
        <v>44542794274.774834</v>
      </c>
      <c r="O570" s="17">
        <v>58264885361.261269</v>
      </c>
      <c r="P570" s="17">
        <v>63854465096.396339</v>
      </c>
      <c r="Q570" s="17">
        <v>32015696174.774734</v>
      </c>
      <c r="R570" s="17">
        <v>35451365960.360321</v>
      </c>
      <c r="S570" s="17">
        <v>4122174</v>
      </c>
      <c r="T570" s="17">
        <v>3753701</v>
      </c>
    </row>
    <row r="571" spans="1:20" x14ac:dyDescent="0.35">
      <c r="A571" s="7" t="s">
        <v>659</v>
      </c>
      <c r="B571" s="12" t="s">
        <v>55</v>
      </c>
      <c r="C571">
        <v>77505421.107497349</v>
      </c>
      <c r="D571">
        <v>79224298.060378596</v>
      </c>
      <c r="E571">
        <v>595495.49549549597</v>
      </c>
      <c r="F571">
        <v>2779279.2792792791</v>
      </c>
      <c r="G571">
        <v>1</v>
      </c>
      <c r="H571">
        <v>14</v>
      </c>
      <c r="K571">
        <v>1</v>
      </c>
      <c r="L571">
        <v>21</v>
      </c>
      <c r="M571">
        <v>6378378.3783783792</v>
      </c>
      <c r="N571">
        <v>9707207.2072072066</v>
      </c>
      <c r="O571">
        <v>18067882.882882886</v>
      </c>
      <c r="P571">
        <v>19248351.351351351</v>
      </c>
      <c r="Q571">
        <v>5773063.0630630637</v>
      </c>
      <c r="R571">
        <v>7682432.4324324327</v>
      </c>
      <c r="S571">
        <v>1554</v>
      </c>
      <c r="T571">
        <v>1496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2026-08-30T10:10:05Z</dcterms:modified>
</cp:coreProperties>
</file>