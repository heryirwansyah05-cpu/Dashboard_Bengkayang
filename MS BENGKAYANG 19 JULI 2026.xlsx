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<sst xmlns="http://schemas.openxmlformats.org/spreadsheetml/2006/main" count="1235" uniqueCount="678">
  <si>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</si>
  <si>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</si>
  <si>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</si>
  <si>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</si>
  <si>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</si>
  <si>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</si>
  <si>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</si>
  <si>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</si>
  <si>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</si>
  <si>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</si>
  <si>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</si>
  <si>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</si>
  <si>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</si>
  <si>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</si>
  <si>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</si>
  <si>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</si>
  <si>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</si>
  <si>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</si>
  <si>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</si>
  <si>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</si>
  <si>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</si>
  <si>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</si>
  <si>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</si>
  <si>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</si>
  <si>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</si>
  <si>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</si>
  <si>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</si>
  <si>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</si>
  <si>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</si>
  <si>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</si>
  <si>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</si>
  <si>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</si>
  <si>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</si>
  <si>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</si>
  <si>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</si>
  <si>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</si>
  <si>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</si>
  <si>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</si>
  <si>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</si>
  <si>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</si>
  <si>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</si>
  <si>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</si>
  <si>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</si>
  <si>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</si>
  <si>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</si>
  <si>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</si>
  <si>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</si>
  <si>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</si>
  <si>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</si>
  <si>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</si>
  <si>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</si>
  <si>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</si>
  <si>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</si>
  <si>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</si>
  <si>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</si>
  <si>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</si>
  <si>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</si>
  <si>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</si>
  <si>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</si>
  <si>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</si>
  <si>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</si>
  <si>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</si>
  <si>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</si>
  <si>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</si>
  <si>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</si>
  <si>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</si>
  <si>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</si>
  <si>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</si>
  <si>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</si>
  <si>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</si>
  <si>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</si>
  <si>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</si>
  <si>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</si>
  <si>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</si>
  <si>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</si>
  <si>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</si>
  <si>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</si>
  <si>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</si>
  <si>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</si>
  <si>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</si>
  <si>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</si>
  <si>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</si>
  <si>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</si>
  <si>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</si>
  <si>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</si>
  <si>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</si>
  <si>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</si>
  <si>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</si>
  <si>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</si>
  <si>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</si>
  <si>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</si>
  <si>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</si>
  <si>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</si>
  <si>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</si>
  <si>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</si>
  <si>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</si>
  <si>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</si>
  <si>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</si>
  <si>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</si>
  <si>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</si>
  <si>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</si>
  <si>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</si>
  <si>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</si>
  <si>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</si>
  <si>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</si>
  <si>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</si>
  <si>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</si>
  <si>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</si>
  <si>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</si>
  <si>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</si>
  <si>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</si>
  <si>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</si>
  <si>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</si>
  <si>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</si>
  <si>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</si>
  <si>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</si>
  <si>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</si>
  <si>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</si>
  <si>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</si>
  <si>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</si>
  <si>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</si>
  <si>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</si>
  <si>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</si>
  <si>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</si>
  <si>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</si>
  <si>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</si>
  <si>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</si>
  <si>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</si>
  <si>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</si>
  <si>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</si>
  <si>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</si>
  <si>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</si>
  <si>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</si>
  <si>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</si>
  <si>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</si>
  <si>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</si>
  <si>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</si>
  <si>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</si>
  <si>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</si>
  <si>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</si>
  <si>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</si>
  <si>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</si>
  <si>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</si>
  <si>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</si>
  <si>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</si>
  <si>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</si>
  <si>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</si>
  <si>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</si>
  <si>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</si>
  <si>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</si>
  <si>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</si>
  <si>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</si>
  <si>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</si>
  <si>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</si>
  <si>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</si>
  <si>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</si>
  <si>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</si>
  <si>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</si>
  <si>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</si>
  <si>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</si>
  <si>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</si>
  <si>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</si>
  <si>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</si>
  <si>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</si>
  <si>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</si>
  <si>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</si>
  <si>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</si>
  <si>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</si>
  <si>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</si>
  <si>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</si>
  <si>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</si>
  <si>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</si>
  <si>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</si>
  <si>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</si>
  <si>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</si>
  <si>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</si>
  <si>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</si>
  <si>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</si>
  <si>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</si>
  <si>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</si>
  <si>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</si>
  <si>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</si>
  <si>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</si>
  <si>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</si>
  <si>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</si>
  <si>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</si>
  <si>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</si>
  <si>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</si>
  <si>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</si>
  <si>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</si>
  <si>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</si>
  <si>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</si>
  <si>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</si>
  <si>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</si>
  <si>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</si>
  <si>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</si>
  <si>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</si>
  <si>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</si>
  <si>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</si>
  <si>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</si>
  <si>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</si>
  <si>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</si>
  <si>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</si>
  <si>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</si>
  <si>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</si>
  <si>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</si>
  <si>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</si>
  <si>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</si>
  <si>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</si>
  <si>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</si>
  <si>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</si>
  <si>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</si>
  <si>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</si>
  <si>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</si>
  <si>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</si>
  <si>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</si>
  <si>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</si>
  <si>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</si>
  <si>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</si>
  <si>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</si>
  <si>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</si>
  <si>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</si>
  <si>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</si>
  <si>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</si>
  <si>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</si>
  <si>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</si>
  <si>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</si>
  <si>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</si>
  <si>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</si>
  <si>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</si>
  <si>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</si>
  <si>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</si>
  <si>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</si>
  <si>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</si>
  <si>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</si>
  <si>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</si>
  <si>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</si>
  <si>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</si>
  <si>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</si>
  <si>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</si>
  <si>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</si>
  <si>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</si>
  <si>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</si>
  <si>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</si>
  <si>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</si>
  <si>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</si>
  <si>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</si>
  <si>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</si>
  <si>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</si>
  <si>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</si>
  <si>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</si>
  <si>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</si>
  <si>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</si>
  <si>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</si>
  <si>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</si>
  <si>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</si>
  <si>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</si>
  <si>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</si>
  <si>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</si>
  <si>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</si>
  <si>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</si>
  <si>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</si>
  <si>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</si>
  <si>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</si>
  <si>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</si>
  <si>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</si>
  <si>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</si>
  <si>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</si>
  <si>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</si>
  <si>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</si>
  <si>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</si>
  <si>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</si>
  <si>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</si>
  <si>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</si>
  <si>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</si>
  <si>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</si>
  <si>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</si>
  <si>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</si>
  <si>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</si>
  <si>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</si>
  <si>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</si>
  <si>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</si>
  <si>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</si>
  <si>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</si>
  <si>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</si>
  <si>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</si>
  <si>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</si>
  <si>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</si>
  <si>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</si>
  <si>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</si>
  <si>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</si>
  <si>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</si>
  <si>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</si>
  <si>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</si>
  <si>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</si>
  <si>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</si>
  <si>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</si>
  <si>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</si>
  <si>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</si>
  <si>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</si>
  <si>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</si>
  <si>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</si>
  <si>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</si>
  <si>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</si>
  <si>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</si>
  <si>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</si>
  <si>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</si>
  <si>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</si>
  <si>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</si>
  <si>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</si>
  <si>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</si>
  <si>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</si>
  <si>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</si>
  <si>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</si>
  <si>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</si>
  <si>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</si>
  <si>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</si>
  <si>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</si>
  <si>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</si>
  <si>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</si>
  <si>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</si>
  <si>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</si>
  <si>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</si>
  <si>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</si>
  <si>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</si>
  <si>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</si>
  <si>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</si>
  <si>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</si>
  <si>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</si>
  <si>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</si>
  <si>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</si>
  <si>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</si>
  <si>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</si>
  <si>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</si>
  <si>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</si>
  <si>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</si>
  <si>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</si>
  <si>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</si>
  <si>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</si>
  <si>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</si>
  <si>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</si>
  <si>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</si>
  <si>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</si>
  <si>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</si>
  <si>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</si>
  <si>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</si>
  <si>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</si>
  <si>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</si>
  <si>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</si>
  <si>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</si>
  <si>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</si>
  <si>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</si>
  <si>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</si>
  <si>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</si>
  <si>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</si>
  <si>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</si>
  <si>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</si>
  <si>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</si>
  <si>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</si>
  <si>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</si>
  <si>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</si>
  <si>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</si>
  <si>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</si>
  <si>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</si>
  <si>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</si>
  <si>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</si>
  <si>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</si>
  <si>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</si>
  <si>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</si>
  <si>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</si>
  <si>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</si>
  <si>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</si>
  <si>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</si>
  <si>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</si>
  <si>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</si>
  <si>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</si>
  <si>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</si>
  <si>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</si>
  <si>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</si>
  <si>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</si>
  <si>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</si>
  <si>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</si>
  <si>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</si>
  <si>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</si>
  <si>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</si>
  <si>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</si>
  <si>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</si>
  <si>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</si>
  <si>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</si>
  <si>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</si>
  <si>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</si>
  <si>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</si>
  <si>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</si>
  <si>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</si>
  <si>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</si>
  <si>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</si>
  <si>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</si>
  <si>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</si>
  <si>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</si>
  <si>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</si>
  <si>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</si>
  <si>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</si>
  <si>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</si>
  <si>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</si>
  <si>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</si>
  <si>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</si>
  <si>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</si>
  <si>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</si>
  <si>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</si>
  <si>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</si>
  <si>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</si>
  <si>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</si>
  <si>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</si>
  <si>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</si>
  <si>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</si>
  <si>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</si>
  <si>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</si>
  <si>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</si>
  <si>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</si>
  <si>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</si>
  <si>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</si>
  <si>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</si>
  <si>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</si>
  <si>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</si>
  <si>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</si>
  <si>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</si>
  <si>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</si>
  <si>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</si>
  <si>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</si>
  <si>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</si>
  <si>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</si>
  <si>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</si>
  <si>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</si>
  <si>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</si>
  <si>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</si>
  <si>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</si>
  <si>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</si>
  <si>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</si>
  <si>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</si>
  <si>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</si>
  <si>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</si>
  <si>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</si>
  <si>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</si>
  <si>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</si>
  <si>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</si>
  <si>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</si>
  <si>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</si>
  <si>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</si>
  <si>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</si>
  <si>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</si>
  <si>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</si>
  <si>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</si>
  <si>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</si>
  <si>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</si>
  <si>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</si>
  <si>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</si>
  <si>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</si>
  <si>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</si>
  <si>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</si>
  <si>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</si>
  <si>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</si>
  <si>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</si>
  <si>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</si>
  <si>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</si>
  <si>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</si>
  <si>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</si>
  <si>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</si>
  <si>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</si>
  <si>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</si>
  <si>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</si>
  <si>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</si>
  <si>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</si>
  <si>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</si>
  <si>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</si>
  <si>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</si>
  <si>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</si>
  <si>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</si>
  <si>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</si>
  <si>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</si>
  <si>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</si>
  <si>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</si>
  <si>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</si>
  <si>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</si>
  <si>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</si>
  <si>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</si>
  <si>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</si>
  <si>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</si>
  <si>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</si>
  <si>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</si>
  <si>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</si>
  <si>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</si>
  <si>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</si>
  <si>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</si>
  <si>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</si>
  <si>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</si>
  <si>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</si>
  <si>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</si>
  <si>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</si>
  <si>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</si>
  <si>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</si>
  <si>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</si>
  <si>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</si>
  <si>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</si>
  <si>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</si>
  <si>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</si>
  <si>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</si>
  <si>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</si>
  <si>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</si>
  <si>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</si>
  <si>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</si>
  <si>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</si>
  <si>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</si>
  <si>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</si>
  <si>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</si>
  <si>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</si>
  <si>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</si>
  <si>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</si>
  <si>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</si>
  <si>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</si>
  <si>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</si>
  <si>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</si>
  <si>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</si>
  <si>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</si>
  <si>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</si>
  <si>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</si>
  <si>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</si>
  <si>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</si>
  <si>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</si>
  <si>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</si>
  <si>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</si>
  <si>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</si>
  <si>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</si>
  <si>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</si>
  <si>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</si>
  <si>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</si>
  <si>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</si>
  <si>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</si>
  <si>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</si>
  <si>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</si>
  <si>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</si>
  <si>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</si>
  <si>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</si>
  <si>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</si>
  <si>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</si>
  <si>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</si>
  <si>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</si>
  <si>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</si>
  <si>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</si>
  <si>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</si>
  <si>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</si>
  <si>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</si>
  <si>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</si>
  <si>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</si>
  <si>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</si>
  <si>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</si>
  <si>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</si>
  <si>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</si>
  <si>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</si>
  <si>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</si>
  <si>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</si>
  <si>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</si>
  <si>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</si>
  <si>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</si>
  <si>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</si>
  <si>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</si>
  <si>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</si>
  <si>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</si>
  <si>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</si>
  <si>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</si>
  <si>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</si>
  <si>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</si>
  <si>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</si>
  <si>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</si>
  <si>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</si>
  <si>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</si>
  <si>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</si>
  <si>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</si>
  <si>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</si>
  <si>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</si>
  <si>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</si>
  <si>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</si>
  <si>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</si>
  <si>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</si>
  <si>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</si>
  <si>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</si>
  <si>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</si>
  <si>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</si>
  <si>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</si>
  <si>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</si>
  <si>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</si>
  <si>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</si>
  <si>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</si>
  <si>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</si>
  <si>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</si>
  <si>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</si>
  <si>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</si>
  <si>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</si>
  <si>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</si>
  <si>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</si>
  <si>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</si>
  <si>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</si>
  <si>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</si>
  <si>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</si>
  <si>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</si>
  <si>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</si>
  <si>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</si>
  <si>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</si>
  <si>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</si>
  <si>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</si>
  <si>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</si>
  <si>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</si>
  <si>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</si>
  <si>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</si>
  <si>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</si>
  <si>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</si>
  <si>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</si>
  <si>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</si>
  <si>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</si>
  <si>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</si>
  <si>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</si>
  <si>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</si>
  <si>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</si>
  <si>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</si>
  <si>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</si>
  <si>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</si>
  <si>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</si>
  <si>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</si>
  <si>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</si>
  <si>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</si>
  <si>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</si>
  <si>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</si>
  <si>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</si>
  <si>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</si>
  <si>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</si>
  <si>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</si>
  <si>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</si>
  <si>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</si>
  <si>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</si>
  <si>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</si>
  <si>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</si>
  <si>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</si>
  <si>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</si>
  <si>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</si>
  <si>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</si>
  <si>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</si>
  <si>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</si>
  <si>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</si>
  <si>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</si>
  <si>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</si>
  <si>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</si>
  <si>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</si>
  <si>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</si>
  <si>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</si>
  <si>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</si>
  <si>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</si>
  <si>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</si>
  <si>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</si>
  <si>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</si>
  <si>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</si>
  <si>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</si>
  <si>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</si>
  <si>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</si>
  <si>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</si>
  <si>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</si>
  <si>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</si>
  <si>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Total</t>
  </si>
  <si>
    <t>AIR BESAR|LANDAK</t>
  </si>
  <si>
    <t>BATANG KAWA|LAMANDAU</t>
  </si>
  <si>
    <t>HAMPANG|KOTABARU</t>
  </si>
  <si>
    <t>KELAY|BERAU</t>
  </si>
  <si>
    <t>KEPULAUAN KARIMATA|KAYONG UTARA</t>
  </si>
  <si>
    <t>KRAYAN TENGAH|NUNUKAN</t>
  </si>
  <si>
    <t>LAMANDAU|LAMANDAU</t>
  </si>
  <si>
    <t>MURUK RIAN|TANA TIDUNG</t>
  </si>
  <si>
    <t>PESO HILIR|BULUNGAN</t>
  </si>
  <si>
    <t>PESO|BULUNGAN</t>
  </si>
  <si>
    <t>SADANIANG|MEMPAWAH</t>
  </si>
  <si>
    <t>SIMPANG DUA|KETAPANG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</si>
</sst>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Q18" activePane="bottomRight" state="frozen"/>
      <selection pane="topRight" activeCell="B1" sqref="B1"/>
      <selection pane="bottomLeft" activeCell="A6" sqref="A6"/>
      <selection pane="bottomRight" activeCell="A5" sqref="A5:W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259573525.44955078</v>
      </c>
      <c r="D6" s="4">
        <f>IFERROR(VLOOKUP($A:$A,MASTER!$A:$T,4,0),0)</f>
        <v>250495705.97239882</v>
      </c>
      <c r="E6" s="9">
        <f>IFERROR(C6/D6-1,0)</f>
        <v>3.6239421517877179E-2</v>
      </c>
      <c r="F6" s="4">
        <f>IFERROR(VLOOKUP(A:A,MASTER!A:E,5,0),0)</f>
        <v>558108.10810811096</v>
      </c>
      <c r="G6" s="4">
        <f>IFERROR(VLOOKUP(A:A,MASTER!A:F,6,0),0)</f>
        <v>1375675.675675679</v>
      </c>
      <c r="H6" s="9">
        <f>IFERROR(F6/G6-1,0)</f>
        <v>-0.59430255402750376</v>
      </c>
      <c r="I6" s="4">
        <f>IFERROR(VLOOKUP(A:A,MASTER!A:M,13,0),0)</f>
        <v>22526936.936936941</v>
      </c>
      <c r="J6" s="4">
        <f>IFERROR(VLOOKUP($A:$A,MASTER!$A:$T,14,0),0)</f>
        <v>34298828.828828827</v>
      </c>
      <c r="K6" s="9">
        <f>IFERROR(I6/J6-1,0)</f>
        <v>-0.34321556431680211</v>
      </c>
      <c r="L6" s="4">
        <f>IFERROR(VLOOKUP($A:$A,MASTER!$A:$T,15,0),0)</f>
        <v>122545448.64864865</v>
      </c>
      <c r="M6" s="4">
        <f>IFERROR(VLOOKUP($A:$A,MASTER!$A:$T,16,0),0)</f>
        <v>119381027.02702703</v>
      </c>
      <c r="N6" s="9">
        <f>IFERROR(L6/M6-1,0)</f>
        <v>2.6506905665212743E-2</v>
      </c>
      <c r="O6" s="4">
        <f>IFERROR(VLOOKUP($A:$A,MASTER!$A:$T,17,0),0)</f>
        <v>23540270.270270273</v>
      </c>
      <c r="P6" s="4">
        <f>IFERROR(VLOOKUP($A:$A,MASTER!$A:$T,18,0),0)</f>
        <v>31255405.405405398</v>
      </c>
      <c r="Q6" s="9">
        <f>IFERROR(O6/P6-1,0)</f>
        <v>-0.24684162739418025</v>
      </c>
      <c r="R6" s="4">
        <f>IFERROR(VLOOKUP($A:$A,MASTER!$A:$T,19,0),0)</f>
        <v>8280</v>
      </c>
      <c r="S6" s="4">
        <f>IFERROR(VLOOKUP($A:$A,MASTER!$A:$T,20,0),0)</f>
        <v>7925</v>
      </c>
      <c r="T6" s="9">
        <f>IFERROR(R6/S6-1,0)</f>
        <v>4.4794952681388001E-2</v>
      </c>
      <c r="U6" s="13">
        <f>IFERROR(VLOOKUP(A:A,MASTER!A:K,11,0),0)</f>
        <v>360</v>
      </c>
      <c r="V6" s="13">
        <f>IFERROR(VLOOKUP(A:A,MASTER!A:L,12,0),0)</f>
        <v>145</v>
      </c>
      <c r="W6" s="9">
        <f>IFERROR(U6/V6-1,0)</f>
        <v>1.4827586206896552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30850756.8154644</v>
      </c>
      <c r="D7" s="4">
        <f>IFERROR(VLOOKUP($A:$A,MASTER!$A:$T,4,0),0)</f>
        <v>21396343.684887961</v>
      </c>
      <c r="E7" s="9">
        <f t="shared" ref="E7:E22" si="0">IFERROR(C7/D7-1,0)</f>
        <v>0.44187050226034663</v>
      </c>
      <c r="F7" s="4">
        <f>IFERROR(VLOOKUP(A:A,MASTER!A:E,5,0),0)</f>
        <v>39426351.351351351</v>
      </c>
      <c r="G7" s="4">
        <f>IFERROR(VLOOKUP(A:A,MASTER!A:F,6,0),0)</f>
        <v>22653153.153153155</v>
      </c>
      <c r="H7" s="9">
        <f t="shared" ref="H7:H22" si="1">IFERROR(F7/G7-1,0)</f>
        <v>0.74043547424935352</v>
      </c>
      <c r="I7" s="4">
        <f>IFERROR(VLOOKUP(A:A,MASTER!A:M,13,0),0)</f>
        <v>1348648.648648649</v>
      </c>
      <c r="J7" s="4">
        <f>IFERROR(VLOOKUP($A:$A,MASTER!$A:$T,14,0),0)</f>
        <v>492117.11711711902</v>
      </c>
      <c r="K7" s="9">
        <f t="shared" ref="K7:K22" si="2">IFERROR(I7/J7-1,0)</f>
        <v>1.7405034324942692</v>
      </c>
      <c r="L7" s="4">
        <f>IFERROR(VLOOKUP($A:$A,MASTER!$A:$T,15,0),0)</f>
        <v>15951891.891891891</v>
      </c>
      <c r="M7" s="4">
        <f>IFERROR(VLOOKUP($A:$A,MASTER!$A:$T,16,0),0)</f>
        <v>12532828.828828828</v>
      </c>
      <c r="N7" s="9">
        <f t="shared" ref="N7:N22" si="3">IFERROR(L7/M7-1,0)</f>
        <v>0.27280856618725302</v>
      </c>
      <c r="O7" s="4">
        <f>IFERROR(VLOOKUP($A:$A,MASTER!$A:$T,17,0),0)</f>
        <v>201351.35135135101</v>
      </c>
      <c r="P7" s="4">
        <f>IFERROR(VLOOKUP($A:$A,MASTER!$A:$T,18,0),0)</f>
        <v>157657.65765765801</v>
      </c>
      <c r="Q7" s="9">
        <f t="shared" ref="Q7:Q22" si="4">IFERROR(O7/P7-1,0)</f>
        <v>0.27714285714285203</v>
      </c>
      <c r="R7" s="4">
        <f>IFERROR(VLOOKUP($A:$A,MASTER!$A:$T,19,0),0)</f>
        <v>1239</v>
      </c>
      <c r="S7" s="4">
        <f>IFERROR(VLOOKUP($A:$A,MASTER!$A:$T,20,0),0)</f>
        <v>1023</v>
      </c>
      <c r="T7" s="9">
        <f t="shared" ref="T7:T22" si="5">IFERROR(R7/S7-1,0)</f>
        <v>0.21114369501466279</v>
      </c>
      <c r="U7" s="13">
        <f>IFERROR(VLOOKUP(A:A,MASTER!A:K,11,0),0)</f>
        <v>8</v>
      </c>
      <c r="V7" s="13">
        <f>IFERROR(VLOOKUP(A:A,MASTER!A:L,12,0),0)</f>
        <v>3</v>
      </c>
      <c r="W7" s="9">
        <f t="shared" ref="W7:W22" si="6">IFERROR(U7/V7-1,0)</f>
        <v>1.6666666666666665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192854283.39487663</v>
      </c>
      <c r="D8" s="4">
        <f>IFERROR(VLOOKUP($A:$A,MASTER!$A:$T,4,0),0)</f>
        <v>186424461.66176116</v>
      </c>
      <c r="E8" s="9">
        <f t="shared" si="0"/>
        <v>3.4490225562680665E-2</v>
      </c>
      <c r="F8" s="4">
        <f>IFERROR(VLOOKUP(A:A,MASTER!A:E,5,0),0)</f>
        <v>1924099.0990991001</v>
      </c>
      <c r="G8" s="4">
        <f>IFERROR(VLOOKUP(A:A,MASTER!A:F,6,0),0)</f>
        <v>2776576.5765765789</v>
      </c>
      <c r="H8" s="9">
        <f t="shared" si="1"/>
        <v>-0.30702465931213518</v>
      </c>
      <c r="I8" s="4">
        <f>IFERROR(VLOOKUP(A:A,MASTER!A:M,13,0),0)</f>
        <v>34684234.234234236</v>
      </c>
      <c r="J8" s="4">
        <f>IFERROR(VLOOKUP($A:$A,MASTER!$A:$T,14,0),0)</f>
        <v>33897297.297297299</v>
      </c>
      <c r="K8" s="9">
        <f t="shared" si="2"/>
        <v>2.3215329825120978E-2</v>
      </c>
      <c r="L8" s="4">
        <f>IFERROR(VLOOKUP($A:$A,MASTER!$A:$T,15,0),0)</f>
        <v>48252207.20720721</v>
      </c>
      <c r="M8" s="4">
        <f>IFERROR(VLOOKUP($A:$A,MASTER!$A:$T,16,0),0)</f>
        <v>53491036.036036029</v>
      </c>
      <c r="N8" s="9">
        <f t="shared" si="3"/>
        <v>-9.793844384131023E-2</v>
      </c>
      <c r="O8" s="4">
        <f>IFERROR(VLOOKUP($A:$A,MASTER!$A:$T,17,0),0)</f>
        <v>35336486.486486487</v>
      </c>
      <c r="P8" s="4">
        <f>IFERROR(VLOOKUP($A:$A,MASTER!$A:$T,18,0),0)</f>
        <v>35371801.801801801</v>
      </c>
      <c r="Q8" s="9">
        <f t="shared" si="4"/>
        <v>-9.984030644860642E-4</v>
      </c>
      <c r="R8" s="4">
        <f>IFERROR(VLOOKUP($A:$A,MASTER!$A:$T,19,0),0)</f>
        <v>3698</v>
      </c>
      <c r="S8" s="4">
        <f>IFERROR(VLOOKUP($A:$A,MASTER!$A:$T,20,0),0)</f>
        <v>3785</v>
      </c>
      <c r="T8" s="9">
        <f t="shared" si="5"/>
        <v>-2.2985468956406852E-2</v>
      </c>
      <c r="U8" s="13">
        <f>IFERROR(VLOOKUP(A:A,MASTER!A:K,11,0),0)</f>
        <v>33</v>
      </c>
      <c r="V8" s="13">
        <f>IFERROR(VLOOKUP(A:A,MASTER!A:L,12,0),0)</f>
        <v>33</v>
      </c>
      <c r="W8" s="9">
        <f t="shared" si="6"/>
        <v>0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113492143.0560353</v>
      </c>
      <c r="D9" s="4">
        <f>IFERROR(VLOOKUP($A:$A,MASTER!$A:$T,4,0),0)</f>
        <v>112674978.88645276</v>
      </c>
      <c r="E9" s="9">
        <f t="shared" si="0"/>
        <v>7.2524013552823785E-3</v>
      </c>
      <c r="F9" s="4">
        <f>IFERROR(VLOOKUP(A:A,MASTER!A:E,5,0),0)</f>
        <v>4113513.5135135129</v>
      </c>
      <c r="G9" s="4">
        <f>IFERROR(VLOOKUP(A:A,MASTER!A:F,6,0),0)</f>
        <v>93165765.765765756</v>
      </c>
      <c r="H9" s="9">
        <f t="shared" si="1"/>
        <v>-0.95584737076217918</v>
      </c>
      <c r="I9" s="4">
        <f>IFERROR(VLOOKUP(A:A,MASTER!A:M,13,0),0)</f>
        <v>41881981.981981985</v>
      </c>
      <c r="J9" s="4">
        <f>IFERROR(VLOOKUP($A:$A,MASTER!$A:$T,14,0),0)</f>
        <v>39351801.801801801</v>
      </c>
      <c r="K9" s="9">
        <f t="shared" si="2"/>
        <v>6.4296425178283378E-2</v>
      </c>
      <c r="L9" s="4">
        <f>IFERROR(VLOOKUP($A:$A,MASTER!$A:$T,15,0),0)</f>
        <v>41440495.495495498</v>
      </c>
      <c r="M9" s="4">
        <f>IFERROR(VLOOKUP($A:$A,MASTER!$A:$T,16,0),0)</f>
        <v>39518783.783783786</v>
      </c>
      <c r="N9" s="9">
        <f t="shared" si="3"/>
        <v>4.8627805000929003E-2</v>
      </c>
      <c r="O9" s="4">
        <f>IFERROR(VLOOKUP($A:$A,MASTER!$A:$T,17,0),0)</f>
        <v>17962432.432432432</v>
      </c>
      <c r="P9" s="4">
        <f>IFERROR(VLOOKUP($A:$A,MASTER!$A:$T,18,0),0)</f>
        <v>28536396.396396395</v>
      </c>
      <c r="Q9" s="9">
        <f t="shared" si="4"/>
        <v>-0.37054307127928932</v>
      </c>
      <c r="R9" s="4">
        <f>IFERROR(VLOOKUP($A:$A,MASTER!$A:$T,19,0),0)</f>
        <v>3730</v>
      </c>
      <c r="S9" s="4">
        <f>IFERROR(VLOOKUP($A:$A,MASTER!$A:$T,20,0),0)</f>
        <v>3392</v>
      </c>
      <c r="T9" s="9">
        <f t="shared" si="5"/>
        <v>9.9646226415094352E-2</v>
      </c>
      <c r="U9" s="13">
        <f>IFERROR(VLOOKUP(A:A,MASTER!A:K,11,0),0)</f>
        <v>12</v>
      </c>
      <c r="V9" s="13">
        <f>IFERROR(VLOOKUP(A:A,MASTER!A:L,12,0),0)</f>
        <v>10</v>
      </c>
      <c r="W9" s="9">
        <f t="shared" si="6"/>
        <v>0.19999999999999996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3">
        <f>IFERROR(VLOOKUP(A:A,MASTER!A:K,11,0),0)</f>
        <v>0</v>
      </c>
      <c r="V10" s="13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112447275.67631185</v>
      </c>
      <c r="D11" s="4">
        <f>IFERROR(VLOOKUP($A:$A,MASTER!$A:$T,4,0),0)</f>
        <v>114460834.10688859</v>
      </c>
      <c r="E11" s="9">
        <f t="shared" si="0"/>
        <v>-1.7591680562946022E-2</v>
      </c>
      <c r="F11" s="4">
        <f>IFERROR(VLOOKUP(A:A,MASTER!A:E,5,0),0)</f>
        <v>1422972.972972973</v>
      </c>
      <c r="G11" s="4">
        <f>IFERROR(VLOOKUP(A:A,MASTER!A:F,6,0),0)</f>
        <v>176576.576576577</v>
      </c>
      <c r="H11" s="9">
        <f t="shared" si="1"/>
        <v>7.0586734693877364</v>
      </c>
      <c r="I11" s="4">
        <f>IFERROR(VLOOKUP(A:A,MASTER!A:M,13,0),0)</f>
        <v>7375405.4054054059</v>
      </c>
      <c r="J11" s="4">
        <f>IFERROR(VLOOKUP($A:$A,MASTER!$A:$T,14,0),0)</f>
        <v>8922522.5225225221</v>
      </c>
      <c r="K11" s="9">
        <f t="shared" si="2"/>
        <v>-0.17339458804523411</v>
      </c>
      <c r="L11" s="4">
        <f>IFERROR(VLOOKUP($A:$A,MASTER!$A:$T,15,0),0)</f>
        <v>49598018.018018015</v>
      </c>
      <c r="M11" s="4">
        <f>IFERROR(VLOOKUP($A:$A,MASTER!$A:$T,16,0),0)</f>
        <v>48302936.936936937</v>
      </c>
      <c r="N11" s="9">
        <f t="shared" si="3"/>
        <v>2.6811642587528439E-2</v>
      </c>
      <c r="O11" s="4">
        <f>IFERROR(VLOOKUP($A:$A,MASTER!$A:$T,17,0),0)</f>
        <v>6424504.5045045037</v>
      </c>
      <c r="P11" s="4">
        <f>IFERROR(VLOOKUP($A:$A,MASTER!$A:$T,18,0),0)</f>
        <v>8203333.3333333321</v>
      </c>
      <c r="Q11" s="9">
        <f t="shared" si="4"/>
        <v>-0.21684219774427005</v>
      </c>
      <c r="R11" s="4">
        <f>IFERROR(VLOOKUP($A:$A,MASTER!$A:$T,19,0),0)</f>
        <v>3164</v>
      </c>
      <c r="S11" s="4">
        <f>IFERROR(VLOOKUP($A:$A,MASTER!$A:$T,20,0),0)</f>
        <v>2763</v>
      </c>
      <c r="T11" s="9">
        <f t="shared" si="5"/>
        <v>0.14513210278682598</v>
      </c>
      <c r="U11" s="13">
        <f>IFERROR(VLOOKUP(A:A,MASTER!A:K,11,0),0)</f>
        <v>11</v>
      </c>
      <c r="V11" s="13">
        <f>IFERROR(VLOOKUP(A:A,MASTER!A:L,12,0),0)</f>
        <v>14</v>
      </c>
      <c r="W11" s="9">
        <f t="shared" si="6"/>
        <v>-0.2142857142857143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445700148.80579698</v>
      </c>
      <c r="D12" s="4">
        <f>IFERROR(VLOOKUP($A:$A,MASTER!$A:$T,4,0),0)</f>
        <v>420853164.57078636</v>
      </c>
      <c r="E12" s="9">
        <f t="shared" si="0"/>
        <v>5.9039556611986566E-2</v>
      </c>
      <c r="F12" s="4">
        <f>IFERROR(VLOOKUP(A:A,MASTER!A:E,5,0),0)</f>
        <v>6201351.351351345</v>
      </c>
      <c r="G12" s="4">
        <f>IFERROR(VLOOKUP(A:A,MASTER!A:F,6,0),0)</f>
        <v>5868132.432432442</v>
      </c>
      <c r="H12" s="9">
        <f t="shared" si="1"/>
        <v>5.6784491958164374E-2</v>
      </c>
      <c r="I12" s="4">
        <f>IFERROR(VLOOKUP(A:A,MASTER!A:M,13,0),0)</f>
        <v>178009459.45945945</v>
      </c>
      <c r="J12" s="4">
        <f>IFERROR(VLOOKUP($A:$A,MASTER!$A:$T,14,0),0)</f>
        <v>167935706.3063063</v>
      </c>
      <c r="K12" s="9">
        <f t="shared" si="2"/>
        <v>5.9985772976588692E-2</v>
      </c>
      <c r="L12" s="4">
        <f>IFERROR(VLOOKUP($A:$A,MASTER!$A:$T,15,0),0)</f>
        <v>292591486.48648643</v>
      </c>
      <c r="M12" s="4">
        <f>IFERROR(VLOOKUP($A:$A,MASTER!$A:$T,16,0),0)</f>
        <v>286947774.77477479</v>
      </c>
      <c r="N12" s="9">
        <f t="shared" si="3"/>
        <v>1.9668079726847143E-2</v>
      </c>
      <c r="O12" s="4">
        <f>IFERROR(VLOOKUP($A:$A,MASTER!$A:$T,17,0),0)</f>
        <v>153994144.14414415</v>
      </c>
      <c r="P12" s="4">
        <f>IFERROR(VLOOKUP($A:$A,MASTER!$A:$T,18,0),0)</f>
        <v>152494954.95495495</v>
      </c>
      <c r="Q12" s="9">
        <f t="shared" si="4"/>
        <v>9.8310740157405707E-3</v>
      </c>
      <c r="R12" s="4">
        <f>IFERROR(VLOOKUP($A:$A,MASTER!$A:$T,19,0),0)</f>
        <v>13502</v>
      </c>
      <c r="S12" s="4">
        <f>IFERROR(VLOOKUP($A:$A,MASTER!$A:$T,20,0),0)</f>
        <v>13152</v>
      </c>
      <c r="T12" s="9">
        <f t="shared" si="5"/>
        <v>2.6611922141119182E-2</v>
      </c>
      <c r="U12" s="13">
        <f>IFERROR(VLOOKUP(A:A,MASTER!A:K,11,0),0)</f>
        <v>615</v>
      </c>
      <c r="V12" s="13">
        <f>IFERROR(VLOOKUP(A:A,MASTER!A:L,12,0),0)</f>
        <v>595</v>
      </c>
      <c r="W12" s="9">
        <f t="shared" si="6"/>
        <v>3.3613445378151363E-2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95605610.523013219</v>
      </c>
      <c r="D13" s="4">
        <f>IFERROR(VLOOKUP($A:$A,MASTER!$A:$T,4,0),0)</f>
        <v>100363172.17081852</v>
      </c>
      <c r="E13" s="9">
        <f t="shared" si="0"/>
        <v>-4.7403460302230305E-2</v>
      </c>
      <c r="F13" s="4">
        <f>IFERROR(VLOOKUP(A:A,MASTER!A:E,5,0),0)</f>
        <v>39189.189189188997</v>
      </c>
      <c r="G13" s="4">
        <f>IFERROR(VLOOKUP(A:A,MASTER!A:F,6,0),0)</f>
        <v>248648.64864865001</v>
      </c>
      <c r="H13" s="9">
        <f t="shared" si="1"/>
        <v>-0.84239130434782772</v>
      </c>
      <c r="I13" s="4">
        <f>IFERROR(VLOOKUP(A:A,MASTER!A:M,13,0),0)</f>
        <v>20006756.75675676</v>
      </c>
      <c r="J13" s="4">
        <f>IFERROR(VLOOKUP($A:$A,MASTER!$A:$T,14,0),0)</f>
        <v>16410810.81081081</v>
      </c>
      <c r="K13" s="9">
        <f t="shared" si="2"/>
        <v>0.21912055335968406</v>
      </c>
      <c r="L13" s="4">
        <f>IFERROR(VLOOKUP($A:$A,MASTER!$A:$T,15,0),0)</f>
        <v>64791711.711711712</v>
      </c>
      <c r="M13" s="4">
        <f>IFERROR(VLOOKUP($A:$A,MASTER!$A:$T,16,0),0)</f>
        <v>70244666.666666657</v>
      </c>
      <c r="N13" s="9">
        <f t="shared" si="3"/>
        <v>-7.7628028058428278E-2</v>
      </c>
      <c r="O13" s="4">
        <f>IFERROR(VLOOKUP($A:$A,MASTER!$A:$T,17,0),0)</f>
        <v>19338288.288288292</v>
      </c>
      <c r="P13" s="4">
        <f>IFERROR(VLOOKUP($A:$A,MASTER!$A:$T,18,0),0)</f>
        <v>19745585.585585583</v>
      </c>
      <c r="Q13" s="9">
        <f t="shared" si="4"/>
        <v>-2.0627258458955078E-2</v>
      </c>
      <c r="R13" s="4">
        <f>IFERROR(VLOOKUP($A:$A,MASTER!$A:$T,19,0),0)</f>
        <v>4717</v>
      </c>
      <c r="S13" s="4">
        <f>IFERROR(VLOOKUP($A:$A,MASTER!$A:$T,20,0),0)</f>
        <v>4890</v>
      </c>
      <c r="T13" s="9">
        <f t="shared" si="5"/>
        <v>-3.5378323108384513E-2</v>
      </c>
      <c r="U13" s="13">
        <f>IFERROR(VLOOKUP(A:A,MASTER!A:K,11,0),0)</f>
        <v>32</v>
      </c>
      <c r="V13" s="13">
        <f>IFERROR(VLOOKUP(A:A,MASTER!A:L,12,0),0)</f>
        <v>42</v>
      </c>
      <c r="W13" s="9">
        <f t="shared" si="6"/>
        <v>-0.23809523809523814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141761185.36382908</v>
      </c>
      <c r="D14" s="4">
        <f>IFERROR(VLOOKUP($A:$A,MASTER!$A:$T,4,0),0)</f>
        <v>138501522.87508467</v>
      </c>
      <c r="E14" s="9">
        <f t="shared" si="0"/>
        <v>2.353521045168816E-2</v>
      </c>
      <c r="F14" s="4">
        <f>IFERROR(VLOOKUP(A:A,MASTER!A:E,5,0),0)</f>
        <v>1653153.1531531559</v>
      </c>
      <c r="G14" s="4">
        <f>IFERROR(VLOOKUP(A:A,MASTER!A:F,6,0),0)</f>
        <v>2541441.4414414428</v>
      </c>
      <c r="H14" s="9">
        <f t="shared" si="1"/>
        <v>-0.34952144629563908</v>
      </c>
      <c r="I14" s="4">
        <f>IFERROR(VLOOKUP(A:A,MASTER!A:M,13,0),0)</f>
        <v>18595495.495495494</v>
      </c>
      <c r="J14" s="4">
        <f>IFERROR(VLOOKUP($A:$A,MASTER!$A:$T,14,0),0)</f>
        <v>22336936.936936937</v>
      </c>
      <c r="K14" s="9">
        <f t="shared" si="2"/>
        <v>-0.16750020166169244</v>
      </c>
      <c r="L14" s="4">
        <f>IFERROR(VLOOKUP($A:$A,MASTER!$A:$T,15,0),0)</f>
        <v>41347972.972972974</v>
      </c>
      <c r="M14" s="4">
        <f>IFERROR(VLOOKUP($A:$A,MASTER!$A:$T,16,0),0)</f>
        <v>41428315.315315314</v>
      </c>
      <c r="N14" s="9">
        <f t="shared" si="3"/>
        <v>-1.9393099075075693E-3</v>
      </c>
      <c r="O14" s="4">
        <f>IFERROR(VLOOKUP($A:$A,MASTER!$A:$T,17,0),0)</f>
        <v>18006306.306306303</v>
      </c>
      <c r="P14" s="4">
        <f>IFERROR(VLOOKUP($A:$A,MASTER!$A:$T,18,0),0)</f>
        <v>20071891.891891889</v>
      </c>
      <c r="Q14" s="9">
        <f t="shared" si="4"/>
        <v>-0.10290936184346366</v>
      </c>
      <c r="R14" s="4">
        <f>IFERROR(VLOOKUP($A:$A,MASTER!$A:$T,19,0),0)</f>
        <v>3476</v>
      </c>
      <c r="S14" s="4">
        <f>IFERROR(VLOOKUP($A:$A,MASTER!$A:$T,20,0),0)</f>
        <v>3452</v>
      </c>
      <c r="T14" s="9">
        <f t="shared" si="5"/>
        <v>6.9524913093859109E-3</v>
      </c>
      <c r="U14" s="13">
        <f>IFERROR(VLOOKUP(A:A,MASTER!A:K,11,0),0)</f>
        <v>16</v>
      </c>
      <c r="V14" s="13">
        <f>IFERROR(VLOOKUP(A:A,MASTER!A:L,12,0),0)</f>
        <v>6</v>
      </c>
      <c r="W14" s="9">
        <f t="shared" si="6"/>
        <v>1.6666666666666665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286525294.99047959</v>
      </c>
      <c r="D15" s="4">
        <f>IFERROR(VLOOKUP($A:$A,MASTER!$A:$T,4,0),0)</f>
        <v>272957526.01196378</v>
      </c>
      <c r="E15" s="9">
        <f t="shared" si="0"/>
        <v>4.9706520925607789E-2</v>
      </c>
      <c r="F15" s="4">
        <f>IFERROR(VLOOKUP(A:A,MASTER!A:E,5,0),0)</f>
        <v>1806395.4954955</v>
      </c>
      <c r="G15" s="4">
        <f>IFERROR(VLOOKUP(A:A,MASTER!A:F,6,0),0)</f>
        <v>3513762.1621621661</v>
      </c>
      <c r="H15" s="9">
        <f t="shared" si="1"/>
        <v>-0.48590843314678167</v>
      </c>
      <c r="I15" s="4">
        <f>IFERROR(VLOOKUP(A:A,MASTER!A:M,13,0),0)</f>
        <v>469941563.06306303</v>
      </c>
      <c r="J15" s="4">
        <f>IFERROR(VLOOKUP($A:$A,MASTER!$A:$T,14,0),0)</f>
        <v>341791157.65765768</v>
      </c>
      <c r="K15" s="9">
        <f t="shared" si="2"/>
        <v>0.37493774351460085</v>
      </c>
      <c r="L15" s="4">
        <f>IFERROR(VLOOKUP($A:$A,MASTER!$A:$T,15,0),0)</f>
        <v>101047153.15315315</v>
      </c>
      <c r="M15" s="4">
        <f>IFERROR(VLOOKUP($A:$A,MASTER!$A:$T,16,0),0)</f>
        <v>99422171.171171173</v>
      </c>
      <c r="N15" s="9">
        <f t="shared" si="3"/>
        <v>1.6344261675640848E-2</v>
      </c>
      <c r="O15" s="4">
        <f>IFERROR(VLOOKUP($A:$A,MASTER!$A:$T,17,0),0)</f>
        <v>389103153.15315318</v>
      </c>
      <c r="P15" s="4">
        <f>IFERROR(VLOOKUP($A:$A,MASTER!$A:$T,18,0),0)</f>
        <v>299145765.76576579</v>
      </c>
      <c r="Q15" s="9">
        <f t="shared" si="4"/>
        <v>0.30071422591294494</v>
      </c>
      <c r="R15" s="4">
        <f>IFERROR(VLOOKUP($A:$A,MASTER!$A:$T,19,0),0)</f>
        <v>7722</v>
      </c>
      <c r="S15" s="4">
        <f>IFERROR(VLOOKUP($A:$A,MASTER!$A:$T,20,0),0)</f>
        <v>6889</v>
      </c>
      <c r="T15" s="9">
        <f t="shared" si="5"/>
        <v>0.12091740455799105</v>
      </c>
      <c r="U15" s="13">
        <f>IFERROR(VLOOKUP(A:A,MASTER!A:K,11,0),0)</f>
        <v>60</v>
      </c>
      <c r="V15" s="13">
        <f>IFERROR(VLOOKUP(A:A,MASTER!A:L,12,0),0)</f>
        <v>45</v>
      </c>
      <c r="W15" s="9">
        <f t="shared" si="6"/>
        <v>0.33333333333333326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3">
        <f>IFERROR(VLOOKUP(A:A,MASTER!A:K,11,0),0)</f>
        <v>0</v>
      </c>
      <c r="V16" s="13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120011122.89527808</v>
      </c>
      <c r="D17" s="4">
        <f>IFERROR(VLOOKUP($A:$A,MASTER!$A:$T,4,0),0)</f>
        <v>113135700.99130283</v>
      </c>
      <c r="E17" s="9">
        <f t="shared" si="0"/>
        <v>6.0771461561048623E-2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69137522.522522524</v>
      </c>
      <c r="M17" s="4">
        <f>IFERROR(VLOOKUP($A:$A,MASTER!$A:$T,16,0),0)</f>
        <v>67892043.243243247</v>
      </c>
      <c r="N17" s="9">
        <f t="shared" si="3"/>
        <v>1.8344996258500945E-2</v>
      </c>
      <c r="O17" s="4">
        <f>IFERROR(VLOOKUP($A:$A,MASTER!$A:$T,17,0),0)</f>
        <v>0</v>
      </c>
      <c r="P17" s="4">
        <f>IFERROR(VLOOKUP($A:$A,MASTER!$A:$T,18,0),0)</f>
        <v>19639.639639640001</v>
      </c>
      <c r="Q17" s="9">
        <f t="shared" si="4"/>
        <v>-1</v>
      </c>
      <c r="R17" s="4">
        <f>IFERROR(VLOOKUP($A:$A,MASTER!$A:$T,19,0),0)</f>
        <v>3830</v>
      </c>
      <c r="S17" s="4">
        <f>IFERROR(VLOOKUP($A:$A,MASTER!$A:$T,20,0),0)</f>
        <v>3817</v>
      </c>
      <c r="T17" s="9">
        <f t="shared" si="5"/>
        <v>3.4058160859313791E-3</v>
      </c>
      <c r="U17" s="13">
        <f>IFERROR(VLOOKUP(A:A,MASTER!A:K,11,0),0)</f>
        <v>9</v>
      </c>
      <c r="V17" s="13">
        <f>IFERROR(VLOOKUP(A:A,MASTER!A:L,12,0),0)</f>
        <v>17</v>
      </c>
      <c r="W17" s="9">
        <f t="shared" si="6"/>
        <v>-0.47058823529411764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95098356.967963189</v>
      </c>
      <c r="D18" s="4">
        <f>IFERROR(VLOOKUP($A:$A,MASTER!$A:$T,4,0),0)</f>
        <v>97756536.822858438</v>
      </c>
      <c r="E18" s="9">
        <f t="shared" si="0"/>
        <v>-2.7191837408398145E-2</v>
      </c>
      <c r="F18" s="4">
        <f>IFERROR(VLOOKUP(A:A,MASTER!A:E,5,0),0)</f>
        <v>125733222.52252252</v>
      </c>
      <c r="G18" s="4">
        <f>IFERROR(VLOOKUP(A:A,MASTER!A:F,6,0),0)</f>
        <v>281177296.3963964</v>
      </c>
      <c r="H18" s="9">
        <f t="shared" si="1"/>
        <v>-0.5528329486984358</v>
      </c>
      <c r="I18" s="4">
        <f>IFERROR(VLOOKUP(A:A,MASTER!A:M,13,0),0)</f>
        <v>2567567.5675675678</v>
      </c>
      <c r="J18" s="4">
        <f>IFERROR(VLOOKUP($A:$A,MASTER!$A:$T,14,0),0)</f>
        <v>1914414.4144144161</v>
      </c>
      <c r="K18" s="9">
        <f t="shared" si="2"/>
        <v>0.3411764705882343</v>
      </c>
      <c r="L18" s="4">
        <f>IFERROR(VLOOKUP($A:$A,MASTER!$A:$T,15,0),0)</f>
        <v>31629189.189189188</v>
      </c>
      <c r="M18" s="4">
        <f>IFERROR(VLOOKUP($A:$A,MASTER!$A:$T,16,0),0)</f>
        <v>33093684.684684683</v>
      </c>
      <c r="N18" s="9">
        <f t="shared" si="3"/>
        <v>-4.4253020159258472E-2</v>
      </c>
      <c r="O18" s="4">
        <f>IFERROR(VLOOKUP($A:$A,MASTER!$A:$T,17,0),0)</f>
        <v>3291441.44144144</v>
      </c>
      <c r="P18" s="4">
        <f>IFERROR(VLOOKUP($A:$A,MASTER!$A:$T,18,0),0)</f>
        <v>2299639.6396396402</v>
      </c>
      <c r="Q18" s="9">
        <f t="shared" si="4"/>
        <v>0.43128574786492102</v>
      </c>
      <c r="R18" s="4">
        <f>IFERROR(VLOOKUP($A:$A,MASTER!$A:$T,19,0),0)</f>
        <v>3930</v>
      </c>
      <c r="S18" s="4">
        <f>IFERROR(VLOOKUP($A:$A,MASTER!$A:$T,20,0),0)</f>
        <v>4257</v>
      </c>
      <c r="T18" s="9">
        <f t="shared" si="5"/>
        <v>-7.6814658210006992E-2</v>
      </c>
      <c r="U18" s="13">
        <f>IFERROR(VLOOKUP(A:A,MASTER!A:K,11,0),0)</f>
        <v>34</v>
      </c>
      <c r="V18" s="13">
        <f>IFERROR(VLOOKUP(A:A,MASTER!A:L,12,0),0)</f>
        <v>25</v>
      </c>
      <c r="W18" s="9">
        <f t="shared" si="6"/>
        <v>0.3600000000000001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66859756.090939321</v>
      </c>
      <c r="D19" s="4">
        <f>IFERROR(VLOOKUP($A:$A,MASTER!$A:$T,4,0),0)</f>
        <v>62978882.906767853</v>
      </c>
      <c r="E19" s="9">
        <f t="shared" si="0"/>
        <v>6.1621816790821793E-2</v>
      </c>
      <c r="F19" s="4">
        <f>IFERROR(VLOOKUP(A:A,MASTER!A:E,5,0),0)</f>
        <v>62162.162162162997</v>
      </c>
      <c r="G19" s="4">
        <f>IFERROR(VLOOKUP(A:A,MASTER!A:F,6,0),0)</f>
        <v>2347747.747747751</v>
      </c>
      <c r="H19" s="9">
        <f t="shared" si="1"/>
        <v>-0.97352264006139644</v>
      </c>
      <c r="I19" s="4">
        <f>IFERROR(VLOOKUP(A:A,MASTER!A:M,13,0),0)</f>
        <v>4595045.0450450452</v>
      </c>
      <c r="J19" s="4">
        <f>IFERROR(VLOOKUP($A:$A,MASTER!$A:$T,14,0),0)</f>
        <v>5500900.9009009032</v>
      </c>
      <c r="K19" s="9">
        <f t="shared" si="2"/>
        <v>-0.16467409105797604</v>
      </c>
      <c r="L19" s="4">
        <f>IFERROR(VLOOKUP($A:$A,MASTER!$A:$T,15,0),0)</f>
        <v>25506756.75675676</v>
      </c>
      <c r="M19" s="4">
        <f>IFERROR(VLOOKUP($A:$A,MASTER!$A:$T,16,0),0)</f>
        <v>25524711.711711712</v>
      </c>
      <c r="N19" s="9">
        <f t="shared" si="3"/>
        <v>-7.0343419184293321E-4</v>
      </c>
      <c r="O19" s="4">
        <f>IFERROR(VLOOKUP($A:$A,MASTER!$A:$T,17,0),0)</f>
        <v>2681531.5315315309</v>
      </c>
      <c r="P19" s="4">
        <f>IFERROR(VLOOKUP($A:$A,MASTER!$A:$T,18,0),0)</f>
        <v>7975405.405405405</v>
      </c>
      <c r="Q19" s="9">
        <f t="shared" si="4"/>
        <v>-0.66377489353530561</v>
      </c>
      <c r="R19" s="4">
        <f>IFERROR(VLOOKUP($A:$A,MASTER!$A:$T,19,0),0)</f>
        <v>2750</v>
      </c>
      <c r="S19" s="4">
        <f>IFERROR(VLOOKUP($A:$A,MASTER!$A:$T,20,0),0)</f>
        <v>3057</v>
      </c>
      <c r="T19" s="9">
        <f t="shared" si="5"/>
        <v>-0.10042525351651943</v>
      </c>
      <c r="U19" s="13">
        <f>IFERROR(VLOOKUP(A:A,MASTER!A:K,11,0),0)</f>
        <v>21</v>
      </c>
      <c r="V19" s="13">
        <f>IFERROR(VLOOKUP(A:A,MASTER!A:L,12,0),0)</f>
        <v>8</v>
      </c>
      <c r="W19" s="9">
        <f t="shared" si="6"/>
        <v>1.625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3">
        <f>IFERROR(VLOOKUP(A:A,MASTER!A:K,11,0),0)</f>
        <v>0</v>
      </c>
      <c r="V20" s="13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241898047.95703149</v>
      </c>
      <c r="D21" s="4">
        <f>IFERROR(VLOOKUP($A:$A,MASTER!$A:$T,4,0),0)</f>
        <v>227436126.84935769</v>
      </c>
      <c r="E21" s="9">
        <f t="shared" si="0"/>
        <v>6.3586736672017974E-2</v>
      </c>
      <c r="F21" s="4">
        <f>IFERROR(VLOOKUP(A:A,MASTER!A:E,5,0),0)</f>
        <v>675675.67567567795</v>
      </c>
      <c r="G21" s="4">
        <f>IFERROR(VLOOKUP(A:A,MASTER!A:F,6,0),0)</f>
        <v>1475675.6756756781</v>
      </c>
      <c r="H21" s="9">
        <f t="shared" si="1"/>
        <v>-0.54212454212454131</v>
      </c>
      <c r="I21" s="4">
        <f>IFERROR(VLOOKUP(A:A,MASTER!A:M,13,0),0)</f>
        <v>38963423.423423424</v>
      </c>
      <c r="J21" s="4">
        <f>IFERROR(VLOOKUP($A:$A,MASTER!$A:$T,14,0),0)</f>
        <v>50337837.837837838</v>
      </c>
      <c r="K21" s="9">
        <f t="shared" si="2"/>
        <v>-0.22596152125279645</v>
      </c>
      <c r="L21" s="4">
        <f>IFERROR(VLOOKUP($A:$A,MASTER!$A:$T,15,0),0)</f>
        <v>140233698.1981982</v>
      </c>
      <c r="M21" s="4">
        <f>IFERROR(VLOOKUP($A:$A,MASTER!$A:$T,16,0),0)</f>
        <v>128390090.0900901</v>
      </c>
      <c r="N21" s="9">
        <f t="shared" si="3"/>
        <v>9.2247058163114959E-2</v>
      </c>
      <c r="O21" s="4">
        <f>IFERROR(VLOOKUP($A:$A,MASTER!$A:$T,17,0),0)</f>
        <v>43098288.288288288</v>
      </c>
      <c r="P21" s="4">
        <f>IFERROR(VLOOKUP($A:$A,MASTER!$A:$T,18,0),0)</f>
        <v>51271034.234234229</v>
      </c>
      <c r="Q21" s="9">
        <f t="shared" si="4"/>
        <v>-0.15940279083523756</v>
      </c>
      <c r="R21" s="4">
        <f>IFERROR(VLOOKUP($A:$A,MASTER!$A:$T,19,0),0)</f>
        <v>7261</v>
      </c>
      <c r="S21" s="4">
        <f>IFERROR(VLOOKUP($A:$A,MASTER!$A:$T,20,0),0)</f>
        <v>7241</v>
      </c>
      <c r="T21" s="9">
        <f t="shared" si="5"/>
        <v>2.7620494406850327E-3</v>
      </c>
      <c r="U21" s="13">
        <f>IFERROR(VLOOKUP(A:A,MASTER!A:K,11,0),0)</f>
        <v>315</v>
      </c>
      <c r="V21" s="13">
        <f>IFERROR(VLOOKUP(A:A,MASTER!A:L,12,0),0)</f>
        <v>115</v>
      </c>
      <c r="W21" s="9">
        <f t="shared" si="6"/>
        <v>1.7391304347826089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124803570.97954968</v>
      </c>
      <c r="D22" s="4">
        <f>IFERROR(VLOOKUP($A:$A,MASTER!$A:$T,4,0),0)</f>
        <v>116678327.77489117</v>
      </c>
      <c r="E22" s="9">
        <f t="shared" si="0"/>
        <v>6.9637981273905858E-2</v>
      </c>
      <c r="F22" s="4">
        <f>IFERROR(VLOOKUP(A:A,MASTER!A:E,5,0),0)</f>
        <v>535387236.93693697</v>
      </c>
      <c r="G22" s="4">
        <f>IFERROR(VLOOKUP(A:A,MASTER!A:F,6,0),0)</f>
        <v>618977340.54054058</v>
      </c>
      <c r="H22" s="9">
        <f t="shared" si="1"/>
        <v>-0.13504549864556592</v>
      </c>
      <c r="I22" s="4">
        <f>IFERROR(VLOOKUP(A:A,MASTER!A:M,13,0),0)</f>
        <v>37282166.666666672</v>
      </c>
      <c r="J22" s="4">
        <f>IFERROR(VLOOKUP($A:$A,MASTER!$A:$T,14,0),0)</f>
        <v>72935135.135135129</v>
      </c>
      <c r="K22" s="9">
        <f t="shared" si="2"/>
        <v>-0.48883118407075266</v>
      </c>
      <c r="L22" s="4">
        <f>IFERROR(VLOOKUP($A:$A,MASTER!$A:$T,15,0),0)</f>
        <v>41126927.927927926</v>
      </c>
      <c r="M22" s="4">
        <f>IFERROR(VLOOKUP($A:$A,MASTER!$A:$T,16,0),0)</f>
        <v>40277306.306306303</v>
      </c>
      <c r="N22" s="9">
        <f t="shared" si="3"/>
        <v>2.1094300973364621E-2</v>
      </c>
      <c r="O22" s="4">
        <f>IFERROR(VLOOKUP($A:$A,MASTER!$A:$T,17,0),0)</f>
        <v>11776756.756756756</v>
      </c>
      <c r="P22" s="4">
        <f>IFERROR(VLOOKUP($A:$A,MASTER!$A:$T,18,0),0)</f>
        <v>30745045.045045048</v>
      </c>
      <c r="Q22" s="9">
        <f t="shared" si="4"/>
        <v>-0.61695431769566622</v>
      </c>
      <c r="R22" s="4">
        <f>IFERROR(VLOOKUP($A:$A,MASTER!$A:$T,19,0),0)</f>
        <v>3997</v>
      </c>
      <c r="S22" s="4">
        <f>IFERROR(VLOOKUP($A:$A,MASTER!$A:$T,20,0),0)</f>
        <v>4252</v>
      </c>
      <c r="T22" s="9">
        <f t="shared" si="5"/>
        <v>-5.9971777986829733E-2</v>
      </c>
      <c r="U22" s="13">
        <f>IFERROR(VLOOKUP(A:A,MASTER!A:K,11,0),0)</f>
        <v>13</v>
      </c>
      <c r="V22" s="13">
        <f>IFERROR(VLOOKUP(A:A,MASTER!A:L,12,0),0)</f>
        <v>21</v>
      </c>
      <c r="W22" s="9">
        <f t="shared" si="6"/>
        <v>-0.38095238095238093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4"/>
  <sheetViews>
    <sheetView tabSelected="1" workbookViewId="0">
      <pane xSplit="1" ySplit="3" topLeftCell="B559" activePane="bottomRight" state="frozen"/>
      <selection pane="topRight" activeCell="B1" sqref="B1"/>
      <selection pane="bottomLeft" activeCell="A4" sqref="A4"/>
      <selection pane="bottomRight" activeCell="A3" sqref="A3:T572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664</v>
      </c>
      <c r="J2" s="7" t="s">
        <v>664</v>
      </c>
      <c r="K2" s="7" t="s">
        <v>41</v>
      </c>
      <c r="L2" s="7" t="s">
        <v>41</v>
      </c>
      <c r="M2" s="7" t="s">
        <v>42</v>
      </c>
      <c r="N2" s="7" t="s">
        <v>42</v>
      </c>
      <c r="O2" s="7" t="s">
        <v>43</v>
      </c>
      <c r="P2" s="7" t="s">
        <v>43</v>
      </c>
      <c r="Q2" s="7" t="s">
        <v>44</v>
      </c>
      <c r="R2" s="7" t="s">
        <v>44</v>
      </c>
      <c r="S2" s="7" t="s">
        <v>30</v>
      </c>
      <c r="T2" s="7" t="s">
        <v>30</v>
      </c>
    </row>
    <row r="3" spans="1:20" x14ac:dyDescent="0.35">
      <c r="A3" s="8" t="s">
        <v>45</v>
      </c>
      <c r="B3" s="8" t="s">
        <v>46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666</v>
      </c>
      <c r="B4" s="12" t="s">
        <v>117</v>
      </c>
      <c r="E4">
        <v>16328828.828828828</v>
      </c>
      <c r="F4">
        <v>4617117.1171171172</v>
      </c>
      <c r="M4">
        <v>4053153.1531531531</v>
      </c>
      <c r="N4">
        <v>1562162.1621621619</v>
      </c>
    </row>
    <row r="5" spans="1:20" x14ac:dyDescent="0.35">
      <c r="A5" s="7" t="s">
        <v>47</v>
      </c>
      <c r="B5" s="12" t="s">
        <v>48</v>
      </c>
      <c r="C5">
        <v>337065028.2936756</v>
      </c>
      <c r="D5">
        <v>363047695.01295704</v>
      </c>
      <c r="E5">
        <v>1508333.333333333</v>
      </c>
      <c r="F5">
        <v>1699774.7747747761</v>
      </c>
      <c r="G5">
        <v>14</v>
      </c>
      <c r="H5">
        <v>38</v>
      </c>
      <c r="K5">
        <v>17</v>
      </c>
      <c r="L5">
        <v>71</v>
      </c>
      <c r="M5">
        <v>16543783.783783782</v>
      </c>
      <c r="N5">
        <v>45836216.216216214</v>
      </c>
      <c r="O5">
        <v>39135045.045045041</v>
      </c>
      <c r="P5">
        <v>45478009.009009011</v>
      </c>
      <c r="Q5">
        <v>12514324.324324319</v>
      </c>
      <c r="R5">
        <v>39744774.774774775</v>
      </c>
      <c r="S5">
        <v>7540</v>
      </c>
      <c r="T5">
        <v>8312</v>
      </c>
    </row>
    <row r="6" spans="1:20" x14ac:dyDescent="0.35">
      <c r="A6" s="7" t="s">
        <v>49</v>
      </c>
      <c r="B6" s="12" t="s">
        <v>50</v>
      </c>
      <c r="C6">
        <v>578754534.27915657</v>
      </c>
      <c r="D6">
        <v>549091581.96550632</v>
      </c>
      <c r="E6">
        <v>4664594.5945945978</v>
      </c>
      <c r="F6">
        <v>5067567.567567572</v>
      </c>
      <c r="G6">
        <v>144</v>
      </c>
      <c r="H6">
        <v>354</v>
      </c>
      <c r="I6">
        <v>9</v>
      </c>
      <c r="K6">
        <v>227</v>
      </c>
      <c r="L6">
        <v>548</v>
      </c>
      <c r="M6">
        <v>122814864.86486487</v>
      </c>
      <c r="N6">
        <v>97544864.864864871</v>
      </c>
      <c r="O6">
        <v>173221040.54054055</v>
      </c>
      <c r="P6">
        <v>174093243.24324322</v>
      </c>
      <c r="Q6">
        <v>115874054.05405405</v>
      </c>
      <c r="R6">
        <v>94927657.657657668</v>
      </c>
      <c r="S6">
        <v>20445</v>
      </c>
      <c r="T6">
        <v>19524</v>
      </c>
    </row>
    <row r="7" spans="1:20" x14ac:dyDescent="0.35">
      <c r="A7" s="7" t="s">
        <v>51</v>
      </c>
      <c r="B7" s="12" t="s">
        <v>52</v>
      </c>
      <c r="C7">
        <v>135622291.53161031</v>
      </c>
      <c r="D7">
        <v>137680425.99137166</v>
      </c>
      <c r="E7">
        <v>1947522.5225225219</v>
      </c>
      <c r="F7">
        <v>3444144.1441441439</v>
      </c>
      <c r="G7">
        <v>24</v>
      </c>
      <c r="H7">
        <v>70</v>
      </c>
      <c r="K7">
        <v>27</v>
      </c>
      <c r="L7">
        <v>83</v>
      </c>
      <c r="M7">
        <v>24868918.918918915</v>
      </c>
      <c r="N7">
        <v>47851801.801801801</v>
      </c>
      <c r="O7">
        <v>47758225.225225225</v>
      </c>
      <c r="P7">
        <v>44977297.297297299</v>
      </c>
      <c r="Q7">
        <v>13047117.117117116</v>
      </c>
      <c r="R7">
        <v>40685495.495495498</v>
      </c>
      <c r="S7">
        <v>4552</v>
      </c>
      <c r="T7">
        <v>4480</v>
      </c>
    </row>
    <row r="8" spans="1:20" x14ac:dyDescent="0.35">
      <c r="A8" s="7" t="s">
        <v>53</v>
      </c>
      <c r="B8" s="12" t="s">
        <v>54</v>
      </c>
      <c r="C8">
        <v>74373934.511022195</v>
      </c>
      <c r="D8">
        <v>74801527.705795303</v>
      </c>
      <c r="E8">
        <v>859909.90990991099</v>
      </c>
      <c r="F8">
        <v>584684.68468468799</v>
      </c>
      <c r="G8">
        <v>19</v>
      </c>
      <c r="H8">
        <v>19</v>
      </c>
      <c r="K8">
        <v>21</v>
      </c>
      <c r="L8">
        <v>30</v>
      </c>
      <c r="M8">
        <v>8778378.3783783764</v>
      </c>
      <c r="N8">
        <v>7051711.7117117122</v>
      </c>
      <c r="O8">
        <v>24552621.621621624</v>
      </c>
      <c r="P8">
        <v>23993921.171171173</v>
      </c>
      <c r="Q8">
        <v>8731891.891891893</v>
      </c>
      <c r="R8">
        <v>7296756.7567567583</v>
      </c>
      <c r="S8">
        <v>3758</v>
      </c>
      <c r="T8">
        <v>3640</v>
      </c>
    </row>
    <row r="9" spans="1:20" x14ac:dyDescent="0.35">
      <c r="A9" s="7" t="s">
        <v>55</v>
      </c>
      <c r="B9" s="12" t="s">
        <v>54</v>
      </c>
      <c r="C9">
        <v>124816184.10455574</v>
      </c>
      <c r="D9">
        <v>123034347.72940448</v>
      </c>
      <c r="E9">
        <v>23063513.513513517</v>
      </c>
      <c r="F9">
        <v>54140990.990990989</v>
      </c>
      <c r="G9">
        <v>35</v>
      </c>
      <c r="H9">
        <v>46</v>
      </c>
      <c r="K9">
        <v>55</v>
      </c>
      <c r="L9">
        <v>110</v>
      </c>
      <c r="M9">
        <v>30279729.729729727</v>
      </c>
      <c r="N9">
        <v>22438738.738738742</v>
      </c>
      <c r="O9">
        <v>31884126.126126129</v>
      </c>
      <c r="P9">
        <v>35281207.20720721</v>
      </c>
      <c r="Q9">
        <v>27350990.990990993</v>
      </c>
      <c r="R9">
        <v>42380000</v>
      </c>
      <c r="S9">
        <v>4281</v>
      </c>
      <c r="T9">
        <v>4380</v>
      </c>
    </row>
    <row r="10" spans="1:20" x14ac:dyDescent="0.35">
      <c r="A10" s="7" t="s">
        <v>56</v>
      </c>
      <c r="B10" s="12" t="s">
        <v>54</v>
      </c>
      <c r="C10">
        <v>62856918.453979231</v>
      </c>
      <c r="D10">
        <v>59756504.161187515</v>
      </c>
      <c r="E10">
        <v>548828.82882882899</v>
      </c>
      <c r="F10">
        <v>1058558.5585585581</v>
      </c>
      <c r="G10">
        <v>8</v>
      </c>
      <c r="H10">
        <v>12</v>
      </c>
      <c r="K10">
        <v>12</v>
      </c>
      <c r="L10">
        <v>14</v>
      </c>
      <c r="M10">
        <v>5036216.2162162149</v>
      </c>
      <c r="N10">
        <v>7253873.8738738736</v>
      </c>
      <c r="O10">
        <v>19065855.855855856</v>
      </c>
      <c r="P10">
        <v>18755027.02702703</v>
      </c>
      <c r="Q10">
        <v>4417927.927927928</v>
      </c>
      <c r="R10">
        <v>6091081.081081083</v>
      </c>
      <c r="S10">
        <v>2048</v>
      </c>
      <c r="T10">
        <v>2030</v>
      </c>
    </row>
    <row r="11" spans="1:20" x14ac:dyDescent="0.35">
      <c r="A11" s="7" t="s">
        <v>57</v>
      </c>
      <c r="B11" s="12" t="s">
        <v>58</v>
      </c>
      <c r="C11">
        <v>162608701.1862708</v>
      </c>
      <c r="D11">
        <v>164253529.0117951</v>
      </c>
      <c r="E11">
        <v>1809009.0090090099</v>
      </c>
      <c r="F11">
        <v>121621.621621623</v>
      </c>
      <c r="G11">
        <v>46</v>
      </c>
      <c r="H11">
        <v>54</v>
      </c>
      <c r="K11">
        <v>56</v>
      </c>
      <c r="L11">
        <v>61</v>
      </c>
      <c r="M11">
        <v>4529729.7297297297</v>
      </c>
      <c r="N11">
        <v>3364864.8648648649</v>
      </c>
      <c r="O11">
        <v>29308018.018018015</v>
      </c>
      <c r="P11">
        <v>30520774.774774775</v>
      </c>
      <c r="Q11">
        <v>3302792.7927927938</v>
      </c>
      <c r="R11">
        <v>2272252.2522522528</v>
      </c>
      <c r="S11">
        <v>5621</v>
      </c>
      <c r="T11">
        <v>5666</v>
      </c>
    </row>
    <row r="12" spans="1:20" x14ac:dyDescent="0.35">
      <c r="A12" s="7" t="s">
        <v>59</v>
      </c>
      <c r="B12" s="12" t="s">
        <v>60</v>
      </c>
      <c r="C12">
        <v>69355866.228667825</v>
      </c>
      <c r="D12">
        <v>69503566.455015197</v>
      </c>
      <c r="E12">
        <v>202342.34234234301</v>
      </c>
      <c r="F12">
        <v>489189.18918919202</v>
      </c>
      <c r="G12">
        <v>12</v>
      </c>
      <c r="H12">
        <v>32</v>
      </c>
      <c r="K12">
        <v>14</v>
      </c>
      <c r="L12">
        <v>52</v>
      </c>
      <c r="M12">
        <v>7814954.9549549529</v>
      </c>
      <c r="N12">
        <v>10300000</v>
      </c>
      <c r="O12">
        <v>32241792.792792793</v>
      </c>
      <c r="P12">
        <v>31800099.0990991</v>
      </c>
      <c r="Q12">
        <v>6709459.4594594603</v>
      </c>
      <c r="R12">
        <v>7944414.4144144151</v>
      </c>
      <c r="S12">
        <v>2771</v>
      </c>
      <c r="T12">
        <v>3025</v>
      </c>
    </row>
    <row r="13" spans="1:20" x14ac:dyDescent="0.35">
      <c r="A13" s="7" t="s">
        <v>61</v>
      </c>
      <c r="B13" s="12" t="s">
        <v>62</v>
      </c>
      <c r="C13">
        <v>327141884.74068975</v>
      </c>
      <c r="D13">
        <v>317262863.72999698</v>
      </c>
      <c r="E13">
        <v>197334518.91891891</v>
      </c>
      <c r="F13">
        <v>354771632.43243247</v>
      </c>
      <c r="G13">
        <v>68</v>
      </c>
      <c r="H13">
        <v>35</v>
      </c>
      <c r="K13">
        <v>83</v>
      </c>
      <c r="L13">
        <v>39</v>
      </c>
      <c r="M13">
        <v>38727991.891891897</v>
      </c>
      <c r="N13">
        <v>100244719.81981982</v>
      </c>
      <c r="O13">
        <v>34324729.729729727</v>
      </c>
      <c r="P13">
        <v>33286025.225225225</v>
      </c>
      <c r="Q13">
        <v>7305675.675675679</v>
      </c>
      <c r="R13">
        <v>50368378.378378369</v>
      </c>
      <c r="S13">
        <v>8746</v>
      </c>
      <c r="T13">
        <v>8725</v>
      </c>
    </row>
    <row r="14" spans="1:20" x14ac:dyDescent="0.35">
      <c r="A14" s="7" t="s">
        <v>63</v>
      </c>
      <c r="B14" s="12" t="s">
        <v>50</v>
      </c>
      <c r="C14">
        <v>169424741.28762108</v>
      </c>
      <c r="D14">
        <v>169862259.31933263</v>
      </c>
      <c r="E14">
        <v>651351.35135135194</v>
      </c>
      <c r="F14">
        <v>1860360.360360364</v>
      </c>
      <c r="G14">
        <v>28</v>
      </c>
      <c r="H14">
        <v>63</v>
      </c>
      <c r="K14">
        <v>32</v>
      </c>
      <c r="L14">
        <v>97</v>
      </c>
      <c r="M14">
        <v>56662702.702702701</v>
      </c>
      <c r="N14">
        <v>47580720.720720723</v>
      </c>
      <c r="O14">
        <v>63581819.819819815</v>
      </c>
      <c r="P14">
        <v>64627144.144144148</v>
      </c>
      <c r="Q14">
        <v>56771441.441441439</v>
      </c>
      <c r="R14">
        <v>44241801.801801801</v>
      </c>
      <c r="S14">
        <v>5010</v>
      </c>
      <c r="T14">
        <v>5606</v>
      </c>
    </row>
    <row r="15" spans="1:20" x14ac:dyDescent="0.35">
      <c r="A15" s="7" t="s">
        <v>64</v>
      </c>
      <c r="B15" s="12" t="s">
        <v>50</v>
      </c>
      <c r="C15">
        <v>177912308.97990835</v>
      </c>
      <c r="D15">
        <v>173076088.21303043</v>
      </c>
      <c r="E15">
        <v>1464414.414414414</v>
      </c>
      <c r="F15">
        <v>2558558.558558559</v>
      </c>
      <c r="G15">
        <v>24</v>
      </c>
      <c r="H15">
        <v>45</v>
      </c>
      <c r="K15">
        <v>31</v>
      </c>
      <c r="L15">
        <v>60</v>
      </c>
      <c r="M15">
        <v>39102252.252252251</v>
      </c>
      <c r="N15">
        <v>18442342.342342339</v>
      </c>
      <c r="O15">
        <v>67113126.126126125</v>
      </c>
      <c r="P15">
        <v>65928792.79279279</v>
      </c>
      <c r="Q15">
        <v>37059729.729729727</v>
      </c>
      <c r="R15">
        <v>16979909.909909908</v>
      </c>
      <c r="S15">
        <v>5361</v>
      </c>
      <c r="T15">
        <v>5631</v>
      </c>
    </row>
    <row r="16" spans="1:20" x14ac:dyDescent="0.35">
      <c r="A16" s="7" t="s">
        <v>65</v>
      </c>
      <c r="B16" s="12" t="s">
        <v>66</v>
      </c>
      <c r="C16">
        <v>182047350.70530775</v>
      </c>
      <c r="D16">
        <v>174963985.24933478</v>
      </c>
      <c r="E16">
        <v>1606396.3963963981</v>
      </c>
      <c r="F16">
        <v>4100900.9009009032</v>
      </c>
      <c r="G16">
        <v>77</v>
      </c>
      <c r="H16">
        <v>43</v>
      </c>
      <c r="K16">
        <v>86</v>
      </c>
      <c r="L16">
        <v>62</v>
      </c>
      <c r="M16">
        <v>42966036.036036037</v>
      </c>
      <c r="N16">
        <v>132663513.51351352</v>
      </c>
      <c r="O16">
        <v>89489855.855855852</v>
      </c>
      <c r="P16">
        <v>89158972.972972974</v>
      </c>
      <c r="Q16">
        <v>36012162.162162162</v>
      </c>
      <c r="R16">
        <v>79479279.279279277</v>
      </c>
      <c r="S16">
        <v>5630</v>
      </c>
      <c r="T16">
        <v>5602</v>
      </c>
    </row>
    <row r="17" spans="1:20" x14ac:dyDescent="0.35">
      <c r="A17" s="7" t="s">
        <v>67</v>
      </c>
      <c r="B17" s="12" t="s">
        <v>68</v>
      </c>
      <c r="C17">
        <v>103939959.29263349</v>
      </c>
      <c r="D17">
        <v>100281615.44451256</v>
      </c>
      <c r="E17">
        <v>4816666.6666666679</v>
      </c>
      <c r="F17">
        <v>15090090.090090089</v>
      </c>
      <c r="G17">
        <v>47</v>
      </c>
      <c r="H17">
        <v>31</v>
      </c>
      <c r="K17">
        <v>55</v>
      </c>
      <c r="L17">
        <v>40</v>
      </c>
      <c r="M17">
        <v>16300360.36036036</v>
      </c>
      <c r="N17">
        <v>21141891.891891893</v>
      </c>
      <c r="O17">
        <v>27263603.603603605</v>
      </c>
      <c r="P17">
        <v>27312540.540540539</v>
      </c>
      <c r="Q17">
        <v>13785315.315315315</v>
      </c>
      <c r="R17">
        <v>12470000</v>
      </c>
      <c r="S17">
        <v>3507</v>
      </c>
      <c r="T17">
        <v>3093</v>
      </c>
    </row>
    <row r="18" spans="1:20" x14ac:dyDescent="0.35">
      <c r="A18" s="7" t="s">
        <v>69</v>
      </c>
      <c r="B18" s="12" t="s">
        <v>70</v>
      </c>
      <c r="C18">
        <v>8025091.4966228297</v>
      </c>
      <c r="D18">
        <v>7957865.7532502394</v>
      </c>
      <c r="E18">
        <v>25675.675675676001</v>
      </c>
      <c r="F18">
        <v>13513.513513514001</v>
      </c>
      <c r="G18">
        <v>1</v>
      </c>
      <c r="H18">
        <v>2</v>
      </c>
      <c r="K18">
        <v>1</v>
      </c>
      <c r="L18">
        <v>2</v>
      </c>
      <c r="M18">
        <v>302702.70270270301</v>
      </c>
      <c r="N18">
        <v>193693.69369369399</v>
      </c>
      <c r="O18">
        <v>1735945.945945946</v>
      </c>
      <c r="P18">
        <v>2361756.7567567569</v>
      </c>
      <c r="Q18">
        <v>298828.828828828</v>
      </c>
      <c r="R18">
        <v>194594.59459459499</v>
      </c>
      <c r="S18">
        <v>355</v>
      </c>
      <c r="T18">
        <v>620</v>
      </c>
    </row>
    <row r="19" spans="1:20" x14ac:dyDescent="0.35">
      <c r="A19" s="7" t="s">
        <v>71</v>
      </c>
      <c r="B19" s="12" t="s">
        <v>72</v>
      </c>
      <c r="C19">
        <v>1454875584.753778</v>
      </c>
      <c r="D19">
        <v>1398023486.0427392</v>
      </c>
      <c r="E19">
        <v>400214636.93693697</v>
      </c>
      <c r="F19">
        <v>469587939.63963968</v>
      </c>
      <c r="G19">
        <v>411</v>
      </c>
      <c r="H19">
        <v>389</v>
      </c>
      <c r="I19">
        <v>17</v>
      </c>
      <c r="K19">
        <v>606</v>
      </c>
      <c r="L19">
        <v>691</v>
      </c>
      <c r="M19">
        <v>160459376.57657659</v>
      </c>
      <c r="N19">
        <v>165022529.72972974</v>
      </c>
      <c r="O19">
        <v>275377329.72972971</v>
      </c>
      <c r="P19">
        <v>280987186.93693691</v>
      </c>
      <c r="Q19">
        <v>142494144.14414415</v>
      </c>
      <c r="R19">
        <v>132129592.7927928</v>
      </c>
      <c r="S19">
        <v>45688</v>
      </c>
      <c r="T19">
        <v>46775</v>
      </c>
    </row>
    <row r="20" spans="1:20" x14ac:dyDescent="0.35">
      <c r="A20" s="7" t="s">
        <v>73</v>
      </c>
      <c r="B20" s="12" t="s">
        <v>72</v>
      </c>
      <c r="C20">
        <v>144200020.34995711</v>
      </c>
      <c r="D20">
        <v>136474281.51144335</v>
      </c>
      <c r="E20">
        <v>3603.603603604</v>
      </c>
      <c r="F20">
        <v>109909.909909911</v>
      </c>
      <c r="G20">
        <v>38</v>
      </c>
      <c r="H20">
        <v>38</v>
      </c>
      <c r="K20">
        <v>41</v>
      </c>
      <c r="L20">
        <v>41</v>
      </c>
      <c r="M20">
        <v>2553153.1531531531</v>
      </c>
      <c r="N20">
        <v>4299099.0990990987</v>
      </c>
      <c r="O20">
        <v>18811171.171171173</v>
      </c>
      <c r="P20">
        <v>19814351.351351351</v>
      </c>
      <c r="Q20">
        <v>2299999.9999999991</v>
      </c>
      <c r="R20">
        <v>4103963.963963964</v>
      </c>
      <c r="S20">
        <v>3914</v>
      </c>
      <c r="T20">
        <v>3386</v>
      </c>
    </row>
    <row r="21" spans="1:20" x14ac:dyDescent="0.35">
      <c r="A21" s="7" t="s">
        <v>74</v>
      </c>
      <c r="B21" s="12" t="s">
        <v>70</v>
      </c>
      <c r="C21">
        <v>142505217.23379984</v>
      </c>
      <c r="D21">
        <v>139822340.98458925</v>
      </c>
      <c r="E21">
        <v>31868651.351351351</v>
      </c>
      <c r="F21">
        <v>54848438.738738745</v>
      </c>
      <c r="G21">
        <v>39</v>
      </c>
      <c r="H21">
        <v>46</v>
      </c>
      <c r="K21">
        <v>45</v>
      </c>
      <c r="L21">
        <v>65</v>
      </c>
      <c r="M21">
        <v>62985941.441441439</v>
      </c>
      <c r="N21">
        <v>70103613.51351352</v>
      </c>
      <c r="O21">
        <v>48084711.711711712</v>
      </c>
      <c r="P21">
        <v>50478459.459459461</v>
      </c>
      <c r="Q21">
        <v>37818108.108108111</v>
      </c>
      <c r="R21">
        <v>31884684.684684686</v>
      </c>
      <c r="S21">
        <v>4297</v>
      </c>
      <c r="T21">
        <v>4480</v>
      </c>
    </row>
    <row r="22" spans="1:20" x14ac:dyDescent="0.35">
      <c r="A22" s="7" t="s">
        <v>75</v>
      </c>
      <c r="B22" s="12" t="s">
        <v>76</v>
      </c>
      <c r="C22">
        <v>39675340.078460224</v>
      </c>
      <c r="D22">
        <v>40359162.404416695</v>
      </c>
      <c r="E22">
        <v>78378.378378378999</v>
      </c>
      <c r="F22">
        <v>182882.88288288299</v>
      </c>
      <c r="G22">
        <v>10</v>
      </c>
      <c r="H22">
        <v>7</v>
      </c>
      <c r="K22">
        <v>12</v>
      </c>
      <c r="L22">
        <v>8</v>
      </c>
      <c r="M22">
        <v>5401801.8018018026</v>
      </c>
      <c r="N22">
        <v>4948828.8288288284</v>
      </c>
      <c r="O22">
        <v>10003333.333333334</v>
      </c>
      <c r="P22">
        <v>10232405.405405404</v>
      </c>
      <c r="Q22">
        <v>3914324.3243243252</v>
      </c>
      <c r="R22">
        <v>3391261.2612612611</v>
      </c>
      <c r="S22">
        <v>1449</v>
      </c>
      <c r="T22">
        <v>1264</v>
      </c>
    </row>
    <row r="23" spans="1:20" x14ac:dyDescent="0.35">
      <c r="A23" s="7" t="s">
        <v>77</v>
      </c>
      <c r="B23" s="12" t="s">
        <v>78</v>
      </c>
      <c r="C23">
        <v>93454188.113220543</v>
      </c>
      <c r="D23">
        <v>86056421.864067003</v>
      </c>
      <c r="E23">
        <v>462252.25225225202</v>
      </c>
      <c r="F23">
        <v>1209009.0090090099</v>
      </c>
      <c r="G23">
        <v>21</v>
      </c>
      <c r="H23">
        <v>16</v>
      </c>
      <c r="K23">
        <v>23</v>
      </c>
      <c r="L23">
        <v>19</v>
      </c>
      <c r="M23">
        <v>11471261.26126126</v>
      </c>
      <c r="N23">
        <v>10605405.405405404</v>
      </c>
      <c r="O23">
        <v>29080666.666666664</v>
      </c>
      <c r="P23">
        <v>28078045.045045048</v>
      </c>
      <c r="Q23">
        <v>9335225.2252252232</v>
      </c>
      <c r="R23">
        <v>11122882.882882884</v>
      </c>
      <c r="S23">
        <v>2542</v>
      </c>
      <c r="T23">
        <v>2457</v>
      </c>
    </row>
    <row r="24" spans="1:20" x14ac:dyDescent="0.35">
      <c r="A24" s="7" t="s">
        <v>79</v>
      </c>
      <c r="B24" s="12" t="s">
        <v>80</v>
      </c>
      <c r="C24">
        <v>852995149.5917573</v>
      </c>
      <c r="D24">
        <v>815077936.94158578</v>
      </c>
      <c r="E24">
        <v>3165540.540540548</v>
      </c>
      <c r="F24">
        <v>3899099.0990991089</v>
      </c>
      <c r="G24">
        <v>276</v>
      </c>
      <c r="H24">
        <v>569</v>
      </c>
      <c r="I24">
        <v>3</v>
      </c>
      <c r="K24">
        <v>346</v>
      </c>
      <c r="L24">
        <v>720</v>
      </c>
      <c r="M24">
        <v>395468738.73873878</v>
      </c>
      <c r="N24">
        <v>89661711.711711705</v>
      </c>
      <c r="O24">
        <v>208025635.13513514</v>
      </c>
      <c r="P24">
        <v>211370896.3963964</v>
      </c>
      <c r="Q24">
        <v>71410810.810810804</v>
      </c>
      <c r="R24">
        <v>74110810.810810819</v>
      </c>
      <c r="S24">
        <v>26292</v>
      </c>
      <c r="T24">
        <v>26353</v>
      </c>
    </row>
    <row r="25" spans="1:20" x14ac:dyDescent="0.35">
      <c r="A25" s="7" t="s">
        <v>81</v>
      </c>
      <c r="B25" s="12" t="s">
        <v>54</v>
      </c>
      <c r="C25">
        <v>24345199.680648476</v>
      </c>
      <c r="D25">
        <v>24691241.75410996</v>
      </c>
      <c r="E25">
        <v>141441.441441442</v>
      </c>
      <c r="F25">
        <v>319819.81981982198</v>
      </c>
      <c r="G25">
        <v>7</v>
      </c>
      <c r="H25">
        <v>10</v>
      </c>
      <c r="K25">
        <v>9</v>
      </c>
      <c r="L25">
        <v>15</v>
      </c>
      <c r="M25">
        <v>2213963.9639639622</v>
      </c>
      <c r="N25">
        <v>2036036.0360360369</v>
      </c>
      <c r="O25">
        <v>5196261.2612612611</v>
      </c>
      <c r="P25">
        <v>5604099.0990990978</v>
      </c>
      <c r="Q25">
        <v>2313513.5135135129</v>
      </c>
      <c r="R25">
        <v>1680630.630630631</v>
      </c>
      <c r="S25">
        <v>1307</v>
      </c>
      <c r="T25">
        <v>1441</v>
      </c>
    </row>
    <row r="26" spans="1:20" x14ac:dyDescent="0.35">
      <c r="A26" s="7" t="s">
        <v>82</v>
      </c>
      <c r="B26" s="12" t="s">
        <v>83</v>
      </c>
      <c r="C26">
        <v>586919324.93043542</v>
      </c>
      <c r="D26">
        <v>586514882.72356749</v>
      </c>
      <c r="E26">
        <v>43922612.612612613</v>
      </c>
      <c r="F26">
        <v>37576801.801801801</v>
      </c>
      <c r="G26">
        <v>93</v>
      </c>
      <c r="H26">
        <v>104</v>
      </c>
      <c r="I26">
        <v>1</v>
      </c>
      <c r="K26">
        <v>106</v>
      </c>
      <c r="L26">
        <v>125</v>
      </c>
      <c r="M26">
        <v>105070360.36036035</v>
      </c>
      <c r="N26">
        <v>144675675.67567569</v>
      </c>
      <c r="O26">
        <v>162780628.82882884</v>
      </c>
      <c r="P26">
        <v>172129970.72072074</v>
      </c>
      <c r="Q26">
        <v>91317117.117117122</v>
      </c>
      <c r="R26">
        <v>93513963.963963971</v>
      </c>
      <c r="S26">
        <v>15325</v>
      </c>
      <c r="T26">
        <v>15174</v>
      </c>
    </row>
    <row r="27" spans="1:20" x14ac:dyDescent="0.35">
      <c r="A27" s="7" t="s">
        <v>84</v>
      </c>
      <c r="B27" s="12" t="s">
        <v>85</v>
      </c>
      <c r="C27">
        <v>61628249.576293536</v>
      </c>
      <c r="D27">
        <v>52931065.647466525</v>
      </c>
      <c r="E27">
        <v>261711.71171171201</v>
      </c>
      <c r="F27">
        <v>1151126.126126128</v>
      </c>
      <c r="G27">
        <v>22</v>
      </c>
      <c r="H27">
        <v>31</v>
      </c>
      <c r="K27">
        <v>29</v>
      </c>
      <c r="L27">
        <v>39</v>
      </c>
      <c r="M27">
        <v>56639189.189189181</v>
      </c>
      <c r="N27">
        <v>90121621.621621609</v>
      </c>
      <c r="O27">
        <v>20379864.864864863</v>
      </c>
      <c r="P27">
        <v>19637837.837837838</v>
      </c>
      <c r="Q27">
        <v>38616756.756756753</v>
      </c>
      <c r="R27">
        <v>71246216.216216221</v>
      </c>
      <c r="S27">
        <v>2315</v>
      </c>
      <c r="T27">
        <v>2116</v>
      </c>
    </row>
    <row r="28" spans="1:20" x14ac:dyDescent="0.35">
      <c r="A28" s="7" t="s">
        <v>86</v>
      </c>
      <c r="B28" s="12" t="s">
        <v>87</v>
      </c>
      <c r="C28">
        <v>2447257.188712935</v>
      </c>
      <c r="D28">
        <v>2004067.304239982</v>
      </c>
      <c r="G28">
        <v>2</v>
      </c>
      <c r="H28">
        <v>1</v>
      </c>
      <c r="K28">
        <v>2</v>
      </c>
      <c r="L28">
        <v>1</v>
      </c>
      <c r="O28">
        <v>767972.97297297302</v>
      </c>
      <c r="P28">
        <v>913342.34234234295</v>
      </c>
      <c r="S28">
        <v>153</v>
      </c>
      <c r="T28">
        <v>180</v>
      </c>
    </row>
    <row r="29" spans="1:20" x14ac:dyDescent="0.35">
      <c r="A29" s="7" t="s">
        <v>88</v>
      </c>
      <c r="B29" s="12" t="s">
        <v>89</v>
      </c>
      <c r="C29">
        <v>119910663.26994543</v>
      </c>
      <c r="D29">
        <v>118122368.16775879</v>
      </c>
      <c r="E29">
        <v>24871846.846846849</v>
      </c>
      <c r="F29">
        <v>135356756.75675675</v>
      </c>
      <c r="G29">
        <v>15</v>
      </c>
      <c r="H29">
        <v>16</v>
      </c>
      <c r="K29">
        <v>16</v>
      </c>
      <c r="L29">
        <v>17</v>
      </c>
      <c r="M29">
        <v>12372612.612612613</v>
      </c>
      <c r="N29">
        <v>15353333.333333332</v>
      </c>
      <c r="O29">
        <v>41617792.79279279</v>
      </c>
      <c r="P29">
        <v>41108081.081081077</v>
      </c>
      <c r="Q29">
        <v>9413333.3333333321</v>
      </c>
      <c r="R29">
        <v>15967747.747747745</v>
      </c>
      <c r="S29">
        <v>3449</v>
      </c>
      <c r="T29">
        <v>3273</v>
      </c>
    </row>
    <row r="30" spans="1:20" x14ac:dyDescent="0.35">
      <c r="A30" s="7" t="s">
        <v>90</v>
      </c>
      <c r="B30" s="12" t="s">
        <v>60</v>
      </c>
      <c r="C30">
        <v>39493838.119456269</v>
      </c>
      <c r="D30">
        <v>43415600.260933094</v>
      </c>
      <c r="E30">
        <v>57657.657657657997</v>
      </c>
      <c r="F30">
        <v>98198.198198198996</v>
      </c>
      <c r="G30">
        <v>17</v>
      </c>
      <c r="H30">
        <v>9</v>
      </c>
      <c r="K30">
        <v>82</v>
      </c>
      <c r="L30">
        <v>102</v>
      </c>
      <c r="M30">
        <v>4661261.2612612592</v>
      </c>
      <c r="N30">
        <v>3359459.4594594599</v>
      </c>
      <c r="O30">
        <v>22914684.684684683</v>
      </c>
      <c r="P30">
        <v>26101711.711711712</v>
      </c>
      <c r="Q30">
        <v>4574324.3243243238</v>
      </c>
      <c r="R30">
        <v>3384774.774774774</v>
      </c>
      <c r="S30">
        <v>1546</v>
      </c>
      <c r="T30">
        <v>1545</v>
      </c>
    </row>
    <row r="31" spans="1:20" x14ac:dyDescent="0.35">
      <c r="A31" s="7" t="s">
        <v>91</v>
      </c>
      <c r="B31" s="12" t="s">
        <v>92</v>
      </c>
      <c r="C31">
        <v>35802290.894143336</v>
      </c>
      <c r="D31">
        <v>35470515.836353838</v>
      </c>
      <c r="E31">
        <v>413288.28828828997</v>
      </c>
      <c r="F31">
        <v>1957657.657657658</v>
      </c>
      <c r="G31">
        <v>12</v>
      </c>
      <c r="H31">
        <v>9</v>
      </c>
      <c r="K31">
        <v>13</v>
      </c>
      <c r="L31">
        <v>12</v>
      </c>
      <c r="M31">
        <v>575855.85585585702</v>
      </c>
      <c r="N31">
        <v>11110810.810810812</v>
      </c>
      <c r="O31">
        <v>11928018.018018018</v>
      </c>
      <c r="P31">
        <v>11328072.072072072</v>
      </c>
      <c r="Q31">
        <v>371351.351351352</v>
      </c>
      <c r="R31">
        <v>11529279.27927928</v>
      </c>
      <c r="S31">
        <v>1081</v>
      </c>
      <c r="T31">
        <v>1102</v>
      </c>
    </row>
    <row r="32" spans="1:20" x14ac:dyDescent="0.35">
      <c r="A32" s="7" t="s">
        <v>93</v>
      </c>
      <c r="B32" s="12" t="s">
        <v>94</v>
      </c>
      <c r="C32">
        <v>161385184.73723993</v>
      </c>
      <c r="D32">
        <v>154942506.60055122</v>
      </c>
      <c r="E32">
        <v>577477.47747747798</v>
      </c>
      <c r="F32">
        <v>303603.60360360501</v>
      </c>
      <c r="G32">
        <v>38</v>
      </c>
      <c r="H32">
        <v>27</v>
      </c>
      <c r="K32">
        <v>41</v>
      </c>
      <c r="L32">
        <v>30</v>
      </c>
      <c r="M32">
        <v>16679279.27927928</v>
      </c>
      <c r="N32">
        <v>18821621.621621624</v>
      </c>
      <c r="O32">
        <v>21375531.531531531</v>
      </c>
      <c r="P32">
        <v>22485935.135135137</v>
      </c>
      <c r="Q32">
        <v>15446936.936936935</v>
      </c>
      <c r="R32">
        <v>15191891.891891891</v>
      </c>
      <c r="S32">
        <v>4452</v>
      </c>
      <c r="T32">
        <v>4370</v>
      </c>
    </row>
    <row r="33" spans="1:20" x14ac:dyDescent="0.35">
      <c r="A33" s="7" t="s">
        <v>95</v>
      </c>
      <c r="B33" s="12" t="s">
        <v>96</v>
      </c>
      <c r="C33">
        <v>162897489.30429557</v>
      </c>
      <c r="D33">
        <v>160406203.88964784</v>
      </c>
      <c r="E33">
        <v>78489345.945945948</v>
      </c>
      <c r="F33">
        <v>88195438.738738731</v>
      </c>
      <c r="G33">
        <v>39</v>
      </c>
      <c r="H33">
        <v>31</v>
      </c>
      <c r="K33">
        <v>44</v>
      </c>
      <c r="L33">
        <v>37</v>
      </c>
      <c r="M33">
        <v>23107702.702702701</v>
      </c>
      <c r="N33">
        <v>105193774.77477479</v>
      </c>
      <c r="O33">
        <v>77612738.738738731</v>
      </c>
      <c r="P33">
        <v>79202954.954954967</v>
      </c>
      <c r="Q33">
        <v>25404054.054054052</v>
      </c>
      <c r="R33">
        <v>29550990.990990993</v>
      </c>
      <c r="S33">
        <v>6068</v>
      </c>
      <c r="T33">
        <v>5948</v>
      </c>
    </row>
    <row r="34" spans="1:20" x14ac:dyDescent="0.35">
      <c r="A34" s="7" t="s">
        <v>97</v>
      </c>
      <c r="B34" s="12" t="s">
        <v>98</v>
      </c>
      <c r="C34">
        <v>570915967.68127501</v>
      </c>
      <c r="D34">
        <v>567625520.84854877</v>
      </c>
      <c r="E34">
        <v>2050315.3153153181</v>
      </c>
      <c r="F34">
        <v>4621621.6216216236</v>
      </c>
      <c r="G34">
        <v>262</v>
      </c>
      <c r="H34">
        <v>226</v>
      </c>
      <c r="K34">
        <v>299</v>
      </c>
      <c r="L34">
        <v>265</v>
      </c>
      <c r="M34">
        <v>84022342.342342347</v>
      </c>
      <c r="N34">
        <v>122418468.46846849</v>
      </c>
      <c r="O34">
        <v>147759908.1081081</v>
      </c>
      <c r="P34">
        <v>146033874.77477479</v>
      </c>
      <c r="Q34">
        <v>81403693.693693697</v>
      </c>
      <c r="R34">
        <v>71273693.693693697</v>
      </c>
      <c r="S34">
        <v>22667</v>
      </c>
      <c r="T34">
        <v>21806</v>
      </c>
    </row>
    <row r="35" spans="1:20" x14ac:dyDescent="0.35">
      <c r="A35" s="7" t="s">
        <v>99</v>
      </c>
      <c r="B35" s="12" t="s">
        <v>98</v>
      </c>
      <c r="C35">
        <v>949750983.84467518</v>
      </c>
      <c r="D35">
        <v>921546169.11537027</v>
      </c>
      <c r="E35">
        <v>115495558.55855855</v>
      </c>
      <c r="F35">
        <v>48569448.648648657</v>
      </c>
      <c r="G35">
        <v>263</v>
      </c>
      <c r="H35">
        <v>274</v>
      </c>
      <c r="K35">
        <v>322</v>
      </c>
      <c r="L35">
        <v>440</v>
      </c>
      <c r="M35">
        <v>74669279.279279277</v>
      </c>
      <c r="N35">
        <v>64677702.702702701</v>
      </c>
      <c r="O35">
        <v>180590599.0990991</v>
      </c>
      <c r="P35">
        <v>177114529.27927926</v>
      </c>
      <c r="Q35">
        <v>61506891.891891889</v>
      </c>
      <c r="R35">
        <v>48765225.225225225</v>
      </c>
      <c r="S35">
        <v>27758</v>
      </c>
      <c r="T35">
        <v>28930</v>
      </c>
    </row>
    <row r="36" spans="1:20" x14ac:dyDescent="0.35">
      <c r="A36" s="7" t="s">
        <v>100</v>
      </c>
      <c r="B36" s="12" t="s">
        <v>98</v>
      </c>
      <c r="C36">
        <v>910074367.76677775</v>
      </c>
      <c r="D36">
        <v>1081668756.4939806</v>
      </c>
      <c r="E36">
        <v>5486936.9369369391</v>
      </c>
      <c r="F36">
        <v>9409009.0090090204</v>
      </c>
      <c r="G36">
        <v>197</v>
      </c>
      <c r="H36">
        <v>224</v>
      </c>
      <c r="I36">
        <v>6</v>
      </c>
      <c r="K36">
        <v>323</v>
      </c>
      <c r="L36">
        <v>543</v>
      </c>
      <c r="M36">
        <v>538324729.72972977</v>
      </c>
      <c r="N36">
        <v>266555630.63063061</v>
      </c>
      <c r="O36">
        <v>179452899.0990991</v>
      </c>
      <c r="P36">
        <v>413134722.97297299</v>
      </c>
      <c r="Q36">
        <v>534219007.2072072</v>
      </c>
      <c r="R36">
        <v>78893738.738738731</v>
      </c>
      <c r="S36">
        <v>33006</v>
      </c>
      <c r="T36">
        <v>34302</v>
      </c>
    </row>
    <row r="37" spans="1:20" x14ac:dyDescent="0.35">
      <c r="A37" s="7" t="s">
        <v>101</v>
      </c>
      <c r="B37" s="12" t="s">
        <v>98</v>
      </c>
      <c r="C37">
        <v>543705052.11421549</v>
      </c>
      <c r="D37">
        <v>529579589.6930452</v>
      </c>
      <c r="E37">
        <v>906081.081081082</v>
      </c>
      <c r="F37">
        <v>2723423.4234234262</v>
      </c>
      <c r="G37">
        <v>178</v>
      </c>
      <c r="H37">
        <v>151</v>
      </c>
      <c r="I37">
        <v>1</v>
      </c>
      <c r="K37">
        <v>219</v>
      </c>
      <c r="L37">
        <v>193</v>
      </c>
      <c r="M37">
        <v>34023423.423423417</v>
      </c>
      <c r="N37">
        <v>45823423.423423424</v>
      </c>
      <c r="O37">
        <v>117946043.24324325</v>
      </c>
      <c r="P37">
        <v>117093621.62162161</v>
      </c>
      <c r="Q37">
        <v>36322252.252252251</v>
      </c>
      <c r="R37">
        <v>38465495.495495498</v>
      </c>
      <c r="S37">
        <v>21394</v>
      </c>
      <c r="T37">
        <v>21128</v>
      </c>
    </row>
    <row r="38" spans="1:20" x14ac:dyDescent="0.35">
      <c r="A38" s="7" t="s">
        <v>102</v>
      </c>
      <c r="B38" s="12" t="s">
        <v>98</v>
      </c>
      <c r="C38">
        <v>599600323.02171767</v>
      </c>
      <c r="D38">
        <v>598455377.45075631</v>
      </c>
      <c r="E38">
        <v>4105000.0000000028</v>
      </c>
      <c r="F38">
        <v>5372072.0720720729</v>
      </c>
      <c r="G38">
        <v>111</v>
      </c>
      <c r="H38">
        <v>135</v>
      </c>
      <c r="I38">
        <v>1</v>
      </c>
      <c r="K38">
        <v>126</v>
      </c>
      <c r="L38">
        <v>195</v>
      </c>
      <c r="M38">
        <v>84310720.720720723</v>
      </c>
      <c r="N38">
        <v>87129729.729729727</v>
      </c>
      <c r="O38">
        <v>168621241.44144145</v>
      </c>
      <c r="P38">
        <v>172524632.88288289</v>
      </c>
      <c r="Q38">
        <v>73090360.360360354</v>
      </c>
      <c r="R38">
        <v>92060360.360360369</v>
      </c>
      <c r="S38">
        <v>24957</v>
      </c>
      <c r="T38">
        <v>24838</v>
      </c>
    </row>
    <row r="39" spans="1:20" x14ac:dyDescent="0.35">
      <c r="A39" s="7" t="s">
        <v>103</v>
      </c>
      <c r="B39" s="12" t="s">
        <v>98</v>
      </c>
      <c r="C39">
        <v>1547778856.425602</v>
      </c>
      <c r="D39">
        <v>1538492250.4278598</v>
      </c>
      <c r="E39">
        <v>671249547.74774766</v>
      </c>
      <c r="F39">
        <v>497444669.36936939</v>
      </c>
      <c r="G39">
        <v>455</v>
      </c>
      <c r="H39">
        <v>412</v>
      </c>
      <c r="I39">
        <v>14</v>
      </c>
      <c r="K39">
        <v>566</v>
      </c>
      <c r="L39">
        <v>617</v>
      </c>
      <c r="M39">
        <v>154797207.2072072</v>
      </c>
      <c r="N39">
        <v>158224627.92792794</v>
      </c>
      <c r="O39">
        <v>314667349.54954958</v>
      </c>
      <c r="P39">
        <v>329565502.7027027</v>
      </c>
      <c r="Q39">
        <v>146925809.009009</v>
      </c>
      <c r="R39">
        <v>144417477.47747746</v>
      </c>
      <c r="S39">
        <v>55524</v>
      </c>
      <c r="T39">
        <v>53882</v>
      </c>
    </row>
    <row r="40" spans="1:20" x14ac:dyDescent="0.35">
      <c r="A40" s="7" t="s">
        <v>104</v>
      </c>
      <c r="B40" s="12" t="s">
        <v>105</v>
      </c>
      <c r="C40">
        <v>117944824.36655989</v>
      </c>
      <c r="D40">
        <v>106018173.55301793</v>
      </c>
      <c r="E40">
        <v>370270.27027027</v>
      </c>
      <c r="F40">
        <v>809909.90990991006</v>
      </c>
      <c r="G40">
        <v>30</v>
      </c>
      <c r="H40">
        <v>18</v>
      </c>
      <c r="K40">
        <v>32</v>
      </c>
      <c r="L40">
        <v>19</v>
      </c>
      <c r="M40">
        <v>1212612.6126126121</v>
      </c>
      <c r="N40">
        <v>1260360.36036036</v>
      </c>
      <c r="O40">
        <v>22146261.261261258</v>
      </c>
      <c r="P40">
        <v>22254711.711711712</v>
      </c>
      <c r="Q40">
        <v>1186846.8468468471</v>
      </c>
      <c r="R40">
        <v>604054.05405405501</v>
      </c>
      <c r="S40">
        <v>2550</v>
      </c>
      <c r="T40">
        <v>2400</v>
      </c>
    </row>
    <row r="41" spans="1:20" x14ac:dyDescent="0.35">
      <c r="A41" s="7" t="s">
        <v>106</v>
      </c>
      <c r="B41" s="12" t="s">
        <v>54</v>
      </c>
      <c r="C41">
        <v>37629247.838250183</v>
      </c>
      <c r="D41">
        <v>35252373.337065041</v>
      </c>
      <c r="E41">
        <v>139639.63963963999</v>
      </c>
      <c r="F41">
        <v>21621.621621621998</v>
      </c>
      <c r="G41">
        <v>12</v>
      </c>
      <c r="H41">
        <v>24</v>
      </c>
      <c r="K41">
        <v>27</v>
      </c>
      <c r="L41">
        <v>28</v>
      </c>
      <c r="M41">
        <v>1378828.8288288291</v>
      </c>
      <c r="N41">
        <v>957117.11711711704</v>
      </c>
      <c r="O41">
        <v>9250765.7657657638</v>
      </c>
      <c r="P41">
        <v>9337117.1171171181</v>
      </c>
      <c r="Q41">
        <v>1878108.1081081079</v>
      </c>
      <c r="R41">
        <v>1216306.306306306</v>
      </c>
      <c r="S41">
        <v>1368</v>
      </c>
      <c r="T41">
        <v>1379</v>
      </c>
    </row>
    <row r="42" spans="1:20" x14ac:dyDescent="0.35">
      <c r="A42" s="7" t="s">
        <v>107</v>
      </c>
      <c r="B42" s="12" t="s">
        <v>108</v>
      </c>
      <c r="C42">
        <v>310418569.50304347</v>
      </c>
      <c r="D42">
        <v>294962516.95173931</v>
      </c>
      <c r="E42">
        <v>1286666.666666667</v>
      </c>
      <c r="F42">
        <v>3551351.3513513552</v>
      </c>
      <c r="G42">
        <v>80</v>
      </c>
      <c r="H42">
        <v>82</v>
      </c>
      <c r="K42">
        <v>104</v>
      </c>
      <c r="L42">
        <v>99</v>
      </c>
      <c r="M42">
        <v>39699729.729729727</v>
      </c>
      <c r="N42">
        <v>45773153.153153151</v>
      </c>
      <c r="O42">
        <v>64196437.837837838</v>
      </c>
      <c r="P42">
        <v>66599279.279279277</v>
      </c>
      <c r="Q42">
        <v>33701351.351351351</v>
      </c>
      <c r="R42">
        <v>37582612.612612613</v>
      </c>
      <c r="S42">
        <v>10327</v>
      </c>
      <c r="T42">
        <v>9907</v>
      </c>
    </row>
    <row r="43" spans="1:20" x14ac:dyDescent="0.35">
      <c r="A43" s="7" t="s">
        <v>109</v>
      </c>
      <c r="B43" s="12" t="s">
        <v>108</v>
      </c>
      <c r="C43">
        <v>421801933.14981019</v>
      </c>
      <c r="D43">
        <v>420260511.456357</v>
      </c>
      <c r="E43">
        <v>4358108.1081081107</v>
      </c>
      <c r="F43">
        <v>3792109.9099099152</v>
      </c>
      <c r="G43">
        <v>97</v>
      </c>
      <c r="H43">
        <v>142</v>
      </c>
      <c r="K43">
        <v>121</v>
      </c>
      <c r="L43">
        <v>237</v>
      </c>
      <c r="M43">
        <v>260563513.51351351</v>
      </c>
      <c r="N43">
        <v>29032434.234234232</v>
      </c>
      <c r="O43">
        <v>106783490.990991</v>
      </c>
      <c r="P43">
        <v>123585981.98198198</v>
      </c>
      <c r="Q43">
        <v>209625585.58558556</v>
      </c>
      <c r="R43">
        <v>113271621.62162161</v>
      </c>
      <c r="S43">
        <v>14059</v>
      </c>
      <c r="T43">
        <v>14771</v>
      </c>
    </row>
    <row r="44" spans="1:20" x14ac:dyDescent="0.35">
      <c r="A44" s="7" t="s">
        <v>110</v>
      </c>
      <c r="B44" s="12" t="s">
        <v>111</v>
      </c>
      <c r="C44">
        <v>509817206.36718696</v>
      </c>
      <c r="D44">
        <v>477920484.8489241</v>
      </c>
      <c r="E44">
        <v>4760000.0000000019</v>
      </c>
      <c r="F44">
        <v>6745945.9459459484</v>
      </c>
      <c r="G44">
        <v>78</v>
      </c>
      <c r="H44">
        <v>135</v>
      </c>
      <c r="I44">
        <v>1</v>
      </c>
      <c r="K44">
        <v>92</v>
      </c>
      <c r="L44">
        <v>316</v>
      </c>
      <c r="M44">
        <v>40668198.198198192</v>
      </c>
      <c r="N44">
        <v>50057501.801801801</v>
      </c>
      <c r="O44">
        <v>160636504.5045045</v>
      </c>
      <c r="P44">
        <v>167069324.32432431</v>
      </c>
      <c r="Q44">
        <v>39041891.891891897</v>
      </c>
      <c r="R44">
        <v>44722702.702702694</v>
      </c>
      <c r="S44">
        <v>20120</v>
      </c>
      <c r="T44">
        <v>18888</v>
      </c>
    </row>
    <row r="45" spans="1:20" x14ac:dyDescent="0.35">
      <c r="A45" s="7" t="s">
        <v>112</v>
      </c>
      <c r="B45" s="12" t="s">
        <v>111</v>
      </c>
      <c r="C45">
        <v>631310243.39750767</v>
      </c>
      <c r="D45">
        <v>624634464.76604617</v>
      </c>
      <c r="E45">
        <v>10920180.180180181</v>
      </c>
      <c r="F45">
        <v>8740540.540540548</v>
      </c>
      <c r="G45">
        <v>123</v>
      </c>
      <c r="H45">
        <v>240</v>
      </c>
      <c r="I45">
        <v>1</v>
      </c>
      <c r="K45">
        <v>144</v>
      </c>
      <c r="L45">
        <v>387</v>
      </c>
      <c r="M45">
        <v>48170090.090090081</v>
      </c>
      <c r="N45">
        <v>53272895.495495498</v>
      </c>
      <c r="O45">
        <v>212808486.48648649</v>
      </c>
      <c r="P45">
        <v>230242905.4054054</v>
      </c>
      <c r="Q45">
        <v>43685855.855855852</v>
      </c>
      <c r="R45">
        <v>53321981.981981978</v>
      </c>
      <c r="S45">
        <v>27465</v>
      </c>
      <c r="T45">
        <v>26955</v>
      </c>
    </row>
    <row r="46" spans="1:20" x14ac:dyDescent="0.35">
      <c r="A46" s="7" t="s">
        <v>113</v>
      </c>
      <c r="B46" s="12" t="s">
        <v>111</v>
      </c>
      <c r="C46">
        <v>430447702.45188701</v>
      </c>
      <c r="D46">
        <v>854266050.35421193</v>
      </c>
      <c r="E46">
        <v>12224774.77477478</v>
      </c>
      <c r="F46">
        <v>4260135.1351351431</v>
      </c>
      <c r="G46">
        <v>99</v>
      </c>
      <c r="H46">
        <v>170</v>
      </c>
      <c r="I46">
        <v>3</v>
      </c>
      <c r="K46">
        <v>120</v>
      </c>
      <c r="L46">
        <v>401</v>
      </c>
      <c r="M46">
        <v>487790180.18018013</v>
      </c>
      <c r="N46">
        <v>479283618.91891891</v>
      </c>
      <c r="O46">
        <v>129237630.63063063</v>
      </c>
      <c r="P46">
        <v>566925917.11711717</v>
      </c>
      <c r="Q46">
        <v>34502162.162162155</v>
      </c>
      <c r="R46">
        <v>28451531.531531531</v>
      </c>
      <c r="S46">
        <v>13533</v>
      </c>
      <c r="T46">
        <v>14882</v>
      </c>
    </row>
    <row r="47" spans="1:20" x14ac:dyDescent="0.35">
      <c r="A47" s="7" t="s">
        <v>114</v>
      </c>
      <c r="B47" s="12" t="s">
        <v>111</v>
      </c>
      <c r="C47">
        <v>499097032.83521718</v>
      </c>
      <c r="D47">
        <v>502465503.71522242</v>
      </c>
      <c r="E47">
        <v>28540540.540540542</v>
      </c>
      <c r="F47">
        <v>87207792.792792797</v>
      </c>
      <c r="G47">
        <v>382</v>
      </c>
      <c r="H47">
        <v>200</v>
      </c>
      <c r="I47">
        <v>14</v>
      </c>
      <c r="K47">
        <v>876</v>
      </c>
      <c r="L47">
        <v>558</v>
      </c>
      <c r="M47">
        <v>43695720.720720723</v>
      </c>
      <c r="N47">
        <v>48872432.432432443</v>
      </c>
      <c r="O47">
        <v>144164315.31531534</v>
      </c>
      <c r="P47">
        <v>145453297.2972973</v>
      </c>
      <c r="Q47">
        <v>37650270.270270273</v>
      </c>
      <c r="R47">
        <v>42481351.351351351</v>
      </c>
      <c r="S47">
        <v>20039</v>
      </c>
      <c r="T47">
        <v>19846</v>
      </c>
    </row>
    <row r="48" spans="1:20" x14ac:dyDescent="0.35">
      <c r="A48" s="7" t="s">
        <v>115</v>
      </c>
      <c r="B48" s="12" t="s">
        <v>111</v>
      </c>
      <c r="C48">
        <v>663259871.58030987</v>
      </c>
      <c r="D48">
        <v>618184972.46368539</v>
      </c>
      <c r="E48">
        <v>909960150.45045042</v>
      </c>
      <c r="F48">
        <v>1228518281.0810812</v>
      </c>
      <c r="G48">
        <v>194</v>
      </c>
      <c r="H48">
        <v>280</v>
      </c>
      <c r="I48">
        <v>1</v>
      </c>
      <c r="K48">
        <v>232</v>
      </c>
      <c r="L48">
        <v>483</v>
      </c>
      <c r="M48">
        <v>562331981.98198199</v>
      </c>
      <c r="N48">
        <v>640929288.28828824</v>
      </c>
      <c r="O48">
        <v>163375765.76576576</v>
      </c>
      <c r="P48">
        <v>194222007.65765765</v>
      </c>
      <c r="Q48">
        <v>104501531.53153154</v>
      </c>
      <c r="R48">
        <v>108114771.17117117</v>
      </c>
      <c r="S48">
        <v>25033</v>
      </c>
      <c r="T48">
        <v>22898</v>
      </c>
    </row>
    <row r="49" spans="1:20" x14ac:dyDescent="0.35">
      <c r="A49" s="7" t="s">
        <v>116</v>
      </c>
      <c r="B49" s="12" t="s">
        <v>54</v>
      </c>
      <c r="C49">
        <v>34006890.405750364</v>
      </c>
      <c r="D49">
        <v>33030132.063431837</v>
      </c>
      <c r="E49">
        <v>786711.71171170997</v>
      </c>
      <c r="F49">
        <v>831306.30630630604</v>
      </c>
      <c r="G49">
        <v>3</v>
      </c>
      <c r="H49">
        <v>8</v>
      </c>
      <c r="K49">
        <v>3</v>
      </c>
      <c r="L49">
        <v>9</v>
      </c>
      <c r="M49">
        <v>3612612.6126126121</v>
      </c>
      <c r="N49">
        <v>3128828.8288288279</v>
      </c>
      <c r="O49">
        <v>8019495.4954954954</v>
      </c>
      <c r="P49">
        <v>8098666.666666666</v>
      </c>
      <c r="Q49">
        <v>3116306.3063063081</v>
      </c>
      <c r="R49">
        <v>2784954.9549549539</v>
      </c>
      <c r="S49">
        <v>1001</v>
      </c>
      <c r="T49">
        <v>1048</v>
      </c>
    </row>
    <row r="50" spans="1:20" x14ac:dyDescent="0.35">
      <c r="A50" s="7" t="s">
        <v>118</v>
      </c>
      <c r="B50" s="12" t="s">
        <v>78</v>
      </c>
      <c r="C50">
        <v>299027143.97219843</v>
      </c>
      <c r="D50">
        <v>285029618.12486434</v>
      </c>
      <c r="E50">
        <v>264260732.43243244</v>
      </c>
      <c r="F50">
        <v>266495830.63063061</v>
      </c>
      <c r="G50">
        <v>87</v>
      </c>
      <c r="H50">
        <v>97</v>
      </c>
      <c r="I50">
        <v>1</v>
      </c>
      <c r="K50">
        <v>121</v>
      </c>
      <c r="L50">
        <v>136</v>
      </c>
      <c r="M50">
        <v>51226756.756756753</v>
      </c>
      <c r="N50">
        <v>70046396.396396399</v>
      </c>
      <c r="O50">
        <v>111983448.64864863</v>
      </c>
      <c r="P50">
        <v>112787344.5945946</v>
      </c>
      <c r="Q50">
        <v>52142295.495495498</v>
      </c>
      <c r="R50">
        <v>64997117.117117122</v>
      </c>
      <c r="S50">
        <v>11603</v>
      </c>
      <c r="T50">
        <v>11176</v>
      </c>
    </row>
    <row r="51" spans="1:20" x14ac:dyDescent="0.35">
      <c r="A51" s="7" t="s">
        <v>119</v>
      </c>
      <c r="B51" s="12" t="s">
        <v>50</v>
      </c>
      <c r="C51">
        <v>93830516.942137226</v>
      </c>
      <c r="D51">
        <v>89822033.84205161</v>
      </c>
      <c r="E51">
        <v>70702972.972972974</v>
      </c>
      <c r="F51">
        <v>112860630.63063063</v>
      </c>
      <c r="G51">
        <v>48</v>
      </c>
      <c r="H51">
        <v>35</v>
      </c>
      <c r="K51">
        <v>48</v>
      </c>
      <c r="L51">
        <v>36</v>
      </c>
      <c r="M51">
        <v>81150495.495495483</v>
      </c>
      <c r="N51">
        <v>39467567.567567565</v>
      </c>
      <c r="O51">
        <v>32243468.468468469</v>
      </c>
      <c r="P51">
        <v>32717324.324324325</v>
      </c>
      <c r="Q51">
        <v>66708288.288288288</v>
      </c>
      <c r="R51">
        <v>36048018.018018015</v>
      </c>
      <c r="S51">
        <v>2417</v>
      </c>
      <c r="T51">
        <v>2504</v>
      </c>
    </row>
    <row r="52" spans="1:20" x14ac:dyDescent="0.35">
      <c r="A52" s="7" t="s">
        <v>120</v>
      </c>
      <c r="B52" s="12" t="s">
        <v>121</v>
      </c>
      <c r="C52">
        <v>335788655.60516471</v>
      </c>
      <c r="D52">
        <v>306369683.73010159</v>
      </c>
      <c r="E52">
        <v>38260623.423423424</v>
      </c>
      <c r="F52">
        <v>39220771.171171173</v>
      </c>
      <c r="G52">
        <v>135</v>
      </c>
      <c r="H52">
        <v>107</v>
      </c>
      <c r="K52">
        <v>152</v>
      </c>
      <c r="L52">
        <v>129</v>
      </c>
      <c r="M52">
        <v>16010170.270270268</v>
      </c>
      <c r="N52">
        <v>25237910.810810812</v>
      </c>
      <c r="O52">
        <v>22888774.774774775</v>
      </c>
      <c r="P52">
        <v>23890567.567567568</v>
      </c>
      <c r="Q52">
        <v>12246306.306306304</v>
      </c>
      <c r="R52">
        <v>8793693.6936936937</v>
      </c>
      <c r="S52">
        <v>8371</v>
      </c>
      <c r="T52">
        <v>8711</v>
      </c>
    </row>
    <row r="53" spans="1:20" x14ac:dyDescent="0.35">
      <c r="A53" s="7" t="s">
        <v>122</v>
      </c>
      <c r="B53" s="12" t="s">
        <v>123</v>
      </c>
      <c r="C53">
        <v>150473089.99780017</v>
      </c>
      <c r="D53">
        <v>157345686.60485223</v>
      </c>
      <c r="E53">
        <v>346396.39639639598</v>
      </c>
      <c r="F53">
        <v>764639.63963963999</v>
      </c>
      <c r="G53">
        <v>17</v>
      </c>
      <c r="H53">
        <v>22</v>
      </c>
      <c r="K53">
        <v>20</v>
      </c>
      <c r="L53">
        <v>25</v>
      </c>
      <c r="M53">
        <v>35841351.351351351</v>
      </c>
      <c r="N53">
        <v>31251351.351351351</v>
      </c>
      <c r="O53">
        <v>66769863.063063063</v>
      </c>
      <c r="P53">
        <v>69752648.648648649</v>
      </c>
      <c r="Q53">
        <v>32072162.162162159</v>
      </c>
      <c r="R53">
        <v>29627567.567567568</v>
      </c>
      <c r="S53">
        <v>4451</v>
      </c>
      <c r="T53">
        <v>4497</v>
      </c>
    </row>
    <row r="54" spans="1:20" x14ac:dyDescent="0.35">
      <c r="A54" s="7" t="s">
        <v>124</v>
      </c>
      <c r="B54" s="12" t="s">
        <v>125</v>
      </c>
      <c r="C54">
        <v>223265528.7417303</v>
      </c>
      <c r="D54">
        <v>207779821.70810944</v>
      </c>
      <c r="E54">
        <v>40116306.306306303</v>
      </c>
      <c r="F54">
        <v>54024774.774774775</v>
      </c>
      <c r="G54">
        <v>34</v>
      </c>
      <c r="H54">
        <v>44</v>
      </c>
      <c r="K54">
        <v>36</v>
      </c>
      <c r="L54">
        <v>51</v>
      </c>
      <c r="M54">
        <v>63832702.702702701</v>
      </c>
      <c r="N54">
        <v>74219774.774774775</v>
      </c>
      <c r="O54">
        <v>65097108.108108103</v>
      </c>
      <c r="P54">
        <v>65183007.20720721</v>
      </c>
      <c r="Q54">
        <v>53856846.846846849</v>
      </c>
      <c r="R54">
        <v>82869592.792792797</v>
      </c>
      <c r="S54">
        <v>6384</v>
      </c>
      <c r="T54">
        <v>6384</v>
      </c>
    </row>
    <row r="55" spans="1:20" x14ac:dyDescent="0.35">
      <c r="A55" s="7" t="s">
        <v>126</v>
      </c>
      <c r="B55" s="12" t="s">
        <v>78</v>
      </c>
      <c r="C55">
        <v>140938540.03575361</v>
      </c>
      <c r="D55">
        <v>134581043.30911556</v>
      </c>
      <c r="E55">
        <v>2008738.7387387401</v>
      </c>
      <c r="F55">
        <v>2778378.3783783801</v>
      </c>
      <c r="G55">
        <v>28</v>
      </c>
      <c r="H55">
        <v>35</v>
      </c>
      <c r="K55">
        <v>31</v>
      </c>
      <c r="L55">
        <v>43</v>
      </c>
      <c r="M55">
        <v>28107837.837837838</v>
      </c>
      <c r="N55">
        <v>25593693.693693697</v>
      </c>
      <c r="O55">
        <v>55123252.252252251</v>
      </c>
      <c r="P55">
        <v>54092351.351351351</v>
      </c>
      <c r="Q55">
        <v>28985495.495495494</v>
      </c>
      <c r="R55">
        <v>22049279.27927928</v>
      </c>
      <c r="S55">
        <v>4894</v>
      </c>
      <c r="T55">
        <v>5096</v>
      </c>
    </row>
    <row r="56" spans="1:20" x14ac:dyDescent="0.35">
      <c r="A56" s="7" t="s">
        <v>127</v>
      </c>
      <c r="B56" s="12" t="s">
        <v>78</v>
      </c>
      <c r="C56">
        <v>25357966.560682256</v>
      </c>
      <c r="D56">
        <v>22532430.838607486</v>
      </c>
      <c r="E56">
        <v>12162.162162163</v>
      </c>
      <c r="F56">
        <v>449549.54954955098</v>
      </c>
      <c r="G56">
        <v>11</v>
      </c>
      <c r="H56">
        <v>7</v>
      </c>
      <c r="I56">
        <v>1</v>
      </c>
      <c r="K56">
        <v>11</v>
      </c>
      <c r="L56">
        <v>9</v>
      </c>
      <c r="M56">
        <v>5471621.6216216218</v>
      </c>
      <c r="N56">
        <v>8062162.1621621633</v>
      </c>
      <c r="O56">
        <v>13163468.46846847</v>
      </c>
      <c r="P56">
        <v>12950675.675675675</v>
      </c>
      <c r="Q56">
        <v>5885045.0450450452</v>
      </c>
      <c r="R56">
        <v>8780270.2702702712</v>
      </c>
      <c r="S56">
        <v>1181</v>
      </c>
      <c r="T56">
        <v>1310</v>
      </c>
    </row>
    <row r="57" spans="1:20" x14ac:dyDescent="0.35">
      <c r="A57" s="7" t="s">
        <v>128</v>
      </c>
      <c r="B57" s="12" t="s">
        <v>78</v>
      </c>
      <c r="C57">
        <v>136898328.95432624</v>
      </c>
      <c r="D57">
        <v>130999570.92930917</v>
      </c>
      <c r="E57">
        <v>1069594.594594595</v>
      </c>
      <c r="F57">
        <v>1095495.4954954991</v>
      </c>
      <c r="G57">
        <v>53</v>
      </c>
      <c r="H57">
        <v>68</v>
      </c>
      <c r="I57">
        <v>1</v>
      </c>
      <c r="K57">
        <v>59</v>
      </c>
      <c r="L57">
        <v>132</v>
      </c>
      <c r="M57">
        <v>18387387.387387384</v>
      </c>
      <c r="N57">
        <v>15987387.387387387</v>
      </c>
      <c r="O57">
        <v>50671540.540540539</v>
      </c>
      <c r="P57">
        <v>52775954.954954952</v>
      </c>
      <c r="Q57">
        <v>15894954.954954956</v>
      </c>
      <c r="R57">
        <v>14659369.369369367</v>
      </c>
      <c r="S57">
        <v>5798</v>
      </c>
      <c r="T57">
        <v>5796</v>
      </c>
    </row>
    <row r="58" spans="1:20" x14ac:dyDescent="0.35">
      <c r="A58" s="7" t="s">
        <v>667</v>
      </c>
      <c r="B58" s="12" t="s">
        <v>94</v>
      </c>
      <c r="E58">
        <v>50743243.24324324</v>
      </c>
      <c r="F58">
        <v>35020270.270270273</v>
      </c>
      <c r="M58">
        <v>4536936.9369369373</v>
      </c>
      <c r="N58">
        <v>4597297.297297297</v>
      </c>
    </row>
    <row r="59" spans="1:20" x14ac:dyDescent="0.35">
      <c r="A59" s="7" t="s">
        <v>129</v>
      </c>
      <c r="B59" s="12" t="s">
        <v>85</v>
      </c>
      <c r="C59">
        <v>44021732.934777342</v>
      </c>
      <c r="D59">
        <v>37233061.214188859</v>
      </c>
      <c r="E59">
        <v>37837.837837838</v>
      </c>
      <c r="F59">
        <v>123423.423423424</v>
      </c>
      <c r="G59">
        <v>16</v>
      </c>
      <c r="H59">
        <v>9</v>
      </c>
      <c r="K59">
        <v>16</v>
      </c>
      <c r="L59">
        <v>11</v>
      </c>
      <c r="M59">
        <v>19245045.045045044</v>
      </c>
      <c r="N59">
        <v>32555675.675675675</v>
      </c>
      <c r="O59">
        <v>19432387.387387387</v>
      </c>
      <c r="P59">
        <v>18347459.459459461</v>
      </c>
      <c r="Q59">
        <v>13991531.53153153</v>
      </c>
      <c r="R59">
        <v>22594594.594594598</v>
      </c>
      <c r="S59">
        <v>1265</v>
      </c>
      <c r="T59">
        <v>1374</v>
      </c>
    </row>
    <row r="60" spans="1:20" x14ac:dyDescent="0.35">
      <c r="A60" s="7" t="s">
        <v>130</v>
      </c>
      <c r="B60" s="12" t="s">
        <v>89</v>
      </c>
      <c r="C60">
        <v>367286118.85140961</v>
      </c>
      <c r="D60">
        <v>355806547.40426445</v>
      </c>
      <c r="E60">
        <v>1835360.3603603621</v>
      </c>
      <c r="F60">
        <v>2532882.8828828931</v>
      </c>
      <c r="G60">
        <v>49</v>
      </c>
      <c r="H60">
        <v>50</v>
      </c>
      <c r="K60">
        <v>50</v>
      </c>
      <c r="L60">
        <v>77</v>
      </c>
      <c r="M60">
        <v>19938738.738738734</v>
      </c>
      <c r="N60">
        <v>23284414.414414421</v>
      </c>
      <c r="O60">
        <v>107912106.3063063</v>
      </c>
      <c r="P60">
        <v>113303423.42342342</v>
      </c>
      <c r="Q60">
        <v>19641214.414414413</v>
      </c>
      <c r="R60">
        <v>22703873.873873878</v>
      </c>
      <c r="S60">
        <v>10975</v>
      </c>
      <c r="T60">
        <v>10435</v>
      </c>
    </row>
    <row r="61" spans="1:20" x14ac:dyDescent="0.35">
      <c r="A61" s="7" t="s">
        <v>131</v>
      </c>
      <c r="B61" s="12" t="s">
        <v>132</v>
      </c>
      <c r="C61">
        <v>208875323.40854669</v>
      </c>
      <c r="D61">
        <v>187607454.30587861</v>
      </c>
      <c r="E61">
        <v>176576.57657657799</v>
      </c>
      <c r="F61">
        <v>922522.522522524</v>
      </c>
      <c r="G61">
        <v>82</v>
      </c>
      <c r="H61">
        <v>104</v>
      </c>
      <c r="K61">
        <v>90</v>
      </c>
      <c r="L61">
        <v>117</v>
      </c>
      <c r="M61">
        <v>15773873.873873875</v>
      </c>
      <c r="N61">
        <v>14228828.828828828</v>
      </c>
      <c r="O61">
        <v>65337468.468468472</v>
      </c>
      <c r="P61">
        <v>59661412.162162162</v>
      </c>
      <c r="Q61">
        <v>13810360.360360363</v>
      </c>
      <c r="R61">
        <v>15240810.810810812</v>
      </c>
      <c r="S61">
        <v>7142</v>
      </c>
      <c r="T61">
        <v>7128</v>
      </c>
    </row>
    <row r="62" spans="1:20" x14ac:dyDescent="0.35">
      <c r="A62" s="7" t="s">
        <v>133</v>
      </c>
      <c r="B62" s="12" t="s">
        <v>134</v>
      </c>
      <c r="C62">
        <v>33785153.021754801</v>
      </c>
      <c r="D62">
        <v>15793652.743584923</v>
      </c>
      <c r="G62">
        <v>3</v>
      </c>
      <c r="H62">
        <v>1</v>
      </c>
      <c r="K62">
        <v>5</v>
      </c>
      <c r="L62">
        <v>1</v>
      </c>
      <c r="O62">
        <v>4230486.4864864862</v>
      </c>
      <c r="P62">
        <v>3471529.7297297302</v>
      </c>
      <c r="S62">
        <v>2225</v>
      </c>
      <c r="T62">
        <v>2196</v>
      </c>
    </row>
    <row r="63" spans="1:20" x14ac:dyDescent="0.35">
      <c r="A63" s="7" t="s">
        <v>135</v>
      </c>
      <c r="B63" s="12" t="s">
        <v>136</v>
      </c>
      <c r="C63">
        <v>175806075.42574862</v>
      </c>
      <c r="D63">
        <v>162047128.14459842</v>
      </c>
      <c r="E63">
        <v>43243.243243243996</v>
      </c>
      <c r="F63">
        <v>800000.00000000303</v>
      </c>
      <c r="G63">
        <v>60</v>
      </c>
      <c r="H63">
        <v>49</v>
      </c>
      <c r="K63">
        <v>67</v>
      </c>
      <c r="L63">
        <v>56</v>
      </c>
      <c r="M63">
        <v>14675675.675675675</v>
      </c>
      <c r="N63">
        <v>11655855.855855856</v>
      </c>
      <c r="O63">
        <v>29921522.522522524</v>
      </c>
      <c r="P63">
        <v>26041243.243243244</v>
      </c>
      <c r="Q63">
        <v>15930990.990990991</v>
      </c>
      <c r="R63">
        <v>11804954.954954956</v>
      </c>
      <c r="S63">
        <v>3604</v>
      </c>
      <c r="T63">
        <v>3517</v>
      </c>
    </row>
    <row r="64" spans="1:20" x14ac:dyDescent="0.35">
      <c r="A64" s="7" t="s">
        <v>137</v>
      </c>
      <c r="B64" s="12" t="s">
        <v>89</v>
      </c>
      <c r="C64">
        <v>186372264.56770265</v>
      </c>
      <c r="D64">
        <v>172525887.35295421</v>
      </c>
      <c r="E64">
        <v>322747.747747752</v>
      </c>
      <c r="F64">
        <v>1504279.279279286</v>
      </c>
      <c r="G64">
        <v>20</v>
      </c>
      <c r="H64">
        <v>36</v>
      </c>
      <c r="I64">
        <v>3</v>
      </c>
      <c r="K64">
        <v>81</v>
      </c>
      <c r="L64">
        <v>83</v>
      </c>
      <c r="M64">
        <v>23416306.306306303</v>
      </c>
      <c r="N64">
        <v>21296396.396396391</v>
      </c>
      <c r="O64">
        <v>63603603.603603601</v>
      </c>
      <c r="P64">
        <v>60731178.378378376</v>
      </c>
      <c r="Q64">
        <v>23359549.54954955</v>
      </c>
      <c r="R64">
        <v>20502612.612612616</v>
      </c>
      <c r="S64">
        <v>4838</v>
      </c>
      <c r="T64">
        <v>4889</v>
      </c>
    </row>
    <row r="65" spans="1:20" x14ac:dyDescent="0.35">
      <c r="A65" s="7" t="s">
        <v>138</v>
      </c>
      <c r="B65" s="12" t="s">
        <v>78</v>
      </c>
      <c r="C65">
        <v>131624317.66792186</v>
      </c>
      <c r="D65">
        <v>127246739.41826659</v>
      </c>
      <c r="E65">
        <v>1804234.234234235</v>
      </c>
      <c r="F65">
        <v>3518918.9189189211</v>
      </c>
      <c r="G65">
        <v>41</v>
      </c>
      <c r="H65">
        <v>55</v>
      </c>
      <c r="I65">
        <v>2</v>
      </c>
      <c r="K65">
        <v>47</v>
      </c>
      <c r="L65">
        <v>68</v>
      </c>
      <c r="M65">
        <v>17610540.540540539</v>
      </c>
      <c r="N65">
        <v>15699099.099099098</v>
      </c>
      <c r="O65">
        <v>53569504.504504502</v>
      </c>
      <c r="P65">
        <v>55303759.009009011</v>
      </c>
      <c r="Q65">
        <v>16149099.099099098</v>
      </c>
      <c r="R65">
        <v>14519639.639639642</v>
      </c>
      <c r="S65">
        <v>5203</v>
      </c>
      <c r="T65">
        <v>5239</v>
      </c>
    </row>
    <row r="66" spans="1:20" x14ac:dyDescent="0.35">
      <c r="A66" s="7" t="s">
        <v>139</v>
      </c>
      <c r="B66" s="12" t="s">
        <v>140</v>
      </c>
      <c r="C66">
        <v>170743561.05601108</v>
      </c>
      <c r="D66">
        <v>179234426.38960692</v>
      </c>
      <c r="E66">
        <v>1678378.3783783789</v>
      </c>
      <c r="F66">
        <v>1560360.3603603609</v>
      </c>
      <c r="G66">
        <v>18</v>
      </c>
      <c r="H66">
        <v>18</v>
      </c>
      <c r="K66">
        <v>20</v>
      </c>
      <c r="L66">
        <v>20</v>
      </c>
      <c r="M66">
        <v>17167117.117117114</v>
      </c>
      <c r="N66">
        <v>18218738.738738742</v>
      </c>
      <c r="O66">
        <v>29490450.45045045</v>
      </c>
      <c r="P66">
        <v>34334225.225225225</v>
      </c>
      <c r="Q66">
        <v>15007657.657657657</v>
      </c>
      <c r="R66">
        <v>15385495.495495496</v>
      </c>
      <c r="S66">
        <v>4399</v>
      </c>
      <c r="T66">
        <v>4590</v>
      </c>
    </row>
    <row r="67" spans="1:20" x14ac:dyDescent="0.35">
      <c r="A67" s="7" t="s">
        <v>141</v>
      </c>
      <c r="B67" s="12" t="s">
        <v>62</v>
      </c>
      <c r="C67">
        <v>121413390.15292452</v>
      </c>
      <c r="D67">
        <v>119293539.71971595</v>
      </c>
      <c r="E67">
        <v>1208108.1081081091</v>
      </c>
      <c r="F67">
        <v>1309009.0090090099</v>
      </c>
      <c r="G67">
        <v>36</v>
      </c>
      <c r="H67">
        <v>52</v>
      </c>
      <c r="K67">
        <v>44</v>
      </c>
      <c r="L67">
        <v>62</v>
      </c>
      <c r="M67">
        <v>74372882.882882878</v>
      </c>
      <c r="N67">
        <v>66872972.972972974</v>
      </c>
      <c r="O67">
        <v>26075180.180180181</v>
      </c>
      <c r="P67">
        <v>25729936.936936937</v>
      </c>
      <c r="Q67">
        <v>72872612.612612605</v>
      </c>
      <c r="R67">
        <v>69539549.54954955</v>
      </c>
      <c r="S67">
        <v>3879</v>
      </c>
      <c r="T67">
        <v>3889</v>
      </c>
    </row>
    <row r="68" spans="1:20" x14ac:dyDescent="0.35">
      <c r="A68" s="7" t="s">
        <v>142</v>
      </c>
      <c r="B68" s="12" t="s">
        <v>143</v>
      </c>
      <c r="C68">
        <v>1440620.4551686849</v>
      </c>
      <c r="D68">
        <v>1096003.5108018541</v>
      </c>
      <c r="E68">
        <v>18018.018018018</v>
      </c>
      <c r="H68">
        <v>1</v>
      </c>
      <c r="L68">
        <v>1</v>
      </c>
      <c r="M68">
        <v>18018.018018018</v>
      </c>
      <c r="O68">
        <v>59909.909909909999</v>
      </c>
      <c r="P68">
        <v>108198.19819819801</v>
      </c>
      <c r="S68">
        <v>134</v>
      </c>
      <c r="T68">
        <v>185</v>
      </c>
    </row>
    <row r="69" spans="1:20" x14ac:dyDescent="0.35">
      <c r="A69" s="7" t="s">
        <v>144</v>
      </c>
      <c r="B69" s="12" t="s">
        <v>140</v>
      </c>
      <c r="C69">
        <v>253795684.98386991</v>
      </c>
      <c r="D69">
        <v>257504419.27957335</v>
      </c>
      <c r="E69">
        <v>108828.828828831</v>
      </c>
      <c r="F69">
        <v>1086936.936936938</v>
      </c>
      <c r="G69">
        <v>45</v>
      </c>
      <c r="H69">
        <v>58</v>
      </c>
      <c r="I69">
        <v>1</v>
      </c>
      <c r="K69">
        <v>53</v>
      </c>
      <c r="L69">
        <v>76</v>
      </c>
      <c r="M69">
        <v>23572342.342342343</v>
      </c>
      <c r="N69">
        <v>30225585.585585583</v>
      </c>
      <c r="O69">
        <v>47139054.054054059</v>
      </c>
      <c r="P69">
        <v>47121603.603603601</v>
      </c>
      <c r="Q69">
        <v>23916756.756756756</v>
      </c>
      <c r="R69">
        <v>26313963.963963963</v>
      </c>
      <c r="S69">
        <v>7861</v>
      </c>
      <c r="T69">
        <v>7350</v>
      </c>
    </row>
    <row r="70" spans="1:20" x14ac:dyDescent="0.35">
      <c r="A70" s="7" t="s">
        <v>145</v>
      </c>
      <c r="B70" s="12" t="s">
        <v>78</v>
      </c>
      <c r="C70">
        <v>178987408.43511108</v>
      </c>
      <c r="D70">
        <v>179246431.06922123</v>
      </c>
      <c r="E70">
        <v>1565585.585585586</v>
      </c>
      <c r="F70">
        <v>2476576.576576578</v>
      </c>
      <c r="G70">
        <v>36</v>
      </c>
      <c r="H70">
        <v>57</v>
      </c>
      <c r="K70">
        <v>43</v>
      </c>
      <c r="L70">
        <v>65</v>
      </c>
      <c r="M70">
        <v>22191711.711711712</v>
      </c>
      <c r="N70">
        <v>19071171.171171177</v>
      </c>
      <c r="O70">
        <v>47003801.801801801</v>
      </c>
      <c r="P70">
        <v>51490810.810810804</v>
      </c>
      <c r="Q70">
        <v>22127027.02702703</v>
      </c>
      <c r="R70">
        <v>19195405.40540541</v>
      </c>
      <c r="S70">
        <v>6330</v>
      </c>
      <c r="T70">
        <v>6349</v>
      </c>
    </row>
    <row r="71" spans="1:20" x14ac:dyDescent="0.35">
      <c r="A71" s="7" t="s">
        <v>146</v>
      </c>
      <c r="B71" s="12" t="s">
        <v>147</v>
      </c>
      <c r="C71">
        <v>126372234.41090827</v>
      </c>
      <c r="D71">
        <v>115142257.34401917</v>
      </c>
      <c r="E71">
        <v>89189.189189190001</v>
      </c>
      <c r="F71">
        <v>2839639.6396396421</v>
      </c>
      <c r="G71">
        <v>30</v>
      </c>
      <c r="H71">
        <v>18</v>
      </c>
      <c r="K71">
        <v>32</v>
      </c>
      <c r="L71">
        <v>24</v>
      </c>
      <c r="M71">
        <v>12356936.936936935</v>
      </c>
      <c r="N71">
        <v>40976029.729729727</v>
      </c>
      <c r="O71">
        <v>34132108.108108111</v>
      </c>
      <c r="P71">
        <v>35803189.189189188</v>
      </c>
      <c r="Q71">
        <v>12795045.045045041</v>
      </c>
      <c r="R71">
        <v>39178918.918918923</v>
      </c>
      <c r="S71">
        <v>3748</v>
      </c>
      <c r="T71">
        <v>3598</v>
      </c>
    </row>
    <row r="72" spans="1:20" x14ac:dyDescent="0.35">
      <c r="A72" s="7" t="s">
        <v>148</v>
      </c>
      <c r="B72" s="12" t="s">
        <v>94</v>
      </c>
      <c r="D72">
        <v>17.531949365999999</v>
      </c>
      <c r="T72">
        <v>18</v>
      </c>
    </row>
    <row r="73" spans="1:20" x14ac:dyDescent="0.35">
      <c r="A73" s="7" t="s">
        <v>149</v>
      </c>
      <c r="B73" s="12" t="s">
        <v>50</v>
      </c>
      <c r="C73">
        <v>103509181.56988916</v>
      </c>
      <c r="D73">
        <v>104463455.25233255</v>
      </c>
      <c r="E73">
        <v>227027.02702702701</v>
      </c>
      <c r="F73">
        <v>167567.56756756801</v>
      </c>
      <c r="G73">
        <v>21</v>
      </c>
      <c r="H73">
        <v>19</v>
      </c>
      <c r="K73">
        <v>26</v>
      </c>
      <c r="L73">
        <v>21</v>
      </c>
      <c r="M73">
        <v>12283783.783783784</v>
      </c>
      <c r="N73">
        <v>6207837.8378378376</v>
      </c>
      <c r="O73">
        <v>45667657.657657653</v>
      </c>
      <c r="P73">
        <v>46183036.036036029</v>
      </c>
      <c r="Q73">
        <v>12579819.819819819</v>
      </c>
      <c r="R73">
        <v>6371261.2612612601</v>
      </c>
      <c r="S73">
        <v>3471</v>
      </c>
      <c r="T73">
        <v>3524</v>
      </c>
    </row>
    <row r="74" spans="1:20" x14ac:dyDescent="0.35">
      <c r="A74" s="7" t="s">
        <v>150</v>
      </c>
      <c r="B74" s="12" t="s">
        <v>151</v>
      </c>
      <c r="C74">
        <v>32177191.533984344</v>
      </c>
      <c r="D74">
        <v>32435144.956251215</v>
      </c>
      <c r="E74">
        <v>151450337.83783782</v>
      </c>
      <c r="F74">
        <v>527206033.33333331</v>
      </c>
      <c r="G74">
        <v>8</v>
      </c>
      <c r="H74">
        <v>5</v>
      </c>
      <c r="K74">
        <v>9</v>
      </c>
      <c r="L74">
        <v>7</v>
      </c>
      <c r="M74">
        <v>78869279.279279277</v>
      </c>
      <c r="N74">
        <v>45536036.036036029</v>
      </c>
      <c r="O74">
        <v>7302792.7927927934</v>
      </c>
      <c r="P74">
        <v>8324900.9009009013</v>
      </c>
      <c r="Q74">
        <v>39479909.909909911</v>
      </c>
      <c r="R74">
        <v>10364324.324324325</v>
      </c>
      <c r="S74">
        <v>712</v>
      </c>
      <c r="T74">
        <v>680</v>
      </c>
    </row>
    <row r="75" spans="1:20" x14ac:dyDescent="0.35">
      <c r="A75" s="7" t="s">
        <v>152</v>
      </c>
      <c r="B75" s="12" t="s">
        <v>151</v>
      </c>
      <c r="C75">
        <v>312710536.2372992</v>
      </c>
      <c r="D75">
        <v>307647168.25824857</v>
      </c>
      <c r="E75">
        <v>1050450.4504504511</v>
      </c>
      <c r="F75">
        <v>6530855.8558558589</v>
      </c>
      <c r="G75">
        <v>108</v>
      </c>
      <c r="H75">
        <v>165</v>
      </c>
      <c r="K75">
        <v>121</v>
      </c>
      <c r="L75">
        <v>204</v>
      </c>
      <c r="M75">
        <v>306804864.86486483</v>
      </c>
      <c r="N75">
        <v>217939711.7117117</v>
      </c>
      <c r="O75">
        <v>103328953.15315315</v>
      </c>
      <c r="P75">
        <v>107204918.91891891</v>
      </c>
      <c r="Q75">
        <v>258118688.2882883</v>
      </c>
      <c r="R75">
        <v>178328868.46846849</v>
      </c>
      <c r="S75">
        <v>8252</v>
      </c>
      <c r="T75">
        <v>8144</v>
      </c>
    </row>
    <row r="76" spans="1:20" x14ac:dyDescent="0.35">
      <c r="A76" s="7" t="s">
        <v>153</v>
      </c>
      <c r="B76" s="12" t="s">
        <v>154</v>
      </c>
      <c r="C76">
        <v>279733118.44076109</v>
      </c>
      <c r="D76">
        <v>274378732.54846394</v>
      </c>
      <c r="E76">
        <v>108298985.58558558</v>
      </c>
      <c r="F76">
        <v>64986826.126126125</v>
      </c>
      <c r="G76">
        <v>11</v>
      </c>
      <c r="H76">
        <v>40</v>
      </c>
      <c r="K76">
        <v>12</v>
      </c>
      <c r="L76">
        <v>44</v>
      </c>
      <c r="M76">
        <v>44047207.20720721</v>
      </c>
      <c r="N76">
        <v>54457657.657657661</v>
      </c>
      <c r="O76">
        <v>121086709.9099099</v>
      </c>
      <c r="P76">
        <v>112617283.78378378</v>
      </c>
      <c r="Q76">
        <v>35922792.79279279</v>
      </c>
      <c r="R76">
        <v>34364504.504504509</v>
      </c>
      <c r="S76">
        <v>7129</v>
      </c>
      <c r="T76">
        <v>7030</v>
      </c>
    </row>
    <row r="77" spans="1:20" x14ac:dyDescent="0.35">
      <c r="A77" s="7" t="s">
        <v>155</v>
      </c>
      <c r="B77" s="12" t="s">
        <v>154</v>
      </c>
      <c r="C77">
        <v>39556323.131388269</v>
      </c>
      <c r="D77">
        <v>30607445.242952365</v>
      </c>
      <c r="E77">
        <v>27927.927927928002</v>
      </c>
      <c r="F77">
        <v>13513.513513514001</v>
      </c>
      <c r="G77">
        <v>12</v>
      </c>
      <c r="H77">
        <v>7</v>
      </c>
      <c r="K77">
        <v>13</v>
      </c>
      <c r="L77">
        <v>9</v>
      </c>
      <c r="M77">
        <v>298198.19819819799</v>
      </c>
      <c r="N77">
        <v>4279279.2792792786</v>
      </c>
      <c r="O77">
        <v>10716261.26126126</v>
      </c>
      <c r="P77">
        <v>7434090.0900900904</v>
      </c>
      <c r="Q77">
        <v>319369.369369369</v>
      </c>
      <c r="R77">
        <v>2735135.1351351342</v>
      </c>
      <c r="S77">
        <v>2041</v>
      </c>
      <c r="T77">
        <v>1915</v>
      </c>
    </row>
    <row r="78" spans="1:20" x14ac:dyDescent="0.35">
      <c r="A78" s="7" t="s">
        <v>156</v>
      </c>
      <c r="B78" s="12" t="s">
        <v>154</v>
      </c>
      <c r="C78">
        <v>368681637.19398338</v>
      </c>
      <c r="D78">
        <v>297437021.41260976</v>
      </c>
      <c r="E78">
        <v>21689189.189189188</v>
      </c>
      <c r="F78">
        <v>117393018.01801802</v>
      </c>
      <c r="G78">
        <v>64</v>
      </c>
      <c r="H78">
        <v>16</v>
      </c>
      <c r="K78">
        <v>121</v>
      </c>
      <c r="L78">
        <v>20</v>
      </c>
      <c r="M78">
        <v>65554801.801801801</v>
      </c>
      <c r="N78">
        <v>58627927.927927926</v>
      </c>
      <c r="O78">
        <v>138772063.06306309</v>
      </c>
      <c r="P78">
        <v>115567324.32432432</v>
      </c>
      <c r="Q78">
        <v>57717747.747747742</v>
      </c>
      <c r="R78">
        <v>57728468.468468472</v>
      </c>
      <c r="S78">
        <v>8011</v>
      </c>
      <c r="T78">
        <v>7899</v>
      </c>
    </row>
    <row r="79" spans="1:20" x14ac:dyDescent="0.35">
      <c r="A79" s="7" t="s">
        <v>157</v>
      </c>
      <c r="B79" s="12" t="s">
        <v>134</v>
      </c>
      <c r="C79">
        <v>142658044.66004136</v>
      </c>
      <c r="D79">
        <v>139822647.00502032</v>
      </c>
      <c r="E79">
        <v>436936.93693693902</v>
      </c>
      <c r="F79">
        <v>511711.71171171399</v>
      </c>
      <c r="G79">
        <v>35</v>
      </c>
      <c r="H79">
        <v>29</v>
      </c>
      <c r="I79">
        <v>1</v>
      </c>
      <c r="K79">
        <v>40</v>
      </c>
      <c r="L79">
        <v>33</v>
      </c>
      <c r="M79">
        <v>15283783.783783784</v>
      </c>
      <c r="N79">
        <v>14903611.711711712</v>
      </c>
      <c r="O79">
        <v>12441216.216216216</v>
      </c>
      <c r="P79">
        <v>15476324.324324325</v>
      </c>
      <c r="Q79">
        <v>6190090.0900900913</v>
      </c>
      <c r="R79">
        <v>4931981.9819819843</v>
      </c>
      <c r="S79">
        <v>4446</v>
      </c>
      <c r="T79">
        <v>4447</v>
      </c>
    </row>
    <row r="80" spans="1:20" x14ac:dyDescent="0.35">
      <c r="A80" s="7" t="s">
        <v>1</v>
      </c>
      <c r="B80" s="12" t="s">
        <v>158</v>
      </c>
      <c r="C80">
        <v>259573525.44955078</v>
      </c>
      <c r="D80">
        <v>250495705.97239882</v>
      </c>
      <c r="E80">
        <v>558108.10810811096</v>
      </c>
      <c r="F80">
        <v>1375675.675675679</v>
      </c>
      <c r="G80">
        <v>123</v>
      </c>
      <c r="H80">
        <v>33</v>
      </c>
      <c r="I80">
        <v>2</v>
      </c>
      <c r="K80">
        <v>360</v>
      </c>
      <c r="L80">
        <v>145</v>
      </c>
      <c r="M80">
        <v>22526936.936936941</v>
      </c>
      <c r="N80">
        <v>34298828.828828827</v>
      </c>
      <c r="O80">
        <v>122545448.64864865</v>
      </c>
      <c r="P80">
        <v>119381027.02702703</v>
      </c>
      <c r="Q80">
        <v>23540270.270270273</v>
      </c>
      <c r="R80">
        <v>31255405.405405398</v>
      </c>
      <c r="S80">
        <v>8280</v>
      </c>
      <c r="T80">
        <v>7925</v>
      </c>
    </row>
    <row r="81" spans="1:20" x14ac:dyDescent="0.35">
      <c r="A81" s="7" t="s">
        <v>159</v>
      </c>
      <c r="B81" s="12" t="s">
        <v>121</v>
      </c>
      <c r="C81">
        <v>9992569.4698951486</v>
      </c>
      <c r="D81">
        <v>9664129.9029448759</v>
      </c>
      <c r="G81">
        <v>2</v>
      </c>
      <c r="H81">
        <v>3</v>
      </c>
      <c r="K81">
        <v>3</v>
      </c>
      <c r="L81">
        <v>5</v>
      </c>
      <c r="M81">
        <v>900900.90090090095</v>
      </c>
      <c r="O81">
        <v>957072.07207207195</v>
      </c>
      <c r="P81">
        <v>915585.58558558603</v>
      </c>
      <c r="Q81">
        <v>245315.31531531501</v>
      </c>
      <c r="R81">
        <v>29729.729729729999</v>
      </c>
      <c r="S81">
        <v>587</v>
      </c>
      <c r="T81">
        <v>559</v>
      </c>
    </row>
    <row r="82" spans="1:20" x14ac:dyDescent="0.35">
      <c r="A82" s="7" t="s">
        <v>160</v>
      </c>
      <c r="B82" s="12" t="s">
        <v>161</v>
      </c>
      <c r="C82">
        <v>128633188.70556997</v>
      </c>
      <c r="D82">
        <v>131694357.37544926</v>
      </c>
      <c r="E82">
        <v>1171891.8918919</v>
      </c>
      <c r="F82">
        <v>2843243.2432432561</v>
      </c>
      <c r="G82">
        <v>51</v>
      </c>
      <c r="H82">
        <v>82</v>
      </c>
      <c r="K82">
        <v>85</v>
      </c>
      <c r="L82">
        <v>152</v>
      </c>
      <c r="M82">
        <v>29765225.225225218</v>
      </c>
      <c r="N82">
        <v>27217297.297297303</v>
      </c>
      <c r="O82">
        <v>54957432.432432435</v>
      </c>
      <c r="P82">
        <v>57267468.468468472</v>
      </c>
      <c r="Q82">
        <v>36879549.549549542</v>
      </c>
      <c r="R82">
        <v>26980990.990990996</v>
      </c>
      <c r="S82">
        <v>5936</v>
      </c>
      <c r="T82">
        <v>5941</v>
      </c>
    </row>
    <row r="83" spans="1:20" x14ac:dyDescent="0.35">
      <c r="A83" s="7" t="s">
        <v>162</v>
      </c>
      <c r="B83" s="12" t="s">
        <v>76</v>
      </c>
      <c r="C83">
        <v>60529942.290212855</v>
      </c>
      <c r="D83">
        <v>59200555.565596469</v>
      </c>
      <c r="E83">
        <v>24516216.216216218</v>
      </c>
      <c r="F83">
        <v>65862162.162162162</v>
      </c>
      <c r="G83">
        <v>13</v>
      </c>
      <c r="H83">
        <v>11</v>
      </c>
      <c r="K83">
        <v>15</v>
      </c>
      <c r="L83">
        <v>12</v>
      </c>
      <c r="M83">
        <v>1106306.306306306</v>
      </c>
      <c r="N83">
        <v>1397297.297297297</v>
      </c>
      <c r="O83">
        <v>3746081.0810810812</v>
      </c>
      <c r="P83">
        <v>2610765.7657657661</v>
      </c>
      <c r="Q83">
        <v>1042792.792792793</v>
      </c>
      <c r="R83">
        <v>942792.79279279301</v>
      </c>
      <c r="S83">
        <v>1007</v>
      </c>
      <c r="T83">
        <v>868</v>
      </c>
    </row>
    <row r="84" spans="1:20" x14ac:dyDescent="0.35">
      <c r="A84" s="7" t="s">
        <v>163</v>
      </c>
      <c r="B84" s="12" t="s">
        <v>52</v>
      </c>
      <c r="C84">
        <v>45947226.119468771</v>
      </c>
      <c r="D84">
        <v>46395813.12447197</v>
      </c>
      <c r="E84">
        <v>37362837.837837838</v>
      </c>
      <c r="F84">
        <v>160346846.84684685</v>
      </c>
      <c r="G84">
        <v>10</v>
      </c>
      <c r="H84">
        <v>21</v>
      </c>
      <c r="K84">
        <v>10</v>
      </c>
      <c r="L84">
        <v>27</v>
      </c>
      <c r="M84">
        <v>2515315.315315316</v>
      </c>
      <c r="N84">
        <v>1418018.018018018</v>
      </c>
      <c r="O84">
        <v>22104774.774774775</v>
      </c>
      <c r="P84">
        <v>22811936.936936937</v>
      </c>
      <c r="Q84">
        <v>1253513.5135135141</v>
      </c>
      <c r="R84">
        <v>913063.06306306296</v>
      </c>
      <c r="S84">
        <v>1524</v>
      </c>
      <c r="T84">
        <v>1609</v>
      </c>
    </row>
    <row r="85" spans="1:20" x14ac:dyDescent="0.35">
      <c r="A85" s="7" t="s">
        <v>164</v>
      </c>
      <c r="B85" s="12" t="s">
        <v>87</v>
      </c>
      <c r="C85">
        <v>39679589.745522402</v>
      </c>
      <c r="D85">
        <v>23153600.389201734</v>
      </c>
      <c r="E85">
        <v>41441.441441440998</v>
      </c>
      <c r="F85">
        <v>27027.027027027001</v>
      </c>
      <c r="G85">
        <v>46</v>
      </c>
      <c r="H85">
        <v>8</v>
      </c>
      <c r="K85">
        <v>48</v>
      </c>
      <c r="L85">
        <v>10</v>
      </c>
      <c r="M85">
        <v>1906306.306306306</v>
      </c>
      <c r="N85">
        <v>237837.837837837</v>
      </c>
      <c r="O85">
        <v>3876756.7567567569</v>
      </c>
      <c r="P85">
        <v>2114504.5045045051</v>
      </c>
      <c r="Q85">
        <v>2334594.594594595</v>
      </c>
      <c r="R85">
        <v>258918.918918918</v>
      </c>
      <c r="S85">
        <v>1149</v>
      </c>
      <c r="T85">
        <v>1085</v>
      </c>
    </row>
    <row r="86" spans="1:20" x14ac:dyDescent="0.35">
      <c r="A86" s="7" t="s">
        <v>165</v>
      </c>
      <c r="B86" s="12" t="s">
        <v>143</v>
      </c>
      <c r="C86">
        <v>7391831.5675130757</v>
      </c>
      <c r="D86">
        <v>8490116.6267061476</v>
      </c>
      <c r="E86">
        <v>12612.612612612</v>
      </c>
      <c r="F86">
        <v>67567.567567567996</v>
      </c>
      <c r="G86">
        <v>5</v>
      </c>
      <c r="H86">
        <v>5</v>
      </c>
      <c r="K86">
        <v>7</v>
      </c>
      <c r="L86">
        <v>5</v>
      </c>
      <c r="M86">
        <v>1922522.5225225219</v>
      </c>
      <c r="N86">
        <v>518018.01801801799</v>
      </c>
      <c r="O86">
        <v>1002297.297297297</v>
      </c>
      <c r="P86">
        <v>932090.09009008994</v>
      </c>
      <c r="Q86">
        <v>1427027.0270270261</v>
      </c>
      <c r="R86">
        <v>214324.324324324</v>
      </c>
      <c r="S86">
        <v>327</v>
      </c>
      <c r="T86">
        <v>340</v>
      </c>
    </row>
    <row r="87" spans="1:20" x14ac:dyDescent="0.35">
      <c r="A87" s="7" t="s">
        <v>166</v>
      </c>
      <c r="B87" s="12" t="s">
        <v>167</v>
      </c>
      <c r="C87">
        <v>30114074.406793933</v>
      </c>
      <c r="D87">
        <v>33242709.94838991</v>
      </c>
      <c r="E87">
        <v>10810.810810810999</v>
      </c>
      <c r="F87">
        <v>586486.48648648697</v>
      </c>
      <c r="G87">
        <v>14</v>
      </c>
      <c r="H87">
        <v>8</v>
      </c>
      <c r="K87">
        <v>17</v>
      </c>
      <c r="L87">
        <v>8</v>
      </c>
      <c r="M87">
        <v>3381261.2612612639</v>
      </c>
      <c r="N87">
        <v>3380630.630630631</v>
      </c>
      <c r="O87">
        <v>14500900.9009009</v>
      </c>
      <c r="P87">
        <v>15483836.036036037</v>
      </c>
      <c r="Q87">
        <v>3453333.3333333349</v>
      </c>
      <c r="R87">
        <v>3022432.4324324322</v>
      </c>
      <c r="S87">
        <v>1307</v>
      </c>
      <c r="T87">
        <v>1366</v>
      </c>
    </row>
    <row r="88" spans="1:20" x14ac:dyDescent="0.35">
      <c r="A88" s="7" t="s">
        <v>168</v>
      </c>
      <c r="B88" s="12" t="s">
        <v>169</v>
      </c>
      <c r="C88">
        <v>144663710.74110588</v>
      </c>
      <c r="D88">
        <v>148691094.13980436</v>
      </c>
      <c r="E88">
        <v>68918468.468468457</v>
      </c>
      <c r="F88">
        <v>76099099.0990991</v>
      </c>
      <c r="G88">
        <v>21</v>
      </c>
      <c r="H88">
        <v>31</v>
      </c>
      <c r="I88">
        <v>1</v>
      </c>
      <c r="K88">
        <v>33</v>
      </c>
      <c r="L88">
        <v>38</v>
      </c>
      <c r="M88">
        <v>21175225.225225225</v>
      </c>
      <c r="N88">
        <v>30686555.855855856</v>
      </c>
      <c r="O88">
        <v>40286423.423423424</v>
      </c>
      <c r="P88">
        <v>47167479.729729727</v>
      </c>
      <c r="Q88">
        <v>17938918.918918919</v>
      </c>
      <c r="R88">
        <v>24532612.612612613</v>
      </c>
      <c r="S88">
        <v>6282</v>
      </c>
      <c r="T88">
        <v>6529</v>
      </c>
    </row>
    <row r="89" spans="1:20" x14ac:dyDescent="0.35">
      <c r="A89" s="7" t="s">
        <v>170</v>
      </c>
      <c r="B89" s="12" t="s">
        <v>54</v>
      </c>
      <c r="C89">
        <v>22785190.473086417</v>
      </c>
      <c r="D89">
        <v>22667796.975185357</v>
      </c>
      <c r="E89">
        <v>41441.441441442003</v>
      </c>
      <c r="F89">
        <v>367567.56756756798</v>
      </c>
      <c r="G89">
        <v>1</v>
      </c>
      <c r="H89">
        <v>1</v>
      </c>
      <c r="K89">
        <v>3</v>
      </c>
      <c r="L89">
        <v>2</v>
      </c>
      <c r="M89">
        <v>2978378.3783783782</v>
      </c>
      <c r="N89">
        <v>1718918.9189189191</v>
      </c>
      <c r="O89">
        <v>3575090.0900900899</v>
      </c>
      <c r="P89">
        <v>3381801.8018018021</v>
      </c>
      <c r="Q89">
        <v>2714864.8648648649</v>
      </c>
      <c r="R89">
        <v>2556486.4864864871</v>
      </c>
      <c r="S89">
        <v>669</v>
      </c>
      <c r="T89">
        <v>730</v>
      </c>
    </row>
    <row r="90" spans="1:20" x14ac:dyDescent="0.35">
      <c r="A90" s="7" t="s">
        <v>171</v>
      </c>
      <c r="B90" s="12" t="s">
        <v>60</v>
      </c>
      <c r="C90">
        <v>487923561.36777866</v>
      </c>
      <c r="D90">
        <v>471314396.96404272</v>
      </c>
      <c r="E90">
        <v>3016441.4414414428</v>
      </c>
      <c r="F90">
        <v>5911711.7117117131</v>
      </c>
      <c r="G90">
        <v>103</v>
      </c>
      <c r="H90">
        <v>113</v>
      </c>
      <c r="K90">
        <v>117</v>
      </c>
      <c r="L90">
        <v>134</v>
      </c>
      <c r="M90">
        <v>27967567.567567568</v>
      </c>
      <c r="N90">
        <v>23241441.441441439</v>
      </c>
      <c r="O90">
        <v>163699932.43243244</v>
      </c>
      <c r="P90">
        <v>174186387.38738739</v>
      </c>
      <c r="Q90">
        <v>26832972.97297297</v>
      </c>
      <c r="R90">
        <v>23567927.927927926</v>
      </c>
      <c r="S90">
        <v>12072</v>
      </c>
      <c r="T90">
        <v>11784</v>
      </c>
    </row>
    <row r="91" spans="1:20" x14ac:dyDescent="0.35">
      <c r="A91" s="7" t="s">
        <v>172</v>
      </c>
      <c r="B91" s="12" t="s">
        <v>121</v>
      </c>
      <c r="C91">
        <v>194063975.40123239</v>
      </c>
      <c r="D91">
        <v>196647685.47592235</v>
      </c>
      <c r="E91">
        <v>1136036.0360360381</v>
      </c>
      <c r="F91">
        <v>1417117.1171171181</v>
      </c>
      <c r="G91">
        <v>113</v>
      </c>
      <c r="H91">
        <v>82</v>
      </c>
      <c r="K91">
        <v>125</v>
      </c>
      <c r="L91">
        <v>89</v>
      </c>
      <c r="M91">
        <v>13704504.504504504</v>
      </c>
      <c r="N91">
        <v>12198198.198198196</v>
      </c>
      <c r="O91">
        <v>27652387.387387387</v>
      </c>
      <c r="P91">
        <v>26630461.711711712</v>
      </c>
      <c r="Q91">
        <v>10279999.999999996</v>
      </c>
      <c r="R91">
        <v>8120540.5405405397</v>
      </c>
      <c r="S91">
        <v>5843</v>
      </c>
      <c r="T91">
        <v>6377</v>
      </c>
    </row>
    <row r="92" spans="1:20" x14ac:dyDescent="0.35">
      <c r="A92" s="7" t="s">
        <v>173</v>
      </c>
      <c r="B92" s="12" t="s">
        <v>174</v>
      </c>
      <c r="C92">
        <v>146224051.36856309</v>
      </c>
      <c r="D92">
        <v>140156885.48166385</v>
      </c>
      <c r="E92">
        <v>82166016.216216221</v>
      </c>
      <c r="F92">
        <v>62561683.783783786</v>
      </c>
      <c r="G92">
        <v>40</v>
      </c>
      <c r="H92">
        <v>73</v>
      </c>
      <c r="I92">
        <v>5</v>
      </c>
      <c r="K92">
        <v>50</v>
      </c>
      <c r="L92">
        <v>138</v>
      </c>
      <c r="M92">
        <v>24671621.62162162</v>
      </c>
      <c r="N92">
        <v>31922072.072072066</v>
      </c>
      <c r="O92">
        <v>17750351.351351351</v>
      </c>
      <c r="P92">
        <v>17373612.612612609</v>
      </c>
      <c r="Q92">
        <v>10905405.405405406</v>
      </c>
      <c r="R92">
        <v>17084774.774774775</v>
      </c>
      <c r="S92">
        <v>4831</v>
      </c>
      <c r="T92">
        <v>4474</v>
      </c>
    </row>
    <row r="93" spans="1:20" x14ac:dyDescent="0.35">
      <c r="A93" s="7" t="s">
        <v>175</v>
      </c>
      <c r="B93" s="12" t="s">
        <v>174</v>
      </c>
      <c r="C93">
        <v>220751629.83262265</v>
      </c>
      <c r="D93">
        <v>220802986.93408009</v>
      </c>
      <c r="E93">
        <v>652252.25225225498</v>
      </c>
      <c r="F93">
        <v>1351126.126126128</v>
      </c>
      <c r="G93">
        <v>95</v>
      </c>
      <c r="H93">
        <v>86</v>
      </c>
      <c r="I93">
        <v>1</v>
      </c>
      <c r="K93">
        <v>116</v>
      </c>
      <c r="L93">
        <v>130</v>
      </c>
      <c r="M93">
        <v>33213063.063063063</v>
      </c>
      <c r="N93">
        <v>26591441.441441439</v>
      </c>
      <c r="O93">
        <v>41149888.288288288</v>
      </c>
      <c r="P93">
        <v>37730009.009009011</v>
      </c>
      <c r="Q93">
        <v>29567203.603603605</v>
      </c>
      <c r="R93">
        <v>21880450.45045045</v>
      </c>
      <c r="S93">
        <v>8459</v>
      </c>
      <c r="T93">
        <v>8401</v>
      </c>
    </row>
    <row r="94" spans="1:20" x14ac:dyDescent="0.35">
      <c r="A94" s="7" t="s">
        <v>176</v>
      </c>
      <c r="B94" s="12" t="s">
        <v>174</v>
      </c>
      <c r="C94">
        <v>302987101.44947803</v>
      </c>
      <c r="D94">
        <v>298067485.257011</v>
      </c>
      <c r="E94">
        <v>11219819.819819823</v>
      </c>
      <c r="F94">
        <v>12579504.504504507</v>
      </c>
      <c r="G94">
        <v>151</v>
      </c>
      <c r="H94">
        <v>140</v>
      </c>
      <c r="I94">
        <v>3</v>
      </c>
      <c r="K94">
        <v>177</v>
      </c>
      <c r="L94">
        <v>187</v>
      </c>
      <c r="M94">
        <v>42718468.468468465</v>
      </c>
      <c r="N94">
        <v>32212612.612612616</v>
      </c>
      <c r="O94">
        <v>53610463.963963971</v>
      </c>
      <c r="P94">
        <v>46434860.360360362</v>
      </c>
      <c r="Q94">
        <v>25627657.657657661</v>
      </c>
      <c r="R94">
        <v>24722882.882882878</v>
      </c>
      <c r="S94">
        <v>11507</v>
      </c>
      <c r="T94">
        <v>12156</v>
      </c>
    </row>
    <row r="95" spans="1:20" x14ac:dyDescent="0.35">
      <c r="A95" s="7" t="s">
        <v>177</v>
      </c>
      <c r="B95" s="12" t="s">
        <v>178</v>
      </c>
      <c r="C95">
        <v>104315248.51475595</v>
      </c>
      <c r="D95">
        <v>95898262.332084641</v>
      </c>
      <c r="E95">
        <v>405405.40540540498</v>
      </c>
      <c r="F95">
        <v>144144.144144144</v>
      </c>
      <c r="G95">
        <v>25</v>
      </c>
      <c r="H95">
        <v>9</v>
      </c>
      <c r="K95">
        <v>29</v>
      </c>
      <c r="L95">
        <v>14</v>
      </c>
      <c r="M95">
        <v>2337657.6576576559</v>
      </c>
      <c r="N95">
        <v>7983333.3333333312</v>
      </c>
      <c r="O95">
        <v>34617612.612612613</v>
      </c>
      <c r="P95">
        <v>37413637.837837838</v>
      </c>
      <c r="Q95">
        <v>2486846.8468468459</v>
      </c>
      <c r="R95">
        <v>8275225.2252252242</v>
      </c>
      <c r="S95">
        <v>3730</v>
      </c>
      <c r="T95">
        <v>3844</v>
      </c>
    </row>
    <row r="96" spans="1:20" x14ac:dyDescent="0.35">
      <c r="A96" s="7" t="s">
        <v>179</v>
      </c>
      <c r="B96" s="12" t="s">
        <v>167</v>
      </c>
      <c r="C96">
        <v>134799153.53646535</v>
      </c>
      <c r="D96">
        <v>115760689.50527622</v>
      </c>
      <c r="E96">
        <v>337837.83783783799</v>
      </c>
      <c r="F96">
        <v>828603.60360360402</v>
      </c>
      <c r="G96">
        <v>48</v>
      </c>
      <c r="H96">
        <v>21</v>
      </c>
      <c r="K96">
        <v>55</v>
      </c>
      <c r="L96">
        <v>32</v>
      </c>
      <c r="M96">
        <v>4284144.1441441458</v>
      </c>
      <c r="N96">
        <v>2155855.8558558561</v>
      </c>
      <c r="O96">
        <v>33665027.027027026</v>
      </c>
      <c r="P96">
        <v>29858405.40540541</v>
      </c>
      <c r="Q96">
        <v>5679189.189189191</v>
      </c>
      <c r="R96">
        <v>1153603.603603604</v>
      </c>
      <c r="S96">
        <v>4681</v>
      </c>
      <c r="T96">
        <v>4563</v>
      </c>
    </row>
    <row r="97" spans="1:20" x14ac:dyDescent="0.35">
      <c r="A97" s="7" t="s">
        <v>180</v>
      </c>
      <c r="B97" s="12" t="s">
        <v>181</v>
      </c>
      <c r="C97">
        <v>100903611.10001156</v>
      </c>
      <c r="D97">
        <v>95167184.132474974</v>
      </c>
      <c r="E97">
        <v>2702.7027027029999</v>
      </c>
      <c r="F97">
        <v>283783.78378378501</v>
      </c>
      <c r="G97">
        <v>14</v>
      </c>
      <c r="H97">
        <v>17</v>
      </c>
      <c r="K97">
        <v>15</v>
      </c>
      <c r="L97">
        <v>19</v>
      </c>
      <c r="M97">
        <v>7111981.9819819834</v>
      </c>
      <c r="N97">
        <v>3995495.4954954949</v>
      </c>
      <c r="O97">
        <v>21143198.198198199</v>
      </c>
      <c r="P97">
        <v>24047398.648648649</v>
      </c>
      <c r="Q97">
        <v>8273243.2432432417</v>
      </c>
      <c r="R97">
        <v>6978288.2882882887</v>
      </c>
      <c r="S97">
        <v>2984</v>
      </c>
      <c r="T97">
        <v>2899</v>
      </c>
    </row>
    <row r="98" spans="1:20" x14ac:dyDescent="0.35">
      <c r="A98" s="7" t="s">
        <v>182</v>
      </c>
      <c r="B98" s="12" t="s">
        <v>94</v>
      </c>
      <c r="C98">
        <v>83632781.916023776</v>
      </c>
      <c r="D98">
        <v>96833466.050288737</v>
      </c>
      <c r="E98">
        <v>140540.54054054001</v>
      </c>
      <c r="F98">
        <v>13513.513513514001</v>
      </c>
      <c r="G98">
        <v>32</v>
      </c>
      <c r="H98">
        <v>28</v>
      </c>
      <c r="K98">
        <v>38</v>
      </c>
      <c r="L98">
        <v>37</v>
      </c>
      <c r="M98">
        <v>140540.54054054001</v>
      </c>
      <c r="N98">
        <v>4436936.9369369363</v>
      </c>
      <c r="O98">
        <v>7166081.0810810812</v>
      </c>
      <c r="P98">
        <v>10663324.324324325</v>
      </c>
      <c r="Q98">
        <v>551801.80180180201</v>
      </c>
      <c r="R98">
        <v>1081711.711711711</v>
      </c>
      <c r="S98">
        <v>3802</v>
      </c>
      <c r="T98">
        <v>3681</v>
      </c>
    </row>
    <row r="99" spans="1:20" x14ac:dyDescent="0.35">
      <c r="A99" s="7" t="s">
        <v>183</v>
      </c>
      <c r="B99" s="12" t="s">
        <v>94</v>
      </c>
      <c r="C99">
        <v>609875797.1311816</v>
      </c>
      <c r="D99">
        <v>580648431.37729061</v>
      </c>
      <c r="E99">
        <v>543607121.62162161</v>
      </c>
      <c r="F99">
        <v>960002981.98198199</v>
      </c>
      <c r="G99">
        <v>130</v>
      </c>
      <c r="H99">
        <v>116</v>
      </c>
      <c r="I99">
        <v>1</v>
      </c>
      <c r="K99">
        <v>159</v>
      </c>
      <c r="L99">
        <v>156</v>
      </c>
      <c r="M99">
        <v>29863513.513513513</v>
      </c>
      <c r="N99">
        <v>41821171.171171166</v>
      </c>
      <c r="O99">
        <v>69430878.378378376</v>
      </c>
      <c r="P99">
        <v>70669880.630630627</v>
      </c>
      <c r="Q99">
        <v>27022072.072072074</v>
      </c>
      <c r="R99">
        <v>34028828.828828834</v>
      </c>
      <c r="S99">
        <v>16307</v>
      </c>
      <c r="T99">
        <v>15906</v>
      </c>
    </row>
    <row r="100" spans="1:20" x14ac:dyDescent="0.35">
      <c r="A100" s="7" t="s">
        <v>184</v>
      </c>
      <c r="B100" s="12" t="s">
        <v>89</v>
      </c>
      <c r="C100">
        <v>53590501.088379391</v>
      </c>
      <c r="D100">
        <v>51664937.323108941</v>
      </c>
      <c r="E100">
        <v>551801.80180180096</v>
      </c>
      <c r="F100">
        <v>341216.21621621703</v>
      </c>
      <c r="G100">
        <v>8</v>
      </c>
      <c r="H100">
        <v>11</v>
      </c>
      <c r="K100">
        <v>9</v>
      </c>
      <c r="L100">
        <v>14</v>
      </c>
      <c r="M100">
        <v>2340090.0900900899</v>
      </c>
      <c r="N100">
        <v>1775675.675675676</v>
      </c>
      <c r="O100">
        <v>16854009.009009007</v>
      </c>
      <c r="P100">
        <v>17572594.594594598</v>
      </c>
      <c r="Q100">
        <v>2298828.8288288298</v>
      </c>
      <c r="R100">
        <v>1699189.1891891891</v>
      </c>
      <c r="S100">
        <v>1665</v>
      </c>
      <c r="T100">
        <v>1632</v>
      </c>
    </row>
    <row r="101" spans="1:20" x14ac:dyDescent="0.35">
      <c r="A101" s="7" t="s">
        <v>185</v>
      </c>
      <c r="B101" s="12" t="s">
        <v>60</v>
      </c>
      <c r="C101">
        <v>29672339.565569535</v>
      </c>
      <c r="D101">
        <v>30956558.9036659</v>
      </c>
      <c r="E101">
        <v>360360.36036036001</v>
      </c>
      <c r="F101">
        <v>235135.13513513701</v>
      </c>
      <c r="G101">
        <v>4</v>
      </c>
      <c r="H101">
        <v>9</v>
      </c>
      <c r="K101">
        <v>5</v>
      </c>
      <c r="L101">
        <v>9</v>
      </c>
      <c r="M101">
        <v>1495045.045045044</v>
      </c>
      <c r="N101">
        <v>910810.81081081298</v>
      </c>
      <c r="O101">
        <v>10659729.729729731</v>
      </c>
      <c r="P101">
        <v>10849029.27927928</v>
      </c>
      <c r="Q101">
        <v>1473873.8738738729</v>
      </c>
      <c r="R101">
        <v>508108.10810810898</v>
      </c>
      <c r="S101">
        <v>844</v>
      </c>
      <c r="T101">
        <v>839</v>
      </c>
    </row>
    <row r="102" spans="1:20" x14ac:dyDescent="0.35">
      <c r="A102" s="7" t="s">
        <v>186</v>
      </c>
      <c r="B102" s="12" t="s">
        <v>167</v>
      </c>
      <c r="C102">
        <v>71837392.824105278</v>
      </c>
      <c r="D102">
        <v>76951211.383415788</v>
      </c>
      <c r="E102">
        <v>5405.4054054059998</v>
      </c>
      <c r="F102">
        <v>265540.540540541</v>
      </c>
      <c r="G102">
        <v>14</v>
      </c>
      <c r="H102">
        <v>2</v>
      </c>
      <c r="K102">
        <v>21</v>
      </c>
      <c r="L102">
        <v>3</v>
      </c>
      <c r="M102">
        <v>5405.4054054059998</v>
      </c>
      <c r="N102">
        <v>306306.30630630697</v>
      </c>
      <c r="O102">
        <v>17928198.198198199</v>
      </c>
      <c r="P102">
        <v>20685027.02702703</v>
      </c>
      <c r="Q102">
        <v>135135.13513513599</v>
      </c>
      <c r="R102">
        <v>140450.45045045001</v>
      </c>
      <c r="S102">
        <v>2670</v>
      </c>
      <c r="T102">
        <v>2860</v>
      </c>
    </row>
    <row r="103" spans="1:20" x14ac:dyDescent="0.35">
      <c r="A103" s="7" t="s">
        <v>187</v>
      </c>
      <c r="B103" s="12" t="s">
        <v>167</v>
      </c>
      <c r="C103">
        <v>214705241.78040716</v>
      </c>
      <c r="D103">
        <v>204222409.31099129</v>
      </c>
      <c r="E103">
        <v>18018.018018019</v>
      </c>
      <c r="F103">
        <v>95495.495495497002</v>
      </c>
      <c r="G103">
        <v>46</v>
      </c>
      <c r="H103">
        <v>18</v>
      </c>
      <c r="K103">
        <v>54</v>
      </c>
      <c r="L103">
        <v>19</v>
      </c>
      <c r="M103">
        <v>4881081.081081084</v>
      </c>
      <c r="N103">
        <v>7995076.5765765803</v>
      </c>
      <c r="O103">
        <v>41555774.774774775</v>
      </c>
      <c r="P103">
        <v>41460594.59459459</v>
      </c>
      <c r="Q103">
        <v>4720720.7207207214</v>
      </c>
      <c r="R103">
        <v>5787567.5675675729</v>
      </c>
      <c r="S103">
        <v>6043</v>
      </c>
      <c r="T103">
        <v>5160</v>
      </c>
    </row>
    <row r="104" spans="1:20" x14ac:dyDescent="0.35">
      <c r="A104" s="7" t="s">
        <v>188</v>
      </c>
      <c r="B104" s="12" t="s">
        <v>189</v>
      </c>
      <c r="C104">
        <v>95657639.331124783</v>
      </c>
      <c r="D104">
        <v>90792063.250158429</v>
      </c>
      <c r="E104">
        <v>270270.27027027</v>
      </c>
      <c r="F104">
        <v>270270.27027027</v>
      </c>
      <c r="G104">
        <v>11</v>
      </c>
      <c r="H104">
        <v>18</v>
      </c>
      <c r="K104">
        <v>13</v>
      </c>
      <c r="L104">
        <v>19</v>
      </c>
      <c r="M104">
        <v>1621621.621621622</v>
      </c>
      <c r="N104">
        <v>1171171.1711711709</v>
      </c>
      <c r="O104">
        <v>7631486.4864864871</v>
      </c>
      <c r="P104">
        <v>6423198.1981981983</v>
      </c>
      <c r="Q104">
        <v>1738288.2882882881</v>
      </c>
      <c r="R104">
        <v>1099549.5495495501</v>
      </c>
      <c r="S104">
        <v>1713</v>
      </c>
      <c r="T104">
        <v>1719</v>
      </c>
    </row>
    <row r="105" spans="1:20" x14ac:dyDescent="0.35">
      <c r="A105" s="7" t="s">
        <v>190</v>
      </c>
      <c r="B105" s="12" t="s">
        <v>134</v>
      </c>
      <c r="C105">
        <v>20882438.517325021</v>
      </c>
      <c r="D105">
        <v>21973908.955467772</v>
      </c>
      <c r="F105">
        <v>13513.513513514001</v>
      </c>
      <c r="G105">
        <v>11</v>
      </c>
      <c r="H105">
        <v>15</v>
      </c>
      <c r="K105">
        <v>11</v>
      </c>
      <c r="L105">
        <v>16</v>
      </c>
      <c r="M105">
        <v>45045.045045045001</v>
      </c>
      <c r="N105">
        <v>13513.513513514001</v>
      </c>
      <c r="O105">
        <v>1788603.6036036031</v>
      </c>
      <c r="P105">
        <v>1809234.234234235</v>
      </c>
      <c r="Q105">
        <v>45045.045045045001</v>
      </c>
      <c r="R105">
        <v>121621.62162162201</v>
      </c>
      <c r="S105">
        <v>1047</v>
      </c>
      <c r="T105">
        <v>919</v>
      </c>
    </row>
    <row r="106" spans="1:20" x14ac:dyDescent="0.35">
      <c r="A106" s="7" t="s">
        <v>191</v>
      </c>
      <c r="B106" s="12" t="s">
        <v>60</v>
      </c>
      <c r="C106">
        <v>135601308.31483078</v>
      </c>
      <c r="D106">
        <v>129263521.01288466</v>
      </c>
      <c r="E106">
        <v>1330630.630630631</v>
      </c>
      <c r="F106">
        <v>1270045.045045045</v>
      </c>
      <c r="G106">
        <v>26</v>
      </c>
      <c r="H106">
        <v>13</v>
      </c>
      <c r="K106">
        <v>54</v>
      </c>
      <c r="L106">
        <v>46</v>
      </c>
      <c r="M106">
        <v>12555855.855855856</v>
      </c>
      <c r="N106">
        <v>12117117.117117118</v>
      </c>
      <c r="O106">
        <v>45746351.351351351</v>
      </c>
      <c r="P106">
        <v>42097171.171171166</v>
      </c>
      <c r="Q106">
        <v>12140270.270270268</v>
      </c>
      <c r="R106">
        <v>10218828.828828828</v>
      </c>
      <c r="S106">
        <v>4152</v>
      </c>
      <c r="T106">
        <v>4409</v>
      </c>
    </row>
    <row r="107" spans="1:20" x14ac:dyDescent="0.35">
      <c r="A107" s="7" t="s">
        <v>192</v>
      </c>
      <c r="B107" s="12" t="s">
        <v>60</v>
      </c>
      <c r="C107">
        <v>233914129.47348994</v>
      </c>
      <c r="D107">
        <v>222271429.25751564</v>
      </c>
      <c r="E107">
        <v>2079279.2792792791</v>
      </c>
      <c r="F107">
        <v>1724324.324324324</v>
      </c>
      <c r="G107">
        <v>35</v>
      </c>
      <c r="H107">
        <v>16</v>
      </c>
      <c r="K107">
        <v>46</v>
      </c>
      <c r="L107">
        <v>26</v>
      </c>
      <c r="M107">
        <v>10164864.864864863</v>
      </c>
      <c r="N107">
        <v>13994594.594594594</v>
      </c>
      <c r="O107">
        <v>55830225.225225225</v>
      </c>
      <c r="P107">
        <v>56177909.909909911</v>
      </c>
      <c r="Q107">
        <v>9822342.3423423432</v>
      </c>
      <c r="R107">
        <v>12375405.405405408</v>
      </c>
      <c r="S107">
        <v>6807</v>
      </c>
      <c r="T107">
        <v>6356</v>
      </c>
    </row>
    <row r="108" spans="1:20" x14ac:dyDescent="0.35">
      <c r="A108" s="7" t="s">
        <v>2</v>
      </c>
      <c r="B108" s="12" t="s">
        <v>193</v>
      </c>
      <c r="C108">
        <v>30850756.8154644</v>
      </c>
      <c r="D108">
        <v>21396343.684887961</v>
      </c>
      <c r="E108">
        <v>39426351.351351351</v>
      </c>
      <c r="F108">
        <v>22653153.153153155</v>
      </c>
      <c r="G108">
        <v>8</v>
      </c>
      <c r="H108">
        <v>3</v>
      </c>
      <c r="K108">
        <v>8</v>
      </c>
      <c r="L108">
        <v>3</v>
      </c>
      <c r="M108">
        <v>1348648.648648649</v>
      </c>
      <c r="N108">
        <v>492117.11711711902</v>
      </c>
      <c r="O108">
        <v>15951891.891891891</v>
      </c>
      <c r="P108">
        <v>12532828.828828828</v>
      </c>
      <c r="Q108">
        <v>201351.35135135101</v>
      </c>
      <c r="R108">
        <v>157657.65765765801</v>
      </c>
      <c r="S108">
        <v>1239</v>
      </c>
      <c r="T108">
        <v>1023</v>
      </c>
    </row>
    <row r="109" spans="1:20" x14ac:dyDescent="0.35">
      <c r="A109" s="7" t="s">
        <v>194</v>
      </c>
      <c r="B109" s="12" t="s">
        <v>195</v>
      </c>
      <c r="C109">
        <v>781760829.97242045</v>
      </c>
      <c r="D109">
        <v>799310492.96182764</v>
      </c>
      <c r="E109">
        <v>1579729.7297297311</v>
      </c>
      <c r="F109">
        <v>2644819.8198198201</v>
      </c>
      <c r="G109">
        <v>165</v>
      </c>
      <c r="H109">
        <v>191</v>
      </c>
      <c r="K109">
        <v>192</v>
      </c>
      <c r="L109">
        <v>277</v>
      </c>
      <c r="M109">
        <v>29245495.495495494</v>
      </c>
      <c r="N109">
        <v>36981081.081081077</v>
      </c>
      <c r="O109">
        <v>140904360.36036035</v>
      </c>
      <c r="P109">
        <v>155969360.36036035</v>
      </c>
      <c r="Q109">
        <v>31277387.387387387</v>
      </c>
      <c r="R109">
        <v>29686846.846846849</v>
      </c>
      <c r="S109">
        <v>18243</v>
      </c>
      <c r="T109">
        <v>17997</v>
      </c>
    </row>
    <row r="110" spans="1:20" x14ac:dyDescent="0.35">
      <c r="A110" s="7" t="s">
        <v>196</v>
      </c>
      <c r="B110" s="12" t="s">
        <v>80</v>
      </c>
      <c r="C110">
        <v>245003663.03083533</v>
      </c>
      <c r="D110">
        <v>243087213.7391302</v>
      </c>
      <c r="E110">
        <v>72025225.225225225</v>
      </c>
      <c r="F110">
        <v>36261261.261261262</v>
      </c>
      <c r="G110">
        <v>61</v>
      </c>
      <c r="H110">
        <v>56</v>
      </c>
      <c r="K110">
        <v>67</v>
      </c>
      <c r="L110">
        <v>63</v>
      </c>
      <c r="M110">
        <v>31954504.504504509</v>
      </c>
      <c r="N110">
        <v>35513513.513513513</v>
      </c>
      <c r="O110">
        <v>63596070.270270273</v>
      </c>
      <c r="P110">
        <v>66770369.369369365</v>
      </c>
      <c r="Q110">
        <v>30178962.162162159</v>
      </c>
      <c r="R110">
        <v>36631261.261261262</v>
      </c>
      <c r="S110">
        <v>6712</v>
      </c>
      <c r="T110">
        <v>6611</v>
      </c>
    </row>
    <row r="111" spans="1:20" x14ac:dyDescent="0.35">
      <c r="A111" s="7" t="s">
        <v>197</v>
      </c>
      <c r="B111" s="12" t="s">
        <v>108</v>
      </c>
      <c r="C111">
        <v>186335018.35605383</v>
      </c>
      <c r="D111">
        <v>194030261.35903016</v>
      </c>
      <c r="E111">
        <v>921891.89189189405</v>
      </c>
      <c r="F111">
        <v>1671171.1711711721</v>
      </c>
      <c r="G111">
        <v>45</v>
      </c>
      <c r="H111">
        <v>61</v>
      </c>
      <c r="K111">
        <v>57</v>
      </c>
      <c r="L111">
        <v>77</v>
      </c>
      <c r="M111">
        <v>13464684.684684685</v>
      </c>
      <c r="N111">
        <v>11167567.567567565</v>
      </c>
      <c r="O111">
        <v>53907207.20720721</v>
      </c>
      <c r="P111">
        <v>60159837.837837838</v>
      </c>
      <c r="Q111">
        <v>12811531.531531528</v>
      </c>
      <c r="R111">
        <v>10092162.162162162</v>
      </c>
      <c r="S111">
        <v>7129</v>
      </c>
      <c r="T111">
        <v>7303</v>
      </c>
    </row>
    <row r="112" spans="1:20" x14ac:dyDescent="0.35">
      <c r="A112" s="7" t="s">
        <v>198</v>
      </c>
      <c r="B112" s="12" t="s">
        <v>92</v>
      </c>
      <c r="C112">
        <v>106577396.31583536</v>
      </c>
      <c r="D112">
        <v>103340788.84102592</v>
      </c>
      <c r="E112">
        <v>2763243.2432432449</v>
      </c>
      <c r="F112">
        <v>3908108.1081081098</v>
      </c>
      <c r="G112">
        <v>19</v>
      </c>
      <c r="H112">
        <v>134</v>
      </c>
      <c r="K112">
        <v>20</v>
      </c>
      <c r="L112">
        <v>234</v>
      </c>
      <c r="M112">
        <v>15841081.081081081</v>
      </c>
      <c r="N112">
        <v>32254504.504504506</v>
      </c>
      <c r="O112">
        <v>27140045.045045044</v>
      </c>
      <c r="P112">
        <v>28607873.873873871</v>
      </c>
      <c r="Q112">
        <v>16050450.450450452</v>
      </c>
      <c r="R112">
        <v>31455135.135135137</v>
      </c>
      <c r="S112">
        <v>2787</v>
      </c>
      <c r="T112">
        <v>2828</v>
      </c>
    </row>
    <row r="113" spans="1:20" x14ac:dyDescent="0.35">
      <c r="A113" s="7" t="s">
        <v>199</v>
      </c>
      <c r="B113" s="12" t="s">
        <v>123</v>
      </c>
      <c r="C113">
        <v>105931745.27396095</v>
      </c>
      <c r="D113">
        <v>92135557.20712623</v>
      </c>
      <c r="E113">
        <v>486486.48648648697</v>
      </c>
      <c r="F113">
        <v>56756.756756757997</v>
      </c>
      <c r="G113">
        <v>51</v>
      </c>
      <c r="H113">
        <v>14</v>
      </c>
      <c r="K113">
        <v>55</v>
      </c>
      <c r="L113">
        <v>15</v>
      </c>
      <c r="M113">
        <v>4870270.2702702712</v>
      </c>
      <c r="N113">
        <v>2283963.963963964</v>
      </c>
      <c r="O113">
        <v>21967522.52252252</v>
      </c>
      <c r="P113">
        <v>15707279.27927928</v>
      </c>
      <c r="Q113">
        <v>4184144.1441441439</v>
      </c>
      <c r="R113">
        <v>2889729.7297297311</v>
      </c>
      <c r="S113">
        <v>2598</v>
      </c>
      <c r="T113">
        <v>2506</v>
      </c>
    </row>
    <row r="114" spans="1:20" x14ac:dyDescent="0.35">
      <c r="A114" s="7" t="s">
        <v>200</v>
      </c>
      <c r="B114" s="12" t="s">
        <v>60</v>
      </c>
      <c r="C114">
        <v>69417758.797664165</v>
      </c>
      <c r="D114">
        <v>67341600.526305795</v>
      </c>
      <c r="E114">
        <v>50450.450450450997</v>
      </c>
      <c r="F114">
        <v>476576.57657657698</v>
      </c>
      <c r="G114">
        <v>14</v>
      </c>
      <c r="H114">
        <v>14</v>
      </c>
      <c r="K114">
        <v>23</v>
      </c>
      <c r="L114">
        <v>16</v>
      </c>
      <c r="M114">
        <v>7699099.0990990959</v>
      </c>
      <c r="N114">
        <v>9359459.4594594594</v>
      </c>
      <c r="O114">
        <v>11289855.855855856</v>
      </c>
      <c r="P114">
        <v>12331743.243243244</v>
      </c>
      <c r="Q114">
        <v>6473333.3333333312</v>
      </c>
      <c r="R114">
        <v>5233243.2432432426</v>
      </c>
      <c r="S114">
        <v>3327</v>
      </c>
      <c r="T114">
        <v>3599</v>
      </c>
    </row>
    <row r="115" spans="1:20" x14ac:dyDescent="0.35">
      <c r="A115" s="7" t="s">
        <v>201</v>
      </c>
      <c r="B115" s="12" t="s">
        <v>60</v>
      </c>
      <c r="C115">
        <v>23798793.176660895</v>
      </c>
      <c r="D115">
        <v>22622364.924384233</v>
      </c>
      <c r="E115">
        <v>222702.70270270301</v>
      </c>
      <c r="F115">
        <v>5405.4054054050002</v>
      </c>
      <c r="G115">
        <v>7</v>
      </c>
      <c r="H115">
        <v>8</v>
      </c>
      <c r="K115">
        <v>7</v>
      </c>
      <c r="L115">
        <v>8</v>
      </c>
      <c r="M115">
        <v>934414.41441441397</v>
      </c>
      <c r="N115">
        <v>1527927.9279279271</v>
      </c>
      <c r="O115">
        <v>4987972.9729729732</v>
      </c>
      <c r="P115">
        <v>4410567.5675675673</v>
      </c>
      <c r="Q115">
        <v>1259909.9099099101</v>
      </c>
      <c r="R115">
        <v>443243.24324324302</v>
      </c>
      <c r="S115">
        <v>1322</v>
      </c>
      <c r="T115">
        <v>1190</v>
      </c>
    </row>
    <row r="116" spans="1:20" x14ac:dyDescent="0.35">
      <c r="A116" s="7" t="s">
        <v>202</v>
      </c>
      <c r="B116" s="12" t="s">
        <v>121</v>
      </c>
      <c r="C116">
        <v>48663632.904434428</v>
      </c>
      <c r="D116">
        <v>44997566.311277486</v>
      </c>
      <c r="E116">
        <v>116216.216216217</v>
      </c>
      <c r="F116">
        <v>193693.69369369399</v>
      </c>
      <c r="G116">
        <v>32</v>
      </c>
      <c r="H116">
        <v>29</v>
      </c>
      <c r="K116">
        <v>37</v>
      </c>
      <c r="L116">
        <v>33</v>
      </c>
      <c r="M116">
        <v>287387.38738738798</v>
      </c>
      <c r="N116">
        <v>198198.19819819901</v>
      </c>
      <c r="O116">
        <v>4792162.1621621614</v>
      </c>
      <c r="P116">
        <v>4374531.5315315323</v>
      </c>
      <c r="Q116">
        <v>290720.720720721</v>
      </c>
      <c r="S116">
        <v>1641</v>
      </c>
      <c r="T116">
        <v>1319</v>
      </c>
    </row>
    <row r="117" spans="1:20" x14ac:dyDescent="0.35">
      <c r="A117" s="7" t="s">
        <v>203</v>
      </c>
      <c r="B117" s="12" t="s">
        <v>54</v>
      </c>
      <c r="C117">
        <v>74157517.980141297</v>
      </c>
      <c r="D117">
        <v>70438886.017093182</v>
      </c>
      <c r="E117">
        <v>456756.75675675698</v>
      </c>
      <c r="F117">
        <v>280180.18018018099</v>
      </c>
      <c r="G117">
        <v>14</v>
      </c>
      <c r="H117">
        <v>13</v>
      </c>
      <c r="K117">
        <v>15</v>
      </c>
      <c r="L117">
        <v>14</v>
      </c>
      <c r="M117">
        <v>5222522.5225225221</v>
      </c>
      <c r="N117">
        <v>3311711.7117117131</v>
      </c>
      <c r="O117">
        <v>18508693.693693697</v>
      </c>
      <c r="P117">
        <v>18184324.324324325</v>
      </c>
      <c r="Q117">
        <v>4191351.351351351</v>
      </c>
      <c r="R117">
        <v>3769729.7297297278</v>
      </c>
      <c r="S117">
        <v>3790</v>
      </c>
      <c r="T117">
        <v>4006</v>
      </c>
    </row>
    <row r="118" spans="1:20" x14ac:dyDescent="0.35">
      <c r="A118" s="7" t="s">
        <v>204</v>
      </c>
      <c r="B118" s="12" t="s">
        <v>136</v>
      </c>
      <c r="C118">
        <v>289740757.35226566</v>
      </c>
      <c r="D118">
        <v>252025131.92838266</v>
      </c>
      <c r="E118">
        <v>266216.21621621598</v>
      </c>
      <c r="F118">
        <v>502702.702702704</v>
      </c>
      <c r="G118">
        <v>68</v>
      </c>
      <c r="H118">
        <v>30</v>
      </c>
      <c r="K118">
        <v>75</v>
      </c>
      <c r="L118">
        <v>34</v>
      </c>
      <c r="M118">
        <v>33149819.819819819</v>
      </c>
      <c r="N118">
        <v>25781981.981981982</v>
      </c>
      <c r="O118">
        <v>46617567.567567565</v>
      </c>
      <c r="P118">
        <v>46571081.081081077</v>
      </c>
      <c r="Q118">
        <v>26430630.630630631</v>
      </c>
      <c r="R118">
        <v>19898378.378378376</v>
      </c>
      <c r="S118">
        <v>5903</v>
      </c>
      <c r="T118">
        <v>5636</v>
      </c>
    </row>
    <row r="119" spans="1:20" x14ac:dyDescent="0.35">
      <c r="A119" s="7" t="s">
        <v>205</v>
      </c>
      <c r="B119" s="12" t="s">
        <v>136</v>
      </c>
      <c r="C119">
        <v>141082737.09420708</v>
      </c>
      <c r="D119">
        <v>131521230.75259751</v>
      </c>
      <c r="E119">
        <v>277477.47747747699</v>
      </c>
      <c r="F119">
        <v>358558.55855855899</v>
      </c>
      <c r="G119">
        <v>41</v>
      </c>
      <c r="H119">
        <v>21</v>
      </c>
      <c r="K119">
        <v>46</v>
      </c>
      <c r="L119">
        <v>26</v>
      </c>
      <c r="M119">
        <v>4385585.5855855849</v>
      </c>
      <c r="N119">
        <v>5025225.2252252242</v>
      </c>
      <c r="O119">
        <v>23827207.207207207</v>
      </c>
      <c r="P119">
        <v>25675565.765765768</v>
      </c>
      <c r="Q119">
        <v>3412612.612612613</v>
      </c>
      <c r="R119">
        <v>2647117.1171171172</v>
      </c>
      <c r="S119">
        <v>3133</v>
      </c>
      <c r="T119">
        <v>3088</v>
      </c>
    </row>
    <row r="120" spans="1:20" x14ac:dyDescent="0.35">
      <c r="A120" s="7" t="s">
        <v>206</v>
      </c>
      <c r="B120" s="12" t="s">
        <v>169</v>
      </c>
      <c r="C120">
        <v>294598478.66924816</v>
      </c>
      <c r="D120">
        <v>297728937.89431274</v>
      </c>
      <c r="E120">
        <v>339639.63963963999</v>
      </c>
      <c r="F120">
        <v>1254954.954954956</v>
      </c>
      <c r="G120">
        <v>20</v>
      </c>
      <c r="H120">
        <v>9</v>
      </c>
      <c r="K120">
        <v>20</v>
      </c>
      <c r="L120">
        <v>13</v>
      </c>
      <c r="M120">
        <v>2727555855.8558555</v>
      </c>
      <c r="N120">
        <v>2270262905.4054055</v>
      </c>
      <c r="O120">
        <v>139504045.04504505</v>
      </c>
      <c r="P120">
        <v>140590873.87387386</v>
      </c>
      <c r="Q120">
        <v>820330374.77477479</v>
      </c>
      <c r="R120">
        <v>358041592.7927928</v>
      </c>
      <c r="S120">
        <v>7579</v>
      </c>
      <c r="T120">
        <v>7967</v>
      </c>
    </row>
    <row r="121" spans="1:20" x14ac:dyDescent="0.35">
      <c r="A121" s="7" t="s">
        <v>207</v>
      </c>
      <c r="B121" s="12" t="s">
        <v>161</v>
      </c>
      <c r="C121">
        <v>327894872.60746819</v>
      </c>
      <c r="D121">
        <v>335353434.01594234</v>
      </c>
      <c r="E121">
        <v>75021681.081081092</v>
      </c>
      <c r="F121">
        <v>73067521.621621639</v>
      </c>
      <c r="G121">
        <v>145</v>
      </c>
      <c r="H121">
        <v>231</v>
      </c>
      <c r="K121">
        <v>222</v>
      </c>
      <c r="L121">
        <v>350</v>
      </c>
      <c r="M121">
        <v>45513333.333333321</v>
      </c>
      <c r="N121">
        <v>41912063.06306307</v>
      </c>
      <c r="O121">
        <v>95058450.45045045</v>
      </c>
      <c r="P121">
        <v>97231110.360360354</v>
      </c>
      <c r="Q121">
        <v>39220850.450450443</v>
      </c>
      <c r="R121">
        <v>33116302.702702712</v>
      </c>
      <c r="S121">
        <v>12123</v>
      </c>
      <c r="T121">
        <v>12731</v>
      </c>
    </row>
    <row r="122" spans="1:20" x14ac:dyDescent="0.35">
      <c r="A122" s="7" t="s">
        <v>208</v>
      </c>
      <c r="B122" s="12" t="s">
        <v>76</v>
      </c>
      <c r="C122">
        <v>13320500.982334007</v>
      </c>
      <c r="D122">
        <v>10067514.983708408</v>
      </c>
      <c r="G122">
        <v>3</v>
      </c>
      <c r="K122">
        <v>3</v>
      </c>
      <c r="O122">
        <v>505180.18018018</v>
      </c>
      <c r="P122">
        <v>778063.06306306401</v>
      </c>
      <c r="S122">
        <v>519</v>
      </c>
      <c r="T122">
        <v>445</v>
      </c>
    </row>
    <row r="123" spans="1:20" x14ac:dyDescent="0.35">
      <c r="A123" s="7" t="s">
        <v>209</v>
      </c>
      <c r="B123" s="12" t="s">
        <v>76</v>
      </c>
      <c r="C123">
        <v>156819487.25394049</v>
      </c>
      <c r="D123">
        <v>144780545.89312318</v>
      </c>
      <c r="E123">
        <v>131806771.17117117</v>
      </c>
      <c r="F123">
        <v>32654910.810810816</v>
      </c>
      <c r="G123">
        <v>50</v>
      </c>
      <c r="H123">
        <v>65</v>
      </c>
      <c r="I123">
        <v>3</v>
      </c>
      <c r="K123">
        <v>63</v>
      </c>
      <c r="L123">
        <v>75</v>
      </c>
      <c r="M123">
        <v>11296486.486486487</v>
      </c>
      <c r="N123">
        <v>18443603.603603601</v>
      </c>
      <c r="O123">
        <v>20387837.837837841</v>
      </c>
      <c r="P123">
        <v>22552180.180180181</v>
      </c>
      <c r="Q123">
        <v>10769819.819819823</v>
      </c>
      <c r="R123">
        <v>17312612.612612613</v>
      </c>
      <c r="S123">
        <v>4586</v>
      </c>
      <c r="T123">
        <v>4363</v>
      </c>
    </row>
    <row r="124" spans="1:20" x14ac:dyDescent="0.35">
      <c r="A124" s="7" t="s">
        <v>210</v>
      </c>
      <c r="B124" s="12" t="s">
        <v>76</v>
      </c>
      <c r="C124">
        <v>190830837.85621482</v>
      </c>
      <c r="D124">
        <v>186483568.39417145</v>
      </c>
      <c r="E124">
        <v>1140765.7657657659</v>
      </c>
      <c r="F124">
        <v>2169369.3693693751</v>
      </c>
      <c r="G124">
        <v>93</v>
      </c>
      <c r="H124">
        <v>97</v>
      </c>
      <c r="I124">
        <v>2</v>
      </c>
      <c r="K124">
        <v>114</v>
      </c>
      <c r="L124">
        <v>137</v>
      </c>
      <c r="M124">
        <v>54171171.171171166</v>
      </c>
      <c r="N124">
        <v>67709729.729729727</v>
      </c>
      <c r="O124">
        <v>57231825.225225225</v>
      </c>
      <c r="P124">
        <v>56989072.072072074</v>
      </c>
      <c r="Q124">
        <v>35960356.756756753</v>
      </c>
      <c r="R124">
        <v>51497747.747747749</v>
      </c>
      <c r="S124">
        <v>6983</v>
      </c>
      <c r="T124">
        <v>6606</v>
      </c>
    </row>
    <row r="125" spans="1:20" x14ac:dyDescent="0.35">
      <c r="A125" s="7" t="s">
        <v>211</v>
      </c>
      <c r="B125" s="12" t="s">
        <v>76</v>
      </c>
      <c r="C125">
        <v>129281159.03910014</v>
      </c>
      <c r="D125">
        <v>137275883.59415582</v>
      </c>
      <c r="E125">
        <v>1175450.4504504511</v>
      </c>
      <c r="F125">
        <v>1622297.2972973031</v>
      </c>
      <c r="G125">
        <v>50</v>
      </c>
      <c r="H125">
        <v>65</v>
      </c>
      <c r="K125">
        <v>63</v>
      </c>
      <c r="L125">
        <v>70</v>
      </c>
      <c r="M125">
        <v>10698648.648648648</v>
      </c>
      <c r="N125">
        <v>11331891.891891897</v>
      </c>
      <c r="O125">
        <v>18470882.882882886</v>
      </c>
      <c r="P125">
        <v>21477668.918918919</v>
      </c>
      <c r="Q125">
        <v>10692432.432432432</v>
      </c>
      <c r="R125">
        <v>11032432.432432435</v>
      </c>
      <c r="S125">
        <v>3981</v>
      </c>
      <c r="T125">
        <v>5677</v>
      </c>
    </row>
    <row r="126" spans="1:20" x14ac:dyDescent="0.35">
      <c r="A126" s="7" t="s">
        <v>212</v>
      </c>
      <c r="B126" s="12" t="s">
        <v>76</v>
      </c>
      <c r="C126">
        <v>53025984.758114979</v>
      </c>
      <c r="D126">
        <v>49760895.48206374</v>
      </c>
      <c r="E126">
        <v>13963.963963964001</v>
      </c>
      <c r="F126">
        <v>33333.333333333001</v>
      </c>
      <c r="G126">
        <v>15</v>
      </c>
      <c r="H126">
        <v>6</v>
      </c>
      <c r="K126">
        <v>15</v>
      </c>
      <c r="L126">
        <v>6</v>
      </c>
      <c r="M126">
        <v>824774.77477477503</v>
      </c>
      <c r="N126">
        <v>1238018.0180180159</v>
      </c>
      <c r="O126">
        <v>7163108.1081081079</v>
      </c>
      <c r="P126">
        <v>7467810.8108108109</v>
      </c>
      <c r="Q126">
        <v>542882.88288288296</v>
      </c>
      <c r="R126">
        <v>1516036.036036036</v>
      </c>
      <c r="S126">
        <v>1754</v>
      </c>
      <c r="T126">
        <v>4612</v>
      </c>
    </row>
    <row r="127" spans="1:20" x14ac:dyDescent="0.35">
      <c r="A127" s="7" t="s">
        <v>213</v>
      </c>
      <c r="B127" s="12" t="s">
        <v>214</v>
      </c>
      <c r="C127">
        <v>61407232.805872776</v>
      </c>
      <c r="D127">
        <v>71050440.000514194</v>
      </c>
      <c r="E127">
        <v>11699549.549549548</v>
      </c>
      <c r="F127">
        <v>2797297.2972972961</v>
      </c>
      <c r="G127">
        <v>12</v>
      </c>
      <c r="H127">
        <v>28</v>
      </c>
      <c r="K127">
        <v>13</v>
      </c>
      <c r="L127">
        <v>30</v>
      </c>
      <c r="M127">
        <v>8464594.594594596</v>
      </c>
      <c r="N127">
        <v>8492360.3603603616</v>
      </c>
      <c r="O127">
        <v>29435135.135135137</v>
      </c>
      <c r="P127">
        <v>31725306.306306303</v>
      </c>
      <c r="Q127">
        <v>7372702.702702703</v>
      </c>
      <c r="R127">
        <v>7226126.1261261273</v>
      </c>
      <c r="S127">
        <v>2368</v>
      </c>
      <c r="T127">
        <v>2311</v>
      </c>
    </row>
    <row r="128" spans="1:20" x14ac:dyDescent="0.35">
      <c r="A128" s="7" t="s">
        <v>215</v>
      </c>
      <c r="B128" s="12" t="s">
        <v>167</v>
      </c>
      <c r="C128">
        <v>55058153.680102594</v>
      </c>
      <c r="D128">
        <v>78158017.887528762</v>
      </c>
      <c r="E128">
        <v>7207.207207208</v>
      </c>
      <c r="F128">
        <v>81081.081081081997</v>
      </c>
      <c r="G128">
        <v>6</v>
      </c>
      <c r="H128">
        <v>4</v>
      </c>
      <c r="K128">
        <v>7</v>
      </c>
      <c r="L128">
        <v>4</v>
      </c>
      <c r="M128">
        <v>7207.207207208</v>
      </c>
      <c r="N128">
        <v>531531.53153153195</v>
      </c>
      <c r="O128">
        <v>9883198.1981981993</v>
      </c>
      <c r="P128">
        <v>13849558.558558561</v>
      </c>
      <c r="Q128">
        <v>747297.29729729902</v>
      </c>
      <c r="R128">
        <v>19819.819819820001</v>
      </c>
      <c r="S128">
        <v>1887</v>
      </c>
      <c r="T128">
        <v>1852</v>
      </c>
    </row>
    <row r="129" spans="1:20" x14ac:dyDescent="0.35">
      <c r="A129" s="7" t="s">
        <v>216</v>
      </c>
      <c r="B129" s="12" t="s">
        <v>85</v>
      </c>
      <c r="C129">
        <v>13923616.350535903</v>
      </c>
      <c r="D129">
        <v>18170989.346676357</v>
      </c>
      <c r="E129">
        <v>37982207.20720721</v>
      </c>
      <c r="F129">
        <v>136144144.14414415</v>
      </c>
      <c r="G129">
        <v>2</v>
      </c>
      <c r="H129">
        <v>6</v>
      </c>
      <c r="K129">
        <v>2</v>
      </c>
      <c r="L129">
        <v>8</v>
      </c>
      <c r="M129">
        <v>27262162.162162159</v>
      </c>
      <c r="N129">
        <v>26812612.612612613</v>
      </c>
      <c r="O129">
        <v>4053459.4594594599</v>
      </c>
      <c r="P129">
        <v>5421351.3513513505</v>
      </c>
      <c r="Q129">
        <v>15556576.576576576</v>
      </c>
      <c r="R129">
        <v>19561081.081081081</v>
      </c>
      <c r="S129">
        <v>651</v>
      </c>
      <c r="T129">
        <v>722</v>
      </c>
    </row>
    <row r="130" spans="1:20" x14ac:dyDescent="0.35">
      <c r="A130" s="7" t="s">
        <v>217</v>
      </c>
      <c r="B130" s="12" t="s">
        <v>85</v>
      </c>
      <c r="C130">
        <v>71594792.59018673</v>
      </c>
      <c r="D130">
        <v>69187191.929298431</v>
      </c>
      <c r="E130">
        <v>45045.045045045001</v>
      </c>
      <c r="F130">
        <v>218918.91891892001</v>
      </c>
      <c r="G130">
        <v>31</v>
      </c>
      <c r="H130">
        <v>23</v>
      </c>
      <c r="K130">
        <v>39</v>
      </c>
      <c r="L130">
        <v>26</v>
      </c>
      <c r="M130">
        <v>16162162.162162164</v>
      </c>
      <c r="N130">
        <v>12449729.729729731</v>
      </c>
      <c r="O130">
        <v>13326261.26126126</v>
      </c>
      <c r="P130">
        <v>13410216.216216216</v>
      </c>
      <c r="Q130">
        <v>8991261.2612612601</v>
      </c>
      <c r="R130">
        <v>11963963.963963963</v>
      </c>
      <c r="S130">
        <v>2528</v>
      </c>
      <c r="T130">
        <v>2342</v>
      </c>
    </row>
    <row r="131" spans="1:20" x14ac:dyDescent="0.35">
      <c r="A131" s="7" t="s">
        <v>218</v>
      </c>
      <c r="B131" s="12" t="s">
        <v>147</v>
      </c>
      <c r="C131">
        <v>68746452.755466372</v>
      </c>
      <c r="D131">
        <v>65844335.685505264</v>
      </c>
      <c r="E131">
        <v>570270.27027027099</v>
      </c>
      <c r="F131">
        <v>4338738.7387387389</v>
      </c>
      <c r="G131">
        <v>14</v>
      </c>
      <c r="H131">
        <v>58</v>
      </c>
      <c r="K131">
        <v>18</v>
      </c>
      <c r="L131">
        <v>79</v>
      </c>
      <c r="M131">
        <v>3240540.5405405378</v>
      </c>
      <c r="N131">
        <v>39159215.315315314</v>
      </c>
      <c r="O131">
        <v>18549981.981981985</v>
      </c>
      <c r="P131">
        <v>22210342.342342343</v>
      </c>
      <c r="Q131">
        <v>4798198.1981981946</v>
      </c>
      <c r="R131">
        <v>39358558.558558561</v>
      </c>
      <c r="S131">
        <v>2579</v>
      </c>
      <c r="T131">
        <v>2338</v>
      </c>
    </row>
    <row r="132" spans="1:20" x14ac:dyDescent="0.35">
      <c r="A132" s="7" t="s">
        <v>219</v>
      </c>
      <c r="B132" s="12" t="s">
        <v>220</v>
      </c>
      <c r="C132">
        <v>136366704.9945029</v>
      </c>
      <c r="D132">
        <v>131195411.26971442</v>
      </c>
      <c r="E132">
        <v>728713.51351351396</v>
      </c>
      <c r="F132">
        <v>1657657.6576576589</v>
      </c>
      <c r="G132">
        <v>50</v>
      </c>
      <c r="H132">
        <v>33</v>
      </c>
      <c r="K132">
        <v>58</v>
      </c>
      <c r="L132">
        <v>44</v>
      </c>
      <c r="M132">
        <v>159265430.63063061</v>
      </c>
      <c r="N132">
        <v>114071261.26126127</v>
      </c>
      <c r="O132">
        <v>36715279.279279277</v>
      </c>
      <c r="P132">
        <v>33357533.783783782</v>
      </c>
      <c r="Q132">
        <v>230155405.4054054</v>
      </c>
      <c r="R132">
        <v>181139189.1891892</v>
      </c>
      <c r="S132">
        <v>6102</v>
      </c>
      <c r="T132">
        <v>6187</v>
      </c>
    </row>
    <row r="133" spans="1:20" x14ac:dyDescent="0.35">
      <c r="A133" s="7" t="s">
        <v>221</v>
      </c>
      <c r="B133" s="12" t="s">
        <v>52</v>
      </c>
      <c r="C133">
        <v>326742727.9690209</v>
      </c>
      <c r="D133">
        <v>306352407.85643142</v>
      </c>
      <c r="E133">
        <v>2201576.576576578</v>
      </c>
      <c r="F133">
        <v>2675675.6756756771</v>
      </c>
      <c r="G133">
        <v>65</v>
      </c>
      <c r="H133">
        <v>72</v>
      </c>
      <c r="K133">
        <v>77</v>
      </c>
      <c r="L133">
        <v>99</v>
      </c>
      <c r="M133">
        <v>18287657.657657657</v>
      </c>
      <c r="N133">
        <v>24162162.162162162</v>
      </c>
      <c r="O133">
        <v>104423279.27927928</v>
      </c>
      <c r="P133">
        <v>99416477.477477476</v>
      </c>
      <c r="Q133">
        <v>17631081.081081081</v>
      </c>
      <c r="R133">
        <v>30274954.954954952</v>
      </c>
      <c r="S133">
        <v>10905</v>
      </c>
      <c r="T133">
        <v>10369</v>
      </c>
    </row>
    <row r="134" spans="1:20" x14ac:dyDescent="0.35">
      <c r="A134" s="7" t="s">
        <v>222</v>
      </c>
      <c r="B134" s="12" t="s">
        <v>76</v>
      </c>
      <c r="C134">
        <v>251727295.27361909</v>
      </c>
      <c r="D134">
        <v>238181393.7306737</v>
      </c>
      <c r="E134">
        <v>131396.39639639799</v>
      </c>
      <c r="F134">
        <v>719819.81981982396</v>
      </c>
      <c r="G134">
        <v>68</v>
      </c>
      <c r="H134">
        <v>58</v>
      </c>
      <c r="I134">
        <v>4</v>
      </c>
      <c r="K134">
        <v>76</v>
      </c>
      <c r="L134">
        <v>65</v>
      </c>
      <c r="M134">
        <v>16672612.612612613</v>
      </c>
      <c r="N134">
        <v>18801441.441441439</v>
      </c>
      <c r="O134">
        <v>47232682.882882878</v>
      </c>
      <c r="P134">
        <v>44953310.810810804</v>
      </c>
      <c r="Q134">
        <v>14737657.657657657</v>
      </c>
      <c r="R134">
        <v>13887477.477477474</v>
      </c>
      <c r="S134">
        <v>7050</v>
      </c>
      <c r="T134">
        <v>6834</v>
      </c>
    </row>
    <row r="135" spans="1:20" x14ac:dyDescent="0.35">
      <c r="A135" s="7" t="s">
        <v>223</v>
      </c>
      <c r="B135" s="12" t="s">
        <v>224</v>
      </c>
      <c r="C135">
        <v>21187024.381872285</v>
      </c>
      <c r="D135">
        <v>21732888.549925882</v>
      </c>
      <c r="G135">
        <v>4</v>
      </c>
      <c r="H135">
        <v>1</v>
      </c>
      <c r="K135">
        <v>5</v>
      </c>
      <c r="L135">
        <v>1</v>
      </c>
      <c r="M135">
        <v>400000</v>
      </c>
      <c r="O135">
        <v>4515360.3603603598</v>
      </c>
      <c r="P135">
        <v>5292324.3243243238</v>
      </c>
      <c r="Q135">
        <v>925225.22522522497</v>
      </c>
      <c r="R135">
        <v>486846.84684684698</v>
      </c>
      <c r="S135">
        <v>802</v>
      </c>
      <c r="T135">
        <v>877</v>
      </c>
    </row>
    <row r="136" spans="1:20" x14ac:dyDescent="0.35">
      <c r="A136" s="7" t="s">
        <v>225</v>
      </c>
      <c r="B136" s="12" t="s">
        <v>143</v>
      </c>
      <c r="C136">
        <v>206029131.08158001</v>
      </c>
      <c r="D136">
        <v>198413417.38675371</v>
      </c>
      <c r="E136">
        <v>425225.22522522701</v>
      </c>
      <c r="F136">
        <v>2437837.8378378409</v>
      </c>
      <c r="G136">
        <v>48</v>
      </c>
      <c r="H136">
        <v>68</v>
      </c>
      <c r="K136">
        <v>60</v>
      </c>
      <c r="L136">
        <v>82</v>
      </c>
      <c r="M136">
        <v>10362162.162162161</v>
      </c>
      <c r="N136">
        <v>10711711.711711712</v>
      </c>
      <c r="O136">
        <v>21232450.450450446</v>
      </c>
      <c r="P136">
        <v>26716050.9009009</v>
      </c>
      <c r="Q136">
        <v>6765945.9459459428</v>
      </c>
      <c r="R136">
        <v>7213693.6936936919</v>
      </c>
      <c r="S136">
        <v>5974</v>
      </c>
      <c r="T136">
        <v>6078</v>
      </c>
    </row>
    <row r="137" spans="1:20" x14ac:dyDescent="0.35">
      <c r="A137" s="7" t="s">
        <v>226</v>
      </c>
      <c r="B137" s="12" t="s">
        <v>224</v>
      </c>
      <c r="C137">
        <v>24103957.526510894</v>
      </c>
      <c r="D137">
        <v>21994483.037659854</v>
      </c>
      <c r="E137">
        <v>2702.7027027029999</v>
      </c>
      <c r="F137">
        <v>121621.62162162201</v>
      </c>
      <c r="G137">
        <v>5</v>
      </c>
      <c r="H137">
        <v>9</v>
      </c>
      <c r="K137">
        <v>7</v>
      </c>
      <c r="L137">
        <v>11</v>
      </c>
      <c r="M137">
        <v>3071891.8918918911</v>
      </c>
      <c r="N137">
        <v>3539639.6396396402</v>
      </c>
      <c r="O137">
        <v>5088828.8288288293</v>
      </c>
      <c r="P137">
        <v>6869175.6756756762</v>
      </c>
      <c r="Q137">
        <v>2153693.6936936919</v>
      </c>
      <c r="R137">
        <v>2777387.387387387</v>
      </c>
      <c r="S137">
        <v>792</v>
      </c>
      <c r="T137">
        <v>808</v>
      </c>
    </row>
    <row r="138" spans="1:20" x14ac:dyDescent="0.35">
      <c r="A138" s="7" t="s">
        <v>227</v>
      </c>
      <c r="B138" s="12" t="s">
        <v>78</v>
      </c>
      <c r="C138">
        <v>192126020.40166098</v>
      </c>
      <c r="D138">
        <v>182927834.59560126</v>
      </c>
      <c r="E138">
        <v>749549.54954955098</v>
      </c>
      <c r="F138">
        <v>2238738.7387387408</v>
      </c>
      <c r="G138">
        <v>31</v>
      </c>
      <c r="H138">
        <v>32</v>
      </c>
      <c r="K138">
        <v>34</v>
      </c>
      <c r="L138">
        <v>35</v>
      </c>
      <c r="M138">
        <v>19785585.585585583</v>
      </c>
      <c r="N138">
        <v>21430090.090090092</v>
      </c>
      <c r="O138">
        <v>72213007.207207203</v>
      </c>
      <c r="P138">
        <v>72776801.801801801</v>
      </c>
      <c r="Q138">
        <v>15138421.621621624</v>
      </c>
      <c r="R138">
        <v>15914684.684684685</v>
      </c>
      <c r="S138">
        <v>4929</v>
      </c>
      <c r="T138">
        <v>4982</v>
      </c>
    </row>
    <row r="139" spans="1:20" x14ac:dyDescent="0.35">
      <c r="A139" s="7" t="s">
        <v>668</v>
      </c>
      <c r="B139" s="12" t="s">
        <v>283</v>
      </c>
      <c r="E139">
        <v>10135135.135135137</v>
      </c>
      <c r="F139">
        <v>72927927.927927941</v>
      </c>
      <c r="M139">
        <v>13312162.162162162</v>
      </c>
    </row>
    <row r="140" spans="1:20" x14ac:dyDescent="0.35">
      <c r="A140" s="7" t="s">
        <v>228</v>
      </c>
      <c r="B140" s="12" t="s">
        <v>136</v>
      </c>
      <c r="C140">
        <v>266663104.17302948</v>
      </c>
      <c r="D140">
        <v>245521804.06027859</v>
      </c>
      <c r="E140">
        <v>693918.91891892103</v>
      </c>
      <c r="F140">
        <v>1577027.02702703</v>
      </c>
      <c r="G140">
        <v>58</v>
      </c>
      <c r="H140">
        <v>52</v>
      </c>
      <c r="K140">
        <v>68</v>
      </c>
      <c r="L140">
        <v>71</v>
      </c>
      <c r="M140">
        <v>40210000</v>
      </c>
      <c r="N140">
        <v>31366666.666666664</v>
      </c>
      <c r="O140">
        <v>56377600</v>
      </c>
      <c r="P140">
        <v>59200013.513513513</v>
      </c>
      <c r="Q140">
        <v>33981621.621621624</v>
      </c>
      <c r="R140">
        <v>23111081.081081081</v>
      </c>
      <c r="S140">
        <v>7650</v>
      </c>
      <c r="T140">
        <v>7600</v>
      </c>
    </row>
    <row r="141" spans="1:20" x14ac:dyDescent="0.35">
      <c r="A141" s="7" t="s">
        <v>229</v>
      </c>
      <c r="B141" s="12" t="s">
        <v>78</v>
      </c>
      <c r="C141">
        <v>68354902.622492671</v>
      </c>
      <c r="D141">
        <v>71541603.393463522</v>
      </c>
      <c r="E141">
        <v>31809459.459459461</v>
      </c>
      <c r="F141">
        <v>64052702.702702701</v>
      </c>
      <c r="G141">
        <v>16</v>
      </c>
      <c r="H141">
        <v>24</v>
      </c>
      <c r="K141">
        <v>16</v>
      </c>
      <c r="L141">
        <v>29</v>
      </c>
      <c r="M141">
        <v>10232882.882882882</v>
      </c>
      <c r="N141">
        <v>15087387.387387387</v>
      </c>
      <c r="O141">
        <v>30046891.891891893</v>
      </c>
      <c r="P141">
        <v>34590693.693693697</v>
      </c>
      <c r="Q141">
        <v>11076936.936936937</v>
      </c>
      <c r="R141">
        <v>15483693.693693692</v>
      </c>
      <c r="S141">
        <v>2463</v>
      </c>
      <c r="T141">
        <v>2594</v>
      </c>
    </row>
    <row r="142" spans="1:20" x14ac:dyDescent="0.35">
      <c r="A142" s="7" t="s">
        <v>230</v>
      </c>
      <c r="B142" s="12" t="s">
        <v>54</v>
      </c>
      <c r="C142">
        <v>209012042.3962087</v>
      </c>
      <c r="D142">
        <v>200326996.72137177</v>
      </c>
      <c r="E142">
        <v>616441.441441442</v>
      </c>
      <c r="F142">
        <v>860360.36036036105</v>
      </c>
      <c r="G142">
        <v>23</v>
      </c>
      <c r="H142">
        <v>21</v>
      </c>
      <c r="K142">
        <v>29</v>
      </c>
      <c r="L142">
        <v>26</v>
      </c>
      <c r="M142">
        <v>6312612.6126126116</v>
      </c>
      <c r="N142">
        <v>17387387.387387387</v>
      </c>
      <c r="O142">
        <v>47194594.59459459</v>
      </c>
      <c r="P142">
        <v>50427917.117117122</v>
      </c>
      <c r="Q142">
        <v>6694414.4144144161</v>
      </c>
      <c r="R142">
        <v>21428468.468468469</v>
      </c>
      <c r="S142">
        <v>6918</v>
      </c>
      <c r="T142">
        <v>6719</v>
      </c>
    </row>
    <row r="143" spans="1:20" x14ac:dyDescent="0.35">
      <c r="A143" s="7" t="s">
        <v>231</v>
      </c>
      <c r="B143" s="12" t="s">
        <v>78</v>
      </c>
      <c r="C143">
        <v>79887790.728225172</v>
      </c>
      <c r="D143">
        <v>75061305.418439314</v>
      </c>
      <c r="E143">
        <v>174774.77477477599</v>
      </c>
      <c r="F143">
        <v>1846846.8468468499</v>
      </c>
      <c r="G143">
        <v>35</v>
      </c>
      <c r="H143">
        <v>28</v>
      </c>
      <c r="K143">
        <v>42</v>
      </c>
      <c r="L143">
        <v>55</v>
      </c>
      <c r="M143">
        <v>20715315.315315314</v>
      </c>
      <c r="N143">
        <v>18029729.729729727</v>
      </c>
      <c r="O143">
        <v>36025450.45045045</v>
      </c>
      <c r="P143">
        <v>35492873.873873875</v>
      </c>
      <c r="Q143">
        <v>21173513.513513517</v>
      </c>
      <c r="R143">
        <v>18346486.486486483</v>
      </c>
      <c r="S143">
        <v>4045</v>
      </c>
      <c r="T143">
        <v>4105</v>
      </c>
    </row>
    <row r="144" spans="1:20" x14ac:dyDescent="0.35">
      <c r="A144" s="7" t="s">
        <v>232</v>
      </c>
      <c r="B144" s="12" t="s">
        <v>60</v>
      </c>
      <c r="C144">
        <v>69294364.087156162</v>
      </c>
      <c r="D144">
        <v>70348750.792512327</v>
      </c>
      <c r="G144">
        <v>23</v>
      </c>
      <c r="H144">
        <v>16</v>
      </c>
      <c r="K144">
        <v>25</v>
      </c>
      <c r="L144">
        <v>19</v>
      </c>
      <c r="M144">
        <v>81081.081081081007</v>
      </c>
      <c r="O144">
        <v>27266756.756756756</v>
      </c>
      <c r="P144">
        <v>29560855.855855856</v>
      </c>
      <c r="Q144">
        <v>81081.081081081007</v>
      </c>
      <c r="S144">
        <v>1914</v>
      </c>
      <c r="T144">
        <v>1852</v>
      </c>
    </row>
    <row r="145" spans="1:20" x14ac:dyDescent="0.35">
      <c r="A145" s="7" t="s">
        <v>233</v>
      </c>
      <c r="B145" s="12" t="s">
        <v>54</v>
      </c>
      <c r="C145">
        <v>33736216.773940332</v>
      </c>
      <c r="D145">
        <v>33619108.381386526</v>
      </c>
      <c r="E145">
        <v>573873.87387387396</v>
      </c>
      <c r="F145">
        <v>58558.558558559002</v>
      </c>
      <c r="G145">
        <v>15</v>
      </c>
      <c r="H145">
        <v>12</v>
      </c>
      <c r="K145">
        <v>35</v>
      </c>
      <c r="L145">
        <v>57</v>
      </c>
      <c r="M145">
        <v>1686486.4864864859</v>
      </c>
      <c r="N145">
        <v>1422522.5225225219</v>
      </c>
      <c r="O145">
        <v>7085180.1801801799</v>
      </c>
      <c r="P145">
        <v>6775270.2702702712</v>
      </c>
      <c r="Q145">
        <v>1983153.1531531529</v>
      </c>
      <c r="R145">
        <v>1436936.936936937</v>
      </c>
      <c r="S145">
        <v>1067</v>
      </c>
      <c r="T145">
        <v>1099</v>
      </c>
    </row>
    <row r="146" spans="1:20" x14ac:dyDescent="0.35">
      <c r="A146" s="7" t="s">
        <v>234</v>
      </c>
      <c r="B146" s="12" t="s">
        <v>167</v>
      </c>
      <c r="C146">
        <v>166633974.21866918</v>
      </c>
      <c r="D146">
        <v>154867341.49572319</v>
      </c>
      <c r="E146">
        <v>26126.126126126001</v>
      </c>
      <c r="F146">
        <v>324324.32432432403</v>
      </c>
      <c r="G146">
        <v>40</v>
      </c>
      <c r="H146">
        <v>11</v>
      </c>
      <c r="K146">
        <v>46</v>
      </c>
      <c r="L146">
        <v>14</v>
      </c>
      <c r="M146">
        <v>12878378.37837838</v>
      </c>
      <c r="N146">
        <v>11971519.819819819</v>
      </c>
      <c r="O146">
        <v>43677657.657657653</v>
      </c>
      <c r="P146">
        <v>44359400.900900893</v>
      </c>
      <c r="Q146">
        <v>8169412.6126126125</v>
      </c>
      <c r="R146">
        <v>7593873.8738738727</v>
      </c>
      <c r="S146">
        <v>4815</v>
      </c>
      <c r="T146">
        <v>5256</v>
      </c>
    </row>
    <row r="147" spans="1:20" x14ac:dyDescent="0.35">
      <c r="A147" s="7" t="s">
        <v>235</v>
      </c>
      <c r="B147" s="12" t="s">
        <v>236</v>
      </c>
      <c r="C147">
        <v>6185.0602862180003</v>
      </c>
      <c r="D147">
        <v>83.347957742000006</v>
      </c>
      <c r="P147">
        <v>9009.0090090089998</v>
      </c>
      <c r="T147">
        <v>4</v>
      </c>
    </row>
    <row r="148" spans="1:20" x14ac:dyDescent="0.35">
      <c r="A148" s="7" t="s">
        <v>237</v>
      </c>
      <c r="B148" s="12" t="s">
        <v>105</v>
      </c>
      <c r="C148">
        <v>96160624.618749425</v>
      </c>
      <c r="D148">
        <v>92120460.840676069</v>
      </c>
      <c r="E148">
        <v>262522.52252252301</v>
      </c>
      <c r="F148">
        <v>230630.630630631</v>
      </c>
      <c r="G148">
        <v>17</v>
      </c>
      <c r="H148">
        <v>12</v>
      </c>
      <c r="K148">
        <v>21</v>
      </c>
      <c r="L148">
        <v>13</v>
      </c>
      <c r="M148">
        <v>11795225.225225223</v>
      </c>
      <c r="N148">
        <v>14540540.540540542</v>
      </c>
      <c r="O148">
        <v>26856612.612612613</v>
      </c>
      <c r="P148">
        <v>26793522.52252252</v>
      </c>
      <c r="Q148">
        <v>10458918.918918919</v>
      </c>
      <c r="R148">
        <v>13999819.819819819</v>
      </c>
      <c r="S148">
        <v>1980</v>
      </c>
      <c r="T148">
        <v>1873</v>
      </c>
    </row>
    <row r="149" spans="1:20" x14ac:dyDescent="0.35">
      <c r="A149" s="7" t="s">
        <v>3</v>
      </c>
      <c r="B149" s="12" t="s">
        <v>158</v>
      </c>
      <c r="C149">
        <v>192854283.39487663</v>
      </c>
      <c r="D149">
        <v>186424461.66176116</v>
      </c>
      <c r="E149">
        <v>1924099.0990991001</v>
      </c>
      <c r="F149">
        <v>2776576.5765765789</v>
      </c>
      <c r="G149">
        <v>26</v>
      </c>
      <c r="H149">
        <v>30</v>
      </c>
      <c r="K149">
        <v>33</v>
      </c>
      <c r="L149">
        <v>33</v>
      </c>
      <c r="M149">
        <v>34684234.234234236</v>
      </c>
      <c r="N149">
        <v>33897297.297297299</v>
      </c>
      <c r="O149">
        <v>48252207.20720721</v>
      </c>
      <c r="P149">
        <v>53491036.036036029</v>
      </c>
      <c r="Q149">
        <v>35336486.486486487</v>
      </c>
      <c r="R149">
        <v>35371801.801801801</v>
      </c>
      <c r="S149">
        <v>3698</v>
      </c>
      <c r="T149">
        <v>3785</v>
      </c>
    </row>
    <row r="150" spans="1:20" x14ac:dyDescent="0.35">
      <c r="A150" s="7" t="s">
        <v>238</v>
      </c>
      <c r="B150" s="12" t="s">
        <v>178</v>
      </c>
      <c r="C150">
        <v>163302328.06038132</v>
      </c>
      <c r="D150">
        <v>146374261.62524381</v>
      </c>
      <c r="E150">
        <v>1845045.045045045</v>
      </c>
      <c r="F150">
        <v>436936.93693693797</v>
      </c>
      <c r="G150">
        <v>23</v>
      </c>
      <c r="H150">
        <v>31</v>
      </c>
      <c r="K150">
        <v>30</v>
      </c>
      <c r="L150">
        <v>40</v>
      </c>
      <c r="M150">
        <v>20178378.37837838</v>
      </c>
      <c r="N150">
        <v>26382882.882882886</v>
      </c>
      <c r="O150">
        <v>50299810.810810804</v>
      </c>
      <c r="P150">
        <v>44894378.378378376</v>
      </c>
      <c r="Q150">
        <v>13427747.747747747</v>
      </c>
      <c r="R150">
        <v>18652072.072072074</v>
      </c>
      <c r="S150">
        <v>5518</v>
      </c>
      <c r="T150">
        <v>5307</v>
      </c>
    </row>
    <row r="151" spans="1:20" x14ac:dyDescent="0.35">
      <c r="A151" s="7" t="s">
        <v>239</v>
      </c>
      <c r="B151" s="12" t="s">
        <v>54</v>
      </c>
      <c r="C151">
        <v>110562162.78169651</v>
      </c>
      <c r="D151">
        <v>103128921.96742573</v>
      </c>
      <c r="E151">
        <v>1094009.009009009</v>
      </c>
      <c r="F151">
        <v>2181981.9819819839</v>
      </c>
      <c r="G151">
        <v>10</v>
      </c>
      <c r="H151">
        <v>21</v>
      </c>
      <c r="K151">
        <v>14</v>
      </c>
      <c r="L151">
        <v>21</v>
      </c>
      <c r="M151">
        <v>15339279.27927928</v>
      </c>
      <c r="N151">
        <v>14849009.009009007</v>
      </c>
      <c r="O151">
        <v>29545077.47747748</v>
      </c>
      <c r="P151">
        <v>28392185.585585583</v>
      </c>
      <c r="Q151">
        <v>13122655.855855856</v>
      </c>
      <c r="R151">
        <v>12782969.369369373</v>
      </c>
      <c r="S151">
        <v>3522</v>
      </c>
      <c r="T151">
        <v>3513</v>
      </c>
    </row>
    <row r="152" spans="1:20" x14ac:dyDescent="0.35">
      <c r="A152" s="7" t="s">
        <v>240</v>
      </c>
      <c r="B152" s="12" t="s">
        <v>241</v>
      </c>
      <c r="C152">
        <v>94629790.79613623</v>
      </c>
      <c r="D152">
        <v>88741170.690087005</v>
      </c>
      <c r="E152">
        <v>154054.05405405501</v>
      </c>
      <c r="F152">
        <v>631531.53153153404</v>
      </c>
      <c r="G152">
        <v>47</v>
      </c>
      <c r="H152">
        <v>42</v>
      </c>
      <c r="K152">
        <v>56</v>
      </c>
      <c r="L152">
        <v>47</v>
      </c>
      <c r="M152">
        <v>56471711.711711712</v>
      </c>
      <c r="N152">
        <v>6156036.0360360388</v>
      </c>
      <c r="O152">
        <v>23128423.423423424</v>
      </c>
      <c r="P152">
        <v>20599052.252252251</v>
      </c>
      <c r="Q152">
        <v>64698738.738738738</v>
      </c>
      <c r="R152">
        <v>6905315.3153153174</v>
      </c>
      <c r="S152">
        <v>3162</v>
      </c>
      <c r="T152">
        <v>2933</v>
      </c>
    </row>
    <row r="153" spans="1:20" x14ac:dyDescent="0.35">
      <c r="A153" s="7" t="s">
        <v>242</v>
      </c>
      <c r="B153" s="12" t="s">
        <v>241</v>
      </c>
      <c r="C153">
        <v>246929433.59915882</v>
      </c>
      <c r="D153">
        <v>233095271.76601323</v>
      </c>
      <c r="E153">
        <v>754954.95495495596</v>
      </c>
      <c r="F153">
        <v>2379279.27927928</v>
      </c>
      <c r="G153">
        <v>126</v>
      </c>
      <c r="H153">
        <v>90</v>
      </c>
      <c r="I153">
        <v>1</v>
      </c>
      <c r="K153">
        <v>143</v>
      </c>
      <c r="L153">
        <v>101</v>
      </c>
      <c r="M153">
        <v>48405225.225225225</v>
      </c>
      <c r="N153">
        <v>57443603.603603609</v>
      </c>
      <c r="O153">
        <v>74698441.441441447</v>
      </c>
      <c r="P153">
        <v>68003468.468468457</v>
      </c>
      <c r="Q153">
        <v>46613423.423423424</v>
      </c>
      <c r="R153">
        <v>54418378.378378376</v>
      </c>
      <c r="S153">
        <v>6868</v>
      </c>
      <c r="T153">
        <v>6574</v>
      </c>
    </row>
    <row r="154" spans="1:20" x14ac:dyDescent="0.35">
      <c r="A154" s="7" t="s">
        <v>243</v>
      </c>
      <c r="B154" s="12" t="s">
        <v>50</v>
      </c>
      <c r="C154">
        <v>45185596.113308229</v>
      </c>
      <c r="D154">
        <v>39896687.175120197</v>
      </c>
      <c r="E154">
        <v>170921429.72972974</v>
      </c>
      <c r="F154">
        <v>186320531.53153151</v>
      </c>
      <c r="G154">
        <v>12</v>
      </c>
      <c r="H154">
        <v>4</v>
      </c>
      <c r="K154">
        <v>12</v>
      </c>
      <c r="L154">
        <v>4</v>
      </c>
      <c r="M154">
        <v>80061490.990990996</v>
      </c>
      <c r="N154">
        <v>90070450.45045045</v>
      </c>
      <c r="O154">
        <v>16175225.225225223</v>
      </c>
      <c r="P154">
        <v>12796504.504504504</v>
      </c>
      <c r="Q154">
        <v>5422252.2522522528</v>
      </c>
      <c r="R154">
        <v>3246036.0360360378</v>
      </c>
      <c r="S154">
        <v>1166</v>
      </c>
      <c r="T154">
        <v>1169</v>
      </c>
    </row>
    <row r="155" spans="1:20" x14ac:dyDescent="0.35">
      <c r="A155" s="7" t="s">
        <v>244</v>
      </c>
      <c r="B155" s="12" t="s">
        <v>181</v>
      </c>
      <c r="C155">
        <v>1381630097.927618</v>
      </c>
      <c r="D155">
        <v>1268753172.9527407</v>
      </c>
      <c r="E155">
        <v>185972628.82882884</v>
      </c>
      <c r="F155">
        <v>85983268.468468487</v>
      </c>
      <c r="G155">
        <v>577</v>
      </c>
      <c r="H155">
        <v>503</v>
      </c>
      <c r="I155">
        <v>13</v>
      </c>
      <c r="K155">
        <v>713</v>
      </c>
      <c r="L155">
        <v>1111</v>
      </c>
      <c r="M155">
        <v>129225855.85585584</v>
      </c>
      <c r="N155">
        <v>158910090.09009007</v>
      </c>
      <c r="O155">
        <v>273552942.34234232</v>
      </c>
      <c r="P155">
        <v>291585741.44144142</v>
      </c>
      <c r="Q155">
        <v>124743873.87387386</v>
      </c>
      <c r="R155">
        <v>149128108.1081081</v>
      </c>
      <c r="S155">
        <v>44180</v>
      </c>
      <c r="T155">
        <v>44949</v>
      </c>
    </row>
    <row r="156" spans="1:20" x14ac:dyDescent="0.35">
      <c r="A156" s="7" t="s">
        <v>245</v>
      </c>
      <c r="B156" s="12" t="s">
        <v>48</v>
      </c>
      <c r="C156">
        <v>59767203.469244078</v>
      </c>
      <c r="D156">
        <v>55375844.948626988</v>
      </c>
      <c r="E156">
        <v>94111157.657657668</v>
      </c>
      <c r="F156">
        <v>112091670.27027027</v>
      </c>
      <c r="G156">
        <v>5</v>
      </c>
      <c r="H156">
        <v>1</v>
      </c>
      <c r="K156">
        <v>5</v>
      </c>
      <c r="L156">
        <v>5</v>
      </c>
      <c r="M156">
        <v>10813873.873873873</v>
      </c>
      <c r="N156">
        <v>31001981.981981985</v>
      </c>
      <c r="O156">
        <v>14135135.135135137</v>
      </c>
      <c r="P156">
        <v>12051612.612612613</v>
      </c>
      <c r="Q156">
        <v>7861531.5315315314</v>
      </c>
      <c r="R156">
        <v>18713333.333333332</v>
      </c>
      <c r="S156">
        <v>1807</v>
      </c>
      <c r="T156">
        <v>1798</v>
      </c>
    </row>
    <row r="157" spans="1:20" x14ac:dyDescent="0.35">
      <c r="A157" s="7" t="s">
        <v>246</v>
      </c>
      <c r="B157" s="12" t="s">
        <v>94</v>
      </c>
      <c r="C157">
        <v>25017955.191084392</v>
      </c>
      <c r="D157">
        <v>14998365.296129957</v>
      </c>
      <c r="G157">
        <v>3</v>
      </c>
      <c r="K157">
        <v>3</v>
      </c>
      <c r="O157">
        <v>4219639.6396396402</v>
      </c>
      <c r="P157">
        <v>2646666.666666667</v>
      </c>
      <c r="S157">
        <v>714</v>
      </c>
      <c r="T157">
        <v>700</v>
      </c>
    </row>
    <row r="158" spans="1:20" x14ac:dyDescent="0.35">
      <c r="A158" s="7" t="s">
        <v>247</v>
      </c>
      <c r="B158" s="12" t="s">
        <v>117</v>
      </c>
      <c r="C158">
        <v>50850257.735006496</v>
      </c>
      <c r="D158">
        <v>51578345.140388571</v>
      </c>
      <c r="E158">
        <v>674590.99099099298</v>
      </c>
      <c r="F158">
        <v>957500.90090090199</v>
      </c>
      <c r="G158">
        <v>16</v>
      </c>
      <c r="H158">
        <v>6</v>
      </c>
      <c r="K158">
        <v>21</v>
      </c>
      <c r="L158">
        <v>8</v>
      </c>
      <c r="M158">
        <v>12230540.540540541</v>
      </c>
      <c r="N158">
        <v>6318940.5405405434</v>
      </c>
      <c r="O158">
        <v>23951486.486486487</v>
      </c>
      <c r="P158">
        <v>25301108.108108107</v>
      </c>
      <c r="Q158">
        <v>11826846.846846847</v>
      </c>
      <c r="R158">
        <v>8681441.4414414428</v>
      </c>
      <c r="S158">
        <v>1777</v>
      </c>
      <c r="T158">
        <v>1835</v>
      </c>
    </row>
    <row r="159" spans="1:20" x14ac:dyDescent="0.35">
      <c r="A159" s="7" t="s">
        <v>248</v>
      </c>
      <c r="B159" s="12" t="s">
        <v>121</v>
      </c>
      <c r="C159">
        <v>86004807.620896593</v>
      </c>
      <c r="D159">
        <v>87920953.869940147</v>
      </c>
      <c r="E159">
        <v>99549.549549550007</v>
      </c>
      <c r="F159">
        <v>697297.29729729798</v>
      </c>
      <c r="G159">
        <v>53</v>
      </c>
      <c r="H159">
        <v>55</v>
      </c>
      <c r="K159">
        <v>59</v>
      </c>
      <c r="L159">
        <v>59</v>
      </c>
      <c r="M159">
        <v>4092792.792792792</v>
      </c>
      <c r="N159">
        <v>3905405.405405405</v>
      </c>
      <c r="O159">
        <v>8880846.8468468469</v>
      </c>
      <c r="P159">
        <v>10292540.540540541</v>
      </c>
      <c r="Q159">
        <v>3752702.7027027011</v>
      </c>
      <c r="R159">
        <v>2842432.4324324331</v>
      </c>
      <c r="S159">
        <v>2326</v>
      </c>
      <c r="T159">
        <v>2277</v>
      </c>
    </row>
    <row r="160" spans="1:20" x14ac:dyDescent="0.35">
      <c r="A160" s="7" t="s">
        <v>249</v>
      </c>
      <c r="B160" s="12" t="s">
        <v>76</v>
      </c>
      <c r="C160">
        <v>41544762.029231839</v>
      </c>
      <c r="D160">
        <v>36548920.27015692</v>
      </c>
      <c r="G160">
        <v>5</v>
      </c>
      <c r="H160">
        <v>3</v>
      </c>
      <c r="K160">
        <v>6</v>
      </c>
      <c r="L160">
        <v>3</v>
      </c>
      <c r="O160">
        <v>4128000</v>
      </c>
      <c r="P160">
        <v>3510900.9009009008</v>
      </c>
      <c r="S160">
        <v>1617</v>
      </c>
      <c r="T160">
        <v>1587</v>
      </c>
    </row>
    <row r="161" spans="1:20" x14ac:dyDescent="0.35">
      <c r="A161" s="7" t="s">
        <v>250</v>
      </c>
      <c r="B161" s="12" t="s">
        <v>167</v>
      </c>
      <c r="C161">
        <v>124205363.08214134</v>
      </c>
      <c r="D161">
        <v>119509545.41159073</v>
      </c>
      <c r="G161">
        <v>5</v>
      </c>
      <c r="H161">
        <v>28</v>
      </c>
      <c r="K161">
        <v>9</v>
      </c>
      <c r="L161">
        <v>41</v>
      </c>
      <c r="M161">
        <v>4951351.3513513524</v>
      </c>
      <c r="N161">
        <v>1828828.8288288291</v>
      </c>
      <c r="O161">
        <v>20900900.9009009</v>
      </c>
      <c r="P161">
        <v>23995810.810810808</v>
      </c>
      <c r="Q161">
        <v>1458108.1081081091</v>
      </c>
      <c r="R161">
        <v>1075585.585585586</v>
      </c>
      <c r="S161">
        <v>3740</v>
      </c>
      <c r="T161">
        <v>3740</v>
      </c>
    </row>
    <row r="162" spans="1:20" x14ac:dyDescent="0.35">
      <c r="A162" s="7" t="s">
        <v>251</v>
      </c>
      <c r="B162" s="12" t="s">
        <v>89</v>
      </c>
      <c r="C162">
        <v>361229780.66262507</v>
      </c>
      <c r="D162">
        <v>358566914.16550726</v>
      </c>
      <c r="E162">
        <v>5606666.6666666707</v>
      </c>
      <c r="F162">
        <v>1688288.2882882929</v>
      </c>
      <c r="G162">
        <v>43</v>
      </c>
      <c r="H162">
        <v>61</v>
      </c>
      <c r="K162">
        <v>48</v>
      </c>
      <c r="L162">
        <v>75</v>
      </c>
      <c r="M162">
        <v>28023243.243243244</v>
      </c>
      <c r="N162">
        <v>26683063.063063059</v>
      </c>
      <c r="O162">
        <v>84844353.153153151</v>
      </c>
      <c r="P162">
        <v>87460540.540540546</v>
      </c>
      <c r="Q162">
        <v>29985135.135135133</v>
      </c>
      <c r="R162">
        <v>26046936.936936937</v>
      </c>
      <c r="S162">
        <v>10317</v>
      </c>
      <c r="T162">
        <v>10263</v>
      </c>
    </row>
    <row r="163" spans="1:20" x14ac:dyDescent="0.35">
      <c r="A163" s="7" t="s">
        <v>252</v>
      </c>
      <c r="B163" s="12" t="s">
        <v>78</v>
      </c>
      <c r="C163">
        <v>105985902.59016889</v>
      </c>
      <c r="D163">
        <v>103355240.47153734</v>
      </c>
      <c r="E163">
        <v>418018.01801801799</v>
      </c>
      <c r="F163">
        <v>1245045.0450450471</v>
      </c>
      <c r="G163">
        <v>24</v>
      </c>
      <c r="H163">
        <v>15</v>
      </c>
      <c r="K163">
        <v>25</v>
      </c>
      <c r="L163">
        <v>16</v>
      </c>
      <c r="M163">
        <v>13337747.747747745</v>
      </c>
      <c r="N163">
        <v>19834684.684684683</v>
      </c>
      <c r="O163">
        <v>29137693.693693697</v>
      </c>
      <c r="P163">
        <v>29699990.990990993</v>
      </c>
      <c r="Q163">
        <v>11660450.450450452</v>
      </c>
      <c r="R163">
        <v>18601981.981981985</v>
      </c>
      <c r="S163">
        <v>2863</v>
      </c>
      <c r="T163">
        <v>2840</v>
      </c>
    </row>
    <row r="164" spans="1:20" x14ac:dyDescent="0.35">
      <c r="A164" s="7" t="s">
        <v>253</v>
      </c>
      <c r="B164" s="12" t="s">
        <v>105</v>
      </c>
      <c r="C164">
        <v>208039385.44185084</v>
      </c>
      <c r="D164">
        <v>205585170.63891783</v>
      </c>
      <c r="E164">
        <v>1656336.936936937</v>
      </c>
      <c r="F164">
        <v>88619691.891891897</v>
      </c>
      <c r="G164">
        <v>48</v>
      </c>
      <c r="H164">
        <v>50</v>
      </c>
      <c r="I164">
        <v>1</v>
      </c>
      <c r="K164">
        <v>54</v>
      </c>
      <c r="L164">
        <v>85</v>
      </c>
      <c r="M164">
        <v>25048108.108108107</v>
      </c>
      <c r="N164">
        <v>35172432.432432435</v>
      </c>
      <c r="O164">
        <v>60919036.036036029</v>
      </c>
      <c r="P164">
        <v>58664126.126126125</v>
      </c>
      <c r="Q164">
        <v>24506666.666666668</v>
      </c>
      <c r="R164">
        <v>35322702.702702701</v>
      </c>
      <c r="S164">
        <v>5479</v>
      </c>
      <c r="T164">
        <v>5239</v>
      </c>
    </row>
    <row r="165" spans="1:20" x14ac:dyDescent="0.35">
      <c r="A165" s="7" t="s">
        <v>254</v>
      </c>
      <c r="B165" s="12" t="s">
        <v>105</v>
      </c>
      <c r="C165">
        <v>133611816.20026599</v>
      </c>
      <c r="D165">
        <v>125886709.13655876</v>
      </c>
      <c r="E165">
        <v>1341441.4414414419</v>
      </c>
      <c r="F165">
        <v>1036036.036036038</v>
      </c>
      <c r="G165">
        <v>17</v>
      </c>
      <c r="H165">
        <v>11</v>
      </c>
      <c r="K165">
        <v>18</v>
      </c>
      <c r="L165">
        <v>13</v>
      </c>
      <c r="M165">
        <v>7849369.3693693681</v>
      </c>
      <c r="N165">
        <v>10203963.963963963</v>
      </c>
      <c r="O165">
        <v>40476529.729729727</v>
      </c>
      <c r="P165">
        <v>38762846.846846849</v>
      </c>
      <c r="Q165">
        <v>8145945.9459459437</v>
      </c>
      <c r="R165">
        <v>8510360.3603603598</v>
      </c>
      <c r="S165">
        <v>3782</v>
      </c>
      <c r="T165">
        <v>3918</v>
      </c>
    </row>
    <row r="166" spans="1:20" x14ac:dyDescent="0.35">
      <c r="A166" s="7" t="s">
        <v>255</v>
      </c>
      <c r="B166" s="12" t="s">
        <v>105</v>
      </c>
      <c r="C166">
        <v>112041059.59442289</v>
      </c>
      <c r="D166">
        <v>113606083.04647644</v>
      </c>
      <c r="E166">
        <v>16726126.126126125</v>
      </c>
      <c r="F166">
        <v>13513.513513514001</v>
      </c>
      <c r="G166">
        <v>15</v>
      </c>
      <c r="H166">
        <v>14</v>
      </c>
      <c r="K166">
        <v>16</v>
      </c>
      <c r="L166">
        <v>17</v>
      </c>
      <c r="M166">
        <v>1565315.315315315</v>
      </c>
      <c r="N166">
        <v>1674324.324324324</v>
      </c>
      <c r="O166">
        <v>22519729.729729727</v>
      </c>
      <c r="P166">
        <v>25065971.171171173</v>
      </c>
      <c r="Q166">
        <v>967387.38738738699</v>
      </c>
      <c r="R166">
        <v>1029279.2792792791</v>
      </c>
      <c r="S166">
        <v>2108</v>
      </c>
      <c r="T166">
        <v>1969</v>
      </c>
    </row>
    <row r="167" spans="1:20" x14ac:dyDescent="0.35">
      <c r="A167" s="7" t="s">
        <v>256</v>
      </c>
      <c r="B167" s="12" t="s">
        <v>134</v>
      </c>
      <c r="C167">
        <v>180840105.43136296</v>
      </c>
      <c r="D167">
        <v>174589991.73921141</v>
      </c>
      <c r="E167">
        <v>137837.83783783799</v>
      </c>
      <c r="F167">
        <v>612612.61261261301</v>
      </c>
      <c r="G167">
        <v>23</v>
      </c>
      <c r="H167">
        <v>15</v>
      </c>
      <c r="K167">
        <v>24</v>
      </c>
      <c r="L167">
        <v>16</v>
      </c>
      <c r="M167">
        <v>1939639.63963964</v>
      </c>
      <c r="N167">
        <v>3234234.2342342339</v>
      </c>
      <c r="O167">
        <v>12228234.234234236</v>
      </c>
      <c r="P167">
        <v>12004810.810810812</v>
      </c>
      <c r="Q167">
        <v>849279.27927927906</v>
      </c>
      <c r="R167">
        <v>3737837.8378378381</v>
      </c>
      <c r="S167">
        <v>4131</v>
      </c>
      <c r="T167">
        <v>4175</v>
      </c>
    </row>
    <row r="168" spans="1:20" x14ac:dyDescent="0.35">
      <c r="A168" s="7" t="s">
        <v>257</v>
      </c>
      <c r="B168" s="12" t="s">
        <v>167</v>
      </c>
      <c r="C168">
        <v>67366198.256457686</v>
      </c>
      <c r="D168">
        <v>57010714.791670658</v>
      </c>
      <c r="F168">
        <v>900900.90090090095</v>
      </c>
      <c r="G168">
        <v>40</v>
      </c>
      <c r="H168">
        <v>10</v>
      </c>
      <c r="K168">
        <v>45</v>
      </c>
      <c r="L168">
        <v>14</v>
      </c>
      <c r="M168">
        <v>4907657.6576576587</v>
      </c>
      <c r="N168">
        <v>2852945.0450450452</v>
      </c>
      <c r="O168">
        <v>23594369.369369369</v>
      </c>
      <c r="P168">
        <v>19499292.792792793</v>
      </c>
      <c r="Q168">
        <v>4013783.783783786</v>
      </c>
      <c r="R168">
        <v>2769729.7297297302</v>
      </c>
      <c r="S168">
        <v>2507</v>
      </c>
      <c r="T168">
        <v>2490</v>
      </c>
    </row>
    <row r="169" spans="1:20" x14ac:dyDescent="0.35">
      <c r="A169" s="7" t="s">
        <v>258</v>
      </c>
      <c r="B169" s="12" t="s">
        <v>60</v>
      </c>
      <c r="C169">
        <v>26747458.641829278</v>
      </c>
      <c r="D169">
        <v>23557092.758910388</v>
      </c>
      <c r="E169">
        <v>15765.765765766</v>
      </c>
      <c r="F169">
        <v>247747.74774774801</v>
      </c>
      <c r="G169">
        <v>8</v>
      </c>
      <c r="H169">
        <v>12</v>
      </c>
      <c r="I169">
        <v>2</v>
      </c>
      <c r="K169">
        <v>8</v>
      </c>
      <c r="L169">
        <v>19</v>
      </c>
      <c r="M169">
        <v>5240990.9909909898</v>
      </c>
      <c r="N169">
        <v>4653153.1531531541</v>
      </c>
      <c r="O169">
        <v>9933873.8738738745</v>
      </c>
      <c r="P169">
        <v>8195306.3063063063</v>
      </c>
      <c r="Q169">
        <v>4991801.8018018017</v>
      </c>
      <c r="R169">
        <v>5159639.6396396402</v>
      </c>
      <c r="S169">
        <v>641</v>
      </c>
      <c r="T169">
        <v>661</v>
      </c>
    </row>
    <row r="170" spans="1:20" x14ac:dyDescent="0.35">
      <c r="A170" s="7" t="s">
        <v>259</v>
      </c>
      <c r="B170" s="12" t="s">
        <v>260</v>
      </c>
      <c r="C170">
        <v>12937723.961308489</v>
      </c>
      <c r="D170">
        <v>14779340.208994459</v>
      </c>
      <c r="E170">
        <v>1801801.8018018019</v>
      </c>
      <c r="F170">
        <v>10810.810810810999</v>
      </c>
      <c r="G170">
        <v>9</v>
      </c>
      <c r="H170">
        <v>4</v>
      </c>
      <c r="K170">
        <v>9</v>
      </c>
      <c r="L170">
        <v>5</v>
      </c>
      <c r="M170">
        <v>2702702.702702703</v>
      </c>
      <c r="N170">
        <v>3197747.7477477482</v>
      </c>
      <c r="O170">
        <v>2561486.4864864871</v>
      </c>
      <c r="P170">
        <v>2394846.8468468469</v>
      </c>
      <c r="Q170">
        <v>4099729.7297297302</v>
      </c>
      <c r="R170">
        <v>1760180.1801801799</v>
      </c>
      <c r="S170">
        <v>591</v>
      </c>
      <c r="T170">
        <v>572</v>
      </c>
    </row>
    <row r="171" spans="1:20" x14ac:dyDescent="0.35">
      <c r="A171" s="7" t="s">
        <v>261</v>
      </c>
      <c r="B171" s="12" t="s">
        <v>60</v>
      </c>
      <c r="C171">
        <v>224864420.41764119</v>
      </c>
      <c r="D171">
        <v>226712810.87989411</v>
      </c>
      <c r="E171">
        <v>147899214.41441444</v>
      </c>
      <c r="F171">
        <v>232484693.6936937</v>
      </c>
      <c r="G171">
        <v>87</v>
      </c>
      <c r="H171">
        <v>202</v>
      </c>
      <c r="I171">
        <v>10</v>
      </c>
      <c r="K171">
        <v>100</v>
      </c>
      <c r="L171">
        <v>284</v>
      </c>
      <c r="M171">
        <v>45095585.585585587</v>
      </c>
      <c r="N171">
        <v>51968918.918918923</v>
      </c>
      <c r="O171">
        <v>77746648.648648635</v>
      </c>
      <c r="P171">
        <v>82592213.963963971</v>
      </c>
      <c r="Q171">
        <v>45025765.765765756</v>
      </c>
      <c r="R171">
        <v>58897117.117117122</v>
      </c>
      <c r="S171">
        <v>6228</v>
      </c>
      <c r="T171">
        <v>6243</v>
      </c>
    </row>
    <row r="172" spans="1:20" x14ac:dyDescent="0.35">
      <c r="A172" s="7" t="s">
        <v>262</v>
      </c>
      <c r="B172" s="12" t="s">
        <v>123</v>
      </c>
      <c r="C172">
        <v>181009801.05360901</v>
      </c>
      <c r="D172">
        <v>171294894.28165838</v>
      </c>
      <c r="E172">
        <v>303153.15315315401</v>
      </c>
      <c r="F172">
        <v>293693.69369369501</v>
      </c>
      <c r="G172">
        <v>27</v>
      </c>
      <c r="H172">
        <v>34</v>
      </c>
      <c r="I172">
        <v>1</v>
      </c>
      <c r="K172">
        <v>32</v>
      </c>
      <c r="L172">
        <v>36</v>
      </c>
      <c r="M172">
        <v>8422432.4324324317</v>
      </c>
      <c r="N172">
        <v>11416036.036036037</v>
      </c>
      <c r="O172">
        <v>67961837.837837845</v>
      </c>
      <c r="P172">
        <v>68004180.180180177</v>
      </c>
      <c r="Q172">
        <v>8343873.8738738745</v>
      </c>
      <c r="R172">
        <v>9513963.9639639631</v>
      </c>
      <c r="S172">
        <v>5525</v>
      </c>
      <c r="T172">
        <v>5653</v>
      </c>
    </row>
    <row r="173" spans="1:20" x14ac:dyDescent="0.35">
      <c r="A173" s="7" t="s">
        <v>263</v>
      </c>
      <c r="B173" s="12" t="s">
        <v>123</v>
      </c>
      <c r="C173">
        <v>78257307.140244633</v>
      </c>
      <c r="D173">
        <v>74102140.986460522</v>
      </c>
      <c r="E173">
        <v>390090.09009009</v>
      </c>
      <c r="F173">
        <v>872297.29729729798</v>
      </c>
      <c r="G173">
        <v>25</v>
      </c>
      <c r="H173">
        <v>25</v>
      </c>
      <c r="I173">
        <v>2</v>
      </c>
      <c r="K173">
        <v>29</v>
      </c>
      <c r="L173">
        <v>28</v>
      </c>
      <c r="M173">
        <v>13527117.117117116</v>
      </c>
      <c r="N173">
        <v>16178468.468468469</v>
      </c>
      <c r="O173">
        <v>32786972.97297297</v>
      </c>
      <c r="P173">
        <v>29923864.864864863</v>
      </c>
      <c r="Q173">
        <v>17869909.909909911</v>
      </c>
      <c r="R173">
        <v>15554864.864864863</v>
      </c>
      <c r="S173">
        <v>2426</v>
      </c>
      <c r="T173">
        <v>2337</v>
      </c>
    </row>
    <row r="174" spans="1:20" x14ac:dyDescent="0.35">
      <c r="A174" s="7" t="s">
        <v>264</v>
      </c>
      <c r="B174" s="12" t="s">
        <v>125</v>
      </c>
      <c r="C174">
        <v>182121921.88828483</v>
      </c>
      <c r="D174">
        <v>182273510.70893297</v>
      </c>
      <c r="E174">
        <v>20282551.351351351</v>
      </c>
      <c r="F174">
        <v>42521728.828828827</v>
      </c>
      <c r="G174">
        <v>24</v>
      </c>
      <c r="H174">
        <v>51</v>
      </c>
      <c r="K174">
        <v>25</v>
      </c>
      <c r="L174">
        <v>54</v>
      </c>
      <c r="M174">
        <v>19868018.018018015</v>
      </c>
      <c r="N174">
        <v>26845945.945945945</v>
      </c>
      <c r="O174">
        <v>61517882.882882878</v>
      </c>
      <c r="P174">
        <v>65711142.342342347</v>
      </c>
      <c r="Q174">
        <v>16863873.873873875</v>
      </c>
      <c r="R174">
        <v>14318108.108108109</v>
      </c>
      <c r="S174">
        <v>4374</v>
      </c>
      <c r="T174">
        <v>4379</v>
      </c>
    </row>
    <row r="175" spans="1:20" x14ac:dyDescent="0.35">
      <c r="A175" s="7" t="s">
        <v>265</v>
      </c>
      <c r="B175" s="12" t="s">
        <v>123</v>
      </c>
      <c r="C175">
        <v>186673362.989573</v>
      </c>
      <c r="D175">
        <v>175840546.85129726</v>
      </c>
      <c r="E175">
        <v>103566666.66666667</v>
      </c>
      <c r="F175">
        <v>136560180.18018016</v>
      </c>
      <c r="G175">
        <v>52</v>
      </c>
      <c r="H175">
        <v>15</v>
      </c>
      <c r="K175">
        <v>56</v>
      </c>
      <c r="L175">
        <v>18</v>
      </c>
      <c r="M175">
        <v>17923693.693693694</v>
      </c>
      <c r="N175">
        <v>16867297.297297295</v>
      </c>
      <c r="O175">
        <v>64989369.369369365</v>
      </c>
      <c r="P175">
        <v>60870338.738738738</v>
      </c>
      <c r="Q175">
        <v>14769819.819819819</v>
      </c>
      <c r="R175">
        <v>15953423.423423424</v>
      </c>
      <c r="S175">
        <v>4831</v>
      </c>
      <c r="T175">
        <v>4747</v>
      </c>
    </row>
    <row r="176" spans="1:20" x14ac:dyDescent="0.35">
      <c r="A176" s="7" t="s">
        <v>266</v>
      </c>
      <c r="B176" s="12" t="s">
        <v>123</v>
      </c>
      <c r="C176">
        <v>183114869.73491916</v>
      </c>
      <c r="D176">
        <v>184960212.57860279</v>
      </c>
      <c r="E176">
        <v>1431531.5315315321</v>
      </c>
      <c r="F176">
        <v>2315765.765765768</v>
      </c>
      <c r="G176">
        <v>24</v>
      </c>
      <c r="H176">
        <v>38</v>
      </c>
      <c r="K176">
        <v>26</v>
      </c>
      <c r="L176">
        <v>42</v>
      </c>
      <c r="M176">
        <v>21194774.774774775</v>
      </c>
      <c r="N176">
        <v>21296396.396396395</v>
      </c>
      <c r="O176">
        <v>70768954.954954967</v>
      </c>
      <c r="P176">
        <v>75990243.243243247</v>
      </c>
      <c r="Q176">
        <v>20194234.234234236</v>
      </c>
      <c r="R176">
        <v>20839369.369369369</v>
      </c>
      <c r="S176">
        <v>5490</v>
      </c>
      <c r="T176">
        <v>5631</v>
      </c>
    </row>
    <row r="177" spans="1:20" x14ac:dyDescent="0.35">
      <c r="A177" s="7" t="s">
        <v>267</v>
      </c>
      <c r="B177" s="12" t="s">
        <v>178</v>
      </c>
      <c r="C177">
        <v>978214176.50081062</v>
      </c>
      <c r="D177">
        <v>937988037.22501659</v>
      </c>
      <c r="E177">
        <v>542799894.5945946</v>
      </c>
      <c r="F177">
        <v>396084626.12612617</v>
      </c>
      <c r="G177">
        <v>444</v>
      </c>
      <c r="H177">
        <v>351</v>
      </c>
      <c r="I177">
        <v>3</v>
      </c>
      <c r="K177">
        <v>733</v>
      </c>
      <c r="L177">
        <v>807</v>
      </c>
      <c r="M177">
        <v>153202252.25225225</v>
      </c>
      <c r="N177">
        <v>141265969.36936939</v>
      </c>
      <c r="O177">
        <v>278660126.12612611</v>
      </c>
      <c r="P177">
        <v>284504642.34234232</v>
      </c>
      <c r="Q177">
        <v>134782702.7027027</v>
      </c>
      <c r="R177">
        <v>121119819.81981982</v>
      </c>
      <c r="S177">
        <v>32546</v>
      </c>
      <c r="T177">
        <v>31322</v>
      </c>
    </row>
    <row r="178" spans="1:20" x14ac:dyDescent="0.35">
      <c r="A178" s="7" t="s">
        <v>268</v>
      </c>
      <c r="B178" s="12" t="s">
        <v>62</v>
      </c>
      <c r="C178">
        <v>147701688.39979216</v>
      </c>
      <c r="D178">
        <v>155280241.01761511</v>
      </c>
      <c r="E178">
        <v>1470360.3603603621</v>
      </c>
      <c r="F178">
        <v>3297297.2972972989</v>
      </c>
      <c r="G178">
        <v>26</v>
      </c>
      <c r="H178">
        <v>47</v>
      </c>
      <c r="K178">
        <v>29</v>
      </c>
      <c r="L178">
        <v>51</v>
      </c>
      <c r="M178">
        <v>11668378.378378376</v>
      </c>
      <c r="N178">
        <v>59152342.342342339</v>
      </c>
      <c r="O178">
        <v>47706711.711711712</v>
      </c>
      <c r="P178">
        <v>49080450.45045045</v>
      </c>
      <c r="Q178">
        <v>12342252.252252251</v>
      </c>
      <c r="R178">
        <v>45642342.342342339</v>
      </c>
      <c r="S178">
        <v>4748</v>
      </c>
      <c r="T178">
        <v>4722</v>
      </c>
    </row>
    <row r="179" spans="1:20" x14ac:dyDescent="0.35">
      <c r="A179" s="7" t="s">
        <v>269</v>
      </c>
      <c r="B179" s="12" t="s">
        <v>70</v>
      </c>
      <c r="C179">
        <v>197639574.62416989</v>
      </c>
      <c r="D179">
        <v>200197593.57913336</v>
      </c>
      <c r="E179">
        <v>4135585.5855855849</v>
      </c>
      <c r="F179">
        <v>1776576.5765765789</v>
      </c>
      <c r="G179">
        <v>44</v>
      </c>
      <c r="H179">
        <v>58</v>
      </c>
      <c r="K179">
        <v>49</v>
      </c>
      <c r="L179">
        <v>115</v>
      </c>
      <c r="M179">
        <v>29585135.135135137</v>
      </c>
      <c r="N179">
        <v>15719819.819819825</v>
      </c>
      <c r="O179">
        <v>88782873.873873875</v>
      </c>
      <c r="P179">
        <v>90623468.468468457</v>
      </c>
      <c r="Q179">
        <v>28691891.891891897</v>
      </c>
      <c r="R179">
        <v>13927117.117117122</v>
      </c>
      <c r="S179">
        <v>6987</v>
      </c>
      <c r="T179">
        <v>6980</v>
      </c>
    </row>
    <row r="180" spans="1:20" x14ac:dyDescent="0.35">
      <c r="A180" s="7" t="s">
        <v>270</v>
      </c>
      <c r="B180" s="12" t="s">
        <v>134</v>
      </c>
      <c r="C180">
        <v>2453200.6428343821</v>
      </c>
      <c r="D180">
        <v>2803380.5049217511</v>
      </c>
      <c r="G180">
        <v>2</v>
      </c>
      <c r="K180">
        <v>3</v>
      </c>
      <c r="O180">
        <v>183783.783783783</v>
      </c>
      <c r="P180">
        <v>149639.63963963999</v>
      </c>
      <c r="S180">
        <v>272</v>
      </c>
      <c r="T180">
        <v>259</v>
      </c>
    </row>
    <row r="181" spans="1:20" x14ac:dyDescent="0.35">
      <c r="A181" s="7" t="s">
        <v>271</v>
      </c>
      <c r="B181" s="12" t="s">
        <v>76</v>
      </c>
      <c r="C181">
        <v>93544339.867314726</v>
      </c>
      <c r="D181">
        <v>93615663.211049706</v>
      </c>
      <c r="E181">
        <v>9009.0090090089998</v>
      </c>
      <c r="F181">
        <v>54054.054054054002</v>
      </c>
      <c r="G181">
        <v>25</v>
      </c>
      <c r="H181">
        <v>14</v>
      </c>
      <c r="K181">
        <v>29</v>
      </c>
      <c r="L181">
        <v>15</v>
      </c>
      <c r="M181">
        <v>99099.099099098996</v>
      </c>
      <c r="N181">
        <v>144144.144144144</v>
      </c>
      <c r="O181">
        <v>5809189.1891891891</v>
      </c>
      <c r="P181">
        <v>6194644.1441441448</v>
      </c>
      <c r="Q181">
        <v>215315.31531531501</v>
      </c>
      <c r="R181">
        <v>128828.82882882901</v>
      </c>
      <c r="S181">
        <v>2429</v>
      </c>
      <c r="T181">
        <v>2373</v>
      </c>
    </row>
    <row r="182" spans="1:20" x14ac:dyDescent="0.35">
      <c r="A182" s="7" t="s">
        <v>272</v>
      </c>
      <c r="B182" s="12" t="s">
        <v>76</v>
      </c>
      <c r="C182">
        <v>34012046.770806268</v>
      </c>
      <c r="D182">
        <v>31691241.054188866</v>
      </c>
      <c r="E182">
        <v>56306.306306306004</v>
      </c>
      <c r="F182">
        <v>150450.450450451</v>
      </c>
      <c r="G182">
        <v>15</v>
      </c>
      <c r="H182">
        <v>2</v>
      </c>
      <c r="K182">
        <v>17</v>
      </c>
      <c r="L182">
        <v>3</v>
      </c>
      <c r="M182">
        <v>11452702.702702701</v>
      </c>
      <c r="N182">
        <v>8781261.2612612601</v>
      </c>
      <c r="O182">
        <v>10259864.864864863</v>
      </c>
      <c r="P182">
        <v>8836810.8108108118</v>
      </c>
      <c r="Q182">
        <v>7101801.8018017998</v>
      </c>
      <c r="R182">
        <v>7260540.5405405406</v>
      </c>
      <c r="S182">
        <v>808</v>
      </c>
      <c r="T182">
        <v>806</v>
      </c>
    </row>
    <row r="183" spans="1:20" x14ac:dyDescent="0.35">
      <c r="A183" s="7" t="s">
        <v>273</v>
      </c>
      <c r="B183" s="12" t="s">
        <v>260</v>
      </c>
      <c r="C183">
        <v>718239604.19390702</v>
      </c>
      <c r="D183">
        <v>670178882.68972504</v>
      </c>
      <c r="E183">
        <v>6169819.8198198238</v>
      </c>
      <c r="F183">
        <v>8108108.1081081098</v>
      </c>
      <c r="G183">
        <v>123</v>
      </c>
      <c r="H183">
        <v>187</v>
      </c>
      <c r="I183">
        <v>1</v>
      </c>
      <c r="K183">
        <v>147</v>
      </c>
      <c r="L183">
        <v>276</v>
      </c>
      <c r="M183">
        <v>122953603.6036036</v>
      </c>
      <c r="N183">
        <v>147029729.72972974</v>
      </c>
      <c r="O183">
        <v>196527405.4054054</v>
      </c>
      <c r="P183">
        <v>206646020.27027026</v>
      </c>
      <c r="Q183">
        <v>117431081.08108109</v>
      </c>
      <c r="R183">
        <v>120899279.27927928</v>
      </c>
      <c r="S183">
        <v>19522</v>
      </c>
      <c r="T183">
        <v>18226</v>
      </c>
    </row>
    <row r="184" spans="1:20" x14ac:dyDescent="0.35">
      <c r="A184" s="7" t="s">
        <v>274</v>
      </c>
      <c r="B184" s="12" t="s">
        <v>260</v>
      </c>
      <c r="C184">
        <v>165863017.53853512</v>
      </c>
      <c r="D184">
        <v>144328503.39814544</v>
      </c>
      <c r="E184">
        <v>1404504.5045045051</v>
      </c>
      <c r="F184">
        <v>1236486.486486489</v>
      </c>
      <c r="G184">
        <v>13</v>
      </c>
      <c r="H184">
        <v>8</v>
      </c>
      <c r="K184">
        <v>14</v>
      </c>
      <c r="L184">
        <v>10</v>
      </c>
      <c r="M184">
        <v>8178378.3783783773</v>
      </c>
      <c r="N184">
        <v>12319369.369369367</v>
      </c>
      <c r="O184">
        <v>29459243.243243244</v>
      </c>
      <c r="P184">
        <v>28349531.531531531</v>
      </c>
      <c r="Q184">
        <v>6345945.9459459474</v>
      </c>
      <c r="R184">
        <v>9673963.9639639631</v>
      </c>
      <c r="S184">
        <v>3768</v>
      </c>
      <c r="T184">
        <v>3848</v>
      </c>
    </row>
    <row r="185" spans="1:20" x14ac:dyDescent="0.35">
      <c r="A185" s="7" t="s">
        <v>275</v>
      </c>
      <c r="B185" s="12" t="s">
        <v>260</v>
      </c>
      <c r="C185">
        <v>171998769.60122892</v>
      </c>
      <c r="D185">
        <v>160227293.26850709</v>
      </c>
      <c r="E185">
        <v>6110360.3603603598</v>
      </c>
      <c r="F185">
        <v>4614864.8648648662</v>
      </c>
      <c r="G185">
        <v>24</v>
      </c>
      <c r="H185">
        <v>15</v>
      </c>
      <c r="K185">
        <v>25</v>
      </c>
      <c r="L185">
        <v>22</v>
      </c>
      <c r="M185">
        <v>25830630.630630631</v>
      </c>
      <c r="N185">
        <v>35352252.252252258</v>
      </c>
      <c r="O185">
        <v>39094144.144144148</v>
      </c>
      <c r="P185">
        <v>35105351.351351351</v>
      </c>
      <c r="Q185">
        <v>25471081.081081081</v>
      </c>
      <c r="R185">
        <v>32664234.234234236</v>
      </c>
      <c r="S185">
        <v>6007</v>
      </c>
      <c r="T185">
        <v>5774</v>
      </c>
    </row>
    <row r="186" spans="1:20" x14ac:dyDescent="0.35">
      <c r="A186" s="7" t="s">
        <v>276</v>
      </c>
      <c r="B186" s="12" t="s">
        <v>134</v>
      </c>
      <c r="C186">
        <v>202804371.90549943</v>
      </c>
      <c r="D186">
        <v>208433984.66285655</v>
      </c>
      <c r="E186">
        <v>27027.027027027001</v>
      </c>
      <c r="F186">
        <v>238738.73873874001</v>
      </c>
      <c r="G186">
        <v>37</v>
      </c>
      <c r="H186">
        <v>42</v>
      </c>
      <c r="K186">
        <v>37</v>
      </c>
      <c r="L186">
        <v>47</v>
      </c>
      <c r="M186">
        <v>9486486.4864864871</v>
      </c>
      <c r="N186">
        <v>14202702.702702705</v>
      </c>
      <c r="O186">
        <v>18527639.639639638</v>
      </c>
      <c r="P186">
        <v>17463400.9009009</v>
      </c>
      <c r="Q186">
        <v>5772252.2522522509</v>
      </c>
      <c r="R186">
        <v>4771261.2612612611</v>
      </c>
      <c r="S186">
        <v>5361</v>
      </c>
      <c r="T186">
        <v>5380</v>
      </c>
    </row>
    <row r="187" spans="1:20" x14ac:dyDescent="0.35">
      <c r="A187" s="7" t="s">
        <v>277</v>
      </c>
      <c r="B187" s="12" t="s">
        <v>169</v>
      </c>
      <c r="C187">
        <v>153309103.06415507</v>
      </c>
      <c r="D187">
        <v>123221915.91458964</v>
      </c>
      <c r="E187">
        <v>581981.98198198201</v>
      </c>
      <c r="F187">
        <v>172072.07207207201</v>
      </c>
      <c r="G187">
        <v>29</v>
      </c>
      <c r="H187">
        <v>18</v>
      </c>
      <c r="K187">
        <v>29</v>
      </c>
      <c r="L187">
        <v>34</v>
      </c>
      <c r="M187">
        <v>11392792.792792792</v>
      </c>
      <c r="N187">
        <v>10120270.270270271</v>
      </c>
      <c r="O187">
        <v>62485477.477477483</v>
      </c>
      <c r="P187">
        <v>53863961.711711712</v>
      </c>
      <c r="Q187">
        <v>9816846.8468468487</v>
      </c>
      <c r="R187">
        <v>7627477.4774774769</v>
      </c>
      <c r="S187">
        <v>3360</v>
      </c>
      <c r="T187">
        <v>3367</v>
      </c>
    </row>
    <row r="188" spans="1:20" x14ac:dyDescent="0.35">
      <c r="A188" s="7" t="s">
        <v>278</v>
      </c>
      <c r="B188" s="12" t="s">
        <v>169</v>
      </c>
      <c r="C188">
        <v>64285526.797248475</v>
      </c>
      <c r="D188">
        <v>65843126.769858837</v>
      </c>
      <c r="E188">
        <v>900.900900901</v>
      </c>
      <c r="F188">
        <v>3603.603603604</v>
      </c>
      <c r="G188">
        <v>3</v>
      </c>
      <c r="H188">
        <v>9</v>
      </c>
      <c r="K188">
        <v>3</v>
      </c>
      <c r="L188">
        <v>10</v>
      </c>
      <c r="M188">
        <v>1802702.702702703</v>
      </c>
      <c r="N188">
        <v>2739301.8018018021</v>
      </c>
      <c r="O188">
        <v>24306414.414414417</v>
      </c>
      <c r="P188">
        <v>28915851.351351351</v>
      </c>
      <c r="Q188">
        <v>2795495.4954954959</v>
      </c>
      <c r="R188">
        <v>3292702.702702703</v>
      </c>
      <c r="S188">
        <v>2069</v>
      </c>
      <c r="T188">
        <v>2095</v>
      </c>
    </row>
    <row r="189" spans="1:20" x14ac:dyDescent="0.35">
      <c r="A189" s="7" t="s">
        <v>279</v>
      </c>
      <c r="B189" s="12" t="s">
        <v>87</v>
      </c>
      <c r="C189">
        <v>1848414.7998090121</v>
      </c>
      <c r="D189">
        <v>1700534.2466860979</v>
      </c>
      <c r="G189">
        <v>3</v>
      </c>
      <c r="H189">
        <v>3</v>
      </c>
      <c r="K189">
        <v>4</v>
      </c>
      <c r="L189">
        <v>3</v>
      </c>
      <c r="O189">
        <v>1089187.387387387</v>
      </c>
      <c r="P189">
        <v>624468.46846846805</v>
      </c>
      <c r="S189">
        <v>193</v>
      </c>
      <c r="T189">
        <v>132</v>
      </c>
    </row>
    <row r="190" spans="1:20" x14ac:dyDescent="0.35">
      <c r="A190" s="7" t="s">
        <v>280</v>
      </c>
      <c r="B190" s="12" t="s">
        <v>169</v>
      </c>
      <c r="C190">
        <v>118202376.3365207</v>
      </c>
      <c r="D190">
        <v>121290762.96866947</v>
      </c>
      <c r="E190">
        <v>887612.61261261196</v>
      </c>
      <c r="F190">
        <v>567567.56756756804</v>
      </c>
      <c r="G190">
        <v>19</v>
      </c>
      <c r="H190">
        <v>30</v>
      </c>
      <c r="K190">
        <v>20</v>
      </c>
      <c r="L190">
        <v>32</v>
      </c>
      <c r="M190">
        <v>10117387.387387386</v>
      </c>
      <c r="N190">
        <v>18164684.684684683</v>
      </c>
      <c r="O190">
        <v>45933288.288288288</v>
      </c>
      <c r="P190">
        <v>50211477.477477483</v>
      </c>
      <c r="Q190">
        <v>11925315.315315314</v>
      </c>
      <c r="R190">
        <v>16440720.72072072</v>
      </c>
      <c r="S190">
        <v>4109</v>
      </c>
      <c r="T190">
        <v>4068</v>
      </c>
    </row>
    <row r="191" spans="1:20" x14ac:dyDescent="0.35">
      <c r="A191" s="7" t="s">
        <v>669</v>
      </c>
      <c r="B191" s="12" t="s">
        <v>143</v>
      </c>
      <c r="E191">
        <v>116777627.92792794</v>
      </c>
      <c r="F191">
        <v>72767125.225225225</v>
      </c>
      <c r="M191">
        <v>7657657.6576576577</v>
      </c>
      <c r="N191">
        <v>7207207.2072072066</v>
      </c>
    </row>
    <row r="192" spans="1:20" x14ac:dyDescent="0.35">
      <c r="A192" s="7" t="s">
        <v>281</v>
      </c>
      <c r="B192" s="12" t="s">
        <v>54</v>
      </c>
      <c r="C192">
        <v>93398623.169735357</v>
      </c>
      <c r="D192">
        <v>89953545.316451684</v>
      </c>
      <c r="E192">
        <v>583108.10810811003</v>
      </c>
      <c r="F192">
        <v>967567.56756757002</v>
      </c>
      <c r="G192">
        <v>36</v>
      </c>
      <c r="H192">
        <v>31</v>
      </c>
      <c r="K192">
        <v>44</v>
      </c>
      <c r="L192">
        <v>38</v>
      </c>
      <c r="M192">
        <v>9778828.8288288284</v>
      </c>
      <c r="N192">
        <v>9718018.0180180185</v>
      </c>
      <c r="O192">
        <v>19623000</v>
      </c>
      <c r="P192">
        <v>19543315.315315317</v>
      </c>
      <c r="Q192">
        <v>9338198.1981981993</v>
      </c>
      <c r="R192">
        <v>9350450.4504504502</v>
      </c>
      <c r="S192">
        <v>3723</v>
      </c>
      <c r="T192">
        <v>3615</v>
      </c>
    </row>
    <row r="193" spans="1:20" x14ac:dyDescent="0.35">
      <c r="A193" s="7" t="s">
        <v>282</v>
      </c>
      <c r="B193" s="12" t="s">
        <v>283</v>
      </c>
      <c r="C193">
        <v>152228787.86891752</v>
      </c>
      <c r="D193">
        <v>114040913.52309488</v>
      </c>
      <c r="E193">
        <v>48198.198198199003</v>
      </c>
      <c r="F193">
        <v>312612.612612614</v>
      </c>
      <c r="G193">
        <v>71</v>
      </c>
      <c r="H193">
        <v>38</v>
      </c>
      <c r="K193">
        <v>74</v>
      </c>
      <c r="L193">
        <v>66</v>
      </c>
      <c r="M193">
        <v>4994144.1441441448</v>
      </c>
      <c r="N193">
        <v>6898198.1981982002</v>
      </c>
      <c r="O193">
        <v>18649549.54954955</v>
      </c>
      <c r="P193">
        <v>19610486.486486487</v>
      </c>
      <c r="Q193">
        <v>5236846.8468468478</v>
      </c>
      <c r="R193">
        <v>6720270.2702702722</v>
      </c>
      <c r="S193">
        <v>3337</v>
      </c>
      <c r="T193">
        <v>3206</v>
      </c>
    </row>
    <row r="194" spans="1:20" x14ac:dyDescent="0.35">
      <c r="A194" s="7" t="s">
        <v>284</v>
      </c>
      <c r="B194" s="12" t="s">
        <v>283</v>
      </c>
      <c r="C194">
        <v>251832723.91109759</v>
      </c>
      <c r="D194">
        <v>260037159.56757128</v>
      </c>
      <c r="E194">
        <v>1449324.3243243259</v>
      </c>
      <c r="F194">
        <v>1471621.6216216281</v>
      </c>
      <c r="G194">
        <v>52</v>
      </c>
      <c r="H194">
        <v>46</v>
      </c>
      <c r="K194">
        <v>57</v>
      </c>
      <c r="L194">
        <v>72</v>
      </c>
      <c r="M194">
        <v>29550900.9009009</v>
      </c>
      <c r="N194">
        <v>29726126.126126129</v>
      </c>
      <c r="O194">
        <v>48775027.027027026</v>
      </c>
      <c r="P194">
        <v>54210310.810810804</v>
      </c>
      <c r="Q194">
        <v>25062522.522522524</v>
      </c>
      <c r="R194">
        <v>26234234.234234232</v>
      </c>
      <c r="S194">
        <v>8402</v>
      </c>
      <c r="T194">
        <v>7924</v>
      </c>
    </row>
    <row r="195" spans="1:20" x14ac:dyDescent="0.35">
      <c r="A195" s="7" t="s">
        <v>285</v>
      </c>
      <c r="B195" s="12" t="s">
        <v>283</v>
      </c>
      <c r="C195">
        <v>133893974.22897108</v>
      </c>
      <c r="D195">
        <v>137848868.64189059</v>
      </c>
      <c r="E195">
        <v>1361261.2612612629</v>
      </c>
      <c r="F195">
        <v>1054054.0540540561</v>
      </c>
      <c r="G195">
        <v>52</v>
      </c>
      <c r="H195">
        <v>31</v>
      </c>
      <c r="K195">
        <v>54</v>
      </c>
      <c r="L195">
        <v>48</v>
      </c>
      <c r="M195">
        <v>32746846.846846849</v>
      </c>
      <c r="N195">
        <v>37376576.576576576</v>
      </c>
      <c r="O195">
        <v>43421288.288288288</v>
      </c>
      <c r="P195">
        <v>43760774.774774775</v>
      </c>
      <c r="Q195">
        <v>28601351.351351351</v>
      </c>
      <c r="R195">
        <v>31446576.576576576</v>
      </c>
      <c r="S195">
        <v>4788</v>
      </c>
      <c r="T195">
        <v>4623</v>
      </c>
    </row>
    <row r="196" spans="1:20" x14ac:dyDescent="0.35">
      <c r="A196" s="7" t="s">
        <v>286</v>
      </c>
      <c r="B196" s="12" t="s">
        <v>283</v>
      </c>
      <c r="C196">
        <v>97627447.078067005</v>
      </c>
      <c r="D196">
        <v>101689610.45475428</v>
      </c>
      <c r="E196">
        <v>81141209.009009004</v>
      </c>
      <c r="F196">
        <v>176253709.90990993</v>
      </c>
      <c r="G196">
        <v>15</v>
      </c>
      <c r="H196">
        <v>7</v>
      </c>
      <c r="K196">
        <v>16</v>
      </c>
      <c r="L196">
        <v>8</v>
      </c>
      <c r="M196">
        <v>12411531.531531531</v>
      </c>
      <c r="N196">
        <v>47007541.441441439</v>
      </c>
      <c r="O196">
        <v>16108864.864864863</v>
      </c>
      <c r="P196">
        <v>19874891.891891893</v>
      </c>
      <c r="Q196">
        <v>3769729.7297297288</v>
      </c>
      <c r="R196">
        <v>28579549.54954955</v>
      </c>
      <c r="S196">
        <v>1936</v>
      </c>
      <c r="T196">
        <v>2502</v>
      </c>
    </row>
    <row r="197" spans="1:20" x14ac:dyDescent="0.35">
      <c r="A197" s="7" t="s">
        <v>287</v>
      </c>
      <c r="B197" s="12" t="s">
        <v>283</v>
      </c>
      <c r="C197">
        <v>46817352.217073575</v>
      </c>
      <c r="D197">
        <v>51317957.915978029</v>
      </c>
      <c r="E197">
        <v>76576.576576577005</v>
      </c>
      <c r="F197">
        <v>451351.35135135398</v>
      </c>
      <c r="G197">
        <v>4</v>
      </c>
      <c r="H197">
        <v>1</v>
      </c>
      <c r="K197">
        <v>5</v>
      </c>
      <c r="L197">
        <v>2</v>
      </c>
      <c r="M197">
        <v>76576.576576577005</v>
      </c>
      <c r="N197">
        <v>12397297.297297295</v>
      </c>
      <c r="O197">
        <v>8398648.6486486495</v>
      </c>
      <c r="P197">
        <v>9383351.3513513524</v>
      </c>
      <c r="R197">
        <v>11916666.666666668</v>
      </c>
      <c r="S197">
        <v>1389</v>
      </c>
      <c r="T197">
        <v>1402</v>
      </c>
    </row>
    <row r="198" spans="1:20" x14ac:dyDescent="0.35">
      <c r="A198" s="7" t="s">
        <v>288</v>
      </c>
      <c r="B198" s="12" t="s">
        <v>283</v>
      </c>
      <c r="C198">
        <v>7947274.309146964</v>
      </c>
      <c r="D198">
        <v>8432133.0624791645</v>
      </c>
      <c r="E198">
        <v>5180.1801801800002</v>
      </c>
      <c r="F198">
        <v>193693.69369369399</v>
      </c>
      <c r="G198">
        <v>3</v>
      </c>
      <c r="K198">
        <v>3</v>
      </c>
      <c r="M198">
        <v>793693.69369369396</v>
      </c>
      <c r="N198">
        <v>18319819.819819819</v>
      </c>
      <c r="O198">
        <v>1063063.063063063</v>
      </c>
      <c r="P198">
        <v>1176900.9009009011</v>
      </c>
      <c r="Q198">
        <v>788288.28828828805</v>
      </c>
      <c r="R198">
        <v>18126126.126126129</v>
      </c>
      <c r="S198">
        <v>311</v>
      </c>
      <c r="T198">
        <v>336</v>
      </c>
    </row>
    <row r="199" spans="1:20" x14ac:dyDescent="0.35">
      <c r="A199" s="7" t="s">
        <v>289</v>
      </c>
      <c r="B199" s="12" t="s">
        <v>290</v>
      </c>
      <c r="C199">
        <v>105860629.84558684</v>
      </c>
      <c r="D199">
        <v>106463784.83000359</v>
      </c>
      <c r="E199">
        <v>18723423.423423424</v>
      </c>
      <c r="F199">
        <v>6421621.6216216218</v>
      </c>
      <c r="G199">
        <v>44</v>
      </c>
      <c r="H199">
        <v>24</v>
      </c>
      <c r="K199">
        <v>53</v>
      </c>
      <c r="L199">
        <v>28</v>
      </c>
      <c r="M199">
        <v>1421621.6216216229</v>
      </c>
      <c r="N199">
        <v>198198.19819819901</v>
      </c>
      <c r="O199">
        <v>9643962.1621621624</v>
      </c>
      <c r="P199">
        <v>9517569.3693693671</v>
      </c>
      <c r="Q199">
        <v>970900.90090090199</v>
      </c>
      <c r="R199">
        <v>480000</v>
      </c>
      <c r="S199">
        <v>4038</v>
      </c>
      <c r="T199">
        <v>4477</v>
      </c>
    </row>
    <row r="200" spans="1:20" x14ac:dyDescent="0.35">
      <c r="A200" s="7" t="s">
        <v>291</v>
      </c>
      <c r="B200" s="12" t="s">
        <v>147</v>
      </c>
      <c r="C200">
        <v>242219100.05691281</v>
      </c>
      <c r="D200">
        <v>238134247.5398235</v>
      </c>
      <c r="E200">
        <v>48048873.873873875</v>
      </c>
      <c r="F200">
        <v>87156756.756756753</v>
      </c>
      <c r="G200">
        <v>41</v>
      </c>
      <c r="H200">
        <v>56</v>
      </c>
      <c r="K200">
        <v>50</v>
      </c>
      <c r="L200">
        <v>69</v>
      </c>
      <c r="M200">
        <v>39078828.828828827</v>
      </c>
      <c r="N200">
        <v>101439515.31531531</v>
      </c>
      <c r="O200">
        <v>80895000</v>
      </c>
      <c r="P200">
        <v>89796792.792792797</v>
      </c>
      <c r="Q200">
        <v>30633243.24324324</v>
      </c>
      <c r="R200">
        <v>89419819.819819823</v>
      </c>
      <c r="S200">
        <v>7604</v>
      </c>
      <c r="T200">
        <v>9104</v>
      </c>
    </row>
    <row r="201" spans="1:20" x14ac:dyDescent="0.35">
      <c r="A201" s="7" t="s">
        <v>292</v>
      </c>
      <c r="B201" s="12" t="s">
        <v>293</v>
      </c>
      <c r="C201">
        <v>125653434.18112436</v>
      </c>
      <c r="D201">
        <v>116256328.16149242</v>
      </c>
      <c r="E201">
        <v>62162.162162166002</v>
      </c>
      <c r="F201">
        <v>1327027.0270270279</v>
      </c>
      <c r="G201">
        <v>11</v>
      </c>
      <c r="H201">
        <v>9</v>
      </c>
      <c r="K201">
        <v>18</v>
      </c>
      <c r="L201">
        <v>12</v>
      </c>
      <c r="M201">
        <v>18092432.432432432</v>
      </c>
      <c r="N201">
        <v>23149279.279279277</v>
      </c>
      <c r="O201">
        <v>14937468.468468469</v>
      </c>
      <c r="P201">
        <v>16268414.414414413</v>
      </c>
      <c r="Q201">
        <v>18271351.351351347</v>
      </c>
      <c r="R201">
        <v>23631171.17117117</v>
      </c>
      <c r="S201">
        <v>3651</v>
      </c>
      <c r="T201">
        <v>3372</v>
      </c>
    </row>
    <row r="202" spans="1:20" x14ac:dyDescent="0.35">
      <c r="A202" s="7" t="s">
        <v>294</v>
      </c>
      <c r="B202" s="12" t="s">
        <v>290</v>
      </c>
      <c r="C202">
        <v>35959267.181475103</v>
      </c>
      <c r="D202">
        <v>24436223.611916237</v>
      </c>
      <c r="E202">
        <v>433333.33333333302</v>
      </c>
      <c r="F202">
        <v>608108.10810810805</v>
      </c>
      <c r="G202">
        <v>19</v>
      </c>
      <c r="H202">
        <v>6</v>
      </c>
      <c r="K202">
        <v>20</v>
      </c>
      <c r="L202">
        <v>6</v>
      </c>
      <c r="M202">
        <v>1334234.2342342341</v>
      </c>
      <c r="N202">
        <v>2455855.8558558552</v>
      </c>
      <c r="O202">
        <v>4172387.387387387</v>
      </c>
      <c r="P202">
        <v>3685583.7837837832</v>
      </c>
      <c r="Q202">
        <v>1307297.297297298</v>
      </c>
      <c r="R202">
        <v>1794144.1441441451</v>
      </c>
      <c r="S202">
        <v>1257</v>
      </c>
      <c r="T202">
        <v>1156</v>
      </c>
    </row>
    <row r="203" spans="1:20" x14ac:dyDescent="0.35">
      <c r="A203" s="7" t="s">
        <v>670</v>
      </c>
      <c r="B203" s="12" t="s">
        <v>479</v>
      </c>
      <c r="E203">
        <v>81566198.198198199</v>
      </c>
      <c r="F203">
        <v>58529278.378378376</v>
      </c>
      <c r="N203">
        <v>403446.84684684698</v>
      </c>
    </row>
    <row r="204" spans="1:20" x14ac:dyDescent="0.35">
      <c r="A204" s="7" t="s">
        <v>295</v>
      </c>
      <c r="B204" s="12" t="s">
        <v>52</v>
      </c>
      <c r="C204">
        <v>341874830.91696823</v>
      </c>
      <c r="D204">
        <v>337789337.84339678</v>
      </c>
      <c r="E204">
        <v>2792342.3423423418</v>
      </c>
      <c r="F204">
        <v>3785585.5855855909</v>
      </c>
      <c r="G204">
        <v>55</v>
      </c>
      <c r="H204">
        <v>96</v>
      </c>
      <c r="K204">
        <v>72</v>
      </c>
      <c r="L204">
        <v>141</v>
      </c>
      <c r="M204">
        <v>259480180.18018019</v>
      </c>
      <c r="N204">
        <v>229588108.1081081</v>
      </c>
      <c r="O204">
        <v>88714009.009009004</v>
      </c>
      <c r="P204">
        <v>91157333.333333328</v>
      </c>
      <c r="Q204">
        <v>270296666.66666663</v>
      </c>
      <c r="R204">
        <v>224664414.41441441</v>
      </c>
      <c r="S204">
        <v>11766</v>
      </c>
      <c r="T204">
        <v>11537</v>
      </c>
    </row>
    <row r="205" spans="1:20" x14ac:dyDescent="0.35">
      <c r="A205" s="7" t="s">
        <v>296</v>
      </c>
      <c r="B205" s="12" t="s">
        <v>169</v>
      </c>
      <c r="C205">
        <v>107622113.09781335</v>
      </c>
      <c r="D205">
        <v>92113848.408371434</v>
      </c>
      <c r="E205">
        <v>1801.801801802</v>
      </c>
      <c r="F205">
        <v>13513.513513514001</v>
      </c>
      <c r="G205">
        <v>14</v>
      </c>
      <c r="H205">
        <v>15</v>
      </c>
      <c r="I205">
        <v>1</v>
      </c>
      <c r="K205">
        <v>17</v>
      </c>
      <c r="L205">
        <v>20</v>
      </c>
      <c r="M205">
        <v>3920720.7207207209</v>
      </c>
      <c r="N205">
        <v>8436936.9369369373</v>
      </c>
      <c r="O205">
        <v>22772945.945945945</v>
      </c>
      <c r="P205">
        <v>21779810.810810812</v>
      </c>
      <c r="Q205">
        <v>3463333.333333334</v>
      </c>
      <c r="R205">
        <v>5198018.0180180194</v>
      </c>
      <c r="S205">
        <v>4519</v>
      </c>
      <c r="T205">
        <v>4256</v>
      </c>
    </row>
    <row r="206" spans="1:20" x14ac:dyDescent="0.35">
      <c r="A206" s="7" t="s">
        <v>297</v>
      </c>
      <c r="B206" s="12" t="s">
        <v>169</v>
      </c>
      <c r="C206">
        <v>94432048.865940258</v>
      </c>
      <c r="D206">
        <v>131563131.75128053</v>
      </c>
      <c r="E206">
        <v>900.900900901</v>
      </c>
      <c r="F206">
        <v>103603.603603604</v>
      </c>
      <c r="G206">
        <v>12</v>
      </c>
      <c r="H206">
        <v>22</v>
      </c>
      <c r="K206">
        <v>13</v>
      </c>
      <c r="L206">
        <v>41</v>
      </c>
      <c r="M206">
        <v>979289189.1891892</v>
      </c>
      <c r="N206">
        <v>1829015597.2972975</v>
      </c>
      <c r="O206">
        <v>34064720.720720723</v>
      </c>
      <c r="P206">
        <v>47216090.090090089</v>
      </c>
      <c r="Q206">
        <v>773527473.87387395</v>
      </c>
      <c r="R206">
        <v>1822132605.4054055</v>
      </c>
      <c r="S206">
        <v>2927</v>
      </c>
      <c r="T206">
        <v>2846</v>
      </c>
    </row>
    <row r="207" spans="1:20" x14ac:dyDescent="0.35">
      <c r="A207" s="7" t="s">
        <v>298</v>
      </c>
      <c r="B207" s="12" t="s">
        <v>89</v>
      </c>
      <c r="C207">
        <v>394748365.96359599</v>
      </c>
      <c r="D207">
        <v>384713098.83055604</v>
      </c>
      <c r="E207">
        <v>1742657.657657664</v>
      </c>
      <c r="F207">
        <v>2160246.8468468529</v>
      </c>
      <c r="G207">
        <v>60</v>
      </c>
      <c r="H207">
        <v>77</v>
      </c>
      <c r="I207">
        <v>2</v>
      </c>
      <c r="K207">
        <v>72</v>
      </c>
      <c r="L207">
        <v>138</v>
      </c>
      <c r="M207">
        <v>25270270.270270273</v>
      </c>
      <c r="N207">
        <v>22377594.59459459</v>
      </c>
      <c r="O207">
        <v>71719324.324324325</v>
      </c>
      <c r="P207">
        <v>75915216.216216221</v>
      </c>
      <c r="Q207">
        <v>23690810.810810808</v>
      </c>
      <c r="R207">
        <v>27473153.153153151</v>
      </c>
      <c r="S207">
        <v>11081</v>
      </c>
      <c r="T207">
        <v>10907</v>
      </c>
    </row>
    <row r="208" spans="1:20" x14ac:dyDescent="0.35">
      <c r="A208" s="7" t="s">
        <v>299</v>
      </c>
      <c r="B208" s="12" t="s">
        <v>134</v>
      </c>
      <c r="C208">
        <v>195063788.92152917</v>
      </c>
      <c r="D208">
        <v>211403373.70675316</v>
      </c>
      <c r="E208">
        <v>1364189.18918919</v>
      </c>
      <c r="F208">
        <v>1580180.1801801829</v>
      </c>
      <c r="G208">
        <v>58</v>
      </c>
      <c r="H208">
        <v>48</v>
      </c>
      <c r="K208">
        <v>61</v>
      </c>
      <c r="L208">
        <v>65</v>
      </c>
      <c r="M208">
        <v>21350450.450450446</v>
      </c>
      <c r="N208">
        <v>16156756.756756756</v>
      </c>
      <c r="O208">
        <v>24237818.018018015</v>
      </c>
      <c r="P208">
        <v>26688054.054054055</v>
      </c>
      <c r="Q208">
        <v>15689863.063063065</v>
      </c>
      <c r="R208">
        <v>13716036.036036037</v>
      </c>
      <c r="S208">
        <v>6897</v>
      </c>
      <c r="T208">
        <v>6985</v>
      </c>
    </row>
    <row r="209" spans="1:20" x14ac:dyDescent="0.35">
      <c r="A209" s="7" t="s">
        <v>300</v>
      </c>
      <c r="B209" s="12" t="s">
        <v>290</v>
      </c>
      <c r="C209">
        <v>159184749.56845325</v>
      </c>
      <c r="D209">
        <v>146424291.54812136</v>
      </c>
      <c r="E209">
        <v>893243.24324324401</v>
      </c>
      <c r="F209">
        <v>2407207.207207209</v>
      </c>
      <c r="G209">
        <v>77</v>
      </c>
      <c r="H209">
        <v>54</v>
      </c>
      <c r="K209">
        <v>85</v>
      </c>
      <c r="L209">
        <v>61</v>
      </c>
      <c r="M209">
        <v>16818468.468468469</v>
      </c>
      <c r="N209">
        <v>12201801.801801804</v>
      </c>
      <c r="O209">
        <v>21105945.945945945</v>
      </c>
      <c r="P209">
        <v>20170872.072072074</v>
      </c>
      <c r="Q209">
        <v>14240900.900900902</v>
      </c>
      <c r="R209">
        <v>11359009.009009007</v>
      </c>
      <c r="S209">
        <v>4458</v>
      </c>
      <c r="T209">
        <v>4462</v>
      </c>
    </row>
    <row r="210" spans="1:20" x14ac:dyDescent="0.35">
      <c r="A210" s="7" t="s">
        <v>301</v>
      </c>
      <c r="B210" s="12" t="s">
        <v>80</v>
      </c>
      <c r="C210">
        <v>229940470.61581168</v>
      </c>
      <c r="D210">
        <v>213068691.29663783</v>
      </c>
      <c r="E210">
        <v>942792.79279279301</v>
      </c>
      <c r="F210">
        <v>3005180.1801801822</v>
      </c>
      <c r="G210">
        <v>59</v>
      </c>
      <c r="H210">
        <v>34</v>
      </c>
      <c r="K210">
        <v>63</v>
      </c>
      <c r="L210">
        <v>39</v>
      </c>
      <c r="M210">
        <v>21552882.882882886</v>
      </c>
      <c r="N210">
        <v>21508108.108108103</v>
      </c>
      <c r="O210">
        <v>50375725.225225225</v>
      </c>
      <c r="P210">
        <v>44349279.279279277</v>
      </c>
      <c r="Q210">
        <v>19244684.684684683</v>
      </c>
      <c r="R210">
        <v>19508918.918918919</v>
      </c>
      <c r="S210">
        <v>5740</v>
      </c>
      <c r="T210">
        <v>6182</v>
      </c>
    </row>
    <row r="211" spans="1:20" x14ac:dyDescent="0.35">
      <c r="A211" s="7" t="s">
        <v>302</v>
      </c>
      <c r="B211" s="12" t="s">
        <v>72</v>
      </c>
      <c r="C211">
        <v>335953858.74341351</v>
      </c>
      <c r="D211">
        <v>331991383.51203084</v>
      </c>
      <c r="E211">
        <v>57011711.711711712</v>
      </c>
      <c r="F211">
        <v>33071531.531531535</v>
      </c>
      <c r="G211">
        <v>68</v>
      </c>
      <c r="H211">
        <v>85</v>
      </c>
      <c r="I211">
        <v>2</v>
      </c>
      <c r="K211">
        <v>73</v>
      </c>
      <c r="L211">
        <v>95</v>
      </c>
      <c r="M211">
        <v>24013513.513513513</v>
      </c>
      <c r="N211">
        <v>21819819.819819823</v>
      </c>
      <c r="O211">
        <v>45179270.270270273</v>
      </c>
      <c r="P211">
        <v>50962270.270270273</v>
      </c>
      <c r="Q211">
        <v>18102432.432432432</v>
      </c>
      <c r="R211">
        <v>17951531.531531531</v>
      </c>
      <c r="S211">
        <v>9114</v>
      </c>
      <c r="T211">
        <v>10075</v>
      </c>
    </row>
    <row r="212" spans="1:20" x14ac:dyDescent="0.35">
      <c r="A212" s="7" t="s">
        <v>303</v>
      </c>
      <c r="B212" s="12" t="s">
        <v>304</v>
      </c>
      <c r="C212">
        <v>1168409.3955326669</v>
      </c>
      <c r="D212">
        <v>1174265.4905233621</v>
      </c>
      <c r="O212">
        <v>539414.41441441397</v>
      </c>
      <c r="P212">
        <v>485225.22522522497</v>
      </c>
      <c r="S212">
        <v>73</v>
      </c>
      <c r="T212">
        <v>70</v>
      </c>
    </row>
    <row r="213" spans="1:20" x14ac:dyDescent="0.35">
      <c r="A213" s="7" t="s">
        <v>671</v>
      </c>
      <c r="B213" s="12" t="s">
        <v>304</v>
      </c>
      <c r="E213">
        <v>9009009.0090090074</v>
      </c>
      <c r="F213">
        <v>7207207.2072072066</v>
      </c>
      <c r="N213">
        <v>44594.594594595001</v>
      </c>
    </row>
    <row r="214" spans="1:20" x14ac:dyDescent="0.35">
      <c r="A214" s="7" t="s">
        <v>305</v>
      </c>
      <c r="B214" s="12" t="s">
        <v>117</v>
      </c>
      <c r="C214">
        <v>49485195.264389805</v>
      </c>
      <c r="D214">
        <v>43252255.844297208</v>
      </c>
      <c r="E214">
        <v>16216.216216217999</v>
      </c>
      <c r="F214">
        <v>308108.10810810601</v>
      </c>
      <c r="G214">
        <v>7</v>
      </c>
      <c r="H214">
        <v>5</v>
      </c>
      <c r="K214">
        <v>8</v>
      </c>
      <c r="L214">
        <v>5</v>
      </c>
      <c r="M214">
        <v>1423063.063063063</v>
      </c>
      <c r="N214">
        <v>2049369.3693693669</v>
      </c>
      <c r="O214">
        <v>19328693.693693697</v>
      </c>
      <c r="P214">
        <v>18692117.117117114</v>
      </c>
      <c r="Q214">
        <v>1635225.225225223</v>
      </c>
      <c r="R214">
        <v>2577747.7477477472</v>
      </c>
      <c r="S214">
        <v>1900</v>
      </c>
      <c r="T214">
        <v>1993</v>
      </c>
    </row>
    <row r="215" spans="1:20" x14ac:dyDescent="0.35">
      <c r="A215" s="7" t="s">
        <v>306</v>
      </c>
      <c r="B215" s="12" t="s">
        <v>307</v>
      </c>
      <c r="C215">
        <v>54423811.418599568</v>
      </c>
      <c r="D215">
        <v>51877815.806424379</v>
      </c>
      <c r="E215">
        <v>109052252.25225225</v>
      </c>
      <c r="F215">
        <v>354167567.56756753</v>
      </c>
      <c r="G215">
        <v>23</v>
      </c>
      <c r="H215">
        <v>30</v>
      </c>
      <c r="K215">
        <v>25</v>
      </c>
      <c r="L215">
        <v>40</v>
      </c>
      <c r="M215">
        <v>6958693.6936936928</v>
      </c>
      <c r="N215">
        <v>1436486.4864864871</v>
      </c>
      <c r="O215">
        <v>27393738.738738734</v>
      </c>
      <c r="P215">
        <v>27487081.081081081</v>
      </c>
      <c r="Q215">
        <v>899099.09909909801</v>
      </c>
      <c r="R215">
        <v>407747.74774774798</v>
      </c>
      <c r="S215">
        <v>4343</v>
      </c>
      <c r="T215">
        <v>4500</v>
      </c>
    </row>
    <row r="216" spans="1:20" x14ac:dyDescent="0.35">
      <c r="A216" s="7" t="s">
        <v>308</v>
      </c>
      <c r="B216" s="12" t="s">
        <v>140</v>
      </c>
      <c r="C216">
        <v>339108842.87907296</v>
      </c>
      <c r="D216">
        <v>349536624.02527416</v>
      </c>
      <c r="E216">
        <v>511171.171171172</v>
      </c>
      <c r="F216">
        <v>1331081.0810810891</v>
      </c>
      <c r="G216">
        <v>29</v>
      </c>
      <c r="H216">
        <v>59</v>
      </c>
      <c r="K216">
        <v>43</v>
      </c>
      <c r="L216">
        <v>70</v>
      </c>
      <c r="M216">
        <v>58542792.79279279</v>
      </c>
      <c r="N216">
        <v>68646396.396396399</v>
      </c>
      <c r="O216">
        <v>71154998.198198199</v>
      </c>
      <c r="P216">
        <v>77097648.648648635</v>
      </c>
      <c r="Q216">
        <v>34590810.810810812</v>
      </c>
      <c r="R216">
        <v>36696486.486486487</v>
      </c>
      <c r="S216">
        <v>7902</v>
      </c>
      <c r="T216">
        <v>7969</v>
      </c>
    </row>
    <row r="217" spans="1:20" x14ac:dyDescent="0.35">
      <c r="A217" s="7" t="s">
        <v>309</v>
      </c>
      <c r="B217" s="12" t="s">
        <v>132</v>
      </c>
      <c r="C217">
        <v>400600918.31041408</v>
      </c>
      <c r="D217">
        <v>330518803.55755305</v>
      </c>
      <c r="E217">
        <v>42643604.504504502</v>
      </c>
      <c r="F217">
        <v>52570385.585585587</v>
      </c>
      <c r="G217">
        <v>110</v>
      </c>
      <c r="H217">
        <v>98</v>
      </c>
      <c r="K217">
        <v>129</v>
      </c>
      <c r="L217">
        <v>121</v>
      </c>
      <c r="M217">
        <v>27481531.531531531</v>
      </c>
      <c r="N217">
        <v>20227702.702702705</v>
      </c>
      <c r="O217">
        <v>107819594.5945946</v>
      </c>
      <c r="P217">
        <v>87824828.828828827</v>
      </c>
      <c r="Q217">
        <v>16606711.711711712</v>
      </c>
      <c r="R217">
        <v>12076306.306306304</v>
      </c>
      <c r="S217">
        <v>12323</v>
      </c>
      <c r="T217">
        <v>12165</v>
      </c>
    </row>
    <row r="218" spans="1:20" x14ac:dyDescent="0.35">
      <c r="A218" s="7" t="s">
        <v>310</v>
      </c>
      <c r="B218" s="12" t="s">
        <v>72</v>
      </c>
      <c r="C218">
        <v>587261612.34301555</v>
      </c>
      <c r="D218">
        <v>561763655.75990069</v>
      </c>
      <c r="E218">
        <v>1498513.5135135211</v>
      </c>
      <c r="F218">
        <v>5180405.4054054143</v>
      </c>
      <c r="G218">
        <v>127</v>
      </c>
      <c r="H218">
        <v>116</v>
      </c>
      <c r="K218">
        <v>154</v>
      </c>
      <c r="L218">
        <v>157</v>
      </c>
      <c r="M218">
        <v>80559099.0990991</v>
      </c>
      <c r="N218">
        <v>84660360.360360354</v>
      </c>
      <c r="O218">
        <v>136155484.68468469</v>
      </c>
      <c r="P218">
        <v>136863966.66666666</v>
      </c>
      <c r="Q218">
        <v>69748828.828828827</v>
      </c>
      <c r="R218">
        <v>72246126.126126125</v>
      </c>
      <c r="S218">
        <v>16920</v>
      </c>
      <c r="T218">
        <v>16704</v>
      </c>
    </row>
    <row r="219" spans="1:20" x14ac:dyDescent="0.35">
      <c r="A219" s="7" t="s">
        <v>311</v>
      </c>
      <c r="B219" s="12" t="s">
        <v>62</v>
      </c>
      <c r="C219">
        <v>100902469.68722565</v>
      </c>
      <c r="D219">
        <v>97325373.638015226</v>
      </c>
      <c r="E219">
        <v>201801.801801803</v>
      </c>
      <c r="F219">
        <v>100508108.10810812</v>
      </c>
      <c r="G219">
        <v>11</v>
      </c>
      <c r="H219">
        <v>15</v>
      </c>
      <c r="K219">
        <v>11</v>
      </c>
      <c r="L219">
        <v>16</v>
      </c>
      <c r="M219">
        <v>19688828.828828823</v>
      </c>
      <c r="N219">
        <v>23275135.135135137</v>
      </c>
      <c r="O219">
        <v>26680576.576576576</v>
      </c>
      <c r="P219">
        <v>26693450.450450446</v>
      </c>
      <c r="Q219">
        <v>16306666.666666666</v>
      </c>
      <c r="R219">
        <v>17190360.360360362</v>
      </c>
      <c r="S219">
        <v>2240</v>
      </c>
      <c r="T219">
        <v>2294</v>
      </c>
    </row>
    <row r="220" spans="1:20" x14ac:dyDescent="0.35">
      <c r="A220" s="7" t="s">
        <v>312</v>
      </c>
      <c r="B220" s="12" t="s">
        <v>89</v>
      </c>
      <c r="C220">
        <v>32969587.878677145</v>
      </c>
      <c r="D220">
        <v>32631254.346161824</v>
      </c>
      <c r="E220">
        <v>36936.936936938</v>
      </c>
      <c r="F220">
        <v>446846.84684684698</v>
      </c>
      <c r="G220">
        <v>6</v>
      </c>
      <c r="H220">
        <v>8</v>
      </c>
      <c r="K220">
        <v>6</v>
      </c>
      <c r="L220">
        <v>10</v>
      </c>
      <c r="M220">
        <v>2002702.702702703</v>
      </c>
      <c r="N220">
        <v>4690270.2702702703</v>
      </c>
      <c r="O220">
        <v>9589279.2792792805</v>
      </c>
      <c r="P220">
        <v>11252279.27927928</v>
      </c>
      <c r="Q220">
        <v>1487837.8378378369</v>
      </c>
      <c r="R220">
        <v>4807207.2072072048</v>
      </c>
      <c r="S220">
        <v>1099</v>
      </c>
      <c r="T220">
        <v>1252</v>
      </c>
    </row>
    <row r="221" spans="1:20" x14ac:dyDescent="0.35">
      <c r="A221" s="7" t="s">
        <v>313</v>
      </c>
      <c r="B221" s="12" t="s">
        <v>92</v>
      </c>
      <c r="C221">
        <v>15360918.53448138</v>
      </c>
      <c r="D221">
        <v>15135843.288654519</v>
      </c>
      <c r="F221">
        <v>54054.054054054002</v>
      </c>
      <c r="G221">
        <v>3</v>
      </c>
      <c r="H221">
        <v>2</v>
      </c>
      <c r="K221">
        <v>3</v>
      </c>
      <c r="L221">
        <v>2</v>
      </c>
      <c r="M221">
        <v>27027.027027027001</v>
      </c>
      <c r="N221">
        <v>54054.054054054002</v>
      </c>
      <c r="O221">
        <v>1247387.387387387</v>
      </c>
      <c r="P221">
        <v>955360.36036036001</v>
      </c>
      <c r="Q221">
        <v>27027.027027027001</v>
      </c>
      <c r="R221">
        <v>145045.045045045</v>
      </c>
      <c r="S221">
        <v>512</v>
      </c>
      <c r="T221">
        <v>781</v>
      </c>
    </row>
    <row r="222" spans="1:20" x14ac:dyDescent="0.35">
      <c r="A222" s="7" t="s">
        <v>314</v>
      </c>
      <c r="B222" s="12" t="s">
        <v>315</v>
      </c>
      <c r="C222">
        <v>124223981.23672327</v>
      </c>
      <c r="D222">
        <v>113055499.31572673</v>
      </c>
      <c r="E222">
        <v>56756.756756757</v>
      </c>
      <c r="F222">
        <v>641891.89189189102</v>
      </c>
      <c r="G222">
        <v>38</v>
      </c>
      <c r="H222">
        <v>19</v>
      </c>
      <c r="K222">
        <v>44</v>
      </c>
      <c r="L222">
        <v>22</v>
      </c>
      <c r="M222">
        <v>4959909.9099099068</v>
      </c>
      <c r="N222">
        <v>17646846.846846845</v>
      </c>
      <c r="O222">
        <v>19509459.459459461</v>
      </c>
      <c r="P222">
        <v>17515189.189189188</v>
      </c>
      <c r="Q222">
        <v>4693603.6036036015</v>
      </c>
      <c r="R222">
        <v>13937117.117117116</v>
      </c>
      <c r="S222">
        <v>3662</v>
      </c>
      <c r="T222">
        <v>3363</v>
      </c>
    </row>
    <row r="223" spans="1:20" x14ac:dyDescent="0.35">
      <c r="A223" s="7" t="s">
        <v>316</v>
      </c>
      <c r="B223" s="12" t="s">
        <v>62</v>
      </c>
      <c r="C223">
        <v>187633020.81779099</v>
      </c>
      <c r="D223">
        <v>193938312.24410975</v>
      </c>
      <c r="E223">
        <v>894144.14414414798</v>
      </c>
      <c r="F223">
        <v>3775675.6756756818</v>
      </c>
      <c r="G223">
        <v>62</v>
      </c>
      <c r="H223">
        <v>66</v>
      </c>
      <c r="K223">
        <v>82</v>
      </c>
      <c r="L223">
        <v>134</v>
      </c>
      <c r="M223">
        <v>13415855.855855856</v>
      </c>
      <c r="N223">
        <v>35682702.702702701</v>
      </c>
      <c r="O223">
        <v>66288189.189189196</v>
      </c>
      <c r="P223">
        <v>67052873.873873875</v>
      </c>
      <c r="Q223">
        <v>12991531.531531528</v>
      </c>
      <c r="R223">
        <v>33154774.774774767</v>
      </c>
      <c r="S223">
        <v>8655</v>
      </c>
      <c r="T223">
        <v>8791</v>
      </c>
    </row>
    <row r="224" spans="1:20" x14ac:dyDescent="0.35">
      <c r="A224" s="7" t="s">
        <v>317</v>
      </c>
      <c r="B224" s="12" t="s">
        <v>62</v>
      </c>
      <c r="C224">
        <v>189682101.55839223</v>
      </c>
      <c r="D224">
        <v>179323415.16964558</v>
      </c>
      <c r="E224">
        <v>836486.48648648895</v>
      </c>
      <c r="F224">
        <v>1376576.5765765789</v>
      </c>
      <c r="G224">
        <v>77</v>
      </c>
      <c r="H224">
        <v>28</v>
      </c>
      <c r="K224">
        <v>95</v>
      </c>
      <c r="L224">
        <v>36</v>
      </c>
      <c r="M224">
        <v>19207567.567567568</v>
      </c>
      <c r="N224">
        <v>28626846.846846849</v>
      </c>
      <c r="O224">
        <v>62246711.711711712</v>
      </c>
      <c r="P224">
        <v>62317189.189189196</v>
      </c>
      <c r="Q224">
        <v>18367297.297297295</v>
      </c>
      <c r="R224">
        <v>24280090.090090089</v>
      </c>
      <c r="S224">
        <v>5590</v>
      </c>
      <c r="T224">
        <v>5409</v>
      </c>
    </row>
    <row r="225" spans="1:20" x14ac:dyDescent="0.35">
      <c r="A225" s="7" t="s">
        <v>318</v>
      </c>
      <c r="B225" s="12" t="s">
        <v>78</v>
      </c>
      <c r="C225">
        <v>193685956.86186397</v>
      </c>
      <c r="D225">
        <v>184953103.88645235</v>
      </c>
      <c r="E225">
        <v>2930495.4954954982</v>
      </c>
      <c r="F225">
        <v>3690990.990990994</v>
      </c>
      <c r="G225">
        <v>50</v>
      </c>
      <c r="H225">
        <v>58</v>
      </c>
      <c r="K225">
        <v>62</v>
      </c>
      <c r="L225">
        <v>100</v>
      </c>
      <c r="M225">
        <v>40907747.747747742</v>
      </c>
      <c r="N225">
        <v>46020720.720720723</v>
      </c>
      <c r="O225">
        <v>80047567.567567572</v>
      </c>
      <c r="P225">
        <v>81422202.702702701</v>
      </c>
      <c r="Q225">
        <v>40900180.180180185</v>
      </c>
      <c r="R225">
        <v>48116756.756756753</v>
      </c>
      <c r="S225">
        <v>8744</v>
      </c>
      <c r="T225">
        <v>9557</v>
      </c>
    </row>
    <row r="226" spans="1:20" x14ac:dyDescent="0.35">
      <c r="A226" s="7" t="s">
        <v>319</v>
      </c>
      <c r="B226" s="12" t="s">
        <v>78</v>
      </c>
      <c r="C226">
        <v>115528774.19856101</v>
      </c>
      <c r="D226">
        <v>109091185.3668578</v>
      </c>
      <c r="E226">
        <v>2045225.225225227</v>
      </c>
      <c r="F226">
        <v>1810810.8108108121</v>
      </c>
      <c r="G226">
        <v>19</v>
      </c>
      <c r="H226">
        <v>37</v>
      </c>
      <c r="I226">
        <v>1</v>
      </c>
      <c r="K226">
        <v>25</v>
      </c>
      <c r="L226">
        <v>79</v>
      </c>
      <c r="M226">
        <v>15851531.531531531</v>
      </c>
      <c r="N226">
        <v>9936936.9369369354</v>
      </c>
      <c r="O226">
        <v>40574792.79279279</v>
      </c>
      <c r="P226">
        <v>41009432.432432435</v>
      </c>
      <c r="Q226">
        <v>13161081.081081079</v>
      </c>
      <c r="R226">
        <v>8553513.5135135166</v>
      </c>
      <c r="S226">
        <v>5668</v>
      </c>
      <c r="T226">
        <v>5641</v>
      </c>
    </row>
    <row r="227" spans="1:20" x14ac:dyDescent="0.35">
      <c r="A227" s="7" t="s">
        <v>320</v>
      </c>
      <c r="B227" s="12" t="s">
        <v>121</v>
      </c>
      <c r="C227">
        <v>877755.90582818806</v>
      </c>
      <c r="D227">
        <v>808150.52315492404</v>
      </c>
      <c r="G227">
        <v>1</v>
      </c>
      <c r="K227">
        <v>3</v>
      </c>
      <c r="N227">
        <v>3448218.9189189188</v>
      </c>
      <c r="O227">
        <v>281081.08108108101</v>
      </c>
      <c r="P227">
        <v>54819.819819819997</v>
      </c>
      <c r="S227">
        <v>67</v>
      </c>
      <c r="T227">
        <v>110</v>
      </c>
    </row>
    <row r="228" spans="1:20" x14ac:dyDescent="0.35">
      <c r="A228" s="7" t="s">
        <v>321</v>
      </c>
      <c r="B228" s="12" t="s">
        <v>224</v>
      </c>
      <c r="C228">
        <v>147231782.31700549</v>
      </c>
      <c r="D228">
        <v>124259648.03959464</v>
      </c>
      <c r="E228">
        <v>900.900900901</v>
      </c>
      <c r="F228">
        <v>28828.828828828999</v>
      </c>
      <c r="G228">
        <v>40</v>
      </c>
      <c r="H228">
        <v>28</v>
      </c>
      <c r="K228">
        <v>42</v>
      </c>
      <c r="L228">
        <v>38</v>
      </c>
      <c r="M228">
        <v>4051351.3513513529</v>
      </c>
      <c r="N228">
        <v>3640360.3603603588</v>
      </c>
      <c r="O228">
        <v>54011036.036036029</v>
      </c>
      <c r="P228">
        <v>50533673.873873875</v>
      </c>
      <c r="Q228">
        <v>3873513.5135135148</v>
      </c>
      <c r="R228">
        <v>3703873.8738738722</v>
      </c>
      <c r="S228">
        <v>3888</v>
      </c>
      <c r="T228">
        <v>5210</v>
      </c>
    </row>
    <row r="229" spans="1:20" x14ac:dyDescent="0.35">
      <c r="A229" s="7" t="s">
        <v>322</v>
      </c>
      <c r="B229" s="12" t="s">
        <v>224</v>
      </c>
      <c r="C229">
        <v>104629220.42365152</v>
      </c>
      <c r="D229">
        <v>87207644.462398887</v>
      </c>
      <c r="E229">
        <v>299099.09909909999</v>
      </c>
      <c r="F229">
        <v>30630.630630632</v>
      </c>
      <c r="G229">
        <v>13</v>
      </c>
      <c r="H229">
        <v>5</v>
      </c>
      <c r="K229">
        <v>13</v>
      </c>
      <c r="L229">
        <v>6</v>
      </c>
      <c r="M229">
        <v>10772972.972972974</v>
      </c>
      <c r="N229">
        <v>9671351.3513513505</v>
      </c>
      <c r="O229">
        <v>28977702.702702705</v>
      </c>
      <c r="P229">
        <v>25612522.522522524</v>
      </c>
      <c r="Q229">
        <v>8100360.3603603598</v>
      </c>
      <c r="R229">
        <v>5869729.7297297278</v>
      </c>
      <c r="S229">
        <v>2208</v>
      </c>
      <c r="T229">
        <v>2065</v>
      </c>
    </row>
    <row r="230" spans="1:20" x14ac:dyDescent="0.35">
      <c r="A230" s="7" t="s">
        <v>672</v>
      </c>
      <c r="B230" s="12" t="s">
        <v>94</v>
      </c>
      <c r="T230">
        <v>18</v>
      </c>
    </row>
    <row r="231" spans="1:20" x14ac:dyDescent="0.35">
      <c r="A231" s="7" t="s">
        <v>323</v>
      </c>
      <c r="B231" s="12" t="s">
        <v>78</v>
      </c>
      <c r="C231">
        <v>140275715.67808038</v>
      </c>
      <c r="D231">
        <v>140046833.9330467</v>
      </c>
      <c r="E231">
        <v>760810.81081081205</v>
      </c>
      <c r="F231">
        <v>737837.83783783996</v>
      </c>
      <c r="G231">
        <v>47</v>
      </c>
      <c r="H231">
        <v>82</v>
      </c>
      <c r="K231">
        <v>51</v>
      </c>
      <c r="L231">
        <v>126</v>
      </c>
      <c r="M231">
        <v>17440990.990990989</v>
      </c>
      <c r="N231">
        <v>17332432.432432435</v>
      </c>
      <c r="O231">
        <v>39301013.513513513</v>
      </c>
      <c r="P231">
        <v>41853306.306306303</v>
      </c>
      <c r="Q231">
        <v>14390270.270270268</v>
      </c>
      <c r="R231">
        <v>15118828.828828828</v>
      </c>
      <c r="S231">
        <v>4640</v>
      </c>
      <c r="T231">
        <v>4629</v>
      </c>
    </row>
    <row r="232" spans="1:20" x14ac:dyDescent="0.35">
      <c r="A232" s="7" t="s">
        <v>324</v>
      </c>
      <c r="B232" s="12" t="s">
        <v>108</v>
      </c>
      <c r="C232">
        <v>663979938.27292502</v>
      </c>
      <c r="D232">
        <v>646506042.6018914</v>
      </c>
      <c r="E232">
        <v>1603273292.7927928</v>
      </c>
      <c r="F232">
        <v>1420435009.90991</v>
      </c>
      <c r="G232">
        <v>143</v>
      </c>
      <c r="H232">
        <v>194</v>
      </c>
      <c r="K232">
        <v>203</v>
      </c>
      <c r="L232">
        <v>308</v>
      </c>
      <c r="M232">
        <v>510012702.7027027</v>
      </c>
      <c r="N232">
        <v>538533333.33333325</v>
      </c>
      <c r="O232">
        <v>160167545.04504505</v>
      </c>
      <c r="P232">
        <v>167153684.68468466</v>
      </c>
      <c r="Q232">
        <v>60290450.45045045</v>
      </c>
      <c r="R232">
        <v>83512072.072072074</v>
      </c>
      <c r="S232">
        <v>21766</v>
      </c>
      <c r="T232">
        <v>22276</v>
      </c>
    </row>
    <row r="233" spans="1:20" x14ac:dyDescent="0.35">
      <c r="A233" s="7" t="s">
        <v>325</v>
      </c>
      <c r="B233" s="12" t="s">
        <v>224</v>
      </c>
      <c r="C233">
        <v>154805050.42942065</v>
      </c>
      <c r="D233">
        <v>129986179.69885819</v>
      </c>
      <c r="E233">
        <v>539279.27927927801</v>
      </c>
      <c r="F233">
        <v>423423.42342342302</v>
      </c>
      <c r="G233">
        <v>42</v>
      </c>
      <c r="H233">
        <v>16</v>
      </c>
      <c r="K233">
        <v>45</v>
      </c>
      <c r="L233">
        <v>18</v>
      </c>
      <c r="M233">
        <v>12222162.162162162</v>
      </c>
      <c r="N233">
        <v>13129369.369369367</v>
      </c>
      <c r="O233">
        <v>28555153.153153151</v>
      </c>
      <c r="P233">
        <v>26897009.009009007</v>
      </c>
      <c r="Q233">
        <v>11143693.693693692</v>
      </c>
      <c r="R233">
        <v>11731171.17117117</v>
      </c>
      <c r="S233">
        <v>4294</v>
      </c>
      <c r="T233">
        <v>4310</v>
      </c>
    </row>
    <row r="234" spans="1:20" x14ac:dyDescent="0.35">
      <c r="A234" s="7" t="s">
        <v>4</v>
      </c>
      <c r="B234" s="12" t="s">
        <v>158</v>
      </c>
      <c r="C234">
        <v>113492143.0560353</v>
      </c>
      <c r="D234">
        <v>112674978.88645276</v>
      </c>
      <c r="E234">
        <v>4113513.5135135129</v>
      </c>
      <c r="F234">
        <v>93165765.765765756</v>
      </c>
      <c r="G234">
        <v>12</v>
      </c>
      <c r="H234">
        <v>7</v>
      </c>
      <c r="K234">
        <v>12</v>
      </c>
      <c r="L234">
        <v>10</v>
      </c>
      <c r="M234">
        <v>41881981.981981985</v>
      </c>
      <c r="N234">
        <v>39351801.801801801</v>
      </c>
      <c r="O234">
        <v>41440495.495495498</v>
      </c>
      <c r="P234">
        <v>39518783.783783786</v>
      </c>
      <c r="Q234">
        <v>17962432.432432432</v>
      </c>
      <c r="R234">
        <v>28536396.396396395</v>
      </c>
      <c r="S234">
        <v>3730</v>
      </c>
      <c r="T234">
        <v>3392</v>
      </c>
    </row>
    <row r="235" spans="1:20" x14ac:dyDescent="0.35">
      <c r="A235" s="7" t="s">
        <v>326</v>
      </c>
      <c r="B235" s="12" t="s">
        <v>108</v>
      </c>
      <c r="C235">
        <v>524826980.80397481</v>
      </c>
      <c r="D235">
        <v>526015982.36943716</v>
      </c>
      <c r="E235">
        <v>5721351.3513513571</v>
      </c>
      <c r="F235">
        <v>5529054.0540540619</v>
      </c>
      <c r="G235">
        <v>125</v>
      </c>
      <c r="H235">
        <v>157</v>
      </c>
      <c r="K235">
        <v>160</v>
      </c>
      <c r="L235">
        <v>249</v>
      </c>
      <c r="M235">
        <v>525607837.83783782</v>
      </c>
      <c r="N235">
        <v>523698558.55855852</v>
      </c>
      <c r="O235">
        <v>151703963.96396396</v>
      </c>
      <c r="P235">
        <v>163508759.00900903</v>
      </c>
      <c r="Q235">
        <v>71698468.468468457</v>
      </c>
      <c r="R235">
        <v>73198288.288288295</v>
      </c>
      <c r="S235">
        <v>19678</v>
      </c>
      <c r="T235">
        <v>19807</v>
      </c>
    </row>
    <row r="236" spans="1:20" x14ac:dyDescent="0.35">
      <c r="A236" s="7" t="s">
        <v>327</v>
      </c>
      <c r="B236" s="12" t="s">
        <v>78</v>
      </c>
      <c r="C236">
        <v>54827276.382444754</v>
      </c>
      <c r="D236">
        <v>55112118.252093293</v>
      </c>
      <c r="E236">
        <v>152252.25225225301</v>
      </c>
      <c r="F236">
        <v>427027.02702702797</v>
      </c>
      <c r="G236">
        <v>27</v>
      </c>
      <c r="H236">
        <v>22</v>
      </c>
      <c r="K236">
        <v>29</v>
      </c>
      <c r="L236">
        <v>25</v>
      </c>
      <c r="M236">
        <v>4413513.5135135129</v>
      </c>
      <c r="N236">
        <v>3940540.5405405411</v>
      </c>
      <c r="O236">
        <v>16434774.774774775</v>
      </c>
      <c r="P236">
        <v>18488576.576576576</v>
      </c>
      <c r="Q236">
        <v>4302072.072072071</v>
      </c>
      <c r="R236">
        <v>4530180.180180179</v>
      </c>
      <c r="S236">
        <v>1988</v>
      </c>
      <c r="T236">
        <v>1879</v>
      </c>
    </row>
    <row r="237" spans="1:20" x14ac:dyDescent="0.35">
      <c r="A237" s="7" t="s">
        <v>328</v>
      </c>
      <c r="B237" s="12" t="s">
        <v>121</v>
      </c>
      <c r="C237">
        <v>152791473.88107425</v>
      </c>
      <c r="D237">
        <v>144685518.85990393</v>
      </c>
      <c r="E237">
        <v>449549.549549549</v>
      </c>
      <c r="F237">
        <v>619594.59459459397</v>
      </c>
      <c r="G237">
        <v>58</v>
      </c>
      <c r="H237">
        <v>49</v>
      </c>
      <c r="K237">
        <v>65</v>
      </c>
      <c r="L237">
        <v>54</v>
      </c>
      <c r="M237">
        <v>6686486.4864864862</v>
      </c>
      <c r="N237">
        <v>11220720.720720723</v>
      </c>
      <c r="O237">
        <v>21574873.873873871</v>
      </c>
      <c r="P237">
        <v>21651049.549549554</v>
      </c>
      <c r="Q237">
        <v>6876486.486486488</v>
      </c>
      <c r="R237">
        <v>8353243.2432432417</v>
      </c>
      <c r="S237">
        <v>4012</v>
      </c>
      <c r="T237">
        <v>3963</v>
      </c>
    </row>
    <row r="238" spans="1:20" x14ac:dyDescent="0.35">
      <c r="A238" s="7" t="s">
        <v>329</v>
      </c>
      <c r="B238" s="12" t="s">
        <v>330</v>
      </c>
      <c r="C238">
        <v>360316431.48287541</v>
      </c>
      <c r="D238">
        <v>336426246.06853336</v>
      </c>
      <c r="E238">
        <v>74684459.459459454</v>
      </c>
      <c r="F238">
        <v>189202027.02702704</v>
      </c>
      <c r="G238">
        <v>138</v>
      </c>
      <c r="H238">
        <v>132</v>
      </c>
      <c r="I238">
        <v>7</v>
      </c>
      <c r="K238">
        <v>157</v>
      </c>
      <c r="L238">
        <v>157</v>
      </c>
      <c r="M238">
        <v>22569369.369369369</v>
      </c>
      <c r="N238">
        <v>54446846.846846849</v>
      </c>
      <c r="O238">
        <v>74959630.630630627</v>
      </c>
      <c r="P238">
        <v>71838813.06306307</v>
      </c>
      <c r="Q238">
        <v>20085855.855855856</v>
      </c>
      <c r="R238">
        <v>50353063.06306307</v>
      </c>
      <c r="S238">
        <v>14517</v>
      </c>
      <c r="T238">
        <v>13670</v>
      </c>
    </row>
    <row r="239" spans="1:20" x14ac:dyDescent="0.35">
      <c r="A239" s="7" t="s">
        <v>331</v>
      </c>
      <c r="B239" s="12" t="s">
        <v>290</v>
      </c>
      <c r="C239">
        <v>524596393.00363851</v>
      </c>
      <c r="D239">
        <v>509712295.43817317</v>
      </c>
      <c r="E239">
        <v>963063.06306306506</v>
      </c>
      <c r="F239">
        <v>2737387.387387393</v>
      </c>
      <c r="G239">
        <v>164</v>
      </c>
      <c r="H239">
        <v>169</v>
      </c>
      <c r="I239">
        <v>6</v>
      </c>
      <c r="K239">
        <v>194</v>
      </c>
      <c r="L239">
        <v>202</v>
      </c>
      <c r="M239">
        <v>45906306.30630631</v>
      </c>
      <c r="N239">
        <v>47582882.882882878</v>
      </c>
      <c r="O239">
        <v>91362837.837837845</v>
      </c>
      <c r="P239">
        <v>91006574.77477479</v>
      </c>
      <c r="Q239">
        <v>46523827.027027033</v>
      </c>
      <c r="R239">
        <v>44196216.216216214</v>
      </c>
      <c r="S239">
        <v>17006</v>
      </c>
      <c r="T239">
        <v>16824</v>
      </c>
    </row>
    <row r="240" spans="1:20" x14ac:dyDescent="0.35">
      <c r="A240" s="7" t="s">
        <v>332</v>
      </c>
      <c r="B240" s="12" t="s">
        <v>290</v>
      </c>
      <c r="C240">
        <v>385574100.42156929</v>
      </c>
      <c r="D240">
        <v>384870340.03316408</v>
      </c>
      <c r="E240">
        <v>2590540.5405405439</v>
      </c>
      <c r="F240">
        <v>3864864.8648648709</v>
      </c>
      <c r="G240">
        <v>114</v>
      </c>
      <c r="H240">
        <v>96</v>
      </c>
      <c r="I240">
        <v>2</v>
      </c>
      <c r="K240">
        <v>130</v>
      </c>
      <c r="L240">
        <v>178</v>
      </c>
      <c r="M240">
        <v>44625675.675675675</v>
      </c>
      <c r="N240">
        <v>52442342.342342347</v>
      </c>
      <c r="O240">
        <v>96011657.657657668</v>
      </c>
      <c r="P240">
        <v>102100036.03603603</v>
      </c>
      <c r="Q240">
        <v>45252252.252252258</v>
      </c>
      <c r="R240">
        <v>52140540.540540546</v>
      </c>
      <c r="S240">
        <v>14683</v>
      </c>
      <c r="T240">
        <v>14849</v>
      </c>
    </row>
    <row r="241" spans="1:20" x14ac:dyDescent="0.35">
      <c r="A241" s="7" t="s">
        <v>333</v>
      </c>
      <c r="B241" s="12" t="s">
        <v>60</v>
      </c>
      <c r="C241">
        <v>52917004.061095491</v>
      </c>
      <c r="D241">
        <v>52874487.632314794</v>
      </c>
      <c r="E241">
        <v>1091666.6666666679</v>
      </c>
      <c r="F241">
        <v>1627927.927927928</v>
      </c>
      <c r="G241">
        <v>23</v>
      </c>
      <c r="H241">
        <v>60</v>
      </c>
      <c r="K241">
        <v>38</v>
      </c>
      <c r="L241">
        <v>87</v>
      </c>
      <c r="M241">
        <v>15872972.972972972</v>
      </c>
      <c r="N241">
        <v>20218918.918918919</v>
      </c>
      <c r="O241">
        <v>18214414.414414417</v>
      </c>
      <c r="P241">
        <v>19282234.234234232</v>
      </c>
      <c r="Q241">
        <v>15019369.369369371</v>
      </c>
      <c r="R241">
        <v>18298198.198198196</v>
      </c>
      <c r="S241">
        <v>1998</v>
      </c>
      <c r="T241">
        <v>2001</v>
      </c>
    </row>
    <row r="242" spans="1:20" x14ac:dyDescent="0.35">
      <c r="A242" s="7" t="s">
        <v>334</v>
      </c>
      <c r="B242" s="12" t="s">
        <v>60</v>
      </c>
      <c r="C242">
        <v>7547737.6162364082</v>
      </c>
      <c r="D242">
        <v>10172582.970954034</v>
      </c>
      <c r="E242">
        <v>125225.22522522599</v>
      </c>
      <c r="F242">
        <v>236936.93693693701</v>
      </c>
      <c r="G242">
        <v>2</v>
      </c>
      <c r="H242">
        <v>6</v>
      </c>
      <c r="K242">
        <v>3</v>
      </c>
      <c r="L242">
        <v>7</v>
      </c>
      <c r="M242">
        <v>838738.73873873905</v>
      </c>
      <c r="N242">
        <v>574324.32432432496</v>
      </c>
      <c r="O242">
        <v>4356036.036036035</v>
      </c>
      <c r="P242">
        <v>5787072.072072072</v>
      </c>
      <c r="Q242">
        <v>671171.17117117101</v>
      </c>
      <c r="R242">
        <v>790810.810810811</v>
      </c>
      <c r="S242">
        <v>868</v>
      </c>
      <c r="T242">
        <v>1206</v>
      </c>
    </row>
    <row r="243" spans="1:20" x14ac:dyDescent="0.35">
      <c r="A243" s="7" t="s">
        <v>335</v>
      </c>
      <c r="B243" s="12" t="s">
        <v>121</v>
      </c>
      <c r="C243">
        <v>56269.818591274001</v>
      </c>
      <c r="D243">
        <v>1272500.99183721</v>
      </c>
      <c r="O243">
        <v>34234.234234233998</v>
      </c>
      <c r="P243">
        <v>93243.243243243007</v>
      </c>
      <c r="T243">
        <v>155</v>
      </c>
    </row>
    <row r="244" spans="1:20" x14ac:dyDescent="0.35">
      <c r="A244" s="7" t="s">
        <v>336</v>
      </c>
      <c r="B244" s="12" t="s">
        <v>121</v>
      </c>
      <c r="C244">
        <v>1967014.969523198</v>
      </c>
      <c r="D244">
        <v>1944221.6973930651</v>
      </c>
      <c r="G244">
        <v>2</v>
      </c>
      <c r="H244">
        <v>1</v>
      </c>
      <c r="K244">
        <v>3</v>
      </c>
      <c r="L244">
        <v>1</v>
      </c>
      <c r="O244">
        <v>427747.74774774798</v>
      </c>
      <c r="P244">
        <v>429549.54954954999</v>
      </c>
      <c r="S244">
        <v>107</v>
      </c>
      <c r="T244">
        <v>92</v>
      </c>
    </row>
    <row r="245" spans="1:20" x14ac:dyDescent="0.35">
      <c r="A245" s="7" t="s">
        <v>337</v>
      </c>
      <c r="B245" s="12" t="s">
        <v>121</v>
      </c>
      <c r="C245">
        <v>1632586.669503113</v>
      </c>
      <c r="D245">
        <v>1469924.0042988949</v>
      </c>
      <c r="G245">
        <v>2</v>
      </c>
      <c r="K245">
        <v>2</v>
      </c>
      <c r="O245">
        <v>99774.774774774996</v>
      </c>
      <c r="P245">
        <v>14414.414414413999</v>
      </c>
      <c r="S245">
        <v>145</v>
      </c>
      <c r="T245">
        <v>151</v>
      </c>
    </row>
    <row r="246" spans="1:20" x14ac:dyDescent="0.35">
      <c r="A246" s="7" t="s">
        <v>338</v>
      </c>
      <c r="B246" s="12" t="s">
        <v>140</v>
      </c>
      <c r="C246">
        <v>588061781.56914628</v>
      </c>
      <c r="D246">
        <v>578573988.91915464</v>
      </c>
      <c r="E246">
        <v>1033468.4684684729</v>
      </c>
      <c r="F246">
        <v>2332432.4324324392</v>
      </c>
      <c r="G246">
        <v>148</v>
      </c>
      <c r="H246">
        <v>170</v>
      </c>
      <c r="I246">
        <v>1</v>
      </c>
      <c r="K246">
        <v>163</v>
      </c>
      <c r="L246">
        <v>203</v>
      </c>
      <c r="M246">
        <v>64630548.648648649</v>
      </c>
      <c r="N246">
        <v>55080900.9009009</v>
      </c>
      <c r="O246">
        <v>113563322.52252252</v>
      </c>
      <c r="P246">
        <v>115185846.84684685</v>
      </c>
      <c r="Q246">
        <v>53039009.009009011</v>
      </c>
      <c r="R246">
        <v>48011801.801801801</v>
      </c>
      <c r="S246">
        <v>16230</v>
      </c>
      <c r="T246">
        <v>16022</v>
      </c>
    </row>
    <row r="247" spans="1:20" x14ac:dyDescent="0.35">
      <c r="A247" s="7" t="s">
        <v>339</v>
      </c>
      <c r="B247" s="12" t="s">
        <v>121</v>
      </c>
      <c r="C247">
        <v>95503384.469941914</v>
      </c>
      <c r="D247">
        <v>90698682.219569251</v>
      </c>
      <c r="E247">
        <v>3603.603603604</v>
      </c>
      <c r="G247">
        <v>52</v>
      </c>
      <c r="H247">
        <v>24</v>
      </c>
      <c r="K247">
        <v>57</v>
      </c>
      <c r="L247">
        <v>29</v>
      </c>
      <c r="M247">
        <v>3603.603603604</v>
      </c>
      <c r="O247">
        <v>6612333.333333334</v>
      </c>
      <c r="P247">
        <v>6208774.7747747749</v>
      </c>
      <c r="S247">
        <v>2503</v>
      </c>
      <c r="T247">
        <v>2511</v>
      </c>
    </row>
    <row r="248" spans="1:20" x14ac:dyDescent="0.35">
      <c r="A248" s="7" t="s">
        <v>340</v>
      </c>
      <c r="B248" s="12" t="s">
        <v>140</v>
      </c>
      <c r="C248">
        <v>295119306.88158</v>
      </c>
      <c r="D248">
        <v>311085382.59164619</v>
      </c>
      <c r="E248">
        <v>47381981.981981985</v>
      </c>
      <c r="F248">
        <v>56259909.909909911</v>
      </c>
      <c r="G248">
        <v>34</v>
      </c>
      <c r="H248">
        <v>55</v>
      </c>
      <c r="I248">
        <v>5</v>
      </c>
      <c r="K248">
        <v>67</v>
      </c>
      <c r="L248">
        <v>67</v>
      </c>
      <c r="M248">
        <v>51521621.621621624</v>
      </c>
      <c r="N248">
        <v>55357162.162162162</v>
      </c>
      <c r="O248">
        <v>81322990.990990996</v>
      </c>
      <c r="P248">
        <v>93084820.270270273</v>
      </c>
      <c r="Q248">
        <v>49160630.630630635</v>
      </c>
      <c r="R248">
        <v>51721171.171171166</v>
      </c>
      <c r="S248">
        <v>8618</v>
      </c>
      <c r="T248">
        <v>8880</v>
      </c>
    </row>
    <row r="249" spans="1:20" x14ac:dyDescent="0.35">
      <c r="A249" s="7" t="s">
        <v>341</v>
      </c>
      <c r="B249" s="12" t="s">
        <v>134</v>
      </c>
      <c r="C249">
        <v>37826876.941835277</v>
      </c>
      <c r="D249">
        <v>32720431.044216722</v>
      </c>
      <c r="E249">
        <v>5405.4054054059998</v>
      </c>
      <c r="F249">
        <v>54054.054054054002</v>
      </c>
      <c r="G249">
        <v>16</v>
      </c>
      <c r="H249">
        <v>8</v>
      </c>
      <c r="K249">
        <v>18</v>
      </c>
      <c r="L249">
        <v>8</v>
      </c>
      <c r="M249">
        <v>1762162.1621621619</v>
      </c>
      <c r="N249">
        <v>1495495.4954954961</v>
      </c>
      <c r="O249">
        <v>3426261.2612612611</v>
      </c>
      <c r="P249">
        <v>3097288.2882882892</v>
      </c>
      <c r="Q249">
        <v>1307477.4774774781</v>
      </c>
      <c r="R249">
        <v>814144.14414414403</v>
      </c>
      <c r="S249">
        <v>1358</v>
      </c>
      <c r="T249">
        <v>1273</v>
      </c>
    </row>
    <row r="250" spans="1:20" x14ac:dyDescent="0.35">
      <c r="A250" s="7" t="s">
        <v>342</v>
      </c>
      <c r="B250" s="12" t="s">
        <v>121</v>
      </c>
      <c r="C250">
        <v>1829203.9178321911</v>
      </c>
      <c r="D250">
        <v>1079880.901731242</v>
      </c>
      <c r="G250">
        <v>4</v>
      </c>
      <c r="H250">
        <v>2</v>
      </c>
      <c r="K250">
        <v>6</v>
      </c>
      <c r="L250">
        <v>8</v>
      </c>
      <c r="O250">
        <v>927657.65765765798</v>
      </c>
      <c r="P250">
        <v>508783.78378378402</v>
      </c>
      <c r="S250">
        <v>399</v>
      </c>
      <c r="T250">
        <v>361</v>
      </c>
    </row>
    <row r="251" spans="1:20" x14ac:dyDescent="0.35">
      <c r="A251" s="7" t="s">
        <v>5</v>
      </c>
      <c r="B251" s="12" t="s">
        <v>158</v>
      </c>
      <c r="C251">
        <v>112447275.67631185</v>
      </c>
      <c r="D251">
        <v>114460834.10688859</v>
      </c>
      <c r="E251">
        <v>1422972.972972973</v>
      </c>
      <c r="F251">
        <v>176576.576576577</v>
      </c>
      <c r="G251">
        <v>9</v>
      </c>
      <c r="H251">
        <v>14</v>
      </c>
      <c r="I251">
        <v>1</v>
      </c>
      <c r="K251">
        <v>11</v>
      </c>
      <c r="L251">
        <v>14</v>
      </c>
      <c r="M251">
        <v>7375405.4054054059</v>
      </c>
      <c r="N251">
        <v>8922522.5225225221</v>
      </c>
      <c r="O251">
        <v>49598018.018018015</v>
      </c>
      <c r="P251">
        <v>48302936.936936937</v>
      </c>
      <c r="Q251">
        <v>6424504.5045045037</v>
      </c>
      <c r="R251">
        <v>8203333.3333333321</v>
      </c>
      <c r="S251">
        <v>3164</v>
      </c>
      <c r="T251">
        <v>2763</v>
      </c>
    </row>
    <row r="252" spans="1:20" x14ac:dyDescent="0.35">
      <c r="A252" s="7" t="s">
        <v>343</v>
      </c>
      <c r="B252" s="12" t="s">
        <v>304</v>
      </c>
      <c r="C252">
        <v>12638899.635471772</v>
      </c>
      <c r="D252">
        <v>13841002.432852091</v>
      </c>
      <c r="E252">
        <v>1801.801801802</v>
      </c>
      <c r="F252">
        <v>900900.90090090095</v>
      </c>
      <c r="G252">
        <v>15</v>
      </c>
      <c r="H252">
        <v>7</v>
      </c>
      <c r="K252">
        <v>18</v>
      </c>
      <c r="L252">
        <v>10</v>
      </c>
      <c r="M252">
        <v>452252.25225225202</v>
      </c>
      <c r="N252">
        <v>900900.90090090095</v>
      </c>
      <c r="O252">
        <v>2632027.0270270272</v>
      </c>
      <c r="P252">
        <v>2250639.6396396402</v>
      </c>
      <c r="Q252">
        <v>328108.10810810799</v>
      </c>
      <c r="R252">
        <v>218018.01801801799</v>
      </c>
      <c r="S252">
        <v>530</v>
      </c>
      <c r="T252">
        <v>439</v>
      </c>
    </row>
    <row r="253" spans="1:20" x14ac:dyDescent="0.35">
      <c r="A253" s="7" t="s">
        <v>344</v>
      </c>
      <c r="B253" s="12" t="s">
        <v>105</v>
      </c>
      <c r="C253">
        <v>243557474.90089101</v>
      </c>
      <c r="D253">
        <v>234775685.45760089</v>
      </c>
      <c r="E253">
        <v>234909.90990991</v>
      </c>
      <c r="F253">
        <v>1366216.216216218</v>
      </c>
      <c r="G253">
        <v>63</v>
      </c>
      <c r="H253">
        <v>39</v>
      </c>
      <c r="I253">
        <v>1</v>
      </c>
      <c r="K253">
        <v>67</v>
      </c>
      <c r="L253">
        <v>56</v>
      </c>
      <c r="M253">
        <v>29753513.513513513</v>
      </c>
      <c r="N253">
        <v>34545765.765765771</v>
      </c>
      <c r="O253">
        <v>59757018.018018015</v>
      </c>
      <c r="P253">
        <v>57826981.981981985</v>
      </c>
      <c r="Q253">
        <v>28873603.603603601</v>
      </c>
      <c r="R253">
        <v>30707747.747747749</v>
      </c>
      <c r="S253">
        <v>5891</v>
      </c>
      <c r="T253">
        <v>5754</v>
      </c>
    </row>
    <row r="254" spans="1:20" x14ac:dyDescent="0.35">
      <c r="A254" s="7" t="s">
        <v>345</v>
      </c>
      <c r="B254" s="12" t="s">
        <v>87</v>
      </c>
      <c r="C254">
        <v>71619444.699362546</v>
      </c>
      <c r="D254">
        <v>71792569.022532567</v>
      </c>
      <c r="E254">
        <v>334234.23423423601</v>
      </c>
      <c r="F254">
        <v>504504.50450450502</v>
      </c>
      <c r="G254">
        <v>38</v>
      </c>
      <c r="H254">
        <v>28</v>
      </c>
      <c r="I254">
        <v>1</v>
      </c>
      <c r="K254">
        <v>42</v>
      </c>
      <c r="L254">
        <v>34</v>
      </c>
      <c r="M254">
        <v>17586486.486486487</v>
      </c>
      <c r="N254">
        <v>20490990.990990993</v>
      </c>
      <c r="O254">
        <v>16508175.675675675</v>
      </c>
      <c r="P254">
        <v>18402047.747747749</v>
      </c>
      <c r="Q254">
        <v>11247567.567567568</v>
      </c>
      <c r="R254">
        <v>13999863.063063065</v>
      </c>
      <c r="S254">
        <v>2215</v>
      </c>
      <c r="T254">
        <v>2287</v>
      </c>
    </row>
    <row r="255" spans="1:20" x14ac:dyDescent="0.35">
      <c r="A255" s="7" t="s">
        <v>346</v>
      </c>
      <c r="B255" s="12" t="s">
        <v>87</v>
      </c>
      <c r="C255">
        <v>222167855.35766828</v>
      </c>
      <c r="D255">
        <v>199602547.15267435</v>
      </c>
      <c r="E255">
        <v>584009.00900900899</v>
      </c>
      <c r="F255">
        <v>2584684.6846846868</v>
      </c>
      <c r="G255">
        <v>149</v>
      </c>
      <c r="H255">
        <v>128</v>
      </c>
      <c r="I255">
        <v>1</v>
      </c>
      <c r="K255">
        <v>172</v>
      </c>
      <c r="L255">
        <v>154</v>
      </c>
      <c r="M255">
        <v>19215315.315315314</v>
      </c>
      <c r="N255">
        <v>21813513.513513513</v>
      </c>
      <c r="O255">
        <v>34373545.045045041</v>
      </c>
      <c r="P255">
        <v>34709989.189189196</v>
      </c>
      <c r="Q255">
        <v>15472432.432432435</v>
      </c>
      <c r="R255">
        <v>16010990.990990993</v>
      </c>
      <c r="S255">
        <v>6666</v>
      </c>
      <c r="T255">
        <v>6177</v>
      </c>
    </row>
    <row r="256" spans="1:20" x14ac:dyDescent="0.35">
      <c r="A256" s="7" t="s">
        <v>347</v>
      </c>
      <c r="B256" s="12" t="s">
        <v>87</v>
      </c>
      <c r="C256">
        <v>5430282.9930087673</v>
      </c>
      <c r="D256">
        <v>6242736.4449446322</v>
      </c>
      <c r="G256">
        <v>2</v>
      </c>
      <c r="H256">
        <v>18</v>
      </c>
      <c r="K256">
        <v>7</v>
      </c>
      <c r="L256">
        <v>19</v>
      </c>
      <c r="O256">
        <v>2882837.8378378381</v>
      </c>
      <c r="P256">
        <v>2352783.7837837832</v>
      </c>
      <c r="S256">
        <v>737</v>
      </c>
      <c r="T256">
        <v>838</v>
      </c>
    </row>
    <row r="257" spans="1:20" x14ac:dyDescent="0.35">
      <c r="A257" s="7" t="s">
        <v>348</v>
      </c>
      <c r="B257" s="12" t="s">
        <v>87</v>
      </c>
      <c r="C257">
        <v>2228858.5895322538</v>
      </c>
      <c r="D257">
        <v>2852109.2120802631</v>
      </c>
      <c r="H257">
        <v>1</v>
      </c>
      <c r="K257">
        <v>1</v>
      </c>
      <c r="L257">
        <v>1</v>
      </c>
      <c r="O257">
        <v>462792.79279279301</v>
      </c>
      <c r="P257">
        <v>1111396.3963963969</v>
      </c>
      <c r="S257">
        <v>336</v>
      </c>
      <c r="T257">
        <v>213</v>
      </c>
    </row>
    <row r="258" spans="1:20" x14ac:dyDescent="0.35">
      <c r="A258" s="7" t="s">
        <v>349</v>
      </c>
      <c r="B258" s="12" t="s">
        <v>87</v>
      </c>
      <c r="C258">
        <v>2376088.513316019</v>
      </c>
      <c r="D258">
        <v>2411226.8693886111</v>
      </c>
      <c r="G258">
        <v>1</v>
      </c>
      <c r="H258">
        <v>5</v>
      </c>
      <c r="K258">
        <v>2</v>
      </c>
      <c r="L258">
        <v>9</v>
      </c>
      <c r="O258">
        <v>991531.53153153195</v>
      </c>
      <c r="P258">
        <v>1425864.8648648651</v>
      </c>
      <c r="S258">
        <v>672</v>
      </c>
      <c r="T258">
        <v>608</v>
      </c>
    </row>
    <row r="259" spans="1:20" x14ac:dyDescent="0.35">
      <c r="A259" s="7" t="s">
        <v>350</v>
      </c>
      <c r="B259" s="12" t="s">
        <v>87</v>
      </c>
      <c r="C259">
        <v>58864784.815724693</v>
      </c>
      <c r="D259">
        <v>64279660.236392722</v>
      </c>
      <c r="E259">
        <v>5405.4054054059998</v>
      </c>
      <c r="F259">
        <v>101801.801801803</v>
      </c>
      <c r="G259">
        <v>35</v>
      </c>
      <c r="H259">
        <v>20</v>
      </c>
      <c r="K259">
        <v>39</v>
      </c>
      <c r="L259">
        <v>26</v>
      </c>
      <c r="M259">
        <v>4790090.0900900913</v>
      </c>
      <c r="N259">
        <v>4556756.7567567592</v>
      </c>
      <c r="O259">
        <v>11665810.810810812</v>
      </c>
      <c r="P259">
        <v>12940135.135135135</v>
      </c>
      <c r="Q259">
        <v>4321531.5315315323</v>
      </c>
      <c r="R259">
        <v>4537117.1171171162</v>
      </c>
      <c r="S259">
        <v>1993</v>
      </c>
      <c r="T259">
        <v>2018</v>
      </c>
    </row>
    <row r="260" spans="1:20" x14ac:dyDescent="0.35">
      <c r="A260" s="7" t="s">
        <v>351</v>
      </c>
      <c r="B260" s="12" t="s">
        <v>50</v>
      </c>
      <c r="C260">
        <v>164450290.78802061</v>
      </c>
      <c r="D260">
        <v>175169169.06080836</v>
      </c>
      <c r="E260">
        <v>374324.32432432601</v>
      </c>
      <c r="F260">
        <v>2340540.5405405448</v>
      </c>
      <c r="G260">
        <v>21</v>
      </c>
      <c r="H260">
        <v>53</v>
      </c>
      <c r="K260">
        <v>23</v>
      </c>
      <c r="L260">
        <v>62</v>
      </c>
      <c r="M260">
        <v>27219369.369369369</v>
      </c>
      <c r="N260">
        <v>23858198.198198199</v>
      </c>
      <c r="O260">
        <v>65143828.828828834</v>
      </c>
      <c r="P260">
        <v>68128157.657657653</v>
      </c>
      <c r="Q260">
        <v>26514054.054054055</v>
      </c>
      <c r="R260">
        <v>21720270.270270273</v>
      </c>
      <c r="S260">
        <v>5535</v>
      </c>
      <c r="T260">
        <v>5642</v>
      </c>
    </row>
    <row r="261" spans="1:20" x14ac:dyDescent="0.35">
      <c r="A261" s="7" t="s">
        <v>352</v>
      </c>
      <c r="B261" s="12" t="s">
        <v>123</v>
      </c>
      <c r="C261">
        <v>1096801.2409632099</v>
      </c>
      <c r="D261">
        <v>1073467.3007792661</v>
      </c>
      <c r="H261">
        <v>1</v>
      </c>
      <c r="K261">
        <v>1</v>
      </c>
      <c r="L261">
        <v>1</v>
      </c>
      <c r="O261">
        <v>418288.28828828799</v>
      </c>
      <c r="P261">
        <v>443918.91891891899</v>
      </c>
      <c r="S261">
        <v>122</v>
      </c>
      <c r="T261">
        <v>109</v>
      </c>
    </row>
    <row r="262" spans="1:20" x14ac:dyDescent="0.35">
      <c r="A262" s="7" t="s">
        <v>353</v>
      </c>
      <c r="B262" s="12" t="s">
        <v>354</v>
      </c>
      <c r="C262">
        <v>321234004.43749982</v>
      </c>
      <c r="D262">
        <v>300967572.93204808</v>
      </c>
      <c r="E262">
        <v>2218918.9189189188</v>
      </c>
      <c r="F262">
        <v>7727927.927927929</v>
      </c>
      <c r="G262">
        <v>126</v>
      </c>
      <c r="H262">
        <v>239</v>
      </c>
      <c r="K262">
        <v>212</v>
      </c>
      <c r="L262">
        <v>475</v>
      </c>
      <c r="M262">
        <v>144908648.64864865</v>
      </c>
      <c r="N262">
        <v>228873783.78378376</v>
      </c>
      <c r="O262">
        <v>182740403.6036036</v>
      </c>
      <c r="P262">
        <v>177873729.72972974</v>
      </c>
      <c r="Q262">
        <v>127344144.14414415</v>
      </c>
      <c r="R262">
        <v>231930810.8108108</v>
      </c>
      <c r="S262">
        <v>10089</v>
      </c>
      <c r="T262">
        <v>9850</v>
      </c>
    </row>
    <row r="263" spans="1:20" x14ac:dyDescent="0.35">
      <c r="A263" s="7" t="s">
        <v>355</v>
      </c>
      <c r="B263" s="12" t="s">
        <v>48</v>
      </c>
      <c r="C263">
        <v>209255862.44527471</v>
      </c>
      <c r="D263">
        <v>203760954.86636353</v>
      </c>
      <c r="E263">
        <v>208108.10810810901</v>
      </c>
      <c r="F263">
        <v>495495.49549549603</v>
      </c>
      <c r="G263">
        <v>44</v>
      </c>
      <c r="H263">
        <v>16</v>
      </c>
      <c r="K263">
        <v>51</v>
      </c>
      <c r="L263">
        <v>18</v>
      </c>
      <c r="M263">
        <v>1740720.7207207179</v>
      </c>
      <c r="N263">
        <v>513513.51351351402</v>
      </c>
      <c r="O263">
        <v>14600612.612612613</v>
      </c>
      <c r="P263">
        <v>15390576.576576576</v>
      </c>
      <c r="Q263">
        <v>927567.56756756501</v>
      </c>
      <c r="R263">
        <v>377027.02702702698</v>
      </c>
      <c r="S263">
        <v>5874</v>
      </c>
      <c r="T263">
        <v>6708</v>
      </c>
    </row>
    <row r="264" spans="1:20" x14ac:dyDescent="0.35">
      <c r="A264" s="7" t="s">
        <v>356</v>
      </c>
      <c r="B264" s="12" t="s">
        <v>123</v>
      </c>
      <c r="C264">
        <v>233805447.78925341</v>
      </c>
      <c r="D264">
        <v>217003385.82286105</v>
      </c>
      <c r="E264">
        <v>63963.963963964998</v>
      </c>
      <c r="F264">
        <v>99099.0990991</v>
      </c>
      <c r="G264">
        <v>52</v>
      </c>
      <c r="H264">
        <v>43</v>
      </c>
      <c r="K264">
        <v>54</v>
      </c>
      <c r="L264">
        <v>45</v>
      </c>
      <c r="M264">
        <v>8261801.8018018007</v>
      </c>
      <c r="N264">
        <v>11826936.936936937</v>
      </c>
      <c r="O264">
        <v>52583592.79279279</v>
      </c>
      <c r="P264">
        <v>48487382.882882878</v>
      </c>
      <c r="Q264">
        <v>7541981.9819819815</v>
      </c>
      <c r="R264">
        <v>9948828.8288288284</v>
      </c>
      <c r="S264">
        <v>5882</v>
      </c>
      <c r="T264">
        <v>5605</v>
      </c>
    </row>
    <row r="265" spans="1:20" x14ac:dyDescent="0.35">
      <c r="A265" s="7" t="s">
        <v>357</v>
      </c>
      <c r="B265" s="12" t="s">
        <v>62</v>
      </c>
      <c r="C265">
        <v>128812516.46709549</v>
      </c>
      <c r="D265">
        <v>125829495.00578541</v>
      </c>
      <c r="E265">
        <v>677477.477477476</v>
      </c>
      <c r="F265">
        <v>1629729.7297297311</v>
      </c>
      <c r="G265">
        <v>21</v>
      </c>
      <c r="H265">
        <v>11</v>
      </c>
      <c r="K265">
        <v>22</v>
      </c>
      <c r="L265">
        <v>14</v>
      </c>
      <c r="M265">
        <v>12260900.9009009</v>
      </c>
      <c r="N265">
        <v>23130450.450450446</v>
      </c>
      <c r="O265">
        <v>33845405.40540541</v>
      </c>
      <c r="P265">
        <v>34602369.369369365</v>
      </c>
      <c r="Q265">
        <v>12227207.20720721</v>
      </c>
      <c r="R265">
        <v>23240180.180180177</v>
      </c>
      <c r="S265">
        <v>4006</v>
      </c>
      <c r="T265">
        <v>3728</v>
      </c>
    </row>
    <row r="266" spans="1:20" x14ac:dyDescent="0.35">
      <c r="A266" s="7" t="s">
        <v>358</v>
      </c>
      <c r="B266" s="12" t="s">
        <v>315</v>
      </c>
      <c r="C266">
        <v>5255526.0081938114</v>
      </c>
      <c r="D266">
        <v>4180000.3848913219</v>
      </c>
      <c r="G266">
        <v>10</v>
      </c>
      <c r="H266">
        <v>6</v>
      </c>
      <c r="K266">
        <v>10</v>
      </c>
      <c r="L266">
        <v>6</v>
      </c>
      <c r="O266">
        <v>2846306.3063063058</v>
      </c>
      <c r="P266">
        <v>1706531.5315315321</v>
      </c>
      <c r="S266">
        <v>623</v>
      </c>
      <c r="T266">
        <v>550</v>
      </c>
    </row>
    <row r="267" spans="1:20" x14ac:dyDescent="0.35">
      <c r="A267" s="7" t="s">
        <v>359</v>
      </c>
      <c r="B267" s="12" t="s">
        <v>315</v>
      </c>
      <c r="C267">
        <v>146516615.75628266</v>
      </c>
      <c r="D267">
        <v>120983868.75231932</v>
      </c>
      <c r="E267">
        <v>62578300</v>
      </c>
      <c r="F267">
        <v>80130860.360360369</v>
      </c>
      <c r="G267">
        <v>41</v>
      </c>
      <c r="H267">
        <v>31</v>
      </c>
      <c r="K267">
        <v>43</v>
      </c>
      <c r="L267">
        <v>37</v>
      </c>
      <c r="M267">
        <v>61739819.819819823</v>
      </c>
      <c r="N267">
        <v>17302972.972972974</v>
      </c>
      <c r="O267">
        <v>53971171.171171166</v>
      </c>
      <c r="P267">
        <v>44930486.486486487</v>
      </c>
      <c r="Q267">
        <v>30671441.441441439</v>
      </c>
      <c r="R267">
        <v>18461621.62162162</v>
      </c>
      <c r="S267">
        <v>3120</v>
      </c>
      <c r="T267">
        <v>3027</v>
      </c>
    </row>
    <row r="268" spans="1:20" x14ac:dyDescent="0.35">
      <c r="A268" s="7" t="s">
        <v>360</v>
      </c>
      <c r="B268" s="12" t="s">
        <v>92</v>
      </c>
      <c r="C268">
        <v>234348746.363325</v>
      </c>
      <c r="D268">
        <v>229485547.7389943</v>
      </c>
      <c r="E268">
        <v>52330742.342342347</v>
      </c>
      <c r="F268">
        <v>112314147.74774775</v>
      </c>
      <c r="G268">
        <v>72</v>
      </c>
      <c r="H268">
        <v>143</v>
      </c>
      <c r="K268">
        <v>120</v>
      </c>
      <c r="L268">
        <v>196</v>
      </c>
      <c r="M268">
        <v>45104054.054054059</v>
      </c>
      <c r="N268">
        <v>59288288.288288288</v>
      </c>
      <c r="O268">
        <v>68438234.234234229</v>
      </c>
      <c r="P268">
        <v>70564637.837837845</v>
      </c>
      <c r="Q268">
        <v>27964594.594594602</v>
      </c>
      <c r="R268">
        <v>46530944.144144148</v>
      </c>
      <c r="S268">
        <v>6921</v>
      </c>
      <c r="T268">
        <v>6511</v>
      </c>
    </row>
    <row r="269" spans="1:20" x14ac:dyDescent="0.35">
      <c r="A269" s="7" t="s">
        <v>361</v>
      </c>
      <c r="B269" s="12" t="s">
        <v>58</v>
      </c>
      <c r="C269">
        <v>478823713.67480665</v>
      </c>
      <c r="D269">
        <v>450631281.23507559</v>
      </c>
      <c r="E269">
        <v>2296396.3963963981</v>
      </c>
      <c r="F269">
        <v>14865765.765765768</v>
      </c>
      <c r="G269">
        <v>69</v>
      </c>
      <c r="H269">
        <v>86</v>
      </c>
      <c r="K269">
        <v>78</v>
      </c>
      <c r="L269">
        <v>97</v>
      </c>
      <c r="M269">
        <v>26730630.630630631</v>
      </c>
      <c r="N269">
        <v>20763063.063063063</v>
      </c>
      <c r="O269">
        <v>70661252.252252251</v>
      </c>
      <c r="P269">
        <v>71350139.639639646</v>
      </c>
      <c r="Q269">
        <v>19244594.594594602</v>
      </c>
      <c r="R269">
        <v>19364144.144144144</v>
      </c>
      <c r="S269">
        <v>12865</v>
      </c>
      <c r="T269">
        <v>14546</v>
      </c>
    </row>
    <row r="270" spans="1:20" x14ac:dyDescent="0.35">
      <c r="A270" s="7" t="s">
        <v>362</v>
      </c>
      <c r="B270" s="12" t="s">
        <v>48</v>
      </c>
      <c r="C270">
        <v>167862356.27522787</v>
      </c>
      <c r="D270">
        <v>160814707.30014005</v>
      </c>
      <c r="E270">
        <v>219819.81981982</v>
      </c>
      <c r="F270">
        <v>161261.26126126101</v>
      </c>
      <c r="G270">
        <v>3</v>
      </c>
      <c r="H270">
        <v>6</v>
      </c>
      <c r="K270">
        <v>5</v>
      </c>
      <c r="L270">
        <v>24</v>
      </c>
      <c r="M270">
        <v>7530270.2702702666</v>
      </c>
      <c r="N270">
        <v>27601081.081081081</v>
      </c>
      <c r="O270">
        <v>27849234.234234236</v>
      </c>
      <c r="P270">
        <v>26577486.486486487</v>
      </c>
      <c r="Q270">
        <v>11081801.801801795</v>
      </c>
      <c r="R270">
        <v>26056756.756756756</v>
      </c>
      <c r="S270">
        <v>3864</v>
      </c>
      <c r="T270">
        <v>3774</v>
      </c>
    </row>
    <row r="271" spans="1:20" x14ac:dyDescent="0.35">
      <c r="A271" s="7" t="s">
        <v>363</v>
      </c>
      <c r="B271" s="12" t="s">
        <v>52</v>
      </c>
      <c r="C271">
        <v>65421199.926773399</v>
      </c>
      <c r="D271">
        <v>67680756.799477175</v>
      </c>
      <c r="E271">
        <v>360000.00000000099</v>
      </c>
      <c r="F271">
        <v>136936.93693693701</v>
      </c>
      <c r="G271">
        <v>7</v>
      </c>
      <c r="H271">
        <v>18</v>
      </c>
      <c r="K271">
        <v>8</v>
      </c>
      <c r="L271">
        <v>22</v>
      </c>
      <c r="M271">
        <v>6476666.6666666642</v>
      </c>
      <c r="N271">
        <v>992792.79279279301</v>
      </c>
      <c r="O271">
        <v>31592792.792792793</v>
      </c>
      <c r="P271">
        <v>32571486.486486487</v>
      </c>
      <c r="Q271">
        <v>5816666.6666666651</v>
      </c>
      <c r="R271">
        <v>1281801.801801801</v>
      </c>
      <c r="S271">
        <v>2298</v>
      </c>
      <c r="T271">
        <v>2337</v>
      </c>
    </row>
    <row r="272" spans="1:20" x14ac:dyDescent="0.35">
      <c r="A272" s="7" t="s">
        <v>364</v>
      </c>
      <c r="B272" s="12" t="s">
        <v>52</v>
      </c>
      <c r="C272">
        <v>53381477.832495362</v>
      </c>
      <c r="D272">
        <v>51983149.236811623</v>
      </c>
      <c r="E272">
        <v>2002477.477477479</v>
      </c>
      <c r="F272">
        <v>2155855.8558558589</v>
      </c>
      <c r="G272">
        <v>15</v>
      </c>
      <c r="H272">
        <v>47</v>
      </c>
      <c r="K272">
        <v>21</v>
      </c>
      <c r="L272">
        <v>151</v>
      </c>
      <c r="M272">
        <v>9411261.261261262</v>
      </c>
      <c r="N272">
        <v>5173873.8738738745</v>
      </c>
      <c r="O272">
        <v>29163900.9009009</v>
      </c>
      <c r="P272">
        <v>29359810.810810808</v>
      </c>
      <c r="Q272">
        <v>8519279.2792792767</v>
      </c>
      <c r="R272">
        <v>10238288.28828829</v>
      </c>
      <c r="S272">
        <v>2363</v>
      </c>
      <c r="T272">
        <v>2280</v>
      </c>
    </row>
    <row r="273" spans="1:20" x14ac:dyDescent="0.35">
      <c r="A273" s="7" t="s">
        <v>365</v>
      </c>
      <c r="B273" s="12" t="s">
        <v>52</v>
      </c>
      <c r="C273">
        <v>565521715.82661545</v>
      </c>
      <c r="D273">
        <v>597767107.11452007</v>
      </c>
      <c r="E273">
        <v>170877236.03603604</v>
      </c>
      <c r="F273">
        <v>162559573.87387389</v>
      </c>
      <c r="G273">
        <v>139</v>
      </c>
      <c r="H273">
        <v>218</v>
      </c>
      <c r="K273">
        <v>161</v>
      </c>
      <c r="L273">
        <v>393</v>
      </c>
      <c r="M273">
        <v>44057387.387387387</v>
      </c>
      <c r="N273">
        <v>32390090.090090096</v>
      </c>
      <c r="O273">
        <v>200569211.7117117</v>
      </c>
      <c r="P273">
        <v>218114791.8918919</v>
      </c>
      <c r="Q273">
        <v>40100450.45045045</v>
      </c>
      <c r="R273">
        <v>54259639.639639638</v>
      </c>
      <c r="S273">
        <v>21002</v>
      </c>
      <c r="T273">
        <v>21271</v>
      </c>
    </row>
    <row r="274" spans="1:20" x14ac:dyDescent="0.35">
      <c r="A274" s="7" t="s">
        <v>366</v>
      </c>
      <c r="B274" s="12" t="s">
        <v>293</v>
      </c>
      <c r="C274">
        <v>369772599.60551131</v>
      </c>
      <c r="D274">
        <v>335670413.35524744</v>
      </c>
      <c r="E274">
        <v>47832624.324324325</v>
      </c>
      <c r="F274">
        <v>83635046.846846849</v>
      </c>
      <c r="G274">
        <v>77</v>
      </c>
      <c r="H274">
        <v>101</v>
      </c>
      <c r="I274">
        <v>2</v>
      </c>
      <c r="K274">
        <v>95</v>
      </c>
      <c r="L274">
        <v>195</v>
      </c>
      <c r="M274">
        <v>40910090.090090089</v>
      </c>
      <c r="N274">
        <v>41698288.288288288</v>
      </c>
      <c r="O274">
        <v>114443558.55855855</v>
      </c>
      <c r="P274">
        <v>110272617.11711712</v>
      </c>
      <c r="Q274">
        <v>29451081.081081081</v>
      </c>
      <c r="R274">
        <v>40118648.648648642</v>
      </c>
      <c r="S274">
        <v>11311</v>
      </c>
      <c r="T274">
        <v>11268</v>
      </c>
    </row>
    <row r="275" spans="1:20" x14ac:dyDescent="0.35">
      <c r="A275" s="7" t="s">
        <v>367</v>
      </c>
      <c r="B275" s="12" t="s">
        <v>368</v>
      </c>
      <c r="C275">
        <v>156297342.61292282</v>
      </c>
      <c r="D275">
        <v>142096176.97597906</v>
      </c>
      <c r="E275">
        <v>1036441.441441441</v>
      </c>
      <c r="F275">
        <v>1029729.729729733</v>
      </c>
      <c r="G275">
        <v>22</v>
      </c>
      <c r="H275">
        <v>28</v>
      </c>
      <c r="K275">
        <v>24</v>
      </c>
      <c r="L275">
        <v>32</v>
      </c>
      <c r="M275">
        <v>21874954.954954952</v>
      </c>
      <c r="N275">
        <v>32265225.225225225</v>
      </c>
      <c r="O275">
        <v>64235899.0990991</v>
      </c>
      <c r="P275">
        <v>59730315.315315314</v>
      </c>
      <c r="Q275">
        <v>19741531.531531528</v>
      </c>
      <c r="R275">
        <v>35724954.954954952</v>
      </c>
      <c r="S275">
        <v>3938</v>
      </c>
      <c r="T275">
        <v>3779</v>
      </c>
    </row>
    <row r="276" spans="1:20" x14ac:dyDescent="0.35">
      <c r="A276" s="7" t="s">
        <v>369</v>
      </c>
      <c r="B276" s="12" t="s">
        <v>70</v>
      </c>
      <c r="C276">
        <v>40907443.859403275</v>
      </c>
      <c r="D276">
        <v>41403420.538931921</v>
      </c>
      <c r="E276">
        <v>1215990.990990991</v>
      </c>
      <c r="F276">
        <v>1975675.6756756769</v>
      </c>
      <c r="G276">
        <v>11</v>
      </c>
      <c r="H276">
        <v>28</v>
      </c>
      <c r="K276">
        <v>12</v>
      </c>
      <c r="L276">
        <v>37</v>
      </c>
      <c r="M276">
        <v>8613513.5135135148</v>
      </c>
      <c r="N276">
        <v>9530630.6306306329</v>
      </c>
      <c r="O276">
        <v>13603198.198198199</v>
      </c>
      <c r="P276">
        <v>14063216.216216216</v>
      </c>
      <c r="Q276">
        <v>6662882.8828828838</v>
      </c>
      <c r="R276">
        <v>8027297.297297297</v>
      </c>
      <c r="S276">
        <v>1191</v>
      </c>
      <c r="T276">
        <v>1245</v>
      </c>
    </row>
    <row r="277" spans="1:20" x14ac:dyDescent="0.35">
      <c r="A277" s="7" t="s">
        <v>370</v>
      </c>
      <c r="B277" s="12" t="s">
        <v>50</v>
      </c>
      <c r="C277">
        <v>88338868.614597723</v>
      </c>
      <c r="D277">
        <v>87851725.447477445</v>
      </c>
      <c r="E277">
        <v>481981.98198198201</v>
      </c>
      <c r="F277">
        <v>994594.59459459595</v>
      </c>
      <c r="G277">
        <v>14</v>
      </c>
      <c r="H277">
        <v>21</v>
      </c>
      <c r="K277">
        <v>15</v>
      </c>
      <c r="L277">
        <v>24</v>
      </c>
      <c r="M277">
        <v>7442342.3423423423</v>
      </c>
      <c r="N277">
        <v>7140630.6306306301</v>
      </c>
      <c r="O277">
        <v>39407828.828828834</v>
      </c>
      <c r="P277">
        <v>38861369.369369365</v>
      </c>
      <c r="Q277">
        <v>7537657.6576576587</v>
      </c>
      <c r="R277">
        <v>6038918.9189189179</v>
      </c>
      <c r="S277">
        <v>2725</v>
      </c>
      <c r="T277">
        <v>4098</v>
      </c>
    </row>
    <row r="278" spans="1:20" x14ac:dyDescent="0.35">
      <c r="A278" s="7" t="s">
        <v>371</v>
      </c>
      <c r="B278" s="12" t="s">
        <v>121</v>
      </c>
      <c r="C278">
        <v>90735413.356681049</v>
      </c>
      <c r="D278">
        <v>88624796.921010047</v>
      </c>
      <c r="E278">
        <v>126126.126126127</v>
      </c>
      <c r="F278">
        <v>683783.78378378495</v>
      </c>
      <c r="G278">
        <v>32</v>
      </c>
      <c r="H278">
        <v>39</v>
      </c>
      <c r="K278">
        <v>37</v>
      </c>
      <c r="L278">
        <v>47</v>
      </c>
      <c r="M278">
        <v>1918918.91891892</v>
      </c>
      <c r="N278">
        <v>5238738.738738738</v>
      </c>
      <c r="O278">
        <v>8006531.5315315323</v>
      </c>
      <c r="P278">
        <v>9440225.2252252232</v>
      </c>
      <c r="Q278">
        <v>849189.189189189</v>
      </c>
      <c r="R278">
        <v>3158738.7387387389</v>
      </c>
      <c r="S278">
        <v>2763</v>
      </c>
      <c r="T278">
        <v>2672</v>
      </c>
    </row>
    <row r="279" spans="1:20" x14ac:dyDescent="0.35">
      <c r="A279" s="7" t="s">
        <v>372</v>
      </c>
      <c r="B279" s="12" t="s">
        <v>373</v>
      </c>
      <c r="C279">
        <v>236223554.81441459</v>
      </c>
      <c r="D279">
        <v>196549464.23840743</v>
      </c>
      <c r="E279">
        <v>47496653.153153151</v>
      </c>
      <c r="F279">
        <v>30546554.954954956</v>
      </c>
      <c r="G279">
        <v>380</v>
      </c>
      <c r="H279">
        <v>30</v>
      </c>
      <c r="I279">
        <v>1</v>
      </c>
      <c r="K279">
        <v>406</v>
      </c>
      <c r="L279">
        <v>35</v>
      </c>
      <c r="M279">
        <v>40862792.79279279</v>
      </c>
      <c r="N279">
        <v>37441441.441441439</v>
      </c>
      <c r="O279">
        <v>93945119.819819823</v>
      </c>
      <c r="P279">
        <v>73215927.927927926</v>
      </c>
      <c r="Q279">
        <v>41768872.072072074</v>
      </c>
      <c r="R279">
        <v>27588198.198198199</v>
      </c>
      <c r="S279">
        <v>9794</v>
      </c>
      <c r="T279">
        <v>9834</v>
      </c>
    </row>
    <row r="280" spans="1:20" x14ac:dyDescent="0.35">
      <c r="A280" s="7" t="s">
        <v>374</v>
      </c>
      <c r="B280" s="12" t="s">
        <v>66</v>
      </c>
      <c r="C280">
        <v>144525795.82257739</v>
      </c>
      <c r="D280">
        <v>144940810.07835558</v>
      </c>
      <c r="E280">
        <v>216216.216216217</v>
      </c>
      <c r="F280">
        <v>6268468.4684684724</v>
      </c>
      <c r="G280">
        <v>62</v>
      </c>
      <c r="H280">
        <v>44</v>
      </c>
      <c r="K280">
        <v>76</v>
      </c>
      <c r="L280">
        <v>55</v>
      </c>
      <c r="M280">
        <v>28733963.963963967</v>
      </c>
      <c r="N280">
        <v>164746846.84684685</v>
      </c>
      <c r="O280">
        <v>52434711.711711712</v>
      </c>
      <c r="P280">
        <v>52480306.306306303</v>
      </c>
      <c r="Q280">
        <v>26567747.747747753</v>
      </c>
      <c r="R280">
        <v>86276666.666666672</v>
      </c>
      <c r="S280">
        <v>7059</v>
      </c>
      <c r="T280">
        <v>7222</v>
      </c>
    </row>
    <row r="281" spans="1:20" x14ac:dyDescent="0.35">
      <c r="A281" s="7" t="s">
        <v>375</v>
      </c>
      <c r="B281" s="12" t="s">
        <v>354</v>
      </c>
      <c r="C281">
        <v>225441650.04616269</v>
      </c>
      <c r="D281">
        <v>219337878.41383448</v>
      </c>
      <c r="E281">
        <v>1437612.612612613</v>
      </c>
      <c r="F281">
        <v>2433333.333333334</v>
      </c>
      <c r="G281">
        <v>440</v>
      </c>
      <c r="H281">
        <v>298</v>
      </c>
      <c r="K281">
        <v>455</v>
      </c>
      <c r="L281">
        <v>305</v>
      </c>
      <c r="M281">
        <v>39129369.369369365</v>
      </c>
      <c r="N281">
        <v>42136846.846846849</v>
      </c>
      <c r="O281">
        <v>136461432.43243244</v>
      </c>
      <c r="P281">
        <v>132510837.83783785</v>
      </c>
      <c r="Q281">
        <v>42661711.711711712</v>
      </c>
      <c r="R281">
        <v>45356936.936936945</v>
      </c>
      <c r="S281">
        <v>7168</v>
      </c>
      <c r="T281">
        <v>7064</v>
      </c>
    </row>
    <row r="282" spans="1:20" x14ac:dyDescent="0.35">
      <c r="A282" s="7" t="s">
        <v>376</v>
      </c>
      <c r="B282" s="12" t="s">
        <v>66</v>
      </c>
      <c r="C282">
        <v>78493768.291845262</v>
      </c>
      <c r="D282">
        <v>83779031.644204736</v>
      </c>
      <c r="E282">
        <v>39639.639639640998</v>
      </c>
      <c r="F282">
        <v>772972.972972975</v>
      </c>
      <c r="G282">
        <v>23</v>
      </c>
      <c r="H282">
        <v>33</v>
      </c>
      <c r="K282">
        <v>27</v>
      </c>
      <c r="L282">
        <v>41</v>
      </c>
      <c r="M282">
        <v>6606756.7567567518</v>
      </c>
      <c r="N282">
        <v>6108108.1081081098</v>
      </c>
      <c r="O282">
        <v>34620376.576576576</v>
      </c>
      <c r="P282">
        <v>39540761.261261262</v>
      </c>
      <c r="Q282">
        <v>10537117.117117114</v>
      </c>
      <c r="R282">
        <v>7984144.1441441448</v>
      </c>
      <c r="S282">
        <v>4812</v>
      </c>
      <c r="T282">
        <v>5389</v>
      </c>
    </row>
    <row r="283" spans="1:20" x14ac:dyDescent="0.35">
      <c r="A283" s="7" t="s">
        <v>377</v>
      </c>
      <c r="B283" s="12" t="s">
        <v>260</v>
      </c>
      <c r="C283">
        <v>76694917.268961072</v>
      </c>
      <c r="D283">
        <v>72080040.063817665</v>
      </c>
      <c r="E283">
        <v>180180.18018018</v>
      </c>
      <c r="F283">
        <v>13513.513513514001</v>
      </c>
      <c r="G283">
        <v>2</v>
      </c>
      <c r="H283">
        <v>5</v>
      </c>
      <c r="K283">
        <v>2</v>
      </c>
      <c r="L283">
        <v>5</v>
      </c>
      <c r="M283">
        <v>630630.630630631</v>
      </c>
      <c r="N283">
        <v>3752252.2522522518</v>
      </c>
      <c r="O283">
        <v>11819009.009009007</v>
      </c>
      <c r="P283">
        <v>11759216.216216216</v>
      </c>
      <c r="Q283">
        <v>4679009.0090090092</v>
      </c>
      <c r="R283">
        <v>586936.93693693704</v>
      </c>
      <c r="S283">
        <v>1702</v>
      </c>
      <c r="T283">
        <v>1680</v>
      </c>
    </row>
    <row r="284" spans="1:20" x14ac:dyDescent="0.35">
      <c r="A284" s="7" t="s">
        <v>378</v>
      </c>
      <c r="B284" s="12" t="s">
        <v>354</v>
      </c>
      <c r="C284">
        <v>190311056.79255</v>
      </c>
      <c r="D284">
        <v>182337113.09465083</v>
      </c>
      <c r="E284">
        <v>186225692.7927928</v>
      </c>
      <c r="F284">
        <v>241555005.4054054</v>
      </c>
      <c r="G284">
        <v>40</v>
      </c>
      <c r="H284">
        <v>40</v>
      </c>
      <c r="K284">
        <v>42</v>
      </c>
      <c r="L284">
        <v>44</v>
      </c>
      <c r="M284">
        <v>51673513.513513513</v>
      </c>
      <c r="N284">
        <v>42757117.117117122</v>
      </c>
      <c r="O284">
        <v>97148018.018018022</v>
      </c>
      <c r="P284">
        <v>100941457.65765767</v>
      </c>
      <c r="Q284">
        <v>42721171.171171166</v>
      </c>
      <c r="R284">
        <v>34468018.018018022</v>
      </c>
      <c r="S284">
        <v>4834</v>
      </c>
      <c r="T284">
        <v>5100</v>
      </c>
    </row>
    <row r="285" spans="1:20" x14ac:dyDescent="0.35">
      <c r="A285" s="7" t="s">
        <v>379</v>
      </c>
      <c r="B285" s="12" t="s">
        <v>87</v>
      </c>
      <c r="C285">
        <v>3913972.5231890678</v>
      </c>
      <c r="D285">
        <v>5234211.4500507154</v>
      </c>
      <c r="H285">
        <v>1</v>
      </c>
      <c r="L285">
        <v>3</v>
      </c>
      <c r="O285">
        <v>144819.81981982</v>
      </c>
      <c r="P285">
        <v>324009.00900900899</v>
      </c>
      <c r="S285">
        <v>133</v>
      </c>
      <c r="T285">
        <v>224</v>
      </c>
    </row>
    <row r="286" spans="1:20" x14ac:dyDescent="0.35">
      <c r="A286" s="7" t="s">
        <v>380</v>
      </c>
      <c r="B286" s="12" t="s">
        <v>87</v>
      </c>
      <c r="C286">
        <v>15270750.74812944</v>
      </c>
      <c r="D286">
        <v>7056307.8681209693</v>
      </c>
      <c r="E286">
        <v>10810.810810810999</v>
      </c>
      <c r="F286">
        <v>3603603.6036036038</v>
      </c>
      <c r="G286">
        <v>159</v>
      </c>
      <c r="H286">
        <v>13</v>
      </c>
      <c r="K286">
        <v>160</v>
      </c>
      <c r="L286">
        <v>17</v>
      </c>
      <c r="M286">
        <v>197297.29729729699</v>
      </c>
      <c r="O286">
        <v>3376801.8018018021</v>
      </c>
      <c r="P286">
        <v>829693.69369369396</v>
      </c>
      <c r="Q286">
        <v>67567.567567567996</v>
      </c>
      <c r="S286">
        <v>537</v>
      </c>
      <c r="T286">
        <v>354</v>
      </c>
    </row>
    <row r="287" spans="1:20" x14ac:dyDescent="0.35">
      <c r="A287" s="7" t="s">
        <v>381</v>
      </c>
      <c r="B287" s="12" t="s">
        <v>80</v>
      </c>
      <c r="C287">
        <v>1278236134.1171684</v>
      </c>
      <c r="D287">
        <v>1250096325.1156986</v>
      </c>
      <c r="E287">
        <v>1213720818.018018</v>
      </c>
      <c r="F287">
        <v>595153292.7927928</v>
      </c>
      <c r="G287">
        <v>345</v>
      </c>
      <c r="H287">
        <v>407</v>
      </c>
      <c r="I287">
        <v>1</v>
      </c>
      <c r="K287">
        <v>414</v>
      </c>
      <c r="L287">
        <v>565</v>
      </c>
      <c r="M287">
        <v>152954054.05405405</v>
      </c>
      <c r="N287">
        <v>157234234.23423424</v>
      </c>
      <c r="O287">
        <v>307444059.45945948</v>
      </c>
      <c r="P287">
        <v>322303986.93693697</v>
      </c>
      <c r="Q287">
        <v>129985405.4054054</v>
      </c>
      <c r="R287">
        <v>128219099.09909908</v>
      </c>
      <c r="S287">
        <v>36949</v>
      </c>
      <c r="T287">
        <v>38496</v>
      </c>
    </row>
    <row r="288" spans="1:20" x14ac:dyDescent="0.35">
      <c r="A288" s="7" t="s">
        <v>382</v>
      </c>
      <c r="B288" s="12" t="s">
        <v>80</v>
      </c>
      <c r="C288">
        <v>338750002.46103185</v>
      </c>
      <c r="D288">
        <v>341470619.19520658</v>
      </c>
      <c r="E288">
        <v>2499099.0990990978</v>
      </c>
      <c r="F288">
        <v>3755180.180180185</v>
      </c>
      <c r="G288">
        <v>79</v>
      </c>
      <c r="H288">
        <v>88</v>
      </c>
      <c r="I288">
        <v>1</v>
      </c>
      <c r="K288">
        <v>92</v>
      </c>
      <c r="L288">
        <v>164</v>
      </c>
      <c r="M288">
        <v>67111441.441441447</v>
      </c>
      <c r="N288">
        <v>71459459.459459454</v>
      </c>
      <c r="O288">
        <v>137634843.24324325</v>
      </c>
      <c r="P288">
        <v>137139258.1081081</v>
      </c>
      <c r="Q288">
        <v>59335585.585585587</v>
      </c>
      <c r="R288">
        <v>58111120.720720723</v>
      </c>
      <c r="S288">
        <v>10224</v>
      </c>
      <c r="T288">
        <v>9867</v>
      </c>
    </row>
    <row r="289" spans="1:20" x14ac:dyDescent="0.35">
      <c r="A289" s="7" t="s">
        <v>383</v>
      </c>
      <c r="B289" s="12" t="s">
        <v>80</v>
      </c>
      <c r="C289">
        <v>477740699.88363111</v>
      </c>
      <c r="D289">
        <v>434583063.97084904</v>
      </c>
      <c r="E289">
        <v>65990.990990991995</v>
      </c>
      <c r="F289">
        <v>444213.513513515</v>
      </c>
      <c r="G289">
        <v>90</v>
      </c>
      <c r="H289">
        <v>59</v>
      </c>
      <c r="K289">
        <v>100</v>
      </c>
      <c r="L289">
        <v>65</v>
      </c>
      <c r="M289">
        <v>22597657.657657657</v>
      </c>
      <c r="N289">
        <v>18392391.891891889</v>
      </c>
      <c r="O289">
        <v>86007428.828828827</v>
      </c>
      <c r="P289">
        <v>86847171.171171173</v>
      </c>
      <c r="Q289">
        <v>19069009.009009011</v>
      </c>
      <c r="R289">
        <v>22910450.450450446</v>
      </c>
      <c r="S289">
        <v>9838</v>
      </c>
      <c r="T289">
        <v>9189</v>
      </c>
    </row>
    <row r="290" spans="1:20" x14ac:dyDescent="0.35">
      <c r="A290" s="7" t="s">
        <v>384</v>
      </c>
      <c r="B290" s="12" t="s">
        <v>68</v>
      </c>
      <c r="C290">
        <v>192698840.49529973</v>
      </c>
      <c r="D290">
        <v>190393150.82814851</v>
      </c>
      <c r="E290">
        <v>20810.810810810999</v>
      </c>
      <c r="F290">
        <v>803603.60360360495</v>
      </c>
      <c r="G290">
        <v>47</v>
      </c>
      <c r="H290">
        <v>44</v>
      </c>
      <c r="K290">
        <v>55</v>
      </c>
      <c r="L290">
        <v>49</v>
      </c>
      <c r="M290">
        <v>9334144.1441441439</v>
      </c>
      <c r="N290">
        <v>7304954.9549549548</v>
      </c>
      <c r="O290">
        <v>25081603.603603605</v>
      </c>
      <c r="P290">
        <v>26942216.216216218</v>
      </c>
      <c r="Q290">
        <v>8656486.4864864852</v>
      </c>
      <c r="R290">
        <v>6608648.6486486495</v>
      </c>
      <c r="S290">
        <v>4948</v>
      </c>
      <c r="T290">
        <v>5030</v>
      </c>
    </row>
    <row r="291" spans="1:20" x14ac:dyDescent="0.35">
      <c r="A291" s="7" t="s">
        <v>385</v>
      </c>
      <c r="B291" s="12" t="s">
        <v>167</v>
      </c>
      <c r="C291">
        <v>66679471.288860612</v>
      </c>
      <c r="D291">
        <v>70791669.390522704</v>
      </c>
      <c r="E291">
        <v>19819.819819821001</v>
      </c>
      <c r="F291">
        <v>455855.85585585498</v>
      </c>
      <c r="G291">
        <v>26</v>
      </c>
      <c r="H291">
        <v>25</v>
      </c>
      <c r="K291">
        <v>31</v>
      </c>
      <c r="L291">
        <v>30</v>
      </c>
      <c r="M291">
        <v>5156756.7567567583</v>
      </c>
      <c r="N291">
        <v>20120336.036036037</v>
      </c>
      <c r="O291">
        <v>27346709.909909911</v>
      </c>
      <c r="P291">
        <v>29621684.684684683</v>
      </c>
      <c r="Q291">
        <v>7828558.5585585581</v>
      </c>
      <c r="R291">
        <v>14320720.720720721</v>
      </c>
      <c r="S291">
        <v>2395</v>
      </c>
      <c r="T291">
        <v>2373</v>
      </c>
    </row>
    <row r="292" spans="1:20" x14ac:dyDescent="0.35">
      <c r="A292" s="7" t="s">
        <v>386</v>
      </c>
      <c r="B292" s="12" t="s">
        <v>94</v>
      </c>
      <c r="C292">
        <v>375339923.99742413</v>
      </c>
      <c r="D292">
        <v>386240111.64439237</v>
      </c>
      <c r="E292">
        <v>1255855.8558558549</v>
      </c>
      <c r="F292">
        <v>621621.62162162305</v>
      </c>
      <c r="G292">
        <v>84</v>
      </c>
      <c r="H292">
        <v>85</v>
      </c>
      <c r="I292">
        <v>1</v>
      </c>
      <c r="K292">
        <v>91</v>
      </c>
      <c r="L292">
        <v>96</v>
      </c>
      <c r="M292">
        <v>13141441.441441439</v>
      </c>
      <c r="N292">
        <v>17675675.675675675</v>
      </c>
      <c r="O292">
        <v>41769906.306306303</v>
      </c>
      <c r="P292">
        <v>46912864.864864863</v>
      </c>
      <c r="Q292">
        <v>10230180.180180181</v>
      </c>
      <c r="R292">
        <v>12592882.882882882</v>
      </c>
      <c r="S292">
        <v>8501</v>
      </c>
      <c r="T292">
        <v>8390</v>
      </c>
    </row>
    <row r="293" spans="1:20" x14ac:dyDescent="0.35">
      <c r="A293" s="7" t="s">
        <v>387</v>
      </c>
      <c r="B293" s="12" t="s">
        <v>214</v>
      </c>
      <c r="C293">
        <v>59894828.936305158</v>
      </c>
      <c r="D293">
        <v>65346739.720104776</v>
      </c>
      <c r="E293">
        <v>17117.117117116999</v>
      </c>
      <c r="F293">
        <v>636036.03603603598</v>
      </c>
      <c r="G293">
        <v>17</v>
      </c>
      <c r="H293">
        <v>26</v>
      </c>
      <c r="K293">
        <v>18</v>
      </c>
      <c r="L293">
        <v>29</v>
      </c>
      <c r="M293">
        <v>107207.207207207</v>
      </c>
      <c r="N293">
        <v>2437837.8378378381</v>
      </c>
      <c r="O293">
        <v>28096711.711711712</v>
      </c>
      <c r="P293">
        <v>31047972.97297297</v>
      </c>
      <c r="R293">
        <v>1567567.5675675671</v>
      </c>
      <c r="S293">
        <v>2273</v>
      </c>
      <c r="T293">
        <v>2248</v>
      </c>
    </row>
    <row r="294" spans="1:20" x14ac:dyDescent="0.35">
      <c r="A294" s="7" t="s">
        <v>388</v>
      </c>
      <c r="B294" s="12" t="s">
        <v>117</v>
      </c>
      <c r="C294">
        <v>28399937.70461328</v>
      </c>
      <c r="D294">
        <v>27457017.685655929</v>
      </c>
      <c r="E294">
        <v>31531.531531532</v>
      </c>
      <c r="F294">
        <v>475675.67567567498</v>
      </c>
      <c r="G294">
        <v>17</v>
      </c>
      <c r="H294">
        <v>12</v>
      </c>
      <c r="K294">
        <v>21</v>
      </c>
      <c r="L294">
        <v>22</v>
      </c>
      <c r="M294">
        <v>2198738.7387387361</v>
      </c>
      <c r="N294">
        <v>8809124.3243243247</v>
      </c>
      <c r="O294">
        <v>12861666.666666668</v>
      </c>
      <c r="P294">
        <v>12013747.747747747</v>
      </c>
      <c r="Q294">
        <v>1583423.4234234211</v>
      </c>
      <c r="R294">
        <v>6490090.0900900904</v>
      </c>
      <c r="S294">
        <v>1965</v>
      </c>
      <c r="T294">
        <v>1979</v>
      </c>
    </row>
    <row r="295" spans="1:20" x14ac:dyDescent="0.35">
      <c r="A295" s="7" t="s">
        <v>389</v>
      </c>
      <c r="B295" s="12" t="s">
        <v>315</v>
      </c>
      <c r="C295">
        <v>122999741.70821369</v>
      </c>
      <c r="D295">
        <v>117903260.21762702</v>
      </c>
      <c r="E295">
        <v>2890540.5405405411</v>
      </c>
      <c r="F295">
        <v>381081.08108108101</v>
      </c>
      <c r="G295">
        <v>16</v>
      </c>
      <c r="H295">
        <v>10</v>
      </c>
      <c r="K295">
        <v>17</v>
      </c>
      <c r="L295">
        <v>10</v>
      </c>
      <c r="M295">
        <v>6854504.5045045046</v>
      </c>
      <c r="N295">
        <v>3804504.5045045051</v>
      </c>
      <c r="O295">
        <v>23827657.657657661</v>
      </c>
      <c r="P295">
        <v>24578531.531531531</v>
      </c>
      <c r="Q295">
        <v>5109099.0990990987</v>
      </c>
      <c r="R295">
        <v>4802702.702702703</v>
      </c>
      <c r="S295">
        <v>2588</v>
      </c>
      <c r="T295">
        <v>2543</v>
      </c>
    </row>
    <row r="296" spans="1:20" x14ac:dyDescent="0.35">
      <c r="A296" s="7" t="s">
        <v>390</v>
      </c>
      <c r="B296" s="12" t="s">
        <v>224</v>
      </c>
      <c r="C296">
        <v>63303059.128810078</v>
      </c>
      <c r="D296">
        <v>50318757.896252617</v>
      </c>
      <c r="G296">
        <v>42</v>
      </c>
      <c r="H296">
        <v>6</v>
      </c>
      <c r="K296">
        <v>44</v>
      </c>
      <c r="L296">
        <v>6</v>
      </c>
      <c r="O296">
        <v>12130396.396396397</v>
      </c>
      <c r="P296">
        <v>9443693.6936936937</v>
      </c>
      <c r="S296">
        <v>1499</v>
      </c>
      <c r="T296">
        <v>1521</v>
      </c>
    </row>
    <row r="297" spans="1:20" x14ac:dyDescent="0.35">
      <c r="A297" s="7" t="s">
        <v>6</v>
      </c>
      <c r="B297" s="12" t="s">
        <v>193</v>
      </c>
      <c r="C297">
        <v>445700148.80579698</v>
      </c>
      <c r="D297">
        <v>420853164.57078636</v>
      </c>
      <c r="E297">
        <v>6201351.351351345</v>
      </c>
      <c r="F297">
        <v>5868132.432432442</v>
      </c>
      <c r="G297">
        <v>221</v>
      </c>
      <c r="H297">
        <v>166</v>
      </c>
      <c r="I297">
        <v>2</v>
      </c>
      <c r="K297">
        <v>615</v>
      </c>
      <c r="L297">
        <v>595</v>
      </c>
      <c r="M297">
        <v>178009459.45945945</v>
      </c>
      <c r="N297">
        <v>167935706.3063063</v>
      </c>
      <c r="O297">
        <v>292591486.48648643</v>
      </c>
      <c r="P297">
        <v>286947774.77477479</v>
      </c>
      <c r="Q297">
        <v>153994144.14414415</v>
      </c>
      <c r="R297">
        <v>152494954.95495495</v>
      </c>
      <c r="S297">
        <v>13502</v>
      </c>
      <c r="T297">
        <v>13152</v>
      </c>
    </row>
    <row r="298" spans="1:20" x14ac:dyDescent="0.35">
      <c r="A298" s="7" t="s">
        <v>391</v>
      </c>
      <c r="B298" s="12" t="s">
        <v>121</v>
      </c>
      <c r="C298">
        <v>14372128.921696404</v>
      </c>
      <c r="D298">
        <v>20072136.085642722</v>
      </c>
      <c r="E298">
        <v>9009.0090090089998</v>
      </c>
      <c r="G298">
        <v>10</v>
      </c>
      <c r="H298">
        <v>8</v>
      </c>
      <c r="K298">
        <v>10</v>
      </c>
      <c r="L298">
        <v>8</v>
      </c>
      <c r="M298">
        <v>9009.0090090089998</v>
      </c>
      <c r="O298">
        <v>881531.53153153195</v>
      </c>
      <c r="P298">
        <v>981531.53153153195</v>
      </c>
      <c r="S298">
        <v>515</v>
      </c>
      <c r="T298">
        <v>508</v>
      </c>
    </row>
    <row r="299" spans="1:20" x14ac:dyDescent="0.35">
      <c r="A299" s="7" t="s">
        <v>392</v>
      </c>
      <c r="B299" s="12" t="s">
        <v>134</v>
      </c>
      <c r="C299">
        <v>56310457.117101729</v>
      </c>
      <c r="D299">
        <v>56701507.44099579</v>
      </c>
      <c r="E299">
        <v>2702.7027027029999</v>
      </c>
      <c r="F299">
        <v>13513.513513514001</v>
      </c>
      <c r="G299">
        <v>14</v>
      </c>
      <c r="H299">
        <v>13</v>
      </c>
      <c r="K299">
        <v>18</v>
      </c>
      <c r="L299">
        <v>18</v>
      </c>
      <c r="M299">
        <v>5786486.4864864852</v>
      </c>
      <c r="N299">
        <v>4067567.5675675669</v>
      </c>
      <c r="O299">
        <v>11157502.702702705</v>
      </c>
      <c r="P299">
        <v>11866358.558558557</v>
      </c>
      <c r="Q299">
        <v>2540090.0900900909</v>
      </c>
      <c r="R299">
        <v>868198.19819819997</v>
      </c>
      <c r="S299">
        <v>3465</v>
      </c>
      <c r="T299">
        <v>3539</v>
      </c>
    </row>
    <row r="300" spans="1:20" x14ac:dyDescent="0.35">
      <c r="A300" s="7" t="s">
        <v>393</v>
      </c>
      <c r="B300" s="12" t="s">
        <v>58</v>
      </c>
      <c r="C300">
        <v>293595417.60597336</v>
      </c>
      <c r="D300">
        <v>278059818.8663922</v>
      </c>
      <c r="E300">
        <v>19425900.900900904</v>
      </c>
      <c r="F300">
        <v>8299774.7747747768</v>
      </c>
      <c r="G300">
        <v>108</v>
      </c>
      <c r="H300">
        <v>96</v>
      </c>
      <c r="K300">
        <v>134</v>
      </c>
      <c r="L300">
        <v>139</v>
      </c>
      <c r="M300">
        <v>35392342.342342339</v>
      </c>
      <c r="N300">
        <v>30997297.297297295</v>
      </c>
      <c r="O300">
        <v>44439927.927927926</v>
      </c>
      <c r="P300">
        <v>44943770.270270273</v>
      </c>
      <c r="Q300">
        <v>27880900.9009009</v>
      </c>
      <c r="R300">
        <v>26758918.918918915</v>
      </c>
      <c r="S300">
        <v>9031</v>
      </c>
      <c r="T300">
        <v>9081</v>
      </c>
    </row>
    <row r="301" spans="1:20" x14ac:dyDescent="0.35">
      <c r="A301" s="7" t="s">
        <v>394</v>
      </c>
      <c r="B301" s="12" t="s">
        <v>134</v>
      </c>
      <c r="C301">
        <v>101931932.46448323</v>
      </c>
      <c r="D301">
        <v>93176289.794857562</v>
      </c>
      <c r="E301">
        <v>34459.459459461003</v>
      </c>
      <c r="F301">
        <v>396396.39639639697</v>
      </c>
      <c r="G301">
        <v>22</v>
      </c>
      <c r="H301">
        <v>21</v>
      </c>
      <c r="K301">
        <v>26</v>
      </c>
      <c r="L301">
        <v>27</v>
      </c>
      <c r="M301">
        <v>8035135.1351351347</v>
      </c>
      <c r="N301">
        <v>14243243.243243242</v>
      </c>
      <c r="O301">
        <v>18008709.909909911</v>
      </c>
      <c r="P301">
        <v>17174666.666666668</v>
      </c>
      <c r="Q301">
        <v>5648918.9189189197</v>
      </c>
      <c r="R301">
        <v>8092072.072072072</v>
      </c>
      <c r="S301">
        <v>3852</v>
      </c>
      <c r="T301">
        <v>3913</v>
      </c>
    </row>
    <row r="302" spans="1:20" x14ac:dyDescent="0.35">
      <c r="A302" s="7" t="s">
        <v>395</v>
      </c>
      <c r="B302" s="12" t="s">
        <v>54</v>
      </c>
      <c r="C302">
        <v>42490899.419916444</v>
      </c>
      <c r="D302">
        <v>40497500.343801245</v>
      </c>
      <c r="E302">
        <v>273873.87387387402</v>
      </c>
      <c r="F302">
        <v>41441.441441440998</v>
      </c>
      <c r="G302">
        <v>7</v>
      </c>
      <c r="H302">
        <v>10</v>
      </c>
      <c r="K302">
        <v>8</v>
      </c>
      <c r="L302">
        <v>12</v>
      </c>
      <c r="M302">
        <v>2661261.2612612601</v>
      </c>
      <c r="N302">
        <v>2194594.594594595</v>
      </c>
      <c r="O302">
        <v>7302342.3423423423</v>
      </c>
      <c r="P302">
        <v>7084171.1711711716</v>
      </c>
      <c r="Q302">
        <v>2589819.8198198192</v>
      </c>
      <c r="R302">
        <v>2471711.7117117122</v>
      </c>
      <c r="S302">
        <v>1553</v>
      </c>
      <c r="T302">
        <v>1641</v>
      </c>
    </row>
    <row r="303" spans="1:20" x14ac:dyDescent="0.35">
      <c r="A303" s="7" t="s">
        <v>396</v>
      </c>
      <c r="B303" s="12" t="s">
        <v>397</v>
      </c>
      <c r="C303">
        <v>298533004.23802155</v>
      </c>
      <c r="D303">
        <v>288381012.2274211</v>
      </c>
      <c r="E303">
        <v>2340045.0450450452</v>
      </c>
      <c r="F303">
        <v>1884684.6846846859</v>
      </c>
      <c r="G303">
        <v>139</v>
      </c>
      <c r="H303">
        <v>111</v>
      </c>
      <c r="K303">
        <v>153</v>
      </c>
      <c r="L303">
        <v>208</v>
      </c>
      <c r="M303">
        <v>31777927.927927926</v>
      </c>
      <c r="N303">
        <v>35340990.990990989</v>
      </c>
      <c r="O303">
        <v>56147403.603603609</v>
      </c>
      <c r="P303">
        <v>54775718.918918923</v>
      </c>
      <c r="Q303">
        <v>31985045.045045048</v>
      </c>
      <c r="R303">
        <v>30409549.54954955</v>
      </c>
      <c r="S303">
        <v>9570</v>
      </c>
      <c r="T303">
        <v>9808</v>
      </c>
    </row>
    <row r="304" spans="1:20" x14ac:dyDescent="0.35">
      <c r="A304" s="7" t="s">
        <v>398</v>
      </c>
      <c r="B304" s="12" t="s">
        <v>399</v>
      </c>
      <c r="C304">
        <v>347984650.56141406</v>
      </c>
      <c r="D304">
        <v>310878317.28509331</v>
      </c>
      <c r="E304">
        <v>191903491.8918919</v>
      </c>
      <c r="F304">
        <v>121237469.36936937</v>
      </c>
      <c r="G304">
        <v>84</v>
      </c>
      <c r="H304">
        <v>70</v>
      </c>
      <c r="I304">
        <v>1</v>
      </c>
      <c r="K304">
        <v>98</v>
      </c>
      <c r="L304">
        <v>82</v>
      </c>
      <c r="M304">
        <v>128205855.85585585</v>
      </c>
      <c r="N304">
        <v>50652252.252252258</v>
      </c>
      <c r="O304">
        <v>60935872.072072074</v>
      </c>
      <c r="P304">
        <v>57900846.846846849</v>
      </c>
      <c r="Q304">
        <v>105689279.27927928</v>
      </c>
      <c r="R304">
        <v>38906936.936936937</v>
      </c>
      <c r="S304">
        <v>11216</v>
      </c>
      <c r="T304">
        <v>12746</v>
      </c>
    </row>
    <row r="305" spans="1:20" x14ac:dyDescent="0.35">
      <c r="A305" s="7" t="s">
        <v>400</v>
      </c>
      <c r="B305" s="12" t="s">
        <v>140</v>
      </c>
      <c r="C305">
        <v>107245164.56498964</v>
      </c>
      <c r="D305">
        <v>101159876.84489822</v>
      </c>
      <c r="E305">
        <v>700900.90090090095</v>
      </c>
      <c r="F305">
        <v>1236036.0360360369</v>
      </c>
      <c r="G305">
        <v>29</v>
      </c>
      <c r="H305">
        <v>32</v>
      </c>
      <c r="K305">
        <v>36</v>
      </c>
      <c r="L305">
        <v>35</v>
      </c>
      <c r="M305">
        <v>21875675.675675675</v>
      </c>
      <c r="N305">
        <v>19368648.648648649</v>
      </c>
      <c r="O305">
        <v>31149099.0990991</v>
      </c>
      <c r="P305">
        <v>31992630.630630631</v>
      </c>
      <c r="Q305">
        <v>17812432.432432432</v>
      </c>
      <c r="R305">
        <v>21027477.477477476</v>
      </c>
      <c r="S305">
        <v>3340</v>
      </c>
      <c r="T305">
        <v>3067</v>
      </c>
    </row>
    <row r="306" spans="1:20" x14ac:dyDescent="0.35">
      <c r="A306" s="7" t="s">
        <v>401</v>
      </c>
      <c r="B306" s="12" t="s">
        <v>121</v>
      </c>
      <c r="C306">
        <v>31206182.981931847</v>
      </c>
      <c r="D306">
        <v>26704570.881612934</v>
      </c>
      <c r="E306">
        <v>1801.801801802</v>
      </c>
      <c r="F306">
        <v>373873.87387387402</v>
      </c>
      <c r="G306">
        <v>19</v>
      </c>
      <c r="H306">
        <v>12</v>
      </c>
      <c r="K306">
        <v>24</v>
      </c>
      <c r="L306">
        <v>17</v>
      </c>
      <c r="M306">
        <v>1801.801801802</v>
      </c>
      <c r="N306">
        <v>2175675.6756756762</v>
      </c>
      <c r="O306">
        <v>2283513.5135135138</v>
      </c>
      <c r="P306">
        <v>2547882.8828828828</v>
      </c>
      <c r="Q306">
        <v>871711.71171171195</v>
      </c>
      <c r="R306">
        <v>724954.95495495503</v>
      </c>
      <c r="S306">
        <v>1113</v>
      </c>
      <c r="T306">
        <v>1102</v>
      </c>
    </row>
    <row r="307" spans="1:20" x14ac:dyDescent="0.35">
      <c r="A307" s="7" t="s">
        <v>402</v>
      </c>
      <c r="B307" s="12" t="s">
        <v>290</v>
      </c>
      <c r="C307">
        <v>57716574.69814495</v>
      </c>
      <c r="D307">
        <v>43148698.770874791</v>
      </c>
      <c r="E307">
        <v>85347971.171171173</v>
      </c>
      <c r="F307">
        <v>111802814.41441442</v>
      </c>
      <c r="G307">
        <v>40</v>
      </c>
      <c r="H307">
        <v>8</v>
      </c>
      <c r="K307">
        <v>42</v>
      </c>
      <c r="L307">
        <v>10</v>
      </c>
      <c r="M307">
        <v>16779312.612612613</v>
      </c>
      <c r="N307">
        <v>16931029.729729727</v>
      </c>
      <c r="O307">
        <v>7323423.4234234244</v>
      </c>
      <c r="P307">
        <v>5353234.2342342343</v>
      </c>
      <c r="Q307">
        <v>4152072.072072072</v>
      </c>
      <c r="R307">
        <v>1833873.8738738741</v>
      </c>
      <c r="S307">
        <v>1672</v>
      </c>
      <c r="T307">
        <v>1605</v>
      </c>
    </row>
    <row r="308" spans="1:20" x14ac:dyDescent="0.35">
      <c r="A308" s="7" t="s">
        <v>403</v>
      </c>
      <c r="B308" s="12" t="s">
        <v>121</v>
      </c>
      <c r="C308">
        <v>51364773.620383061</v>
      </c>
      <c r="D308">
        <v>49301277.209960818</v>
      </c>
      <c r="F308">
        <v>55630.630630631</v>
      </c>
      <c r="G308">
        <v>6</v>
      </c>
      <c r="H308">
        <v>9</v>
      </c>
      <c r="K308">
        <v>6</v>
      </c>
      <c r="L308">
        <v>11</v>
      </c>
      <c r="M308">
        <v>162162.16216216201</v>
      </c>
      <c r="N308">
        <v>58558.558558559002</v>
      </c>
      <c r="O308">
        <v>3882252.2522522518</v>
      </c>
      <c r="P308">
        <v>3884189.1891891891</v>
      </c>
      <c r="Q308">
        <v>180180.18018018</v>
      </c>
      <c r="S308">
        <v>1095</v>
      </c>
      <c r="T308">
        <v>1085</v>
      </c>
    </row>
    <row r="309" spans="1:20" x14ac:dyDescent="0.35">
      <c r="A309" s="7" t="s">
        <v>404</v>
      </c>
      <c r="B309" s="12" t="s">
        <v>368</v>
      </c>
      <c r="C309">
        <v>122789178.87925774</v>
      </c>
      <c r="D309">
        <v>112107989.32594243</v>
      </c>
      <c r="E309">
        <v>73768660.360360369</v>
      </c>
      <c r="F309">
        <v>61159410.810810804</v>
      </c>
      <c r="G309">
        <v>25</v>
      </c>
      <c r="H309">
        <v>35</v>
      </c>
      <c r="I309">
        <v>1</v>
      </c>
      <c r="K309">
        <v>29</v>
      </c>
      <c r="L309">
        <v>110</v>
      </c>
      <c r="M309">
        <v>6496396.3963963958</v>
      </c>
      <c r="N309">
        <v>23517117.117117114</v>
      </c>
      <c r="O309">
        <v>38275157.657657653</v>
      </c>
      <c r="P309">
        <v>40220558.558558561</v>
      </c>
      <c r="Q309">
        <v>4421621.6216216218</v>
      </c>
      <c r="R309">
        <v>23199459.459459461</v>
      </c>
      <c r="S309">
        <v>4357</v>
      </c>
      <c r="T309">
        <v>3151</v>
      </c>
    </row>
    <row r="310" spans="1:20" x14ac:dyDescent="0.35">
      <c r="A310" s="7" t="s">
        <v>405</v>
      </c>
      <c r="B310" s="12" t="s">
        <v>140</v>
      </c>
      <c r="C310">
        <v>57637681.291640751</v>
      </c>
      <c r="D310">
        <v>52668002.484257929</v>
      </c>
      <c r="E310">
        <v>13963.963963964001</v>
      </c>
      <c r="F310">
        <v>189864.86486486401</v>
      </c>
      <c r="G310">
        <v>2</v>
      </c>
      <c r="H310">
        <v>11</v>
      </c>
      <c r="K310">
        <v>3</v>
      </c>
      <c r="L310">
        <v>13</v>
      </c>
      <c r="M310">
        <v>7617567.5675675673</v>
      </c>
      <c r="N310">
        <v>7578738.7387387389</v>
      </c>
      <c r="O310">
        <v>14297747.747747747</v>
      </c>
      <c r="P310">
        <v>14192945.945945946</v>
      </c>
      <c r="Q310">
        <v>7948918.9189189188</v>
      </c>
      <c r="R310">
        <v>8360360.3603603598</v>
      </c>
      <c r="S310">
        <v>1265</v>
      </c>
      <c r="T310">
        <v>1345</v>
      </c>
    </row>
    <row r="311" spans="1:20" x14ac:dyDescent="0.35">
      <c r="A311" s="7" t="s">
        <v>406</v>
      </c>
      <c r="B311" s="12" t="s">
        <v>54</v>
      </c>
      <c r="C311">
        <v>75457978.71386762</v>
      </c>
      <c r="D311">
        <v>72337059.669041917</v>
      </c>
      <c r="E311">
        <v>665900.90090090095</v>
      </c>
      <c r="F311">
        <v>1732432.4324324341</v>
      </c>
      <c r="G311">
        <v>4</v>
      </c>
      <c r="H311">
        <v>78</v>
      </c>
      <c r="K311">
        <v>4</v>
      </c>
      <c r="L311">
        <v>186</v>
      </c>
      <c r="M311">
        <v>4845225.2252252242</v>
      </c>
      <c r="N311">
        <v>8286486.486486488</v>
      </c>
      <c r="O311">
        <v>15844774.774774777</v>
      </c>
      <c r="P311">
        <v>17139909.909909911</v>
      </c>
      <c r="Q311">
        <v>3883513.5135135138</v>
      </c>
      <c r="R311">
        <v>9026396.3963963967</v>
      </c>
      <c r="S311">
        <v>2206</v>
      </c>
      <c r="T311">
        <v>3279</v>
      </c>
    </row>
    <row r="312" spans="1:20" x14ac:dyDescent="0.35">
      <c r="A312" s="7" t="s">
        <v>407</v>
      </c>
      <c r="B312" s="12" t="s">
        <v>134</v>
      </c>
      <c r="C312">
        <v>30543114.934553482</v>
      </c>
      <c r="D312">
        <v>32932554.135933969</v>
      </c>
      <c r="E312">
        <v>12612.612612613</v>
      </c>
      <c r="F312">
        <v>27027.027027027001</v>
      </c>
      <c r="G312">
        <v>7</v>
      </c>
      <c r="H312">
        <v>5</v>
      </c>
      <c r="K312">
        <v>8</v>
      </c>
      <c r="L312">
        <v>5</v>
      </c>
      <c r="M312">
        <v>1643243.2432432431</v>
      </c>
      <c r="N312">
        <v>1594594.5945945941</v>
      </c>
      <c r="O312">
        <v>3495450.4504504511</v>
      </c>
      <c r="P312">
        <v>3420513.5135135138</v>
      </c>
      <c r="Q312">
        <v>1497387.387387387</v>
      </c>
      <c r="R312">
        <v>919459.45945945894</v>
      </c>
      <c r="S312">
        <v>1103</v>
      </c>
      <c r="T312">
        <v>912</v>
      </c>
    </row>
    <row r="313" spans="1:20" x14ac:dyDescent="0.35">
      <c r="A313" s="7" t="s">
        <v>408</v>
      </c>
      <c r="B313" s="12" t="s">
        <v>290</v>
      </c>
      <c r="C313">
        <v>20966160.441510245</v>
      </c>
      <c r="D313">
        <v>18173750.938757539</v>
      </c>
      <c r="E313">
        <v>98198.198198198006</v>
      </c>
      <c r="F313">
        <v>334234.23423423502</v>
      </c>
      <c r="G313">
        <v>8</v>
      </c>
      <c r="H313">
        <v>8</v>
      </c>
      <c r="K313">
        <v>11</v>
      </c>
      <c r="L313">
        <v>8</v>
      </c>
      <c r="M313">
        <v>2422522.5225225221</v>
      </c>
      <c r="N313">
        <v>3129729.7297297302</v>
      </c>
      <c r="O313">
        <v>3856477.4774774769</v>
      </c>
      <c r="P313">
        <v>3051090.0900900899</v>
      </c>
      <c r="Q313">
        <v>1742522.5225225231</v>
      </c>
      <c r="R313">
        <v>2188108.108108107</v>
      </c>
      <c r="S313">
        <v>872</v>
      </c>
      <c r="T313">
        <v>924</v>
      </c>
    </row>
    <row r="314" spans="1:20" x14ac:dyDescent="0.35">
      <c r="A314" s="7" t="s">
        <v>409</v>
      </c>
      <c r="B314" s="12" t="s">
        <v>178</v>
      </c>
      <c r="C314">
        <v>346612973.161057</v>
      </c>
      <c r="D314">
        <v>324057035.26844716</v>
      </c>
      <c r="E314">
        <v>2453378.3783783782</v>
      </c>
      <c r="F314">
        <v>1314414.4144144161</v>
      </c>
      <c r="G314">
        <v>103</v>
      </c>
      <c r="H314">
        <v>76</v>
      </c>
      <c r="K314">
        <v>118</v>
      </c>
      <c r="L314">
        <v>212</v>
      </c>
      <c r="M314">
        <v>25597027.027027026</v>
      </c>
      <c r="N314">
        <v>37141522.522522517</v>
      </c>
      <c r="O314">
        <v>113890079.27927928</v>
      </c>
      <c r="P314">
        <v>112765801.8018018</v>
      </c>
      <c r="Q314">
        <v>28778378.378378384</v>
      </c>
      <c r="R314">
        <v>31144234.234234232</v>
      </c>
      <c r="S314">
        <v>9900</v>
      </c>
      <c r="T314">
        <v>12330</v>
      </c>
    </row>
    <row r="315" spans="1:20" x14ac:dyDescent="0.35">
      <c r="A315" s="7" t="s">
        <v>673</v>
      </c>
      <c r="B315" s="12" t="s">
        <v>87</v>
      </c>
      <c r="E315">
        <v>58021859.459459454</v>
      </c>
      <c r="F315">
        <v>46059541.441441439</v>
      </c>
      <c r="S315">
        <v>1</v>
      </c>
    </row>
    <row r="316" spans="1:20" x14ac:dyDescent="0.35">
      <c r="A316" s="7" t="s">
        <v>410</v>
      </c>
      <c r="B316" s="12" t="s">
        <v>54</v>
      </c>
      <c r="C316">
        <v>595811734.39279139</v>
      </c>
      <c r="D316">
        <v>599829031.31299222</v>
      </c>
      <c r="E316">
        <v>61512133.333333336</v>
      </c>
      <c r="F316">
        <v>111109929.72972973</v>
      </c>
      <c r="G316">
        <v>114</v>
      </c>
      <c r="H316">
        <v>209</v>
      </c>
      <c r="K316">
        <v>142</v>
      </c>
      <c r="L316">
        <v>264</v>
      </c>
      <c r="M316">
        <v>38672792.79279279</v>
      </c>
      <c r="N316">
        <v>42110810.810810819</v>
      </c>
      <c r="O316">
        <v>114037277.47747748</v>
      </c>
      <c r="P316">
        <v>123442018.01801802</v>
      </c>
      <c r="Q316">
        <v>36183917.117117122</v>
      </c>
      <c r="R316">
        <v>39295405.40540541</v>
      </c>
      <c r="S316">
        <v>19182</v>
      </c>
      <c r="T316">
        <v>18660</v>
      </c>
    </row>
    <row r="317" spans="1:20" x14ac:dyDescent="0.35">
      <c r="A317" s="7" t="s">
        <v>411</v>
      </c>
      <c r="B317" s="12" t="s">
        <v>224</v>
      </c>
      <c r="C317">
        <v>364276305.37750411</v>
      </c>
      <c r="D317">
        <v>302248780.78079784</v>
      </c>
      <c r="E317">
        <v>763423.42342342495</v>
      </c>
      <c r="F317">
        <v>1193693.6936936991</v>
      </c>
      <c r="G317">
        <v>108</v>
      </c>
      <c r="H317">
        <v>101</v>
      </c>
      <c r="K317">
        <v>125</v>
      </c>
      <c r="L317">
        <v>120</v>
      </c>
      <c r="M317">
        <v>37960180.180180177</v>
      </c>
      <c r="N317">
        <v>32149369.369369373</v>
      </c>
      <c r="O317">
        <v>93473570.270270273</v>
      </c>
      <c r="P317">
        <v>90049962.162162155</v>
      </c>
      <c r="Q317">
        <v>37044414.414414413</v>
      </c>
      <c r="R317">
        <v>35928781.981981985</v>
      </c>
      <c r="S317">
        <v>13914</v>
      </c>
      <c r="T317">
        <v>13822</v>
      </c>
    </row>
    <row r="318" spans="1:20" x14ac:dyDescent="0.35">
      <c r="A318" s="7" t="s">
        <v>412</v>
      </c>
      <c r="B318" s="12" t="s">
        <v>413</v>
      </c>
      <c r="C318">
        <v>114003334.44707307</v>
      </c>
      <c r="D318">
        <v>121101891.339516</v>
      </c>
      <c r="E318">
        <v>107207.207207208</v>
      </c>
      <c r="F318">
        <v>247297.29729730001</v>
      </c>
      <c r="G318">
        <v>27</v>
      </c>
      <c r="H318">
        <v>4</v>
      </c>
      <c r="K318">
        <v>31</v>
      </c>
      <c r="L318">
        <v>6</v>
      </c>
      <c r="M318">
        <v>3836936.9369369359</v>
      </c>
      <c r="N318">
        <v>2675135.1351351389</v>
      </c>
      <c r="O318">
        <v>49213243.24324324</v>
      </c>
      <c r="P318">
        <v>46907738.738738738</v>
      </c>
      <c r="Q318">
        <v>2848738.738738738</v>
      </c>
      <c r="R318">
        <v>2324954.9549549562</v>
      </c>
      <c r="S318">
        <v>4067</v>
      </c>
      <c r="T318">
        <v>4332</v>
      </c>
    </row>
    <row r="319" spans="1:20" x14ac:dyDescent="0.35">
      <c r="A319" s="7" t="s">
        <v>414</v>
      </c>
      <c r="B319" s="12" t="s">
        <v>214</v>
      </c>
      <c r="C319">
        <v>707609883.73963559</v>
      </c>
      <c r="D319">
        <v>761324428.98927188</v>
      </c>
      <c r="E319">
        <v>223714614.41441444</v>
      </c>
      <c r="F319">
        <v>318290490.0900901</v>
      </c>
      <c r="G319">
        <v>294</v>
      </c>
      <c r="H319">
        <v>903</v>
      </c>
      <c r="K319">
        <v>353</v>
      </c>
      <c r="L319">
        <v>1035</v>
      </c>
      <c r="M319">
        <v>98095945.945945948</v>
      </c>
      <c r="N319">
        <v>108245540.54054055</v>
      </c>
      <c r="O319">
        <v>300394131.53153151</v>
      </c>
      <c r="P319">
        <v>347851548.64864862</v>
      </c>
      <c r="Q319">
        <v>90541171.171171188</v>
      </c>
      <c r="R319">
        <v>102000900.9009009</v>
      </c>
      <c r="S319">
        <v>23740</v>
      </c>
      <c r="T319">
        <v>23884</v>
      </c>
    </row>
    <row r="320" spans="1:20" x14ac:dyDescent="0.35">
      <c r="A320" s="7" t="s">
        <v>415</v>
      </c>
      <c r="B320" s="12" t="s">
        <v>413</v>
      </c>
      <c r="C320">
        <v>67267561.430906877</v>
      </c>
      <c r="D320">
        <v>67715239.778240979</v>
      </c>
      <c r="E320">
        <v>300900.900900901</v>
      </c>
      <c r="F320">
        <v>331981.981981983</v>
      </c>
      <c r="G320">
        <v>19</v>
      </c>
      <c r="H320">
        <v>18</v>
      </c>
      <c r="K320">
        <v>23</v>
      </c>
      <c r="L320">
        <v>23</v>
      </c>
      <c r="M320">
        <v>15296936.936936935</v>
      </c>
      <c r="N320">
        <v>12216794.594594596</v>
      </c>
      <c r="O320">
        <v>21741756.756756756</v>
      </c>
      <c r="P320">
        <v>24225921.171171173</v>
      </c>
      <c r="Q320">
        <v>8421891.8918918911</v>
      </c>
      <c r="R320">
        <v>9275315.3153153155</v>
      </c>
      <c r="S320">
        <v>3014</v>
      </c>
      <c r="T320">
        <v>2913</v>
      </c>
    </row>
    <row r="321" spans="1:20" x14ac:dyDescent="0.35">
      <c r="A321" s="7" t="s">
        <v>416</v>
      </c>
      <c r="B321" s="12" t="s">
        <v>236</v>
      </c>
      <c r="C321">
        <v>500658747.48358434</v>
      </c>
      <c r="D321">
        <v>476679340.82375962</v>
      </c>
      <c r="E321">
        <v>533783.783783786</v>
      </c>
      <c r="F321">
        <v>1784684.6846846889</v>
      </c>
      <c r="G321">
        <v>185</v>
      </c>
      <c r="H321">
        <v>163</v>
      </c>
      <c r="I321">
        <v>3</v>
      </c>
      <c r="K321">
        <v>232</v>
      </c>
      <c r="L321">
        <v>321</v>
      </c>
      <c r="M321">
        <v>51557117.117117114</v>
      </c>
      <c r="N321">
        <v>61045495.495495498</v>
      </c>
      <c r="O321">
        <v>114690027.02702703</v>
      </c>
      <c r="P321">
        <v>113964531.53153154</v>
      </c>
      <c r="Q321">
        <v>38360090.090090089</v>
      </c>
      <c r="R321">
        <v>58725855.855855852</v>
      </c>
      <c r="S321">
        <v>10802</v>
      </c>
      <c r="T321">
        <v>10926</v>
      </c>
    </row>
    <row r="322" spans="1:20" x14ac:dyDescent="0.35">
      <c r="A322" s="7" t="s">
        <v>417</v>
      </c>
      <c r="B322" s="12" t="s">
        <v>117</v>
      </c>
      <c r="C322">
        <v>481058792.12162882</v>
      </c>
      <c r="D322">
        <v>463793948.10689849</v>
      </c>
      <c r="E322">
        <v>356016452.25225228</v>
      </c>
      <c r="F322">
        <v>209207722.52252254</v>
      </c>
      <c r="G322">
        <v>290</v>
      </c>
      <c r="H322">
        <v>278</v>
      </c>
      <c r="I322">
        <v>3</v>
      </c>
      <c r="K322">
        <v>520</v>
      </c>
      <c r="L322">
        <v>645</v>
      </c>
      <c r="M322">
        <v>95138558.558558553</v>
      </c>
      <c r="N322">
        <v>116145014.41441442</v>
      </c>
      <c r="O322">
        <v>207446927.92792794</v>
      </c>
      <c r="P322">
        <v>211073574.77477479</v>
      </c>
      <c r="Q322">
        <v>93402612.612612605</v>
      </c>
      <c r="R322">
        <v>115689639.63963965</v>
      </c>
      <c r="S322">
        <v>17652</v>
      </c>
      <c r="T322">
        <v>17140</v>
      </c>
    </row>
    <row r="323" spans="1:20" x14ac:dyDescent="0.35">
      <c r="A323" s="7" t="s">
        <v>418</v>
      </c>
      <c r="B323" s="12" t="s">
        <v>147</v>
      </c>
      <c r="C323">
        <v>12848650.504238959</v>
      </c>
      <c r="D323">
        <v>11067287.745840872</v>
      </c>
      <c r="E323">
        <v>67795146.846846849</v>
      </c>
      <c r="F323">
        <v>210527988.2882883</v>
      </c>
      <c r="G323">
        <v>3</v>
      </c>
      <c r="H323">
        <v>2</v>
      </c>
      <c r="K323">
        <v>3</v>
      </c>
      <c r="L323">
        <v>2</v>
      </c>
      <c r="O323">
        <v>4202207.2072072066</v>
      </c>
      <c r="P323">
        <v>4123954.9549549548</v>
      </c>
      <c r="S323">
        <v>504</v>
      </c>
      <c r="T323">
        <v>642</v>
      </c>
    </row>
    <row r="324" spans="1:20" x14ac:dyDescent="0.35">
      <c r="A324" s="7" t="s">
        <v>419</v>
      </c>
      <c r="B324" s="12" t="s">
        <v>304</v>
      </c>
      <c r="C324">
        <v>102230223.62149085</v>
      </c>
      <c r="D324">
        <v>100926332.60643902</v>
      </c>
      <c r="E324">
        <v>38289710.810810819</v>
      </c>
      <c r="F324">
        <v>89196536.93693693</v>
      </c>
      <c r="G324">
        <v>39</v>
      </c>
      <c r="H324">
        <v>52</v>
      </c>
      <c r="K324">
        <v>48</v>
      </c>
      <c r="L324">
        <v>66</v>
      </c>
      <c r="M324">
        <v>48680180.180180177</v>
      </c>
      <c r="N324">
        <v>18572972.97297297</v>
      </c>
      <c r="O324">
        <v>19914144.144144144</v>
      </c>
      <c r="P324">
        <v>20621673.873873871</v>
      </c>
      <c r="Q324">
        <v>17290900.9009009</v>
      </c>
      <c r="R324">
        <v>16516756.756756758</v>
      </c>
      <c r="S324">
        <v>2500</v>
      </c>
      <c r="T324">
        <v>2328</v>
      </c>
    </row>
    <row r="325" spans="1:20" x14ac:dyDescent="0.35">
      <c r="A325" s="7" t="s">
        <v>420</v>
      </c>
      <c r="B325" s="12" t="s">
        <v>304</v>
      </c>
      <c r="C325">
        <v>120443982.21540006</v>
      </c>
      <c r="D325">
        <v>116116280.62016709</v>
      </c>
      <c r="E325">
        <v>1361936.936936938</v>
      </c>
      <c r="F325">
        <v>2113288.2882882869</v>
      </c>
      <c r="G325">
        <v>142</v>
      </c>
      <c r="H325">
        <v>84</v>
      </c>
      <c r="I325">
        <v>3</v>
      </c>
      <c r="K325">
        <v>177</v>
      </c>
      <c r="L325">
        <v>159</v>
      </c>
      <c r="M325">
        <v>18063963.963963959</v>
      </c>
      <c r="N325">
        <v>22788288.288288288</v>
      </c>
      <c r="O325">
        <v>27436169.369369373</v>
      </c>
      <c r="P325">
        <v>25540963.963963967</v>
      </c>
      <c r="Q325">
        <v>17145765.765765764</v>
      </c>
      <c r="R325">
        <v>16759639.639639633</v>
      </c>
      <c r="S325">
        <v>3130</v>
      </c>
      <c r="T325">
        <v>2928</v>
      </c>
    </row>
    <row r="326" spans="1:20" x14ac:dyDescent="0.35">
      <c r="A326" s="7" t="s">
        <v>421</v>
      </c>
      <c r="B326" s="12" t="s">
        <v>121</v>
      </c>
      <c r="C326">
        <v>9295375.5523383133</v>
      </c>
      <c r="D326">
        <v>4303693.729848641</v>
      </c>
      <c r="E326">
        <v>12612.612612613</v>
      </c>
      <c r="F326">
        <v>13513.513513514001</v>
      </c>
      <c r="G326">
        <v>1</v>
      </c>
      <c r="H326">
        <v>2</v>
      </c>
      <c r="K326">
        <v>1</v>
      </c>
      <c r="L326">
        <v>3</v>
      </c>
      <c r="M326">
        <v>1363963.963963964</v>
      </c>
      <c r="N326">
        <v>13513.513513514001</v>
      </c>
      <c r="O326">
        <v>954324.32432432403</v>
      </c>
      <c r="P326">
        <v>285486.48648648598</v>
      </c>
      <c r="Q326">
        <v>1351351.351351351</v>
      </c>
      <c r="S326">
        <v>150</v>
      </c>
      <c r="T326">
        <v>268</v>
      </c>
    </row>
    <row r="327" spans="1:20" x14ac:dyDescent="0.35">
      <c r="A327" s="7" t="s">
        <v>422</v>
      </c>
      <c r="B327" s="12" t="s">
        <v>60</v>
      </c>
      <c r="C327">
        <v>59029382.700018369</v>
      </c>
      <c r="D327">
        <v>58463908.481395744</v>
      </c>
      <c r="E327">
        <v>270270.27027027099</v>
      </c>
      <c r="F327">
        <v>777477.47747747798</v>
      </c>
      <c r="G327">
        <v>17</v>
      </c>
      <c r="H327">
        <v>37</v>
      </c>
      <c r="K327">
        <v>22</v>
      </c>
      <c r="L327">
        <v>40</v>
      </c>
      <c r="M327">
        <v>7517117.1171171162</v>
      </c>
      <c r="N327">
        <v>12860360.36036036</v>
      </c>
      <c r="O327">
        <v>19393648.648648649</v>
      </c>
      <c r="P327">
        <v>20479468.468468469</v>
      </c>
      <c r="Q327">
        <v>5012882.8828828828</v>
      </c>
      <c r="R327">
        <v>11564324.324324325</v>
      </c>
      <c r="S327">
        <v>1985</v>
      </c>
      <c r="T327">
        <v>2231</v>
      </c>
    </row>
    <row r="328" spans="1:20" x14ac:dyDescent="0.35">
      <c r="A328" s="7" t="s">
        <v>423</v>
      </c>
      <c r="B328" s="12" t="s">
        <v>181</v>
      </c>
      <c r="C328">
        <v>611834503.10143578</v>
      </c>
      <c r="D328">
        <v>588040014.05371141</v>
      </c>
      <c r="E328">
        <v>2446846.8468468529</v>
      </c>
      <c r="F328">
        <v>6627927.9279279336</v>
      </c>
      <c r="G328">
        <v>228</v>
      </c>
      <c r="H328">
        <v>217</v>
      </c>
      <c r="I328">
        <v>13</v>
      </c>
      <c r="K328">
        <v>323</v>
      </c>
      <c r="L328">
        <v>311</v>
      </c>
      <c r="M328">
        <v>55970630.630630627</v>
      </c>
      <c r="N328">
        <v>79893693.693693683</v>
      </c>
      <c r="O328">
        <v>164014981.98198199</v>
      </c>
      <c r="P328">
        <v>174100369.36936939</v>
      </c>
      <c r="Q328">
        <v>60070720.720720723</v>
      </c>
      <c r="R328">
        <v>76300270.270270273</v>
      </c>
      <c r="S328">
        <v>22125</v>
      </c>
      <c r="T328">
        <v>21645</v>
      </c>
    </row>
    <row r="329" spans="1:20" x14ac:dyDescent="0.35">
      <c r="A329" s="7" t="s">
        <v>424</v>
      </c>
      <c r="B329" s="12" t="s">
        <v>76</v>
      </c>
      <c r="C329">
        <v>25084851.860639922</v>
      </c>
      <c r="D329">
        <v>17244372.828113023</v>
      </c>
      <c r="E329">
        <v>2702.7027027029999</v>
      </c>
      <c r="F329">
        <v>27027.027027028002</v>
      </c>
      <c r="G329">
        <v>7</v>
      </c>
      <c r="K329">
        <v>7</v>
      </c>
      <c r="M329">
        <v>2615315.315315315</v>
      </c>
      <c r="N329">
        <v>927927.92792792805</v>
      </c>
      <c r="O329">
        <v>2301612.612612613</v>
      </c>
      <c r="P329">
        <v>1571279.2792792791</v>
      </c>
      <c r="Q329">
        <v>2200270.2702702698</v>
      </c>
      <c r="R329">
        <v>1394594.594594595</v>
      </c>
      <c r="S329">
        <v>928</v>
      </c>
      <c r="T329">
        <v>710</v>
      </c>
    </row>
    <row r="330" spans="1:20" x14ac:dyDescent="0.35">
      <c r="A330" s="7" t="s">
        <v>425</v>
      </c>
      <c r="B330" s="12" t="s">
        <v>76</v>
      </c>
      <c r="C330">
        <v>70804623.12760286</v>
      </c>
      <c r="D330">
        <v>68142069.809386507</v>
      </c>
      <c r="E330">
        <v>145045.04504504599</v>
      </c>
      <c r="F330">
        <v>126126.126126128</v>
      </c>
      <c r="G330">
        <v>26</v>
      </c>
      <c r="H330">
        <v>15</v>
      </c>
      <c r="K330">
        <v>29</v>
      </c>
      <c r="L330">
        <v>17</v>
      </c>
      <c r="M330">
        <v>7513513.5135135148</v>
      </c>
      <c r="N330">
        <v>8792522.5225225221</v>
      </c>
      <c r="O330">
        <v>16384549.549549548</v>
      </c>
      <c r="P330">
        <v>15358306.306306306</v>
      </c>
      <c r="Q330">
        <v>5641711.7117117122</v>
      </c>
      <c r="R330">
        <v>7270450.4504504493</v>
      </c>
      <c r="S330">
        <v>1451</v>
      </c>
      <c r="T330">
        <v>1326</v>
      </c>
    </row>
    <row r="331" spans="1:20" x14ac:dyDescent="0.35">
      <c r="A331" s="7" t="s">
        <v>426</v>
      </c>
      <c r="B331" s="12" t="s">
        <v>330</v>
      </c>
      <c r="C331">
        <v>339441416.35479295</v>
      </c>
      <c r="D331">
        <v>337870122.16255122</v>
      </c>
      <c r="E331">
        <v>1175180.1801801841</v>
      </c>
      <c r="F331">
        <v>2345720.7207207242</v>
      </c>
      <c r="G331">
        <v>111</v>
      </c>
      <c r="H331">
        <v>130</v>
      </c>
      <c r="K331">
        <v>135</v>
      </c>
      <c r="L331">
        <v>151</v>
      </c>
      <c r="M331">
        <v>8960990.9909909926</v>
      </c>
      <c r="N331">
        <v>20636261.261261258</v>
      </c>
      <c r="O331">
        <v>57251088.288288288</v>
      </c>
      <c r="P331">
        <v>60531236.486486487</v>
      </c>
      <c r="Q331">
        <v>10225315.315315315</v>
      </c>
      <c r="R331">
        <v>16224864.864864863</v>
      </c>
      <c r="S331">
        <v>11594</v>
      </c>
      <c r="T331">
        <v>11492</v>
      </c>
    </row>
    <row r="332" spans="1:20" x14ac:dyDescent="0.35">
      <c r="A332" s="7" t="s">
        <v>427</v>
      </c>
      <c r="B332" s="12" t="s">
        <v>241</v>
      </c>
      <c r="C332">
        <v>88244603.373191446</v>
      </c>
      <c r="D332">
        <v>87634856.365432799</v>
      </c>
      <c r="E332">
        <v>1071171.1711711709</v>
      </c>
      <c r="F332">
        <v>698198.19819819997</v>
      </c>
      <c r="G332">
        <v>40</v>
      </c>
      <c r="H332">
        <v>30</v>
      </c>
      <c r="I332">
        <v>1</v>
      </c>
      <c r="K332">
        <v>47</v>
      </c>
      <c r="L332">
        <v>33</v>
      </c>
      <c r="M332">
        <v>14336126.126126127</v>
      </c>
      <c r="N332">
        <v>9028738.7387387361</v>
      </c>
      <c r="O332">
        <v>33855684.684684686</v>
      </c>
      <c r="P332">
        <v>32379198.198198199</v>
      </c>
      <c r="Q332">
        <v>15016126.126126125</v>
      </c>
      <c r="R332">
        <v>9670360.360360356</v>
      </c>
      <c r="S332">
        <v>5213</v>
      </c>
      <c r="T332">
        <v>5328</v>
      </c>
    </row>
    <row r="333" spans="1:20" x14ac:dyDescent="0.35">
      <c r="A333" s="7" t="s">
        <v>428</v>
      </c>
      <c r="B333" s="12" t="s">
        <v>283</v>
      </c>
      <c r="C333">
        <v>37406050.444673702</v>
      </c>
      <c r="D333">
        <v>37642770.485950552</v>
      </c>
      <c r="E333">
        <v>52477.477477478002</v>
      </c>
      <c r="F333">
        <v>502702.702702704</v>
      </c>
      <c r="G333">
        <v>15</v>
      </c>
      <c r="H333">
        <v>3</v>
      </c>
      <c r="K333">
        <v>16</v>
      </c>
      <c r="L333">
        <v>31</v>
      </c>
      <c r="M333">
        <v>2224324.3243243252</v>
      </c>
      <c r="N333">
        <v>24637837.837837841</v>
      </c>
      <c r="O333">
        <v>6721576.5765765766</v>
      </c>
      <c r="P333">
        <v>7542954.9549549548</v>
      </c>
      <c r="Q333">
        <v>1113513.5135135129</v>
      </c>
      <c r="R333">
        <v>25910630.630630631</v>
      </c>
      <c r="S333">
        <v>1285</v>
      </c>
      <c r="T333">
        <v>1215</v>
      </c>
    </row>
    <row r="334" spans="1:20" x14ac:dyDescent="0.35">
      <c r="A334" s="7" t="s">
        <v>429</v>
      </c>
      <c r="B334" s="12" t="s">
        <v>283</v>
      </c>
      <c r="C334">
        <v>11449007.03019275</v>
      </c>
      <c r="D334">
        <v>12292237.855371829</v>
      </c>
      <c r="E334">
        <v>9909.9099099100004</v>
      </c>
      <c r="F334">
        <v>207207.20720720699</v>
      </c>
      <c r="M334">
        <v>145045.045045045</v>
      </c>
      <c r="N334">
        <v>3090090.090090089</v>
      </c>
      <c r="O334">
        <v>1072927.927927928</v>
      </c>
      <c r="P334">
        <v>731351.35135135101</v>
      </c>
      <c r="Q334">
        <v>163513.51351351399</v>
      </c>
      <c r="R334">
        <v>2856126.1261261259</v>
      </c>
      <c r="S334">
        <v>486</v>
      </c>
      <c r="T334">
        <v>533</v>
      </c>
    </row>
    <row r="335" spans="1:20" x14ac:dyDescent="0.35">
      <c r="A335" s="7" t="s">
        <v>430</v>
      </c>
      <c r="B335" s="12" t="s">
        <v>283</v>
      </c>
      <c r="C335">
        <v>22055969.053047631</v>
      </c>
      <c r="D335">
        <v>26440417.067481603</v>
      </c>
      <c r="E335">
        <v>9009.0090090089998</v>
      </c>
      <c r="F335">
        <v>189189.189189189</v>
      </c>
      <c r="G335">
        <v>4</v>
      </c>
      <c r="H335">
        <v>4</v>
      </c>
      <c r="K335">
        <v>4</v>
      </c>
      <c r="L335">
        <v>4</v>
      </c>
      <c r="M335">
        <v>9009.0090090089998</v>
      </c>
      <c r="N335">
        <v>279279.279279279</v>
      </c>
      <c r="O335">
        <v>1704639.63963964</v>
      </c>
      <c r="P335">
        <v>2462792.792792792</v>
      </c>
      <c r="R335">
        <v>173423.423423423</v>
      </c>
      <c r="S335">
        <v>798</v>
      </c>
      <c r="T335">
        <v>828</v>
      </c>
    </row>
    <row r="336" spans="1:20" x14ac:dyDescent="0.35">
      <c r="A336" s="7" t="s">
        <v>431</v>
      </c>
      <c r="B336" s="12" t="s">
        <v>78</v>
      </c>
      <c r="C336">
        <v>152373078.67452341</v>
      </c>
      <c r="D336">
        <v>151803923.06533664</v>
      </c>
      <c r="E336">
        <v>1077477.4774774781</v>
      </c>
      <c r="F336">
        <v>1640540.540540542</v>
      </c>
      <c r="G336">
        <v>26</v>
      </c>
      <c r="H336">
        <v>114</v>
      </c>
      <c r="K336">
        <v>28</v>
      </c>
      <c r="L336">
        <v>173</v>
      </c>
      <c r="M336">
        <v>13027927.927927924</v>
      </c>
      <c r="N336">
        <v>13406306.306306304</v>
      </c>
      <c r="O336">
        <v>62592387.387387387</v>
      </c>
      <c r="P336">
        <v>64504063.063063063</v>
      </c>
      <c r="Q336">
        <v>14930360.36036036</v>
      </c>
      <c r="R336">
        <v>14046756.756756756</v>
      </c>
      <c r="S336">
        <v>6270</v>
      </c>
      <c r="T336">
        <v>6675</v>
      </c>
    </row>
    <row r="337" spans="1:20" x14ac:dyDescent="0.35">
      <c r="A337" s="7" t="s">
        <v>432</v>
      </c>
      <c r="B337" s="12" t="s">
        <v>105</v>
      </c>
      <c r="C337">
        <v>134815444.97051996</v>
      </c>
      <c r="D337">
        <v>134122950.113047</v>
      </c>
      <c r="E337">
        <v>79279.279279280003</v>
      </c>
      <c r="F337">
        <v>377477.47747747798</v>
      </c>
      <c r="G337">
        <v>19</v>
      </c>
      <c r="H337">
        <v>15</v>
      </c>
      <c r="K337">
        <v>22</v>
      </c>
      <c r="L337">
        <v>17</v>
      </c>
      <c r="M337">
        <v>14300540.540540541</v>
      </c>
      <c r="N337">
        <v>15925180.180180181</v>
      </c>
      <c r="O337">
        <v>31133863.063063063</v>
      </c>
      <c r="P337">
        <v>31988126.126126129</v>
      </c>
      <c r="Q337">
        <v>12343693.693693696</v>
      </c>
      <c r="R337">
        <v>18064459.459459461</v>
      </c>
      <c r="S337">
        <v>3706</v>
      </c>
      <c r="T337">
        <v>3621</v>
      </c>
    </row>
    <row r="338" spans="1:20" x14ac:dyDescent="0.35">
      <c r="A338" s="7" t="s">
        <v>433</v>
      </c>
      <c r="B338" s="12" t="s">
        <v>72</v>
      </c>
      <c r="C338">
        <v>769051472.36432087</v>
      </c>
      <c r="D338">
        <v>747029456.20810854</v>
      </c>
      <c r="E338">
        <v>1363513.5135135211</v>
      </c>
      <c r="F338">
        <v>4704054.0540540693</v>
      </c>
      <c r="G338">
        <v>196</v>
      </c>
      <c r="H338">
        <v>188</v>
      </c>
      <c r="I338">
        <v>1</v>
      </c>
      <c r="K338">
        <v>287</v>
      </c>
      <c r="L338">
        <v>297</v>
      </c>
      <c r="M338">
        <v>108375225.22522521</v>
      </c>
      <c r="N338">
        <v>109319369.36936937</v>
      </c>
      <c r="O338">
        <v>156758097.2972973</v>
      </c>
      <c r="P338">
        <v>156757475.22522521</v>
      </c>
      <c r="Q338">
        <v>82682162.162162155</v>
      </c>
      <c r="R338">
        <v>83447117.117117122</v>
      </c>
      <c r="S338">
        <v>18181</v>
      </c>
      <c r="T338">
        <v>18283</v>
      </c>
    </row>
    <row r="339" spans="1:20" x14ac:dyDescent="0.35">
      <c r="A339" s="7" t="s">
        <v>434</v>
      </c>
      <c r="B339" s="12" t="s">
        <v>72</v>
      </c>
      <c r="C339">
        <v>537923057.50502145</v>
      </c>
      <c r="D339">
        <v>514966796.90615577</v>
      </c>
      <c r="E339">
        <v>1383783.783783786</v>
      </c>
      <c r="F339">
        <v>3176801.8018018091</v>
      </c>
      <c r="G339">
        <v>114</v>
      </c>
      <c r="H339">
        <v>121</v>
      </c>
      <c r="K339">
        <v>130</v>
      </c>
      <c r="L339">
        <v>159</v>
      </c>
      <c r="M339">
        <v>63826126.126126118</v>
      </c>
      <c r="N339">
        <v>58124324.324324317</v>
      </c>
      <c r="O339">
        <v>92107166.666666672</v>
      </c>
      <c r="P339">
        <v>96226261.261261269</v>
      </c>
      <c r="Q339">
        <v>46332252.252252258</v>
      </c>
      <c r="R339">
        <v>40920270.270270273</v>
      </c>
      <c r="S339">
        <v>13617</v>
      </c>
      <c r="T339">
        <v>13688</v>
      </c>
    </row>
    <row r="340" spans="1:20" x14ac:dyDescent="0.35">
      <c r="A340" s="7" t="s">
        <v>435</v>
      </c>
      <c r="B340" s="12" t="s">
        <v>94</v>
      </c>
      <c r="C340">
        <v>40648243.399616554</v>
      </c>
      <c r="D340">
        <v>35949519.635894313</v>
      </c>
      <c r="E340">
        <v>900.900900901</v>
      </c>
      <c r="F340">
        <v>13513.513513514001</v>
      </c>
      <c r="G340">
        <v>7</v>
      </c>
      <c r="H340">
        <v>3</v>
      </c>
      <c r="K340">
        <v>7</v>
      </c>
      <c r="L340">
        <v>3</v>
      </c>
      <c r="M340">
        <v>541441.44144144095</v>
      </c>
      <c r="N340">
        <v>554054.05405405397</v>
      </c>
      <c r="O340">
        <v>9108378.3783783782</v>
      </c>
      <c r="P340">
        <v>8438540.5405405406</v>
      </c>
      <c r="Q340">
        <v>289459.459459459</v>
      </c>
      <c r="R340">
        <v>337837.83783783799</v>
      </c>
      <c r="S340">
        <v>900</v>
      </c>
      <c r="T340">
        <v>913</v>
      </c>
    </row>
    <row r="341" spans="1:20" x14ac:dyDescent="0.35">
      <c r="A341" s="7" t="s">
        <v>436</v>
      </c>
      <c r="B341" s="12" t="s">
        <v>89</v>
      </c>
      <c r="C341">
        <v>184172939.05302387</v>
      </c>
      <c r="D341">
        <v>186540505.82316652</v>
      </c>
      <c r="E341">
        <v>1698153.1531531529</v>
      </c>
      <c r="F341">
        <v>2411711.7117117178</v>
      </c>
      <c r="G341">
        <v>48</v>
      </c>
      <c r="H341">
        <v>60</v>
      </c>
      <c r="K341">
        <v>48</v>
      </c>
      <c r="L341">
        <v>67</v>
      </c>
      <c r="M341">
        <v>21538018.018018015</v>
      </c>
      <c r="N341">
        <v>25510450.45045045</v>
      </c>
      <c r="O341">
        <v>77057297.297297299</v>
      </c>
      <c r="P341">
        <v>83778554.054054052</v>
      </c>
      <c r="Q341">
        <v>21994864.864864867</v>
      </c>
      <c r="R341">
        <v>24556936.936936937</v>
      </c>
      <c r="S341">
        <v>5278</v>
      </c>
      <c r="T341">
        <v>6060</v>
      </c>
    </row>
    <row r="342" spans="1:20" x14ac:dyDescent="0.35">
      <c r="A342" s="7" t="s">
        <v>437</v>
      </c>
      <c r="B342" s="12" t="s">
        <v>70</v>
      </c>
      <c r="C342">
        <v>6073076.6269767052</v>
      </c>
      <c r="D342">
        <v>5716517.4853151739</v>
      </c>
      <c r="G342">
        <v>9</v>
      </c>
      <c r="H342">
        <v>5</v>
      </c>
      <c r="K342">
        <v>9</v>
      </c>
      <c r="L342">
        <v>5</v>
      </c>
      <c r="O342">
        <v>3474144.1441441439</v>
      </c>
      <c r="P342">
        <v>3908729.7297297302</v>
      </c>
      <c r="S342">
        <v>1229</v>
      </c>
      <c r="T342">
        <v>2351</v>
      </c>
    </row>
    <row r="343" spans="1:20" x14ac:dyDescent="0.35">
      <c r="A343" s="7" t="s">
        <v>438</v>
      </c>
      <c r="B343" s="12" t="s">
        <v>195</v>
      </c>
      <c r="C343">
        <v>907178072.89952207</v>
      </c>
      <c r="D343">
        <v>876895675.83136356</v>
      </c>
      <c r="E343">
        <v>114920305.4054054</v>
      </c>
      <c r="F343">
        <v>102129028.82882883</v>
      </c>
      <c r="G343">
        <v>208</v>
      </c>
      <c r="H343">
        <v>225</v>
      </c>
      <c r="K343">
        <v>257</v>
      </c>
      <c r="L343">
        <v>300</v>
      </c>
      <c r="M343">
        <v>83988738.738738731</v>
      </c>
      <c r="N343">
        <v>80509369.369369373</v>
      </c>
      <c r="O343">
        <v>143507846.84684685</v>
      </c>
      <c r="P343">
        <v>151176851.35135135</v>
      </c>
      <c r="Q343">
        <v>74075585.585585579</v>
      </c>
      <c r="R343">
        <v>69756396.396396399</v>
      </c>
      <c r="S343">
        <v>20744</v>
      </c>
      <c r="T343">
        <v>21168</v>
      </c>
    </row>
    <row r="344" spans="1:20" x14ac:dyDescent="0.35">
      <c r="A344" s="7" t="s">
        <v>439</v>
      </c>
      <c r="B344" s="12" t="s">
        <v>178</v>
      </c>
      <c r="C344">
        <v>430434687.74221987</v>
      </c>
      <c r="D344">
        <v>437988440.88274699</v>
      </c>
      <c r="E344">
        <v>650720.72072072094</v>
      </c>
      <c r="F344">
        <v>2791891.8918918981</v>
      </c>
      <c r="G344">
        <v>82</v>
      </c>
      <c r="H344">
        <v>52</v>
      </c>
      <c r="I344">
        <v>1</v>
      </c>
      <c r="K344">
        <v>104</v>
      </c>
      <c r="L344">
        <v>125</v>
      </c>
      <c r="M344">
        <v>81401171.171171188</v>
      </c>
      <c r="N344">
        <v>82779314.414414421</v>
      </c>
      <c r="O344">
        <v>165327603.6036036</v>
      </c>
      <c r="P344">
        <v>175864941.44144145</v>
      </c>
      <c r="Q344">
        <v>65607387.387387395</v>
      </c>
      <c r="R344">
        <v>69789234.234234229</v>
      </c>
      <c r="S344">
        <v>14633</v>
      </c>
      <c r="T344">
        <v>14721</v>
      </c>
    </row>
    <row r="345" spans="1:20" x14ac:dyDescent="0.35">
      <c r="A345" s="7" t="s">
        <v>440</v>
      </c>
      <c r="B345" s="12" t="s">
        <v>78</v>
      </c>
      <c r="C345">
        <v>185748943.46161848</v>
      </c>
      <c r="D345">
        <v>190740232.86045536</v>
      </c>
      <c r="E345">
        <v>1868198.198198199</v>
      </c>
      <c r="F345">
        <v>2682882.8828828838</v>
      </c>
      <c r="G345">
        <v>30</v>
      </c>
      <c r="H345">
        <v>43</v>
      </c>
      <c r="K345">
        <v>42</v>
      </c>
      <c r="L345">
        <v>64</v>
      </c>
      <c r="M345">
        <v>13789819.819819817</v>
      </c>
      <c r="N345">
        <v>18655855.855855856</v>
      </c>
      <c r="O345">
        <v>36927306.306306303</v>
      </c>
      <c r="P345">
        <v>38511225.225225225</v>
      </c>
      <c r="Q345">
        <v>15901621.62162162</v>
      </c>
      <c r="R345">
        <v>19141531.531531531</v>
      </c>
      <c r="S345">
        <v>5062</v>
      </c>
      <c r="T345">
        <v>4589</v>
      </c>
    </row>
    <row r="346" spans="1:20" x14ac:dyDescent="0.35">
      <c r="A346" s="7" t="s">
        <v>441</v>
      </c>
      <c r="B346" s="12" t="s">
        <v>78</v>
      </c>
      <c r="C346">
        <v>83101976.475964189</v>
      </c>
      <c r="D346">
        <v>78747914.992770687</v>
      </c>
      <c r="E346">
        <v>334234.23423423601</v>
      </c>
      <c r="F346">
        <v>1333333.3333333349</v>
      </c>
      <c r="G346">
        <v>17</v>
      </c>
      <c r="H346">
        <v>17</v>
      </c>
      <c r="K346">
        <v>19</v>
      </c>
      <c r="L346">
        <v>22</v>
      </c>
      <c r="M346">
        <v>13559459.459459458</v>
      </c>
      <c r="N346">
        <v>16046666.666666666</v>
      </c>
      <c r="O346">
        <v>16178918.918918921</v>
      </c>
      <c r="P346">
        <v>16607981.981981982</v>
      </c>
      <c r="Q346">
        <v>15526756.756756758</v>
      </c>
      <c r="R346">
        <v>16048648.648648651</v>
      </c>
      <c r="S346">
        <v>2319</v>
      </c>
      <c r="T346">
        <v>2323</v>
      </c>
    </row>
    <row r="347" spans="1:20" x14ac:dyDescent="0.35">
      <c r="A347" s="7" t="s">
        <v>442</v>
      </c>
      <c r="B347" s="12" t="s">
        <v>123</v>
      </c>
      <c r="C347">
        <v>1263977.4133887021</v>
      </c>
      <c r="D347">
        <v>1459525.9972820799</v>
      </c>
      <c r="G347">
        <v>1</v>
      </c>
      <c r="K347">
        <v>1</v>
      </c>
      <c r="O347">
        <v>539234.23423423397</v>
      </c>
      <c r="P347">
        <v>532747.74774774804</v>
      </c>
      <c r="S347">
        <v>396</v>
      </c>
      <c r="T347">
        <v>312</v>
      </c>
    </row>
    <row r="348" spans="1:20" x14ac:dyDescent="0.35">
      <c r="A348" s="7" t="s">
        <v>443</v>
      </c>
      <c r="B348" s="12" t="s">
        <v>140</v>
      </c>
      <c r="C348">
        <v>185678423.07582626</v>
      </c>
      <c r="D348">
        <v>193512646.81478062</v>
      </c>
      <c r="E348">
        <v>1620495.4954954949</v>
      </c>
      <c r="F348">
        <v>1066216.2162162161</v>
      </c>
      <c r="G348">
        <v>16</v>
      </c>
      <c r="H348">
        <v>32</v>
      </c>
      <c r="I348">
        <v>1</v>
      </c>
      <c r="K348">
        <v>20</v>
      </c>
      <c r="L348">
        <v>40</v>
      </c>
      <c r="M348">
        <v>18096846.846846849</v>
      </c>
      <c r="N348">
        <v>22479639.639639638</v>
      </c>
      <c r="O348">
        <v>45658783.783783786</v>
      </c>
      <c r="P348">
        <v>52287657.657657653</v>
      </c>
      <c r="Q348">
        <v>16190630.630630633</v>
      </c>
      <c r="R348">
        <v>18945585.585585583</v>
      </c>
      <c r="S348">
        <v>5784</v>
      </c>
      <c r="T348">
        <v>5658</v>
      </c>
    </row>
    <row r="349" spans="1:20" x14ac:dyDescent="0.35">
      <c r="A349" s="7" t="s">
        <v>444</v>
      </c>
      <c r="B349" s="12" t="s">
        <v>76</v>
      </c>
      <c r="C349">
        <v>20500004.063917313</v>
      </c>
      <c r="D349">
        <v>21110192.96328719</v>
      </c>
      <c r="E349">
        <v>175675.675675676</v>
      </c>
      <c r="F349">
        <v>160360.36036036001</v>
      </c>
      <c r="G349">
        <v>6</v>
      </c>
      <c r="H349">
        <v>2</v>
      </c>
      <c r="K349">
        <v>7</v>
      </c>
      <c r="L349">
        <v>3</v>
      </c>
      <c r="M349">
        <v>8049549.5495495507</v>
      </c>
      <c r="N349">
        <v>3358558.5585585581</v>
      </c>
      <c r="O349">
        <v>4420900.9009009013</v>
      </c>
      <c r="P349">
        <v>4502585.5855855858</v>
      </c>
      <c r="Q349">
        <v>5088288.2882882887</v>
      </c>
      <c r="R349">
        <v>3150450.4504504511</v>
      </c>
      <c r="S349">
        <v>591</v>
      </c>
      <c r="T349">
        <v>548</v>
      </c>
    </row>
    <row r="350" spans="1:20" x14ac:dyDescent="0.35">
      <c r="A350" s="7" t="s">
        <v>445</v>
      </c>
      <c r="B350" s="12" t="s">
        <v>89</v>
      </c>
      <c r="C350">
        <v>584258839.82824695</v>
      </c>
      <c r="D350">
        <v>590735853.52733791</v>
      </c>
      <c r="E350">
        <v>99022103.603603616</v>
      </c>
      <c r="F350">
        <v>405779100.9009009</v>
      </c>
      <c r="G350">
        <v>369</v>
      </c>
      <c r="H350">
        <v>142</v>
      </c>
      <c r="I350">
        <v>2</v>
      </c>
      <c r="K350">
        <v>440</v>
      </c>
      <c r="L350">
        <v>751</v>
      </c>
      <c r="M350">
        <v>66457387.387387387</v>
      </c>
      <c r="N350">
        <v>243136666.66666669</v>
      </c>
      <c r="O350">
        <v>175642468.46846849</v>
      </c>
      <c r="P350">
        <v>194573673.87387386</v>
      </c>
      <c r="Q350">
        <v>64066576.576576576</v>
      </c>
      <c r="R350">
        <v>134953243.24324322</v>
      </c>
      <c r="S350">
        <v>16334</v>
      </c>
      <c r="T350">
        <v>17359</v>
      </c>
    </row>
    <row r="351" spans="1:20" x14ac:dyDescent="0.35">
      <c r="A351" s="7" t="s">
        <v>446</v>
      </c>
      <c r="B351" s="12" t="s">
        <v>48</v>
      </c>
      <c r="C351">
        <v>60133168.694531053</v>
      </c>
      <c r="D351">
        <v>57677901.431198515</v>
      </c>
      <c r="E351">
        <v>701801.80180180201</v>
      </c>
      <c r="F351">
        <v>58355855.855855852</v>
      </c>
      <c r="G351">
        <v>1</v>
      </c>
      <c r="H351">
        <v>5</v>
      </c>
      <c r="K351">
        <v>1</v>
      </c>
      <c r="L351">
        <v>10</v>
      </c>
      <c r="M351">
        <v>10759819.819819819</v>
      </c>
      <c r="N351">
        <v>16944864.864864863</v>
      </c>
      <c r="O351">
        <v>19863198.198198199</v>
      </c>
      <c r="P351">
        <v>19233459.459459461</v>
      </c>
      <c r="Q351">
        <v>7067657.6576576577</v>
      </c>
      <c r="R351">
        <v>16434054.054054055</v>
      </c>
      <c r="S351">
        <v>1123</v>
      </c>
      <c r="T351">
        <v>1039</v>
      </c>
    </row>
    <row r="352" spans="1:20" x14ac:dyDescent="0.35">
      <c r="A352" s="7" t="s">
        <v>447</v>
      </c>
      <c r="B352" s="12" t="s">
        <v>448</v>
      </c>
      <c r="C352">
        <v>117166880.33419639</v>
      </c>
      <c r="D352">
        <v>113917630.86653094</v>
      </c>
      <c r="E352">
        <v>735810.81081081205</v>
      </c>
      <c r="F352">
        <v>2946846.8468468478</v>
      </c>
      <c r="G352">
        <v>529</v>
      </c>
      <c r="H352">
        <v>115</v>
      </c>
      <c r="K352">
        <v>549</v>
      </c>
      <c r="L352">
        <v>166</v>
      </c>
      <c r="M352">
        <v>8982882.8828828819</v>
      </c>
      <c r="N352">
        <v>10960180.180180183</v>
      </c>
      <c r="O352">
        <v>47392792.79279279</v>
      </c>
      <c r="P352">
        <v>47198729.729729727</v>
      </c>
      <c r="Q352">
        <v>7820630.6306306301</v>
      </c>
      <c r="R352">
        <v>12294324.324324327</v>
      </c>
      <c r="S352">
        <v>5473</v>
      </c>
      <c r="T352">
        <v>5816</v>
      </c>
    </row>
    <row r="353" spans="1:20" x14ac:dyDescent="0.35">
      <c r="A353" s="7" t="s">
        <v>449</v>
      </c>
      <c r="B353" s="12" t="s">
        <v>76</v>
      </c>
      <c r="C353">
        <v>29709928.401362631</v>
      </c>
      <c r="D353">
        <v>27080245.955242384</v>
      </c>
      <c r="E353">
        <v>18018.018018019</v>
      </c>
      <c r="F353">
        <v>320720.72072072199</v>
      </c>
      <c r="G353">
        <v>9</v>
      </c>
      <c r="H353">
        <v>20</v>
      </c>
      <c r="K353">
        <v>11</v>
      </c>
      <c r="L353">
        <v>20</v>
      </c>
      <c r="M353">
        <v>7634234.2342342343</v>
      </c>
      <c r="N353">
        <v>8886306.3063063063</v>
      </c>
      <c r="O353">
        <v>10629279.27927928</v>
      </c>
      <c r="P353">
        <v>9563340.5405405406</v>
      </c>
      <c r="Q353">
        <v>5356936.9369369382</v>
      </c>
      <c r="R353">
        <v>6738918.9189189207</v>
      </c>
      <c r="S353">
        <v>1838</v>
      </c>
      <c r="T353">
        <v>2298</v>
      </c>
    </row>
    <row r="354" spans="1:20" x14ac:dyDescent="0.35">
      <c r="A354" s="7" t="s">
        <v>450</v>
      </c>
      <c r="B354" s="12" t="s">
        <v>83</v>
      </c>
      <c r="C354">
        <v>1058354770.1245328</v>
      </c>
      <c r="D354">
        <v>1056267585.7598904</v>
      </c>
      <c r="E354">
        <v>559642545.94594598</v>
      </c>
      <c r="F354">
        <v>263223190.09009013</v>
      </c>
      <c r="G354">
        <v>216</v>
      </c>
      <c r="H354">
        <v>240</v>
      </c>
      <c r="I354">
        <v>6</v>
      </c>
      <c r="K354">
        <v>251</v>
      </c>
      <c r="L354">
        <v>338</v>
      </c>
      <c r="M354">
        <v>115567747.74774775</v>
      </c>
      <c r="N354">
        <v>141248198.1981982</v>
      </c>
      <c r="O354">
        <v>220975576.57657659</v>
      </c>
      <c r="P354">
        <v>227780970.72072074</v>
      </c>
      <c r="Q354">
        <v>105686486.48648648</v>
      </c>
      <c r="R354">
        <v>129284774.77477477</v>
      </c>
      <c r="S354">
        <v>30949</v>
      </c>
      <c r="T354">
        <v>31661</v>
      </c>
    </row>
    <row r="355" spans="1:20" x14ac:dyDescent="0.35">
      <c r="A355" s="7" t="s">
        <v>451</v>
      </c>
      <c r="B355" s="12" t="s">
        <v>70</v>
      </c>
      <c r="C355">
        <v>72115266.736714095</v>
      </c>
      <c r="D355">
        <v>68741807.252307892</v>
      </c>
      <c r="E355">
        <v>598423.42342342297</v>
      </c>
      <c r="F355">
        <v>74774.774774776</v>
      </c>
      <c r="G355">
        <v>19</v>
      </c>
      <c r="H355">
        <v>14</v>
      </c>
      <c r="K355">
        <v>19</v>
      </c>
      <c r="L355">
        <v>16</v>
      </c>
      <c r="M355">
        <v>2020720.7207207209</v>
      </c>
      <c r="N355">
        <v>914414.41441441595</v>
      </c>
      <c r="O355">
        <v>42325585.585585587</v>
      </c>
      <c r="P355">
        <v>42382963.963963971</v>
      </c>
      <c r="Q355">
        <v>2286756.7567567579</v>
      </c>
      <c r="R355">
        <v>1302342.3423423429</v>
      </c>
      <c r="S355">
        <v>2770</v>
      </c>
      <c r="T355">
        <v>2922</v>
      </c>
    </row>
    <row r="356" spans="1:20" x14ac:dyDescent="0.35">
      <c r="A356" s="7" t="s">
        <v>452</v>
      </c>
      <c r="B356" s="12" t="s">
        <v>167</v>
      </c>
      <c r="C356">
        <v>85181995.955399111</v>
      </c>
      <c r="D356">
        <v>82708824.869528994</v>
      </c>
      <c r="E356">
        <v>39639.639639640001</v>
      </c>
      <c r="F356">
        <v>495495.49549549498</v>
      </c>
      <c r="G356">
        <v>6</v>
      </c>
      <c r="H356">
        <v>4</v>
      </c>
      <c r="I356">
        <v>1</v>
      </c>
      <c r="K356">
        <v>7</v>
      </c>
      <c r="L356">
        <v>4</v>
      </c>
      <c r="M356">
        <v>4779819.8198198192</v>
      </c>
      <c r="N356">
        <v>2371621.6216216241</v>
      </c>
      <c r="O356">
        <v>13919549.54954955</v>
      </c>
      <c r="P356">
        <v>15280783.783783784</v>
      </c>
      <c r="Q356">
        <v>5502612.6126126116</v>
      </c>
      <c r="R356">
        <v>3558738.7387387408</v>
      </c>
      <c r="S356">
        <v>2679</v>
      </c>
      <c r="T356">
        <v>2682</v>
      </c>
    </row>
    <row r="357" spans="1:20" x14ac:dyDescent="0.35">
      <c r="A357" s="7" t="s">
        <v>453</v>
      </c>
      <c r="B357" s="12" t="s">
        <v>121</v>
      </c>
      <c r="C357">
        <v>5255056.3006164199</v>
      </c>
      <c r="D357">
        <v>3618766.8449606909</v>
      </c>
      <c r="E357">
        <v>14414.414414413999</v>
      </c>
      <c r="F357">
        <v>34234.234234233998</v>
      </c>
      <c r="G357">
        <v>3</v>
      </c>
      <c r="K357">
        <v>3</v>
      </c>
      <c r="M357">
        <v>131531.53153153101</v>
      </c>
      <c r="N357">
        <v>36036.036036035999</v>
      </c>
      <c r="O357">
        <v>506711.71171171201</v>
      </c>
      <c r="P357">
        <v>301126.12612612598</v>
      </c>
      <c r="Q357">
        <v>117117.117117117</v>
      </c>
      <c r="S357">
        <v>169</v>
      </c>
      <c r="T357">
        <v>127</v>
      </c>
    </row>
    <row r="358" spans="1:20" x14ac:dyDescent="0.35">
      <c r="A358" s="7" t="s">
        <v>454</v>
      </c>
      <c r="B358" s="12" t="s">
        <v>224</v>
      </c>
      <c r="C358">
        <v>31709132.573870912</v>
      </c>
      <c r="D358">
        <v>27455457.243995596</v>
      </c>
      <c r="G358">
        <v>1</v>
      </c>
      <c r="K358">
        <v>1</v>
      </c>
      <c r="L358">
        <v>1</v>
      </c>
      <c r="O358">
        <v>5415675.6756756762</v>
      </c>
      <c r="P358">
        <v>5758324.3243243247</v>
      </c>
      <c r="Q358">
        <v>149099.099099099</v>
      </c>
      <c r="R358">
        <v>138828.82882882899</v>
      </c>
      <c r="S358">
        <v>1196</v>
      </c>
      <c r="T358">
        <v>1469</v>
      </c>
    </row>
    <row r="359" spans="1:20" x14ac:dyDescent="0.35">
      <c r="A359" s="7" t="s">
        <v>455</v>
      </c>
      <c r="B359" s="12" t="s">
        <v>94</v>
      </c>
      <c r="C359">
        <v>35855487.44188495</v>
      </c>
      <c r="D359">
        <v>46255927.501104809</v>
      </c>
      <c r="E359">
        <v>206306.306306307</v>
      </c>
      <c r="F359">
        <v>427927.92792792898</v>
      </c>
      <c r="G359">
        <v>13</v>
      </c>
      <c r="H359">
        <v>14</v>
      </c>
      <c r="K359">
        <v>15</v>
      </c>
      <c r="L359">
        <v>15</v>
      </c>
      <c r="M359">
        <v>4698198.1981981993</v>
      </c>
      <c r="N359">
        <v>17238738.738738742</v>
      </c>
      <c r="O359">
        <v>7289324.3243243238</v>
      </c>
      <c r="P359">
        <v>11313536.036036037</v>
      </c>
      <c r="Q359">
        <v>5236576.5765765756</v>
      </c>
      <c r="R359">
        <v>16537927.927927928</v>
      </c>
      <c r="S359">
        <v>1818</v>
      </c>
      <c r="T359">
        <v>2031</v>
      </c>
    </row>
    <row r="360" spans="1:20" x14ac:dyDescent="0.35">
      <c r="A360" s="7" t="s">
        <v>674</v>
      </c>
      <c r="B360" s="12" t="s">
        <v>189</v>
      </c>
      <c r="E360">
        <v>30935270.270270273</v>
      </c>
      <c r="F360">
        <v>27651607.207207207</v>
      </c>
      <c r="N360">
        <v>14729049.54954955</v>
      </c>
    </row>
    <row r="361" spans="1:20" x14ac:dyDescent="0.35">
      <c r="A361" s="7" t="s">
        <v>675</v>
      </c>
      <c r="B361" s="12" t="s">
        <v>189</v>
      </c>
      <c r="M361">
        <v>162162.16216216201</v>
      </c>
      <c r="N361">
        <v>783783.78378378402</v>
      </c>
    </row>
    <row r="362" spans="1:20" x14ac:dyDescent="0.35">
      <c r="A362" s="7" t="s">
        <v>456</v>
      </c>
      <c r="B362" s="12" t="s">
        <v>60</v>
      </c>
      <c r="C362">
        <v>8196161.9049468851</v>
      </c>
      <c r="D362">
        <v>6152171.7360715466</v>
      </c>
      <c r="E362">
        <v>296396.39639639598</v>
      </c>
      <c r="F362">
        <v>152252.25225225199</v>
      </c>
      <c r="G362">
        <v>5</v>
      </c>
      <c r="H362">
        <v>5</v>
      </c>
      <c r="K362">
        <v>5</v>
      </c>
      <c r="L362">
        <v>6</v>
      </c>
      <c r="M362">
        <v>1647747.747747747</v>
      </c>
      <c r="N362">
        <v>1188288.288288289</v>
      </c>
      <c r="O362">
        <v>4795720.7207207214</v>
      </c>
      <c r="P362">
        <v>2681657.6576576568</v>
      </c>
      <c r="Q362">
        <v>1558018.0180180171</v>
      </c>
      <c r="R362">
        <v>620270.27027026995</v>
      </c>
      <c r="S362">
        <v>664</v>
      </c>
      <c r="T362">
        <v>574</v>
      </c>
    </row>
    <row r="363" spans="1:20" x14ac:dyDescent="0.35">
      <c r="A363" s="7" t="s">
        <v>457</v>
      </c>
      <c r="B363" s="12" t="s">
        <v>214</v>
      </c>
      <c r="C363">
        <v>105318857.32054037</v>
      </c>
      <c r="D363">
        <v>115108020.65761732</v>
      </c>
      <c r="F363">
        <v>369369.369369369</v>
      </c>
      <c r="G363">
        <v>18</v>
      </c>
      <c r="H363">
        <v>27</v>
      </c>
      <c r="K363">
        <v>20</v>
      </c>
      <c r="L363">
        <v>38</v>
      </c>
      <c r="M363">
        <v>450450.45045045001</v>
      </c>
      <c r="N363">
        <v>909909.90990991006</v>
      </c>
      <c r="O363">
        <v>53702117.117117122</v>
      </c>
      <c r="P363">
        <v>58868567.567567565</v>
      </c>
      <c r="Q363">
        <v>432432.43243243202</v>
      </c>
      <c r="R363">
        <v>1704504.5045045051</v>
      </c>
      <c r="S363">
        <v>3114</v>
      </c>
      <c r="T363">
        <v>2860</v>
      </c>
    </row>
    <row r="364" spans="1:20" x14ac:dyDescent="0.35">
      <c r="A364" s="7" t="s">
        <v>458</v>
      </c>
      <c r="B364" s="12" t="s">
        <v>459</v>
      </c>
      <c r="C364">
        <v>470425363.68201458</v>
      </c>
      <c r="D364">
        <v>446844559.76166832</v>
      </c>
      <c r="E364">
        <v>153013108.1081081</v>
      </c>
      <c r="F364">
        <v>318106936.93693697</v>
      </c>
      <c r="G364">
        <v>187</v>
      </c>
      <c r="H364">
        <v>195</v>
      </c>
      <c r="I364">
        <v>2</v>
      </c>
      <c r="K364">
        <v>260</v>
      </c>
      <c r="L364">
        <v>326</v>
      </c>
      <c r="M364">
        <v>57808423.423423424</v>
      </c>
      <c r="N364">
        <v>214918108.1081081</v>
      </c>
      <c r="O364">
        <v>152629981.98198199</v>
      </c>
      <c r="P364">
        <v>160484822.07207206</v>
      </c>
      <c r="Q364">
        <v>45780720.720720723</v>
      </c>
      <c r="R364">
        <v>103356306.3063063</v>
      </c>
      <c r="S364">
        <v>25332</v>
      </c>
      <c r="T364">
        <v>23769</v>
      </c>
    </row>
    <row r="365" spans="1:20" x14ac:dyDescent="0.35">
      <c r="A365" s="7" t="s">
        <v>460</v>
      </c>
      <c r="B365" s="12" t="s">
        <v>459</v>
      </c>
      <c r="C365">
        <v>879856876.17215705</v>
      </c>
      <c r="D365">
        <v>1362977572.4717357</v>
      </c>
      <c r="E365">
        <v>6870450.4504504548</v>
      </c>
      <c r="F365">
        <v>9655855.8558558617</v>
      </c>
      <c r="G365">
        <v>356</v>
      </c>
      <c r="H365">
        <v>398</v>
      </c>
      <c r="I365">
        <v>2</v>
      </c>
      <c r="K365">
        <v>456</v>
      </c>
      <c r="L365">
        <v>513</v>
      </c>
      <c r="M365">
        <v>52385090.090090089</v>
      </c>
      <c r="N365">
        <v>80498333.333333328</v>
      </c>
      <c r="O365">
        <v>297789117.11711711</v>
      </c>
      <c r="P365">
        <v>822637435.13513505</v>
      </c>
      <c r="Q365">
        <v>47055900.900900893</v>
      </c>
      <c r="R365">
        <v>75794279.279279262</v>
      </c>
      <c r="S365">
        <v>31313</v>
      </c>
      <c r="T365">
        <v>32415</v>
      </c>
    </row>
    <row r="366" spans="1:20" x14ac:dyDescent="0.35">
      <c r="A366" s="7" t="s">
        <v>461</v>
      </c>
      <c r="B366" s="12" t="s">
        <v>459</v>
      </c>
      <c r="C366">
        <v>693804304.4424876</v>
      </c>
      <c r="D366">
        <v>716339866.75777996</v>
      </c>
      <c r="E366">
        <v>5017117.11711712</v>
      </c>
      <c r="F366">
        <v>6145945.9459459512</v>
      </c>
      <c r="G366">
        <v>281</v>
      </c>
      <c r="H366">
        <v>240</v>
      </c>
      <c r="I366">
        <v>5</v>
      </c>
      <c r="K366">
        <v>352</v>
      </c>
      <c r="L366">
        <v>425</v>
      </c>
      <c r="M366">
        <v>806783063.06306303</v>
      </c>
      <c r="N366">
        <v>577210900.90090084</v>
      </c>
      <c r="O366">
        <v>179197806.3063063</v>
      </c>
      <c r="P366">
        <v>199482380.63063061</v>
      </c>
      <c r="Q366">
        <v>789156936.93693697</v>
      </c>
      <c r="R366">
        <v>297563333.33333331</v>
      </c>
      <c r="S366">
        <v>22965</v>
      </c>
      <c r="T366">
        <v>26039</v>
      </c>
    </row>
    <row r="367" spans="1:20" x14ac:dyDescent="0.35">
      <c r="A367" s="7" t="s">
        <v>462</v>
      </c>
      <c r="B367" s="12" t="s">
        <v>459</v>
      </c>
      <c r="C367">
        <v>528002685.25562501</v>
      </c>
      <c r="D367">
        <v>518397762.76100254</v>
      </c>
      <c r="E367">
        <v>460270.270270276</v>
      </c>
      <c r="F367">
        <v>2470270.270270275</v>
      </c>
      <c r="G367">
        <v>127</v>
      </c>
      <c r="H367">
        <v>162</v>
      </c>
      <c r="K367">
        <v>144</v>
      </c>
      <c r="L367">
        <v>212</v>
      </c>
      <c r="M367">
        <v>32934414.414414417</v>
      </c>
      <c r="N367">
        <v>76721306.306306303</v>
      </c>
      <c r="O367">
        <v>114677178.37837839</v>
      </c>
      <c r="P367">
        <v>120186657.65765767</v>
      </c>
      <c r="Q367">
        <v>34980630.630630627</v>
      </c>
      <c r="R367">
        <v>50598603.603603601</v>
      </c>
      <c r="S367">
        <v>19600</v>
      </c>
      <c r="T367">
        <v>18798</v>
      </c>
    </row>
    <row r="368" spans="1:20" x14ac:dyDescent="0.35">
      <c r="A368" s="7" t="s">
        <v>463</v>
      </c>
      <c r="B368" s="12" t="s">
        <v>459</v>
      </c>
      <c r="C368">
        <v>498046375.31885523</v>
      </c>
      <c r="D368">
        <v>502899358.71495938</v>
      </c>
      <c r="E368">
        <v>1085585.5855855909</v>
      </c>
      <c r="F368">
        <v>8024549.5495495554</v>
      </c>
      <c r="G368">
        <v>183</v>
      </c>
      <c r="H368">
        <v>290</v>
      </c>
      <c r="K368">
        <v>235</v>
      </c>
      <c r="L368">
        <v>422</v>
      </c>
      <c r="M368">
        <v>36747837.83783783</v>
      </c>
      <c r="N368">
        <v>145751936.93693691</v>
      </c>
      <c r="O368">
        <v>184231774.77477479</v>
      </c>
      <c r="P368">
        <v>200981889.63963965</v>
      </c>
      <c r="Q368">
        <v>34468288.28828828</v>
      </c>
      <c r="R368">
        <v>88582207.207207203</v>
      </c>
      <c r="S368">
        <v>26676</v>
      </c>
      <c r="T368">
        <v>25399</v>
      </c>
    </row>
    <row r="369" spans="1:20" x14ac:dyDescent="0.35">
      <c r="A369" s="7" t="s">
        <v>464</v>
      </c>
      <c r="B369" s="12" t="s">
        <v>459</v>
      </c>
      <c r="C369">
        <v>554145603.36813223</v>
      </c>
      <c r="D369">
        <v>580499261.53346634</v>
      </c>
      <c r="E369">
        <v>1093310686.4864864</v>
      </c>
      <c r="F369">
        <v>1496506354.9549551</v>
      </c>
      <c r="G369">
        <v>255</v>
      </c>
      <c r="H369">
        <v>179</v>
      </c>
      <c r="K369">
        <v>297</v>
      </c>
      <c r="L369">
        <v>231</v>
      </c>
      <c r="M369">
        <v>78441891.891891882</v>
      </c>
      <c r="N369">
        <v>79565752.252252251</v>
      </c>
      <c r="O369">
        <v>241572385.58558559</v>
      </c>
      <c r="P369">
        <v>247189454.95495495</v>
      </c>
      <c r="Q369">
        <v>78773603.603603601</v>
      </c>
      <c r="R369">
        <v>78899954.954954967</v>
      </c>
      <c r="S369">
        <v>27944</v>
      </c>
      <c r="T369">
        <v>28030</v>
      </c>
    </row>
    <row r="370" spans="1:20" x14ac:dyDescent="0.35">
      <c r="A370" s="7" t="s">
        <v>465</v>
      </c>
      <c r="B370" s="12" t="s">
        <v>54</v>
      </c>
      <c r="C370">
        <v>39229397.683930598</v>
      </c>
      <c r="D370">
        <v>37071451.260808177</v>
      </c>
      <c r="E370">
        <v>211936.93693693701</v>
      </c>
      <c r="F370">
        <v>110810.810810813</v>
      </c>
      <c r="G370">
        <v>3</v>
      </c>
      <c r="H370">
        <v>10</v>
      </c>
      <c r="K370">
        <v>5</v>
      </c>
      <c r="L370">
        <v>11</v>
      </c>
      <c r="M370">
        <v>3306306.3063063058</v>
      </c>
      <c r="N370">
        <v>3410630.6306306319</v>
      </c>
      <c r="O370">
        <v>8015675.6756756753</v>
      </c>
      <c r="P370">
        <v>7786432.4324324317</v>
      </c>
      <c r="Q370">
        <v>3233783.7837837841</v>
      </c>
      <c r="R370">
        <v>3381261.2612612592</v>
      </c>
      <c r="S370">
        <v>1175</v>
      </c>
      <c r="T370">
        <v>1215</v>
      </c>
    </row>
    <row r="371" spans="1:20" x14ac:dyDescent="0.35">
      <c r="A371" s="7" t="s">
        <v>466</v>
      </c>
      <c r="B371" s="12" t="s">
        <v>87</v>
      </c>
      <c r="C371">
        <v>1717494.0650969211</v>
      </c>
      <c r="D371">
        <v>1430522.90564576</v>
      </c>
      <c r="O371">
        <v>300000</v>
      </c>
      <c r="P371">
        <v>289864.86486486503</v>
      </c>
      <c r="S371">
        <v>84</v>
      </c>
      <c r="T371">
        <v>74</v>
      </c>
    </row>
    <row r="372" spans="1:20" x14ac:dyDescent="0.35">
      <c r="A372" s="7" t="s">
        <v>467</v>
      </c>
      <c r="B372" s="12" t="s">
        <v>143</v>
      </c>
      <c r="C372">
        <v>192824217.51590559</v>
      </c>
      <c r="D372">
        <v>184589775.23866606</v>
      </c>
      <c r="E372">
        <v>66666.666666667006</v>
      </c>
      <c r="F372">
        <v>230630.63063063199</v>
      </c>
      <c r="G372">
        <v>57</v>
      </c>
      <c r="H372">
        <v>53</v>
      </c>
      <c r="K372">
        <v>61</v>
      </c>
      <c r="L372">
        <v>65</v>
      </c>
      <c r="M372">
        <v>11688288.288288288</v>
      </c>
      <c r="N372">
        <v>8158558.558558559</v>
      </c>
      <c r="O372">
        <v>30104495.495495494</v>
      </c>
      <c r="P372">
        <v>27907861.261261258</v>
      </c>
      <c r="Q372">
        <v>9854594.594594596</v>
      </c>
      <c r="R372">
        <v>7135675.6756756743</v>
      </c>
      <c r="S372">
        <v>4950</v>
      </c>
      <c r="T372">
        <v>5098</v>
      </c>
    </row>
    <row r="373" spans="1:20" x14ac:dyDescent="0.35">
      <c r="A373" s="7" t="s">
        <v>468</v>
      </c>
      <c r="B373" s="12" t="s">
        <v>80</v>
      </c>
      <c r="C373">
        <v>168909491.51292458</v>
      </c>
      <c r="D373">
        <v>158039998.0604696</v>
      </c>
      <c r="E373">
        <v>238513.51351351399</v>
      </c>
      <c r="F373">
        <v>31081.081081082</v>
      </c>
      <c r="G373">
        <v>27</v>
      </c>
      <c r="H373">
        <v>27</v>
      </c>
      <c r="K373">
        <v>30</v>
      </c>
      <c r="L373">
        <v>31</v>
      </c>
      <c r="M373">
        <v>4081981.9819819829</v>
      </c>
      <c r="N373">
        <v>3840090.0900900899</v>
      </c>
      <c r="O373">
        <v>62240736.936936937</v>
      </c>
      <c r="P373">
        <v>58957162.162162162</v>
      </c>
      <c r="Q373">
        <v>4975045.0450450443</v>
      </c>
      <c r="R373">
        <v>2818918.9189189211</v>
      </c>
      <c r="S373">
        <v>4713</v>
      </c>
      <c r="T373">
        <v>5168</v>
      </c>
    </row>
    <row r="374" spans="1:20" x14ac:dyDescent="0.35">
      <c r="A374" s="7" t="s">
        <v>469</v>
      </c>
      <c r="B374" s="12" t="s">
        <v>470</v>
      </c>
      <c r="C374">
        <v>184332342.66254854</v>
      </c>
      <c r="D374">
        <v>188822033.6357888</v>
      </c>
      <c r="E374">
        <v>13305135.135135137</v>
      </c>
      <c r="F374">
        <v>84410810.810810819</v>
      </c>
      <c r="G374">
        <v>43</v>
      </c>
      <c r="H374">
        <v>17</v>
      </c>
      <c r="K374">
        <v>44</v>
      </c>
      <c r="L374">
        <v>18</v>
      </c>
      <c r="M374">
        <v>18397747.747747749</v>
      </c>
      <c r="N374">
        <v>16215315.315315315</v>
      </c>
      <c r="O374">
        <v>56013585.585585587</v>
      </c>
      <c r="P374">
        <v>58250468.468468472</v>
      </c>
      <c r="Q374">
        <v>8102702.7027027048</v>
      </c>
      <c r="R374">
        <v>15040180.180180181</v>
      </c>
      <c r="S374">
        <v>5424</v>
      </c>
      <c r="T374">
        <v>5518</v>
      </c>
    </row>
    <row r="375" spans="1:20" x14ac:dyDescent="0.35">
      <c r="A375" s="7" t="s">
        <v>471</v>
      </c>
      <c r="B375" s="12" t="s">
        <v>470</v>
      </c>
      <c r="C375">
        <v>17405033.586905353</v>
      </c>
      <c r="D375">
        <v>14668134.015304135</v>
      </c>
      <c r="E375">
        <v>60940139.639639638</v>
      </c>
      <c r="F375">
        <v>144160329.72972974</v>
      </c>
      <c r="G375">
        <v>2</v>
      </c>
      <c r="K375">
        <v>2</v>
      </c>
      <c r="L375">
        <v>1</v>
      </c>
      <c r="M375">
        <v>8853132.4324324336</v>
      </c>
      <c r="N375">
        <v>25365461.261261258</v>
      </c>
      <c r="O375">
        <v>1312927.927927928</v>
      </c>
      <c r="P375">
        <v>1505315.315315315</v>
      </c>
      <c r="Q375">
        <v>47567.567567568003</v>
      </c>
      <c r="R375">
        <v>1823423.4234234239</v>
      </c>
      <c r="S375">
        <v>612</v>
      </c>
      <c r="T375">
        <v>655</v>
      </c>
    </row>
    <row r="376" spans="1:20" x14ac:dyDescent="0.35">
      <c r="A376" s="7" t="s">
        <v>472</v>
      </c>
      <c r="B376" s="12" t="s">
        <v>470</v>
      </c>
      <c r="C376">
        <v>2399495.2706117439</v>
      </c>
      <c r="D376">
        <v>1978596.2113369671</v>
      </c>
      <c r="E376">
        <v>1801.801801802</v>
      </c>
      <c r="F376">
        <v>228828.82882882899</v>
      </c>
      <c r="L376">
        <v>1</v>
      </c>
      <c r="M376">
        <v>96936.936936936996</v>
      </c>
      <c r="N376">
        <v>1922522.5225225231</v>
      </c>
      <c r="O376">
        <v>344594.59459459502</v>
      </c>
      <c r="P376">
        <v>443963.96396396402</v>
      </c>
      <c r="Q376">
        <v>232072.072072073</v>
      </c>
      <c r="R376">
        <v>1693693.693693694</v>
      </c>
      <c r="S376">
        <v>422</v>
      </c>
      <c r="T376">
        <v>401</v>
      </c>
    </row>
    <row r="377" spans="1:20" x14ac:dyDescent="0.35">
      <c r="A377" s="7" t="s">
        <v>473</v>
      </c>
      <c r="B377" s="12" t="s">
        <v>470</v>
      </c>
      <c r="C377">
        <v>62750917.360760711</v>
      </c>
      <c r="D377">
        <v>65702713.201696351</v>
      </c>
      <c r="E377">
        <v>190090.09009009</v>
      </c>
      <c r="F377">
        <v>266666.66666666698</v>
      </c>
      <c r="G377">
        <v>14</v>
      </c>
      <c r="H377">
        <v>10</v>
      </c>
      <c r="K377">
        <v>17</v>
      </c>
      <c r="L377">
        <v>11</v>
      </c>
      <c r="M377">
        <v>474414.41441441397</v>
      </c>
      <c r="N377">
        <v>24663063.063063063</v>
      </c>
      <c r="O377">
        <v>8609270.2702702694</v>
      </c>
      <c r="P377">
        <v>9078639.6396396402</v>
      </c>
      <c r="Q377">
        <v>4556666.666666667</v>
      </c>
      <c r="R377">
        <v>11914234.234234236</v>
      </c>
      <c r="S377">
        <v>2321</v>
      </c>
      <c r="T377">
        <v>2099</v>
      </c>
    </row>
    <row r="378" spans="1:20" x14ac:dyDescent="0.35">
      <c r="A378" s="7" t="s">
        <v>474</v>
      </c>
      <c r="B378" s="12" t="s">
        <v>470</v>
      </c>
      <c r="C378">
        <v>91360293.832019687</v>
      </c>
      <c r="D378">
        <v>93467380.043078661</v>
      </c>
      <c r="E378">
        <v>215855.855855856</v>
      </c>
      <c r="F378">
        <v>530630.63063063205</v>
      </c>
      <c r="G378">
        <v>20</v>
      </c>
      <c r="H378">
        <v>25</v>
      </c>
      <c r="K378">
        <v>22</v>
      </c>
      <c r="L378">
        <v>28</v>
      </c>
      <c r="M378">
        <v>3665945.9459459479</v>
      </c>
      <c r="N378">
        <v>6062162.1621621624</v>
      </c>
      <c r="O378">
        <v>20492450.45045045</v>
      </c>
      <c r="P378">
        <v>20450549.54954955</v>
      </c>
      <c r="Q378">
        <v>2814954.9549549562</v>
      </c>
      <c r="R378">
        <v>6257657.6576576577</v>
      </c>
      <c r="S378">
        <v>2373</v>
      </c>
      <c r="T378">
        <v>3110</v>
      </c>
    </row>
    <row r="379" spans="1:20" x14ac:dyDescent="0.35">
      <c r="A379" s="7" t="s">
        <v>475</v>
      </c>
      <c r="B379" s="12" t="s">
        <v>470</v>
      </c>
      <c r="C379">
        <v>34967276.259499781</v>
      </c>
      <c r="D379">
        <v>35092634.46734494</v>
      </c>
      <c r="E379">
        <v>5405.4054054050002</v>
      </c>
      <c r="F379">
        <v>306306.30630630697</v>
      </c>
      <c r="G379">
        <v>5</v>
      </c>
      <c r="H379">
        <v>4</v>
      </c>
      <c r="K379">
        <v>5</v>
      </c>
      <c r="L379">
        <v>4</v>
      </c>
      <c r="M379">
        <v>1418378.3783783801</v>
      </c>
      <c r="N379">
        <v>5540540.5405405425</v>
      </c>
      <c r="O379">
        <v>7577702.702702703</v>
      </c>
      <c r="P379">
        <v>7427403.6036036042</v>
      </c>
      <c r="Q379">
        <v>2040000</v>
      </c>
      <c r="R379">
        <v>4881261.2612612601</v>
      </c>
      <c r="S379">
        <v>1366</v>
      </c>
      <c r="T379">
        <v>1408</v>
      </c>
    </row>
    <row r="380" spans="1:20" x14ac:dyDescent="0.35">
      <c r="A380" s="7" t="s">
        <v>476</v>
      </c>
      <c r="B380" s="12" t="s">
        <v>470</v>
      </c>
      <c r="C380">
        <v>342839118.89128715</v>
      </c>
      <c r="D380">
        <v>353190396.19076824</v>
      </c>
      <c r="E380">
        <v>2109144.1441441481</v>
      </c>
      <c r="F380">
        <v>6260360.3603603672</v>
      </c>
      <c r="G380">
        <v>111</v>
      </c>
      <c r="H380">
        <v>140</v>
      </c>
      <c r="K380">
        <v>125</v>
      </c>
      <c r="L380">
        <v>254</v>
      </c>
      <c r="M380">
        <v>61319639.639639638</v>
      </c>
      <c r="N380">
        <v>95943783.783783779</v>
      </c>
      <c r="O380">
        <v>84082120.720720723</v>
      </c>
      <c r="P380">
        <v>91717412.612612605</v>
      </c>
      <c r="Q380">
        <v>57975495.495495498</v>
      </c>
      <c r="R380">
        <v>88589639.639639631</v>
      </c>
      <c r="S380">
        <v>16112</v>
      </c>
      <c r="T380">
        <v>16110</v>
      </c>
    </row>
    <row r="381" spans="1:20" x14ac:dyDescent="0.35">
      <c r="A381" s="7" t="s">
        <v>477</v>
      </c>
      <c r="B381" s="12" t="s">
        <v>260</v>
      </c>
      <c r="C381">
        <v>417490963.96435809</v>
      </c>
      <c r="D381">
        <v>434142460.15111434</v>
      </c>
      <c r="E381">
        <v>835225.22522522602</v>
      </c>
      <c r="F381">
        <v>1742567.567567568</v>
      </c>
      <c r="G381">
        <v>82</v>
      </c>
      <c r="H381">
        <v>85</v>
      </c>
      <c r="K381">
        <v>86</v>
      </c>
      <c r="L381">
        <v>103</v>
      </c>
      <c r="M381">
        <v>46982072.072072074</v>
      </c>
      <c r="N381">
        <v>47198198.198198199</v>
      </c>
      <c r="O381">
        <v>103298189.18918918</v>
      </c>
      <c r="P381">
        <v>113318842.34234233</v>
      </c>
      <c r="Q381">
        <v>49695225.225225225</v>
      </c>
      <c r="R381">
        <v>49363513.513513513</v>
      </c>
      <c r="S381">
        <v>11722</v>
      </c>
      <c r="T381">
        <v>10975</v>
      </c>
    </row>
    <row r="382" spans="1:20" x14ac:dyDescent="0.35">
      <c r="A382" s="7" t="s">
        <v>478</v>
      </c>
      <c r="B382" s="12" t="s">
        <v>479</v>
      </c>
      <c r="C382">
        <v>33060464.130527981</v>
      </c>
      <c r="D382">
        <v>27654172.081338223</v>
      </c>
      <c r="E382">
        <v>533333.33333333302</v>
      </c>
      <c r="F382">
        <v>379279.27927927999</v>
      </c>
      <c r="G382">
        <v>12</v>
      </c>
      <c r="H382">
        <v>7</v>
      </c>
      <c r="K382">
        <v>12</v>
      </c>
      <c r="L382">
        <v>8</v>
      </c>
      <c r="M382">
        <v>14964864.864864863</v>
      </c>
      <c r="N382">
        <v>9481531.5315315314</v>
      </c>
      <c r="O382">
        <v>7990765.7657657648</v>
      </c>
      <c r="P382">
        <v>6633693.6936936937</v>
      </c>
      <c r="Q382">
        <v>15151351.351351352</v>
      </c>
      <c r="R382">
        <v>9406306.3063063063</v>
      </c>
      <c r="S382">
        <v>888</v>
      </c>
      <c r="T382">
        <v>798</v>
      </c>
    </row>
    <row r="383" spans="1:20" x14ac:dyDescent="0.35">
      <c r="A383" s="7" t="s">
        <v>480</v>
      </c>
      <c r="B383" s="12" t="s">
        <v>123</v>
      </c>
      <c r="C383">
        <v>228527797.52805075</v>
      </c>
      <c r="D383">
        <v>219832976.90090817</v>
      </c>
      <c r="E383">
        <v>1289639.63963964</v>
      </c>
      <c r="F383">
        <v>963963.96396396495</v>
      </c>
      <c r="G383">
        <v>36</v>
      </c>
      <c r="H383">
        <v>44</v>
      </c>
      <c r="K383">
        <v>47</v>
      </c>
      <c r="L383">
        <v>49</v>
      </c>
      <c r="M383">
        <v>13702252.252252253</v>
      </c>
      <c r="N383">
        <v>13834144.144144144</v>
      </c>
      <c r="O383">
        <v>85735270.270270273</v>
      </c>
      <c r="P383">
        <v>83334031.531531543</v>
      </c>
      <c r="Q383">
        <v>14800720.72072072</v>
      </c>
      <c r="R383">
        <v>14128288.288288288</v>
      </c>
      <c r="S383">
        <v>5481</v>
      </c>
      <c r="T383">
        <v>5690</v>
      </c>
    </row>
    <row r="384" spans="1:20" x14ac:dyDescent="0.35">
      <c r="A384" s="7" t="s">
        <v>481</v>
      </c>
      <c r="B384" s="12" t="s">
        <v>470</v>
      </c>
      <c r="C384">
        <v>18522742.783952337</v>
      </c>
      <c r="D384">
        <v>17844611.871157993</v>
      </c>
      <c r="E384">
        <v>24774.774774775</v>
      </c>
      <c r="F384">
        <v>70270.270270270004</v>
      </c>
      <c r="G384">
        <v>4</v>
      </c>
      <c r="H384">
        <v>2</v>
      </c>
      <c r="K384">
        <v>4</v>
      </c>
      <c r="L384">
        <v>3</v>
      </c>
      <c r="M384">
        <v>483333.33333333401</v>
      </c>
      <c r="N384">
        <v>1421621.621621622</v>
      </c>
      <c r="O384">
        <v>2999045.0450450452</v>
      </c>
      <c r="P384">
        <v>2785045.0450450452</v>
      </c>
      <c r="Q384">
        <v>539189.189189189</v>
      </c>
      <c r="R384">
        <v>619099.09909909905</v>
      </c>
      <c r="S384">
        <v>607</v>
      </c>
      <c r="T384">
        <v>626</v>
      </c>
    </row>
    <row r="385" spans="1:20" x14ac:dyDescent="0.35">
      <c r="A385" s="7" t="s">
        <v>482</v>
      </c>
      <c r="B385" s="12" t="s">
        <v>167</v>
      </c>
      <c r="C385">
        <v>185621812.86968169</v>
      </c>
      <c r="D385">
        <v>180065840.71784556</v>
      </c>
      <c r="E385">
        <v>2380180.1801801808</v>
      </c>
      <c r="F385">
        <v>7022522.5225225249</v>
      </c>
      <c r="G385">
        <v>108</v>
      </c>
      <c r="H385">
        <v>99</v>
      </c>
      <c r="K385">
        <v>148</v>
      </c>
      <c r="L385">
        <v>128</v>
      </c>
      <c r="M385">
        <v>13874324.324324327</v>
      </c>
      <c r="N385">
        <v>16633370.270270271</v>
      </c>
      <c r="O385">
        <v>73604906.306306303</v>
      </c>
      <c r="P385">
        <v>75855382.882882878</v>
      </c>
      <c r="Q385">
        <v>14025495.495495498</v>
      </c>
      <c r="R385">
        <v>16962882.882882886</v>
      </c>
      <c r="S385">
        <v>9133</v>
      </c>
      <c r="T385">
        <v>8472</v>
      </c>
    </row>
    <row r="386" spans="1:20" x14ac:dyDescent="0.35">
      <c r="A386" s="7" t="s">
        <v>483</v>
      </c>
      <c r="B386" s="12" t="s">
        <v>167</v>
      </c>
      <c r="C386">
        <v>184901397.84510177</v>
      </c>
      <c r="D386">
        <v>203566585.32121825</v>
      </c>
      <c r="E386">
        <v>228356766.66666666</v>
      </c>
      <c r="F386">
        <v>259143434.23423424</v>
      </c>
      <c r="G386">
        <v>194</v>
      </c>
      <c r="H386">
        <v>113</v>
      </c>
      <c r="K386">
        <v>375</v>
      </c>
      <c r="L386">
        <v>372</v>
      </c>
      <c r="M386">
        <v>35549999.999999993</v>
      </c>
      <c r="N386">
        <v>28431757.657657661</v>
      </c>
      <c r="O386">
        <v>72717882.882882878</v>
      </c>
      <c r="P386">
        <v>76991669.369369373</v>
      </c>
      <c r="Q386">
        <v>33496306.306306303</v>
      </c>
      <c r="R386">
        <v>27293827.027027033</v>
      </c>
      <c r="S386">
        <v>9043</v>
      </c>
      <c r="T386">
        <v>9560</v>
      </c>
    </row>
    <row r="387" spans="1:20" x14ac:dyDescent="0.35">
      <c r="A387" s="7" t="s">
        <v>484</v>
      </c>
      <c r="B387" s="12" t="s">
        <v>50</v>
      </c>
      <c r="C387">
        <v>128104456.36906819</v>
      </c>
      <c r="D387">
        <v>124129988.44685175</v>
      </c>
      <c r="E387">
        <v>899639.63963964104</v>
      </c>
      <c r="F387">
        <v>1390990.9909909931</v>
      </c>
      <c r="G387">
        <v>49</v>
      </c>
      <c r="H387">
        <v>34</v>
      </c>
      <c r="K387">
        <v>52</v>
      </c>
      <c r="L387">
        <v>40</v>
      </c>
      <c r="M387">
        <v>29556396.396396395</v>
      </c>
      <c r="N387">
        <v>17989009.009009007</v>
      </c>
      <c r="O387">
        <v>54909054.054054059</v>
      </c>
      <c r="P387">
        <v>54908450.45045045</v>
      </c>
      <c r="Q387">
        <v>28873063.063063063</v>
      </c>
      <c r="R387">
        <v>16911261.261261262</v>
      </c>
      <c r="S387">
        <v>3619</v>
      </c>
      <c r="T387">
        <v>3748</v>
      </c>
    </row>
    <row r="388" spans="1:20" x14ac:dyDescent="0.35">
      <c r="A388" s="7" t="s">
        <v>485</v>
      </c>
      <c r="B388" s="12" t="s">
        <v>134</v>
      </c>
      <c r="C388">
        <v>179659113.15781587</v>
      </c>
      <c r="D388">
        <v>165092667.27516639</v>
      </c>
      <c r="E388">
        <v>616216.21621621703</v>
      </c>
      <c r="F388">
        <v>759459.45945946104</v>
      </c>
      <c r="G388">
        <v>48</v>
      </c>
      <c r="H388">
        <v>28</v>
      </c>
      <c r="K388">
        <v>54</v>
      </c>
      <c r="L388">
        <v>29</v>
      </c>
      <c r="M388">
        <v>23143243.24324324</v>
      </c>
      <c r="N388">
        <v>27600900.900900904</v>
      </c>
      <c r="O388">
        <v>31521216.216216218</v>
      </c>
      <c r="P388">
        <v>32981655.855855856</v>
      </c>
      <c r="Q388">
        <v>15109009.009009007</v>
      </c>
      <c r="R388">
        <v>14652792.792792793</v>
      </c>
      <c r="S388">
        <v>4707</v>
      </c>
      <c r="T388">
        <v>4547</v>
      </c>
    </row>
    <row r="389" spans="1:20" x14ac:dyDescent="0.35">
      <c r="A389" s="7" t="s">
        <v>486</v>
      </c>
      <c r="B389" s="12" t="s">
        <v>76</v>
      </c>
      <c r="C389">
        <v>43469455.002593338</v>
      </c>
      <c r="D389">
        <v>33757932.601040736</v>
      </c>
      <c r="E389">
        <v>1105405.4054054059</v>
      </c>
      <c r="F389">
        <v>765765.76576576696</v>
      </c>
      <c r="G389">
        <v>8</v>
      </c>
      <c r="H389">
        <v>9</v>
      </c>
      <c r="K389">
        <v>9</v>
      </c>
      <c r="L389">
        <v>10</v>
      </c>
      <c r="M389">
        <v>9285585.5855855849</v>
      </c>
      <c r="N389">
        <v>9227117.1171171162</v>
      </c>
      <c r="O389">
        <v>16819653.153153151</v>
      </c>
      <c r="P389">
        <v>13722383.783783784</v>
      </c>
      <c r="Q389">
        <v>8511531.5315315314</v>
      </c>
      <c r="R389">
        <v>7349005.4054054068</v>
      </c>
      <c r="S389">
        <v>1510</v>
      </c>
      <c r="T389">
        <v>1438</v>
      </c>
    </row>
    <row r="390" spans="1:20" x14ac:dyDescent="0.35">
      <c r="A390" s="7" t="s">
        <v>487</v>
      </c>
      <c r="B390" s="12" t="s">
        <v>307</v>
      </c>
      <c r="C390">
        <v>272130687.71246642</v>
      </c>
      <c r="D390">
        <v>285131056.83646768</v>
      </c>
      <c r="E390">
        <v>343243.24324324401</v>
      </c>
      <c r="F390">
        <v>3101801.8018018059</v>
      </c>
      <c r="G390">
        <v>103</v>
      </c>
      <c r="H390">
        <v>103</v>
      </c>
      <c r="K390">
        <v>123</v>
      </c>
      <c r="L390">
        <v>153</v>
      </c>
      <c r="M390">
        <v>43962747.747747742</v>
      </c>
      <c r="N390">
        <v>91830495.495495483</v>
      </c>
      <c r="O390">
        <v>110797558.55855855</v>
      </c>
      <c r="P390">
        <v>121858567.56756757</v>
      </c>
      <c r="Q390">
        <v>40311891.891891889</v>
      </c>
      <c r="R390">
        <v>62020855.855855852</v>
      </c>
      <c r="S390">
        <v>11502</v>
      </c>
      <c r="T390">
        <v>11461</v>
      </c>
    </row>
    <row r="391" spans="1:20" x14ac:dyDescent="0.35">
      <c r="A391" s="7" t="s">
        <v>488</v>
      </c>
      <c r="B391" s="12" t="s">
        <v>315</v>
      </c>
      <c r="C391">
        <v>75635485.754089862</v>
      </c>
      <c r="D391">
        <v>61587610.914848365</v>
      </c>
      <c r="E391">
        <v>570270.27027026995</v>
      </c>
      <c r="F391">
        <v>732432.43243243406</v>
      </c>
      <c r="G391">
        <v>19</v>
      </c>
      <c r="H391">
        <v>4</v>
      </c>
      <c r="K391">
        <v>19</v>
      </c>
      <c r="L391">
        <v>5</v>
      </c>
      <c r="M391">
        <v>33366666.666666668</v>
      </c>
      <c r="N391">
        <v>25153063.063063063</v>
      </c>
      <c r="O391">
        <v>32556603.603603605</v>
      </c>
      <c r="P391">
        <v>25926405.405405402</v>
      </c>
      <c r="Q391">
        <v>30679819.819819819</v>
      </c>
      <c r="R391">
        <v>26661261.261261266</v>
      </c>
      <c r="S391">
        <v>1684</v>
      </c>
      <c r="T391">
        <v>1620</v>
      </c>
    </row>
    <row r="392" spans="1:20" x14ac:dyDescent="0.35">
      <c r="A392" s="7" t="s">
        <v>489</v>
      </c>
      <c r="B392" s="12" t="s">
        <v>181</v>
      </c>
      <c r="C392">
        <v>156387897.94191635</v>
      </c>
      <c r="D392">
        <v>149805665.21291894</v>
      </c>
      <c r="E392">
        <v>78356756.756756753</v>
      </c>
      <c r="F392">
        <v>42173423.423423424</v>
      </c>
      <c r="G392">
        <v>85</v>
      </c>
      <c r="H392">
        <v>74</v>
      </c>
      <c r="K392">
        <v>94</v>
      </c>
      <c r="L392">
        <v>129</v>
      </c>
      <c r="M392">
        <v>18147297.297297295</v>
      </c>
      <c r="N392">
        <v>13389279.279279279</v>
      </c>
      <c r="O392">
        <v>42193945.945945941</v>
      </c>
      <c r="P392">
        <v>44984531.531531528</v>
      </c>
      <c r="Q392">
        <v>7350630.6306306282</v>
      </c>
      <c r="R392">
        <v>11533063.063063061</v>
      </c>
      <c r="S392">
        <v>6597</v>
      </c>
      <c r="T392">
        <v>6264</v>
      </c>
    </row>
    <row r="393" spans="1:20" x14ac:dyDescent="0.35">
      <c r="A393" s="7" t="s">
        <v>676</v>
      </c>
      <c r="B393" s="12" t="s">
        <v>66</v>
      </c>
      <c r="E393">
        <v>52117117.117117122</v>
      </c>
      <c r="F393">
        <v>242972972.97297296</v>
      </c>
      <c r="M393">
        <v>19742342.342342343</v>
      </c>
      <c r="N393">
        <v>7900900.9009009013</v>
      </c>
    </row>
    <row r="394" spans="1:20" x14ac:dyDescent="0.35">
      <c r="A394" s="7" t="s">
        <v>490</v>
      </c>
      <c r="B394" s="12" t="s">
        <v>220</v>
      </c>
      <c r="C394">
        <v>91889913.92599307</v>
      </c>
      <c r="D394">
        <v>84715955.781384096</v>
      </c>
      <c r="E394">
        <v>356937811.71171176</v>
      </c>
      <c r="F394">
        <v>311896132.43243247</v>
      </c>
      <c r="G394">
        <v>33</v>
      </c>
      <c r="H394">
        <v>24</v>
      </c>
      <c r="K394">
        <v>40</v>
      </c>
      <c r="L394">
        <v>34</v>
      </c>
      <c r="M394">
        <v>19910090.090090092</v>
      </c>
      <c r="N394">
        <v>13533153.153153151</v>
      </c>
      <c r="O394">
        <v>23118810.810810812</v>
      </c>
      <c r="P394">
        <v>20825241.441441439</v>
      </c>
      <c r="Q394">
        <v>3182792.7927927938</v>
      </c>
      <c r="R394">
        <v>1531981.9819819829</v>
      </c>
      <c r="S394">
        <v>4044</v>
      </c>
      <c r="T394">
        <v>3875</v>
      </c>
    </row>
    <row r="395" spans="1:20" x14ac:dyDescent="0.35">
      <c r="A395" s="7" t="s">
        <v>491</v>
      </c>
      <c r="B395" s="12" t="s">
        <v>220</v>
      </c>
      <c r="C395">
        <v>25466541.782380883</v>
      </c>
      <c r="D395">
        <v>28802375.444907732</v>
      </c>
      <c r="E395">
        <v>9909.9099099100004</v>
      </c>
      <c r="F395">
        <v>411711.711711713</v>
      </c>
      <c r="G395">
        <v>19</v>
      </c>
      <c r="H395">
        <v>16</v>
      </c>
      <c r="K395">
        <v>22</v>
      </c>
      <c r="L395">
        <v>18</v>
      </c>
      <c r="M395">
        <v>7948648.6486486467</v>
      </c>
      <c r="N395">
        <v>15039189.18918919</v>
      </c>
      <c r="O395">
        <v>8499414.4144144151</v>
      </c>
      <c r="P395">
        <v>8703549.5495495498</v>
      </c>
      <c r="Q395">
        <v>7988198.1981981974</v>
      </c>
      <c r="R395">
        <v>14423243.243243244</v>
      </c>
      <c r="S395">
        <v>1250</v>
      </c>
      <c r="T395">
        <v>1174</v>
      </c>
    </row>
    <row r="396" spans="1:20" x14ac:dyDescent="0.35">
      <c r="A396" s="7" t="s">
        <v>492</v>
      </c>
      <c r="B396" s="12" t="s">
        <v>60</v>
      </c>
      <c r="C396">
        <v>111091279.44026215</v>
      </c>
      <c r="D396">
        <v>97843467.995538816</v>
      </c>
      <c r="E396">
        <v>888288.28828829003</v>
      </c>
      <c r="F396">
        <v>2458558.5585585651</v>
      </c>
      <c r="G396">
        <v>27</v>
      </c>
      <c r="H396">
        <v>21</v>
      </c>
      <c r="K396">
        <v>30</v>
      </c>
      <c r="L396">
        <v>73</v>
      </c>
      <c r="M396">
        <v>30731531.531531531</v>
      </c>
      <c r="N396">
        <v>21095675.675675672</v>
      </c>
      <c r="O396">
        <v>47482027.027027026</v>
      </c>
      <c r="P396">
        <v>44511711.711711712</v>
      </c>
      <c r="Q396">
        <v>23612792.792792793</v>
      </c>
      <c r="R396">
        <v>19338018.018018015</v>
      </c>
      <c r="S396">
        <v>3675</v>
      </c>
      <c r="T396">
        <v>3573</v>
      </c>
    </row>
    <row r="397" spans="1:20" x14ac:dyDescent="0.35">
      <c r="A397" s="7" t="s">
        <v>493</v>
      </c>
      <c r="B397" s="12" t="s">
        <v>448</v>
      </c>
      <c r="C397">
        <v>131114731.43188207</v>
      </c>
      <c r="D397">
        <v>120096754.22539632</v>
      </c>
      <c r="E397">
        <v>107207.20720720899</v>
      </c>
      <c r="F397">
        <v>140540.540540541</v>
      </c>
      <c r="G397">
        <v>78</v>
      </c>
      <c r="H397">
        <v>82</v>
      </c>
      <c r="K397">
        <v>82</v>
      </c>
      <c r="L397">
        <v>89</v>
      </c>
      <c r="M397">
        <v>13171396.396396397</v>
      </c>
      <c r="N397">
        <v>10802702.702702705</v>
      </c>
      <c r="O397">
        <v>47737162.162162162</v>
      </c>
      <c r="P397">
        <v>43121000</v>
      </c>
      <c r="Q397">
        <v>13846621.62162162</v>
      </c>
      <c r="R397">
        <v>10048558.558558561</v>
      </c>
      <c r="S397">
        <v>5083</v>
      </c>
      <c r="T397">
        <v>4883</v>
      </c>
    </row>
    <row r="398" spans="1:20" x14ac:dyDescent="0.35">
      <c r="A398" s="7" t="s">
        <v>7</v>
      </c>
      <c r="B398" s="12" t="s">
        <v>193</v>
      </c>
      <c r="C398">
        <v>95605610.523013219</v>
      </c>
      <c r="D398">
        <v>100363172.17081852</v>
      </c>
      <c r="E398">
        <v>39189.189189188997</v>
      </c>
      <c r="F398">
        <v>248648.64864865001</v>
      </c>
      <c r="G398">
        <v>29</v>
      </c>
      <c r="H398">
        <v>34</v>
      </c>
      <c r="K398">
        <v>32</v>
      </c>
      <c r="L398">
        <v>42</v>
      </c>
      <c r="M398">
        <v>20006756.75675676</v>
      </c>
      <c r="N398">
        <v>16410810.81081081</v>
      </c>
      <c r="O398">
        <v>64791711.711711712</v>
      </c>
      <c r="P398">
        <v>70244666.666666657</v>
      </c>
      <c r="Q398">
        <v>19338288.288288292</v>
      </c>
      <c r="R398">
        <v>19745585.585585583</v>
      </c>
      <c r="S398">
        <v>4717</v>
      </c>
      <c r="T398">
        <v>4890</v>
      </c>
    </row>
    <row r="399" spans="1:20" x14ac:dyDescent="0.35">
      <c r="A399" s="7" t="s">
        <v>494</v>
      </c>
      <c r="B399" s="12" t="s">
        <v>330</v>
      </c>
      <c r="C399">
        <v>121210101.35975331</v>
      </c>
      <c r="D399">
        <v>116996795.8863817</v>
      </c>
      <c r="E399">
        <v>14414.414414413999</v>
      </c>
      <c r="F399">
        <v>213513.51351351399</v>
      </c>
      <c r="G399">
        <v>56</v>
      </c>
      <c r="H399">
        <v>51</v>
      </c>
      <c r="K399">
        <v>66</v>
      </c>
      <c r="L399">
        <v>67</v>
      </c>
      <c r="M399">
        <v>5482882.8828828828</v>
      </c>
      <c r="N399">
        <v>5916216.2162162159</v>
      </c>
      <c r="O399">
        <v>31750513.513513513</v>
      </c>
      <c r="P399">
        <v>28933783.783783782</v>
      </c>
      <c r="Q399">
        <v>5886936.9369369363</v>
      </c>
      <c r="R399">
        <v>5117657.6576576577</v>
      </c>
      <c r="S399">
        <v>5817</v>
      </c>
      <c r="T399">
        <v>6034</v>
      </c>
    </row>
    <row r="400" spans="1:20" x14ac:dyDescent="0.35">
      <c r="A400" s="7" t="s">
        <v>495</v>
      </c>
      <c r="B400" s="12" t="s">
        <v>330</v>
      </c>
      <c r="C400">
        <v>205876369.63855216</v>
      </c>
      <c r="D400">
        <v>200688052.69569427</v>
      </c>
      <c r="E400">
        <v>53153.153153152998</v>
      </c>
      <c r="F400">
        <v>914189.18918919296</v>
      </c>
      <c r="G400">
        <v>68</v>
      </c>
      <c r="H400">
        <v>95</v>
      </c>
      <c r="K400">
        <v>79</v>
      </c>
      <c r="L400">
        <v>111</v>
      </c>
      <c r="M400">
        <v>6436126.1261261255</v>
      </c>
      <c r="N400">
        <v>7100000</v>
      </c>
      <c r="O400">
        <v>42794684.684684686</v>
      </c>
      <c r="P400">
        <v>48016522.522522517</v>
      </c>
      <c r="Q400">
        <v>5868378.3783783792</v>
      </c>
      <c r="R400">
        <v>7789279.2792792814</v>
      </c>
      <c r="S400">
        <v>7512</v>
      </c>
      <c r="T400">
        <v>7252</v>
      </c>
    </row>
    <row r="401" spans="1:20" x14ac:dyDescent="0.35">
      <c r="A401" s="7" t="s">
        <v>496</v>
      </c>
      <c r="B401" s="12" t="s">
        <v>330</v>
      </c>
      <c r="C401">
        <v>211868792.40271902</v>
      </c>
      <c r="D401">
        <v>203657284.93044722</v>
      </c>
      <c r="E401">
        <v>837612.61261261499</v>
      </c>
      <c r="F401">
        <v>3088063.0630630669</v>
      </c>
      <c r="G401">
        <v>103</v>
      </c>
      <c r="H401">
        <v>86</v>
      </c>
      <c r="K401">
        <v>123</v>
      </c>
      <c r="L401">
        <v>100</v>
      </c>
      <c r="M401">
        <v>16153693.693693692</v>
      </c>
      <c r="N401">
        <v>29832432.432432435</v>
      </c>
      <c r="O401">
        <v>45777990.990990989</v>
      </c>
      <c r="P401">
        <v>44469873.873873875</v>
      </c>
      <c r="Q401">
        <v>15154594.594594592</v>
      </c>
      <c r="R401">
        <v>28404774.774774775</v>
      </c>
      <c r="S401">
        <v>8516</v>
      </c>
      <c r="T401">
        <v>8590</v>
      </c>
    </row>
    <row r="402" spans="1:20" x14ac:dyDescent="0.35">
      <c r="A402" s="7" t="s">
        <v>497</v>
      </c>
      <c r="B402" s="12" t="s">
        <v>330</v>
      </c>
      <c r="C402">
        <v>862134366.89412975</v>
      </c>
      <c r="D402">
        <v>768417613.13766658</v>
      </c>
      <c r="E402">
        <v>907089817.11711717</v>
      </c>
      <c r="F402">
        <v>670091206.30630636</v>
      </c>
      <c r="G402">
        <v>345</v>
      </c>
      <c r="H402">
        <v>633</v>
      </c>
      <c r="I402">
        <v>23</v>
      </c>
      <c r="K402">
        <v>470</v>
      </c>
      <c r="L402">
        <v>719</v>
      </c>
      <c r="M402">
        <v>131931261.26126127</v>
      </c>
      <c r="N402">
        <v>189175675.67567569</v>
      </c>
      <c r="O402">
        <v>159521243.24324322</v>
      </c>
      <c r="P402">
        <v>162247828.82882884</v>
      </c>
      <c r="Q402">
        <v>129720720.72072072</v>
      </c>
      <c r="R402">
        <v>133311441.44144145</v>
      </c>
      <c r="S402">
        <v>30262</v>
      </c>
      <c r="T402">
        <v>28459</v>
      </c>
    </row>
    <row r="403" spans="1:20" x14ac:dyDescent="0.35">
      <c r="A403" s="7" t="s">
        <v>498</v>
      </c>
      <c r="B403" s="12" t="s">
        <v>330</v>
      </c>
      <c r="C403">
        <v>662435114.15017366</v>
      </c>
      <c r="D403">
        <v>615082236.10165882</v>
      </c>
      <c r="E403">
        <v>1462792.7927927959</v>
      </c>
      <c r="F403">
        <v>3989639.6396396458</v>
      </c>
      <c r="G403">
        <v>204</v>
      </c>
      <c r="H403">
        <v>246</v>
      </c>
      <c r="I403">
        <v>1</v>
      </c>
      <c r="K403">
        <v>249</v>
      </c>
      <c r="L403">
        <v>296</v>
      </c>
      <c r="M403">
        <v>148179009.009009</v>
      </c>
      <c r="N403">
        <v>151948198.1981982</v>
      </c>
      <c r="O403">
        <v>156758072.07207206</v>
      </c>
      <c r="P403">
        <v>153981038.2882883</v>
      </c>
      <c r="Q403">
        <v>145008918.91891891</v>
      </c>
      <c r="R403">
        <v>146878918.91891891</v>
      </c>
      <c r="S403">
        <v>27411</v>
      </c>
      <c r="T403">
        <v>25541</v>
      </c>
    </row>
    <row r="404" spans="1:20" x14ac:dyDescent="0.35">
      <c r="A404" s="7" t="s">
        <v>499</v>
      </c>
      <c r="B404" s="12" t="s">
        <v>143</v>
      </c>
      <c r="C404">
        <v>273669691.2404815</v>
      </c>
      <c r="D404">
        <v>262383650.69087324</v>
      </c>
      <c r="E404">
        <v>238513.51351351399</v>
      </c>
      <c r="F404">
        <v>1036261.261261263</v>
      </c>
      <c r="G404">
        <v>112</v>
      </c>
      <c r="H404">
        <v>72</v>
      </c>
      <c r="K404">
        <v>128</v>
      </c>
      <c r="L404">
        <v>92</v>
      </c>
      <c r="M404">
        <v>21981981.981981982</v>
      </c>
      <c r="N404">
        <v>27577477.477477476</v>
      </c>
      <c r="O404">
        <v>38892574.774774775</v>
      </c>
      <c r="P404">
        <v>41597845.045045048</v>
      </c>
      <c r="Q404">
        <v>15523963.963963963</v>
      </c>
      <c r="R404">
        <v>16363783.78378378</v>
      </c>
      <c r="S404">
        <v>8483</v>
      </c>
      <c r="T404">
        <v>9681</v>
      </c>
    </row>
    <row r="405" spans="1:20" x14ac:dyDescent="0.35">
      <c r="A405" s="7" t="s">
        <v>500</v>
      </c>
      <c r="B405" s="12" t="s">
        <v>220</v>
      </c>
      <c r="C405">
        <v>309058272.771263</v>
      </c>
      <c r="D405">
        <v>305633043.95034492</v>
      </c>
      <c r="E405">
        <v>11350900.900900904</v>
      </c>
      <c r="F405">
        <v>92447972.972972974</v>
      </c>
      <c r="G405">
        <v>128</v>
      </c>
      <c r="H405">
        <v>125</v>
      </c>
      <c r="I405">
        <v>1</v>
      </c>
      <c r="K405">
        <v>160</v>
      </c>
      <c r="L405">
        <v>164</v>
      </c>
      <c r="M405">
        <v>121347882.88288288</v>
      </c>
      <c r="N405">
        <v>152691441.44144145</v>
      </c>
      <c r="O405">
        <v>91430018.018018022</v>
      </c>
      <c r="P405">
        <v>94229968.468468457</v>
      </c>
      <c r="Q405">
        <v>65592342.342342347</v>
      </c>
      <c r="R405">
        <v>150248738.73873872</v>
      </c>
      <c r="S405">
        <v>12195</v>
      </c>
      <c r="T405">
        <v>11570</v>
      </c>
    </row>
    <row r="406" spans="1:20" x14ac:dyDescent="0.35">
      <c r="A406" s="7" t="s">
        <v>501</v>
      </c>
      <c r="B406" s="12" t="s">
        <v>397</v>
      </c>
      <c r="C406">
        <v>853391297.63740933</v>
      </c>
      <c r="D406">
        <v>879016814.6185751</v>
      </c>
      <c r="E406">
        <v>293373541.44144148</v>
      </c>
      <c r="F406">
        <v>58966305.40540541</v>
      </c>
      <c r="G406">
        <v>267</v>
      </c>
      <c r="H406">
        <v>278</v>
      </c>
      <c r="K406">
        <v>307</v>
      </c>
      <c r="L406">
        <v>356</v>
      </c>
      <c r="M406">
        <v>118678693.6936937</v>
      </c>
      <c r="N406">
        <v>101627252.25225225</v>
      </c>
      <c r="O406">
        <v>175233699.0990991</v>
      </c>
      <c r="P406">
        <v>186431732.43243244</v>
      </c>
      <c r="Q406">
        <v>107360585.58558558</v>
      </c>
      <c r="R406">
        <v>89886531.531531543</v>
      </c>
      <c r="S406">
        <v>26416</v>
      </c>
      <c r="T406">
        <v>27082</v>
      </c>
    </row>
    <row r="407" spans="1:20" x14ac:dyDescent="0.35">
      <c r="A407" s="7" t="s">
        <v>502</v>
      </c>
      <c r="B407" s="12" t="s">
        <v>70</v>
      </c>
      <c r="C407">
        <v>13176281.801339209</v>
      </c>
      <c r="D407">
        <v>13294564.268208083</v>
      </c>
      <c r="E407">
        <v>77027.027027026998</v>
      </c>
      <c r="F407">
        <v>155855.855855856</v>
      </c>
      <c r="G407">
        <v>6</v>
      </c>
      <c r="H407">
        <v>3</v>
      </c>
      <c r="K407">
        <v>7</v>
      </c>
      <c r="L407">
        <v>5</v>
      </c>
      <c r="M407">
        <v>414414.41441441502</v>
      </c>
      <c r="N407">
        <v>431531.531531532</v>
      </c>
      <c r="O407">
        <v>9416171.1711711716</v>
      </c>
      <c r="P407">
        <v>9306117.1171171162</v>
      </c>
      <c r="Q407">
        <v>1882432.432432432</v>
      </c>
      <c r="R407">
        <v>298918.91891891899</v>
      </c>
      <c r="S407">
        <v>663</v>
      </c>
      <c r="T407">
        <v>653</v>
      </c>
    </row>
    <row r="408" spans="1:20" x14ac:dyDescent="0.35">
      <c r="A408" s="7" t="s">
        <v>503</v>
      </c>
      <c r="B408" s="12" t="s">
        <v>330</v>
      </c>
      <c r="C408">
        <v>361537917.76513797</v>
      </c>
      <c r="D408">
        <v>367983811.15239763</v>
      </c>
      <c r="E408">
        <v>1541441.441441444</v>
      </c>
      <c r="F408">
        <v>2932207.207207208</v>
      </c>
      <c r="G408">
        <v>114</v>
      </c>
      <c r="H408">
        <v>151</v>
      </c>
      <c r="K408">
        <v>133</v>
      </c>
      <c r="L408">
        <v>177</v>
      </c>
      <c r="M408">
        <v>29570270.270270273</v>
      </c>
      <c r="N408">
        <v>38640540.540540539</v>
      </c>
      <c r="O408">
        <v>92503736.93693693</v>
      </c>
      <c r="P408">
        <v>94442921.171171173</v>
      </c>
      <c r="Q408">
        <v>26635225.225225225</v>
      </c>
      <c r="R408">
        <v>36116306.30630631</v>
      </c>
      <c r="S408">
        <v>16048</v>
      </c>
      <c r="T408">
        <v>15913</v>
      </c>
    </row>
    <row r="409" spans="1:20" x14ac:dyDescent="0.35">
      <c r="A409" s="7" t="s">
        <v>504</v>
      </c>
      <c r="B409" s="12" t="s">
        <v>283</v>
      </c>
      <c r="C409">
        <v>112165714.18811606</v>
      </c>
      <c r="D409">
        <v>113944242.72847684</v>
      </c>
      <c r="E409">
        <v>299099.099099099</v>
      </c>
      <c r="F409">
        <v>255855.855855856</v>
      </c>
      <c r="G409">
        <v>46</v>
      </c>
      <c r="H409">
        <v>18</v>
      </c>
      <c r="K409">
        <v>50</v>
      </c>
      <c r="L409">
        <v>20</v>
      </c>
      <c r="M409">
        <v>7898198.1981981983</v>
      </c>
      <c r="N409">
        <v>10454054.054054055</v>
      </c>
      <c r="O409">
        <v>20838018.018018015</v>
      </c>
      <c r="P409">
        <v>20572018.018018015</v>
      </c>
      <c r="Q409">
        <v>9185585.5855855867</v>
      </c>
      <c r="R409">
        <v>10895135.135135137</v>
      </c>
      <c r="S409">
        <v>3200</v>
      </c>
      <c r="T409">
        <v>2971</v>
      </c>
    </row>
    <row r="410" spans="1:20" x14ac:dyDescent="0.35">
      <c r="A410" s="7" t="s">
        <v>505</v>
      </c>
      <c r="B410" s="12" t="s">
        <v>260</v>
      </c>
      <c r="C410">
        <v>67579421.654701829</v>
      </c>
      <c r="D410">
        <v>68204268.008880407</v>
      </c>
      <c r="E410">
        <v>9009.0090090089998</v>
      </c>
      <c r="F410">
        <v>40540.540540540998</v>
      </c>
      <c r="G410">
        <v>3</v>
      </c>
      <c r="H410">
        <v>3</v>
      </c>
      <c r="I410">
        <v>1</v>
      </c>
      <c r="K410">
        <v>4</v>
      </c>
      <c r="L410">
        <v>5</v>
      </c>
      <c r="M410">
        <v>1360360.36036036</v>
      </c>
      <c r="N410">
        <v>1842342.342342342</v>
      </c>
      <c r="O410">
        <v>15602657.657657657</v>
      </c>
      <c r="P410">
        <v>14817477.477477478</v>
      </c>
      <c r="Q410">
        <v>1118918.9189189191</v>
      </c>
      <c r="R410">
        <v>1277477.4774774769</v>
      </c>
      <c r="S410">
        <v>2102</v>
      </c>
      <c r="T410">
        <v>2076</v>
      </c>
    </row>
    <row r="411" spans="1:20" x14ac:dyDescent="0.35">
      <c r="A411" s="7" t="s">
        <v>506</v>
      </c>
      <c r="B411" s="12" t="s">
        <v>236</v>
      </c>
      <c r="C411">
        <v>175551758.91315395</v>
      </c>
      <c r="D411">
        <v>168621364.70188335</v>
      </c>
      <c r="E411">
        <v>406846.84684684902</v>
      </c>
      <c r="F411">
        <v>420270.27027027198</v>
      </c>
      <c r="G411">
        <v>48</v>
      </c>
      <c r="H411">
        <v>16</v>
      </c>
      <c r="K411">
        <v>95</v>
      </c>
      <c r="L411">
        <v>83</v>
      </c>
      <c r="M411">
        <v>29377117.117117122</v>
      </c>
      <c r="N411">
        <v>38717657.657657653</v>
      </c>
      <c r="O411">
        <v>38735112.612612613</v>
      </c>
      <c r="P411">
        <v>36778531.531531535</v>
      </c>
      <c r="Q411">
        <v>28660090.090090089</v>
      </c>
      <c r="R411">
        <v>38551711.711711712</v>
      </c>
      <c r="S411">
        <v>4918</v>
      </c>
      <c r="T411">
        <v>4580</v>
      </c>
    </row>
    <row r="412" spans="1:20" x14ac:dyDescent="0.35">
      <c r="A412" s="7" t="s">
        <v>507</v>
      </c>
      <c r="B412" s="12" t="s">
        <v>134</v>
      </c>
      <c r="C412">
        <v>27225804.196311913</v>
      </c>
      <c r="D412">
        <v>16621366.475966409</v>
      </c>
      <c r="G412">
        <v>1</v>
      </c>
      <c r="K412">
        <v>1</v>
      </c>
      <c r="M412">
        <v>45045.045045045001</v>
      </c>
      <c r="O412">
        <v>4112027.0270270272</v>
      </c>
      <c r="P412">
        <v>2734540.5405405411</v>
      </c>
      <c r="Q412">
        <v>45045.045045045001</v>
      </c>
      <c r="S412">
        <v>1349</v>
      </c>
      <c r="T412">
        <v>1261</v>
      </c>
    </row>
    <row r="413" spans="1:20" x14ac:dyDescent="0.35">
      <c r="A413" s="7" t="s">
        <v>508</v>
      </c>
      <c r="B413" s="12" t="s">
        <v>397</v>
      </c>
      <c r="C413">
        <v>180851315.88880616</v>
      </c>
      <c r="D413">
        <v>176332372.26157463</v>
      </c>
      <c r="E413">
        <v>208558.55855855899</v>
      </c>
      <c r="F413">
        <v>609009.00900901004</v>
      </c>
      <c r="G413">
        <v>28</v>
      </c>
      <c r="H413">
        <v>28</v>
      </c>
      <c r="K413">
        <v>37</v>
      </c>
      <c r="L413">
        <v>56</v>
      </c>
      <c r="M413">
        <v>18581306.306306306</v>
      </c>
      <c r="N413">
        <v>21803153.153153151</v>
      </c>
      <c r="O413">
        <v>25959054.054054055</v>
      </c>
      <c r="P413">
        <v>28225972.972972974</v>
      </c>
      <c r="Q413">
        <v>14663288.288288288</v>
      </c>
      <c r="R413">
        <v>20602522.522522524</v>
      </c>
      <c r="S413">
        <v>4444</v>
      </c>
      <c r="T413">
        <v>4388</v>
      </c>
    </row>
    <row r="414" spans="1:20" x14ac:dyDescent="0.35">
      <c r="A414" s="7" t="s">
        <v>509</v>
      </c>
      <c r="B414" s="12" t="s">
        <v>134</v>
      </c>
      <c r="C414">
        <v>196487477.59340149</v>
      </c>
      <c r="D414">
        <v>197482362.28886375</v>
      </c>
      <c r="E414">
        <v>1327702.702702706</v>
      </c>
      <c r="F414">
        <v>1365765.7657657689</v>
      </c>
      <c r="G414">
        <v>60</v>
      </c>
      <c r="H414">
        <v>52</v>
      </c>
      <c r="I414">
        <v>1</v>
      </c>
      <c r="K414">
        <v>62</v>
      </c>
      <c r="L414">
        <v>61</v>
      </c>
      <c r="M414">
        <v>20179279.27927928</v>
      </c>
      <c r="N414">
        <v>21280180.180180181</v>
      </c>
      <c r="O414">
        <v>31239516.216216218</v>
      </c>
      <c r="P414">
        <v>31905502.252252251</v>
      </c>
      <c r="Q414">
        <v>16357657.657657661</v>
      </c>
      <c r="R414">
        <v>16544414.414414411</v>
      </c>
      <c r="S414">
        <v>5543</v>
      </c>
      <c r="T414">
        <v>5510</v>
      </c>
    </row>
    <row r="415" spans="1:20" x14ac:dyDescent="0.35">
      <c r="A415" s="7" t="s">
        <v>510</v>
      </c>
      <c r="B415" s="12" t="s">
        <v>134</v>
      </c>
      <c r="C415">
        <v>544750140.39743972</v>
      </c>
      <c r="D415">
        <v>542106459.30830872</v>
      </c>
      <c r="E415">
        <v>1854009.0090090169</v>
      </c>
      <c r="F415">
        <v>3188288.2882882971</v>
      </c>
      <c r="G415">
        <v>238</v>
      </c>
      <c r="H415">
        <v>117</v>
      </c>
      <c r="I415">
        <v>10</v>
      </c>
      <c r="K415">
        <v>283</v>
      </c>
      <c r="L415">
        <v>176</v>
      </c>
      <c r="M415">
        <v>41238108.108108111</v>
      </c>
      <c r="N415">
        <v>39574774.774774775</v>
      </c>
      <c r="O415">
        <v>59279747.747747742</v>
      </c>
      <c r="P415">
        <v>56729198.198198199</v>
      </c>
      <c r="Q415">
        <v>34624684.684684679</v>
      </c>
      <c r="R415">
        <v>37741081.081081077</v>
      </c>
      <c r="S415">
        <v>16658</v>
      </c>
      <c r="T415">
        <v>16188</v>
      </c>
    </row>
    <row r="416" spans="1:20" x14ac:dyDescent="0.35">
      <c r="A416" s="7" t="s">
        <v>8</v>
      </c>
      <c r="B416" s="12" t="s">
        <v>158</v>
      </c>
      <c r="C416">
        <v>141761185.36382908</v>
      </c>
      <c r="D416">
        <v>138501522.87508467</v>
      </c>
      <c r="E416">
        <v>1653153.1531531559</v>
      </c>
      <c r="F416">
        <v>2541441.4414414428</v>
      </c>
      <c r="G416">
        <v>15</v>
      </c>
      <c r="H416">
        <v>5</v>
      </c>
      <c r="K416">
        <v>16</v>
      </c>
      <c r="L416">
        <v>6</v>
      </c>
      <c r="M416">
        <v>18595495.495495494</v>
      </c>
      <c r="N416">
        <v>22336936.936936937</v>
      </c>
      <c r="O416">
        <v>41347972.972972974</v>
      </c>
      <c r="P416">
        <v>41428315.315315314</v>
      </c>
      <c r="Q416">
        <v>18006306.306306303</v>
      </c>
      <c r="R416">
        <v>20071891.891891889</v>
      </c>
      <c r="S416">
        <v>3476</v>
      </c>
      <c r="T416">
        <v>3452</v>
      </c>
    </row>
    <row r="417" spans="1:20" x14ac:dyDescent="0.35">
      <c r="A417" s="7" t="s">
        <v>511</v>
      </c>
      <c r="B417" s="12" t="s">
        <v>134</v>
      </c>
      <c r="C417">
        <v>90165436.469911322</v>
      </c>
      <c r="D417">
        <v>104080297.88802528</v>
      </c>
      <c r="E417">
        <v>158206119.81981981</v>
      </c>
      <c r="F417">
        <v>185658593.6936937</v>
      </c>
      <c r="G417">
        <v>16</v>
      </c>
      <c r="H417">
        <v>6</v>
      </c>
      <c r="K417">
        <v>88</v>
      </c>
      <c r="L417">
        <v>9</v>
      </c>
      <c r="M417">
        <v>19777477.47747748</v>
      </c>
      <c r="N417">
        <v>41441441.441441439</v>
      </c>
      <c r="O417">
        <v>12909675.675675675</v>
      </c>
      <c r="P417">
        <v>15063666.666666668</v>
      </c>
      <c r="Q417">
        <v>2544144.1441441448</v>
      </c>
      <c r="R417">
        <v>3332792.7927927929</v>
      </c>
      <c r="S417">
        <v>3860</v>
      </c>
      <c r="T417">
        <v>3914</v>
      </c>
    </row>
    <row r="418" spans="1:20" x14ac:dyDescent="0.35">
      <c r="A418" s="7" t="s">
        <v>512</v>
      </c>
      <c r="B418" s="12" t="s">
        <v>62</v>
      </c>
      <c r="C418">
        <v>464623571.1336996</v>
      </c>
      <c r="D418">
        <v>450884018.30356342</v>
      </c>
      <c r="E418">
        <v>2230630.6306306319</v>
      </c>
      <c r="F418">
        <v>2563963.9639639682</v>
      </c>
      <c r="G418">
        <v>110</v>
      </c>
      <c r="H418">
        <v>121</v>
      </c>
      <c r="K418">
        <v>123</v>
      </c>
      <c r="L418">
        <v>166</v>
      </c>
      <c r="M418">
        <v>20063603.603603601</v>
      </c>
      <c r="N418">
        <v>30368918.918918919</v>
      </c>
      <c r="O418">
        <v>87691513.51351352</v>
      </c>
      <c r="P418">
        <v>92347038.738738731</v>
      </c>
      <c r="Q418">
        <v>19722252.252252251</v>
      </c>
      <c r="R418">
        <v>28541261.261261266</v>
      </c>
      <c r="S418">
        <v>14626</v>
      </c>
      <c r="T418">
        <v>14157</v>
      </c>
    </row>
    <row r="419" spans="1:20" x14ac:dyDescent="0.35">
      <c r="A419" s="7" t="s">
        <v>513</v>
      </c>
      <c r="B419" s="12" t="s">
        <v>117</v>
      </c>
      <c r="C419">
        <v>53550708.599929266</v>
      </c>
      <c r="D419">
        <v>44914817.617819093</v>
      </c>
      <c r="E419">
        <v>13513.513513514999</v>
      </c>
      <c r="F419">
        <v>251351.35135135101</v>
      </c>
      <c r="G419">
        <v>71</v>
      </c>
      <c r="H419">
        <v>24</v>
      </c>
      <c r="K419">
        <v>72</v>
      </c>
      <c r="L419">
        <v>24</v>
      </c>
      <c r="M419">
        <v>3093333.3333333321</v>
      </c>
      <c r="N419">
        <v>1950540.5405405411</v>
      </c>
      <c r="O419">
        <v>26409009.009009007</v>
      </c>
      <c r="P419">
        <v>19191774.774774775</v>
      </c>
      <c r="Q419">
        <v>2859549.549549548</v>
      </c>
      <c r="R419">
        <v>1457297.2972972989</v>
      </c>
      <c r="S419">
        <v>2178</v>
      </c>
      <c r="T419">
        <v>1959</v>
      </c>
    </row>
    <row r="420" spans="1:20" x14ac:dyDescent="0.35">
      <c r="A420" s="7" t="s">
        <v>514</v>
      </c>
      <c r="B420" s="12" t="s">
        <v>304</v>
      </c>
      <c r="C420">
        <v>91067987.069370747</v>
      </c>
      <c r="D420">
        <v>83970366.505478054</v>
      </c>
      <c r="E420">
        <v>152252.25225225301</v>
      </c>
      <c r="F420">
        <v>518018.01801801898</v>
      </c>
      <c r="G420">
        <v>31</v>
      </c>
      <c r="H420">
        <v>44</v>
      </c>
      <c r="K420">
        <v>33</v>
      </c>
      <c r="L420">
        <v>46</v>
      </c>
      <c r="M420">
        <v>1863963.963963964</v>
      </c>
      <c r="N420">
        <v>8422972.9729729723</v>
      </c>
      <c r="O420">
        <v>8031801.8018018007</v>
      </c>
      <c r="P420">
        <v>8585405.4054054059</v>
      </c>
      <c r="Q420">
        <v>2670540.5405405401</v>
      </c>
      <c r="R420">
        <v>9398828.8288288303</v>
      </c>
      <c r="S420">
        <v>1529</v>
      </c>
      <c r="T420">
        <v>1405</v>
      </c>
    </row>
    <row r="421" spans="1:20" x14ac:dyDescent="0.35">
      <c r="A421" s="7" t="s">
        <v>515</v>
      </c>
      <c r="B421" s="12" t="s">
        <v>304</v>
      </c>
      <c r="C421">
        <v>26006864.22401388</v>
      </c>
      <c r="D421">
        <v>21301845.336872544</v>
      </c>
      <c r="E421">
        <v>189549.549549549</v>
      </c>
      <c r="F421">
        <v>208108.10810810799</v>
      </c>
      <c r="G421">
        <v>6</v>
      </c>
      <c r="H421">
        <v>5</v>
      </c>
      <c r="K421">
        <v>6</v>
      </c>
      <c r="L421">
        <v>6</v>
      </c>
      <c r="M421">
        <v>2982342.3423423409</v>
      </c>
      <c r="N421">
        <v>2628828.8288288289</v>
      </c>
      <c r="O421">
        <v>3731261.261261262</v>
      </c>
      <c r="P421">
        <v>3392891.8918918921</v>
      </c>
      <c r="Q421">
        <v>3368378.3783783782</v>
      </c>
      <c r="R421">
        <v>2134954.9549549539</v>
      </c>
      <c r="S421">
        <v>623</v>
      </c>
      <c r="T421">
        <v>554</v>
      </c>
    </row>
    <row r="422" spans="1:20" x14ac:dyDescent="0.35">
      <c r="A422" s="7" t="s">
        <v>516</v>
      </c>
      <c r="B422" s="12" t="s">
        <v>304</v>
      </c>
      <c r="C422">
        <v>49057292.502690114</v>
      </c>
      <c r="D422">
        <v>51458768.492647752</v>
      </c>
      <c r="E422">
        <v>14954.954954954999</v>
      </c>
      <c r="F422">
        <v>652252.25225225103</v>
      </c>
      <c r="G422">
        <v>22</v>
      </c>
      <c r="H422">
        <v>28</v>
      </c>
      <c r="K422">
        <v>24</v>
      </c>
      <c r="L422">
        <v>29</v>
      </c>
      <c r="M422">
        <v>2969909.9099099091</v>
      </c>
      <c r="N422">
        <v>3064864.8648648639</v>
      </c>
      <c r="O422">
        <v>6448018.0180180185</v>
      </c>
      <c r="P422">
        <v>7816585.5855855858</v>
      </c>
      <c r="Q422">
        <v>2879819.819819821</v>
      </c>
      <c r="R422">
        <v>2574684.6846846859</v>
      </c>
      <c r="S422">
        <v>1086</v>
      </c>
      <c r="T422">
        <v>1079</v>
      </c>
    </row>
    <row r="423" spans="1:20" x14ac:dyDescent="0.35">
      <c r="A423" s="7" t="s">
        <v>517</v>
      </c>
      <c r="B423" s="12" t="s">
        <v>304</v>
      </c>
      <c r="C423">
        <v>41103550.566014074</v>
      </c>
      <c r="D423">
        <v>39066508.506974772</v>
      </c>
      <c r="E423">
        <v>16216.216216216</v>
      </c>
      <c r="F423">
        <v>94594.594594594993</v>
      </c>
      <c r="G423">
        <v>7</v>
      </c>
      <c r="H423">
        <v>15</v>
      </c>
      <c r="K423">
        <v>7</v>
      </c>
      <c r="L423">
        <v>16</v>
      </c>
      <c r="M423">
        <v>1790990.990990991</v>
      </c>
      <c r="N423">
        <v>950450.450450451</v>
      </c>
      <c r="O423">
        <v>5230990.9909909908</v>
      </c>
      <c r="P423">
        <v>5249990.9909909908</v>
      </c>
      <c r="Q423">
        <v>1171171.17117117</v>
      </c>
      <c r="R423">
        <v>613783.78378378297</v>
      </c>
      <c r="S423">
        <v>817</v>
      </c>
      <c r="T423">
        <v>876</v>
      </c>
    </row>
    <row r="424" spans="1:20" x14ac:dyDescent="0.35">
      <c r="A424" s="7" t="s">
        <v>518</v>
      </c>
      <c r="B424" s="12" t="s">
        <v>448</v>
      </c>
      <c r="C424">
        <v>41513270.268033385</v>
      </c>
      <c r="D424">
        <v>39165832.590191029</v>
      </c>
      <c r="E424">
        <v>75675.675675676001</v>
      </c>
      <c r="F424">
        <v>246846.84684684701</v>
      </c>
      <c r="G424">
        <v>22</v>
      </c>
      <c r="H424">
        <v>7</v>
      </c>
      <c r="K424">
        <v>27</v>
      </c>
      <c r="L424">
        <v>9</v>
      </c>
      <c r="M424">
        <v>3073423.423423423</v>
      </c>
      <c r="N424">
        <v>1801351.351351351</v>
      </c>
      <c r="O424">
        <v>14365207.207207208</v>
      </c>
      <c r="P424">
        <v>13230137.387387387</v>
      </c>
      <c r="Q424">
        <v>3017387.3873873861</v>
      </c>
      <c r="R424">
        <v>2705675.6756756762</v>
      </c>
      <c r="S424">
        <v>1795</v>
      </c>
      <c r="T424">
        <v>1804</v>
      </c>
    </row>
    <row r="425" spans="1:20" x14ac:dyDescent="0.35">
      <c r="A425" s="7" t="s">
        <v>519</v>
      </c>
      <c r="B425" s="12" t="s">
        <v>85</v>
      </c>
      <c r="C425">
        <v>123404622.45960499</v>
      </c>
      <c r="D425">
        <v>122541998.16177267</v>
      </c>
      <c r="E425">
        <v>205405.40540540501</v>
      </c>
      <c r="F425">
        <v>981981.98198198294</v>
      </c>
      <c r="G425">
        <v>31</v>
      </c>
      <c r="H425">
        <v>15</v>
      </c>
      <c r="K425">
        <v>37</v>
      </c>
      <c r="L425">
        <v>20</v>
      </c>
      <c r="M425">
        <v>13890090.090090089</v>
      </c>
      <c r="N425">
        <v>23405405.405405402</v>
      </c>
      <c r="O425">
        <v>30425315.315315317</v>
      </c>
      <c r="P425">
        <v>31252945.945945945</v>
      </c>
      <c r="Q425">
        <v>8487297.297297297</v>
      </c>
      <c r="R425">
        <v>21410493.693693694</v>
      </c>
      <c r="S425">
        <v>4196</v>
      </c>
      <c r="T425">
        <v>4261</v>
      </c>
    </row>
    <row r="426" spans="1:20" x14ac:dyDescent="0.35">
      <c r="A426" s="7" t="s">
        <v>520</v>
      </c>
      <c r="B426" s="12" t="s">
        <v>304</v>
      </c>
      <c r="C426">
        <v>64517397.334160849</v>
      </c>
      <c r="D426">
        <v>65620316.884840272</v>
      </c>
      <c r="E426">
        <v>190990.99099099101</v>
      </c>
      <c r="F426">
        <v>44144.144144143997</v>
      </c>
      <c r="G426">
        <v>16</v>
      </c>
      <c r="H426">
        <v>10</v>
      </c>
      <c r="K426">
        <v>17</v>
      </c>
      <c r="L426">
        <v>11</v>
      </c>
      <c r="M426">
        <v>4794594.5945945941</v>
      </c>
      <c r="N426">
        <v>4225225.2252252251</v>
      </c>
      <c r="O426">
        <v>11085450.450450452</v>
      </c>
      <c r="P426">
        <v>10340882.882882882</v>
      </c>
      <c r="Q426">
        <v>2356846.8468468469</v>
      </c>
      <c r="R426">
        <v>2023333.333333333</v>
      </c>
      <c r="S426">
        <v>1677</v>
      </c>
      <c r="T426">
        <v>1359</v>
      </c>
    </row>
    <row r="427" spans="1:20" x14ac:dyDescent="0.35">
      <c r="A427" s="7" t="s">
        <v>521</v>
      </c>
      <c r="B427" s="12" t="s">
        <v>399</v>
      </c>
      <c r="C427">
        <v>453965950.07448637</v>
      </c>
      <c r="D427">
        <v>438371267.37807727</v>
      </c>
      <c r="E427">
        <v>6169099.0990990996</v>
      </c>
      <c r="F427">
        <v>22508108.108108111</v>
      </c>
      <c r="G427">
        <v>113</v>
      </c>
      <c r="H427">
        <v>196</v>
      </c>
      <c r="K427">
        <v>127</v>
      </c>
      <c r="L427">
        <v>586</v>
      </c>
      <c r="M427">
        <v>96223783.783783779</v>
      </c>
      <c r="N427">
        <v>81186261.261261269</v>
      </c>
      <c r="O427">
        <v>107068693.6936937</v>
      </c>
      <c r="P427">
        <v>111199909.90990992</v>
      </c>
      <c r="Q427">
        <v>89726576.576576576</v>
      </c>
      <c r="R427">
        <v>73495315.315315306</v>
      </c>
      <c r="S427">
        <v>14022</v>
      </c>
      <c r="T427">
        <v>13812</v>
      </c>
    </row>
    <row r="428" spans="1:20" x14ac:dyDescent="0.35">
      <c r="A428" s="7" t="s">
        <v>522</v>
      </c>
      <c r="B428" s="12" t="s">
        <v>143</v>
      </c>
      <c r="C428">
        <v>129599539.16813451</v>
      </c>
      <c r="D428">
        <v>123210025.48143008</v>
      </c>
      <c r="E428">
        <v>18018.018018019</v>
      </c>
      <c r="F428">
        <v>243243.243243245</v>
      </c>
      <c r="G428">
        <v>28</v>
      </c>
      <c r="H428">
        <v>39</v>
      </c>
      <c r="K428">
        <v>31</v>
      </c>
      <c r="L428">
        <v>42</v>
      </c>
      <c r="M428">
        <v>7261261.261261262</v>
      </c>
      <c r="N428">
        <v>6549549.5495495489</v>
      </c>
      <c r="O428">
        <v>14802153.153153151</v>
      </c>
      <c r="P428">
        <v>15683108.108108109</v>
      </c>
      <c r="Q428">
        <v>7052972.9729729732</v>
      </c>
      <c r="R428">
        <v>5999279.2792792786</v>
      </c>
      <c r="S428">
        <v>2994</v>
      </c>
      <c r="T428">
        <v>3018</v>
      </c>
    </row>
    <row r="429" spans="1:20" x14ac:dyDescent="0.35">
      <c r="A429" s="7" t="s">
        <v>523</v>
      </c>
      <c r="B429" s="12" t="s">
        <v>66</v>
      </c>
      <c r="C429">
        <v>84184937.766578406</v>
      </c>
      <c r="D429">
        <v>84858879.914187714</v>
      </c>
      <c r="E429">
        <v>55495.495495495998</v>
      </c>
      <c r="F429">
        <v>1835135.1351351361</v>
      </c>
      <c r="G429">
        <v>14</v>
      </c>
      <c r="H429">
        <v>16</v>
      </c>
      <c r="I429">
        <v>1</v>
      </c>
      <c r="K429">
        <v>19</v>
      </c>
      <c r="L429">
        <v>23</v>
      </c>
      <c r="M429">
        <v>10831711.711711712</v>
      </c>
      <c r="N429">
        <v>56827567.567567565</v>
      </c>
      <c r="O429">
        <v>40166306.306306303</v>
      </c>
      <c r="P429">
        <v>40498756.75675676</v>
      </c>
      <c r="Q429">
        <v>10194324.324324325</v>
      </c>
      <c r="R429">
        <v>30378198.198198196</v>
      </c>
      <c r="S429">
        <v>3659</v>
      </c>
      <c r="T429">
        <v>3971</v>
      </c>
    </row>
    <row r="430" spans="1:20" x14ac:dyDescent="0.35">
      <c r="A430" s="7" t="s">
        <v>524</v>
      </c>
      <c r="B430" s="12" t="s">
        <v>220</v>
      </c>
      <c r="C430">
        <v>117164206.94402511</v>
      </c>
      <c r="D430">
        <v>109917574.1632216</v>
      </c>
      <c r="E430">
        <v>430630.630630631</v>
      </c>
      <c r="F430">
        <v>531531.53153153101</v>
      </c>
      <c r="G430">
        <v>43</v>
      </c>
      <c r="H430">
        <v>29</v>
      </c>
      <c r="K430">
        <v>49</v>
      </c>
      <c r="L430">
        <v>37</v>
      </c>
      <c r="M430">
        <v>8519819.8198198192</v>
      </c>
      <c r="N430">
        <v>7863063.0630630637</v>
      </c>
      <c r="O430">
        <v>28616900.9009009</v>
      </c>
      <c r="P430">
        <v>27225351.351351351</v>
      </c>
      <c r="Q430">
        <v>5892522.5225225221</v>
      </c>
      <c r="R430">
        <v>4910090.0900900904</v>
      </c>
      <c r="S430">
        <v>4487</v>
      </c>
      <c r="T430">
        <v>4301</v>
      </c>
    </row>
    <row r="431" spans="1:20" x14ac:dyDescent="0.35">
      <c r="A431" s="7" t="s">
        <v>525</v>
      </c>
      <c r="B431" s="12" t="s">
        <v>413</v>
      </c>
      <c r="C431">
        <v>1251438523.2335064</v>
      </c>
      <c r="D431">
        <v>1210166510.0415525</v>
      </c>
      <c r="E431">
        <v>416276690.990991</v>
      </c>
      <c r="F431">
        <v>208167145.04504505</v>
      </c>
      <c r="G431">
        <v>203</v>
      </c>
      <c r="H431">
        <v>216</v>
      </c>
      <c r="K431">
        <v>497</v>
      </c>
      <c r="L431">
        <v>798</v>
      </c>
      <c r="M431">
        <v>104157747.74774775</v>
      </c>
      <c r="N431">
        <v>105267783.78378378</v>
      </c>
      <c r="O431">
        <v>353621099.0990991</v>
      </c>
      <c r="P431">
        <v>354069463.96396399</v>
      </c>
      <c r="Q431">
        <v>89564457.657657668</v>
      </c>
      <c r="R431">
        <v>104047567.56756757</v>
      </c>
      <c r="S431">
        <v>32501</v>
      </c>
      <c r="T431">
        <v>33230</v>
      </c>
    </row>
    <row r="432" spans="1:20" x14ac:dyDescent="0.35">
      <c r="A432" s="7" t="s">
        <v>526</v>
      </c>
      <c r="B432" s="12" t="s">
        <v>413</v>
      </c>
      <c r="C432">
        <v>149089598.21193883</v>
      </c>
      <c r="D432">
        <v>138636881.87390605</v>
      </c>
      <c r="E432">
        <v>14414.414414415</v>
      </c>
      <c r="F432">
        <v>274099.09909909999</v>
      </c>
      <c r="G432">
        <v>19</v>
      </c>
      <c r="H432">
        <v>27</v>
      </c>
      <c r="K432">
        <v>23</v>
      </c>
      <c r="L432">
        <v>32</v>
      </c>
      <c r="M432">
        <v>7429549.5495495489</v>
      </c>
      <c r="N432">
        <v>9234281.9819819834</v>
      </c>
      <c r="O432">
        <v>41478684.684684686</v>
      </c>
      <c r="P432">
        <v>44701513.513513513</v>
      </c>
      <c r="Q432">
        <v>5927387.3873873856</v>
      </c>
      <c r="R432">
        <v>7131981.9819819815</v>
      </c>
      <c r="S432">
        <v>4603</v>
      </c>
      <c r="T432">
        <v>4438</v>
      </c>
    </row>
    <row r="433" spans="1:20" x14ac:dyDescent="0.35">
      <c r="A433" s="7" t="s">
        <v>661</v>
      </c>
      <c r="B433" s="12" t="s">
        <v>189</v>
      </c>
      <c r="C433">
        <v>2664679.099737654</v>
      </c>
      <c r="G433">
        <v>3</v>
      </c>
      <c r="K433">
        <v>3</v>
      </c>
      <c r="O433">
        <v>858558.55855855905</v>
      </c>
      <c r="S433">
        <v>119</v>
      </c>
    </row>
    <row r="434" spans="1:20" x14ac:dyDescent="0.35">
      <c r="A434" s="7" t="s">
        <v>527</v>
      </c>
      <c r="B434" s="12" t="s">
        <v>147</v>
      </c>
      <c r="C434">
        <v>297931723.61557347</v>
      </c>
      <c r="D434">
        <v>283736768.91440821</v>
      </c>
      <c r="E434">
        <v>890090.09009009204</v>
      </c>
      <c r="F434">
        <v>5618243.2432432454</v>
      </c>
      <c r="G434">
        <v>41</v>
      </c>
      <c r="H434">
        <v>71</v>
      </c>
      <c r="K434">
        <v>49</v>
      </c>
      <c r="L434">
        <v>229</v>
      </c>
      <c r="M434">
        <v>15606126.126126116</v>
      </c>
      <c r="N434">
        <v>68762384.684684679</v>
      </c>
      <c r="O434">
        <v>92068234.234234244</v>
      </c>
      <c r="P434">
        <v>100124448.64864863</v>
      </c>
      <c r="Q434">
        <v>18308018.018018011</v>
      </c>
      <c r="R434">
        <v>68815135.135135129</v>
      </c>
      <c r="S434">
        <v>10218</v>
      </c>
      <c r="T434">
        <v>9833</v>
      </c>
    </row>
    <row r="435" spans="1:20" x14ac:dyDescent="0.35">
      <c r="A435" s="7" t="s">
        <v>528</v>
      </c>
      <c r="B435" s="12" t="s">
        <v>121</v>
      </c>
      <c r="C435">
        <v>31397735.988727991</v>
      </c>
      <c r="D435">
        <v>31750900.396999091</v>
      </c>
      <c r="E435">
        <v>143018.01801801799</v>
      </c>
      <c r="F435">
        <v>315315.31531531602</v>
      </c>
      <c r="G435">
        <v>18</v>
      </c>
      <c r="H435">
        <v>20</v>
      </c>
      <c r="K435">
        <v>20</v>
      </c>
      <c r="L435">
        <v>21</v>
      </c>
      <c r="M435">
        <v>2228828.8288288289</v>
      </c>
      <c r="N435">
        <v>3355855.8558558561</v>
      </c>
      <c r="O435">
        <v>3729549.5495495489</v>
      </c>
      <c r="P435">
        <v>3780599.0990990992</v>
      </c>
      <c r="Q435">
        <v>1360900.900900902</v>
      </c>
      <c r="R435">
        <v>2529549.5495495489</v>
      </c>
      <c r="S435">
        <v>993</v>
      </c>
      <c r="T435">
        <v>959</v>
      </c>
    </row>
    <row r="436" spans="1:20" x14ac:dyDescent="0.35">
      <c r="A436" s="7" t="s">
        <v>529</v>
      </c>
      <c r="B436" s="12" t="s">
        <v>448</v>
      </c>
      <c r="C436">
        <v>73195973.113317952</v>
      </c>
      <c r="D436">
        <v>51930513.286728561</v>
      </c>
      <c r="E436">
        <v>907387.38738738804</v>
      </c>
      <c r="F436">
        <v>374774.77477477503</v>
      </c>
      <c r="G436">
        <v>28</v>
      </c>
      <c r="H436">
        <v>6</v>
      </c>
      <c r="K436">
        <v>31</v>
      </c>
      <c r="L436">
        <v>8</v>
      </c>
      <c r="M436">
        <v>5210360.3603603607</v>
      </c>
      <c r="N436">
        <v>1849549.5495495489</v>
      </c>
      <c r="O436">
        <v>34026198.198198199</v>
      </c>
      <c r="P436">
        <v>25306101.351351351</v>
      </c>
      <c r="Q436">
        <v>5378828.8288288293</v>
      </c>
      <c r="R436">
        <v>3586936.9369369359</v>
      </c>
      <c r="S436">
        <v>2134</v>
      </c>
      <c r="T436">
        <v>2070</v>
      </c>
    </row>
    <row r="437" spans="1:20" x14ac:dyDescent="0.35">
      <c r="A437" s="7" t="s">
        <v>530</v>
      </c>
      <c r="B437" s="12" t="s">
        <v>448</v>
      </c>
      <c r="C437">
        <v>134184996.95853847</v>
      </c>
      <c r="D437">
        <v>129777217.86108162</v>
      </c>
      <c r="E437">
        <v>89189.189189188997</v>
      </c>
      <c r="F437">
        <v>1006306.306306307</v>
      </c>
      <c r="G437">
        <v>63</v>
      </c>
      <c r="H437">
        <v>45</v>
      </c>
      <c r="K437">
        <v>74</v>
      </c>
      <c r="L437">
        <v>51</v>
      </c>
      <c r="M437">
        <v>6524954.9549549567</v>
      </c>
      <c r="N437">
        <v>6820270.2702702712</v>
      </c>
      <c r="O437">
        <v>62979909.909909904</v>
      </c>
      <c r="P437">
        <v>59902045.045045048</v>
      </c>
      <c r="Q437">
        <v>8204504.5045045028</v>
      </c>
      <c r="R437">
        <v>6029099.0990990978</v>
      </c>
      <c r="S437">
        <v>5108</v>
      </c>
      <c r="T437">
        <v>4985</v>
      </c>
    </row>
    <row r="438" spans="1:20" x14ac:dyDescent="0.35">
      <c r="A438" s="7" t="s">
        <v>531</v>
      </c>
      <c r="B438" s="12" t="s">
        <v>123</v>
      </c>
      <c r="C438">
        <v>346963888.22847396</v>
      </c>
      <c r="D438">
        <v>353632201.61093605</v>
      </c>
      <c r="E438">
        <v>95519986.48648648</v>
      </c>
      <c r="F438">
        <v>236373118.01801801</v>
      </c>
      <c r="G438">
        <v>100</v>
      </c>
      <c r="H438">
        <v>134</v>
      </c>
      <c r="I438">
        <v>3</v>
      </c>
      <c r="K438">
        <v>127</v>
      </c>
      <c r="L438">
        <v>229</v>
      </c>
      <c r="M438">
        <v>62518198.198198192</v>
      </c>
      <c r="N438">
        <v>108145135.13513513</v>
      </c>
      <c r="O438">
        <v>118978081.98198198</v>
      </c>
      <c r="P438">
        <v>123669466.66666667</v>
      </c>
      <c r="Q438">
        <v>68501801.801801801</v>
      </c>
      <c r="R438">
        <v>103863603.6036036</v>
      </c>
      <c r="S438">
        <v>11427</v>
      </c>
      <c r="T438">
        <v>11820</v>
      </c>
    </row>
    <row r="439" spans="1:20" x14ac:dyDescent="0.35">
      <c r="A439" s="7" t="s">
        <v>532</v>
      </c>
      <c r="B439" s="12" t="s">
        <v>85</v>
      </c>
      <c r="C439">
        <v>111097382.11594363</v>
      </c>
      <c r="D439">
        <v>104828351.41712844</v>
      </c>
      <c r="E439">
        <v>1287387.3873873879</v>
      </c>
      <c r="F439">
        <v>243243.243243245</v>
      </c>
      <c r="G439">
        <v>11</v>
      </c>
      <c r="H439">
        <v>18</v>
      </c>
      <c r="K439">
        <v>11</v>
      </c>
      <c r="L439">
        <v>39</v>
      </c>
      <c r="M439">
        <v>13593693.693693692</v>
      </c>
      <c r="N439">
        <v>9839279.2792792805</v>
      </c>
      <c r="O439">
        <v>25298063.063063063</v>
      </c>
      <c r="P439">
        <v>22555360.360360362</v>
      </c>
      <c r="Q439">
        <v>10902162.162162161</v>
      </c>
      <c r="R439">
        <v>6721351.3513513505</v>
      </c>
      <c r="S439">
        <v>3689</v>
      </c>
      <c r="T439">
        <v>3582</v>
      </c>
    </row>
    <row r="440" spans="1:20" x14ac:dyDescent="0.35">
      <c r="A440" s="7" t="s">
        <v>9</v>
      </c>
      <c r="B440" s="12" t="s">
        <v>158</v>
      </c>
      <c r="C440">
        <v>286525294.99047959</v>
      </c>
      <c r="D440">
        <v>272957526.01196378</v>
      </c>
      <c r="E440">
        <v>1806395.4954955</v>
      </c>
      <c r="F440">
        <v>3513762.1621621661</v>
      </c>
      <c r="G440">
        <v>52</v>
      </c>
      <c r="H440">
        <v>39</v>
      </c>
      <c r="I440">
        <v>4</v>
      </c>
      <c r="K440">
        <v>60</v>
      </c>
      <c r="L440">
        <v>45</v>
      </c>
      <c r="M440">
        <v>469941563.06306303</v>
      </c>
      <c r="N440">
        <v>341791157.65765768</v>
      </c>
      <c r="O440">
        <v>101047153.15315315</v>
      </c>
      <c r="P440">
        <v>99422171.171171173</v>
      </c>
      <c r="Q440">
        <v>389103153.15315318</v>
      </c>
      <c r="R440">
        <v>299145765.76576579</v>
      </c>
      <c r="S440">
        <v>7722</v>
      </c>
      <c r="T440">
        <v>6889</v>
      </c>
    </row>
    <row r="441" spans="1:20" x14ac:dyDescent="0.35">
      <c r="A441" s="7" t="s">
        <v>533</v>
      </c>
      <c r="B441" s="12" t="s">
        <v>94</v>
      </c>
      <c r="C441">
        <v>276393262.20123148</v>
      </c>
      <c r="D441">
        <v>268010685.05039981</v>
      </c>
      <c r="E441">
        <v>267567.56756756798</v>
      </c>
      <c r="F441">
        <v>994594.59459459805</v>
      </c>
      <c r="G441">
        <v>47</v>
      </c>
      <c r="H441">
        <v>49</v>
      </c>
      <c r="I441">
        <v>1</v>
      </c>
      <c r="K441">
        <v>54</v>
      </c>
      <c r="L441">
        <v>55</v>
      </c>
      <c r="M441">
        <v>22830630.630630627</v>
      </c>
      <c r="N441">
        <v>24237837.837837841</v>
      </c>
      <c r="O441">
        <v>30766349.54954955</v>
      </c>
      <c r="P441">
        <v>36321207.20720721</v>
      </c>
      <c r="Q441">
        <v>16540270.270270271</v>
      </c>
      <c r="R441">
        <v>15988558.558558557</v>
      </c>
      <c r="S441">
        <v>6460</v>
      </c>
      <c r="T441">
        <v>6431</v>
      </c>
    </row>
    <row r="442" spans="1:20" x14ac:dyDescent="0.35">
      <c r="A442" s="7" t="s">
        <v>534</v>
      </c>
      <c r="B442" s="12" t="s">
        <v>304</v>
      </c>
      <c r="C442">
        <v>7356524.3345935214</v>
      </c>
      <c r="D442">
        <v>7446982.1400133939</v>
      </c>
      <c r="G442">
        <v>5</v>
      </c>
      <c r="H442">
        <v>1</v>
      </c>
      <c r="K442">
        <v>5</v>
      </c>
      <c r="L442">
        <v>1</v>
      </c>
      <c r="O442">
        <v>788873.87387387396</v>
      </c>
      <c r="P442">
        <v>1167747.7477477479</v>
      </c>
      <c r="S442">
        <v>234</v>
      </c>
      <c r="T442">
        <v>403</v>
      </c>
    </row>
    <row r="443" spans="1:20" x14ac:dyDescent="0.35">
      <c r="A443" s="7" t="s">
        <v>535</v>
      </c>
      <c r="B443" s="12" t="s">
        <v>304</v>
      </c>
      <c r="C443">
        <v>116748675.22381495</v>
      </c>
      <c r="D443">
        <v>109495579.76672897</v>
      </c>
      <c r="E443">
        <v>1038738.738738739</v>
      </c>
      <c r="F443">
        <v>486486.48648648697</v>
      </c>
      <c r="G443">
        <v>22</v>
      </c>
      <c r="H443">
        <v>10</v>
      </c>
      <c r="K443">
        <v>25</v>
      </c>
      <c r="L443">
        <v>15</v>
      </c>
      <c r="M443">
        <v>7390090.0900900904</v>
      </c>
      <c r="N443">
        <v>11495495.495495496</v>
      </c>
      <c r="O443">
        <v>10365810.810810812</v>
      </c>
      <c r="P443">
        <v>10035630.630630629</v>
      </c>
      <c r="Q443">
        <v>4217657.6576576568</v>
      </c>
      <c r="R443">
        <v>3369549.5495495489</v>
      </c>
      <c r="S443">
        <v>2859</v>
      </c>
      <c r="T443">
        <v>2689</v>
      </c>
    </row>
    <row r="444" spans="1:20" x14ac:dyDescent="0.35">
      <c r="A444" s="7" t="s">
        <v>536</v>
      </c>
      <c r="B444" s="12" t="s">
        <v>85</v>
      </c>
      <c r="C444">
        <v>95340507.28429614</v>
      </c>
      <c r="D444">
        <v>93209890.414248973</v>
      </c>
      <c r="E444">
        <v>291891.891891893</v>
      </c>
      <c r="F444">
        <v>601801.80180180306</v>
      </c>
      <c r="G444">
        <v>47</v>
      </c>
      <c r="H444">
        <v>41</v>
      </c>
      <c r="K444">
        <v>50</v>
      </c>
      <c r="L444">
        <v>48</v>
      </c>
      <c r="M444">
        <v>27850450.450450446</v>
      </c>
      <c r="N444">
        <v>35069729.729729734</v>
      </c>
      <c r="O444">
        <v>42891126.126126125</v>
      </c>
      <c r="P444">
        <v>44038963.963963971</v>
      </c>
      <c r="Q444">
        <v>28830450.450450446</v>
      </c>
      <c r="R444">
        <v>26703333.333333336</v>
      </c>
      <c r="S444">
        <v>3072</v>
      </c>
      <c r="T444">
        <v>2955</v>
      </c>
    </row>
    <row r="445" spans="1:20" x14ac:dyDescent="0.35">
      <c r="A445" s="7" t="s">
        <v>537</v>
      </c>
      <c r="B445" s="12" t="s">
        <v>448</v>
      </c>
      <c r="C445">
        <v>134845356.16756448</v>
      </c>
      <c r="D445">
        <v>131074474.06829767</v>
      </c>
      <c r="E445">
        <v>159459.45945946101</v>
      </c>
      <c r="F445">
        <v>1380180.1801801799</v>
      </c>
      <c r="G445">
        <v>122</v>
      </c>
      <c r="H445">
        <v>102</v>
      </c>
      <c r="K445">
        <v>126</v>
      </c>
      <c r="L445">
        <v>236</v>
      </c>
      <c r="M445">
        <v>6313513.513513512</v>
      </c>
      <c r="N445">
        <v>12561891.891891889</v>
      </c>
      <c r="O445">
        <v>38565513.513513513</v>
      </c>
      <c r="P445">
        <v>36155691.891891889</v>
      </c>
      <c r="Q445">
        <v>5994144.1441441439</v>
      </c>
      <c r="R445">
        <v>14199729.729729729</v>
      </c>
      <c r="S445">
        <v>5133</v>
      </c>
      <c r="T445">
        <v>5015</v>
      </c>
    </row>
    <row r="446" spans="1:20" x14ac:dyDescent="0.35">
      <c r="A446" s="7" t="s">
        <v>538</v>
      </c>
      <c r="B446" s="12" t="s">
        <v>117</v>
      </c>
      <c r="C446">
        <v>304676913.03616327</v>
      </c>
      <c r="D446">
        <v>301103305.0180611</v>
      </c>
      <c r="E446">
        <v>1546891.891891903</v>
      </c>
      <c r="F446">
        <v>4958558.5585585656</v>
      </c>
      <c r="G446">
        <v>132</v>
      </c>
      <c r="H446">
        <v>71</v>
      </c>
      <c r="K446">
        <v>199</v>
      </c>
      <c r="L446">
        <v>112</v>
      </c>
      <c r="M446">
        <v>61395045.045045041</v>
      </c>
      <c r="N446">
        <v>63983332.432432435</v>
      </c>
      <c r="O446">
        <v>160012162.16216218</v>
      </c>
      <c r="P446">
        <v>166505378.37837836</v>
      </c>
      <c r="Q446">
        <v>57093513.513513513</v>
      </c>
      <c r="R446">
        <v>54297207.20720721</v>
      </c>
      <c r="S446">
        <v>11235</v>
      </c>
      <c r="T446">
        <v>12105</v>
      </c>
    </row>
    <row r="447" spans="1:20" x14ac:dyDescent="0.35">
      <c r="A447" s="7" t="s">
        <v>539</v>
      </c>
      <c r="B447" s="12" t="s">
        <v>83</v>
      </c>
      <c r="C447">
        <v>955865710.20617664</v>
      </c>
      <c r="D447">
        <v>938747830.81255662</v>
      </c>
      <c r="E447">
        <v>1824099.099099101</v>
      </c>
      <c r="F447">
        <v>4610888.2882882878</v>
      </c>
      <c r="G447">
        <v>128</v>
      </c>
      <c r="H447">
        <v>206</v>
      </c>
      <c r="K447">
        <v>146</v>
      </c>
      <c r="L447">
        <v>240</v>
      </c>
      <c r="M447">
        <v>52534684.684684686</v>
      </c>
      <c r="N447">
        <v>59299630.630630635</v>
      </c>
      <c r="O447">
        <v>94621538.738738731</v>
      </c>
      <c r="P447">
        <v>101734732.88288288</v>
      </c>
      <c r="Q447">
        <v>49300854.054054059</v>
      </c>
      <c r="R447">
        <v>54578781.981981985</v>
      </c>
      <c r="S447">
        <v>21804</v>
      </c>
      <c r="T447">
        <v>22759</v>
      </c>
    </row>
    <row r="448" spans="1:20" x14ac:dyDescent="0.35">
      <c r="A448" s="7" t="s">
        <v>540</v>
      </c>
      <c r="B448" s="12" t="s">
        <v>315</v>
      </c>
      <c r="C448">
        <v>112188112.61074834</v>
      </c>
      <c r="D448">
        <v>115126079.59648585</v>
      </c>
      <c r="E448">
        <v>2360360.3603603598</v>
      </c>
      <c r="F448">
        <v>1403828.8288288291</v>
      </c>
      <c r="G448">
        <v>12</v>
      </c>
      <c r="H448">
        <v>17</v>
      </c>
      <c r="K448">
        <v>12</v>
      </c>
      <c r="L448">
        <v>30</v>
      </c>
      <c r="M448">
        <v>11216216.216216216</v>
      </c>
      <c r="N448">
        <v>7758108.108108107</v>
      </c>
      <c r="O448">
        <v>19874054.054054055</v>
      </c>
      <c r="P448">
        <v>23874018.018018015</v>
      </c>
      <c r="Q448">
        <v>7962792.7927927934</v>
      </c>
      <c r="R448">
        <v>6139639.6396396402</v>
      </c>
      <c r="S448">
        <v>2564</v>
      </c>
      <c r="T448">
        <v>2481</v>
      </c>
    </row>
    <row r="449" spans="1:20" x14ac:dyDescent="0.35">
      <c r="A449" s="7" t="s">
        <v>541</v>
      </c>
      <c r="B449" s="12" t="s">
        <v>169</v>
      </c>
      <c r="C449">
        <v>827394909.97976041</v>
      </c>
      <c r="D449">
        <v>783979078.56715119</v>
      </c>
      <c r="E449">
        <v>1729279.2792792779</v>
      </c>
      <c r="F449">
        <v>1780180.1801801829</v>
      </c>
      <c r="G449">
        <v>84</v>
      </c>
      <c r="H449">
        <v>100</v>
      </c>
      <c r="I449">
        <v>1</v>
      </c>
      <c r="K449">
        <v>128</v>
      </c>
      <c r="L449">
        <v>190</v>
      </c>
      <c r="M449">
        <v>36937387.387387387</v>
      </c>
      <c r="N449">
        <v>43223040.540540539</v>
      </c>
      <c r="O449">
        <v>290537747.74774778</v>
      </c>
      <c r="P449">
        <v>292606259.009009</v>
      </c>
      <c r="Q449">
        <v>33710360.360360362</v>
      </c>
      <c r="R449">
        <v>44946216.216216214</v>
      </c>
      <c r="S449">
        <v>21675</v>
      </c>
      <c r="T449">
        <v>22031</v>
      </c>
    </row>
    <row r="450" spans="1:20" x14ac:dyDescent="0.35">
      <c r="A450" s="7" t="s">
        <v>542</v>
      </c>
      <c r="B450" s="12" t="s">
        <v>479</v>
      </c>
      <c r="C450">
        <v>255971181.88388151</v>
      </c>
      <c r="D450">
        <v>248200846.45729539</v>
      </c>
      <c r="E450">
        <v>1036936.936936937</v>
      </c>
      <c r="F450">
        <v>81081.081081084005</v>
      </c>
      <c r="G450">
        <v>25</v>
      </c>
      <c r="H450">
        <v>21</v>
      </c>
      <c r="K450">
        <v>27</v>
      </c>
      <c r="L450">
        <v>27</v>
      </c>
      <c r="M450">
        <v>2000900.9009009011</v>
      </c>
      <c r="N450">
        <v>1000000.000000003</v>
      </c>
      <c r="O450">
        <v>32805351.351351351</v>
      </c>
      <c r="P450">
        <v>32316549.549549554</v>
      </c>
      <c r="Q450">
        <v>1665315.315315316</v>
      </c>
      <c r="R450">
        <v>133063.063063062</v>
      </c>
      <c r="S450">
        <v>5910</v>
      </c>
      <c r="T450">
        <v>5318</v>
      </c>
    </row>
    <row r="451" spans="1:20" x14ac:dyDescent="0.35">
      <c r="A451" s="7" t="s">
        <v>543</v>
      </c>
      <c r="B451" s="12" t="s">
        <v>80</v>
      </c>
      <c r="C451">
        <v>70270210.090283766</v>
      </c>
      <c r="D451">
        <v>56896341.465784289</v>
      </c>
      <c r="E451">
        <v>154054.054054054</v>
      </c>
      <c r="F451">
        <v>277027.02702702698</v>
      </c>
      <c r="G451">
        <v>18</v>
      </c>
      <c r="H451">
        <v>19</v>
      </c>
      <c r="K451">
        <v>19</v>
      </c>
      <c r="L451">
        <v>25</v>
      </c>
      <c r="M451">
        <v>8772972.9729729723</v>
      </c>
      <c r="N451">
        <v>5780180.1801801799</v>
      </c>
      <c r="O451">
        <v>24554684.684684683</v>
      </c>
      <c r="P451">
        <v>21891819.819819819</v>
      </c>
      <c r="Q451">
        <v>6510450.4504504502</v>
      </c>
      <c r="R451">
        <v>5786216.2162162159</v>
      </c>
      <c r="S451">
        <v>2323</v>
      </c>
      <c r="T451">
        <v>2305</v>
      </c>
    </row>
    <row r="452" spans="1:20" x14ac:dyDescent="0.35">
      <c r="A452" s="7" t="s">
        <v>544</v>
      </c>
      <c r="B452" s="12" t="s">
        <v>169</v>
      </c>
      <c r="C452">
        <v>70916731.348193541</v>
      </c>
      <c r="D452">
        <v>59567254.094717771</v>
      </c>
      <c r="F452">
        <v>271171.17117117101</v>
      </c>
      <c r="G452">
        <v>18</v>
      </c>
      <c r="H452">
        <v>11</v>
      </c>
      <c r="K452">
        <v>18</v>
      </c>
      <c r="L452">
        <v>11</v>
      </c>
      <c r="M452">
        <v>2702702.702702702</v>
      </c>
      <c r="N452">
        <v>1172072.072072071</v>
      </c>
      <c r="O452">
        <v>29573412.612612613</v>
      </c>
      <c r="P452">
        <v>26400576.576576576</v>
      </c>
      <c r="Q452">
        <v>1628648.6486486481</v>
      </c>
      <c r="R452">
        <v>382792.79279279202</v>
      </c>
      <c r="S452">
        <v>2515</v>
      </c>
      <c r="T452">
        <v>2452</v>
      </c>
    </row>
    <row r="453" spans="1:20" x14ac:dyDescent="0.35">
      <c r="A453" s="7" t="s">
        <v>545</v>
      </c>
      <c r="B453" s="12" t="s">
        <v>224</v>
      </c>
      <c r="C453">
        <v>17991.698024956</v>
      </c>
      <c r="D453">
        <v>4921.951882626</v>
      </c>
      <c r="O453">
        <v>10585.585585586001</v>
      </c>
    </row>
    <row r="454" spans="1:20" x14ac:dyDescent="0.35">
      <c r="A454" s="7" t="s">
        <v>546</v>
      </c>
      <c r="B454" s="12" t="s">
        <v>136</v>
      </c>
      <c r="C454">
        <v>163155367.26269552</v>
      </c>
      <c r="D454">
        <v>160911253.44359782</v>
      </c>
      <c r="E454">
        <v>331081.08108108101</v>
      </c>
      <c r="F454">
        <v>683783.78378378705</v>
      </c>
      <c r="G454">
        <v>59</v>
      </c>
      <c r="H454">
        <v>50</v>
      </c>
      <c r="K454">
        <v>67</v>
      </c>
      <c r="L454">
        <v>58</v>
      </c>
      <c r="M454">
        <v>32564684.684684686</v>
      </c>
      <c r="N454">
        <v>37785585.585585587</v>
      </c>
      <c r="O454">
        <v>52711432.432432435</v>
      </c>
      <c r="P454">
        <v>52487547.747747749</v>
      </c>
      <c r="Q454">
        <v>29392342.342342343</v>
      </c>
      <c r="R454">
        <v>29012972.972972974</v>
      </c>
      <c r="S454">
        <v>4412</v>
      </c>
      <c r="T454">
        <v>4235</v>
      </c>
    </row>
    <row r="455" spans="1:20" x14ac:dyDescent="0.35">
      <c r="A455" s="7" t="s">
        <v>547</v>
      </c>
      <c r="B455" s="12" t="s">
        <v>136</v>
      </c>
      <c r="C455">
        <v>301169395.80425799</v>
      </c>
      <c r="D455">
        <v>308170240.41154075</v>
      </c>
      <c r="E455">
        <v>154910811.7117117</v>
      </c>
      <c r="F455">
        <v>223434829.72972974</v>
      </c>
      <c r="G455">
        <v>159</v>
      </c>
      <c r="H455">
        <v>156</v>
      </c>
      <c r="K455">
        <v>178</v>
      </c>
      <c r="L455">
        <v>185</v>
      </c>
      <c r="M455">
        <v>72397747.747747749</v>
      </c>
      <c r="N455">
        <v>78046846.846846849</v>
      </c>
      <c r="O455">
        <v>92774097.297297299</v>
      </c>
      <c r="P455">
        <v>100784312.61261261</v>
      </c>
      <c r="Q455">
        <v>63202882.882882878</v>
      </c>
      <c r="R455">
        <v>66274497.297297306</v>
      </c>
      <c r="S455">
        <v>12736</v>
      </c>
      <c r="T455">
        <v>12608</v>
      </c>
    </row>
    <row r="456" spans="1:20" x14ac:dyDescent="0.35">
      <c r="A456" s="7" t="s">
        <v>548</v>
      </c>
      <c r="B456" s="12" t="s">
        <v>136</v>
      </c>
      <c r="C456">
        <v>338476627.16398728</v>
      </c>
      <c r="D456">
        <v>334307055.03682137</v>
      </c>
      <c r="E456">
        <v>36472972.972972974</v>
      </c>
      <c r="F456">
        <v>15126126.126126127</v>
      </c>
      <c r="G456">
        <v>103</v>
      </c>
      <c r="H456">
        <v>48</v>
      </c>
      <c r="K456">
        <v>112</v>
      </c>
      <c r="L456">
        <v>55</v>
      </c>
      <c r="M456">
        <v>12481081.081081081</v>
      </c>
      <c r="N456">
        <v>14382882.882882882</v>
      </c>
      <c r="O456">
        <v>53466297.297297299</v>
      </c>
      <c r="P456">
        <v>55625439.639639638</v>
      </c>
      <c r="Q456">
        <v>12584954.954954956</v>
      </c>
      <c r="R456">
        <v>12803783.783783784</v>
      </c>
      <c r="S456">
        <v>8347</v>
      </c>
      <c r="T456">
        <v>8336</v>
      </c>
    </row>
    <row r="457" spans="1:20" x14ac:dyDescent="0.35">
      <c r="A457" s="7" t="s">
        <v>549</v>
      </c>
      <c r="B457" s="12" t="s">
        <v>136</v>
      </c>
      <c r="C457">
        <v>160756766.39639512</v>
      </c>
      <c r="D457">
        <v>137311726.74771219</v>
      </c>
      <c r="E457">
        <v>345045.04504504602</v>
      </c>
      <c r="F457">
        <v>157657.65765765999</v>
      </c>
      <c r="G457">
        <v>43</v>
      </c>
      <c r="H457">
        <v>22</v>
      </c>
      <c r="K457">
        <v>47</v>
      </c>
      <c r="L457">
        <v>24</v>
      </c>
      <c r="M457">
        <v>9876576.5765765775</v>
      </c>
      <c r="N457">
        <v>11139639.639639638</v>
      </c>
      <c r="O457">
        <v>27414367.567567568</v>
      </c>
      <c r="P457">
        <v>23853396.396396395</v>
      </c>
      <c r="Q457">
        <v>10542385.585585587</v>
      </c>
      <c r="R457">
        <v>8826486.4864864852</v>
      </c>
      <c r="S457">
        <v>3797</v>
      </c>
      <c r="T457">
        <v>3686</v>
      </c>
    </row>
    <row r="458" spans="1:20" x14ac:dyDescent="0.35">
      <c r="A458" s="7" t="s">
        <v>550</v>
      </c>
      <c r="B458" s="12" t="s">
        <v>87</v>
      </c>
      <c r="C458">
        <v>66710938.308749408</v>
      </c>
      <c r="D458">
        <v>55579017.593007229</v>
      </c>
      <c r="E458">
        <v>906306.30630630697</v>
      </c>
      <c r="F458">
        <v>105405.40540540501</v>
      </c>
      <c r="G458">
        <v>33</v>
      </c>
      <c r="H458">
        <v>20</v>
      </c>
      <c r="K458">
        <v>36</v>
      </c>
      <c r="L458">
        <v>24</v>
      </c>
      <c r="M458">
        <v>3699099.0990990992</v>
      </c>
      <c r="N458">
        <v>4633333.333333334</v>
      </c>
      <c r="O458">
        <v>10995610.810810812</v>
      </c>
      <c r="P458">
        <v>8539630.630630631</v>
      </c>
      <c r="Q458">
        <v>3289099.0990990992</v>
      </c>
      <c r="R458">
        <v>3459999.9999999991</v>
      </c>
      <c r="S458">
        <v>1105</v>
      </c>
      <c r="T458">
        <v>1405</v>
      </c>
    </row>
    <row r="459" spans="1:20" x14ac:dyDescent="0.35">
      <c r="A459" s="7" t="s">
        <v>551</v>
      </c>
      <c r="B459" s="12" t="s">
        <v>87</v>
      </c>
      <c r="C459">
        <v>97316247.092144951</v>
      </c>
      <c r="D459">
        <v>86018634.399300307</v>
      </c>
      <c r="E459">
        <v>44144.144144143997</v>
      </c>
      <c r="F459">
        <v>247747.747747749</v>
      </c>
      <c r="G459">
        <v>80</v>
      </c>
      <c r="H459">
        <v>40</v>
      </c>
      <c r="I459">
        <v>1</v>
      </c>
      <c r="K459">
        <v>86</v>
      </c>
      <c r="L459">
        <v>49</v>
      </c>
      <c r="M459">
        <v>11890990.990990991</v>
      </c>
      <c r="N459">
        <v>5532432.4324324327</v>
      </c>
      <c r="O459">
        <v>13993243.243243244</v>
      </c>
      <c r="P459">
        <v>11822376.576576576</v>
      </c>
      <c r="Q459">
        <v>7623513.5135135129</v>
      </c>
      <c r="R459">
        <v>4756576.5765765756</v>
      </c>
      <c r="S459">
        <v>2999</v>
      </c>
      <c r="T459">
        <v>2452</v>
      </c>
    </row>
    <row r="460" spans="1:20" x14ac:dyDescent="0.35">
      <c r="A460" s="7" t="s">
        <v>552</v>
      </c>
      <c r="B460" s="12" t="s">
        <v>66</v>
      </c>
      <c r="C460">
        <v>173955762.08255246</v>
      </c>
      <c r="D460">
        <v>169081928.93972978</v>
      </c>
      <c r="E460">
        <v>1887117.1171171181</v>
      </c>
      <c r="F460">
        <v>4509909.9099099115</v>
      </c>
      <c r="G460">
        <v>152</v>
      </c>
      <c r="H460">
        <v>50</v>
      </c>
      <c r="K460">
        <v>162</v>
      </c>
      <c r="L460">
        <v>60</v>
      </c>
      <c r="M460">
        <v>36843333.333333336</v>
      </c>
      <c r="N460">
        <v>179601711.7117117</v>
      </c>
      <c r="O460">
        <v>74123018.018018022</v>
      </c>
      <c r="P460">
        <v>70320596.846846849</v>
      </c>
      <c r="Q460">
        <v>35828918.918918923</v>
      </c>
      <c r="R460">
        <v>101028288.2882883</v>
      </c>
      <c r="S460">
        <v>8957</v>
      </c>
      <c r="T460">
        <v>8895</v>
      </c>
    </row>
    <row r="461" spans="1:20" x14ac:dyDescent="0.35">
      <c r="A461" s="7" t="s">
        <v>553</v>
      </c>
      <c r="B461" s="12" t="s">
        <v>554</v>
      </c>
      <c r="C461">
        <v>368375552.46411204</v>
      </c>
      <c r="D461">
        <v>335484226.19406253</v>
      </c>
      <c r="E461">
        <v>390090.09009009198</v>
      </c>
      <c r="F461">
        <v>4797747.7477477472</v>
      </c>
      <c r="G461">
        <v>147</v>
      </c>
      <c r="H461">
        <v>51</v>
      </c>
      <c r="I461">
        <v>1</v>
      </c>
      <c r="K461">
        <v>276</v>
      </c>
      <c r="L461">
        <v>68</v>
      </c>
      <c r="M461">
        <v>32805945.945945945</v>
      </c>
      <c r="N461">
        <v>115253153.15315315</v>
      </c>
      <c r="O461">
        <v>98921153.153153151</v>
      </c>
      <c r="P461">
        <v>91822567.567567572</v>
      </c>
      <c r="Q461">
        <v>27730540.540540542</v>
      </c>
      <c r="R461">
        <v>110577567.56756757</v>
      </c>
      <c r="S461">
        <v>9323</v>
      </c>
      <c r="T461">
        <v>8911</v>
      </c>
    </row>
    <row r="462" spans="1:20" x14ac:dyDescent="0.35">
      <c r="A462" s="7" t="s">
        <v>555</v>
      </c>
      <c r="B462" s="12" t="s">
        <v>554</v>
      </c>
      <c r="C462">
        <v>57791276.510267414</v>
      </c>
      <c r="D462">
        <v>50756235.895464718</v>
      </c>
      <c r="E462">
        <v>23614255.855855856</v>
      </c>
      <c r="F462">
        <v>108853431.53153154</v>
      </c>
      <c r="G462">
        <v>31</v>
      </c>
      <c r="H462">
        <v>14</v>
      </c>
      <c r="K462">
        <v>34</v>
      </c>
      <c r="L462">
        <v>16</v>
      </c>
      <c r="M462">
        <v>10512252.252252253</v>
      </c>
      <c r="N462">
        <v>7319819.8198198201</v>
      </c>
      <c r="O462">
        <v>21012207.207207207</v>
      </c>
      <c r="P462">
        <v>18419045.045045044</v>
      </c>
      <c r="Q462">
        <v>5949099.0990990978</v>
      </c>
      <c r="R462">
        <v>5916396.3963963948</v>
      </c>
      <c r="S462">
        <v>1663</v>
      </c>
      <c r="T462">
        <v>1478</v>
      </c>
    </row>
    <row r="463" spans="1:20" x14ac:dyDescent="0.35">
      <c r="A463" s="7" t="s">
        <v>556</v>
      </c>
      <c r="B463" s="12" t="s">
        <v>121</v>
      </c>
      <c r="C463">
        <v>40761446.519522078</v>
      </c>
      <c r="D463">
        <v>40158964.100761846</v>
      </c>
      <c r="E463">
        <v>14414414.414414413</v>
      </c>
      <c r="F463">
        <v>5585585.5855855849</v>
      </c>
      <c r="G463">
        <v>25</v>
      </c>
      <c r="H463">
        <v>17</v>
      </c>
      <c r="K463">
        <v>28</v>
      </c>
      <c r="L463">
        <v>19</v>
      </c>
      <c r="M463">
        <v>90090.090090090001</v>
      </c>
      <c r="N463">
        <v>180180.18018018</v>
      </c>
      <c r="O463">
        <v>3364099.0990991001</v>
      </c>
      <c r="P463">
        <v>3634270.2702702712</v>
      </c>
      <c r="Q463">
        <v>241441.44144144101</v>
      </c>
      <c r="R463">
        <v>118918.91891891899</v>
      </c>
      <c r="S463">
        <v>1409</v>
      </c>
      <c r="T463">
        <v>1319</v>
      </c>
    </row>
    <row r="464" spans="1:20" x14ac:dyDescent="0.35">
      <c r="A464" s="7" t="s">
        <v>677</v>
      </c>
      <c r="B464" s="12" t="s">
        <v>236</v>
      </c>
      <c r="E464">
        <v>44653051.351351351</v>
      </c>
      <c r="F464">
        <v>26727863.963963963</v>
      </c>
      <c r="M464">
        <v>22342342.342342343</v>
      </c>
      <c r="N464">
        <v>22949549.549549554</v>
      </c>
    </row>
    <row r="465" spans="1:20" x14ac:dyDescent="0.35">
      <c r="A465" s="7" t="s">
        <v>557</v>
      </c>
      <c r="B465" s="12" t="s">
        <v>70</v>
      </c>
      <c r="C465">
        <v>318026727.04192233</v>
      </c>
      <c r="D465">
        <v>316345117.86218458</v>
      </c>
      <c r="E465">
        <v>2192297.2972972961</v>
      </c>
      <c r="F465">
        <v>3514414.4144144189</v>
      </c>
      <c r="G465">
        <v>80</v>
      </c>
      <c r="H465">
        <v>74</v>
      </c>
      <c r="K465">
        <v>87</v>
      </c>
      <c r="L465">
        <v>83</v>
      </c>
      <c r="M465">
        <v>21505585.585585587</v>
      </c>
      <c r="N465">
        <v>48323423.423423424</v>
      </c>
      <c r="O465">
        <v>128493810.81081082</v>
      </c>
      <c r="P465">
        <v>132402162.16216215</v>
      </c>
      <c r="Q465">
        <v>40209729.729729727</v>
      </c>
      <c r="R465">
        <v>39197927.927927926</v>
      </c>
      <c r="S465">
        <v>10249</v>
      </c>
      <c r="T465">
        <v>10171</v>
      </c>
    </row>
    <row r="466" spans="1:20" x14ac:dyDescent="0.35">
      <c r="A466" s="7" t="s">
        <v>558</v>
      </c>
      <c r="B466" s="12" t="s">
        <v>62</v>
      </c>
      <c r="C466">
        <v>573537839.03458405</v>
      </c>
      <c r="D466">
        <v>573831122.91018498</v>
      </c>
      <c r="E466">
        <v>4611711.711711715</v>
      </c>
      <c r="F466">
        <v>9617117.11711712</v>
      </c>
      <c r="G466">
        <v>124</v>
      </c>
      <c r="H466">
        <v>181</v>
      </c>
      <c r="I466">
        <v>1</v>
      </c>
      <c r="K466">
        <v>190</v>
      </c>
      <c r="L466">
        <v>294</v>
      </c>
      <c r="M466">
        <v>44844054.054054059</v>
      </c>
      <c r="N466">
        <v>86568828.828828827</v>
      </c>
      <c r="O466">
        <v>129658313.51351352</v>
      </c>
      <c r="P466">
        <v>130093500</v>
      </c>
      <c r="Q466">
        <v>40490540.540540539</v>
      </c>
      <c r="R466">
        <v>83363513.513513505</v>
      </c>
      <c r="S466">
        <v>18102</v>
      </c>
      <c r="T466">
        <v>17975</v>
      </c>
    </row>
    <row r="467" spans="1:20" x14ac:dyDescent="0.35">
      <c r="A467" s="7" t="s">
        <v>559</v>
      </c>
      <c r="B467" s="12" t="s">
        <v>479</v>
      </c>
      <c r="C467">
        <v>297524689.40720594</v>
      </c>
      <c r="D467">
        <v>265930435.49771893</v>
      </c>
      <c r="E467">
        <v>739639.63963964104</v>
      </c>
      <c r="F467">
        <v>2472972.972972977</v>
      </c>
      <c r="G467">
        <v>146</v>
      </c>
      <c r="H467">
        <v>90</v>
      </c>
      <c r="I467">
        <v>2</v>
      </c>
      <c r="K467">
        <v>157</v>
      </c>
      <c r="L467">
        <v>115</v>
      </c>
      <c r="M467">
        <v>29340720.720720723</v>
      </c>
      <c r="N467">
        <v>30470090.090090096</v>
      </c>
      <c r="O467">
        <v>85424655.855855852</v>
      </c>
      <c r="P467">
        <v>80275926.126126125</v>
      </c>
      <c r="Q467">
        <v>30066486.486486487</v>
      </c>
      <c r="R467">
        <v>34165135.135135129</v>
      </c>
      <c r="S467">
        <v>7999</v>
      </c>
      <c r="T467">
        <v>7760</v>
      </c>
    </row>
    <row r="468" spans="1:20" x14ac:dyDescent="0.35">
      <c r="A468" s="7" t="s">
        <v>560</v>
      </c>
      <c r="B468" s="12" t="s">
        <v>236</v>
      </c>
      <c r="C468">
        <v>44463207.135384604</v>
      </c>
      <c r="D468">
        <v>45878144.351346485</v>
      </c>
      <c r="E468">
        <v>36036.036036037003</v>
      </c>
      <c r="F468">
        <v>265765.76576576702</v>
      </c>
      <c r="G468">
        <v>13</v>
      </c>
      <c r="H468">
        <v>15</v>
      </c>
      <c r="K468">
        <v>17</v>
      </c>
      <c r="L468">
        <v>18</v>
      </c>
      <c r="M468">
        <v>5026126.1261261273</v>
      </c>
      <c r="N468">
        <v>2737567.5675675669</v>
      </c>
      <c r="O468">
        <v>16654279.27927928</v>
      </c>
      <c r="P468">
        <v>16640846.846846849</v>
      </c>
      <c r="Q468">
        <v>4745045.0450450452</v>
      </c>
      <c r="R468">
        <v>3354144.144144143</v>
      </c>
      <c r="S468">
        <v>2282</v>
      </c>
      <c r="T468">
        <v>2223</v>
      </c>
    </row>
    <row r="469" spans="1:20" x14ac:dyDescent="0.35">
      <c r="A469" s="7" t="s">
        <v>561</v>
      </c>
      <c r="B469" s="12" t="s">
        <v>60</v>
      </c>
      <c r="C469">
        <v>43566547.734242983</v>
      </c>
      <c r="D469">
        <v>44183265.231736064</v>
      </c>
      <c r="E469">
        <v>626576.57657657703</v>
      </c>
      <c r="F469">
        <v>1096396.3963963951</v>
      </c>
      <c r="G469">
        <v>10</v>
      </c>
      <c r="H469">
        <v>16</v>
      </c>
      <c r="K469">
        <v>10</v>
      </c>
      <c r="L469">
        <v>31</v>
      </c>
      <c r="M469">
        <v>8779729.7297297288</v>
      </c>
      <c r="N469">
        <v>12826126.126126127</v>
      </c>
      <c r="O469">
        <v>15217612.612612613</v>
      </c>
      <c r="P469">
        <v>16143396.396396397</v>
      </c>
      <c r="Q469">
        <v>8735855.8558558561</v>
      </c>
      <c r="R469">
        <v>11833243.243243244</v>
      </c>
      <c r="S469">
        <v>1265</v>
      </c>
      <c r="T469">
        <v>1251</v>
      </c>
    </row>
    <row r="470" spans="1:20" x14ac:dyDescent="0.35">
      <c r="A470" s="7" t="s">
        <v>562</v>
      </c>
      <c r="B470" s="12" t="s">
        <v>563</v>
      </c>
      <c r="C470">
        <v>236394188.36490411</v>
      </c>
      <c r="D470">
        <v>244354985.72258636</v>
      </c>
      <c r="E470">
        <v>31931153.153153159</v>
      </c>
      <c r="F470">
        <v>458557565.76576579</v>
      </c>
      <c r="G470">
        <v>171</v>
      </c>
      <c r="H470">
        <v>159</v>
      </c>
      <c r="K470">
        <v>469</v>
      </c>
      <c r="L470">
        <v>589</v>
      </c>
      <c r="M470">
        <v>105697702.7027027</v>
      </c>
      <c r="N470">
        <v>373054518.91891891</v>
      </c>
      <c r="O470">
        <v>98506936.936936945</v>
      </c>
      <c r="P470">
        <v>104570261.26126127</v>
      </c>
      <c r="Q470">
        <v>117520145.94594595</v>
      </c>
      <c r="R470">
        <v>187876104.5045045</v>
      </c>
      <c r="S470">
        <v>8350</v>
      </c>
      <c r="T470">
        <v>10391</v>
      </c>
    </row>
    <row r="471" spans="1:20" x14ac:dyDescent="0.35">
      <c r="A471" s="7" t="s">
        <v>564</v>
      </c>
      <c r="B471" s="12" t="s">
        <v>563</v>
      </c>
      <c r="C471">
        <v>339727151.94398302</v>
      </c>
      <c r="D471">
        <v>328531947.27198374</v>
      </c>
      <c r="E471">
        <v>37812072.072072081</v>
      </c>
      <c r="F471">
        <v>37019459.459459461</v>
      </c>
      <c r="G471">
        <v>90</v>
      </c>
      <c r="H471">
        <v>124</v>
      </c>
      <c r="K471">
        <v>113</v>
      </c>
      <c r="L471">
        <v>141</v>
      </c>
      <c r="M471">
        <v>39564864.864864863</v>
      </c>
      <c r="N471">
        <v>40822073.873873875</v>
      </c>
      <c r="O471">
        <v>134240765.76576576</v>
      </c>
      <c r="P471">
        <v>135986612.61261261</v>
      </c>
      <c r="Q471">
        <v>35548378.378378376</v>
      </c>
      <c r="R471">
        <v>30872477.477477476</v>
      </c>
      <c r="S471">
        <v>11735</v>
      </c>
      <c r="T471">
        <v>12289</v>
      </c>
    </row>
    <row r="472" spans="1:20" x14ac:dyDescent="0.35">
      <c r="A472" s="7" t="s">
        <v>565</v>
      </c>
      <c r="B472" s="12" t="s">
        <v>563</v>
      </c>
      <c r="C472">
        <v>240203822.14784825</v>
      </c>
      <c r="D472">
        <v>240959404.79877564</v>
      </c>
      <c r="E472">
        <v>858232.43243243895</v>
      </c>
      <c r="F472">
        <v>3544376.5765765798</v>
      </c>
      <c r="G472">
        <v>66</v>
      </c>
      <c r="H472">
        <v>229</v>
      </c>
      <c r="I472">
        <v>1</v>
      </c>
      <c r="K472">
        <v>90</v>
      </c>
      <c r="L472">
        <v>345</v>
      </c>
      <c r="M472">
        <v>22124324.324324328</v>
      </c>
      <c r="N472">
        <v>29233199.099099103</v>
      </c>
      <c r="O472">
        <v>100669810.81081082</v>
      </c>
      <c r="P472">
        <v>110211792.7927928</v>
      </c>
      <c r="Q472">
        <v>24517747.747747745</v>
      </c>
      <c r="R472">
        <v>26554144.144144144</v>
      </c>
      <c r="S472">
        <v>12161</v>
      </c>
      <c r="T472">
        <v>11336</v>
      </c>
    </row>
    <row r="473" spans="1:20" x14ac:dyDescent="0.35">
      <c r="A473" s="7" t="s">
        <v>566</v>
      </c>
      <c r="B473" s="12" t="s">
        <v>563</v>
      </c>
      <c r="C473">
        <v>157040067.11931613</v>
      </c>
      <c r="D473">
        <v>158029035.99717706</v>
      </c>
      <c r="E473">
        <v>279279.27927927999</v>
      </c>
      <c r="F473">
        <v>2197297.297297298</v>
      </c>
      <c r="G473">
        <v>26</v>
      </c>
      <c r="H473">
        <v>14</v>
      </c>
      <c r="K473">
        <v>32</v>
      </c>
      <c r="L473">
        <v>21</v>
      </c>
      <c r="M473">
        <v>27290855.855855856</v>
      </c>
      <c r="N473">
        <v>28010286.486486487</v>
      </c>
      <c r="O473">
        <v>89606972.972972974</v>
      </c>
      <c r="P473">
        <v>94270639.639639646</v>
      </c>
      <c r="Q473">
        <v>25249234.234234236</v>
      </c>
      <c r="R473">
        <v>25673378.378378376</v>
      </c>
      <c r="S473">
        <v>6549</v>
      </c>
      <c r="T473">
        <v>6293</v>
      </c>
    </row>
    <row r="474" spans="1:20" x14ac:dyDescent="0.35">
      <c r="A474" s="7" t="s">
        <v>567</v>
      </c>
      <c r="B474" s="12" t="s">
        <v>563</v>
      </c>
      <c r="C474">
        <v>93451954.710811287</v>
      </c>
      <c r="D474">
        <v>93632806.590932071</v>
      </c>
      <c r="E474">
        <v>407657.65765766002</v>
      </c>
      <c r="F474">
        <v>2416216.2162162159</v>
      </c>
      <c r="G474">
        <v>25</v>
      </c>
      <c r="H474">
        <v>25</v>
      </c>
      <c r="I474">
        <v>2</v>
      </c>
      <c r="K474">
        <v>28</v>
      </c>
      <c r="L474">
        <v>32</v>
      </c>
      <c r="M474">
        <v>17928063.063063063</v>
      </c>
      <c r="N474">
        <v>18974812.612612609</v>
      </c>
      <c r="O474">
        <v>37556081.081081077</v>
      </c>
      <c r="P474">
        <v>38446531.531531535</v>
      </c>
      <c r="Q474">
        <v>21367972.97297297</v>
      </c>
      <c r="R474">
        <v>19194414.414414413</v>
      </c>
      <c r="S474">
        <v>4637</v>
      </c>
      <c r="T474">
        <v>5288</v>
      </c>
    </row>
    <row r="475" spans="1:20" x14ac:dyDescent="0.35">
      <c r="A475" s="7" t="s">
        <v>568</v>
      </c>
      <c r="B475" s="12" t="s">
        <v>48</v>
      </c>
      <c r="C475">
        <v>224212403.52064663</v>
      </c>
      <c r="D475">
        <v>207649644.10541701</v>
      </c>
      <c r="E475">
        <v>190540.54054054001</v>
      </c>
      <c r="F475">
        <v>472972.97297297302</v>
      </c>
      <c r="G475">
        <v>5</v>
      </c>
      <c r="H475">
        <v>4</v>
      </c>
      <c r="K475">
        <v>5</v>
      </c>
      <c r="L475">
        <v>56</v>
      </c>
      <c r="M475">
        <v>13704054.054054054</v>
      </c>
      <c r="N475">
        <v>9481981.9819819815</v>
      </c>
      <c r="O475">
        <v>24890529.729729731</v>
      </c>
      <c r="P475">
        <v>25376473.873873875</v>
      </c>
      <c r="Q475">
        <v>8166666.666666666</v>
      </c>
      <c r="R475">
        <v>8252432.4324324317</v>
      </c>
      <c r="S475">
        <v>6128</v>
      </c>
      <c r="T475">
        <v>5873</v>
      </c>
    </row>
    <row r="476" spans="1:20" x14ac:dyDescent="0.35">
      <c r="A476" s="7" t="s">
        <v>569</v>
      </c>
      <c r="B476" s="12" t="s">
        <v>169</v>
      </c>
      <c r="C476">
        <v>3589470485.769814</v>
      </c>
      <c r="D476">
        <v>3634776221.3026948</v>
      </c>
      <c r="E476">
        <v>1237678250.4504504</v>
      </c>
      <c r="F476">
        <v>3001625941.4414411</v>
      </c>
      <c r="G476">
        <v>662</v>
      </c>
      <c r="H476">
        <v>1069</v>
      </c>
      <c r="I476">
        <v>5</v>
      </c>
      <c r="K476">
        <v>830</v>
      </c>
      <c r="L476">
        <v>1531</v>
      </c>
      <c r="M476">
        <v>356494829.72972971</v>
      </c>
      <c r="N476">
        <v>409358426.12612617</v>
      </c>
      <c r="O476">
        <v>2350274349.5495496</v>
      </c>
      <c r="P476">
        <v>2592682821.6216216</v>
      </c>
      <c r="Q476">
        <v>326866756.75675672</v>
      </c>
      <c r="R476">
        <v>383858601.8018018</v>
      </c>
      <c r="S476">
        <v>57400</v>
      </c>
      <c r="T476">
        <v>54099</v>
      </c>
    </row>
    <row r="477" spans="1:20" x14ac:dyDescent="0.35">
      <c r="A477" s="7" t="s">
        <v>570</v>
      </c>
      <c r="B477" s="12" t="s">
        <v>220</v>
      </c>
      <c r="C477">
        <v>205287088.33379251</v>
      </c>
      <c r="D477">
        <v>190924351.72079703</v>
      </c>
      <c r="E477">
        <v>684684.68468468694</v>
      </c>
      <c r="F477">
        <v>936936.93693693902</v>
      </c>
      <c r="G477">
        <v>26</v>
      </c>
      <c r="H477">
        <v>15</v>
      </c>
      <c r="K477">
        <v>27</v>
      </c>
      <c r="L477">
        <v>17</v>
      </c>
      <c r="M477">
        <v>5208108.1081081098</v>
      </c>
      <c r="N477">
        <v>8243873.8738738708</v>
      </c>
      <c r="O477">
        <v>32811243.243243244</v>
      </c>
      <c r="P477">
        <v>31700396.396396395</v>
      </c>
      <c r="Q477">
        <v>5778558.558558559</v>
      </c>
      <c r="R477">
        <v>7366666.6666666642</v>
      </c>
      <c r="S477">
        <v>5255</v>
      </c>
      <c r="T477">
        <v>4942</v>
      </c>
    </row>
    <row r="478" spans="1:20" x14ac:dyDescent="0.35">
      <c r="A478" s="7" t="s">
        <v>571</v>
      </c>
      <c r="B478" s="12" t="s">
        <v>85</v>
      </c>
      <c r="C478">
        <v>228856581.5455448</v>
      </c>
      <c r="D478">
        <v>226804632.22812659</v>
      </c>
      <c r="E478">
        <v>202897981.98198199</v>
      </c>
      <c r="F478">
        <v>144739464.86486486</v>
      </c>
      <c r="G478">
        <v>23</v>
      </c>
      <c r="H478">
        <v>20</v>
      </c>
      <c r="K478">
        <v>23</v>
      </c>
      <c r="L478">
        <v>22</v>
      </c>
      <c r="M478">
        <v>5705405.405405405</v>
      </c>
      <c r="N478">
        <v>52376576.576576583</v>
      </c>
      <c r="O478">
        <v>50606792.79279279</v>
      </c>
      <c r="P478">
        <v>52931601.801801801</v>
      </c>
      <c r="Q478">
        <v>7136576.5765765747</v>
      </c>
      <c r="R478">
        <v>16630270.270270273</v>
      </c>
      <c r="S478">
        <v>5025</v>
      </c>
      <c r="T478">
        <v>5149</v>
      </c>
    </row>
    <row r="479" spans="1:20" x14ac:dyDescent="0.35">
      <c r="A479" s="7" t="s">
        <v>572</v>
      </c>
      <c r="B479" s="12" t="s">
        <v>479</v>
      </c>
      <c r="C479">
        <v>112338332.30604182</v>
      </c>
      <c r="D479">
        <v>124691569.25520709</v>
      </c>
      <c r="E479">
        <v>1743243.2432432461</v>
      </c>
      <c r="F479">
        <v>2076576.5765765831</v>
      </c>
      <c r="G479">
        <v>50</v>
      </c>
      <c r="H479">
        <v>74</v>
      </c>
      <c r="K479">
        <v>71</v>
      </c>
      <c r="L479">
        <v>116</v>
      </c>
      <c r="M479">
        <v>19887207.207207207</v>
      </c>
      <c r="N479">
        <v>19867117.117117122</v>
      </c>
      <c r="O479">
        <v>39505045.045045048</v>
      </c>
      <c r="P479">
        <v>52414212.612612605</v>
      </c>
      <c r="Q479">
        <v>17420270.270270269</v>
      </c>
      <c r="R479">
        <v>18108018.018018022</v>
      </c>
      <c r="S479">
        <v>5230</v>
      </c>
      <c r="T479">
        <v>5339</v>
      </c>
    </row>
    <row r="480" spans="1:20" x14ac:dyDescent="0.35">
      <c r="A480" s="7" t="s">
        <v>573</v>
      </c>
      <c r="B480" s="12" t="s">
        <v>94</v>
      </c>
      <c r="C480">
        <v>332886352.7206893</v>
      </c>
      <c r="D480">
        <v>312554334.28753293</v>
      </c>
      <c r="E480">
        <v>1390990.9909909931</v>
      </c>
      <c r="F480">
        <v>1827027.0270270279</v>
      </c>
      <c r="G480">
        <v>92</v>
      </c>
      <c r="H480">
        <v>58</v>
      </c>
      <c r="K480">
        <v>113</v>
      </c>
      <c r="L480">
        <v>79</v>
      </c>
      <c r="M480">
        <v>475209909.9099099</v>
      </c>
      <c r="N480">
        <v>841106306.30630636</v>
      </c>
      <c r="O480">
        <v>74154139.639639646</v>
      </c>
      <c r="P480">
        <v>71270288.738738731</v>
      </c>
      <c r="Q480">
        <v>22797207.207207207</v>
      </c>
      <c r="R480">
        <v>27329369.369369369</v>
      </c>
      <c r="S480">
        <v>9832</v>
      </c>
      <c r="T480">
        <v>9365</v>
      </c>
    </row>
    <row r="481" spans="1:20" x14ac:dyDescent="0.35">
      <c r="A481" s="7" t="s">
        <v>574</v>
      </c>
      <c r="B481" s="12" t="s">
        <v>307</v>
      </c>
      <c r="C481">
        <v>715769385.8089391</v>
      </c>
      <c r="D481">
        <v>720697722.1734283</v>
      </c>
      <c r="E481">
        <v>7567117.1171171181</v>
      </c>
      <c r="F481">
        <v>10271171.171171177</v>
      </c>
      <c r="G481">
        <v>185</v>
      </c>
      <c r="H481">
        <v>207</v>
      </c>
      <c r="K481">
        <v>212</v>
      </c>
      <c r="L481">
        <v>288</v>
      </c>
      <c r="M481">
        <v>162905855.85585585</v>
      </c>
      <c r="N481">
        <v>740710900.90090084</v>
      </c>
      <c r="O481">
        <v>280134963.96396399</v>
      </c>
      <c r="P481">
        <v>288678615.76576579</v>
      </c>
      <c r="Q481">
        <v>66219234.234234244</v>
      </c>
      <c r="R481">
        <v>146827027.02702704</v>
      </c>
      <c r="S481">
        <v>31723</v>
      </c>
      <c r="T481">
        <v>32151</v>
      </c>
    </row>
    <row r="482" spans="1:20" x14ac:dyDescent="0.35">
      <c r="A482" s="7" t="s">
        <v>10</v>
      </c>
      <c r="B482" s="12" t="s">
        <v>193</v>
      </c>
      <c r="C482">
        <v>120011122.89527808</v>
      </c>
      <c r="D482">
        <v>113135700.99130283</v>
      </c>
      <c r="G482">
        <v>9</v>
      </c>
      <c r="H482">
        <v>14</v>
      </c>
      <c r="K482">
        <v>9</v>
      </c>
      <c r="L482">
        <v>17</v>
      </c>
      <c r="O482">
        <v>69137522.522522524</v>
      </c>
      <c r="P482">
        <v>67892043.243243247</v>
      </c>
      <c r="R482">
        <v>19639.639639640001</v>
      </c>
      <c r="S482">
        <v>3830</v>
      </c>
      <c r="T482">
        <v>3817</v>
      </c>
    </row>
    <row r="483" spans="1:20" x14ac:dyDescent="0.35">
      <c r="A483" s="7" t="s">
        <v>575</v>
      </c>
      <c r="B483" s="12" t="s">
        <v>87</v>
      </c>
      <c r="C483">
        <v>2808051.9765740712</v>
      </c>
      <c r="D483">
        <v>2639077.9766057292</v>
      </c>
      <c r="G483">
        <v>2</v>
      </c>
      <c r="H483">
        <v>12</v>
      </c>
      <c r="K483">
        <v>3</v>
      </c>
      <c r="L483">
        <v>12</v>
      </c>
      <c r="O483">
        <v>963513.51351351396</v>
      </c>
      <c r="P483">
        <v>864250.450450451</v>
      </c>
      <c r="S483">
        <v>268</v>
      </c>
      <c r="T483">
        <v>227</v>
      </c>
    </row>
    <row r="484" spans="1:20" x14ac:dyDescent="0.35">
      <c r="A484" s="7" t="s">
        <v>576</v>
      </c>
      <c r="B484" s="12" t="s">
        <v>283</v>
      </c>
      <c r="C484">
        <v>170413880.4661198</v>
      </c>
      <c r="D484">
        <v>164717099.47177356</v>
      </c>
      <c r="E484">
        <v>34234.234234233998</v>
      </c>
      <c r="F484">
        <v>296396.39639639598</v>
      </c>
      <c r="G484">
        <v>35</v>
      </c>
      <c r="H484">
        <v>16</v>
      </c>
      <c r="K484">
        <v>37</v>
      </c>
      <c r="L484">
        <v>17</v>
      </c>
      <c r="M484">
        <v>8322522.5225225221</v>
      </c>
      <c r="N484">
        <v>16116216.216216216</v>
      </c>
      <c r="O484">
        <v>24513468.468468469</v>
      </c>
      <c r="P484">
        <v>26028351.351351351</v>
      </c>
      <c r="Q484">
        <v>7022342.3423423423</v>
      </c>
      <c r="R484">
        <v>15443153.153153153</v>
      </c>
      <c r="S484">
        <v>3604</v>
      </c>
      <c r="T484">
        <v>4275</v>
      </c>
    </row>
    <row r="485" spans="1:20" x14ac:dyDescent="0.35">
      <c r="A485" s="7" t="s">
        <v>577</v>
      </c>
      <c r="B485" s="12" t="s">
        <v>307</v>
      </c>
      <c r="C485">
        <v>713160006.99713445</v>
      </c>
      <c r="D485">
        <v>681963633.10858977</v>
      </c>
      <c r="E485">
        <v>1086756.7567567581</v>
      </c>
      <c r="F485">
        <v>6141891.8918919004</v>
      </c>
      <c r="G485">
        <v>301</v>
      </c>
      <c r="H485">
        <v>264</v>
      </c>
      <c r="K485">
        <v>376</v>
      </c>
      <c r="L485">
        <v>364</v>
      </c>
      <c r="M485">
        <v>73625000</v>
      </c>
      <c r="N485">
        <v>111828558.55855855</v>
      </c>
      <c r="O485">
        <v>272624225.22522521</v>
      </c>
      <c r="P485">
        <v>288956162.16216218</v>
      </c>
      <c r="Q485">
        <v>69112702.702702701</v>
      </c>
      <c r="R485">
        <v>77603963.963963956</v>
      </c>
      <c r="S485">
        <v>39407</v>
      </c>
      <c r="T485">
        <v>36986</v>
      </c>
    </row>
    <row r="486" spans="1:20" x14ac:dyDescent="0.35">
      <c r="A486" s="7" t="s">
        <v>578</v>
      </c>
      <c r="B486" s="12" t="s">
        <v>330</v>
      </c>
      <c r="C486">
        <v>684792161.8735832</v>
      </c>
      <c r="D486">
        <v>644723198.74252868</v>
      </c>
      <c r="E486">
        <v>2236486.486486488</v>
      </c>
      <c r="F486">
        <v>6330180.1801801836</v>
      </c>
      <c r="G486">
        <v>226</v>
      </c>
      <c r="H486">
        <v>249</v>
      </c>
      <c r="K486">
        <v>298</v>
      </c>
      <c r="L486">
        <v>312</v>
      </c>
      <c r="M486">
        <v>136466666.66666666</v>
      </c>
      <c r="N486">
        <v>63888288.288288288</v>
      </c>
      <c r="O486">
        <v>135406720.72072071</v>
      </c>
      <c r="P486">
        <v>141200601.35135135</v>
      </c>
      <c r="Q486">
        <v>132166666.66666667</v>
      </c>
      <c r="R486">
        <v>61024594.59459459</v>
      </c>
      <c r="S486">
        <v>28270</v>
      </c>
      <c r="T486">
        <v>29154</v>
      </c>
    </row>
    <row r="487" spans="1:20" x14ac:dyDescent="0.35">
      <c r="A487" s="7" t="s">
        <v>579</v>
      </c>
      <c r="B487" s="12" t="s">
        <v>66</v>
      </c>
      <c r="C487">
        <v>103422458.04207328</v>
      </c>
      <c r="D487">
        <v>97913640.474264368</v>
      </c>
      <c r="E487">
        <v>8558.5585585589997</v>
      </c>
      <c r="F487">
        <v>36936.936936938</v>
      </c>
      <c r="G487">
        <v>20</v>
      </c>
      <c r="H487">
        <v>16</v>
      </c>
      <c r="K487">
        <v>26</v>
      </c>
      <c r="L487">
        <v>20</v>
      </c>
      <c r="M487">
        <v>1448648.6486486499</v>
      </c>
      <c r="N487">
        <v>2542792.7927927929</v>
      </c>
      <c r="O487">
        <v>25135810.810810812</v>
      </c>
      <c r="P487">
        <v>25339581.081081081</v>
      </c>
      <c r="Q487">
        <v>1680360.3603603609</v>
      </c>
      <c r="R487">
        <v>2405225.2252252251</v>
      </c>
      <c r="S487">
        <v>3353</v>
      </c>
      <c r="T487">
        <v>3344</v>
      </c>
    </row>
    <row r="488" spans="1:20" x14ac:dyDescent="0.35">
      <c r="A488" s="7" t="s">
        <v>580</v>
      </c>
      <c r="B488" s="12" t="s">
        <v>236</v>
      </c>
      <c r="C488">
        <v>3.9162587420000001</v>
      </c>
      <c r="D488">
        <v>12011.332970474001</v>
      </c>
      <c r="F488">
        <v>79752252.252252251</v>
      </c>
      <c r="M488">
        <v>756531.53153153195</v>
      </c>
      <c r="N488">
        <v>229729.72972973</v>
      </c>
    </row>
    <row r="489" spans="1:20" x14ac:dyDescent="0.35">
      <c r="A489" s="7" t="s">
        <v>581</v>
      </c>
      <c r="B489" s="12" t="s">
        <v>62</v>
      </c>
      <c r="C489">
        <v>258783646.36464012</v>
      </c>
      <c r="D489">
        <v>254031924.65037584</v>
      </c>
      <c r="E489">
        <v>1240990.9909909919</v>
      </c>
      <c r="F489">
        <v>2325225.2252252358</v>
      </c>
      <c r="G489">
        <v>68</v>
      </c>
      <c r="H489">
        <v>156</v>
      </c>
      <c r="K489">
        <v>75</v>
      </c>
      <c r="L489">
        <v>165</v>
      </c>
      <c r="M489">
        <v>21856306.306306314</v>
      </c>
      <c r="N489">
        <v>24244864.864864863</v>
      </c>
      <c r="O489">
        <v>55932513.513513513</v>
      </c>
      <c r="P489">
        <v>57013990.990990989</v>
      </c>
      <c r="Q489">
        <v>20860540.540540542</v>
      </c>
      <c r="R489">
        <v>22537027.027027026</v>
      </c>
      <c r="S489">
        <v>6777</v>
      </c>
      <c r="T489">
        <v>6709</v>
      </c>
    </row>
    <row r="490" spans="1:20" x14ac:dyDescent="0.35">
      <c r="A490" s="7" t="s">
        <v>582</v>
      </c>
      <c r="B490" s="12" t="s">
        <v>48</v>
      </c>
      <c r="C490">
        <v>253538705.99399206</v>
      </c>
      <c r="D490">
        <v>235482804.4047063</v>
      </c>
      <c r="E490">
        <v>2366306.3063063058</v>
      </c>
      <c r="F490">
        <v>860855.85585585702</v>
      </c>
      <c r="G490">
        <v>39</v>
      </c>
      <c r="H490">
        <v>32</v>
      </c>
      <c r="K490">
        <v>42</v>
      </c>
      <c r="L490">
        <v>44</v>
      </c>
      <c r="M490">
        <v>25591351.351351351</v>
      </c>
      <c r="N490">
        <v>75165135.135135129</v>
      </c>
      <c r="O490">
        <v>35732252.252252251</v>
      </c>
      <c r="P490">
        <v>34548450.45045045</v>
      </c>
      <c r="Q490">
        <v>21467117.117117122</v>
      </c>
      <c r="R490">
        <v>66030990.990990989</v>
      </c>
      <c r="S490">
        <v>5609</v>
      </c>
      <c r="T490">
        <v>5393</v>
      </c>
    </row>
    <row r="491" spans="1:20" x14ac:dyDescent="0.35">
      <c r="A491" s="7" t="s">
        <v>583</v>
      </c>
      <c r="B491" s="12" t="s">
        <v>54</v>
      </c>
      <c r="C491">
        <v>45948686.492271878</v>
      </c>
      <c r="D491">
        <v>46050794.05418016</v>
      </c>
      <c r="E491">
        <v>756081.081081082</v>
      </c>
      <c r="F491">
        <v>417117.11711711698</v>
      </c>
      <c r="G491">
        <v>10</v>
      </c>
      <c r="H491">
        <v>16</v>
      </c>
      <c r="K491">
        <v>13</v>
      </c>
      <c r="L491">
        <v>37</v>
      </c>
      <c r="M491">
        <v>7801801.8018017979</v>
      </c>
      <c r="N491">
        <v>8275765.7657657638</v>
      </c>
      <c r="O491">
        <v>11722117.117117118</v>
      </c>
      <c r="P491">
        <v>11930777.027027028</v>
      </c>
      <c r="Q491">
        <v>7671081.0810810793</v>
      </c>
      <c r="R491">
        <v>6769549.5495495489</v>
      </c>
      <c r="S491">
        <v>2085</v>
      </c>
      <c r="T491">
        <v>2061</v>
      </c>
    </row>
    <row r="492" spans="1:20" x14ac:dyDescent="0.35">
      <c r="A492" s="7" t="s">
        <v>584</v>
      </c>
      <c r="B492" s="12" t="s">
        <v>70</v>
      </c>
      <c r="C492">
        <v>119964731.702848</v>
      </c>
      <c r="D492">
        <v>118138824.4462052</v>
      </c>
      <c r="E492">
        <v>864864.86486486497</v>
      </c>
      <c r="F492">
        <v>85585.585585584995</v>
      </c>
      <c r="G492">
        <v>17</v>
      </c>
      <c r="H492">
        <v>30</v>
      </c>
      <c r="K492">
        <v>23</v>
      </c>
      <c r="L492">
        <v>33</v>
      </c>
      <c r="M492">
        <v>1757657.657657658</v>
      </c>
      <c r="N492">
        <v>1044144.144144145</v>
      </c>
      <c r="O492">
        <v>51420495.495495498</v>
      </c>
      <c r="P492">
        <v>53657945.945945941</v>
      </c>
      <c r="Q492">
        <v>1804054.0540540549</v>
      </c>
      <c r="R492">
        <v>1140090.0900900911</v>
      </c>
      <c r="S492">
        <v>3708</v>
      </c>
      <c r="T492">
        <v>3643</v>
      </c>
    </row>
    <row r="493" spans="1:20" x14ac:dyDescent="0.35">
      <c r="A493" s="7" t="s">
        <v>585</v>
      </c>
      <c r="B493" s="12" t="s">
        <v>330</v>
      </c>
      <c r="C493">
        <v>466736430.37397271</v>
      </c>
      <c r="D493">
        <v>436728157.51461118</v>
      </c>
      <c r="E493">
        <v>2230855.8558558552</v>
      </c>
      <c r="F493">
        <v>4314414.4144144142</v>
      </c>
      <c r="G493">
        <v>170</v>
      </c>
      <c r="H493">
        <v>176</v>
      </c>
      <c r="K493">
        <v>208</v>
      </c>
      <c r="L493">
        <v>223</v>
      </c>
      <c r="M493">
        <v>24913513.513513509</v>
      </c>
      <c r="N493">
        <v>46707207.20720721</v>
      </c>
      <c r="O493">
        <v>112568900.9009009</v>
      </c>
      <c r="P493">
        <v>111445670.27027027</v>
      </c>
      <c r="Q493">
        <v>22500000</v>
      </c>
      <c r="R493">
        <v>42316396.396396391</v>
      </c>
      <c r="S493">
        <v>20549</v>
      </c>
      <c r="T493">
        <v>20166</v>
      </c>
    </row>
    <row r="494" spans="1:20" x14ac:dyDescent="0.35">
      <c r="A494" s="7" t="s">
        <v>586</v>
      </c>
      <c r="B494" s="12" t="s">
        <v>66</v>
      </c>
      <c r="C494">
        <v>204726657.6274426</v>
      </c>
      <c r="D494">
        <v>208417661.4804633</v>
      </c>
      <c r="E494">
        <v>123973070.27027027</v>
      </c>
      <c r="F494">
        <v>710593404.50450444</v>
      </c>
      <c r="G494">
        <v>78</v>
      </c>
      <c r="H494">
        <v>83</v>
      </c>
      <c r="K494">
        <v>93</v>
      </c>
      <c r="L494">
        <v>123</v>
      </c>
      <c r="M494">
        <v>25270270.270270269</v>
      </c>
      <c r="N494">
        <v>71425000</v>
      </c>
      <c r="O494">
        <v>102797675.67567568</v>
      </c>
      <c r="P494">
        <v>102799774.77477477</v>
      </c>
      <c r="Q494">
        <v>24103873.873873871</v>
      </c>
      <c r="R494">
        <v>43942117.117117114</v>
      </c>
      <c r="S494">
        <v>10371</v>
      </c>
      <c r="T494">
        <v>10959</v>
      </c>
    </row>
    <row r="495" spans="1:20" x14ac:dyDescent="0.35">
      <c r="A495" s="7" t="s">
        <v>11</v>
      </c>
      <c r="B495" s="12" t="s">
        <v>193</v>
      </c>
      <c r="C495">
        <v>95098356.967963189</v>
      </c>
      <c r="D495">
        <v>97756536.822858438</v>
      </c>
      <c r="E495">
        <v>125733222.52252252</v>
      </c>
      <c r="F495">
        <v>281177296.3963964</v>
      </c>
      <c r="G495">
        <v>31</v>
      </c>
      <c r="H495">
        <v>21</v>
      </c>
      <c r="K495">
        <v>34</v>
      </c>
      <c r="L495">
        <v>25</v>
      </c>
      <c r="M495">
        <v>2567567.5675675678</v>
      </c>
      <c r="N495">
        <v>1914414.4144144161</v>
      </c>
      <c r="O495">
        <v>31629189.189189188</v>
      </c>
      <c r="P495">
        <v>33093684.684684683</v>
      </c>
      <c r="Q495">
        <v>3291441.44144144</v>
      </c>
      <c r="R495">
        <v>2299639.6396396402</v>
      </c>
      <c r="S495">
        <v>3930</v>
      </c>
      <c r="T495">
        <v>4257</v>
      </c>
    </row>
    <row r="496" spans="1:20" x14ac:dyDescent="0.35">
      <c r="A496" s="7" t="s">
        <v>12</v>
      </c>
      <c r="B496" s="12" t="s">
        <v>193</v>
      </c>
      <c r="C496">
        <v>66859756.090939321</v>
      </c>
      <c r="D496">
        <v>62978882.906767853</v>
      </c>
      <c r="E496">
        <v>62162.162162162997</v>
      </c>
      <c r="F496">
        <v>2347747.747747751</v>
      </c>
      <c r="G496">
        <v>15</v>
      </c>
      <c r="H496">
        <v>8</v>
      </c>
      <c r="K496">
        <v>21</v>
      </c>
      <c r="L496">
        <v>8</v>
      </c>
      <c r="M496">
        <v>4595045.0450450452</v>
      </c>
      <c r="N496">
        <v>5500900.9009009032</v>
      </c>
      <c r="O496">
        <v>25506756.75675676</v>
      </c>
      <c r="P496">
        <v>25524711.711711712</v>
      </c>
      <c r="Q496">
        <v>2681531.5315315309</v>
      </c>
      <c r="R496">
        <v>7975405.405405405</v>
      </c>
      <c r="S496">
        <v>2750</v>
      </c>
      <c r="T496">
        <v>3057</v>
      </c>
    </row>
    <row r="497" spans="1:20" x14ac:dyDescent="0.35">
      <c r="A497" s="7" t="s">
        <v>587</v>
      </c>
      <c r="B497" s="12" t="s">
        <v>60</v>
      </c>
      <c r="C497">
        <v>51476939.840280153</v>
      </c>
      <c r="D497">
        <v>54648946.815720387</v>
      </c>
      <c r="E497">
        <v>202702.70270270499</v>
      </c>
      <c r="F497">
        <v>424324.32432432403</v>
      </c>
      <c r="G497">
        <v>17</v>
      </c>
      <c r="H497">
        <v>15</v>
      </c>
      <c r="K497">
        <v>21</v>
      </c>
      <c r="L497">
        <v>26</v>
      </c>
      <c r="M497">
        <v>7103603.6036036033</v>
      </c>
      <c r="N497">
        <v>9613513.5135135148</v>
      </c>
      <c r="O497">
        <v>19053288.288288288</v>
      </c>
      <c r="P497">
        <v>20777605.855855856</v>
      </c>
      <c r="Q497">
        <v>5734324.3243243238</v>
      </c>
      <c r="R497">
        <v>8928738.7387387399</v>
      </c>
      <c r="S497">
        <v>1780</v>
      </c>
      <c r="T497">
        <v>2613</v>
      </c>
    </row>
    <row r="498" spans="1:20" x14ac:dyDescent="0.35">
      <c r="A498" s="7" t="s">
        <v>588</v>
      </c>
      <c r="B498" s="12" t="s">
        <v>307</v>
      </c>
      <c r="C498">
        <v>1541114143.9549162</v>
      </c>
      <c r="D498">
        <v>1494332195.1710575</v>
      </c>
      <c r="E498">
        <v>674995317.11711717</v>
      </c>
      <c r="F498">
        <v>884926514.41441441</v>
      </c>
      <c r="G498">
        <v>572</v>
      </c>
      <c r="H498">
        <v>579</v>
      </c>
      <c r="I498">
        <v>1</v>
      </c>
      <c r="K498">
        <v>687</v>
      </c>
      <c r="L498">
        <v>793</v>
      </c>
      <c r="M498">
        <v>164956981.98198199</v>
      </c>
      <c r="N498">
        <v>463203603.6036036</v>
      </c>
      <c r="O498">
        <v>471690477.47747749</v>
      </c>
      <c r="P498">
        <v>479088842.34234232</v>
      </c>
      <c r="Q498">
        <v>157039009.009009</v>
      </c>
      <c r="R498">
        <v>297446126.12612617</v>
      </c>
      <c r="S498">
        <v>65170</v>
      </c>
      <c r="T498">
        <v>63020</v>
      </c>
    </row>
    <row r="499" spans="1:20" x14ac:dyDescent="0.35">
      <c r="A499" s="7" t="s">
        <v>589</v>
      </c>
      <c r="B499" s="12" t="s">
        <v>52</v>
      </c>
      <c r="C499">
        <v>371772293.58350861</v>
      </c>
      <c r="D499">
        <v>353871506.60511762</v>
      </c>
      <c r="E499">
        <v>10699099.0990991</v>
      </c>
      <c r="F499">
        <v>5988288.2882882943</v>
      </c>
      <c r="G499">
        <v>57</v>
      </c>
      <c r="H499">
        <v>94</v>
      </c>
      <c r="K499">
        <v>88</v>
      </c>
      <c r="L499">
        <v>205</v>
      </c>
      <c r="M499">
        <v>35614774.774774775</v>
      </c>
      <c r="N499">
        <v>108208063.06306306</v>
      </c>
      <c r="O499">
        <v>145233698.1981982</v>
      </c>
      <c r="P499">
        <v>144964189.1891892</v>
      </c>
      <c r="Q499">
        <v>27828828.828828823</v>
      </c>
      <c r="R499">
        <v>120223828.82882883</v>
      </c>
      <c r="S499">
        <v>14068</v>
      </c>
      <c r="T499">
        <v>13823</v>
      </c>
    </row>
    <row r="500" spans="1:20" x14ac:dyDescent="0.35">
      <c r="A500" s="7" t="s">
        <v>590</v>
      </c>
      <c r="B500" s="12" t="s">
        <v>54</v>
      </c>
      <c r="C500">
        <v>30040308.91889628</v>
      </c>
      <c r="D500">
        <v>30904818.095730081</v>
      </c>
      <c r="E500">
        <v>370045.04504504497</v>
      </c>
      <c r="F500">
        <v>383783.78378378297</v>
      </c>
      <c r="G500">
        <v>5</v>
      </c>
      <c r="H500">
        <v>13</v>
      </c>
      <c r="K500">
        <v>7</v>
      </c>
      <c r="L500">
        <v>16</v>
      </c>
      <c r="M500">
        <v>6884684.6846846854</v>
      </c>
      <c r="N500">
        <v>5780180.180180179</v>
      </c>
      <c r="O500">
        <v>10102153.153153151</v>
      </c>
      <c r="P500">
        <v>9798063.0630630646</v>
      </c>
      <c r="Q500">
        <v>5772972.9729729723</v>
      </c>
      <c r="R500">
        <v>5738558.55855856</v>
      </c>
      <c r="S500">
        <v>1582</v>
      </c>
      <c r="T500">
        <v>1606</v>
      </c>
    </row>
    <row r="501" spans="1:20" x14ac:dyDescent="0.35">
      <c r="A501" s="7" t="s">
        <v>591</v>
      </c>
      <c r="B501" s="12" t="s">
        <v>169</v>
      </c>
      <c r="C501">
        <v>900113086.2700814</v>
      </c>
      <c r="D501">
        <v>852863981.09013772</v>
      </c>
      <c r="E501">
        <v>3199279.2792792809</v>
      </c>
      <c r="F501">
        <v>4465540.5405405434</v>
      </c>
      <c r="G501">
        <v>105</v>
      </c>
      <c r="H501">
        <v>65</v>
      </c>
      <c r="I501">
        <v>1</v>
      </c>
      <c r="K501">
        <v>131</v>
      </c>
      <c r="L501">
        <v>111</v>
      </c>
      <c r="M501">
        <v>126197207.20720722</v>
      </c>
      <c r="N501">
        <v>193240088.2882883</v>
      </c>
      <c r="O501">
        <v>298595142.34234232</v>
      </c>
      <c r="P501">
        <v>291619308.55855852</v>
      </c>
      <c r="Q501">
        <v>110083063.06306307</v>
      </c>
      <c r="R501">
        <v>160367927.92792794</v>
      </c>
      <c r="S501">
        <v>23311</v>
      </c>
      <c r="T501">
        <v>24258</v>
      </c>
    </row>
    <row r="502" spans="1:20" x14ac:dyDescent="0.35">
      <c r="A502" s="7" t="s">
        <v>592</v>
      </c>
      <c r="B502" s="12" t="s">
        <v>87</v>
      </c>
      <c r="C502">
        <v>5145338.2027309975</v>
      </c>
      <c r="D502">
        <v>4389436.6659689331</v>
      </c>
      <c r="H502">
        <v>2</v>
      </c>
      <c r="L502">
        <v>2</v>
      </c>
      <c r="O502">
        <v>771972.97297297395</v>
      </c>
      <c r="P502">
        <v>1228693.693693694</v>
      </c>
      <c r="S502">
        <v>338</v>
      </c>
      <c r="T502">
        <v>301</v>
      </c>
    </row>
    <row r="503" spans="1:20" x14ac:dyDescent="0.35">
      <c r="A503" s="7" t="s">
        <v>593</v>
      </c>
      <c r="B503" s="12" t="s">
        <v>143</v>
      </c>
      <c r="C503">
        <v>64439419.075538635</v>
      </c>
      <c r="D503">
        <v>63535595.552415758</v>
      </c>
      <c r="E503">
        <v>25225.225225226</v>
      </c>
      <c r="F503">
        <v>161261.26126126299</v>
      </c>
      <c r="G503">
        <v>6</v>
      </c>
      <c r="H503">
        <v>22</v>
      </c>
      <c r="K503">
        <v>8</v>
      </c>
      <c r="L503">
        <v>24</v>
      </c>
      <c r="M503">
        <v>3475675.6756756748</v>
      </c>
      <c r="N503">
        <v>8539639.6396396402</v>
      </c>
      <c r="O503">
        <v>5831846.8468468469</v>
      </c>
      <c r="P503">
        <v>6690360.3603603598</v>
      </c>
      <c r="Q503">
        <v>3176576.576576577</v>
      </c>
      <c r="R503">
        <v>3237567.5675675659</v>
      </c>
      <c r="S503">
        <v>1607</v>
      </c>
      <c r="T503">
        <v>1660</v>
      </c>
    </row>
    <row r="504" spans="1:20" x14ac:dyDescent="0.35">
      <c r="A504" s="7" t="s">
        <v>594</v>
      </c>
      <c r="B504" s="12" t="s">
        <v>290</v>
      </c>
      <c r="C504">
        <v>18360247.288016863</v>
      </c>
      <c r="D504">
        <v>15630271.891733579</v>
      </c>
      <c r="G504">
        <v>2</v>
      </c>
      <c r="H504">
        <v>1</v>
      </c>
      <c r="K504">
        <v>2</v>
      </c>
      <c r="L504">
        <v>1</v>
      </c>
      <c r="O504">
        <v>828243.24324324296</v>
      </c>
      <c r="P504">
        <v>934774.77477477503</v>
      </c>
      <c r="S504">
        <v>590</v>
      </c>
      <c r="T504">
        <v>669</v>
      </c>
    </row>
    <row r="505" spans="1:20" x14ac:dyDescent="0.35">
      <c r="A505" s="7" t="s">
        <v>595</v>
      </c>
      <c r="B505" s="12" t="s">
        <v>92</v>
      </c>
      <c r="C505">
        <v>22524065.58534091</v>
      </c>
      <c r="D505">
        <v>20933932.231391955</v>
      </c>
      <c r="E505">
        <v>371171.171171172</v>
      </c>
      <c r="F505">
        <v>1188288.288288289</v>
      </c>
      <c r="G505">
        <v>8</v>
      </c>
      <c r="H505">
        <v>9</v>
      </c>
      <c r="K505">
        <v>9</v>
      </c>
      <c r="L505">
        <v>16</v>
      </c>
      <c r="M505">
        <v>599999.99999999895</v>
      </c>
      <c r="N505">
        <v>2179279.27927928</v>
      </c>
      <c r="O505">
        <v>3348288.2882882878</v>
      </c>
      <c r="P505">
        <v>3894360.3603603612</v>
      </c>
      <c r="Q505">
        <v>533693.69369369303</v>
      </c>
      <c r="R505">
        <v>2378108.1081081079</v>
      </c>
      <c r="S505">
        <v>576</v>
      </c>
      <c r="T505">
        <v>813</v>
      </c>
    </row>
    <row r="506" spans="1:20" x14ac:dyDescent="0.35">
      <c r="A506" s="7" t="s">
        <v>596</v>
      </c>
      <c r="B506" s="12" t="s">
        <v>50</v>
      </c>
      <c r="C506">
        <v>81561669.489603862</v>
      </c>
      <c r="D506">
        <v>72953671.293014273</v>
      </c>
      <c r="E506">
        <v>657657.65765765903</v>
      </c>
      <c r="F506">
        <v>1347522.522522524</v>
      </c>
      <c r="G506">
        <v>8</v>
      </c>
      <c r="H506">
        <v>6</v>
      </c>
      <c r="K506">
        <v>8</v>
      </c>
      <c r="L506">
        <v>7</v>
      </c>
      <c r="M506">
        <v>9580000</v>
      </c>
      <c r="N506">
        <v>3213963.963963964</v>
      </c>
      <c r="O506">
        <v>16674410.81081081</v>
      </c>
      <c r="P506">
        <v>15910960.36036036</v>
      </c>
      <c r="Q506">
        <v>10029009.009009007</v>
      </c>
      <c r="R506">
        <v>3230000</v>
      </c>
      <c r="S506">
        <v>1600</v>
      </c>
      <c r="T506">
        <v>1692</v>
      </c>
    </row>
    <row r="507" spans="1:20" x14ac:dyDescent="0.35">
      <c r="A507" s="7" t="s">
        <v>597</v>
      </c>
      <c r="B507" s="12" t="s">
        <v>89</v>
      </c>
      <c r="C507">
        <v>113420383.12363617</v>
      </c>
      <c r="D507">
        <v>115200820.19184957</v>
      </c>
      <c r="E507">
        <v>797747.74774774699</v>
      </c>
      <c r="F507">
        <v>1681981.981981986</v>
      </c>
      <c r="G507">
        <v>16</v>
      </c>
      <c r="H507">
        <v>24</v>
      </c>
      <c r="K507">
        <v>20</v>
      </c>
      <c r="L507">
        <v>106</v>
      </c>
      <c r="M507">
        <v>7621621.6216216162</v>
      </c>
      <c r="N507">
        <v>10094954.954954952</v>
      </c>
      <c r="O507">
        <v>25796394.59459459</v>
      </c>
      <c r="P507">
        <v>27899513.513513517</v>
      </c>
      <c r="Q507">
        <v>7380360.360360357</v>
      </c>
      <c r="R507">
        <v>9142252.2522522472</v>
      </c>
      <c r="S507">
        <v>3344</v>
      </c>
      <c r="T507">
        <v>3658</v>
      </c>
    </row>
    <row r="508" spans="1:20" x14ac:dyDescent="0.35">
      <c r="A508" s="7" t="s">
        <v>598</v>
      </c>
      <c r="B508" s="12" t="s">
        <v>143</v>
      </c>
      <c r="C508">
        <v>44486605.610176839</v>
      </c>
      <c r="D508">
        <v>45198550.10585656</v>
      </c>
      <c r="E508">
        <v>1254054.054054053</v>
      </c>
      <c r="F508">
        <v>729729.72972973099</v>
      </c>
      <c r="G508">
        <v>12</v>
      </c>
      <c r="H508">
        <v>1</v>
      </c>
      <c r="K508">
        <v>12</v>
      </c>
      <c r="L508">
        <v>3</v>
      </c>
      <c r="M508">
        <v>4586486.4864864852</v>
      </c>
      <c r="N508">
        <v>4333333.333333334</v>
      </c>
      <c r="O508">
        <v>2956441.4414414419</v>
      </c>
      <c r="P508">
        <v>4137126.1261261259</v>
      </c>
      <c r="Q508">
        <v>3000180.1801801799</v>
      </c>
      <c r="R508">
        <v>2685405.405405405</v>
      </c>
      <c r="S508">
        <v>1192</v>
      </c>
      <c r="T508">
        <v>1195</v>
      </c>
    </row>
    <row r="509" spans="1:20" x14ac:dyDescent="0.35">
      <c r="A509" s="7" t="s">
        <v>599</v>
      </c>
      <c r="B509" s="12" t="s">
        <v>125</v>
      </c>
      <c r="C509">
        <v>117128261.95505928</v>
      </c>
      <c r="D509">
        <v>111981702.97588824</v>
      </c>
      <c r="E509">
        <v>173423.423423423</v>
      </c>
      <c r="F509">
        <v>92792.792792794004</v>
      </c>
      <c r="G509">
        <v>7</v>
      </c>
      <c r="H509">
        <v>10</v>
      </c>
      <c r="K509">
        <v>10</v>
      </c>
      <c r="L509">
        <v>12</v>
      </c>
      <c r="M509">
        <v>17355945.945945945</v>
      </c>
      <c r="N509">
        <v>6079639.6396396412</v>
      </c>
      <c r="O509">
        <v>42909909.909909911</v>
      </c>
      <c r="P509">
        <v>42541990.990990989</v>
      </c>
      <c r="Q509">
        <v>17715765.765765764</v>
      </c>
      <c r="R509">
        <v>6427207.2072072076</v>
      </c>
      <c r="S509">
        <v>3312</v>
      </c>
      <c r="T509">
        <v>3518</v>
      </c>
    </row>
    <row r="510" spans="1:20" x14ac:dyDescent="0.35">
      <c r="A510" s="7" t="s">
        <v>600</v>
      </c>
      <c r="B510" s="12" t="s">
        <v>50</v>
      </c>
      <c r="C510">
        <v>276971012.13841331</v>
      </c>
      <c r="D510">
        <v>278416907.48300004</v>
      </c>
      <c r="E510">
        <v>2329369.369369369</v>
      </c>
      <c r="F510">
        <v>2959459.4594594589</v>
      </c>
      <c r="G510">
        <v>30</v>
      </c>
      <c r="H510">
        <v>24</v>
      </c>
      <c r="I510">
        <v>1</v>
      </c>
      <c r="K510">
        <v>33</v>
      </c>
      <c r="L510">
        <v>28</v>
      </c>
      <c r="M510">
        <v>32222702.702702701</v>
      </c>
      <c r="N510">
        <v>34440090.090090089</v>
      </c>
      <c r="O510">
        <v>114177144.14414415</v>
      </c>
      <c r="P510">
        <v>116764918.91891891</v>
      </c>
      <c r="Q510">
        <v>29372252.252252251</v>
      </c>
      <c r="R510">
        <v>37620180.180180177</v>
      </c>
      <c r="S510">
        <v>7785</v>
      </c>
      <c r="T510">
        <v>7594</v>
      </c>
    </row>
    <row r="511" spans="1:20" x14ac:dyDescent="0.35">
      <c r="A511" s="7" t="s">
        <v>601</v>
      </c>
      <c r="B511" s="12" t="s">
        <v>89</v>
      </c>
      <c r="C511">
        <v>82567798.383903846</v>
      </c>
      <c r="D511">
        <v>82569428.898247942</v>
      </c>
      <c r="E511">
        <v>590990.99099099298</v>
      </c>
      <c r="F511">
        <v>481981.98198198801</v>
      </c>
      <c r="G511">
        <v>12</v>
      </c>
      <c r="H511">
        <v>8</v>
      </c>
      <c r="K511">
        <v>13</v>
      </c>
      <c r="L511">
        <v>8</v>
      </c>
      <c r="M511">
        <v>7408108.108108107</v>
      </c>
      <c r="N511">
        <v>26207207.20720721</v>
      </c>
      <c r="O511">
        <v>23643288.288288288</v>
      </c>
      <c r="P511">
        <v>25139162.162162159</v>
      </c>
      <c r="Q511">
        <v>6443963.9639639631</v>
      </c>
      <c r="R511">
        <v>23973783.783783782</v>
      </c>
      <c r="S511">
        <v>2492</v>
      </c>
      <c r="T511">
        <v>2368</v>
      </c>
    </row>
    <row r="512" spans="1:20" x14ac:dyDescent="0.35">
      <c r="A512" s="7" t="s">
        <v>602</v>
      </c>
      <c r="B512" s="12" t="s">
        <v>87</v>
      </c>
      <c r="C512">
        <v>79865296.694354221</v>
      </c>
      <c r="D512">
        <v>74769032.37164928</v>
      </c>
      <c r="E512">
        <v>396396.39639639697</v>
      </c>
      <c r="F512">
        <v>436936.93693693698</v>
      </c>
      <c r="G512">
        <v>10</v>
      </c>
      <c r="H512">
        <v>10</v>
      </c>
      <c r="K512">
        <v>10</v>
      </c>
      <c r="L512">
        <v>13</v>
      </c>
      <c r="M512">
        <v>1702702.702702703</v>
      </c>
      <c r="N512">
        <v>716216.21621621598</v>
      </c>
      <c r="O512">
        <v>6288827.0270270268</v>
      </c>
      <c r="P512">
        <v>5400855.8558558561</v>
      </c>
      <c r="Q512">
        <v>1039232.432432433</v>
      </c>
      <c r="R512">
        <v>856756.75675675704</v>
      </c>
      <c r="S512">
        <v>1255</v>
      </c>
      <c r="T512">
        <v>1242</v>
      </c>
    </row>
    <row r="513" spans="1:20" x14ac:dyDescent="0.35">
      <c r="A513" s="7" t="s">
        <v>603</v>
      </c>
      <c r="B513" s="12" t="s">
        <v>140</v>
      </c>
      <c r="C513">
        <v>577065958.14224267</v>
      </c>
      <c r="D513">
        <v>590499613.97880828</v>
      </c>
      <c r="E513">
        <v>420117088.2882883</v>
      </c>
      <c r="F513">
        <v>252579607.20720723</v>
      </c>
      <c r="G513">
        <v>132</v>
      </c>
      <c r="H513">
        <v>212</v>
      </c>
      <c r="I513">
        <v>4</v>
      </c>
      <c r="K513">
        <v>188</v>
      </c>
      <c r="L513">
        <v>394</v>
      </c>
      <c r="M513">
        <v>112721981.98198198</v>
      </c>
      <c r="N513">
        <v>97576216.216216221</v>
      </c>
      <c r="O513">
        <v>136015987.38738739</v>
      </c>
      <c r="P513">
        <v>147725783.78378376</v>
      </c>
      <c r="Q513">
        <v>103142522.52252252</v>
      </c>
      <c r="R513">
        <v>103782972.97297297</v>
      </c>
      <c r="S513">
        <v>18854</v>
      </c>
      <c r="T513">
        <v>20170</v>
      </c>
    </row>
    <row r="514" spans="1:20" x14ac:dyDescent="0.35">
      <c r="A514" s="7" t="s">
        <v>604</v>
      </c>
      <c r="B514" s="12" t="s">
        <v>224</v>
      </c>
      <c r="C514">
        <v>111299118.35394627</v>
      </c>
      <c r="D514">
        <v>98479292.986349642</v>
      </c>
      <c r="E514">
        <v>9909.9099099100004</v>
      </c>
      <c r="F514">
        <v>78378.378378377995</v>
      </c>
      <c r="G514">
        <v>15</v>
      </c>
      <c r="H514">
        <v>20</v>
      </c>
      <c r="K514">
        <v>19</v>
      </c>
      <c r="L514">
        <v>20</v>
      </c>
      <c r="M514">
        <v>2262162.1621621619</v>
      </c>
      <c r="N514">
        <v>3952252.2522522518</v>
      </c>
      <c r="O514">
        <v>34341810.810810812</v>
      </c>
      <c r="P514">
        <v>32739081.081081081</v>
      </c>
      <c r="Q514">
        <v>2512342.3423423418</v>
      </c>
      <c r="R514">
        <v>3839909.9099099101</v>
      </c>
      <c r="S514">
        <v>3728</v>
      </c>
      <c r="T514">
        <v>1476</v>
      </c>
    </row>
    <row r="515" spans="1:20" x14ac:dyDescent="0.35">
      <c r="A515" s="7" t="s">
        <v>605</v>
      </c>
      <c r="B515" s="12" t="s">
        <v>224</v>
      </c>
      <c r="C515">
        <v>62976085.241255715</v>
      </c>
      <c r="D515">
        <v>64541855.366176508</v>
      </c>
      <c r="E515">
        <v>7207.2072072069996</v>
      </c>
      <c r="F515">
        <v>35135.135135135002</v>
      </c>
      <c r="G515">
        <v>24</v>
      </c>
      <c r="H515">
        <v>16</v>
      </c>
      <c r="K515">
        <v>24</v>
      </c>
      <c r="L515">
        <v>17</v>
      </c>
      <c r="M515">
        <v>3610810.8108108109</v>
      </c>
      <c r="N515">
        <v>2737837.8378378381</v>
      </c>
      <c r="O515">
        <v>16654099.0990991</v>
      </c>
      <c r="P515">
        <v>18679207.207207207</v>
      </c>
      <c r="Q515">
        <v>3521891.8918918921</v>
      </c>
      <c r="R515">
        <v>3654774.7747747749</v>
      </c>
      <c r="S515">
        <v>2924</v>
      </c>
      <c r="T515">
        <v>4838</v>
      </c>
    </row>
    <row r="516" spans="1:20" x14ac:dyDescent="0.35">
      <c r="A516" s="7" t="s">
        <v>606</v>
      </c>
      <c r="B516" s="12" t="s">
        <v>241</v>
      </c>
      <c r="C516">
        <v>58928724.900239922</v>
      </c>
      <c r="D516">
        <v>53384536.393313453</v>
      </c>
      <c r="E516">
        <v>10810.810810810999</v>
      </c>
      <c r="F516">
        <v>242342.34234234301</v>
      </c>
      <c r="G516">
        <v>27</v>
      </c>
      <c r="H516">
        <v>32</v>
      </c>
      <c r="K516">
        <v>31</v>
      </c>
      <c r="L516">
        <v>34</v>
      </c>
      <c r="M516">
        <v>3518378.3783783792</v>
      </c>
      <c r="N516">
        <v>3748648.648648649</v>
      </c>
      <c r="O516">
        <v>17132657.657657657</v>
      </c>
      <c r="P516">
        <v>17251972.972972974</v>
      </c>
      <c r="Q516">
        <v>4358918.9189189188</v>
      </c>
      <c r="R516">
        <v>3950540.5405405411</v>
      </c>
      <c r="S516">
        <v>2386</v>
      </c>
      <c r="T516">
        <v>2449</v>
      </c>
    </row>
    <row r="517" spans="1:20" x14ac:dyDescent="0.35">
      <c r="A517" s="7" t="s">
        <v>607</v>
      </c>
      <c r="B517" s="12" t="s">
        <v>140</v>
      </c>
      <c r="C517">
        <v>16450881.600071857</v>
      </c>
      <c r="D517">
        <v>16837588.255405176</v>
      </c>
      <c r="F517">
        <v>2702.7027027029999</v>
      </c>
      <c r="H517">
        <v>4</v>
      </c>
      <c r="L517">
        <v>4</v>
      </c>
      <c r="M517">
        <v>452252.25225225202</v>
      </c>
      <c r="N517">
        <v>227927.92792792799</v>
      </c>
      <c r="O517">
        <v>2151351.351351351</v>
      </c>
      <c r="P517">
        <v>1980216.2162162161</v>
      </c>
      <c r="Q517">
        <v>559279.27927927906</v>
      </c>
      <c r="R517">
        <v>426036.03603603598</v>
      </c>
      <c r="S517">
        <v>332</v>
      </c>
      <c r="T517">
        <v>331</v>
      </c>
    </row>
    <row r="518" spans="1:20" x14ac:dyDescent="0.35">
      <c r="A518" s="7" t="s">
        <v>608</v>
      </c>
      <c r="B518" s="12" t="s">
        <v>189</v>
      </c>
      <c r="C518">
        <v>68353718.58458896</v>
      </c>
      <c r="D518">
        <v>62164925.566880405</v>
      </c>
      <c r="E518">
        <v>502477.47747747798</v>
      </c>
      <c r="F518">
        <v>4563963.963963964</v>
      </c>
      <c r="G518">
        <v>24</v>
      </c>
      <c r="H518">
        <v>43</v>
      </c>
      <c r="K518">
        <v>26</v>
      </c>
      <c r="L518">
        <v>49</v>
      </c>
      <c r="M518">
        <v>8202702.702702702</v>
      </c>
      <c r="N518">
        <v>8077477.4774774769</v>
      </c>
      <c r="O518">
        <v>13371972.972972972</v>
      </c>
      <c r="P518">
        <v>15802527.027027028</v>
      </c>
      <c r="Q518">
        <v>5794414.4144144142</v>
      </c>
      <c r="R518">
        <v>6165585.5855855858</v>
      </c>
      <c r="S518">
        <v>1619</v>
      </c>
      <c r="T518">
        <v>1667</v>
      </c>
    </row>
    <row r="519" spans="1:20" x14ac:dyDescent="0.35">
      <c r="A519" s="7" t="s">
        <v>609</v>
      </c>
      <c r="B519" s="12" t="s">
        <v>189</v>
      </c>
      <c r="C519">
        <v>172190615.46680441</v>
      </c>
      <c r="D519">
        <v>161506685.37230849</v>
      </c>
      <c r="E519">
        <v>18018.018018018</v>
      </c>
      <c r="F519">
        <v>427927.92792792898</v>
      </c>
      <c r="G519">
        <v>67</v>
      </c>
      <c r="H519">
        <v>56</v>
      </c>
      <c r="K519">
        <v>73</v>
      </c>
      <c r="L519">
        <v>59</v>
      </c>
      <c r="M519">
        <v>9096396.3963963967</v>
      </c>
      <c r="N519">
        <v>9572072.072072072</v>
      </c>
      <c r="O519">
        <v>24720675.675675675</v>
      </c>
      <c r="P519">
        <v>23998234.234234232</v>
      </c>
      <c r="Q519">
        <v>6585495.4954954926</v>
      </c>
      <c r="R519">
        <v>5446576.5765765756</v>
      </c>
      <c r="S519">
        <v>4033</v>
      </c>
      <c r="T519">
        <v>3914</v>
      </c>
    </row>
    <row r="520" spans="1:20" x14ac:dyDescent="0.35">
      <c r="A520" s="7" t="s">
        <v>610</v>
      </c>
      <c r="B520" s="12" t="s">
        <v>189</v>
      </c>
      <c r="C520">
        <v>74132836.850443766</v>
      </c>
      <c r="D520">
        <v>72027829.567928314</v>
      </c>
      <c r="E520">
        <v>399324.32432432403</v>
      </c>
      <c r="F520">
        <v>565540.54054054304</v>
      </c>
      <c r="G520">
        <v>11</v>
      </c>
      <c r="H520">
        <v>13</v>
      </c>
      <c r="K520">
        <v>12</v>
      </c>
      <c r="L520">
        <v>14</v>
      </c>
      <c r="M520">
        <v>4738738.7387387399</v>
      </c>
      <c r="N520">
        <v>4238738.7387387389</v>
      </c>
      <c r="O520">
        <v>8458153.1531531531</v>
      </c>
      <c r="P520">
        <v>8343603.6036036042</v>
      </c>
      <c r="Q520">
        <v>3432522.5225225221</v>
      </c>
      <c r="R520">
        <v>3767207.2072072071</v>
      </c>
      <c r="S520">
        <v>1693</v>
      </c>
      <c r="T520">
        <v>1695</v>
      </c>
    </row>
    <row r="521" spans="1:20" x14ac:dyDescent="0.35">
      <c r="A521" s="7" t="s">
        <v>611</v>
      </c>
      <c r="B521" s="12" t="s">
        <v>189</v>
      </c>
      <c r="C521">
        <v>22737628.59831468</v>
      </c>
      <c r="D521">
        <v>27492275.31125411</v>
      </c>
      <c r="E521">
        <v>9009.0090090089998</v>
      </c>
      <c r="F521">
        <v>148198.19819819901</v>
      </c>
      <c r="G521">
        <v>18</v>
      </c>
      <c r="H521">
        <v>9</v>
      </c>
      <c r="K521">
        <v>22</v>
      </c>
      <c r="L521">
        <v>12</v>
      </c>
      <c r="M521">
        <v>1865765.7657657659</v>
      </c>
      <c r="N521">
        <v>3982342.3423423432</v>
      </c>
      <c r="O521">
        <v>3997342.3423423432</v>
      </c>
      <c r="P521">
        <v>5023342.3423423432</v>
      </c>
      <c r="Q521">
        <v>922972.97297297302</v>
      </c>
      <c r="R521">
        <v>3010000</v>
      </c>
      <c r="S521">
        <v>863</v>
      </c>
      <c r="T521">
        <v>1004</v>
      </c>
    </row>
    <row r="522" spans="1:20" x14ac:dyDescent="0.35">
      <c r="A522" s="7" t="s">
        <v>612</v>
      </c>
      <c r="B522" s="12" t="s">
        <v>143</v>
      </c>
      <c r="C522">
        <v>211584388.41906652</v>
      </c>
      <c r="D522">
        <v>203502896.40042323</v>
      </c>
      <c r="E522">
        <v>105171.171171172</v>
      </c>
      <c r="F522">
        <v>819972.97297297395</v>
      </c>
      <c r="G522">
        <v>62</v>
      </c>
      <c r="H522">
        <v>95</v>
      </c>
      <c r="K522">
        <v>81</v>
      </c>
      <c r="L522">
        <v>139</v>
      </c>
      <c r="M522">
        <v>24888288.288288288</v>
      </c>
      <c r="N522">
        <v>10103603.603603603</v>
      </c>
      <c r="O522">
        <v>25969863.063063063</v>
      </c>
      <c r="P522">
        <v>25350716.216216218</v>
      </c>
      <c r="Q522">
        <v>18383063.063063063</v>
      </c>
      <c r="R522">
        <v>19001394.59459459</v>
      </c>
      <c r="S522">
        <v>6952</v>
      </c>
      <c r="T522">
        <v>6627</v>
      </c>
    </row>
    <row r="523" spans="1:20" x14ac:dyDescent="0.35">
      <c r="A523" s="7" t="s">
        <v>613</v>
      </c>
      <c r="B523" s="12" t="s">
        <v>189</v>
      </c>
      <c r="C523">
        <v>254189063.14821258</v>
      </c>
      <c r="D523">
        <v>234711062.60789418</v>
      </c>
      <c r="E523">
        <v>396171.17117117299</v>
      </c>
      <c r="F523">
        <v>1325000.000000004</v>
      </c>
      <c r="G523">
        <v>87</v>
      </c>
      <c r="H523">
        <v>76</v>
      </c>
      <c r="K523">
        <v>104</v>
      </c>
      <c r="L523">
        <v>112</v>
      </c>
      <c r="M523">
        <v>7074774.7747747749</v>
      </c>
      <c r="N523">
        <v>10439459.459459459</v>
      </c>
      <c r="O523">
        <v>21942048.648648649</v>
      </c>
      <c r="P523">
        <v>22793727.927927926</v>
      </c>
      <c r="Q523">
        <v>5237336.9369369373</v>
      </c>
      <c r="R523">
        <v>9792385.5855855886</v>
      </c>
      <c r="S523">
        <v>7648</v>
      </c>
      <c r="T523">
        <v>7294</v>
      </c>
    </row>
    <row r="524" spans="1:20" x14ac:dyDescent="0.35">
      <c r="A524" s="7" t="s">
        <v>614</v>
      </c>
      <c r="B524" s="12" t="s">
        <v>54</v>
      </c>
      <c r="C524">
        <v>173281526.09436393</v>
      </c>
      <c r="D524">
        <v>163820922.48909172</v>
      </c>
      <c r="E524">
        <v>3089189.18918919</v>
      </c>
      <c r="F524">
        <v>2548648.6486486509</v>
      </c>
      <c r="G524">
        <v>40</v>
      </c>
      <c r="H524">
        <v>50</v>
      </c>
      <c r="K524">
        <v>47</v>
      </c>
      <c r="L524">
        <v>72</v>
      </c>
      <c r="M524">
        <v>28862612.612612613</v>
      </c>
      <c r="N524">
        <v>27233333.333333332</v>
      </c>
      <c r="O524">
        <v>49604639.639639638</v>
      </c>
      <c r="P524">
        <v>52225639.639639638</v>
      </c>
      <c r="Q524">
        <v>29023783.783783779</v>
      </c>
      <c r="R524">
        <v>27656306.306306303</v>
      </c>
      <c r="S524">
        <v>6656</v>
      </c>
      <c r="T524">
        <v>6357</v>
      </c>
    </row>
    <row r="525" spans="1:20" x14ac:dyDescent="0.35">
      <c r="A525" s="7" t="s">
        <v>615</v>
      </c>
      <c r="B525" s="12" t="s">
        <v>54</v>
      </c>
      <c r="C525">
        <v>89901860.841124848</v>
      </c>
      <c r="D525">
        <v>88915544.304868892</v>
      </c>
      <c r="E525">
        <v>97072.072072073002</v>
      </c>
      <c r="F525">
        <v>220720.720720721</v>
      </c>
      <c r="G525">
        <v>11</v>
      </c>
      <c r="H525">
        <v>10</v>
      </c>
      <c r="K525">
        <v>12</v>
      </c>
      <c r="L525">
        <v>14</v>
      </c>
      <c r="M525">
        <v>3742342.3423423432</v>
      </c>
      <c r="N525">
        <v>3400900.9009009008</v>
      </c>
      <c r="O525">
        <v>14348324.324324325</v>
      </c>
      <c r="P525">
        <v>15204072.072072072</v>
      </c>
      <c r="Q525">
        <v>3516486.4864864871</v>
      </c>
      <c r="R525">
        <v>3146306.3063063081</v>
      </c>
      <c r="S525">
        <v>2888</v>
      </c>
      <c r="T525">
        <v>2845</v>
      </c>
    </row>
    <row r="526" spans="1:20" x14ac:dyDescent="0.35">
      <c r="A526" s="7" t="s">
        <v>616</v>
      </c>
      <c r="B526" s="12" t="s">
        <v>60</v>
      </c>
      <c r="C526">
        <v>140066932.62819627</v>
      </c>
      <c r="D526">
        <v>138040670.38042811</v>
      </c>
      <c r="E526">
        <v>673873.87387387594</v>
      </c>
      <c r="F526">
        <v>2215315.315315316</v>
      </c>
      <c r="G526">
        <v>19</v>
      </c>
      <c r="H526">
        <v>64</v>
      </c>
      <c r="K526">
        <v>24</v>
      </c>
      <c r="L526">
        <v>113</v>
      </c>
      <c r="M526">
        <v>18955855.855855856</v>
      </c>
      <c r="N526">
        <v>22175675.675675679</v>
      </c>
      <c r="O526">
        <v>42181486.486486487</v>
      </c>
      <c r="P526">
        <v>46101900.9009009</v>
      </c>
      <c r="Q526">
        <v>17290360.360360365</v>
      </c>
      <c r="R526">
        <v>21546936.936936937</v>
      </c>
      <c r="S526">
        <v>4266</v>
      </c>
      <c r="T526">
        <v>4174</v>
      </c>
    </row>
    <row r="527" spans="1:20" x14ac:dyDescent="0.35">
      <c r="A527" s="7" t="s">
        <v>617</v>
      </c>
      <c r="B527" s="12" t="s">
        <v>60</v>
      </c>
      <c r="C527">
        <v>152711651.30881089</v>
      </c>
      <c r="D527">
        <v>145466132.45381159</v>
      </c>
      <c r="E527">
        <v>36728378.378378384</v>
      </c>
      <c r="F527">
        <v>30176576.576576579</v>
      </c>
      <c r="G527">
        <v>26</v>
      </c>
      <c r="H527">
        <v>42</v>
      </c>
      <c r="I527">
        <v>2</v>
      </c>
      <c r="K527">
        <v>28</v>
      </c>
      <c r="L527">
        <v>46</v>
      </c>
      <c r="M527">
        <v>21786486.48648648</v>
      </c>
      <c r="N527">
        <v>17945945.945945948</v>
      </c>
      <c r="O527">
        <v>78344774.774774775</v>
      </c>
      <c r="P527">
        <v>76707058.558558553</v>
      </c>
      <c r="Q527">
        <v>18932882.882882886</v>
      </c>
      <c r="R527">
        <v>17633063.063063063</v>
      </c>
      <c r="S527">
        <v>5276</v>
      </c>
      <c r="T527">
        <v>5373</v>
      </c>
    </row>
    <row r="528" spans="1:20" x14ac:dyDescent="0.35">
      <c r="A528" s="7" t="s">
        <v>618</v>
      </c>
      <c r="B528" s="12" t="s">
        <v>60</v>
      </c>
      <c r="C528">
        <v>196411211.1572856</v>
      </c>
      <c r="D528">
        <v>187720208.49199846</v>
      </c>
      <c r="E528">
        <v>2182432.4324324322</v>
      </c>
      <c r="F528">
        <v>2397297.2972973031</v>
      </c>
      <c r="G528">
        <v>34</v>
      </c>
      <c r="H528">
        <v>31</v>
      </c>
      <c r="K528">
        <v>42</v>
      </c>
      <c r="L528">
        <v>35</v>
      </c>
      <c r="M528">
        <v>15505855.855855852</v>
      </c>
      <c r="N528">
        <v>28471171.171171177</v>
      </c>
      <c r="O528">
        <v>61565621.621621624</v>
      </c>
      <c r="P528">
        <v>63146716.666666664</v>
      </c>
      <c r="Q528">
        <v>11464324.324324325</v>
      </c>
      <c r="R528">
        <v>27587837.837837841</v>
      </c>
      <c r="S528">
        <v>5881</v>
      </c>
      <c r="T528">
        <v>5993</v>
      </c>
    </row>
    <row r="529" spans="1:20" x14ac:dyDescent="0.35">
      <c r="A529" s="7" t="s">
        <v>619</v>
      </c>
      <c r="B529" s="12" t="s">
        <v>620</v>
      </c>
      <c r="C529">
        <v>224968572.88823891</v>
      </c>
      <c r="D529">
        <v>224481099.11347973</v>
      </c>
      <c r="E529">
        <v>2172927.927927928</v>
      </c>
      <c r="F529">
        <v>4015090.0900900932</v>
      </c>
      <c r="G529">
        <v>83</v>
      </c>
      <c r="H529">
        <v>114</v>
      </c>
      <c r="I529">
        <v>2</v>
      </c>
      <c r="K529">
        <v>102</v>
      </c>
      <c r="L529">
        <v>267</v>
      </c>
      <c r="M529">
        <v>16542072.072072068</v>
      </c>
      <c r="N529">
        <v>12266666.666666666</v>
      </c>
      <c r="O529">
        <v>26429801.801801801</v>
      </c>
      <c r="P529">
        <v>26611459.459459461</v>
      </c>
      <c r="Q529">
        <v>16838018.018018018</v>
      </c>
      <c r="R529">
        <v>14757477.47747748</v>
      </c>
      <c r="S529">
        <v>7405</v>
      </c>
      <c r="T529">
        <v>7516</v>
      </c>
    </row>
    <row r="530" spans="1:20" x14ac:dyDescent="0.35">
      <c r="A530" s="7" t="s">
        <v>621</v>
      </c>
      <c r="B530" s="12" t="s">
        <v>620</v>
      </c>
      <c r="C530">
        <v>176643012.72595626</v>
      </c>
      <c r="D530">
        <v>163783839.00362098</v>
      </c>
      <c r="E530">
        <v>953603.60360360402</v>
      </c>
      <c r="F530">
        <v>3343243.243243244</v>
      </c>
      <c r="G530">
        <v>75</v>
      </c>
      <c r="H530">
        <v>55</v>
      </c>
      <c r="I530">
        <v>2</v>
      </c>
      <c r="K530">
        <v>91</v>
      </c>
      <c r="L530">
        <v>71</v>
      </c>
      <c r="M530">
        <v>15542792.792792795</v>
      </c>
      <c r="N530">
        <v>16063063.063063065</v>
      </c>
      <c r="O530">
        <v>25089784.684684683</v>
      </c>
      <c r="P530">
        <v>26809882.882882886</v>
      </c>
      <c r="Q530">
        <v>14405855.855855854</v>
      </c>
      <c r="R530">
        <v>12614324.324324325</v>
      </c>
      <c r="S530">
        <v>6213</v>
      </c>
      <c r="T530">
        <v>5869</v>
      </c>
    </row>
    <row r="531" spans="1:20" x14ac:dyDescent="0.35">
      <c r="A531" s="7" t="s">
        <v>622</v>
      </c>
      <c r="B531" s="12" t="s">
        <v>620</v>
      </c>
      <c r="C531">
        <v>187382203.18896845</v>
      </c>
      <c r="D531">
        <v>171392238.67587331</v>
      </c>
      <c r="E531">
        <v>6047747.7477477482</v>
      </c>
      <c r="F531">
        <v>1070270.2702702731</v>
      </c>
      <c r="G531">
        <v>75</v>
      </c>
      <c r="H531">
        <v>68</v>
      </c>
      <c r="I531">
        <v>1</v>
      </c>
      <c r="K531">
        <v>94</v>
      </c>
      <c r="L531">
        <v>83</v>
      </c>
      <c r="M531">
        <v>14629729.729729729</v>
      </c>
      <c r="N531">
        <v>11357657.657657657</v>
      </c>
      <c r="O531">
        <v>25496981.981981985</v>
      </c>
      <c r="P531">
        <v>27384247.747747749</v>
      </c>
      <c r="Q531">
        <v>12709953.153153153</v>
      </c>
      <c r="R531">
        <v>8901441.4414414447</v>
      </c>
      <c r="S531">
        <v>5912</v>
      </c>
      <c r="T531">
        <v>6385</v>
      </c>
    </row>
    <row r="532" spans="1:20" x14ac:dyDescent="0.35">
      <c r="A532" s="7" t="s">
        <v>623</v>
      </c>
      <c r="B532" s="12" t="s">
        <v>620</v>
      </c>
      <c r="C532">
        <v>133476589.58891961</v>
      </c>
      <c r="D532">
        <v>125909912.71746767</v>
      </c>
      <c r="E532">
        <v>64119948.648648649</v>
      </c>
      <c r="F532">
        <v>37859586.486486487</v>
      </c>
      <c r="G532">
        <v>60</v>
      </c>
      <c r="H532">
        <v>29</v>
      </c>
      <c r="I532">
        <v>1</v>
      </c>
      <c r="K532">
        <v>72</v>
      </c>
      <c r="L532">
        <v>43</v>
      </c>
      <c r="M532">
        <v>13321932.432432432</v>
      </c>
      <c r="N532">
        <v>11937764.864864863</v>
      </c>
      <c r="O532">
        <v>16674279.27927928</v>
      </c>
      <c r="P532">
        <v>15953094.594594592</v>
      </c>
      <c r="Q532">
        <v>11836216.21621622</v>
      </c>
      <c r="R532">
        <v>9840990.9909909908</v>
      </c>
      <c r="S532">
        <v>3696</v>
      </c>
      <c r="T532">
        <v>3555</v>
      </c>
    </row>
    <row r="533" spans="1:20" x14ac:dyDescent="0.35">
      <c r="A533" s="7" t="s">
        <v>624</v>
      </c>
      <c r="B533" s="12" t="s">
        <v>260</v>
      </c>
      <c r="C533">
        <v>71592997.927332819</v>
      </c>
      <c r="D533">
        <v>66754218.519056305</v>
      </c>
      <c r="E533">
        <v>17586486.486486487</v>
      </c>
      <c r="F533">
        <v>67180180.180180177</v>
      </c>
      <c r="G533">
        <v>9</v>
      </c>
      <c r="H533">
        <v>11</v>
      </c>
      <c r="K533">
        <v>9</v>
      </c>
      <c r="L533">
        <v>11</v>
      </c>
      <c r="M533">
        <v>18056981.981981982</v>
      </c>
      <c r="N533">
        <v>5298648.6486486495</v>
      </c>
      <c r="O533">
        <v>22756117.117117114</v>
      </c>
      <c r="P533">
        <v>21655369.369369369</v>
      </c>
      <c r="Q533">
        <v>8585855.8558558561</v>
      </c>
      <c r="R533">
        <v>7273243.2432432417</v>
      </c>
      <c r="S533">
        <v>1981</v>
      </c>
      <c r="T533">
        <v>2014</v>
      </c>
    </row>
    <row r="534" spans="1:20" x14ac:dyDescent="0.35">
      <c r="A534" s="7" t="s">
        <v>625</v>
      </c>
      <c r="B534" s="12" t="s">
        <v>52</v>
      </c>
      <c r="C534">
        <v>103438235.5188574</v>
      </c>
      <c r="D534">
        <v>102885213.27128589</v>
      </c>
      <c r="E534">
        <v>277657.65765765798</v>
      </c>
      <c r="F534">
        <v>100000.000000001</v>
      </c>
      <c r="G534">
        <v>11</v>
      </c>
      <c r="H534">
        <v>32</v>
      </c>
      <c r="K534">
        <v>14</v>
      </c>
      <c r="L534">
        <v>65</v>
      </c>
      <c r="M534">
        <v>1733963.963963964</v>
      </c>
      <c r="N534">
        <v>1901801.8018018031</v>
      </c>
      <c r="O534">
        <v>35858099.0990991</v>
      </c>
      <c r="P534">
        <v>36939099.0990991</v>
      </c>
      <c r="Q534">
        <v>2019369.3693693681</v>
      </c>
      <c r="R534">
        <v>2382522.5225225231</v>
      </c>
      <c r="S534">
        <v>4696</v>
      </c>
      <c r="T534">
        <v>4201</v>
      </c>
    </row>
    <row r="535" spans="1:20" x14ac:dyDescent="0.35">
      <c r="A535" s="7" t="s">
        <v>626</v>
      </c>
      <c r="B535" s="12" t="s">
        <v>96</v>
      </c>
      <c r="C535">
        <v>259474754.65820539</v>
      </c>
      <c r="D535">
        <v>256774645.71862549</v>
      </c>
      <c r="E535">
        <v>18017477.47747748</v>
      </c>
      <c r="F535">
        <v>81723423.423423424</v>
      </c>
      <c r="G535">
        <v>124</v>
      </c>
      <c r="H535">
        <v>119</v>
      </c>
      <c r="I535">
        <v>1</v>
      </c>
      <c r="K535">
        <v>152</v>
      </c>
      <c r="L535">
        <v>147</v>
      </c>
      <c r="M535">
        <v>48000360.360360362</v>
      </c>
      <c r="N535">
        <v>55228828.828828834</v>
      </c>
      <c r="O535">
        <v>79240360.360360354</v>
      </c>
      <c r="P535">
        <v>82991437.387387395</v>
      </c>
      <c r="Q535">
        <v>41620540.540540546</v>
      </c>
      <c r="R535">
        <v>48881441.441441439</v>
      </c>
      <c r="S535">
        <v>10659</v>
      </c>
      <c r="T535">
        <v>10389</v>
      </c>
    </row>
    <row r="536" spans="1:20" x14ac:dyDescent="0.35">
      <c r="A536" s="7" t="s">
        <v>627</v>
      </c>
      <c r="B536" s="12" t="s">
        <v>96</v>
      </c>
      <c r="C536">
        <v>464683094.37293565</v>
      </c>
      <c r="D536">
        <v>428311314.71178079</v>
      </c>
      <c r="E536">
        <v>2903693.6936936928</v>
      </c>
      <c r="F536">
        <v>1921621.6216216229</v>
      </c>
      <c r="G536">
        <v>137</v>
      </c>
      <c r="H536">
        <v>83</v>
      </c>
      <c r="I536">
        <v>1</v>
      </c>
      <c r="K536">
        <v>163</v>
      </c>
      <c r="L536">
        <v>103</v>
      </c>
      <c r="M536">
        <v>75642522.522522524</v>
      </c>
      <c r="N536">
        <v>104237207.2072072</v>
      </c>
      <c r="O536">
        <v>180951675.67567569</v>
      </c>
      <c r="P536">
        <v>169987750</v>
      </c>
      <c r="Q536">
        <v>92912792.792792797</v>
      </c>
      <c r="R536">
        <v>103787027.02702703</v>
      </c>
      <c r="S536">
        <v>13817</v>
      </c>
      <c r="T536">
        <v>13823</v>
      </c>
    </row>
    <row r="537" spans="1:20" x14ac:dyDescent="0.35">
      <c r="A537" s="7" t="s">
        <v>628</v>
      </c>
      <c r="B537" s="12" t="s">
        <v>448</v>
      </c>
      <c r="C537">
        <v>328409453.08892483</v>
      </c>
      <c r="D537">
        <v>308392549.75299329</v>
      </c>
      <c r="E537">
        <v>188186024.32432431</v>
      </c>
      <c r="F537">
        <v>355329246.84684682</v>
      </c>
      <c r="G537">
        <v>151</v>
      </c>
      <c r="H537">
        <v>105</v>
      </c>
      <c r="I537">
        <v>2</v>
      </c>
      <c r="K537">
        <v>174</v>
      </c>
      <c r="L537">
        <v>132</v>
      </c>
      <c r="M537">
        <v>74322882.882882878</v>
      </c>
      <c r="N537">
        <v>99315450.45045045</v>
      </c>
      <c r="O537">
        <v>93246396.396396399</v>
      </c>
      <c r="P537">
        <v>93095845.045045033</v>
      </c>
      <c r="Q537">
        <v>72560360.360360369</v>
      </c>
      <c r="R537">
        <v>100673873.87387387</v>
      </c>
      <c r="S537">
        <v>10638</v>
      </c>
      <c r="T537">
        <v>11499</v>
      </c>
    </row>
    <row r="538" spans="1:20" x14ac:dyDescent="0.35">
      <c r="A538" s="7" t="s">
        <v>629</v>
      </c>
      <c r="B538" s="12" t="s">
        <v>78</v>
      </c>
      <c r="C538">
        <v>14530832.343307244</v>
      </c>
      <c r="D538">
        <v>13879659.090414116</v>
      </c>
      <c r="E538">
        <v>185585.58558558501</v>
      </c>
      <c r="F538">
        <v>300000</v>
      </c>
      <c r="G538">
        <v>2</v>
      </c>
      <c r="H538">
        <v>2</v>
      </c>
      <c r="K538">
        <v>2</v>
      </c>
      <c r="L538">
        <v>2</v>
      </c>
      <c r="M538">
        <v>599999.99999999895</v>
      </c>
      <c r="N538">
        <v>930630.63063062995</v>
      </c>
      <c r="O538">
        <v>3844774.7747747749</v>
      </c>
      <c r="P538">
        <v>3708090.0900900899</v>
      </c>
      <c r="Q538">
        <v>701981.98198198201</v>
      </c>
      <c r="R538">
        <v>844864.86486486497</v>
      </c>
      <c r="S538">
        <v>405</v>
      </c>
      <c r="T538">
        <v>353</v>
      </c>
    </row>
    <row r="539" spans="1:20" x14ac:dyDescent="0.35">
      <c r="A539" s="7" t="s">
        <v>630</v>
      </c>
      <c r="B539" s="12" t="s">
        <v>241</v>
      </c>
      <c r="C539">
        <v>84949261.482521728</v>
      </c>
      <c r="D539">
        <v>79803187.86805433</v>
      </c>
      <c r="E539">
        <v>64144.144144145001</v>
      </c>
      <c r="F539">
        <v>38682657.657657661</v>
      </c>
      <c r="G539">
        <v>46</v>
      </c>
      <c r="H539">
        <v>30</v>
      </c>
      <c r="K539">
        <v>53</v>
      </c>
      <c r="L539">
        <v>34</v>
      </c>
      <c r="M539">
        <v>14010180.180180181</v>
      </c>
      <c r="N539">
        <v>8160180.1801801799</v>
      </c>
      <c r="O539">
        <v>20033288.288288288</v>
      </c>
      <c r="P539">
        <v>17871927.927927926</v>
      </c>
      <c r="Q539">
        <v>14201711.711711712</v>
      </c>
      <c r="R539">
        <v>7742162.1621621614</v>
      </c>
      <c r="S539">
        <v>3118</v>
      </c>
      <c r="T539">
        <v>2781</v>
      </c>
    </row>
    <row r="540" spans="1:20" x14ac:dyDescent="0.35">
      <c r="A540" s="7" t="s">
        <v>631</v>
      </c>
      <c r="B540" s="12" t="s">
        <v>68</v>
      </c>
      <c r="C540">
        <v>381662148.89780563</v>
      </c>
      <c r="D540">
        <v>360099159.26349825</v>
      </c>
      <c r="E540">
        <v>87246597.297297299</v>
      </c>
      <c r="F540">
        <v>74007033.333333328</v>
      </c>
      <c r="G540">
        <v>170</v>
      </c>
      <c r="H540">
        <v>222</v>
      </c>
      <c r="K540">
        <v>180</v>
      </c>
      <c r="L540">
        <v>302</v>
      </c>
      <c r="M540">
        <v>39147297.297297299</v>
      </c>
      <c r="N540">
        <v>39213513.513513513</v>
      </c>
      <c r="O540">
        <v>63114684.684684686</v>
      </c>
      <c r="P540">
        <v>62292998.198198199</v>
      </c>
      <c r="Q540">
        <v>29461801.801801801</v>
      </c>
      <c r="R540">
        <v>28744954.954954956</v>
      </c>
      <c r="S540">
        <v>9130</v>
      </c>
      <c r="T540">
        <v>9029</v>
      </c>
    </row>
    <row r="541" spans="1:20" x14ac:dyDescent="0.35">
      <c r="A541" s="7" t="s">
        <v>632</v>
      </c>
      <c r="B541" s="12" t="s">
        <v>70</v>
      </c>
      <c r="C541">
        <v>2599747.1531519061</v>
      </c>
      <c r="D541">
        <v>2627985.9648795561</v>
      </c>
      <c r="E541">
        <v>25221171.171171173</v>
      </c>
      <c r="F541">
        <v>76189189.189189181</v>
      </c>
      <c r="G541">
        <v>3</v>
      </c>
      <c r="H541">
        <v>2</v>
      </c>
      <c r="K541">
        <v>3</v>
      </c>
      <c r="L541">
        <v>2</v>
      </c>
      <c r="M541">
        <v>9824099.0990990996</v>
      </c>
      <c r="N541">
        <v>18271396.396396395</v>
      </c>
      <c r="O541">
        <v>1579324.324324324</v>
      </c>
      <c r="P541">
        <v>1645270.2702702701</v>
      </c>
      <c r="Q541">
        <v>54774.774774775004</v>
      </c>
      <c r="R541">
        <v>164864.864864865</v>
      </c>
      <c r="S541">
        <v>194</v>
      </c>
      <c r="T541">
        <v>196</v>
      </c>
    </row>
    <row r="542" spans="1:20" x14ac:dyDescent="0.35">
      <c r="A542" s="7" t="s">
        <v>633</v>
      </c>
      <c r="B542" s="12" t="s">
        <v>60</v>
      </c>
      <c r="C542">
        <v>27265944.960711785</v>
      </c>
      <c r="D542">
        <v>27790322.815892689</v>
      </c>
      <c r="E542">
        <v>136936.93693693701</v>
      </c>
      <c r="F542">
        <v>2702.7027027029999</v>
      </c>
      <c r="G542">
        <v>4</v>
      </c>
      <c r="H542">
        <v>9</v>
      </c>
      <c r="K542">
        <v>5</v>
      </c>
      <c r="L542">
        <v>9</v>
      </c>
      <c r="M542">
        <v>947747.74774774699</v>
      </c>
      <c r="N542">
        <v>1345045.045045045</v>
      </c>
      <c r="O542">
        <v>10308468.468468469</v>
      </c>
      <c r="P542">
        <v>11885918.918918919</v>
      </c>
      <c r="Q542">
        <v>870270.27027026995</v>
      </c>
      <c r="R542">
        <v>202252.25225225199</v>
      </c>
      <c r="S542">
        <v>1022</v>
      </c>
      <c r="T542">
        <v>1022</v>
      </c>
    </row>
    <row r="543" spans="1:20" x14ac:dyDescent="0.35">
      <c r="A543" s="7" t="s">
        <v>634</v>
      </c>
      <c r="B543" s="12" t="s">
        <v>80</v>
      </c>
      <c r="C543">
        <v>294786900.11260796</v>
      </c>
      <c r="D543">
        <v>283587034.25492132</v>
      </c>
      <c r="E543">
        <v>2601801.8018018021</v>
      </c>
      <c r="F543">
        <v>2427927.9279279308</v>
      </c>
      <c r="G543">
        <v>92</v>
      </c>
      <c r="H543">
        <v>33</v>
      </c>
      <c r="K543">
        <v>107</v>
      </c>
      <c r="L543">
        <v>34</v>
      </c>
      <c r="M543">
        <v>33948108.108108111</v>
      </c>
      <c r="N543">
        <v>33909009.009009011</v>
      </c>
      <c r="O543">
        <v>52771747.747747742</v>
      </c>
      <c r="P543">
        <v>57324319.819819815</v>
      </c>
      <c r="Q543">
        <v>36675135.135135137</v>
      </c>
      <c r="R543">
        <v>28691891.891891893</v>
      </c>
      <c r="S543">
        <v>6463</v>
      </c>
      <c r="T543">
        <v>6258</v>
      </c>
    </row>
    <row r="544" spans="1:20" x14ac:dyDescent="0.35">
      <c r="A544" s="7" t="s">
        <v>635</v>
      </c>
      <c r="B544" s="12" t="s">
        <v>134</v>
      </c>
      <c r="C544">
        <v>49712273.259098805</v>
      </c>
      <c r="D544">
        <v>50808531.821285017</v>
      </c>
      <c r="E544">
        <v>19819819.819819819</v>
      </c>
      <c r="F544">
        <v>14274774.774774777</v>
      </c>
      <c r="G544">
        <v>6</v>
      </c>
      <c r="H544">
        <v>9</v>
      </c>
      <c r="K544">
        <v>6</v>
      </c>
      <c r="L544">
        <v>9</v>
      </c>
      <c r="M544">
        <v>450450.45045045001</v>
      </c>
      <c r="N544">
        <v>4698198.1981981983</v>
      </c>
      <c r="O544">
        <v>2804819.8198198201</v>
      </c>
      <c r="P544">
        <v>2737198.1981981979</v>
      </c>
      <c r="Q544">
        <v>747297.29729729705</v>
      </c>
      <c r="R544">
        <v>4290990.9909909908</v>
      </c>
      <c r="S544">
        <v>1462</v>
      </c>
      <c r="T544">
        <v>1438</v>
      </c>
    </row>
    <row r="545" spans="1:20" x14ac:dyDescent="0.35">
      <c r="A545" s="7" t="s">
        <v>636</v>
      </c>
      <c r="B545" s="12" t="s">
        <v>479</v>
      </c>
      <c r="C545">
        <v>168151702.96988142</v>
      </c>
      <c r="D545">
        <v>152449115.64902517</v>
      </c>
      <c r="E545">
        <v>11088063.063063065</v>
      </c>
      <c r="F545">
        <v>30039639.639639646</v>
      </c>
      <c r="G545">
        <v>33</v>
      </c>
      <c r="H545">
        <v>22</v>
      </c>
      <c r="K545">
        <v>37</v>
      </c>
      <c r="L545">
        <v>33</v>
      </c>
      <c r="M545">
        <v>24159684.684684683</v>
      </c>
      <c r="N545">
        <v>38368468.468468465</v>
      </c>
      <c r="O545">
        <v>56058554.054054059</v>
      </c>
      <c r="P545">
        <v>52590810.810810804</v>
      </c>
      <c r="Q545">
        <v>30190360.360360362</v>
      </c>
      <c r="R545">
        <v>37252972.972972967</v>
      </c>
      <c r="S545">
        <v>5525</v>
      </c>
      <c r="T545">
        <v>5869</v>
      </c>
    </row>
    <row r="546" spans="1:20" x14ac:dyDescent="0.35">
      <c r="A546" s="7" t="s">
        <v>637</v>
      </c>
      <c r="B546" s="12" t="s">
        <v>143</v>
      </c>
      <c r="C546">
        <v>267460905.34714234</v>
      </c>
      <c r="D546">
        <v>265032860.06173384</v>
      </c>
      <c r="E546">
        <v>2038963.963963965</v>
      </c>
      <c r="F546">
        <v>39847297.297297306</v>
      </c>
      <c r="G546">
        <v>60</v>
      </c>
      <c r="H546">
        <v>50</v>
      </c>
      <c r="K546">
        <v>80</v>
      </c>
      <c r="L546">
        <v>82</v>
      </c>
      <c r="M546">
        <v>21879459.459459458</v>
      </c>
      <c r="N546">
        <v>20148648.648648649</v>
      </c>
      <c r="O546">
        <v>27685369.369369369</v>
      </c>
      <c r="P546">
        <v>32694763.513513513</v>
      </c>
      <c r="Q546">
        <v>16963333.333333332</v>
      </c>
      <c r="R546">
        <v>14631081.081081079</v>
      </c>
      <c r="S546">
        <v>9421</v>
      </c>
      <c r="T546">
        <v>9362</v>
      </c>
    </row>
    <row r="547" spans="1:20" x14ac:dyDescent="0.35">
      <c r="A547" s="7" t="s">
        <v>638</v>
      </c>
      <c r="B547" s="12" t="s">
        <v>241</v>
      </c>
      <c r="C547">
        <v>300553167.28383183</v>
      </c>
      <c r="D547">
        <v>279608921.72410977</v>
      </c>
      <c r="E547">
        <v>104042707.2072072</v>
      </c>
      <c r="F547">
        <v>65027994.59459459</v>
      </c>
      <c r="G547">
        <v>154</v>
      </c>
      <c r="H547">
        <v>153</v>
      </c>
      <c r="K547">
        <v>168</v>
      </c>
      <c r="L547">
        <v>183</v>
      </c>
      <c r="M547">
        <v>23640772.972972974</v>
      </c>
      <c r="N547">
        <v>26411351.351351351</v>
      </c>
      <c r="O547">
        <v>99319009.009009004</v>
      </c>
      <c r="P547">
        <v>89652052.252252251</v>
      </c>
      <c r="Q547">
        <v>14637297.297297299</v>
      </c>
      <c r="R547">
        <v>14706666.666666668</v>
      </c>
      <c r="S547">
        <v>12868</v>
      </c>
      <c r="T547">
        <v>15056</v>
      </c>
    </row>
    <row r="548" spans="1:20" x14ac:dyDescent="0.35">
      <c r="A548" s="7" t="s">
        <v>639</v>
      </c>
      <c r="B548" s="12" t="s">
        <v>132</v>
      </c>
      <c r="C548">
        <v>124045888.46859178</v>
      </c>
      <c r="D548">
        <v>102238232.07559375</v>
      </c>
      <c r="E548">
        <v>7207.207207208</v>
      </c>
      <c r="F548">
        <v>48648.648648649003</v>
      </c>
      <c r="G548">
        <v>61</v>
      </c>
      <c r="H548">
        <v>42</v>
      </c>
      <c r="K548">
        <v>72</v>
      </c>
      <c r="L548">
        <v>52</v>
      </c>
      <c r="M548">
        <v>6592792.7927927934</v>
      </c>
      <c r="N548">
        <v>3055855.8558558561</v>
      </c>
      <c r="O548">
        <v>45041684.684684686</v>
      </c>
      <c r="P548">
        <v>37903837.837837838</v>
      </c>
      <c r="Q548">
        <v>5192432.4324324317</v>
      </c>
      <c r="R548">
        <v>2568828.8288288289</v>
      </c>
      <c r="S548">
        <v>5353</v>
      </c>
      <c r="T548">
        <v>5618</v>
      </c>
    </row>
    <row r="549" spans="1:20" x14ac:dyDescent="0.35">
      <c r="A549" s="7" t="s">
        <v>640</v>
      </c>
      <c r="B549" s="12" t="s">
        <v>134</v>
      </c>
      <c r="C549">
        <v>344309261.56899101</v>
      </c>
      <c r="D549">
        <v>329068674.7315948</v>
      </c>
      <c r="E549">
        <v>619819.81981982104</v>
      </c>
      <c r="F549">
        <v>1103603.6036036061</v>
      </c>
      <c r="G549">
        <v>66</v>
      </c>
      <c r="H549">
        <v>48</v>
      </c>
      <c r="K549">
        <v>70</v>
      </c>
      <c r="L549">
        <v>56</v>
      </c>
      <c r="M549">
        <v>26174774.774774775</v>
      </c>
      <c r="N549">
        <v>29267747.747747745</v>
      </c>
      <c r="O549">
        <v>40093300</v>
      </c>
      <c r="P549">
        <v>42139484.684684686</v>
      </c>
      <c r="Q549">
        <v>22338378.37837838</v>
      </c>
      <c r="R549">
        <v>20911664.864864863</v>
      </c>
      <c r="S549">
        <v>7463</v>
      </c>
      <c r="T549">
        <v>7156</v>
      </c>
    </row>
    <row r="550" spans="1:20" x14ac:dyDescent="0.35">
      <c r="A550" s="7" t="s">
        <v>641</v>
      </c>
      <c r="B550" s="12" t="s">
        <v>80</v>
      </c>
      <c r="C550">
        <v>174499700.78751582</v>
      </c>
      <c r="D550">
        <v>175062370.68787172</v>
      </c>
      <c r="E550">
        <v>575675.67567567597</v>
      </c>
      <c r="F550">
        <v>1032432.4324324341</v>
      </c>
      <c r="G550">
        <v>30</v>
      </c>
      <c r="H550">
        <v>32</v>
      </c>
      <c r="I550">
        <v>1</v>
      </c>
      <c r="K550">
        <v>33</v>
      </c>
      <c r="L550">
        <v>36</v>
      </c>
      <c r="M550">
        <v>19716396.396396395</v>
      </c>
      <c r="N550">
        <v>16596396.396396397</v>
      </c>
      <c r="O550">
        <v>59623286.486486487</v>
      </c>
      <c r="P550">
        <v>62415454.954954952</v>
      </c>
      <c r="Q550">
        <v>16962792.792792793</v>
      </c>
      <c r="R550">
        <v>16409819.819819819</v>
      </c>
      <c r="S550">
        <v>4906</v>
      </c>
      <c r="T550">
        <v>5344</v>
      </c>
    </row>
    <row r="551" spans="1:20" x14ac:dyDescent="0.35">
      <c r="A551" s="7" t="s">
        <v>642</v>
      </c>
      <c r="B551" s="12" t="s">
        <v>169</v>
      </c>
      <c r="C551">
        <v>325622856.88120562</v>
      </c>
      <c r="D551">
        <v>285352763.93773663</v>
      </c>
      <c r="E551">
        <v>1562612.6126126121</v>
      </c>
      <c r="F551">
        <v>1102702.7027027039</v>
      </c>
      <c r="G551">
        <v>38</v>
      </c>
      <c r="H551">
        <v>30</v>
      </c>
      <c r="I551">
        <v>1</v>
      </c>
      <c r="K551">
        <v>38</v>
      </c>
      <c r="L551">
        <v>41</v>
      </c>
      <c r="M551">
        <v>23814864.864864863</v>
      </c>
      <c r="N551">
        <v>22359654.954954956</v>
      </c>
      <c r="O551">
        <v>106748882.88288288</v>
      </c>
      <c r="P551">
        <v>102306189.18918918</v>
      </c>
      <c r="Q551">
        <v>21739099.0990991</v>
      </c>
      <c r="R551">
        <v>23373153.153153155</v>
      </c>
      <c r="S551">
        <v>8849</v>
      </c>
      <c r="T551">
        <v>12497</v>
      </c>
    </row>
    <row r="552" spans="1:20" x14ac:dyDescent="0.35">
      <c r="A552" s="7" t="s">
        <v>643</v>
      </c>
      <c r="B552" s="12" t="s">
        <v>58</v>
      </c>
      <c r="C552">
        <v>510331183.7529549</v>
      </c>
      <c r="D552">
        <v>493123961.57164544</v>
      </c>
      <c r="E552">
        <v>4220045.0450450452</v>
      </c>
      <c r="F552">
        <v>5104504.5045045074</v>
      </c>
      <c r="G552">
        <v>148</v>
      </c>
      <c r="H552">
        <v>123</v>
      </c>
      <c r="K552">
        <v>166</v>
      </c>
      <c r="L552">
        <v>199</v>
      </c>
      <c r="M552">
        <v>46466666.666666664</v>
      </c>
      <c r="N552">
        <v>35675225.225225225</v>
      </c>
      <c r="O552">
        <v>99628187.387387395</v>
      </c>
      <c r="P552">
        <v>101435698.1981982</v>
      </c>
      <c r="Q552">
        <v>38737477.477477469</v>
      </c>
      <c r="R552">
        <v>37076666.666666664</v>
      </c>
      <c r="S552">
        <v>17433</v>
      </c>
      <c r="T552">
        <v>17442</v>
      </c>
    </row>
    <row r="553" spans="1:20" x14ac:dyDescent="0.35">
      <c r="A553" s="7" t="s">
        <v>644</v>
      </c>
      <c r="B553" s="12" t="s">
        <v>58</v>
      </c>
      <c r="C553">
        <v>636984235.92401361</v>
      </c>
      <c r="D553">
        <v>623860047.42571509</v>
      </c>
      <c r="E553">
        <v>210229514.41441444</v>
      </c>
      <c r="F553">
        <v>8845495.4954954926</v>
      </c>
      <c r="G553">
        <v>182</v>
      </c>
      <c r="H553">
        <v>319</v>
      </c>
      <c r="K553">
        <v>220</v>
      </c>
      <c r="L553">
        <v>480</v>
      </c>
      <c r="M553">
        <v>112428828.82882883</v>
      </c>
      <c r="N553">
        <v>114257657.65765765</v>
      </c>
      <c r="O553">
        <v>170446421.62162164</v>
      </c>
      <c r="P553">
        <v>177492454.95495495</v>
      </c>
      <c r="Q553">
        <v>97532252.252252251</v>
      </c>
      <c r="R553">
        <v>94075675.675675675</v>
      </c>
      <c r="S553">
        <v>21995</v>
      </c>
      <c r="T553">
        <v>22125</v>
      </c>
    </row>
    <row r="554" spans="1:20" x14ac:dyDescent="0.35">
      <c r="A554" s="7" t="s">
        <v>645</v>
      </c>
      <c r="B554" s="12" t="s">
        <v>307</v>
      </c>
      <c r="C554">
        <v>199132959.46528196</v>
      </c>
      <c r="D554">
        <v>202751826.78370249</v>
      </c>
      <c r="E554">
        <v>1290090.0900900899</v>
      </c>
      <c r="F554">
        <v>1000000</v>
      </c>
      <c r="G554">
        <v>28</v>
      </c>
      <c r="H554">
        <v>14</v>
      </c>
      <c r="K554">
        <v>30</v>
      </c>
      <c r="L554">
        <v>19</v>
      </c>
      <c r="M554">
        <v>4152792.792792792</v>
      </c>
      <c r="N554">
        <v>3602702.702702702</v>
      </c>
      <c r="O554">
        <v>33530549.549549554</v>
      </c>
      <c r="P554">
        <v>33789481.981981985</v>
      </c>
      <c r="Q554">
        <v>4450270.2702702694</v>
      </c>
      <c r="R554">
        <v>3533873.8738738731</v>
      </c>
      <c r="S554">
        <v>5445</v>
      </c>
      <c r="T554">
        <v>5151</v>
      </c>
    </row>
    <row r="555" spans="1:20" x14ac:dyDescent="0.35">
      <c r="A555" s="7" t="s">
        <v>13</v>
      </c>
      <c r="B555" s="12" t="s">
        <v>158</v>
      </c>
      <c r="C555">
        <v>241898047.95703149</v>
      </c>
      <c r="D555">
        <v>227436126.84935769</v>
      </c>
      <c r="E555">
        <v>675675.67567567795</v>
      </c>
      <c r="F555">
        <v>1475675.6756756781</v>
      </c>
      <c r="G555">
        <v>73</v>
      </c>
      <c r="H555">
        <v>26</v>
      </c>
      <c r="I555">
        <v>1</v>
      </c>
      <c r="K555">
        <v>315</v>
      </c>
      <c r="L555">
        <v>115</v>
      </c>
      <c r="M555">
        <v>38963423.423423424</v>
      </c>
      <c r="N555">
        <v>50337837.837837838</v>
      </c>
      <c r="O555">
        <v>140233698.1981982</v>
      </c>
      <c r="P555">
        <v>128390090.0900901</v>
      </c>
      <c r="Q555">
        <v>43098288.288288288</v>
      </c>
      <c r="R555">
        <v>51271034.234234229</v>
      </c>
      <c r="S555">
        <v>7261</v>
      </c>
      <c r="T555">
        <v>7241</v>
      </c>
    </row>
    <row r="556" spans="1:20" x14ac:dyDescent="0.35">
      <c r="A556" s="7" t="s">
        <v>646</v>
      </c>
      <c r="B556" s="12" t="s">
        <v>121</v>
      </c>
      <c r="C556">
        <v>155009821.43291798</v>
      </c>
      <c r="D556">
        <v>163296785.53796205</v>
      </c>
      <c r="E556">
        <v>13738.738738739001</v>
      </c>
      <c r="F556">
        <v>136036.03603603601</v>
      </c>
      <c r="G556">
        <v>40</v>
      </c>
      <c r="H556">
        <v>34</v>
      </c>
      <c r="K556">
        <v>43</v>
      </c>
      <c r="L556">
        <v>39</v>
      </c>
      <c r="M556">
        <v>194594.59459459499</v>
      </c>
      <c r="N556">
        <v>950450.450450451</v>
      </c>
      <c r="O556">
        <v>12675243.243243244</v>
      </c>
      <c r="P556">
        <v>14331704.954954956</v>
      </c>
      <c r="Q556">
        <v>271351.35135135101</v>
      </c>
      <c r="R556">
        <v>772432.43243243196</v>
      </c>
      <c r="S556">
        <v>2991</v>
      </c>
      <c r="T556">
        <v>3418</v>
      </c>
    </row>
    <row r="557" spans="1:20" x14ac:dyDescent="0.35">
      <c r="A557" s="7" t="s">
        <v>647</v>
      </c>
      <c r="B557" s="12" t="s">
        <v>315</v>
      </c>
      <c r="C557">
        <v>60223897.164333329</v>
      </c>
      <c r="D557">
        <v>54345512.919163927</v>
      </c>
      <c r="E557">
        <v>9020720.7207207195</v>
      </c>
      <c r="F557">
        <v>49802702.702702701</v>
      </c>
      <c r="G557">
        <v>16</v>
      </c>
      <c r="H557">
        <v>16</v>
      </c>
      <c r="K557">
        <v>17</v>
      </c>
      <c r="L557">
        <v>24</v>
      </c>
      <c r="M557">
        <v>6290090.0900900913</v>
      </c>
      <c r="N557">
        <v>7984684.6846846836</v>
      </c>
      <c r="O557">
        <v>15067139.63963964</v>
      </c>
      <c r="P557">
        <v>13245378.37837838</v>
      </c>
      <c r="Q557">
        <v>4992972.9729729732</v>
      </c>
      <c r="R557">
        <v>8440720.7207207214</v>
      </c>
      <c r="S557">
        <v>1394</v>
      </c>
      <c r="T557">
        <v>1271</v>
      </c>
    </row>
    <row r="558" spans="1:20" x14ac:dyDescent="0.35">
      <c r="A558" s="7" t="s">
        <v>648</v>
      </c>
      <c r="B558" s="12" t="s">
        <v>260</v>
      </c>
      <c r="C558">
        <v>150969749.96715626</v>
      </c>
      <c r="D558">
        <v>145326435.60999489</v>
      </c>
      <c r="E558">
        <v>260937696.3963964</v>
      </c>
      <c r="F558">
        <v>233754635.13513514</v>
      </c>
      <c r="G558">
        <v>41</v>
      </c>
      <c r="H558">
        <v>36</v>
      </c>
      <c r="K558">
        <v>45</v>
      </c>
      <c r="L558">
        <v>53</v>
      </c>
      <c r="M558">
        <v>27802972.97297297</v>
      </c>
      <c r="N558">
        <v>72204504.504504517</v>
      </c>
      <c r="O558">
        <v>46876576.576576576</v>
      </c>
      <c r="P558">
        <v>46613594.59459459</v>
      </c>
      <c r="Q558">
        <v>22364414.414414417</v>
      </c>
      <c r="R558">
        <v>26547837.837837841</v>
      </c>
      <c r="S558">
        <v>4226</v>
      </c>
      <c r="T558">
        <v>4143</v>
      </c>
    </row>
    <row r="559" spans="1:20" x14ac:dyDescent="0.35">
      <c r="A559" s="7" t="s">
        <v>649</v>
      </c>
      <c r="B559" s="12" t="s">
        <v>224</v>
      </c>
      <c r="C559">
        <v>156453136.19058183</v>
      </c>
      <c r="D559">
        <v>137131641.34829074</v>
      </c>
      <c r="E559">
        <v>47369819.819819823</v>
      </c>
      <c r="F559">
        <v>113639954.95495497</v>
      </c>
      <c r="G559">
        <v>29</v>
      </c>
      <c r="H559">
        <v>41</v>
      </c>
      <c r="K559">
        <v>33</v>
      </c>
      <c r="L559">
        <v>48</v>
      </c>
      <c r="M559">
        <v>12488783.78378378</v>
      </c>
      <c r="N559">
        <v>13052117.11711712</v>
      </c>
      <c r="O559">
        <v>31957279.27927928</v>
      </c>
      <c r="P559">
        <v>32385855.855855856</v>
      </c>
      <c r="Q559">
        <v>9162702.7027026992</v>
      </c>
      <c r="R559">
        <v>10872612.612612614</v>
      </c>
      <c r="S559">
        <v>5460</v>
      </c>
      <c r="T559">
        <v>6294</v>
      </c>
    </row>
    <row r="560" spans="1:20" x14ac:dyDescent="0.35">
      <c r="A560" s="7" t="s">
        <v>650</v>
      </c>
      <c r="B560" s="12" t="s">
        <v>224</v>
      </c>
      <c r="C560">
        <v>126888522.61092544</v>
      </c>
      <c r="D560">
        <v>110519336.85281274</v>
      </c>
      <c r="E560">
        <v>27027.027027027001</v>
      </c>
      <c r="F560">
        <v>49549.549549550997</v>
      </c>
      <c r="G560">
        <v>17</v>
      </c>
      <c r="H560">
        <v>22</v>
      </c>
      <c r="K560">
        <v>19</v>
      </c>
      <c r="L560">
        <v>31</v>
      </c>
      <c r="M560">
        <v>4628828.8288288284</v>
      </c>
      <c r="N560">
        <v>3022522.5225225212</v>
      </c>
      <c r="O560">
        <v>15852972.972972972</v>
      </c>
      <c r="P560">
        <v>16958549.54954955</v>
      </c>
      <c r="Q560">
        <v>3849549.5495495498</v>
      </c>
      <c r="R560">
        <v>2553063.0630630632</v>
      </c>
      <c r="S560">
        <v>3062</v>
      </c>
      <c r="T560">
        <v>3110</v>
      </c>
    </row>
    <row r="561" spans="1:20" x14ac:dyDescent="0.35">
      <c r="A561" s="7" t="s">
        <v>651</v>
      </c>
      <c r="B561" s="12" t="s">
        <v>224</v>
      </c>
      <c r="C561">
        <v>491006675.60776013</v>
      </c>
      <c r="D561">
        <v>424484101.41517019</v>
      </c>
      <c r="E561">
        <v>124750765.76576577</v>
      </c>
      <c r="F561">
        <v>70506911.71171172</v>
      </c>
      <c r="G561">
        <v>154</v>
      </c>
      <c r="H561">
        <v>140</v>
      </c>
      <c r="I561">
        <v>3</v>
      </c>
      <c r="K561">
        <v>212</v>
      </c>
      <c r="L561">
        <v>215</v>
      </c>
      <c r="M561">
        <v>67868018.018018022</v>
      </c>
      <c r="N561">
        <v>74926666.666666657</v>
      </c>
      <c r="O561">
        <v>109788529.72972973</v>
      </c>
      <c r="P561">
        <v>105202180.18018018</v>
      </c>
      <c r="Q561">
        <v>57040493.693693705</v>
      </c>
      <c r="R561">
        <v>56000180.180180177</v>
      </c>
      <c r="S561">
        <v>18641</v>
      </c>
      <c r="T561">
        <v>18609</v>
      </c>
    </row>
    <row r="562" spans="1:20" x14ac:dyDescent="0.35">
      <c r="A562" s="7" t="s">
        <v>652</v>
      </c>
      <c r="B562" s="12" t="s">
        <v>224</v>
      </c>
      <c r="C562">
        <v>55628125.420330673</v>
      </c>
      <c r="D562">
        <v>55740799.935765155</v>
      </c>
      <c r="E562">
        <v>900.900900901</v>
      </c>
      <c r="F562">
        <v>207207.207207208</v>
      </c>
      <c r="G562">
        <v>19</v>
      </c>
      <c r="H562">
        <v>12</v>
      </c>
      <c r="K562">
        <v>21</v>
      </c>
      <c r="L562">
        <v>13</v>
      </c>
      <c r="M562">
        <v>1561981.981981982</v>
      </c>
      <c r="N562">
        <v>1108108.1081081079</v>
      </c>
      <c r="O562">
        <v>8396261.2612612601</v>
      </c>
      <c r="P562">
        <v>9071702.7027027048</v>
      </c>
      <c r="Q562">
        <v>1085225.225225226</v>
      </c>
      <c r="R562">
        <v>1000540.54054054</v>
      </c>
      <c r="S562">
        <v>1834</v>
      </c>
      <c r="T562">
        <v>1743</v>
      </c>
    </row>
    <row r="563" spans="1:20" x14ac:dyDescent="0.35">
      <c r="A563" s="7" t="s">
        <v>653</v>
      </c>
      <c r="B563" s="12" t="s">
        <v>96</v>
      </c>
      <c r="C563">
        <v>295491212.1712988</v>
      </c>
      <c r="D563">
        <v>276263672.80296314</v>
      </c>
      <c r="E563">
        <v>163063.063063065</v>
      </c>
      <c r="F563">
        <v>730630.63063063298</v>
      </c>
      <c r="G563">
        <v>65</v>
      </c>
      <c r="H563">
        <v>138</v>
      </c>
      <c r="K563">
        <v>71</v>
      </c>
      <c r="L563">
        <v>156</v>
      </c>
      <c r="M563">
        <v>6579279.2792792786</v>
      </c>
      <c r="N563">
        <v>6692792.7927927943</v>
      </c>
      <c r="O563">
        <v>36541342.342342347</v>
      </c>
      <c r="P563">
        <v>38901864.864864863</v>
      </c>
      <c r="Q563">
        <v>8314954.9549549548</v>
      </c>
      <c r="R563">
        <v>5119729.7297297288</v>
      </c>
      <c r="S563">
        <v>8993</v>
      </c>
      <c r="T563">
        <v>8551</v>
      </c>
    </row>
    <row r="564" spans="1:20" x14ac:dyDescent="0.35">
      <c r="A564" s="7" t="s">
        <v>654</v>
      </c>
      <c r="B564" s="12" t="s">
        <v>66</v>
      </c>
      <c r="C564">
        <v>175031836.49247909</v>
      </c>
      <c r="D564">
        <v>170838650.25867975</v>
      </c>
      <c r="E564">
        <v>2003603.603603604</v>
      </c>
      <c r="F564">
        <v>3014414.4144144128</v>
      </c>
      <c r="G564">
        <v>63</v>
      </c>
      <c r="H564">
        <v>64</v>
      </c>
      <c r="K564">
        <v>66</v>
      </c>
      <c r="L564">
        <v>89</v>
      </c>
      <c r="M564">
        <v>19636666.666666664</v>
      </c>
      <c r="N564">
        <v>73232792.792792797</v>
      </c>
      <c r="O564">
        <v>109429594.5945946</v>
      </c>
      <c r="P564">
        <v>111519630.63063063</v>
      </c>
      <c r="Q564">
        <v>19049819.819819819</v>
      </c>
      <c r="R564">
        <v>46717477.477477483</v>
      </c>
      <c r="S564">
        <v>5507</v>
      </c>
      <c r="T564">
        <v>5004</v>
      </c>
    </row>
    <row r="565" spans="1:20" x14ac:dyDescent="0.35">
      <c r="A565" s="7" t="s">
        <v>655</v>
      </c>
      <c r="B565" s="12" t="s">
        <v>68</v>
      </c>
      <c r="C565">
        <v>304542374.0261274</v>
      </c>
      <c r="D565">
        <v>264143787.83507124</v>
      </c>
      <c r="E565">
        <v>507477.47747747798</v>
      </c>
      <c r="F565">
        <v>905405.40540540603</v>
      </c>
      <c r="G565">
        <v>83</v>
      </c>
      <c r="H565">
        <v>49</v>
      </c>
      <c r="I565">
        <v>4</v>
      </c>
      <c r="K565">
        <v>91</v>
      </c>
      <c r="L565">
        <v>53</v>
      </c>
      <c r="M565">
        <v>18885765.765765768</v>
      </c>
      <c r="N565">
        <v>12017117.117117116</v>
      </c>
      <c r="O565">
        <v>39149292.79279279</v>
      </c>
      <c r="P565">
        <v>36836000</v>
      </c>
      <c r="Q565">
        <v>15246936.936936935</v>
      </c>
      <c r="R565">
        <v>9928648.6486486495</v>
      </c>
      <c r="S565">
        <v>7306</v>
      </c>
      <c r="T565">
        <v>6953</v>
      </c>
    </row>
    <row r="566" spans="1:20" x14ac:dyDescent="0.35">
      <c r="A566" s="7" t="s">
        <v>14</v>
      </c>
      <c r="B566" s="12" t="s">
        <v>158</v>
      </c>
      <c r="C566">
        <v>124803570.97954968</v>
      </c>
      <c r="D566">
        <v>116678327.77489117</v>
      </c>
      <c r="E566">
        <v>535387236.93693697</v>
      </c>
      <c r="F566">
        <v>618977340.54054058</v>
      </c>
      <c r="G566">
        <v>13</v>
      </c>
      <c r="H566">
        <v>18</v>
      </c>
      <c r="K566">
        <v>13</v>
      </c>
      <c r="L566">
        <v>21</v>
      </c>
      <c r="M566">
        <v>37282166.666666672</v>
      </c>
      <c r="N566">
        <v>72935135.135135129</v>
      </c>
      <c r="O566">
        <v>41126927.927927926</v>
      </c>
      <c r="P566">
        <v>40277306.306306303</v>
      </c>
      <c r="Q566">
        <v>11776756.756756756</v>
      </c>
      <c r="R566">
        <v>30745045.045045048</v>
      </c>
      <c r="S566">
        <v>3997</v>
      </c>
      <c r="T566">
        <v>4252</v>
      </c>
    </row>
    <row r="567" spans="1:20" x14ac:dyDescent="0.35">
      <c r="A567" s="7" t="s">
        <v>656</v>
      </c>
      <c r="B567" s="12" t="s">
        <v>304</v>
      </c>
      <c r="C567">
        <v>114306073.08681668</v>
      </c>
      <c r="D567">
        <v>129096778.20648123</v>
      </c>
      <c r="E567">
        <v>43243.243243243996</v>
      </c>
      <c r="F567">
        <v>578378.37837837695</v>
      </c>
      <c r="G567">
        <v>39</v>
      </c>
      <c r="H567">
        <v>23</v>
      </c>
      <c r="K567">
        <v>45</v>
      </c>
      <c r="L567">
        <v>27</v>
      </c>
      <c r="M567">
        <v>21169369.369369369</v>
      </c>
      <c r="N567">
        <v>21041441.441441439</v>
      </c>
      <c r="O567">
        <v>35544216.216216214</v>
      </c>
      <c r="P567">
        <v>32956725.225225225</v>
      </c>
      <c r="Q567">
        <v>21758558.558558561</v>
      </c>
      <c r="R567">
        <v>19591441.441441439</v>
      </c>
      <c r="S567">
        <v>3278</v>
      </c>
      <c r="T567">
        <v>3042</v>
      </c>
    </row>
    <row r="568" spans="1:20" x14ac:dyDescent="0.35">
      <c r="A568" s="7" t="s">
        <v>657</v>
      </c>
      <c r="B568" s="12" t="s">
        <v>48</v>
      </c>
      <c r="C568">
        <v>179100334.19366062</v>
      </c>
      <c r="D568">
        <v>153149900.9432731</v>
      </c>
      <c r="E568">
        <v>483783.78378378297</v>
      </c>
      <c r="F568">
        <v>863963.96396396495</v>
      </c>
      <c r="G568">
        <v>9</v>
      </c>
      <c r="H568">
        <v>22</v>
      </c>
      <c r="K568">
        <v>12</v>
      </c>
      <c r="L568">
        <v>66</v>
      </c>
      <c r="M568">
        <v>24357477.47747748</v>
      </c>
      <c r="N568">
        <v>41534234.234234229</v>
      </c>
      <c r="O568">
        <v>52389900.9009009</v>
      </c>
      <c r="P568">
        <v>46857630.630630635</v>
      </c>
      <c r="Q568">
        <v>23427027.027027026</v>
      </c>
      <c r="R568">
        <v>37075675.675675683</v>
      </c>
      <c r="S568">
        <v>3355</v>
      </c>
      <c r="T568">
        <v>3140</v>
      </c>
    </row>
    <row r="569" spans="1:20" x14ac:dyDescent="0.35">
      <c r="A569" s="7" t="s">
        <v>658</v>
      </c>
      <c r="B569" s="12" t="s">
        <v>54</v>
      </c>
      <c r="C569">
        <v>50417148.737949297</v>
      </c>
      <c r="D569">
        <v>52136511.109499201</v>
      </c>
      <c r="E569">
        <v>194594.59459459499</v>
      </c>
      <c r="F569">
        <v>160360.36036036001</v>
      </c>
      <c r="G569">
        <v>6</v>
      </c>
      <c r="K569">
        <v>6</v>
      </c>
      <c r="M569">
        <v>6709909.9099099096</v>
      </c>
      <c r="N569">
        <v>3966666.666666667</v>
      </c>
      <c r="O569">
        <v>11342522.522522524</v>
      </c>
      <c r="P569">
        <v>12225585.585585585</v>
      </c>
      <c r="Q569">
        <v>5773963.963963964</v>
      </c>
      <c r="R569">
        <v>3895315.315315316</v>
      </c>
      <c r="S569">
        <v>1413</v>
      </c>
      <c r="T569">
        <v>1534</v>
      </c>
    </row>
    <row r="570" spans="1:20" x14ac:dyDescent="0.35">
      <c r="A570" s="7" t="s">
        <v>659</v>
      </c>
      <c r="B570" s="12" t="s">
        <v>50</v>
      </c>
      <c r="C570">
        <v>228095372.92935252</v>
      </c>
      <c r="D570">
        <v>224921675.52268398</v>
      </c>
      <c r="E570">
        <v>282612.61261261301</v>
      </c>
      <c r="F570">
        <v>662162.16216216295</v>
      </c>
      <c r="G570">
        <v>42</v>
      </c>
      <c r="H570">
        <v>36</v>
      </c>
      <c r="K570">
        <v>44</v>
      </c>
      <c r="L570">
        <v>50</v>
      </c>
      <c r="M570">
        <v>55265765.765765771</v>
      </c>
      <c r="N570">
        <v>54785765.765765771</v>
      </c>
      <c r="O570">
        <v>111387909.9099099</v>
      </c>
      <c r="P570">
        <v>111344945.94594595</v>
      </c>
      <c r="Q570">
        <v>51732432.432432435</v>
      </c>
      <c r="R570">
        <v>46339819.819819815</v>
      </c>
      <c r="S570">
        <v>6031</v>
      </c>
      <c r="T570">
        <v>6671</v>
      </c>
    </row>
    <row r="571" spans="1:20" x14ac:dyDescent="0.35">
      <c r="A571" s="7" t="s">
        <v>660</v>
      </c>
      <c r="B571" s="12" t="s">
        <v>83</v>
      </c>
      <c r="C571">
        <v>266256416.68852365</v>
      </c>
      <c r="D571">
        <v>278006427.85732919</v>
      </c>
      <c r="E571">
        <v>1432072.0720720729</v>
      </c>
      <c r="F571">
        <v>2000692.7927927929</v>
      </c>
      <c r="G571">
        <v>75</v>
      </c>
      <c r="H571">
        <v>77</v>
      </c>
      <c r="I571">
        <v>2</v>
      </c>
      <c r="K571">
        <v>84</v>
      </c>
      <c r="L571">
        <v>95</v>
      </c>
      <c r="M571">
        <v>30429819.819819819</v>
      </c>
      <c r="N571">
        <v>52599010.810810819</v>
      </c>
      <c r="O571">
        <v>63678117.117117122</v>
      </c>
      <c r="P571">
        <v>71928324.324324325</v>
      </c>
      <c r="Q571">
        <v>29865135.135135133</v>
      </c>
      <c r="R571">
        <v>25166981.981981985</v>
      </c>
      <c r="S571">
        <v>8957</v>
      </c>
      <c r="T571">
        <v>8606</v>
      </c>
    </row>
    <row r="572" spans="1:20" x14ac:dyDescent="0.35">
      <c r="A572" s="14" t="s">
        <v>665</v>
      </c>
      <c r="B572" s="15"/>
      <c r="C572" s="16">
        <v>116602091176.41451</v>
      </c>
      <c r="D572" s="16">
        <v>114185911373.17006</v>
      </c>
      <c r="E572" s="16">
        <v>21013736245.045067</v>
      </c>
      <c r="F572" s="16">
        <v>26753571445.045033</v>
      </c>
      <c r="G572" s="16">
        <v>33977</v>
      </c>
      <c r="H572" s="16">
        <v>34829</v>
      </c>
      <c r="I572" s="16">
        <v>314</v>
      </c>
      <c r="J572" s="16"/>
      <c r="K572" s="16">
        <v>43349</v>
      </c>
      <c r="L572" s="16">
        <v>53330</v>
      </c>
      <c r="M572" s="16">
        <v>22528640002.70269</v>
      </c>
      <c r="N572" s="16">
        <v>26115826856.756756</v>
      </c>
      <c r="O572" s="16">
        <v>32215521468.468452</v>
      </c>
      <c r="P572" s="16">
        <v>34210740677.927959</v>
      </c>
      <c r="Q572" s="16">
        <v>15969122127.927914</v>
      </c>
      <c r="R572" s="16">
        <v>17469885066.666656</v>
      </c>
      <c r="S572" s="16">
        <v>3716261</v>
      </c>
      <c r="T572" s="16">
        <v>3723957</v>
      </c>
    </row>
    <row r="573" spans="1:20" x14ac:dyDescent="0.35">
      <c r="A573" s="14" t="s">
        <v>665</v>
      </c>
      <c r="B573" s="15"/>
      <c r="C573" s="16">
        <v>47673468058.648651</v>
      </c>
      <c r="D573" s="16">
        <v>45725668552.77359</v>
      </c>
      <c r="E573" s="16">
        <v>6750684932.4324331</v>
      </c>
      <c r="F573" s="16">
        <v>7278150781.0810843</v>
      </c>
      <c r="G573" s="16">
        <v>10880</v>
      </c>
      <c r="H573" s="16">
        <v>11314</v>
      </c>
      <c r="I573" s="16">
        <v>93</v>
      </c>
      <c r="J573" s="16"/>
      <c r="K573" s="16">
        <v>14629</v>
      </c>
      <c r="L573" s="16">
        <v>18019</v>
      </c>
      <c r="M573" s="16">
        <v>8400560054.9549551</v>
      </c>
      <c r="N573" s="16">
        <v>7754327600.9009027</v>
      </c>
      <c r="O573" s="16">
        <v>12448176926.126125</v>
      </c>
      <c r="P573" s="16">
        <v>12632864741.441456</v>
      </c>
      <c r="Q573" s="16">
        <v>7587006075.6756754</v>
      </c>
      <c r="R573" s="16">
        <v>6448169836.0360336</v>
      </c>
      <c r="S573" s="16">
        <v>3709889</v>
      </c>
      <c r="T573" s="16">
        <v>3720143</v>
      </c>
    </row>
    <row r="574" spans="1:20" x14ac:dyDescent="0.35">
      <c r="A574" s="14" t="s">
        <v>665</v>
      </c>
      <c r="B574" s="15"/>
      <c r="C574" s="16">
        <v>40153713895.621635</v>
      </c>
      <c r="D574" s="16">
        <v>38575779599.806999</v>
      </c>
      <c r="E574" s="16">
        <v>6502331295.4955006</v>
      </c>
      <c r="F574" s="16">
        <v>4247491559.4594607</v>
      </c>
      <c r="G574" s="16">
        <v>8785</v>
      </c>
      <c r="H574" s="16">
        <v>9286</v>
      </c>
      <c r="I574" s="16">
        <v>84</v>
      </c>
      <c r="J574" s="16"/>
      <c r="K574" s="16">
        <v>12137</v>
      </c>
      <c r="L574" s="16">
        <v>15079</v>
      </c>
      <c r="M574" s="16">
        <v>7666294559.4594593</v>
      </c>
      <c r="N574" s="16">
        <v>6241563141.4414463</v>
      </c>
      <c r="O574" s="16">
        <v>10443902275.675674</v>
      </c>
      <c r="P574" s="16">
        <v>10632147763.963968</v>
      </c>
      <c r="Q574" s="16">
        <v>6156623830.6306314</v>
      </c>
      <c r="R574" s="16">
        <v>5391210214.4144135</v>
      </c>
      <c r="S574" s="16">
        <v>3710814</v>
      </c>
      <c r="T574" s="16">
        <v>3726702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2026-09-17T00:44:50Z</dcterms:modified>
</cp:coreProperties>
</file>