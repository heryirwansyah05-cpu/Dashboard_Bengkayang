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 activeTab="1"/>
  </bookViews>
  <sheets>
    <sheet name="Sheet1" sheetId="1" r:id="rId1"/>
    <sheet name="MASTER" sheetId="2" r:id="rId2"/>
  </sheets>
  <definedNames>
    <definedName name="_xlnm._FilterDatabase" localSheetId="0" hidden="1">Sheet1!$A$5:$T$22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7" i="1" l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6" i="1"/>
  <c r="W13" i="1" l="1"/>
  <c r="W8" i="1"/>
  <c r="W7" i="1"/>
  <c r="W9" i="1"/>
  <c r="W11" i="1"/>
  <c r="W6" i="1"/>
  <c r="W10" i="1"/>
  <c r="W22" i="1"/>
  <c r="W21" i="1"/>
  <c r="W12" i="1"/>
  <c r="W20" i="1"/>
  <c r="W19" i="1"/>
  <c r="W17" i="1"/>
  <c r="W18" i="1"/>
  <c r="W16" i="1"/>
  <c r="W15" i="1"/>
  <c r="W14" i="1"/>
  <c r="R7" i="1"/>
  <c r="S7" i="1"/>
  <c r="R8" i="1"/>
  <c r="S8" i="1"/>
  <c r="R9" i="1"/>
  <c r="S9" i="1"/>
  <c r="R10" i="1"/>
  <c r="S10" i="1"/>
  <c r="R11" i="1"/>
  <c r="S11" i="1"/>
  <c r="R12" i="1"/>
  <c r="S12" i="1"/>
  <c r="R13" i="1"/>
  <c r="S13" i="1"/>
  <c r="R14" i="1"/>
  <c r="S14" i="1"/>
  <c r="R15" i="1"/>
  <c r="S15" i="1"/>
  <c r="R16" i="1"/>
  <c r="S16" i="1"/>
  <c r="R17" i="1"/>
  <c r="S17" i="1"/>
  <c r="R18" i="1"/>
  <c r="S18" i="1"/>
  <c r="R19" i="1"/>
  <c r="S19" i="1"/>
  <c r="R20" i="1"/>
  <c r="S20" i="1"/>
  <c r="R21" i="1"/>
  <c r="S21" i="1"/>
  <c r="R22" i="1"/>
  <c r="S22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O16" i="1"/>
  <c r="P16" i="1"/>
  <c r="O17" i="1"/>
  <c r="P17" i="1"/>
  <c r="O18" i="1"/>
  <c r="P18" i="1"/>
  <c r="O19" i="1"/>
  <c r="P19" i="1"/>
  <c r="O20" i="1"/>
  <c r="P20" i="1"/>
  <c r="O21" i="1"/>
  <c r="P21" i="1"/>
  <c r="O22" i="1"/>
  <c r="P22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R6" i="1"/>
  <c r="S6" i="1"/>
  <c r="P6" i="1"/>
  <c r="O6" i="1"/>
  <c r="M6" i="1"/>
  <c r="L6" i="1"/>
  <c r="J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6" i="1"/>
  <c r="C7" i="1"/>
  <c r="D7" i="1"/>
  <c r="C8" i="1"/>
  <c r="D8" i="1"/>
  <c r="C9" i="1"/>
  <c r="D9" i="1"/>
  <c r="C10" i="1"/>
  <c r="D10" i="1"/>
  <c r="C11" i="1"/>
  <c r="D1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C19" i="1"/>
  <c r="D19" i="1"/>
  <c r="C20" i="1"/>
  <c r="D20" i="1"/>
  <c r="C21" i="1"/>
  <c r="D21" i="1"/>
  <c r="C22" i="1"/>
  <c r="D22" i="1"/>
  <c r="D6" i="1"/>
  <c r="C6" i="1"/>
  <c r="T20" i="1" l="1"/>
  <c r="T22" i="1"/>
  <c r="K17" i="1"/>
  <c r="K16" i="1"/>
  <c r="T21" i="1"/>
  <c r="N21" i="1"/>
  <c r="N22" i="1"/>
  <c r="Q21" i="1"/>
  <c r="Q22" i="1"/>
  <c r="Q20" i="1"/>
  <c r="N20" i="1"/>
  <c r="K15" i="1"/>
  <c r="K13" i="1"/>
  <c r="K18" i="1"/>
  <c r="K12" i="1"/>
  <c r="K11" i="1"/>
  <c r="K22" i="1"/>
  <c r="K10" i="1"/>
  <c r="K21" i="1"/>
  <c r="K9" i="1"/>
  <c r="K14" i="1"/>
  <c r="K20" i="1"/>
  <c r="K8" i="1"/>
  <c r="K19" i="1"/>
  <c r="K7" i="1"/>
  <c r="K6" i="1"/>
  <c r="H19" i="1"/>
  <c r="H7" i="1"/>
  <c r="H20" i="1"/>
  <c r="H8" i="1"/>
  <c r="H22" i="1"/>
  <c r="H10" i="1"/>
  <c r="H21" i="1"/>
  <c r="H9" i="1"/>
  <c r="H18" i="1"/>
  <c r="H6" i="1"/>
  <c r="H17" i="1"/>
  <c r="H16" i="1"/>
  <c r="H15" i="1"/>
  <c r="H14" i="1"/>
  <c r="H13" i="1"/>
  <c r="H12" i="1"/>
  <c r="H11" i="1"/>
  <c r="E20" i="1"/>
  <c r="E8" i="1"/>
  <c r="E13" i="1"/>
  <c r="E7" i="1"/>
  <c r="E18" i="1"/>
  <c r="E19" i="1"/>
  <c r="E17" i="1"/>
  <c r="E16" i="1"/>
  <c r="E15" i="1"/>
  <c r="E21" i="1"/>
  <c r="E9" i="1"/>
  <c r="E14" i="1"/>
  <c r="E12" i="1"/>
  <c r="E22" i="1"/>
  <c r="E10" i="1"/>
  <c r="E11" i="1"/>
  <c r="T15" i="1"/>
  <c r="T17" i="1"/>
  <c r="T14" i="1" l="1"/>
  <c r="T19" i="1"/>
  <c r="T7" i="1"/>
  <c r="T18" i="1"/>
  <c r="T16" i="1"/>
  <c r="T10" i="1"/>
  <c r="T11" i="1"/>
  <c r="T9" i="1"/>
  <c r="T8" i="1"/>
  <c r="T13" i="1"/>
  <c r="T12" i="1"/>
  <c r="T6" i="1"/>
  <c r="Q12" i="1" l="1"/>
  <c r="Q14" i="1"/>
  <c r="Q15" i="1"/>
  <c r="Q17" i="1"/>
  <c r="N10" i="1"/>
  <c r="N12" i="1"/>
  <c r="N6" i="1"/>
  <c r="Q16" i="1" l="1"/>
  <c r="N11" i="1"/>
  <c r="N8" i="1"/>
  <c r="Q10" i="1"/>
  <c r="Q19" i="1"/>
  <c r="Q7" i="1"/>
  <c r="N9" i="1"/>
  <c r="Q13" i="1"/>
  <c r="Q8" i="1"/>
  <c r="Q9" i="1"/>
  <c r="N16" i="1"/>
  <c r="N15" i="1"/>
  <c r="N19" i="1"/>
  <c r="N7" i="1"/>
  <c r="Q11" i="1"/>
  <c r="Q18" i="1"/>
  <c r="N18" i="1"/>
  <c r="N17" i="1"/>
  <c r="N14" i="1"/>
  <c r="N13" i="1"/>
  <c r="Q6" i="1"/>
  <c r="E6" i="1"/>
</calcChain>
</file>

<file path=xl/sharedStrings.xml><?xml version="1.0" encoding="utf-8"?>
<sst xmlns="http://schemas.openxmlformats.org/spreadsheetml/2006/main" count="1237" uniqueCount="678">
  <si>
    <t>KECAMATAN</t>
  </si>
  <si>
    <t>BENGKAYANG|BENGKAYANG</t>
  </si>
  <si>
    <t>CAPKALA|BENGKAYANG</t>
  </si>
  <si>
    <t>JAGOI BABANG|BENGKAYANG</t>
  </si>
  <si>
    <t>LEDO|BENGKAYANG</t>
  </si>
  <si>
    <t>LUMAR|BENGKAYANG</t>
  </si>
  <si>
    <t>MONTERADO|BENGKAYANG</t>
  </si>
  <si>
    <t>SAMALANTAN|BENGKAYANG</t>
  </si>
  <si>
    <t>SANGGAU LEDO|BENGKAYANG</t>
  </si>
  <si>
    <t>SELUAS|BENGKAYANG</t>
  </si>
  <si>
    <t>SUNGAI BETUNG|BENGKAYANG</t>
  </si>
  <si>
    <t>SUNGAI RAYA KEPULAUAN|BENGKAYANG</t>
  </si>
  <si>
    <t>SUNGAI RAYA|BENGKAYANG</t>
  </si>
  <si>
    <t>TERIAK|BENGKAYANG</t>
  </si>
  <si>
    <t>TUJUH BELAS|BENGKAYANG</t>
  </si>
  <si>
    <t>PARTNER</t>
  </si>
  <si>
    <t>SDP JAGOI BABANG</t>
  </si>
  <si>
    <t>SDP MONTERADO</t>
  </si>
  <si>
    <t>REVENUE MTD</t>
  </si>
  <si>
    <t>PRIMARY MTD</t>
  </si>
  <si>
    <t>SECONDARY MTD</t>
  </si>
  <si>
    <t>TERTIARY B# MTD</t>
  </si>
  <si>
    <t>TRADE SUPPLY MTD</t>
  </si>
  <si>
    <t>REVENUE LMTD</t>
  </si>
  <si>
    <t>PRIMARY LMTD</t>
  </si>
  <si>
    <t>SECONDARY LMTD</t>
  </si>
  <si>
    <t>TERTIARY B# LMTD</t>
  </si>
  <si>
    <t>TRADE SUPPLY LMTD</t>
  </si>
  <si>
    <t>VLR SUBS MTD</t>
  </si>
  <si>
    <t>VLR SUBS LMTD</t>
  </si>
  <si>
    <t>VLR_SUBS</t>
  </si>
  <si>
    <t>MTD</t>
  </si>
  <si>
    <t>LMTD</t>
  </si>
  <si>
    <t>GROWTH</t>
  </si>
  <si>
    <t>LEMBAH BAWANG|BENGKAYANG</t>
  </si>
  <si>
    <t>SIDING|BENGKAYANG</t>
  </si>
  <si>
    <t>SUTI SEMARANG|BENGKAYANG</t>
  </si>
  <si>
    <t>parameter</t>
  </si>
  <si>
    <t>Prepaid Rev</t>
  </si>
  <si>
    <t>Primary</t>
  </si>
  <si>
    <t>QSC 100MB</t>
  </si>
  <si>
    <t>RGUGA-Trad</t>
  </si>
  <si>
    <t>Secondary</t>
  </si>
  <si>
    <t>Tertiary B#</t>
  </si>
  <si>
    <t>Trade Supply</t>
  </si>
  <si>
    <t>kec_unik</t>
  </si>
  <si>
    <t>pt_id</t>
  </si>
  <si>
    <t>AIR UPAS|KETAPANG</t>
  </si>
  <si>
    <t>PT-PEMAHAN</t>
  </si>
  <si>
    <t>ALALAK|BARITO KUALA</t>
  </si>
  <si>
    <t>PT-MEKAR SARI</t>
  </si>
  <si>
    <t>ALUH-ALUH|BANJAR</t>
  </si>
  <si>
    <t>PT-MARTAPURA</t>
  </si>
  <si>
    <t>AMUNTAI SELATAN|HULU SUNGAI UTARA</t>
  </si>
  <si>
    <t>PT-TANJUNG</t>
  </si>
  <si>
    <t>AMUNTAI TENGAH|HULU SUNGAI UTARA</t>
  </si>
  <si>
    <t>AMUNTAI UTARA|HULU SUNGAI UTARA</t>
  </si>
  <si>
    <t>ANGGANA|KUTAI KARTANEGARA</t>
  </si>
  <si>
    <t>PT-TENGGARONG</t>
  </si>
  <si>
    <t>ANGKINANG|HULU SUNGAI SELATAN</t>
  </si>
  <si>
    <t>PT-KANDANGAN</t>
  </si>
  <si>
    <t>ANGSANA|TANAH BUMBU</t>
  </si>
  <si>
    <t>PT-BATULICIN</t>
  </si>
  <si>
    <t>ANJIR MUARA|BARITO KUALA</t>
  </si>
  <si>
    <t>ANJIR PASAR|BARITO KUALA</t>
  </si>
  <si>
    <t>ANJONGAN|MEMPAWAH</t>
  </si>
  <si>
    <t>PT-MEMPAWAH</t>
  </si>
  <si>
    <t>ANTANG KALANG|KOTAWARINGIN TIMUR</t>
  </si>
  <si>
    <t>PT-ANTANG KALANG</t>
  </si>
  <si>
    <t>ARANIO|BANJAR</t>
  </si>
  <si>
    <t>PT-KARANG INTAN</t>
  </si>
  <si>
    <t>ARUT SELATAN|KOTAWARINGIN BARAT</t>
  </si>
  <si>
    <t>PT-PANGKALANBUN</t>
  </si>
  <si>
    <t>ARUT UTARA|KOTAWARINGIN BARAT</t>
  </si>
  <si>
    <t>ASTAMBUL|BANJAR</t>
  </si>
  <si>
    <t>AWANG|BARITO TIMUR</t>
  </si>
  <si>
    <t>PT-SOUTH BARITO</t>
  </si>
  <si>
    <t>AWAYAN|BALANGAN</t>
  </si>
  <si>
    <t>PT-BARABAI</t>
  </si>
  <si>
    <t>BAAMANG|KOTAWARINGIN TIMUR</t>
  </si>
  <si>
    <t>PT-SAMPIT</t>
  </si>
  <si>
    <t>BABIRIK|HULU SUNGAI UTARA</t>
  </si>
  <si>
    <t>BABULU|PENAJAM PASER UTARA</t>
  </si>
  <si>
    <t>PT-PENAJAM</t>
  </si>
  <si>
    <t>BADAU|KAPUAS HULU</t>
  </si>
  <si>
    <t>PT-BADAU KAPUAS</t>
  </si>
  <si>
    <t>BAHAU HULU|MALINAU</t>
  </si>
  <si>
    <t>PT-MALINAU BARAT</t>
  </si>
  <si>
    <t>BAJUIN|TANAH LAUT</t>
  </si>
  <si>
    <t>PT-PELAIHARI</t>
  </si>
  <si>
    <t>BAKARANGAN|TAPIN</t>
  </si>
  <si>
    <t>BAKUMPAI|BARITO KUALA</t>
  </si>
  <si>
    <t>PT-MARABAHAN</t>
  </si>
  <si>
    <t>BALAI RIAM|SUKAMARA</t>
  </si>
  <si>
    <t>PT-LAMANDAU</t>
  </si>
  <si>
    <t>BALAI|SANGGAU</t>
  </si>
  <si>
    <t>PT-TAYAN HILIR</t>
  </si>
  <si>
    <t>BALIKPAPAN BARAT|KOTA BALIKPAPAN</t>
  </si>
  <si>
    <t>PT-BALIKPAPAN</t>
  </si>
  <si>
    <t>BALIKPAPAN KOTA|KOTA BALIKPAPAN</t>
  </si>
  <si>
    <t>BALIKPAPAN SELATAN|KOTA BALIKPAPAN</t>
  </si>
  <si>
    <t>BALIKPAPAN TENGAH|KOTA BALIKPAPAN</t>
  </si>
  <si>
    <t>BALIKPAPAN TIMUR|KOTA BALIKPAPAN</t>
  </si>
  <si>
    <t>BALIKPAPAN UTARA|KOTA BALIKPAPAN</t>
  </si>
  <si>
    <t>BANAMA TINGANG|PULANG PISAU</t>
  </si>
  <si>
    <t>PT-PULANG PISAU</t>
  </si>
  <si>
    <t>BANJANG|HULU SUNGAI UTARA</t>
  </si>
  <si>
    <t>BANJARBARU SELATAN|KOTA BANJARBARU</t>
  </si>
  <si>
    <t>PT-BANJARBARU</t>
  </si>
  <si>
    <t>BANJARBARU UTARA|KOTA BANJARBARU</t>
  </si>
  <si>
    <t>BANJARMASIN BARAT|KOTA BANJARMASIN</t>
  </si>
  <si>
    <t>PT-BANJARMASIN</t>
  </si>
  <si>
    <t>BANJARMASIN SELATAN|KOTA BANJARMASIN</t>
  </si>
  <si>
    <t>BANJARMASIN TENGAH|KOTA BANJARMASIN</t>
  </si>
  <si>
    <t>BANJARMASIN TIMUR|KOTA BANJARMASIN</t>
  </si>
  <si>
    <t>BANJARMASIN UTARA|KOTA BANJARMASIN</t>
  </si>
  <si>
    <t>BANUA LAWAS|TABALONG</t>
  </si>
  <si>
    <t>PT-LANDAK</t>
  </si>
  <si>
    <t>BARABAI|HULU SUNGAI TENGAH</t>
  </si>
  <si>
    <t>BARAMBAI|BARITO KUALA</t>
  </si>
  <si>
    <t>BARONG TONGKOK|KUTAI BARAT</t>
  </si>
  <si>
    <t>PT-MELAK</t>
  </si>
  <si>
    <t>BASARANG|KAPUAS</t>
  </si>
  <si>
    <t>PT-KAPUAS</t>
  </si>
  <si>
    <t>BATAGUH|KAPUAS</t>
  </si>
  <si>
    <t>PT-KAPUAS KUALA</t>
  </si>
  <si>
    <t>BATANG ALAI SELATAN|HULU SUNGAI TENGAH</t>
  </si>
  <si>
    <t>BATANG ALAI TIMUR|HULU SUNGAI TENGAH</t>
  </si>
  <si>
    <t>BATANG ALAI UTARA|HULU SUNGAI TENGAH</t>
  </si>
  <si>
    <t>BATANG LUPAR|KAPUAS HULU</t>
  </si>
  <si>
    <t>BATI - BATI|TANAH LAUT</t>
  </si>
  <si>
    <t>BATU AMPAR|KUBU RAYA</t>
  </si>
  <si>
    <t>PT-BATU AMPAR</t>
  </si>
  <si>
    <t>BATU AMPAR|KUTAI TIMUR</t>
  </si>
  <si>
    <t>PT-SANGATTA UTARA</t>
  </si>
  <si>
    <t>BATU AMPAR|SERUYAN</t>
  </si>
  <si>
    <t>PT-SERUYAN</t>
  </si>
  <si>
    <t>BATU AMPAR|TANAH LAUT</t>
  </si>
  <si>
    <t>BATU BENAWA|HULU SUNGAI TENGAH</t>
  </si>
  <si>
    <t>BATU ENGAU|PASER</t>
  </si>
  <si>
    <t>PT-GROGOT</t>
  </si>
  <si>
    <t>BATU LICIN|TANAH BUMBU</t>
  </si>
  <si>
    <t>BATU PUTIH|BERAU</t>
  </si>
  <si>
    <t>PT-BATU PUTIH</t>
  </si>
  <si>
    <t>BATU SOPANG|PASER</t>
  </si>
  <si>
    <t>BATUMANDI|BALANGAN</t>
  </si>
  <si>
    <t>BEDUWAI|SANGGAU</t>
  </si>
  <si>
    <t>PT-KEMBAYAN</t>
  </si>
  <si>
    <t>BELANTIKAN RAYA|LAMANDAU</t>
  </si>
  <si>
    <t>BELAWANG|BARITO KUALA</t>
  </si>
  <si>
    <t>BELIMBING HULU|MELAWI</t>
  </si>
  <si>
    <t>PT-BELIMBING</t>
  </si>
  <si>
    <t>BELIMBING|MELAWI</t>
  </si>
  <si>
    <t>BELITANG HILIR|SEKADAU</t>
  </si>
  <si>
    <t>PT-BELITANG</t>
  </si>
  <si>
    <t>BELITANG HULU|SEKADAU</t>
  </si>
  <si>
    <t>BELITANG|SEKADAU</t>
  </si>
  <si>
    <t>BENGALON|KUTAI TIMUR</t>
  </si>
  <si>
    <t>PT-JAGOI BABANG</t>
  </si>
  <si>
    <t>BENTIAN BESAR|KUTAI BARAT</t>
  </si>
  <si>
    <t>BENUA KAYONG|KETAPANG</t>
  </si>
  <si>
    <t>PT-KETAPANG</t>
  </si>
  <si>
    <t>BENUA LIMA|BARITO TIMUR</t>
  </si>
  <si>
    <t>BERUNTUNG BARU|BANJAR</t>
  </si>
  <si>
    <t>BETAYAU|TANA TIDUNG</t>
  </si>
  <si>
    <t>BIATAN|BERAU</t>
  </si>
  <si>
    <t>BIKA|KAPUAS HULU</t>
  </si>
  <si>
    <t>PT-PUTUSSIBAU</t>
  </si>
  <si>
    <t>BINJAI HULU|SINTANG</t>
  </si>
  <si>
    <t>PT-SINTANG</t>
  </si>
  <si>
    <t>BINTANG ARA|TABALONG</t>
  </si>
  <si>
    <t>BINUANG|TAPIN</t>
  </si>
  <si>
    <t>BONGAN|KUTAI BARAT</t>
  </si>
  <si>
    <t>BONTANG BARAT|KOTA BONTANG</t>
  </si>
  <si>
    <t>PT-BONTANG</t>
  </si>
  <si>
    <t>BONTANG SELATAN|KOTA BONTANG</t>
  </si>
  <si>
    <t>BONTANG UTARA|KOTA BONTANG</t>
  </si>
  <si>
    <t>BONTI|SANGGAU</t>
  </si>
  <si>
    <t>PT-SANGGAU</t>
  </si>
  <si>
    <t>BOYAN TANJUNG|KAPUAS HULU</t>
  </si>
  <si>
    <t>BUKIT BATU|KOTA PALANGKARAYA</t>
  </si>
  <si>
    <t>PT-PALANGKARAYA</t>
  </si>
  <si>
    <t>BULIK TIMUR|LAMANDAU</t>
  </si>
  <si>
    <t>BULIK|LAMANDAU</t>
  </si>
  <si>
    <t>BUMI MAKMUR|TANAH LAUT</t>
  </si>
  <si>
    <t>BUNGUR|TAPIN</t>
  </si>
  <si>
    <t>BUNUT HILIR|KAPUAS HULU</t>
  </si>
  <si>
    <t>BUNUT HULU|KAPUAS HULU</t>
  </si>
  <si>
    <t>BUNYU|BULUNGAN</t>
  </si>
  <si>
    <t>PT-TANJUNG SELOR</t>
  </si>
  <si>
    <t>BUSANG|KUTAI TIMUR</t>
  </si>
  <si>
    <t>CANDI LARAS SELATAN|TAPIN</t>
  </si>
  <si>
    <t>CANDI LARAS UTARA|TAPIN</t>
  </si>
  <si>
    <t>PT-MONTERADO</t>
  </si>
  <si>
    <t>CEMPAGA HULU|KOTAWARINGIN TIMUR</t>
  </si>
  <si>
    <t>PT-PARENGGEAN</t>
  </si>
  <si>
    <t>CEMPAGA|KOTAWARINGIN TIMUR</t>
  </si>
  <si>
    <t>CEMPAKA|KOTA BANJARBARU</t>
  </si>
  <si>
    <t>CERBON|BARITO KUALA</t>
  </si>
  <si>
    <t>DADAHUP|KAPUAS</t>
  </si>
  <si>
    <t>DAHA SELATAN|HULU SUNGAI SELATAN</t>
  </si>
  <si>
    <t>DAHA UTARA|HULU SUNGAI SELATAN</t>
  </si>
  <si>
    <t>DAMAI|KUTAI BARAT</t>
  </si>
  <si>
    <t>DANAU PANGGANG|HULU SUNGAI UTARA</t>
  </si>
  <si>
    <t>DANAU SELULUK|SERUYAN</t>
  </si>
  <si>
    <t>DANAU SEMBULUH|SERUYAN</t>
  </si>
  <si>
    <t>DEDAI|SINTANG</t>
  </si>
  <si>
    <t>DELTA PAWAN|KETAPANG</t>
  </si>
  <si>
    <t>DUSUN HILIR|BARITO SELATAN</t>
  </si>
  <si>
    <t>DUSUN SELATAN|BARITO SELATAN</t>
  </si>
  <si>
    <t>DUSUN TENGAH|BARITO TIMUR</t>
  </si>
  <si>
    <t>DUSUN TIMUR|BARITO TIMUR</t>
  </si>
  <si>
    <t>DUSUN UTARA|BARITO SELATAN</t>
  </si>
  <si>
    <t>ELLA HILIR|MELAWI</t>
  </si>
  <si>
    <t>PT-MELAWI</t>
  </si>
  <si>
    <t>EMBALOH HILIR|KAPUAS HULU</t>
  </si>
  <si>
    <t>EMBALOH HULU|KAPUAS HULU</t>
  </si>
  <si>
    <t>EMPANANG|KAPUAS HULU</t>
  </si>
  <si>
    <t>ENTIKONG|SANGGAU</t>
  </si>
  <si>
    <t>GALING|SAMBAS</t>
  </si>
  <si>
    <t>PT-SAMBAS</t>
  </si>
  <si>
    <t>GAMBUT|BANJAR</t>
  </si>
  <si>
    <t>GUNUNG BINTANG AWAI|BARITO SELATAN</t>
  </si>
  <si>
    <t>GUNUNG PUREI|BARITO UTARA</t>
  </si>
  <si>
    <t>PT-NORTH BARITO</t>
  </si>
  <si>
    <t>GUNUNG TABUR|BERAU</t>
  </si>
  <si>
    <t>GUNUNG TIMANG|BARITO UTARA</t>
  </si>
  <si>
    <t>HALONG|BALANGAN</t>
  </si>
  <si>
    <t>HANAU|SERUYAN</t>
  </si>
  <si>
    <t>HANTAKAN|HULU SUNGAI TENGAH</t>
  </si>
  <si>
    <t>HARUAI|TABALONG</t>
  </si>
  <si>
    <t>HARUYAN|HULU SUNGAI TENGAH</t>
  </si>
  <si>
    <t>HATUNGUN|TAPIN</t>
  </si>
  <si>
    <t>HAUR GADING|HULU SUNGAI UTARA</t>
  </si>
  <si>
    <t>HULU GURUNG|KAPUAS HULU</t>
  </si>
  <si>
    <t>HULU SUNGAI|KETAPANG</t>
  </si>
  <si>
    <t>PT-SANDAI</t>
  </si>
  <si>
    <t>JABIREN RAYA|PULANG PISAU</t>
  </si>
  <si>
    <t>JANGKANG|SANGGAU</t>
  </si>
  <si>
    <t>JARO|TABALONG</t>
  </si>
  <si>
    <t>JAWAI SELATAN|SAMBAS</t>
  </si>
  <si>
    <t>PT-JAWAI</t>
  </si>
  <si>
    <t>JAWAI|SAMBAS</t>
  </si>
  <si>
    <t>JEJANGKIT|BARITO KUALA</t>
  </si>
  <si>
    <t>JEKAN RAYA|KOTA PALANGKARAYA</t>
  </si>
  <si>
    <t>JELAI HULU|KETAPANG</t>
  </si>
  <si>
    <t>JELAI|SUKAMARA</t>
  </si>
  <si>
    <t>JELIMPO|LANDAK</t>
  </si>
  <si>
    <t>JEMPANG|KUTAI BARAT</t>
  </si>
  <si>
    <t>JENAMAS|BARITO SELATAN</t>
  </si>
  <si>
    <t>JONGKONG|KAPUAS HULU</t>
  </si>
  <si>
    <t>JORONG|TANAH LAUT</t>
  </si>
  <si>
    <t>JUAI|BALANGAN</t>
  </si>
  <si>
    <t>KAHAYAN HILIR|PULANG PISAU</t>
  </si>
  <si>
    <t>KAHAYAN KUALA|PULANG PISAU</t>
  </si>
  <si>
    <t>KAHAYAN TENGAH|PULANG PISAU</t>
  </si>
  <si>
    <t>KALIORANG|KUTAI TIMUR</t>
  </si>
  <si>
    <t>KALIS|KAPUAS HULU</t>
  </si>
  <si>
    <t>KALUMPANG|HULU SUNGAI SELATAN</t>
  </si>
  <si>
    <t>KAMIPANG|KATINGAN</t>
  </si>
  <si>
    <t>PT-BUKIT RAYA</t>
  </si>
  <si>
    <t>KANDANGAN|HULU SUNGAI SELATAN</t>
  </si>
  <si>
    <t>KAPUAS BARAT|KAPUAS</t>
  </si>
  <si>
    <t>KAPUAS HILIR|KAPUAS</t>
  </si>
  <si>
    <t>KAPUAS KUALA|KAPUAS</t>
  </si>
  <si>
    <t>KAPUAS MURUNG|KAPUAS</t>
  </si>
  <si>
    <t>KAPUAS TIMUR|KAPUAS</t>
  </si>
  <si>
    <t>KAPUAS|SANGGAU</t>
  </si>
  <si>
    <t>KARANG BINTANG|TANAH BUMBU</t>
  </si>
  <si>
    <t>KARANG INTAN|BANJAR</t>
  </si>
  <si>
    <t>KARANGAN|KUTAI TIMUR</t>
  </si>
  <si>
    <t>KARAU KUALA|BARITO SELATAN</t>
  </si>
  <si>
    <t>KARUSEN JANANG|BARITO TIMUR</t>
  </si>
  <si>
    <t>KATINGAN HILIR|KATINGAN</t>
  </si>
  <si>
    <t>KATINGAN KUALA|KATINGAN</t>
  </si>
  <si>
    <t>KATINGAN TENGAH|KATINGAN</t>
  </si>
  <si>
    <t>KAUBUN|KUTAI TIMUR</t>
  </si>
  <si>
    <t>KAYAN HILIR|SINTANG</t>
  </si>
  <si>
    <t>KAYAN HULU|SINTANG</t>
  </si>
  <si>
    <t>KAYAN SELATAN|MALINAU</t>
  </si>
  <si>
    <t>KELAM PERMAI|SINTANG</t>
  </si>
  <si>
    <t>KELUA|TABALONG</t>
  </si>
  <si>
    <t>KELUMPANG BARAT|KOTABARU</t>
  </si>
  <si>
    <t>PT-KOTABARU</t>
  </si>
  <si>
    <t>KELUMPANG HILIR|KOTABARU</t>
  </si>
  <si>
    <t>KELUMPANG HULU|KOTABARU</t>
  </si>
  <si>
    <t>KELUMPANG SELATAN|KOTABARU</t>
  </si>
  <si>
    <t>KELUMPANG TENGAH|KOTABARU</t>
  </si>
  <si>
    <t>KELUMPANG UTARA|KOTABARU</t>
  </si>
  <si>
    <t>KEMBANG JANGGUT|KUTAI KARTANEGARA</t>
  </si>
  <si>
    <t>PT-MUARA KAMAN</t>
  </si>
  <si>
    <t>KEMBAYAN|SANGGAU</t>
  </si>
  <si>
    <t>KENDAWANGAN|KETAPANG</t>
  </si>
  <si>
    <t>PT-KENDAWANGAN</t>
  </si>
  <si>
    <t>KENOHAN|KUTAI KARTANEGARA</t>
  </si>
  <si>
    <t>KERTAK HANYAR|BANJAR</t>
  </si>
  <si>
    <t>KETUNGAU HILIR|SINTANG</t>
  </si>
  <si>
    <t>KETUNGAU TENGAH|SINTANG</t>
  </si>
  <si>
    <t>KINTAP|TANAH LAUT</t>
  </si>
  <si>
    <t>KONGBENG|KUTAI TIMUR</t>
  </si>
  <si>
    <t>KOTA BANGUN|KUTAI KARTANEGARA</t>
  </si>
  <si>
    <t>KOTA BESI|KOTAWARINGIN TIMUR</t>
  </si>
  <si>
    <t>KOTAWARINGIN LAMA|KOTAWARINGIN BARAT</t>
  </si>
  <si>
    <t>KRAYAN BARAT|NUNUKAN</t>
  </si>
  <si>
    <t>PT-NUNUKAN</t>
  </si>
  <si>
    <t>KUALA BEHE|LANDAK</t>
  </si>
  <si>
    <t>KUALA MANDOR-B|KUBU RAYA</t>
  </si>
  <si>
    <t>PT-KUBU RAYA</t>
  </si>
  <si>
    <t>KUARO|PASER</t>
  </si>
  <si>
    <t>KUBU|KUBU RAYA</t>
  </si>
  <si>
    <t>KUMAI|KOTAWARINGIN BARAT</t>
  </si>
  <si>
    <t>KURANJI|TANAH BUMBU</t>
  </si>
  <si>
    <t>KURAU|TANAH LAUT</t>
  </si>
  <si>
    <t>KURIPAN|BARITO KUALA</t>
  </si>
  <si>
    <t>KURUN|GUNUNG MAS</t>
  </si>
  <si>
    <t>PT-RUNGAN</t>
  </si>
  <si>
    <t>KUSAN HILIR|TANAH BUMBU</t>
  </si>
  <si>
    <t>KUSAN HULU|TANAH BUMBU</t>
  </si>
  <si>
    <t>LABUAN AMAS SELATAN|HULU SUNGAI TENGAH</t>
  </si>
  <si>
    <t>LABUAN AMAS UTARA|HULU SUNGAI TENGAH</t>
  </si>
  <si>
    <t>LAHAM|MAHAKAM ULU</t>
  </si>
  <si>
    <t>LAHEI BARAT|BARITO UTARA</t>
  </si>
  <si>
    <t>LAHEI|BARITO UTARA</t>
  </si>
  <si>
    <t>LAMPIHONG|BALANGAN</t>
  </si>
  <si>
    <t>LANDASAN ULIN|KOTA BANJARBARU</t>
  </si>
  <si>
    <t>LAUNG TUHUP|MURUNG RAYA</t>
  </si>
  <si>
    <t>LIANG ANGGANG|KOTA BANJARBARU</t>
  </si>
  <si>
    <t>LIMPASU|HULU SUNGAI TENGAH</t>
  </si>
  <si>
    <t>LINGGANG BIGUNG|KUTAI BARAT</t>
  </si>
  <si>
    <t>LOA JANAN ILIR|KOTA SAMARINDA</t>
  </si>
  <si>
    <t>PT-SAMARINDA</t>
  </si>
  <si>
    <t>LOA JANAN|KUTAI KARTANEGARA</t>
  </si>
  <si>
    <t>LOA KULU|KUTAI KARTANEGARA</t>
  </si>
  <si>
    <t>LOKPAIKAT|TAPIN</t>
  </si>
  <si>
    <t>LOKSADO|HULU SUNGAI SELATAN</t>
  </si>
  <si>
    <t>LONG APARI|MAHAKAM ULU</t>
  </si>
  <si>
    <t>LONG BAGUN|MAHAKAM ULU</t>
  </si>
  <si>
    <t>LONG HUBUNG|MAHAKAM ULU</t>
  </si>
  <si>
    <t>LONG IKIS|PASER</t>
  </si>
  <si>
    <t>LONG IRAM|KUTAI BARAT</t>
  </si>
  <si>
    <t>LONG KALI|PASER</t>
  </si>
  <si>
    <t>LONG MESANGAT|KUTAI TIMUR</t>
  </si>
  <si>
    <t>LONG PAHANGAI|MAHAKAM ULU</t>
  </si>
  <si>
    <t>LUMBIS|NUNUKAN</t>
  </si>
  <si>
    <t>MALIKU|PULANG PISAU</t>
  </si>
  <si>
    <t>MALINAU BARAT|MALINAU</t>
  </si>
  <si>
    <t>MALINAU KOTA|MALINAU</t>
  </si>
  <si>
    <t>MALINAU SELATAN HILIR|MALINAU</t>
  </si>
  <si>
    <t>MALINAU SELATAN HULU|MALINAU</t>
  </si>
  <si>
    <t>MALINAU SELATAN|MALINAU</t>
  </si>
  <si>
    <t>MALINAU UTARA|MALINAU</t>
  </si>
  <si>
    <t>MANDASTANA|BARITO KUALA</t>
  </si>
  <si>
    <t>MANDAU TALAWANG|KAPUAS</t>
  </si>
  <si>
    <t>MANDOR|LANDAK</t>
  </si>
  <si>
    <t>PT-MANDOR</t>
  </si>
  <si>
    <t>MANIS MATA|KETAPANG</t>
  </si>
  <si>
    <t>MANTANGAI|KAPUAS</t>
  </si>
  <si>
    <t>MANTEWE|TANAH BUMBU</t>
  </si>
  <si>
    <t>MANUHING RAYA|GUNUNG MAS</t>
  </si>
  <si>
    <t>MANUHING|GUNUNG MAS</t>
  </si>
  <si>
    <t>MARABAHAN|BARITO KUALA</t>
  </si>
  <si>
    <t>MARANG KAYU|KUTAI KARTANEGARA</t>
  </si>
  <si>
    <t>MARAU|KETAPANG</t>
  </si>
  <si>
    <t>MARTAPURA BARAT|BANJAR</t>
  </si>
  <si>
    <t>MARTAPURA TIMUR|BANJAR</t>
  </si>
  <si>
    <t>MARTAPURA|BANJAR</t>
  </si>
  <si>
    <t>MATAN HILIR SELATAN|KETAPANG</t>
  </si>
  <si>
    <t>MATAN HILIR UTARA|KETAPANG</t>
  </si>
  <si>
    <t>PT-MUARA PAWAN</t>
  </si>
  <si>
    <t>MATARAMAN|BANJAR</t>
  </si>
  <si>
    <t>MEKAR SARI|BARITO KUALA</t>
  </si>
  <si>
    <t>MELAK|KUTAI BARAT</t>
  </si>
  <si>
    <t>MELIAU|SANGGAU</t>
  </si>
  <si>
    <t>PT-MELIAU</t>
  </si>
  <si>
    <t>MEMPAWAH HILIR|MEMPAWAH</t>
  </si>
  <si>
    <t>MEMPAWAH HULU|LANDAK</t>
  </si>
  <si>
    <t>MEMPAWAH TIMUR|MEMPAWAH</t>
  </si>
  <si>
    <t>MENDAWAI|KATINGAN</t>
  </si>
  <si>
    <t>MENJALIN|LANDAK</t>
  </si>
  <si>
    <t>MENTARANG HULU|MALINAU</t>
  </si>
  <si>
    <t>MENTARANG|MALINAU</t>
  </si>
  <si>
    <t>MENTAWA BARU KETAPANG|KOTAWARINGIN TIMUR</t>
  </si>
  <si>
    <t>MENTAYA HILIR SELATAN|KOTAWARINGIN TIMUR</t>
  </si>
  <si>
    <t>MENTAYA HILIR UTARA|KOTAWARINGIN TIMUR</t>
  </si>
  <si>
    <t>MENTAYA HULU|KOTAWARINGIN TIMUR</t>
  </si>
  <si>
    <t>MENTEBAH|KAPUAS HULU</t>
  </si>
  <si>
    <t>MENTHOBI RAYA|LAMANDAU</t>
  </si>
  <si>
    <t>MENUKUNG|MELAWI</t>
  </si>
  <si>
    <t>MENYUKE|LANDAK</t>
  </si>
  <si>
    <t>MIHING RAYA|GUNUNG MAS</t>
  </si>
  <si>
    <t>MONTALLAT|BARITO UTARA</t>
  </si>
  <si>
    <t>MOOK MANAAR BULATN|KUTAI BARAT</t>
  </si>
  <si>
    <t>MUARA ANCALONG|KUTAI TIMUR</t>
  </si>
  <si>
    <t>MUARA BADAK|KUTAI KARTANEGARA</t>
  </si>
  <si>
    <t>MUARA BENGKAL|KUTAI TIMUR</t>
  </si>
  <si>
    <t>MUARA HARUS|TABALONG</t>
  </si>
  <si>
    <t>MUARA JAWA|KUTAI KARTANEGARA</t>
  </si>
  <si>
    <t>PT-SAMBOJA</t>
  </si>
  <si>
    <t>MUARA KAMAN|KUTAI KARTANEGARA</t>
  </si>
  <si>
    <t>PT-SEBULU</t>
  </si>
  <si>
    <t>MUARA KOMAM|PASER</t>
  </si>
  <si>
    <t>MUARA LAWA|KUTAI BARAT</t>
  </si>
  <si>
    <t>MUARA MUNTAI|KUTAI KARTANEGARA</t>
  </si>
  <si>
    <t>MUARA PAHU|KUTAI BARAT</t>
  </si>
  <si>
    <t>MUARA PAWAN|KETAPANG</t>
  </si>
  <si>
    <t>MUARA SAMU|PASER</t>
  </si>
  <si>
    <t>MUARA UYA|TABALONG</t>
  </si>
  <si>
    <t>MUARA WAHAU|KUTAI TIMUR</t>
  </si>
  <si>
    <t>MUARA WIS|KUTAI KARTANEGARA</t>
  </si>
  <si>
    <t>MUKOK|SANGGAU</t>
  </si>
  <si>
    <t>MURUNG PUDAK|TABALONG</t>
  </si>
  <si>
    <t>MURUNG|MURUNG RAYA</t>
  </si>
  <si>
    <t>NANGA MAHAP|SEKADAU</t>
  </si>
  <si>
    <t>PT-SEKADAU</t>
  </si>
  <si>
    <t>NANGA PINOH|MELAWI</t>
  </si>
  <si>
    <t>NANGA TAMAN|SEKADAU</t>
  </si>
  <si>
    <t>NANGA TAYAP|KETAPANG</t>
  </si>
  <si>
    <t>NGABANG|LANDAK</t>
  </si>
  <si>
    <t>NOYAN|SANGGAU</t>
  </si>
  <si>
    <t>NUNUKAN SELATAN|NUNUKAN</t>
  </si>
  <si>
    <t>NUNUKAN|NUNUKAN</t>
  </si>
  <si>
    <t>NYUATAN|KUTAI BARAT</t>
  </si>
  <si>
    <t>PADANG BATUNG|HULU SUNGAI SELATAN</t>
  </si>
  <si>
    <t>PAHANDUT|KOTA PALANGKARAYA</t>
  </si>
  <si>
    <t>PAJU EPAT|BARITO TIMUR</t>
  </si>
  <si>
    <t>PAKU|BARITO TIMUR</t>
  </si>
  <si>
    <t>PALARAN|KOTA SAMARINDA</t>
  </si>
  <si>
    <t>PALOH|SAMBAS</t>
  </si>
  <si>
    <t>PAMUKAN BARAT|KOTABARU</t>
  </si>
  <si>
    <t>PAMUKAN SELATAN|KOTABARU</t>
  </si>
  <si>
    <t>PAMUKAN UTARA|KOTABARU</t>
  </si>
  <si>
    <t>PANDAWAN|HULU SUNGAI TENGAH</t>
  </si>
  <si>
    <t>PANDIH BATU|PULANG PISAU</t>
  </si>
  <si>
    <t>PANGKALAN BANTENG|KOTAWARINGIN BARAT</t>
  </si>
  <si>
    <t>PANGKALAN LADA|KOTAWARINGIN BARAT</t>
  </si>
  <si>
    <t>PANTAI LUNCI|SUKAMARA</t>
  </si>
  <si>
    <t>PANYIPATAN|TANAH LAUT</t>
  </si>
  <si>
    <t>PARAMASAN|BANJAR</t>
  </si>
  <si>
    <t>PARENGGEAN|KOTAWARINGIN TIMUR</t>
  </si>
  <si>
    <t>PARINDU|SANGGAU</t>
  </si>
  <si>
    <t>PARINGIN SELATAN|BALANGAN</t>
  </si>
  <si>
    <t>PARINGIN|BALANGAN</t>
  </si>
  <si>
    <t>PASAK TALAWANG|KAPUAS</t>
  </si>
  <si>
    <t>PASER BELENGKONG|PASER</t>
  </si>
  <si>
    <t>PATANGKEP TUTUI|BARITO TIMUR</t>
  </si>
  <si>
    <t>PELAIHARI|TANAH LAUT</t>
  </si>
  <si>
    <t>PEMAHAN|KETAPANG</t>
  </si>
  <si>
    <t>PEMANGKAT|SAMBAS</t>
  </si>
  <si>
    <t>PT-PEMANGKAT</t>
  </si>
  <si>
    <t>PEMATANG KARAU|BARITO TIMUR</t>
  </si>
  <si>
    <t>PENAJAM|PENAJAM PASER UTARA</t>
  </si>
  <si>
    <t>PENGARON|BANJAR</t>
  </si>
  <si>
    <t>PENGKADAN|KAPUAS HULU</t>
  </si>
  <si>
    <t>PENYINGGAHAN|KUTAI BARAT</t>
  </si>
  <si>
    <t>PERMATA INTAN|MURUNG RAYA</t>
  </si>
  <si>
    <t>PERMATA KECUBUNG|SUKAMARA</t>
  </si>
  <si>
    <t>PIANI|TAPIN</t>
  </si>
  <si>
    <t>PINOH UTARA|MELAWI</t>
  </si>
  <si>
    <t>PONTIANAK BARAT|KOTA PONTIANAK</t>
  </si>
  <si>
    <t>PT-PONTIANAK</t>
  </si>
  <si>
    <t>PONTIANAK KOTA|KOTA PONTIANAK</t>
  </si>
  <si>
    <t>PONTIANAK SELATAN|KOTA PONTIANAK</t>
  </si>
  <si>
    <t>PONTIANAK TENGGARA|KOTA PONTIANAK</t>
  </si>
  <si>
    <t>PONTIANAK TIMUR|KOTA PONTIANAK</t>
  </si>
  <si>
    <t>PONTIANAK UTARA|KOTA PONTIANAK</t>
  </si>
  <si>
    <t>PUGAAN|TABALONG</t>
  </si>
  <si>
    <t>PUJUNGAN|MALINAU</t>
  </si>
  <si>
    <t>PULAU DERAWAN|BERAU</t>
  </si>
  <si>
    <t>PULAU HANAUT|KOTAWARINGIN TIMUR</t>
  </si>
  <si>
    <t>PULAU LAUT BARAT|KOTABARU</t>
  </si>
  <si>
    <t>PT-PULAU LAUT UTARA</t>
  </si>
  <si>
    <t>PULAU LAUT KEPULAUAN|KOTABARU</t>
  </si>
  <si>
    <t>PULAU LAUT SELATAN|KOTABARU</t>
  </si>
  <si>
    <t>PULAU LAUT TANJUNG SELAYAR|KOTABARU</t>
  </si>
  <si>
    <t>PULAU LAUT TENGAH|KOTABARU</t>
  </si>
  <si>
    <t>PULAU LAUT TIMUR|KOTABARU</t>
  </si>
  <si>
    <t>PULAU LAUT UTARA|KOTABARU</t>
  </si>
  <si>
    <t>PULAU MALAN|KATINGAN</t>
  </si>
  <si>
    <t>PULAU MAYA|KAYONG UTARA</t>
  </si>
  <si>
    <t>PT-KAYONG UTARA</t>
  </si>
  <si>
    <t>PULAU PETAK|KAPUAS</t>
  </si>
  <si>
    <t>PULAU SEBUKU|KOTABARU</t>
  </si>
  <si>
    <t>PUTUSSIBAU SELATAN|KAPUAS HULU</t>
  </si>
  <si>
    <t>PUTUSSIBAU UTARA|KAPUAS HULU</t>
  </si>
  <si>
    <t>RANTAU BADAUH|BARITO KUALA</t>
  </si>
  <si>
    <t>RANTAU PULUNG|KUTAI TIMUR</t>
  </si>
  <si>
    <t>RAREN BATUAH|BARITO TIMUR</t>
  </si>
  <si>
    <t>RASAU JAYA|KUBU RAYA</t>
  </si>
  <si>
    <t>RUNGAN|GUNUNG MAS</t>
  </si>
  <si>
    <t>SABANGAU|KOTA PALANGKARAYA</t>
  </si>
  <si>
    <t>SAJAD|SAMBAS</t>
  </si>
  <si>
    <t>SAJINGAN BESAR|SAMBAS</t>
  </si>
  <si>
    <t>SALAM BABARIS|TAPIN</t>
  </si>
  <si>
    <t>SALATIGA|SAMBAS</t>
  </si>
  <si>
    <t>SAMARINDA ILIR|KOTA SAMARINDA</t>
  </si>
  <si>
    <t>SAMARINDA KOTA|KOTA SAMARINDA</t>
  </si>
  <si>
    <t>SAMARINDA SEBERANG|KOTA SAMARINDA</t>
  </si>
  <si>
    <t>SAMARINDA ULU|KOTA SAMARINDA</t>
  </si>
  <si>
    <t>SAMARINDA UTARA|KOTA SAMARINDA</t>
  </si>
  <si>
    <t>SAMBALIUNG|BERAU</t>
  </si>
  <si>
    <t>SAMBAS|SAMBAS</t>
  </si>
  <si>
    <t>SAMBOJA|KUTAI KARTANEGARA</t>
  </si>
  <si>
    <t>SAMBUNG MAKMUR|BANJAR</t>
  </si>
  <si>
    <t>SAMBUTAN|KOTA SAMARINDA</t>
  </si>
  <si>
    <t>SAMPANAHAN|KOTABARU</t>
  </si>
  <si>
    <t>SANAMAN MANTIKEI|KATINGAN</t>
  </si>
  <si>
    <t>SANDAI|KETAPANG</t>
  </si>
  <si>
    <t>SANDARAN|KUTAI TIMUR</t>
  </si>
  <si>
    <t>SANGASANGA|KUTAI KARTANEGARA</t>
  </si>
  <si>
    <t>SANGATTA SELATAN|KUTAI TIMUR</t>
  </si>
  <si>
    <t>SANGATTA UTARA|KUTAI TIMUR</t>
  </si>
  <si>
    <t>SANGKULIRANG|KUTAI TIMUR</t>
  </si>
  <si>
    <t>SATUI|TANAH BUMBU</t>
  </si>
  <si>
    <t>SEBANGKI|LANDAK</t>
  </si>
  <si>
    <t>SEBATIK BARAT|NUNUKAN</t>
  </si>
  <si>
    <t>SEBATIK TIMUR|NUNUKAN</t>
  </si>
  <si>
    <t>SEBATIK UTARA|NUNUKAN</t>
  </si>
  <si>
    <t>SEBATIK|NUNUKAN</t>
  </si>
  <si>
    <t>SEBAWI|SAMBAS</t>
  </si>
  <si>
    <t>SEBERUANG|KAPUAS HULU</t>
  </si>
  <si>
    <t>SEBUKU|NUNUKAN</t>
  </si>
  <si>
    <t>SEBULU|KUTAI KARTANEGARA</t>
  </si>
  <si>
    <t>SEGAH|BERAU</t>
  </si>
  <si>
    <t>SEGEDONG|MEMPAWAH</t>
  </si>
  <si>
    <t>SEJANGKUNG|SAMBAS</t>
  </si>
  <si>
    <t>SEKADAU HILIR|SEKADAU</t>
  </si>
  <si>
    <t>SEKADAU HULU|SEKADAU</t>
  </si>
  <si>
    <t>SEKAYAM|SANGGAU</t>
  </si>
  <si>
    <t>SEKOLAQ DARAT|KUTAI BARAT</t>
  </si>
  <si>
    <t>SELAKAU TIMUR|SAMBAS</t>
  </si>
  <si>
    <t>SELAKAU|SAMBAS</t>
  </si>
  <si>
    <t>SELAT|KAPUAS</t>
  </si>
  <si>
    <t>SELIMBAU|KAPUAS HULU</t>
  </si>
  <si>
    <t>SEMATU JAYA|LAMANDAU</t>
  </si>
  <si>
    <t>SEMBAKUNG ATULAI|NUNUKAN</t>
  </si>
  <si>
    <t>SEMBAKUNG|NUNUKAN</t>
  </si>
  <si>
    <t>SEMITAU|KAPUAS HULU</t>
  </si>
  <si>
    <t>SEMPARUK|SAMBAS</t>
  </si>
  <si>
    <t>SENGAH TEMILA|LANDAK</t>
  </si>
  <si>
    <t>SEPAKU|PENAJAM PASER UTARA</t>
  </si>
  <si>
    <t>SEPANG SIMIN|GUNUNG MAS</t>
  </si>
  <si>
    <t>SEPAUK|SINTANG</t>
  </si>
  <si>
    <t>SEPONTI|KAYONG UTARA</t>
  </si>
  <si>
    <t>SERANAU|KOTAWARINGIN TIMUR</t>
  </si>
  <si>
    <t>SERAWAI|SINTANG</t>
  </si>
  <si>
    <t>SERIBU RIAM|MURUNG RAYA</t>
  </si>
  <si>
    <t>SERUYAN HILIR TIMUR|SERUYAN</t>
  </si>
  <si>
    <t>SERUYAN HILIR|SERUYAN</t>
  </si>
  <si>
    <t>SERUYAN RAYA|SERUYAN</t>
  </si>
  <si>
    <t>SERUYAN TENGAH|SERUYAN</t>
  </si>
  <si>
    <t>SESAYAP HILIR|TANA TIDUNG</t>
  </si>
  <si>
    <t>SESAYAP|TANA TIDUNG</t>
  </si>
  <si>
    <t>SIANTAN|MEMPAWAH</t>
  </si>
  <si>
    <t>SILAT HILIR|KAPUAS HULU</t>
  </si>
  <si>
    <t>PT-SILAT HILIR</t>
  </si>
  <si>
    <t>SILAT HULU|KAPUAS HULU</t>
  </si>
  <si>
    <t>SILUQ NGURAI|KUTAI BARAT</t>
  </si>
  <si>
    <t>SIMPANG EMPAT|BANJAR</t>
  </si>
  <si>
    <t>SIMPANG EMPAT|TANAH BUMBU</t>
  </si>
  <si>
    <t>SIMPANG HILIR|KAYONG UTARA</t>
  </si>
  <si>
    <t>SIMPANG HULU|KETAPANG</t>
  </si>
  <si>
    <t>SIMPUR|HULU SUNGAI SELATAN</t>
  </si>
  <si>
    <t>SINGKAWANG BARAT|KOTA SINGKAWANG</t>
  </si>
  <si>
    <t>PT-SINGKAWANG</t>
  </si>
  <si>
    <t>SINGKAWANG SELATAN|KOTA SINGKAWANG</t>
  </si>
  <si>
    <t>SINGKAWANG TENGAH|KOTA SINGKAWANG</t>
  </si>
  <si>
    <t>SINGKAWANG TIMUR|KOTA SINGKAWANG</t>
  </si>
  <si>
    <t>SINGKAWANG UTARA|KOTA SINGKAWANG</t>
  </si>
  <si>
    <t>SINGKUP|KETAPANG</t>
  </si>
  <si>
    <t>SINTANG|SINTANG</t>
  </si>
  <si>
    <t>SUBAH|SAMBAS</t>
  </si>
  <si>
    <t>SUHAID|KAPUAS HULU</t>
  </si>
  <si>
    <t>SUKADANA|KAYONG UTARA</t>
  </si>
  <si>
    <t>SUKAMARA|SUKAMARA</t>
  </si>
  <si>
    <t>SUNGAI AMBAWANG|KUBU RAYA</t>
  </si>
  <si>
    <t>SUNGAI BOH|MALINAU</t>
  </si>
  <si>
    <t>SUNGAI DURIAN|KOTABARU</t>
  </si>
  <si>
    <t>SUNGAI KAKAP|KUBU RAYA</t>
  </si>
  <si>
    <t>SUNGAI KUNJANG|KOTA SAMARINDA</t>
  </si>
  <si>
    <t>SUNGAI KUNYIT|MEMPAWAH</t>
  </si>
  <si>
    <t>SUNGAI LAUR|KETAPANG</t>
  </si>
  <si>
    <t>SUNGAI LOBAN|TANAH BUMBU</t>
  </si>
  <si>
    <t>SUNGAI MELAYU RAYAK|KETAPANG</t>
  </si>
  <si>
    <t>SUNGAI PANDAN|HULU SUNGAI UTARA</t>
  </si>
  <si>
    <t>SUNGAI PINANG|BANJAR</t>
  </si>
  <si>
    <t>SUNGAI PINANG|KOTA SAMARINDA</t>
  </si>
  <si>
    <t>SUNGAI PINYUH|MEMPAWAH</t>
  </si>
  <si>
    <t>SUNGAI RAYA|HULU SUNGAI SELATAN</t>
  </si>
  <si>
    <t>SUNGAI RAYA|KUBU RAYA</t>
  </si>
  <si>
    <t>SUNGAI TABUK|BANJAR</t>
  </si>
  <si>
    <t>SUNGAI TABUKAN|HULU SUNGAI UTARA</t>
  </si>
  <si>
    <t>SUNGAI TEBELIAN|SINTANG</t>
  </si>
  <si>
    <t>SUNGAI TUBU|MALINAU</t>
  </si>
  <si>
    <t>TABALAR|BERAU</t>
  </si>
  <si>
    <t>TABANG|KUTAI KARTANEGARA</t>
  </si>
  <si>
    <t>TABUKAN|BARITO KUALA</t>
  </si>
  <si>
    <t>TABUNGANEN|BARITO KUALA</t>
  </si>
  <si>
    <t>TAKISUNG|TANAH LAUT</t>
  </si>
  <si>
    <t>TALISAYAN|BERAU</t>
  </si>
  <si>
    <t>TAMBAN CATUR|KAPUAS</t>
  </si>
  <si>
    <t>TAMBAN|BARITO KUALA</t>
  </si>
  <si>
    <t>TAMBANG ULANG|TANAH LAUT</t>
  </si>
  <si>
    <t>TANA LIA|TANA TIDUNG</t>
  </si>
  <si>
    <t>TANAH GROGOT|PASER</t>
  </si>
  <si>
    <t>TANAH SIANG SELATAN|MURUNG RAYA</t>
  </si>
  <si>
    <t>TANAH SIANG|MURUNG RAYA</t>
  </si>
  <si>
    <t>TANGARAN|SAMBAS</t>
  </si>
  <si>
    <t>TANJUNG HARAPAN|PASER</t>
  </si>
  <si>
    <t>TANJUNG PALAS TENGAH|BULUNGAN</t>
  </si>
  <si>
    <t>TANJUNG PALAS TIMUR|BULUNGAN</t>
  </si>
  <si>
    <t>TANJUNG PALAS UTARA|BULUNGAN</t>
  </si>
  <si>
    <t>TANJUNG PALAS|BULUNGAN</t>
  </si>
  <si>
    <t>TANJUNG REDEB|BERAU</t>
  </si>
  <si>
    <t>TANJUNG SELOR|BULUNGAN</t>
  </si>
  <si>
    <t>TANJUNG|TABALONG</t>
  </si>
  <si>
    <t>TANTA|TABALONG</t>
  </si>
  <si>
    <t>TAPIN SELATAN|TAPIN</t>
  </si>
  <si>
    <t>TAPIN TENGAH|TAPIN</t>
  </si>
  <si>
    <t>TAPIN UTARA|TAPIN</t>
  </si>
  <si>
    <t>TARAKAN BARAT|KOTA TARAKAN</t>
  </si>
  <si>
    <t>PT-TARAKAN BARAT</t>
  </si>
  <si>
    <t>TARAKAN TENGAH|KOTA TARAKAN</t>
  </si>
  <si>
    <t>TARAKAN TIMUR|KOTA TARAKAN</t>
  </si>
  <si>
    <t>TARAKAN UTARA|KOTA TARAKAN</t>
  </si>
  <si>
    <t>TASIK PAYAWAN|KATINGAN</t>
  </si>
  <si>
    <t>TATAH MAKMUR|BANJAR</t>
  </si>
  <si>
    <t>TAYAN HILIR|SANGGAU</t>
  </si>
  <si>
    <t>TAYAN HULU|SANGGAU</t>
  </si>
  <si>
    <t>TEBAS|SAMBAS</t>
  </si>
  <si>
    <t>TEBING TINGGI|BALANGAN</t>
  </si>
  <si>
    <t>TEKARANG|SAMBAS</t>
  </si>
  <si>
    <t>TELAGA ANTANG|KOTAWARINGIN TIMUR</t>
  </si>
  <si>
    <t>TELAGA BAUNTUNG|BANJAR</t>
  </si>
  <si>
    <t>TELAGA LANGSAT|HULU SUNGAI SELATAN</t>
  </si>
  <si>
    <t>TELAWANG|KOTAWARINGIN TIMUR</t>
  </si>
  <si>
    <t>TELEN|KUTAI TIMUR</t>
  </si>
  <si>
    <t>TELUK BATANG|KAYONG UTARA</t>
  </si>
  <si>
    <t>TELUK BAYUR|BERAU</t>
  </si>
  <si>
    <t>TELUK KERAMAT|SAMBAS</t>
  </si>
  <si>
    <t>TELUK PAKEDAI|KUBU RAYA</t>
  </si>
  <si>
    <t>TELUK PANDAN|KUTAI TIMUR</t>
  </si>
  <si>
    <t>TELUK SAMPIT|KOTAWARINGIN TIMUR</t>
  </si>
  <si>
    <t>TEMPUNAK|SINTANG</t>
  </si>
  <si>
    <t>TENGGARONG SEBERANG|KUTAI KARTANEGARA</t>
  </si>
  <si>
    <t>TENGGARONG|KUTAI KARTANEGARA</t>
  </si>
  <si>
    <t>TERENTANG|KUBU RAYA</t>
  </si>
  <si>
    <t>TERING|KUTAI BARAT</t>
  </si>
  <si>
    <t>TEWAH|GUNUNG MAS</t>
  </si>
  <si>
    <t>TEWANG SANGALANG GARING|KATINGAN</t>
  </si>
  <si>
    <t>TEWEH BARU|BARITO UTARA</t>
  </si>
  <si>
    <t>TEWEH SELATAN|BARITO UTARA</t>
  </si>
  <si>
    <t>TEWEH TENGAH|BARITO UTARA</t>
  </si>
  <si>
    <t>TEWEH TIMUR|BARITO UTARA</t>
  </si>
  <si>
    <t>TOBA|SANGGAU</t>
  </si>
  <si>
    <t>TOHO|MEMPAWAH</t>
  </si>
  <si>
    <t>TUALAN HULU|KOTAWARINGIN TIMUR</t>
  </si>
  <si>
    <t>TULIN ONSOI|NUNUKAN</t>
  </si>
  <si>
    <t>TUMBANG TITI|KETAPANG</t>
  </si>
  <si>
    <t>UPAU|TABALONG</t>
  </si>
  <si>
    <t>WANARAYA|BARITO KUALA</t>
  </si>
  <si>
    <t>WARU|PENAJAM PASER UTARA</t>
  </si>
  <si>
    <t>SEKATAK|BULUNGAN</t>
  </si>
  <si>
    <t>RGUGA TRADE MTD</t>
  </si>
  <si>
    <t>RGUGA TRADE LMTD</t>
  </si>
  <si>
    <t>RGUGA FWA ALL CHANNEL</t>
  </si>
  <si>
    <t>KEPULAUAN KARIMATA|KAYONG UTARA</t>
  </si>
  <si>
    <t>KAPUAS HULU|KAPUAS</t>
  </si>
  <si>
    <t>KAYAN HULU|MALINAU</t>
  </si>
  <si>
    <t>LAMANDAU|LAMANDAU</t>
  </si>
  <si>
    <t>MARIKIT|KATINGAN</t>
  </si>
  <si>
    <t>MURUK RIAN|TANA TIDUNG</t>
  </si>
  <si>
    <t>PETAK MALAI|KATINGAN</t>
  </si>
  <si>
    <t>PURING KENCANA|KAPUAS HULU</t>
  </si>
  <si>
    <t>RAKUMPIT|KOTA PALANGKARAYA</t>
  </si>
  <si>
    <t>SEBATIK TENGAH|NUNUKAN</t>
  </si>
  <si>
    <t>SERUYAN HULU|SERUYAN</t>
  </si>
  <si>
    <t>TANJUNG PALAS BARAT|BULUNGAN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</si>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</sst>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4"/>
      <color indexed="8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indexed="9"/>
      <name val="Century Gothic"/>
      <family val="2"/>
    </font>
    <font>
      <sz val="11"/>
      <color theme="1"/>
      <name val="Calibri"/>
      <family val="2"/>
      <scheme val="minor"/>
    </font>
    <font>
      <sz val="11"/>
      <color indexed="8"/>
      <name val="Century Gothic"/>
      <family val="2"/>
    </font>
    <font>
      <sz val="14"/>
      <color theme="1"/>
      <name val="Century Gothic"/>
      <family val="2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7">
    <xf numFmtId="0" fontId="0" fillId="0" borderId="0" xfId="0"/>
    <xf numFmtId="0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vertical="center"/>
    </xf>
    <xf numFmtId="0" fontId="3" fillId="4" borderId="1" xfId="0" applyNumberFormat="1" applyFont="1" applyFill="1" applyBorder="1" applyAlignment="1" applyProtection="1">
      <alignment horizontal="center" vertical="center"/>
    </xf>
    <xf numFmtId="3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0" fontId="0" fillId="0" borderId="2" xfId="0" applyBorder="1"/>
    <xf numFmtId="10" fontId="1" fillId="3" borderId="1" xfId="1" applyNumberFormat="1" applyFont="1" applyFill="1" applyBorder="1" applyAlignment="1" applyProtection="1">
      <alignment horizontal="center" vertical="center"/>
    </xf>
    <xf numFmtId="0" fontId="5" fillId="3" borderId="3" xfId="0" applyNumberFormat="1" applyFont="1" applyFill="1" applyBorder="1" applyAlignment="1" applyProtection="1">
      <alignment horizontal="right" vertical="center" indent="1"/>
    </xf>
    <xf numFmtId="0" fontId="0" fillId="0" borderId="0" xfId="0" applyAlignment="1"/>
    <xf numFmtId="0" fontId="0" fillId="0" borderId="4" xfId="0" applyBorder="1"/>
    <xf numFmtId="0" fontId="6" fillId="2" borderId="1" xfId="0" applyFont="1" applyFill="1" applyBorder="1" applyAlignment="1">
      <alignment horizontal="center" vertical="center"/>
    </xf>
    <xf numFmtId="0" fontId="7" fillId="0" borderId="0" xfId="0" applyFont="1" applyAlignment="1">
      <alignment vertical="top"/>
    </xf>
    <xf numFmtId="0" fontId="0" fillId="0" borderId="4" xfId="0" applyBorder="1" applyAlignment="1"/>
    <xf numFmtId="0" fontId="7" fillId="0" borderId="0" xfId="0" applyFont="1"/>
  </cellXfs>
  <cellStyles count="2">
    <cellStyle name="Normal" xfId="0" builtinId="0"/>
    <cellStyle name="Percent" xfId="1" builtinId="5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W22"/>
  <sheetViews>
    <sheetView zoomScale="44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C1" sqref="C1:W1048576"/>
    </sheetView>
  </sheetViews>
  <sheetFormatPr defaultColWidth="11.7265625" defaultRowHeight="64.5" customHeight="1" x14ac:dyDescent="0.35"/>
  <cols>
    <col min="1" max="1" width="60.6328125" style="2" bestFit="1" customWidth="1"/>
    <col min="2" max="2" width="29.54296875" style="5" bestFit="1" customWidth="1"/>
    <col min="3" max="17" width="40.7265625" style="5" customWidth="1"/>
    <col min="18" max="20" width="40.7265625" style="2" customWidth="1"/>
    <col min="21" max="23" width="40.7265625" style="5" customWidth="1"/>
    <col min="24" max="25" width="34.90625" style="2" customWidth="1"/>
    <col min="26" max="16384" width="11.7265625" style="2"/>
  </cols>
  <sheetData>
    <row r="4" spans="1:23" ht="64.5" customHeight="1" x14ac:dyDescent="0.35"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</row>
    <row r="5" spans="1:23" ht="64.5" customHeight="1" x14ac:dyDescent="0.35">
      <c r="A5" s="3" t="s">
        <v>0</v>
      </c>
      <c r="B5" s="3" t="s">
        <v>15</v>
      </c>
      <c r="C5" s="3" t="s">
        <v>18</v>
      </c>
      <c r="D5" s="3" t="s">
        <v>23</v>
      </c>
      <c r="E5" s="3" t="s">
        <v>33</v>
      </c>
      <c r="F5" s="3" t="s">
        <v>19</v>
      </c>
      <c r="G5" s="3" t="s">
        <v>24</v>
      </c>
      <c r="H5" s="3" t="s">
        <v>33</v>
      </c>
      <c r="I5" s="3" t="s">
        <v>20</v>
      </c>
      <c r="J5" s="3" t="s">
        <v>25</v>
      </c>
      <c r="K5" s="3" t="s">
        <v>33</v>
      </c>
      <c r="L5" s="3" t="s">
        <v>21</v>
      </c>
      <c r="M5" s="3" t="s">
        <v>26</v>
      </c>
      <c r="N5" s="3" t="s">
        <v>33</v>
      </c>
      <c r="O5" s="3" t="s">
        <v>22</v>
      </c>
      <c r="P5" s="3" t="s">
        <v>27</v>
      </c>
      <c r="Q5" s="3" t="s">
        <v>33</v>
      </c>
      <c r="R5" s="3" t="s">
        <v>28</v>
      </c>
      <c r="S5" s="3" t="s">
        <v>29</v>
      </c>
      <c r="T5" s="3" t="s">
        <v>33</v>
      </c>
      <c r="U5" s="3" t="s">
        <v>662</v>
      </c>
      <c r="V5" s="3" t="s">
        <v>663</v>
      </c>
      <c r="W5" s="3" t="s">
        <v>33</v>
      </c>
    </row>
    <row r="6" spans="1:23" ht="64.5" customHeight="1" x14ac:dyDescent="0.35">
      <c r="A6" s="10" t="s">
        <v>1</v>
      </c>
      <c r="B6" s="1" t="s">
        <v>16</v>
      </c>
      <c r="C6" s="4">
        <f>IFERROR(VLOOKUP($A:$A,MASTER!$A:$T,3,0),0)</f>
        <v>89955767.849913821</v>
      </c>
      <c r="D6" s="4">
        <f>IFERROR(VLOOKUP($A:$A,MASTER!$A:$T,4,0),0)</f>
        <v>83938629.636798635</v>
      </c>
      <c r="E6" s="9">
        <f>IFERROR(C6/D6-1,0)</f>
        <v>7.1684970783431501E-2</v>
      </c>
      <c r="F6" s="4">
        <f>IFERROR(VLOOKUP(A:A,MASTER!A:E,5,0),0)</f>
        <v>192342.34234234301</v>
      </c>
      <c r="G6" s="4">
        <f>IFERROR(VLOOKUP(A:A,MASTER!A:F,6,0),0)</f>
        <v>573873.87387387396</v>
      </c>
      <c r="H6" s="9">
        <f>IFERROR(F6/G6-1,0)</f>
        <v>-0.66483516483516381</v>
      </c>
      <c r="I6" s="4">
        <f>IFERROR(VLOOKUP(A:A,MASTER!A:M,13,0),0)</f>
        <v>11164414.414414411</v>
      </c>
      <c r="J6" s="4">
        <f>IFERROR(VLOOKUP($A:$A,MASTER!$A:$T,14,0),0)</f>
        <v>15841351.351351352</v>
      </c>
      <c r="K6" s="9">
        <f>IFERROR(I6/J6-1,0)</f>
        <v>-0.29523598291619058</v>
      </c>
      <c r="L6" s="4">
        <f>IFERROR(VLOOKUP($A:$A,MASTER!$A:$T,15,0),0)</f>
        <v>39638648.648648649</v>
      </c>
      <c r="M6" s="4">
        <f>IFERROR(VLOOKUP($A:$A,MASTER!$A:$T,16,0),0)</f>
        <v>40770216.216216214</v>
      </c>
      <c r="N6" s="9">
        <f>IFERROR(L6/M6-1,0)</f>
        <v>-2.7754760032827286E-2</v>
      </c>
      <c r="O6" s="4">
        <f>IFERROR(VLOOKUP($A:$A,MASTER!$A:$T,17,0),0)</f>
        <v>9225585.5855855849</v>
      </c>
      <c r="P6" s="4">
        <f>IFERROR(VLOOKUP($A:$A,MASTER!$A:$T,18,0),0)</f>
        <v>10793063.063063061</v>
      </c>
      <c r="Q6" s="9">
        <f>IFERROR(O6/P6-1,0)</f>
        <v>-0.14523008605794507</v>
      </c>
      <c r="R6" s="4">
        <f>IFERROR(VLOOKUP($A:$A,MASTER!$A:$T,19,0),0)</f>
        <v>8228</v>
      </c>
      <c r="S6" s="4">
        <f>IFERROR(VLOOKUP($A:$A,MASTER!$A:$T,20,0),0)</f>
        <v>8023</v>
      </c>
      <c r="T6" s="9">
        <f>IFERROR(R6/S6-1,0)</f>
        <v>2.5551539324442318E-2</v>
      </c>
      <c r="U6" s="13">
        <f>IFERROR(VLOOKUP(A:A,MASTER!A:K,11,0),0)</f>
        <v>13</v>
      </c>
      <c r="V6" s="13">
        <f>IFERROR(VLOOKUP(A:A,MASTER!A:L,12,0),0)</f>
        <v>126</v>
      </c>
      <c r="W6" s="9">
        <f>IFERROR(U6/V6-1,0)</f>
        <v>-0.89682539682539686</v>
      </c>
    </row>
    <row r="7" spans="1:23" ht="64.5" customHeight="1" x14ac:dyDescent="0.35">
      <c r="A7" s="10" t="s">
        <v>2</v>
      </c>
      <c r="B7" s="1" t="s">
        <v>17</v>
      </c>
      <c r="C7" s="4">
        <f>IFERROR(VLOOKUP($A:$A,MASTER!$A:$T,3,0),0)</f>
        <v>10926997.386205519</v>
      </c>
      <c r="D7" s="4">
        <f>IFERROR(VLOOKUP($A:$A,MASTER!$A:$T,4,0),0)</f>
        <v>5812917.9415709646</v>
      </c>
      <c r="E7" s="9">
        <f t="shared" ref="E7:E22" si="0">IFERROR(C7/D7-1,0)</f>
        <v>0.87977836536471954</v>
      </c>
      <c r="F7" s="4">
        <f>IFERROR(VLOOKUP(A:A,MASTER!A:E,5,0),0)</f>
        <v>8108.1081081089997</v>
      </c>
      <c r="G7" s="4">
        <f>IFERROR(VLOOKUP(A:A,MASTER!A:F,6,0),0)</f>
        <v>0</v>
      </c>
      <c r="H7" s="9">
        <f t="shared" ref="H7:H22" si="1">IFERROR(F7/G7-1,0)</f>
        <v>0</v>
      </c>
      <c r="I7" s="4">
        <f>IFERROR(VLOOKUP(A:A,MASTER!A:M,13,0),0)</f>
        <v>8108.1081081089997</v>
      </c>
      <c r="J7" s="4">
        <f>IFERROR(VLOOKUP($A:$A,MASTER!$A:$T,14,0),0)</f>
        <v>0</v>
      </c>
      <c r="K7" s="9">
        <f t="shared" ref="K7:K22" si="2">IFERROR(I7/J7-1,0)</f>
        <v>0</v>
      </c>
      <c r="L7" s="4">
        <f>IFERROR(VLOOKUP($A:$A,MASTER!$A:$T,15,0),0)</f>
        <v>4959189.1891891891</v>
      </c>
      <c r="M7" s="4">
        <f>IFERROR(VLOOKUP($A:$A,MASTER!$A:$T,16,0),0)</f>
        <v>3045684.684684685</v>
      </c>
      <c r="N7" s="9">
        <f t="shared" ref="N7:N22" si="3">IFERROR(L7/M7-1,0)</f>
        <v>0.62826743494709669</v>
      </c>
      <c r="O7" s="4">
        <f>IFERROR(VLOOKUP($A:$A,MASTER!$A:$T,17,0),0)</f>
        <v>0</v>
      </c>
      <c r="P7" s="4">
        <f>IFERROR(VLOOKUP($A:$A,MASTER!$A:$T,18,0),0)</f>
        <v>157657.65765765801</v>
      </c>
      <c r="Q7" s="9">
        <f t="shared" ref="Q7:Q22" si="4">IFERROR(O7/P7-1,0)</f>
        <v>-1</v>
      </c>
      <c r="R7" s="4">
        <f>IFERROR(VLOOKUP($A:$A,MASTER!$A:$T,19,0),0)</f>
        <v>1114</v>
      </c>
      <c r="S7" s="4">
        <f>IFERROR(VLOOKUP($A:$A,MASTER!$A:$T,20,0),0)</f>
        <v>161</v>
      </c>
      <c r="T7" s="9">
        <f t="shared" ref="T7:T22" si="5">IFERROR(R7/S7-1,0)</f>
        <v>5.9192546583850936</v>
      </c>
      <c r="U7" s="13">
        <f>IFERROR(VLOOKUP(A:A,MASTER!A:K,11,0),0)</f>
        <v>1</v>
      </c>
      <c r="V7" s="13">
        <f>IFERROR(VLOOKUP(A:A,MASTER!A:L,12,0),0)</f>
        <v>2</v>
      </c>
      <c r="W7" s="9">
        <f t="shared" ref="W7:W22" si="6">IFERROR(U7/V7-1,0)</f>
        <v>-0.5</v>
      </c>
    </row>
    <row r="8" spans="1:23" ht="64.5" customHeight="1" x14ac:dyDescent="0.35">
      <c r="A8" s="10" t="s">
        <v>3</v>
      </c>
      <c r="B8" s="1" t="s">
        <v>16</v>
      </c>
      <c r="C8" s="4">
        <f>IFERROR(VLOOKUP($A:$A,MASTER!$A:$T,3,0),0)</f>
        <v>63866747.335801609</v>
      </c>
      <c r="D8" s="4">
        <f>IFERROR(VLOOKUP($A:$A,MASTER!$A:$T,4,0),0)</f>
        <v>60931888.051592179</v>
      </c>
      <c r="E8" s="9">
        <f t="shared" si="0"/>
        <v>4.8166229179119391E-2</v>
      </c>
      <c r="F8" s="4">
        <f>IFERROR(VLOOKUP(A:A,MASTER!A:E,5,0),0)</f>
        <v>481531.53153153398</v>
      </c>
      <c r="G8" s="4">
        <f>IFERROR(VLOOKUP(A:A,MASTER!A:F,6,0),0)</f>
        <v>768468.46846847003</v>
      </c>
      <c r="H8" s="9">
        <f t="shared" si="1"/>
        <v>-0.37338804220398403</v>
      </c>
      <c r="I8" s="4">
        <f>IFERROR(VLOOKUP(A:A,MASTER!A:M,13,0),0)</f>
        <v>13121171.171171173</v>
      </c>
      <c r="J8" s="4">
        <f>IFERROR(VLOOKUP($A:$A,MASTER!$A:$T,14,0),0)</f>
        <v>7125225.225225226</v>
      </c>
      <c r="K8" s="9">
        <f t="shared" si="2"/>
        <v>0.84150967252497177</v>
      </c>
      <c r="L8" s="4">
        <f>IFERROR(VLOOKUP($A:$A,MASTER!$A:$T,15,0),0)</f>
        <v>15134009.009009007</v>
      </c>
      <c r="M8" s="4">
        <f>IFERROR(VLOOKUP($A:$A,MASTER!$A:$T,16,0),0)</f>
        <v>16757819.819819819</v>
      </c>
      <c r="N8" s="9">
        <f t="shared" si="3"/>
        <v>-9.689869137334306E-2</v>
      </c>
      <c r="O8" s="4">
        <f>IFERROR(VLOOKUP($A:$A,MASTER!$A:$T,17,0),0)</f>
        <v>11586216.21621622</v>
      </c>
      <c r="P8" s="4">
        <f>IFERROR(VLOOKUP($A:$A,MASTER!$A:$T,18,0),0)</f>
        <v>4798828.8288288284</v>
      </c>
      <c r="Q8" s="9">
        <f t="shared" si="4"/>
        <v>1.4143841402744672</v>
      </c>
      <c r="R8" s="4">
        <f>IFERROR(VLOOKUP($A:$A,MASTER!$A:$T,19,0),0)</f>
        <v>3703</v>
      </c>
      <c r="S8" s="4">
        <f>IFERROR(VLOOKUP($A:$A,MASTER!$A:$T,20,0),0)</f>
        <v>3601</v>
      </c>
      <c r="T8" s="9">
        <f t="shared" si="5"/>
        <v>2.8325465148569817E-2</v>
      </c>
      <c r="U8" s="13">
        <f>IFERROR(VLOOKUP(A:A,MASTER!A:K,11,0),0)</f>
        <v>6</v>
      </c>
      <c r="V8" s="13">
        <f>IFERROR(VLOOKUP(A:A,MASTER!A:L,12,0),0)</f>
        <v>5</v>
      </c>
      <c r="W8" s="9">
        <f t="shared" si="6"/>
        <v>0.19999999999999996</v>
      </c>
    </row>
    <row r="9" spans="1:23" ht="64.5" customHeight="1" x14ac:dyDescent="0.35">
      <c r="A9" s="10" t="s">
        <v>4</v>
      </c>
      <c r="B9" s="1" t="s">
        <v>16</v>
      </c>
      <c r="C9" s="4">
        <f>IFERROR(VLOOKUP($A:$A,MASTER!$A:$T,3,0),0)</f>
        <v>39160274.199134879</v>
      </c>
      <c r="D9" s="4">
        <f>IFERROR(VLOOKUP($A:$A,MASTER!$A:$T,4,0),0)</f>
        <v>39489302.059486322</v>
      </c>
      <c r="E9" s="9">
        <f t="shared" si="0"/>
        <v>-8.3320758583121934E-3</v>
      </c>
      <c r="F9" s="4">
        <f>IFERROR(VLOOKUP(A:A,MASTER!A:E,5,0),0)</f>
        <v>303603.60360360303</v>
      </c>
      <c r="G9" s="4">
        <f>IFERROR(VLOOKUP(A:A,MASTER!A:F,6,0),0)</f>
        <v>108108.108108108</v>
      </c>
      <c r="H9" s="9">
        <f t="shared" si="1"/>
        <v>1.8083333333333309</v>
      </c>
      <c r="I9" s="4">
        <f>IFERROR(VLOOKUP(A:A,MASTER!A:M,13,0),0)</f>
        <v>8315765.7657657657</v>
      </c>
      <c r="J9" s="4">
        <f>IFERROR(VLOOKUP($A:$A,MASTER!$A:$T,14,0),0)</f>
        <v>16957657.657657657</v>
      </c>
      <c r="K9" s="9">
        <f t="shared" si="2"/>
        <v>-0.50961589544705943</v>
      </c>
      <c r="L9" s="4">
        <f>IFERROR(VLOOKUP($A:$A,MASTER!$A:$T,15,0),0)</f>
        <v>13994504.504504504</v>
      </c>
      <c r="M9" s="4">
        <f>IFERROR(VLOOKUP($A:$A,MASTER!$A:$T,16,0),0)</f>
        <v>13600981.98198198</v>
      </c>
      <c r="N9" s="9">
        <f t="shared" si="3"/>
        <v>2.8933390474588316E-2</v>
      </c>
      <c r="O9" s="4">
        <f>IFERROR(VLOOKUP($A:$A,MASTER!$A:$T,17,0),0)</f>
        <v>6611261.2612612601</v>
      </c>
      <c r="P9" s="4">
        <f>IFERROR(VLOOKUP($A:$A,MASTER!$A:$T,18,0),0)</f>
        <v>16707837.837837836</v>
      </c>
      <c r="Q9" s="9">
        <f t="shared" si="4"/>
        <v>-0.60430180580943293</v>
      </c>
      <c r="R9" s="4">
        <f>IFERROR(VLOOKUP($A:$A,MASTER!$A:$T,19,0),0)</f>
        <v>3584</v>
      </c>
      <c r="S9" s="4">
        <f>IFERROR(VLOOKUP($A:$A,MASTER!$A:$T,20,0),0)</f>
        <v>3607</v>
      </c>
      <c r="T9" s="9">
        <f t="shared" si="5"/>
        <v>-6.3764901580261046E-3</v>
      </c>
      <c r="U9" s="13">
        <f>IFERROR(VLOOKUP(A:A,MASTER!A:K,11,0),0)</f>
        <v>5</v>
      </c>
      <c r="V9" s="13">
        <f>IFERROR(VLOOKUP(A:A,MASTER!A:L,12,0),0)</f>
        <v>3</v>
      </c>
      <c r="W9" s="9">
        <f t="shared" si="6"/>
        <v>0.66666666666666674</v>
      </c>
    </row>
    <row r="10" spans="1:23" ht="64.5" customHeight="1" x14ac:dyDescent="0.35">
      <c r="A10" s="10" t="s">
        <v>34</v>
      </c>
      <c r="B10" s="1" t="s">
        <v>17</v>
      </c>
      <c r="C10" s="4">
        <f>IFERROR(VLOOKUP($A:$A,MASTER!$A:$T,3,0),0)</f>
        <v>0</v>
      </c>
      <c r="D10" s="4">
        <f>IFERROR(VLOOKUP($A:$A,MASTER!$A:$T,4,0),0)</f>
        <v>0</v>
      </c>
      <c r="E10" s="9">
        <f t="shared" si="0"/>
        <v>0</v>
      </c>
      <c r="F10" s="4">
        <f>IFERROR(VLOOKUP(A:A,MASTER!A:E,5,0),0)</f>
        <v>74622534.234234244</v>
      </c>
      <c r="G10" s="4">
        <f>IFERROR(VLOOKUP(A:A,MASTER!A:F,6,0),0)</f>
        <v>99622294.594594598</v>
      </c>
      <c r="H10" s="9">
        <f t="shared" si="1"/>
        <v>-0.25094543808787972</v>
      </c>
      <c r="I10" s="4">
        <f>IFERROR(VLOOKUP(A:A,MASTER!A:M,13,0),0)</f>
        <v>86486.486486485999</v>
      </c>
      <c r="J10" s="4">
        <f>IFERROR(VLOOKUP($A:$A,MASTER!$A:$T,14,0),0)</f>
        <v>165765.765765766</v>
      </c>
      <c r="K10" s="9">
        <f t="shared" si="2"/>
        <v>-0.47826086956522107</v>
      </c>
      <c r="L10" s="4">
        <f>IFERROR(VLOOKUP($A:$A,MASTER!$A:$T,15,0),0)</f>
        <v>0</v>
      </c>
      <c r="M10" s="4">
        <f>IFERROR(VLOOKUP($A:$A,MASTER!$A:$T,16,0),0)</f>
        <v>0</v>
      </c>
      <c r="N10" s="9">
        <f t="shared" si="3"/>
        <v>0</v>
      </c>
      <c r="O10" s="4">
        <f>IFERROR(VLOOKUP($A:$A,MASTER!$A:$T,17,0),0)</f>
        <v>0</v>
      </c>
      <c r="P10" s="4">
        <f>IFERROR(VLOOKUP($A:$A,MASTER!$A:$T,18,0),0)</f>
        <v>0</v>
      </c>
      <c r="Q10" s="9">
        <f t="shared" si="4"/>
        <v>0</v>
      </c>
      <c r="R10" s="4">
        <f>IFERROR(VLOOKUP($A:$A,MASTER!$A:$T,19,0),0)</f>
        <v>0</v>
      </c>
      <c r="S10" s="4">
        <f>IFERROR(VLOOKUP($A:$A,MASTER!$A:$T,20,0),0)</f>
        <v>0</v>
      </c>
      <c r="T10" s="9">
        <f t="shared" si="5"/>
        <v>0</v>
      </c>
      <c r="U10" s="13">
        <f>IFERROR(VLOOKUP(A:A,MASTER!A:K,11,0),0)</f>
        <v>0</v>
      </c>
      <c r="V10" s="13">
        <f>IFERROR(VLOOKUP(A:A,MASTER!A:L,12,0),0)</f>
        <v>0</v>
      </c>
      <c r="W10" s="9">
        <f t="shared" si="6"/>
        <v>0</v>
      </c>
    </row>
    <row r="11" spans="1:23" ht="64.5" customHeight="1" x14ac:dyDescent="0.35">
      <c r="A11" s="10" t="s">
        <v>5</v>
      </c>
      <c r="B11" s="1" t="s">
        <v>16</v>
      </c>
      <c r="C11" s="4">
        <f>IFERROR(VLOOKUP($A:$A,MASTER!$A:$T,3,0),0)</f>
        <v>31826005.618369665</v>
      </c>
      <c r="D11" s="4">
        <f>IFERROR(VLOOKUP($A:$A,MASTER!$A:$T,4,0),0)</f>
        <v>42158472.254961282</v>
      </c>
      <c r="E11" s="9">
        <f t="shared" si="0"/>
        <v>-0.24508636304712572</v>
      </c>
      <c r="F11" s="4">
        <f>IFERROR(VLOOKUP(A:A,MASTER!A:E,5,0),0)</f>
        <v>273423.42342342302</v>
      </c>
      <c r="G11" s="4">
        <f>IFERROR(VLOOKUP(A:A,MASTER!A:F,6,0),0)</f>
        <v>44144.144144145001</v>
      </c>
      <c r="H11" s="9">
        <f t="shared" si="1"/>
        <v>5.1938775510202788</v>
      </c>
      <c r="I11" s="4">
        <f>IFERROR(VLOOKUP(A:A,MASTER!A:M,13,0),0)</f>
        <v>1904054.054054053</v>
      </c>
      <c r="J11" s="4">
        <f>IFERROR(VLOOKUP($A:$A,MASTER!$A:$T,14,0),0)</f>
        <v>5321621.6216216218</v>
      </c>
      <c r="K11" s="9">
        <f t="shared" si="2"/>
        <v>-0.64220416455053342</v>
      </c>
      <c r="L11" s="4">
        <f>IFERROR(VLOOKUP($A:$A,MASTER!$A:$T,15,0),0)</f>
        <v>14639144.144144144</v>
      </c>
      <c r="M11" s="4">
        <f>IFERROR(VLOOKUP($A:$A,MASTER!$A:$T,16,0),0)</f>
        <v>17266792.792792793</v>
      </c>
      <c r="N11" s="9">
        <f t="shared" si="3"/>
        <v>-0.15217931205761837</v>
      </c>
      <c r="O11" s="4">
        <f>IFERROR(VLOOKUP($A:$A,MASTER!$A:$T,17,0),0)</f>
        <v>1272252.2522522521</v>
      </c>
      <c r="P11" s="4">
        <f>IFERROR(VLOOKUP($A:$A,MASTER!$A:$T,18,0),0)</f>
        <v>4050540.5405405401</v>
      </c>
      <c r="Q11" s="9">
        <f t="shared" si="4"/>
        <v>-0.68590556259869673</v>
      </c>
      <c r="R11" s="4">
        <f>IFERROR(VLOOKUP($A:$A,MASTER!$A:$T,19,0),0)</f>
        <v>3024</v>
      </c>
      <c r="S11" s="4">
        <f>IFERROR(VLOOKUP($A:$A,MASTER!$A:$T,20,0),0)</f>
        <v>3001</v>
      </c>
      <c r="T11" s="9">
        <f t="shared" si="5"/>
        <v>7.6641119626790211E-3</v>
      </c>
      <c r="U11" s="13">
        <f>IFERROR(VLOOKUP(A:A,MASTER!A:K,11,0),0)</f>
        <v>7</v>
      </c>
      <c r="V11" s="13">
        <f>IFERROR(VLOOKUP(A:A,MASTER!A:L,12,0),0)</f>
        <v>3</v>
      </c>
      <c r="W11" s="9">
        <f t="shared" si="6"/>
        <v>1.3333333333333335</v>
      </c>
    </row>
    <row r="12" spans="1:23" ht="64.5" customHeight="1" x14ac:dyDescent="0.35">
      <c r="A12" s="10" t="s">
        <v>6</v>
      </c>
      <c r="B12" s="1" t="s">
        <v>17</v>
      </c>
      <c r="C12" s="4">
        <f>IFERROR(VLOOKUP($A:$A,MASTER!$A:$T,3,0),0)</f>
        <v>159102588.29631841</v>
      </c>
      <c r="D12" s="4">
        <f>IFERROR(VLOOKUP($A:$A,MASTER!$A:$T,4,0),0)</f>
        <v>145078853.30255133</v>
      </c>
      <c r="E12" s="9">
        <f t="shared" si="0"/>
        <v>9.6662846958967874E-2</v>
      </c>
      <c r="F12" s="4">
        <f>IFERROR(VLOOKUP(A:A,MASTER!A:E,5,0),0)</f>
        <v>6101351.3513513459</v>
      </c>
      <c r="G12" s="4">
        <f>IFERROR(VLOOKUP(A:A,MASTER!A:F,6,0),0)</f>
        <v>2209909.909909911</v>
      </c>
      <c r="H12" s="9">
        <f t="shared" si="1"/>
        <v>1.7609050142682392</v>
      </c>
      <c r="I12" s="4">
        <f>IFERROR(VLOOKUP(A:A,MASTER!A:M,13,0),0)</f>
        <v>132857657.65765767</v>
      </c>
      <c r="J12" s="4">
        <f>IFERROR(VLOOKUP($A:$A,MASTER!$A:$T,14,0),0)</f>
        <v>50820270.270270273</v>
      </c>
      <c r="K12" s="9">
        <f t="shared" si="2"/>
        <v>1.6142650747644498</v>
      </c>
      <c r="L12" s="4">
        <f>IFERROR(VLOOKUP($A:$A,MASTER!$A:$T,15,0),0)</f>
        <v>102436351.35135135</v>
      </c>
      <c r="M12" s="4">
        <f>IFERROR(VLOOKUP($A:$A,MASTER!$A:$T,16,0),0)</f>
        <v>96835783.783783779</v>
      </c>
      <c r="N12" s="9">
        <f t="shared" si="3"/>
        <v>5.7835723001660178E-2</v>
      </c>
      <c r="O12" s="4">
        <f>IFERROR(VLOOKUP($A:$A,MASTER!$A:$T,17,0),0)</f>
        <v>113938378.37837839</v>
      </c>
      <c r="P12" s="4">
        <f>IFERROR(VLOOKUP($A:$A,MASTER!$A:$T,18,0),0)</f>
        <v>39264054.054054059</v>
      </c>
      <c r="Q12" s="9">
        <f t="shared" si="4"/>
        <v>1.9018495701315419</v>
      </c>
      <c r="R12" s="4">
        <f>IFERROR(VLOOKUP($A:$A,MASTER!$A:$T,19,0),0)</f>
        <v>13570</v>
      </c>
      <c r="S12" s="4">
        <f>IFERROR(VLOOKUP($A:$A,MASTER!$A:$T,20,0),0)</f>
        <v>12699</v>
      </c>
      <c r="T12" s="9">
        <f t="shared" si="5"/>
        <v>6.8588077801401637E-2</v>
      </c>
      <c r="U12" s="13">
        <f>IFERROR(VLOOKUP(A:A,MASTER!A:K,11,0),0)</f>
        <v>272</v>
      </c>
      <c r="V12" s="13">
        <f>IFERROR(VLOOKUP(A:A,MASTER!A:L,12,0),0)</f>
        <v>226</v>
      </c>
      <c r="W12" s="9">
        <f t="shared" si="6"/>
        <v>0.20353982300884965</v>
      </c>
    </row>
    <row r="13" spans="1:23" ht="64.5" customHeight="1" x14ac:dyDescent="0.35">
      <c r="A13" s="10" t="s">
        <v>7</v>
      </c>
      <c r="B13" s="1" t="s">
        <v>17</v>
      </c>
      <c r="C13" s="4">
        <f>IFERROR(VLOOKUP($A:$A,MASTER!$A:$T,3,0),0)</f>
        <v>35102336.369845547</v>
      </c>
      <c r="D13" s="4">
        <f>IFERROR(VLOOKUP($A:$A,MASTER!$A:$T,4,0),0)</f>
        <v>36154651.20325432</v>
      </c>
      <c r="E13" s="9">
        <f t="shared" si="0"/>
        <v>-2.9105932387312072E-2</v>
      </c>
      <c r="F13" s="4">
        <f>IFERROR(VLOOKUP(A:A,MASTER!A:E,5,0),0)</f>
        <v>10360.360360361001</v>
      </c>
      <c r="G13" s="4">
        <f>IFERROR(VLOOKUP(A:A,MASTER!A:F,6,0),0)</f>
        <v>109909.90990991</v>
      </c>
      <c r="H13" s="9">
        <f t="shared" si="1"/>
        <v>-0.90573770491802708</v>
      </c>
      <c r="I13" s="4">
        <f>IFERROR(VLOOKUP(A:A,MASTER!A:M,13,0),0)</f>
        <v>9260810.8108108118</v>
      </c>
      <c r="J13" s="4">
        <f>IFERROR(VLOOKUP($A:$A,MASTER!$A:$T,14,0),0)</f>
        <v>6970270.2702702694</v>
      </c>
      <c r="K13" s="9">
        <f t="shared" si="2"/>
        <v>0.32861574253586689</v>
      </c>
      <c r="L13" s="4">
        <f>IFERROR(VLOOKUP($A:$A,MASTER!$A:$T,15,0),0)</f>
        <v>22941441.441441439</v>
      </c>
      <c r="M13" s="4">
        <f>IFERROR(VLOOKUP($A:$A,MASTER!$A:$T,16,0),0)</f>
        <v>25451621.62162162</v>
      </c>
      <c r="N13" s="9">
        <f t="shared" si="3"/>
        <v>-9.8625549974691418E-2</v>
      </c>
      <c r="O13" s="4">
        <f>IFERROR(VLOOKUP($A:$A,MASTER!$A:$T,17,0),0)</f>
        <v>10096756.75675676</v>
      </c>
      <c r="P13" s="4">
        <f>IFERROR(VLOOKUP($A:$A,MASTER!$A:$T,18,0),0)</f>
        <v>7751261.2612612601</v>
      </c>
      <c r="Q13" s="9">
        <f t="shared" si="4"/>
        <v>0.30259533467381128</v>
      </c>
      <c r="R13" s="4">
        <f>IFERROR(VLOOKUP($A:$A,MASTER!$A:$T,19,0),0)</f>
        <v>4976</v>
      </c>
      <c r="S13" s="4">
        <f>IFERROR(VLOOKUP($A:$A,MASTER!$A:$T,20,0),0)</f>
        <v>5275</v>
      </c>
      <c r="T13" s="9">
        <f t="shared" si="5"/>
        <v>-5.6682464454976267E-2</v>
      </c>
      <c r="U13" s="13">
        <f>IFERROR(VLOOKUP(A:A,MASTER!A:K,11,0),0)</f>
        <v>12</v>
      </c>
      <c r="V13" s="13">
        <f>IFERROR(VLOOKUP(A:A,MASTER!A:L,12,0),0)</f>
        <v>18</v>
      </c>
      <c r="W13" s="9">
        <f t="shared" si="6"/>
        <v>-0.33333333333333337</v>
      </c>
    </row>
    <row r="14" spans="1:23" ht="64.5" customHeight="1" x14ac:dyDescent="0.35">
      <c r="A14" s="10" t="s">
        <v>8</v>
      </c>
      <c r="B14" s="1" t="s">
        <v>16</v>
      </c>
      <c r="C14" s="4">
        <f>IFERROR(VLOOKUP($A:$A,MASTER!$A:$T,3,0),0)</f>
        <v>50981047.372630015</v>
      </c>
      <c r="D14" s="4">
        <f>IFERROR(VLOOKUP($A:$A,MASTER!$A:$T,4,0),0)</f>
        <v>47236312.580856249</v>
      </c>
      <c r="E14" s="9">
        <f t="shared" si="0"/>
        <v>7.9276611301184019E-2</v>
      </c>
      <c r="F14" s="4">
        <f>IFERROR(VLOOKUP(A:A,MASTER!A:E,5,0),0)</f>
        <v>662162.16216216201</v>
      </c>
      <c r="G14" s="4">
        <f>IFERROR(VLOOKUP(A:A,MASTER!A:F,6,0),0)</f>
        <v>732432.43243243406</v>
      </c>
      <c r="H14" s="9">
        <f t="shared" si="1"/>
        <v>-9.5940959409596349E-2</v>
      </c>
      <c r="I14" s="4">
        <f>IFERROR(VLOOKUP(A:A,MASTER!A:M,13,0),0)</f>
        <v>8993693.6936936956</v>
      </c>
      <c r="J14" s="4">
        <f>IFERROR(VLOOKUP($A:$A,MASTER!$A:$T,14,0),0)</f>
        <v>5355855.855855857</v>
      </c>
      <c r="K14" s="9">
        <f t="shared" si="2"/>
        <v>0.67922624053826741</v>
      </c>
      <c r="L14" s="4">
        <f>IFERROR(VLOOKUP($A:$A,MASTER!$A:$T,15,0),0)</f>
        <v>14819864.864864863</v>
      </c>
      <c r="M14" s="4">
        <f>IFERROR(VLOOKUP($A:$A,MASTER!$A:$T,16,0),0)</f>
        <v>12901945.945945946</v>
      </c>
      <c r="N14" s="9">
        <f t="shared" si="3"/>
        <v>0.14865346103248611</v>
      </c>
      <c r="O14" s="4">
        <f>IFERROR(VLOOKUP($A:$A,MASTER!$A:$T,17,0),0)</f>
        <v>7886486.4864864871</v>
      </c>
      <c r="P14" s="4">
        <f>IFERROR(VLOOKUP($A:$A,MASTER!$A:$T,18,0),0)</f>
        <v>3724954.9549549548</v>
      </c>
      <c r="Q14" s="9">
        <f t="shared" si="4"/>
        <v>1.1172031828185842</v>
      </c>
      <c r="R14" s="4">
        <f>IFERROR(VLOOKUP($A:$A,MASTER!$A:$T,19,0),0)</f>
        <v>3518</v>
      </c>
      <c r="S14" s="4">
        <f>IFERROR(VLOOKUP($A:$A,MASTER!$A:$T,20,0),0)</f>
        <v>3770</v>
      </c>
      <c r="T14" s="9">
        <f t="shared" si="5"/>
        <v>-6.6843501326259935E-2</v>
      </c>
      <c r="U14" s="13">
        <f>IFERROR(VLOOKUP(A:A,MASTER!A:K,11,0),0)</f>
        <v>4</v>
      </c>
      <c r="V14" s="13">
        <f>IFERROR(VLOOKUP(A:A,MASTER!A:L,12,0),0)</f>
        <v>0</v>
      </c>
      <c r="W14" s="9">
        <f t="shared" si="6"/>
        <v>0</v>
      </c>
    </row>
    <row r="15" spans="1:23" ht="64.5" customHeight="1" x14ac:dyDescent="0.35">
      <c r="A15" s="10" t="s">
        <v>9</v>
      </c>
      <c r="B15" s="1" t="s">
        <v>16</v>
      </c>
      <c r="C15" s="4">
        <f>IFERROR(VLOOKUP($A:$A,MASTER!$A:$T,3,0),0)</f>
        <v>97703732.420399234</v>
      </c>
      <c r="D15" s="4">
        <f>IFERROR(VLOOKUP($A:$A,MASTER!$A:$T,4,0),0)</f>
        <v>90678997.334618971</v>
      </c>
      <c r="E15" s="9">
        <f t="shared" si="0"/>
        <v>7.7468160128171037E-2</v>
      </c>
      <c r="F15" s="4">
        <f>IFERROR(VLOOKUP(A:A,MASTER!A:E,5,0),0)</f>
        <v>954414.41441441502</v>
      </c>
      <c r="G15" s="4">
        <f>IFERROR(VLOOKUP(A:A,MASTER!A:F,6,0),0)</f>
        <v>543243.24324324401</v>
      </c>
      <c r="H15" s="9">
        <f t="shared" si="1"/>
        <v>0.75688225538971676</v>
      </c>
      <c r="I15" s="4">
        <f>IFERROR(VLOOKUP(A:A,MASTER!A:M,13,0),0)</f>
        <v>186165225.22522521</v>
      </c>
      <c r="J15" s="4">
        <f>IFERROR(VLOOKUP($A:$A,MASTER!$A:$T,14,0),0)</f>
        <v>73327927.927927926</v>
      </c>
      <c r="K15" s="9">
        <f t="shared" si="2"/>
        <v>1.538803843035113</v>
      </c>
      <c r="L15" s="4">
        <f>IFERROR(VLOOKUP($A:$A,MASTER!$A:$T,15,0),0)</f>
        <v>33787747.747747749</v>
      </c>
      <c r="M15" s="4">
        <f>IFERROR(VLOOKUP($A:$A,MASTER!$A:$T,16,0),0)</f>
        <v>31868648.648648649</v>
      </c>
      <c r="N15" s="9">
        <f t="shared" si="3"/>
        <v>6.0219029688303838E-2</v>
      </c>
      <c r="O15" s="4">
        <f>IFERROR(VLOOKUP($A:$A,MASTER!$A:$T,17,0),0)</f>
        <v>134258378.37837839</v>
      </c>
      <c r="P15" s="4">
        <f>IFERROR(VLOOKUP($A:$A,MASTER!$A:$T,18,0),0)</f>
        <v>74555495.495495483</v>
      </c>
      <c r="Q15" s="9">
        <f t="shared" si="4"/>
        <v>0.80078446915412238</v>
      </c>
      <c r="R15" s="4">
        <f>IFERROR(VLOOKUP($A:$A,MASTER!$A:$T,19,0),0)</f>
        <v>7423</v>
      </c>
      <c r="S15" s="4">
        <f>IFERROR(VLOOKUP($A:$A,MASTER!$A:$T,20,0),0)</f>
        <v>6853</v>
      </c>
      <c r="T15" s="9">
        <f t="shared" si="5"/>
        <v>8.3175251714577625E-2</v>
      </c>
      <c r="U15" s="13">
        <f>IFERROR(VLOOKUP(A:A,MASTER!A:K,11,0),0)</f>
        <v>17</v>
      </c>
      <c r="V15" s="13">
        <f>IFERROR(VLOOKUP(A:A,MASTER!A:L,12,0),0)</f>
        <v>16</v>
      </c>
      <c r="W15" s="9">
        <f t="shared" si="6"/>
        <v>6.25E-2</v>
      </c>
    </row>
    <row r="16" spans="1:23" ht="64.5" customHeight="1" x14ac:dyDescent="0.35">
      <c r="A16" s="10" t="s">
        <v>35</v>
      </c>
      <c r="B16" s="1" t="s">
        <v>16</v>
      </c>
      <c r="C16" s="4">
        <f>IFERROR(VLOOKUP($A:$A,MASTER!$A:$T,3,0),0)</f>
        <v>0</v>
      </c>
      <c r="D16" s="4">
        <f>IFERROR(VLOOKUP($A:$A,MASTER!$A:$T,4,0),0)</f>
        <v>0</v>
      </c>
      <c r="E16" s="9">
        <f t="shared" si="0"/>
        <v>0</v>
      </c>
      <c r="F16" s="4">
        <f>IFERROR(VLOOKUP(A:A,MASTER!A:E,5,0),0)</f>
        <v>0</v>
      </c>
      <c r="G16" s="4">
        <f>IFERROR(VLOOKUP(A:A,MASTER!A:F,6,0),0)</f>
        <v>0</v>
      </c>
      <c r="H16" s="9">
        <f t="shared" si="1"/>
        <v>0</v>
      </c>
      <c r="I16" s="4">
        <f>IFERROR(VLOOKUP(A:A,MASTER!A:M,13,0),0)</f>
        <v>0</v>
      </c>
      <c r="J16" s="4">
        <f>IFERROR(VLOOKUP($A:$A,MASTER!$A:$T,14,0),0)</f>
        <v>0</v>
      </c>
      <c r="K16" s="9">
        <f t="shared" si="2"/>
        <v>0</v>
      </c>
      <c r="L16" s="4">
        <f>IFERROR(VLOOKUP($A:$A,MASTER!$A:$T,15,0),0)</f>
        <v>0</v>
      </c>
      <c r="M16" s="4">
        <f>IFERROR(VLOOKUP($A:$A,MASTER!$A:$T,16,0),0)</f>
        <v>0</v>
      </c>
      <c r="N16" s="9">
        <f t="shared" si="3"/>
        <v>0</v>
      </c>
      <c r="O16" s="4">
        <f>IFERROR(VLOOKUP($A:$A,MASTER!$A:$T,17,0),0)</f>
        <v>0</v>
      </c>
      <c r="P16" s="4">
        <f>IFERROR(VLOOKUP($A:$A,MASTER!$A:$T,18,0),0)</f>
        <v>0</v>
      </c>
      <c r="Q16" s="9">
        <f t="shared" si="4"/>
        <v>0</v>
      </c>
      <c r="R16" s="4">
        <f>IFERROR(VLOOKUP($A:$A,MASTER!$A:$T,19,0),0)</f>
        <v>0</v>
      </c>
      <c r="S16" s="4">
        <f>IFERROR(VLOOKUP($A:$A,MASTER!$A:$T,20,0),0)</f>
        <v>0</v>
      </c>
      <c r="T16" s="9">
        <f t="shared" si="5"/>
        <v>0</v>
      </c>
      <c r="U16" s="13">
        <f>IFERROR(VLOOKUP(A:A,MASTER!A:K,11,0),0)</f>
        <v>0</v>
      </c>
      <c r="V16" s="13">
        <f>IFERROR(VLOOKUP(A:A,MASTER!A:L,12,0),0)</f>
        <v>0</v>
      </c>
      <c r="W16" s="9">
        <f t="shared" si="6"/>
        <v>0</v>
      </c>
    </row>
    <row r="17" spans="1:23" ht="64.5" customHeight="1" x14ac:dyDescent="0.35">
      <c r="A17" s="10" t="s">
        <v>10</v>
      </c>
      <c r="B17" s="1" t="s">
        <v>17</v>
      </c>
      <c r="C17" s="4">
        <f>IFERROR(VLOOKUP($A:$A,MASTER!$A:$T,3,0),0)</f>
        <v>40790538.687601499</v>
      </c>
      <c r="D17" s="4">
        <f>IFERROR(VLOOKUP($A:$A,MASTER!$A:$T,4,0),0)</f>
        <v>37585749.120603293</v>
      </c>
      <c r="E17" s="9">
        <f t="shared" si="0"/>
        <v>8.5266082011957067E-2</v>
      </c>
      <c r="F17" s="4">
        <f>IFERROR(VLOOKUP(A:A,MASTER!A:E,5,0),0)</f>
        <v>0</v>
      </c>
      <c r="G17" s="4">
        <f>IFERROR(VLOOKUP(A:A,MASTER!A:F,6,0),0)</f>
        <v>0</v>
      </c>
      <c r="H17" s="9">
        <f t="shared" si="1"/>
        <v>0</v>
      </c>
      <c r="I17" s="4">
        <f>IFERROR(VLOOKUP(A:A,MASTER!A:M,13,0),0)</f>
        <v>0</v>
      </c>
      <c r="J17" s="4">
        <f>IFERROR(VLOOKUP($A:$A,MASTER!$A:$T,14,0),0)</f>
        <v>0</v>
      </c>
      <c r="K17" s="9">
        <f t="shared" si="2"/>
        <v>0</v>
      </c>
      <c r="L17" s="4">
        <f>IFERROR(VLOOKUP($A:$A,MASTER!$A:$T,15,0),0)</f>
        <v>23868018.018018015</v>
      </c>
      <c r="M17" s="4">
        <f>IFERROR(VLOOKUP($A:$A,MASTER!$A:$T,16,0),0)</f>
        <v>22335000</v>
      </c>
      <c r="N17" s="9">
        <f t="shared" si="3"/>
        <v>6.8637475622028932E-2</v>
      </c>
      <c r="O17" s="4">
        <f>IFERROR(VLOOKUP($A:$A,MASTER!$A:$T,17,0),0)</f>
        <v>0</v>
      </c>
      <c r="P17" s="4">
        <f>IFERROR(VLOOKUP($A:$A,MASTER!$A:$T,18,0),0)</f>
        <v>11081.081081081</v>
      </c>
      <c r="Q17" s="9">
        <f t="shared" si="4"/>
        <v>-1</v>
      </c>
      <c r="R17" s="4">
        <f>IFERROR(VLOOKUP($A:$A,MASTER!$A:$T,19,0),0)</f>
        <v>3727</v>
      </c>
      <c r="S17" s="4">
        <f>IFERROR(VLOOKUP($A:$A,MASTER!$A:$T,20,0),0)</f>
        <v>3583</v>
      </c>
      <c r="T17" s="9">
        <f t="shared" si="5"/>
        <v>4.0189785096288011E-2</v>
      </c>
      <c r="U17" s="13">
        <f>IFERROR(VLOOKUP(A:A,MASTER!A:K,11,0),0)</f>
        <v>5</v>
      </c>
      <c r="V17" s="13">
        <f>IFERROR(VLOOKUP(A:A,MASTER!A:L,12,0),0)</f>
        <v>6</v>
      </c>
      <c r="W17" s="9">
        <f t="shared" si="6"/>
        <v>-0.16666666666666663</v>
      </c>
    </row>
    <row r="18" spans="1:23" ht="64.5" customHeight="1" x14ac:dyDescent="0.35">
      <c r="A18" s="10" t="s">
        <v>11</v>
      </c>
      <c r="B18" s="1" t="s">
        <v>17</v>
      </c>
      <c r="C18" s="4">
        <f>IFERROR(VLOOKUP($A:$A,MASTER!$A:$T,3,0),0)</f>
        <v>32597292.214296337</v>
      </c>
      <c r="D18" s="4">
        <f>IFERROR(VLOOKUP($A:$A,MASTER!$A:$T,4,0),0)</f>
        <v>33025382.878902655</v>
      </c>
      <c r="E18" s="9">
        <f t="shared" si="0"/>
        <v>-1.2962473930311136E-2</v>
      </c>
      <c r="F18" s="4">
        <f>IFERROR(VLOOKUP(A:A,MASTER!A:E,5,0),0)</f>
        <v>194594.59459459601</v>
      </c>
      <c r="G18" s="4">
        <f>IFERROR(VLOOKUP(A:A,MASTER!A:F,6,0),0)</f>
        <v>18018.018018018</v>
      </c>
      <c r="H18" s="9">
        <f t="shared" si="1"/>
        <v>9.8000000000000895</v>
      </c>
      <c r="I18" s="4">
        <f>IFERROR(VLOOKUP(A:A,MASTER!A:M,13,0),0)</f>
        <v>194594.59459459601</v>
      </c>
      <c r="J18" s="4">
        <f>IFERROR(VLOOKUP($A:$A,MASTER!$A:$T,14,0),0)</f>
        <v>1819819.8198198189</v>
      </c>
      <c r="K18" s="9">
        <f t="shared" si="2"/>
        <v>-0.8930693069306922</v>
      </c>
      <c r="L18" s="4">
        <f>IFERROR(VLOOKUP($A:$A,MASTER!$A:$T,15,0),0)</f>
        <v>9553513.5135135129</v>
      </c>
      <c r="M18" s="4">
        <f>IFERROR(VLOOKUP($A:$A,MASTER!$A:$T,16,0),0)</f>
        <v>11448864.864864863</v>
      </c>
      <c r="N18" s="9">
        <f t="shared" si="3"/>
        <v>-0.16554928141111591</v>
      </c>
      <c r="O18" s="4">
        <f>IFERROR(VLOOKUP($A:$A,MASTER!$A:$T,17,0),0)</f>
        <v>1017117.117117118</v>
      </c>
      <c r="P18" s="4">
        <f>IFERROR(VLOOKUP($A:$A,MASTER!$A:$T,18,0),0)</f>
        <v>1262612.612612613</v>
      </c>
      <c r="Q18" s="9">
        <f t="shared" si="4"/>
        <v>-0.19443453442739878</v>
      </c>
      <c r="R18" s="4">
        <f>IFERROR(VLOOKUP($A:$A,MASTER!$A:$T,19,0),0)</f>
        <v>3780</v>
      </c>
      <c r="S18" s="4">
        <f>IFERROR(VLOOKUP($A:$A,MASTER!$A:$T,20,0),0)</f>
        <v>3958</v>
      </c>
      <c r="T18" s="9">
        <f t="shared" si="5"/>
        <v>-4.4972208185952489E-2</v>
      </c>
      <c r="U18" s="13">
        <f>IFERROR(VLOOKUP(A:A,MASTER!A:K,11,0),0)</f>
        <v>9</v>
      </c>
      <c r="V18" s="13">
        <f>IFERROR(VLOOKUP(A:A,MASTER!A:L,12,0),0)</f>
        <v>10</v>
      </c>
      <c r="W18" s="9">
        <f t="shared" si="6"/>
        <v>-9.9999999999999978E-2</v>
      </c>
    </row>
    <row r="19" spans="1:23" ht="64.5" customHeight="1" x14ac:dyDescent="0.35">
      <c r="A19" s="10" t="s">
        <v>12</v>
      </c>
      <c r="B19" s="1" t="s">
        <v>17</v>
      </c>
      <c r="C19" s="4">
        <f>IFERROR(VLOOKUP($A:$A,MASTER!$A:$T,3,0),0)</f>
        <v>23931666.655030821</v>
      </c>
      <c r="D19" s="4">
        <f>IFERROR(VLOOKUP($A:$A,MASTER!$A:$T,4,0),0)</f>
        <v>20821164.01243417</v>
      </c>
      <c r="E19" s="9">
        <f t="shared" si="0"/>
        <v>0.14939139044959693</v>
      </c>
      <c r="F19" s="4">
        <f>IFERROR(VLOOKUP(A:A,MASTER!A:E,5,0),0)</f>
        <v>26126.126126128998</v>
      </c>
      <c r="G19" s="4">
        <f>IFERROR(VLOOKUP(A:A,MASTER!A:F,6,0),0)</f>
        <v>48648.648648649003</v>
      </c>
      <c r="H19" s="9">
        <f t="shared" si="1"/>
        <v>-0.46296296296290784</v>
      </c>
      <c r="I19" s="4">
        <f>IFERROR(VLOOKUP(A:A,MASTER!A:M,13,0),0)</f>
        <v>3629729.729729732</v>
      </c>
      <c r="J19" s="4">
        <f>IFERROR(VLOOKUP($A:$A,MASTER!$A:$T,14,0),0)</f>
        <v>48648.648648649003</v>
      </c>
      <c r="K19" s="9">
        <f t="shared" si="2"/>
        <v>73.611111111110617</v>
      </c>
      <c r="L19" s="4">
        <f>IFERROR(VLOOKUP($A:$A,MASTER!$A:$T,15,0),0)</f>
        <v>8671531.5315315314</v>
      </c>
      <c r="M19" s="4">
        <f>IFERROR(VLOOKUP($A:$A,MASTER!$A:$T,16,0),0)</f>
        <v>8711036.0360360369</v>
      </c>
      <c r="N19" s="9">
        <f t="shared" si="3"/>
        <v>-4.5349949582440541E-3</v>
      </c>
      <c r="O19" s="4">
        <f>IFERROR(VLOOKUP($A:$A,MASTER!$A:$T,17,0),0)</f>
        <v>309459.459459459</v>
      </c>
      <c r="P19" s="4">
        <f>IFERROR(VLOOKUP($A:$A,MASTER!$A:$T,18,0),0)</f>
        <v>1184054.0540540549</v>
      </c>
      <c r="Q19" s="9">
        <f t="shared" si="4"/>
        <v>-0.73864414517233568</v>
      </c>
      <c r="R19" s="4">
        <f>IFERROR(VLOOKUP($A:$A,MASTER!$A:$T,19,0),0)</f>
        <v>2898</v>
      </c>
      <c r="S19" s="4">
        <f>IFERROR(VLOOKUP($A:$A,MASTER!$A:$T,20,0),0)</f>
        <v>3015</v>
      </c>
      <c r="T19" s="9">
        <f t="shared" si="5"/>
        <v>-3.8805970149253688E-2</v>
      </c>
      <c r="U19" s="13">
        <f>IFERROR(VLOOKUP(A:A,MASTER!A:K,11,0),0)</f>
        <v>6</v>
      </c>
      <c r="V19" s="13">
        <f>IFERROR(VLOOKUP(A:A,MASTER!A:L,12,0),0)</f>
        <v>2</v>
      </c>
      <c r="W19" s="9">
        <f t="shared" si="6"/>
        <v>2</v>
      </c>
    </row>
    <row r="20" spans="1:23" ht="64.5" customHeight="1" x14ac:dyDescent="0.35">
      <c r="A20" s="10" t="s">
        <v>36</v>
      </c>
      <c r="B20" s="1" t="s">
        <v>16</v>
      </c>
      <c r="C20" s="4">
        <f>IFERROR(VLOOKUP($A:$A,MASTER!$A:$T,3,0),0)</f>
        <v>0</v>
      </c>
      <c r="D20" s="4">
        <f>IFERROR(VLOOKUP($A:$A,MASTER!$A:$T,4,0),0)</f>
        <v>0</v>
      </c>
      <c r="E20" s="9">
        <f t="shared" si="0"/>
        <v>0</v>
      </c>
      <c r="F20" s="4">
        <f>IFERROR(VLOOKUP(A:A,MASTER!A:E,5,0),0)</f>
        <v>228650946.84684685</v>
      </c>
      <c r="G20" s="4">
        <f>IFERROR(VLOOKUP(A:A,MASTER!A:F,6,0),0)</f>
        <v>127223200.9009009</v>
      </c>
      <c r="H20" s="9">
        <f t="shared" si="1"/>
        <v>0.79724252516608174</v>
      </c>
      <c r="I20" s="4">
        <f>IFERROR(VLOOKUP(A:A,MASTER!A:M,13,0),0)</f>
        <v>14890315.315315315</v>
      </c>
      <c r="J20" s="4">
        <f>IFERROR(VLOOKUP($A:$A,MASTER!$A:$T,14,0),0)</f>
        <v>10879054.054054054</v>
      </c>
      <c r="K20" s="9">
        <f t="shared" si="2"/>
        <v>0.36871415854087752</v>
      </c>
      <c r="L20" s="4">
        <f>IFERROR(VLOOKUP($A:$A,MASTER!$A:$T,15,0),0)</f>
        <v>0</v>
      </c>
      <c r="M20" s="4">
        <f>IFERROR(VLOOKUP($A:$A,MASTER!$A:$T,16,0),0)</f>
        <v>0</v>
      </c>
      <c r="N20" s="9">
        <f t="shared" si="3"/>
        <v>0</v>
      </c>
      <c r="O20" s="4">
        <f>IFERROR(VLOOKUP($A:$A,MASTER!$A:$T,17,0),0)</f>
        <v>0</v>
      </c>
      <c r="P20" s="4">
        <f>IFERROR(VLOOKUP($A:$A,MASTER!$A:$T,18,0),0)</f>
        <v>0</v>
      </c>
      <c r="Q20" s="9">
        <f t="shared" si="4"/>
        <v>0</v>
      </c>
      <c r="R20" s="4">
        <f>IFERROR(VLOOKUP($A:$A,MASTER!$A:$T,19,0),0)</f>
        <v>0</v>
      </c>
      <c r="S20" s="4">
        <f>IFERROR(VLOOKUP($A:$A,MASTER!$A:$T,20,0),0)</f>
        <v>0</v>
      </c>
      <c r="T20" s="9">
        <f t="shared" si="5"/>
        <v>0</v>
      </c>
      <c r="U20" s="13">
        <f>IFERROR(VLOOKUP(A:A,MASTER!A:K,11,0),0)</f>
        <v>0</v>
      </c>
      <c r="V20" s="13">
        <f>IFERROR(VLOOKUP(A:A,MASTER!A:L,12,0),0)</f>
        <v>0</v>
      </c>
      <c r="W20" s="9">
        <f t="shared" si="6"/>
        <v>0</v>
      </c>
    </row>
    <row r="21" spans="1:23" ht="64.5" customHeight="1" x14ac:dyDescent="0.35">
      <c r="A21" s="10" t="s">
        <v>13</v>
      </c>
      <c r="B21" s="1" t="s">
        <v>16</v>
      </c>
      <c r="C21" s="4">
        <f>IFERROR(VLOOKUP($A:$A,MASTER!$A:$T,3,0),0)</f>
        <v>82864196.514485732</v>
      </c>
      <c r="D21" s="4">
        <f>IFERROR(VLOOKUP($A:$A,MASTER!$A:$T,4,0),0)</f>
        <v>76603437.995118037</v>
      </c>
      <c r="E21" s="9">
        <f t="shared" si="0"/>
        <v>8.1729471721186941E-2</v>
      </c>
      <c r="F21" s="4">
        <f>IFERROR(VLOOKUP(A:A,MASTER!A:E,5,0),0)</f>
        <v>79729.729729731</v>
      </c>
      <c r="G21" s="4">
        <f>IFERROR(VLOOKUP(A:A,MASTER!A:F,6,0),0)</f>
        <v>369369.36936937098</v>
      </c>
      <c r="H21" s="9">
        <f t="shared" si="1"/>
        <v>-0.78414634146341211</v>
      </c>
      <c r="I21" s="4">
        <f>IFERROR(VLOOKUP(A:A,MASTER!A:M,13,0),0)</f>
        <v>14045855.855855852</v>
      </c>
      <c r="J21" s="4">
        <f>IFERROR(VLOOKUP($A:$A,MASTER!$A:$T,14,0),0)</f>
        <v>16557027.02702703</v>
      </c>
      <c r="K21" s="9">
        <f t="shared" si="2"/>
        <v>-0.15166799976058754</v>
      </c>
      <c r="L21" s="4">
        <f>IFERROR(VLOOKUP($A:$A,MASTER!$A:$T,15,0),0)</f>
        <v>44361689.189189181</v>
      </c>
      <c r="M21" s="4">
        <f>IFERROR(VLOOKUP($A:$A,MASTER!$A:$T,16,0),0)</f>
        <v>42558747.747747742</v>
      </c>
      <c r="N21" s="9">
        <f t="shared" si="3"/>
        <v>4.2363592371837511E-2</v>
      </c>
      <c r="O21" s="4">
        <f>IFERROR(VLOOKUP($A:$A,MASTER!$A:$T,17,0),0)</f>
        <v>17492882.882882874</v>
      </c>
      <c r="P21" s="4">
        <f>IFERROR(VLOOKUP($A:$A,MASTER!$A:$T,18,0),0)</f>
        <v>18064594.594594602</v>
      </c>
      <c r="Q21" s="9">
        <f t="shared" si="4"/>
        <v>-3.1648189430323437E-2</v>
      </c>
      <c r="R21" s="4">
        <f>IFERROR(VLOOKUP($A:$A,MASTER!$A:$T,19,0),0)</f>
        <v>7507</v>
      </c>
      <c r="S21" s="4">
        <f>IFERROR(VLOOKUP($A:$A,MASTER!$A:$T,20,0),0)</f>
        <v>6971</v>
      </c>
      <c r="T21" s="9">
        <f t="shared" si="5"/>
        <v>7.6889972744226043E-2</v>
      </c>
      <c r="U21" s="13">
        <f>IFERROR(VLOOKUP(A:A,MASTER!A:K,11,0),0)</f>
        <v>7</v>
      </c>
      <c r="V21" s="13">
        <f>IFERROR(VLOOKUP(A:A,MASTER!A:L,12,0),0)</f>
        <v>90</v>
      </c>
      <c r="W21" s="9">
        <f t="shared" si="6"/>
        <v>-0.92222222222222228</v>
      </c>
    </row>
    <row r="22" spans="1:23" ht="64.5" customHeight="1" x14ac:dyDescent="0.35">
      <c r="A22" s="10" t="s">
        <v>14</v>
      </c>
      <c r="B22" s="1" t="s">
        <v>16</v>
      </c>
      <c r="C22" s="4">
        <f>IFERROR(VLOOKUP($A:$A,MASTER!$A:$T,3,0),0)</f>
        <v>41267034.088648565</v>
      </c>
      <c r="D22" s="4">
        <f>IFERROR(VLOOKUP($A:$A,MASTER!$A:$T,4,0),0)</f>
        <v>38821836.344176389</v>
      </c>
      <c r="E22" s="9">
        <f t="shared" si="0"/>
        <v>6.2985112883228611E-2</v>
      </c>
      <c r="F22" s="4">
        <f>IFERROR(VLOOKUP(A:A,MASTER!A:E,5,0),0)</f>
        <v>1801.801801802</v>
      </c>
      <c r="G22" s="4">
        <f>IFERROR(VLOOKUP(A:A,MASTER!A:F,6,0),0)</f>
        <v>414414.41441441502</v>
      </c>
      <c r="H22" s="9">
        <f t="shared" si="1"/>
        <v>-0.99565217391304306</v>
      </c>
      <c r="I22" s="4">
        <f>IFERROR(VLOOKUP(A:A,MASTER!A:M,13,0),0)</f>
        <v>3245045.0450450461</v>
      </c>
      <c r="J22" s="4">
        <f>IFERROR(VLOOKUP($A:$A,MASTER!$A:$T,14,0),0)</f>
        <v>8759459.4594594594</v>
      </c>
      <c r="K22" s="9">
        <f t="shared" si="2"/>
        <v>-0.62953820837190155</v>
      </c>
      <c r="L22" s="4">
        <f>IFERROR(VLOOKUP($A:$A,MASTER!$A:$T,15,0),0)</f>
        <v>13368099.0990991</v>
      </c>
      <c r="M22" s="4">
        <f>IFERROR(VLOOKUP($A:$A,MASTER!$A:$T,16,0),0)</f>
        <v>13880801.801801803</v>
      </c>
      <c r="N22" s="9">
        <f t="shared" si="3"/>
        <v>-3.6936101388332698E-2</v>
      </c>
      <c r="O22" s="4">
        <f>IFERROR(VLOOKUP($A:$A,MASTER!$A:$T,17,0),0)</f>
        <v>2538198.1981981979</v>
      </c>
      <c r="P22" s="4">
        <f>IFERROR(VLOOKUP($A:$A,MASTER!$A:$T,18,0),0)</f>
        <v>11417117.117117116</v>
      </c>
      <c r="Q22" s="9">
        <f t="shared" si="4"/>
        <v>-0.77768484178963149</v>
      </c>
      <c r="R22" s="4">
        <f>IFERROR(VLOOKUP($A:$A,MASTER!$A:$T,19,0),0)</f>
        <v>3943</v>
      </c>
      <c r="S22" s="4">
        <f>IFERROR(VLOOKUP($A:$A,MASTER!$A:$T,20,0),0)</f>
        <v>4078</v>
      </c>
      <c r="T22" s="9">
        <f t="shared" si="5"/>
        <v>-3.3104462972045168E-2</v>
      </c>
      <c r="U22" s="13">
        <f>IFERROR(VLOOKUP(A:A,MASTER!A:K,11,0),0)</f>
        <v>5</v>
      </c>
      <c r="V22" s="13">
        <f>IFERROR(VLOOKUP(A:A,MASTER!A:L,12,0),0)</f>
        <v>4</v>
      </c>
      <c r="W22" s="9">
        <f t="shared" si="6"/>
        <v>0.25</v>
      </c>
    </row>
  </sheetData>
  <autoFilter ref="A5:T22"/>
  <conditionalFormatting sqref="E6:E22">
    <cfRule type="cellIs" dxfId="6" priority="12" operator="lessThan">
      <formula>0</formula>
    </cfRule>
  </conditionalFormatting>
  <conditionalFormatting sqref="H6:H22">
    <cfRule type="cellIs" dxfId="5" priority="6" operator="lessThan">
      <formula>0</formula>
    </cfRule>
  </conditionalFormatting>
  <conditionalFormatting sqref="K6:K22">
    <cfRule type="cellIs" dxfId="4" priority="5" operator="lessThan">
      <formula>0</formula>
    </cfRule>
  </conditionalFormatting>
  <conditionalFormatting sqref="N6:N22">
    <cfRule type="cellIs" dxfId="3" priority="4" operator="lessThan">
      <formula>0</formula>
    </cfRule>
  </conditionalFormatting>
  <conditionalFormatting sqref="Q6:Q22">
    <cfRule type="cellIs" dxfId="2" priority="3" operator="lessThan">
      <formula>0</formula>
    </cfRule>
  </conditionalFormatting>
  <conditionalFormatting sqref="T6:T22">
    <cfRule type="cellIs" dxfId="1" priority="2" operator="lessThan">
      <formula>0</formula>
    </cfRule>
  </conditionalFormatting>
  <conditionalFormatting sqref="W6:W22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74"/>
  <sheetViews>
    <sheetView tabSelected="1" workbookViewId="0">
      <pane xSplit="1" ySplit="2" topLeftCell="B558" activePane="bottomRight" state="frozen"/>
      <selection pane="topRight" activeCell="B1" sqref="B1"/>
      <selection pane="bottomLeft" activeCell="A3" sqref="A3"/>
      <selection pane="bottomRight" activeCell="A3" sqref="A3:T574"/>
    </sheetView>
  </sheetViews>
  <sheetFormatPr defaultRowHeight="14.5" x14ac:dyDescent="0.35"/>
  <cols>
    <col min="1" max="1" width="36.90625" bestFit="1" customWidth="1"/>
    <col min="2" max="2" width="19.36328125" bestFit="1" customWidth="1"/>
    <col min="3" max="3" width="25.81640625" bestFit="1" customWidth="1"/>
    <col min="4" max="4" width="17.6328125" bestFit="1" customWidth="1"/>
    <col min="5" max="5" width="18.6328125" bestFit="1" customWidth="1"/>
    <col min="6" max="6" width="11.81640625" bestFit="1" customWidth="1"/>
    <col min="7" max="8" width="10.453125" bestFit="1" customWidth="1"/>
    <col min="9" max="10" width="10.453125" customWidth="1"/>
    <col min="11" max="12" width="11.36328125" bestFit="1" customWidth="1"/>
    <col min="13" max="18" width="11.81640625" bestFit="1" customWidth="1"/>
  </cols>
  <sheetData>
    <row r="1" spans="1:20" x14ac:dyDescent="0.35">
      <c r="L1" s="7"/>
      <c r="M1" s="7"/>
    </row>
    <row r="2" spans="1:20" x14ac:dyDescent="0.35">
      <c r="A2" s="7" t="s">
        <v>37</v>
      </c>
      <c r="B2" s="11"/>
      <c r="C2" s="7" t="s">
        <v>38</v>
      </c>
      <c r="D2" s="7" t="s">
        <v>38</v>
      </c>
      <c r="E2" s="7" t="s">
        <v>39</v>
      </c>
      <c r="F2" s="7" t="s">
        <v>39</v>
      </c>
      <c r="G2" s="7" t="s">
        <v>40</v>
      </c>
      <c r="H2" s="7" t="s">
        <v>40</v>
      </c>
      <c r="I2" s="7" t="s">
        <v>664</v>
      </c>
      <c r="J2" s="7" t="s">
        <v>664</v>
      </c>
      <c r="K2" s="7" t="s">
        <v>41</v>
      </c>
      <c r="L2" s="7" t="s">
        <v>41</v>
      </c>
      <c r="M2" s="7" t="s">
        <v>42</v>
      </c>
      <c r="N2" s="7" t="s">
        <v>42</v>
      </c>
      <c r="O2" s="7" t="s">
        <v>43</v>
      </c>
      <c r="P2" s="7" t="s">
        <v>43</v>
      </c>
      <c r="Q2" s="7" t="s">
        <v>44</v>
      </c>
      <c r="R2" s="7" t="s">
        <v>44</v>
      </c>
      <c r="S2" s="7" t="s">
        <v>30</v>
      </c>
      <c r="T2" s="7" t="s">
        <v>30</v>
      </c>
    </row>
    <row r="3" spans="1:20" x14ac:dyDescent="0.35">
      <c r="A3" s="8" t="s">
        <v>45</v>
      </c>
      <c r="B3" s="8" t="s">
        <v>46</v>
      </c>
      <c r="C3" s="8" t="s">
        <v>31</v>
      </c>
      <c r="D3" s="8" t="s">
        <v>32</v>
      </c>
      <c r="E3" s="8" t="s">
        <v>31</v>
      </c>
      <c r="F3" s="8" t="s">
        <v>32</v>
      </c>
      <c r="G3" s="8" t="s">
        <v>31</v>
      </c>
      <c r="H3" s="8" t="s">
        <v>32</v>
      </c>
      <c r="I3" s="8" t="s">
        <v>31</v>
      </c>
      <c r="J3" s="8" t="s">
        <v>32</v>
      </c>
      <c r="K3" s="8" t="s">
        <v>31</v>
      </c>
      <c r="L3" s="8" t="s">
        <v>32</v>
      </c>
      <c r="M3" s="8" t="s">
        <v>31</v>
      </c>
      <c r="N3" s="8" t="s">
        <v>32</v>
      </c>
      <c r="O3" s="8" t="s">
        <v>31</v>
      </c>
      <c r="P3" s="8" t="s">
        <v>32</v>
      </c>
      <c r="Q3" s="8" t="s">
        <v>31</v>
      </c>
      <c r="R3" s="8" t="s">
        <v>32</v>
      </c>
      <c r="S3" s="8" t="s">
        <v>31</v>
      </c>
      <c r="T3" s="8" t="s">
        <v>32</v>
      </c>
    </row>
    <row r="4" spans="1:20" x14ac:dyDescent="0.35">
      <c r="A4" s="7" t="s">
        <v>47</v>
      </c>
      <c r="B4" s="12" t="s">
        <v>48</v>
      </c>
      <c r="C4">
        <v>115969581.40881507</v>
      </c>
      <c r="D4">
        <v>123508590.09363744</v>
      </c>
      <c r="E4">
        <v>295495.49549549603</v>
      </c>
      <c r="F4">
        <v>326801.80180180201</v>
      </c>
      <c r="G4">
        <v>6</v>
      </c>
      <c r="H4">
        <v>13</v>
      </c>
      <c r="K4">
        <v>7</v>
      </c>
      <c r="L4">
        <v>15</v>
      </c>
      <c r="M4">
        <v>2338738.7387387399</v>
      </c>
      <c r="N4">
        <v>3972072.0720720738</v>
      </c>
      <c r="O4">
        <v>14674009.009009007</v>
      </c>
      <c r="P4">
        <v>15510450.450450448</v>
      </c>
      <c r="Q4">
        <v>3837927.9279279271</v>
      </c>
      <c r="R4">
        <v>3381891.891891893</v>
      </c>
      <c r="S4">
        <v>7794</v>
      </c>
      <c r="T4">
        <v>8142</v>
      </c>
    </row>
    <row r="5" spans="1:20" x14ac:dyDescent="0.35">
      <c r="A5" s="7" t="s">
        <v>49</v>
      </c>
      <c r="B5" s="12" t="s">
        <v>50</v>
      </c>
      <c r="C5">
        <v>205178836.54923329</v>
      </c>
      <c r="D5">
        <v>198580304.99646345</v>
      </c>
      <c r="E5">
        <v>359639.63963964197</v>
      </c>
      <c r="F5">
        <v>1420720.7207207279</v>
      </c>
      <c r="G5">
        <v>38</v>
      </c>
      <c r="H5">
        <v>49</v>
      </c>
      <c r="I5">
        <v>1</v>
      </c>
      <c r="K5">
        <v>50</v>
      </c>
      <c r="L5">
        <v>101</v>
      </c>
      <c r="M5">
        <v>54374594.59459459</v>
      </c>
      <c r="N5">
        <v>31418738.738738745</v>
      </c>
      <c r="O5">
        <v>59203518.018018015</v>
      </c>
      <c r="P5">
        <v>61030729.729729727</v>
      </c>
      <c r="Q5">
        <v>49742702.702702701</v>
      </c>
      <c r="R5">
        <v>28328108.108108111</v>
      </c>
      <c r="S5">
        <v>20165</v>
      </c>
      <c r="T5">
        <v>19191</v>
      </c>
    </row>
    <row r="6" spans="1:20" x14ac:dyDescent="0.35">
      <c r="A6" s="7" t="s">
        <v>51</v>
      </c>
      <c r="B6" s="12" t="s">
        <v>52</v>
      </c>
      <c r="C6">
        <v>48489832.984708555</v>
      </c>
      <c r="D6">
        <v>48589487.918216161</v>
      </c>
      <c r="E6">
        <v>29094594.594594598</v>
      </c>
      <c r="F6">
        <v>103020720.72072072</v>
      </c>
      <c r="G6">
        <v>6</v>
      </c>
      <c r="H6">
        <v>13</v>
      </c>
      <c r="K6">
        <v>8</v>
      </c>
      <c r="L6">
        <v>13</v>
      </c>
      <c r="M6">
        <v>3651351.351351351</v>
      </c>
      <c r="N6">
        <v>3484684.6846846859</v>
      </c>
      <c r="O6">
        <v>16016576.576576576</v>
      </c>
      <c r="P6">
        <v>16208225.225225223</v>
      </c>
      <c r="Q6">
        <v>4297297.297297297</v>
      </c>
      <c r="R6">
        <v>3100900.9009009008</v>
      </c>
      <c r="S6">
        <v>4574</v>
      </c>
      <c r="T6">
        <v>4638</v>
      </c>
    </row>
    <row r="7" spans="1:20" x14ac:dyDescent="0.35">
      <c r="A7" s="7" t="s">
        <v>53</v>
      </c>
      <c r="B7" s="12" t="s">
        <v>54</v>
      </c>
      <c r="C7">
        <v>27003999.855412699</v>
      </c>
      <c r="D7">
        <v>26878225.626350664</v>
      </c>
      <c r="E7">
        <v>177927.92792793</v>
      </c>
      <c r="F7">
        <v>189189.18918919199</v>
      </c>
      <c r="G7">
        <v>2</v>
      </c>
      <c r="H7">
        <v>6</v>
      </c>
      <c r="K7">
        <v>5</v>
      </c>
      <c r="L7">
        <v>7</v>
      </c>
      <c r="M7">
        <v>2925675.6756756748</v>
      </c>
      <c r="N7">
        <v>2059099.099099101</v>
      </c>
      <c r="O7">
        <v>9029468.4684684686</v>
      </c>
      <c r="P7">
        <v>8438171.1711711716</v>
      </c>
      <c r="Q7">
        <v>3033423.4234234262</v>
      </c>
      <c r="R7">
        <v>2910180.1801801822</v>
      </c>
      <c r="S7">
        <v>3601</v>
      </c>
      <c r="T7">
        <v>3770</v>
      </c>
    </row>
    <row r="8" spans="1:20" x14ac:dyDescent="0.35">
      <c r="A8" s="7" t="s">
        <v>55</v>
      </c>
      <c r="B8" s="12" t="s">
        <v>54</v>
      </c>
      <c r="C8">
        <v>44854297.281666629</v>
      </c>
      <c r="D8">
        <v>43305739.448073938</v>
      </c>
      <c r="E8">
        <v>291441.441441442</v>
      </c>
      <c r="F8">
        <v>739639.639639645</v>
      </c>
      <c r="G8">
        <v>11</v>
      </c>
      <c r="H8">
        <v>8</v>
      </c>
      <c r="K8">
        <v>30</v>
      </c>
      <c r="L8">
        <v>10</v>
      </c>
      <c r="M8">
        <v>9300450.4504504483</v>
      </c>
      <c r="N8">
        <v>6626126.1261261292</v>
      </c>
      <c r="O8">
        <v>10508315.315315315</v>
      </c>
      <c r="P8">
        <v>12387117.117117116</v>
      </c>
      <c r="Q8">
        <v>8682702.7027027011</v>
      </c>
      <c r="R8">
        <v>19358468.468468472</v>
      </c>
      <c r="S8">
        <v>4570</v>
      </c>
      <c r="T8">
        <v>3996</v>
      </c>
    </row>
    <row r="9" spans="1:20" x14ac:dyDescent="0.35">
      <c r="A9" s="7" t="s">
        <v>56</v>
      </c>
      <c r="B9" s="12" t="s">
        <v>54</v>
      </c>
      <c r="C9">
        <v>22336675.187992007</v>
      </c>
      <c r="D9">
        <v>21578317.743777409</v>
      </c>
      <c r="E9">
        <v>275855.85585585597</v>
      </c>
      <c r="F9">
        <v>228828.82882883001</v>
      </c>
      <c r="H9">
        <v>5</v>
      </c>
      <c r="K9">
        <v>1</v>
      </c>
      <c r="L9">
        <v>7</v>
      </c>
      <c r="M9">
        <v>1565045.045045044</v>
      </c>
      <c r="N9">
        <v>3096216.2162162168</v>
      </c>
      <c r="O9">
        <v>6513963.963963965</v>
      </c>
      <c r="P9">
        <v>6309765.7657657638</v>
      </c>
      <c r="Q9">
        <v>1308468.4684684679</v>
      </c>
      <c r="R9">
        <v>2750720.7207207209</v>
      </c>
      <c r="S9">
        <v>2012</v>
      </c>
      <c r="T9">
        <v>2192</v>
      </c>
    </row>
    <row r="10" spans="1:20" x14ac:dyDescent="0.35">
      <c r="A10" s="7" t="s">
        <v>57</v>
      </c>
      <c r="B10" s="12" t="s">
        <v>58</v>
      </c>
      <c r="C10">
        <v>57233869.946700253</v>
      </c>
      <c r="D10">
        <v>58305641.494988777</v>
      </c>
      <c r="E10">
        <v>902702.70270270295</v>
      </c>
      <c r="F10">
        <v>40540.540540542002</v>
      </c>
      <c r="G10">
        <v>8</v>
      </c>
      <c r="H10">
        <v>13</v>
      </c>
      <c r="K10">
        <v>12</v>
      </c>
      <c r="L10">
        <v>17</v>
      </c>
      <c r="M10">
        <v>3154954.9549549548</v>
      </c>
      <c r="N10">
        <v>1932432.4324324329</v>
      </c>
      <c r="O10">
        <v>9784414.4144144133</v>
      </c>
      <c r="P10">
        <v>10815036.036036037</v>
      </c>
      <c r="Q10">
        <v>1529009.009009009</v>
      </c>
      <c r="R10">
        <v>1085045.045045045</v>
      </c>
      <c r="S10">
        <v>5601</v>
      </c>
      <c r="T10">
        <v>5519</v>
      </c>
    </row>
    <row r="11" spans="1:20" x14ac:dyDescent="0.35">
      <c r="A11" s="7" t="s">
        <v>59</v>
      </c>
      <c r="B11" s="12" t="s">
        <v>60</v>
      </c>
      <c r="C11">
        <v>25636587.871347606</v>
      </c>
      <c r="D11">
        <v>23758840.774394784</v>
      </c>
      <c r="E11">
        <v>8648.6486486489994</v>
      </c>
      <c r="F11">
        <v>125225.225225227</v>
      </c>
      <c r="G11">
        <v>2</v>
      </c>
      <c r="H11">
        <v>12</v>
      </c>
      <c r="K11">
        <v>3</v>
      </c>
      <c r="L11">
        <v>22</v>
      </c>
      <c r="M11">
        <v>1450090.090090089</v>
      </c>
      <c r="N11">
        <v>2918018.018018018</v>
      </c>
      <c r="O11">
        <v>12053054.054054054</v>
      </c>
      <c r="P11">
        <v>10388801.801801801</v>
      </c>
      <c r="Q11">
        <v>2667027.0270270258</v>
      </c>
      <c r="R11">
        <v>2365855.8558558561</v>
      </c>
      <c r="S11">
        <v>2806</v>
      </c>
      <c r="T11">
        <v>3121</v>
      </c>
    </row>
    <row r="12" spans="1:20" x14ac:dyDescent="0.35">
      <c r="A12" s="7" t="s">
        <v>61</v>
      </c>
      <c r="B12" s="12" t="s">
        <v>62</v>
      </c>
      <c r="C12">
        <v>118505631.269612</v>
      </c>
      <c r="D12">
        <v>110703274.65991354</v>
      </c>
      <c r="E12">
        <v>9009.0090090100002</v>
      </c>
      <c r="F12">
        <v>402252.252252259</v>
      </c>
      <c r="G12">
        <v>23</v>
      </c>
      <c r="H12">
        <v>12</v>
      </c>
      <c r="K12">
        <v>25</v>
      </c>
      <c r="L12">
        <v>15</v>
      </c>
      <c r="M12">
        <v>3185945.9459459512</v>
      </c>
      <c r="N12">
        <v>4950450.4504504511</v>
      </c>
      <c r="O12">
        <v>12411801.801801803</v>
      </c>
      <c r="P12">
        <v>11279558.558558557</v>
      </c>
      <c r="Q12">
        <v>1950090.0900900939</v>
      </c>
      <c r="R12">
        <v>4172792.792792791</v>
      </c>
      <c r="S12">
        <v>8729</v>
      </c>
      <c r="T12">
        <v>8783</v>
      </c>
    </row>
    <row r="13" spans="1:20" x14ac:dyDescent="0.35">
      <c r="A13" s="7" t="s">
        <v>63</v>
      </c>
      <c r="B13" s="12" t="s">
        <v>50</v>
      </c>
      <c r="C13">
        <v>63098429.348408319</v>
      </c>
      <c r="D13">
        <v>58542253.083318926</v>
      </c>
      <c r="E13">
        <v>190090.09009009099</v>
      </c>
      <c r="F13">
        <v>438738.73873874103</v>
      </c>
      <c r="G13">
        <v>6</v>
      </c>
      <c r="H13">
        <v>8</v>
      </c>
      <c r="K13">
        <v>6</v>
      </c>
      <c r="L13">
        <v>13</v>
      </c>
      <c r="M13">
        <v>20825675.675675675</v>
      </c>
      <c r="N13">
        <v>12536396.3963964</v>
      </c>
      <c r="O13">
        <v>22278333.333333332</v>
      </c>
      <c r="P13">
        <v>21694810.810810808</v>
      </c>
      <c r="Q13">
        <v>20963243.243243244</v>
      </c>
      <c r="R13">
        <v>11787117.11711712</v>
      </c>
      <c r="S13">
        <v>5547</v>
      </c>
      <c r="T13">
        <v>5257</v>
      </c>
    </row>
    <row r="14" spans="1:20" x14ac:dyDescent="0.35">
      <c r="A14" s="7" t="s">
        <v>64</v>
      </c>
      <c r="B14" s="12" t="s">
        <v>50</v>
      </c>
      <c r="C14">
        <v>63702181.794190504</v>
      </c>
      <c r="D14">
        <v>60406788.102449991</v>
      </c>
      <c r="E14">
        <v>677927.92792792805</v>
      </c>
      <c r="F14">
        <v>1236936.936936938</v>
      </c>
      <c r="G14">
        <v>9</v>
      </c>
      <c r="H14">
        <v>23</v>
      </c>
      <c r="K14">
        <v>10</v>
      </c>
      <c r="L14">
        <v>31</v>
      </c>
      <c r="M14">
        <v>10652162.162162164</v>
      </c>
      <c r="N14">
        <v>6888828.8288288284</v>
      </c>
      <c r="O14">
        <v>23346513.513513513</v>
      </c>
      <c r="P14">
        <v>21871774.774774775</v>
      </c>
      <c r="Q14">
        <v>10190270.270270269</v>
      </c>
      <c r="R14">
        <v>6020000</v>
      </c>
      <c r="S14">
        <v>5714</v>
      </c>
      <c r="T14">
        <v>5322</v>
      </c>
    </row>
    <row r="15" spans="1:20" x14ac:dyDescent="0.35">
      <c r="A15" s="7" t="s">
        <v>65</v>
      </c>
      <c r="B15" s="12" t="s">
        <v>66</v>
      </c>
      <c r="C15">
        <v>61914801.865631036</v>
      </c>
      <c r="D15">
        <v>61130759.965421371</v>
      </c>
      <c r="E15">
        <v>1382972.9729729739</v>
      </c>
      <c r="F15">
        <v>997297.29729730205</v>
      </c>
      <c r="G15">
        <v>11</v>
      </c>
      <c r="H15">
        <v>11</v>
      </c>
      <c r="K15">
        <v>14</v>
      </c>
      <c r="L15">
        <v>36</v>
      </c>
      <c r="M15">
        <v>27594324.324324328</v>
      </c>
      <c r="N15">
        <v>22249549.54954955</v>
      </c>
      <c r="O15">
        <v>29209810.810810808</v>
      </c>
      <c r="P15">
        <v>32074594.59459459</v>
      </c>
      <c r="Q15">
        <v>17112252.252252255</v>
      </c>
      <c r="R15">
        <v>16947117.117117114</v>
      </c>
      <c r="S15">
        <v>5595</v>
      </c>
      <c r="T15">
        <v>6744</v>
      </c>
    </row>
    <row r="16" spans="1:20" x14ac:dyDescent="0.35">
      <c r="A16" s="7" t="s">
        <v>67</v>
      </c>
      <c r="B16" s="12" t="s">
        <v>68</v>
      </c>
      <c r="C16">
        <v>30954264.386687964</v>
      </c>
      <c r="D16">
        <v>35179573.970975347</v>
      </c>
      <c r="E16">
        <v>8558.5585585589997</v>
      </c>
      <c r="F16">
        <v>603603.60360360402</v>
      </c>
      <c r="G16">
        <v>6</v>
      </c>
      <c r="H16">
        <v>8</v>
      </c>
      <c r="K16">
        <v>8</v>
      </c>
      <c r="L16">
        <v>8</v>
      </c>
      <c r="M16">
        <v>6155225.2252252251</v>
      </c>
      <c r="N16">
        <v>8865765.7657657657</v>
      </c>
      <c r="O16">
        <v>8491531.5315315314</v>
      </c>
      <c r="P16">
        <v>10408693.693693692</v>
      </c>
      <c r="Q16">
        <v>5200630.6306306301</v>
      </c>
      <c r="R16">
        <v>5216666.666666666</v>
      </c>
      <c r="S16">
        <v>3418</v>
      </c>
      <c r="T16">
        <v>3121</v>
      </c>
    </row>
    <row r="17" spans="1:20" x14ac:dyDescent="0.35">
      <c r="A17" s="7" t="s">
        <v>69</v>
      </c>
      <c r="B17" s="12" t="s">
        <v>70</v>
      </c>
      <c r="C17">
        <v>2654365.7515305742</v>
      </c>
      <c r="D17">
        <v>2885981.0506706531</v>
      </c>
      <c r="G17">
        <v>1</v>
      </c>
      <c r="H17">
        <v>1</v>
      </c>
      <c r="K17">
        <v>1</v>
      </c>
      <c r="L17">
        <v>1</v>
      </c>
      <c r="O17">
        <v>529369.369369369</v>
      </c>
      <c r="P17">
        <v>965675.67567567597</v>
      </c>
      <c r="R17">
        <v>124324.324324324</v>
      </c>
      <c r="S17">
        <v>571</v>
      </c>
      <c r="T17">
        <v>265</v>
      </c>
    </row>
    <row r="18" spans="1:20" x14ac:dyDescent="0.35">
      <c r="A18" s="7" t="s">
        <v>71</v>
      </c>
      <c r="B18" s="12" t="s">
        <v>72</v>
      </c>
      <c r="C18">
        <v>502481299.32953632</v>
      </c>
      <c r="D18">
        <v>477919102.36110753</v>
      </c>
      <c r="E18">
        <v>261661234.23423424</v>
      </c>
      <c r="F18">
        <v>107437112.61261262</v>
      </c>
      <c r="G18">
        <v>115</v>
      </c>
      <c r="H18">
        <v>95</v>
      </c>
      <c r="I18">
        <v>6</v>
      </c>
      <c r="K18">
        <v>154</v>
      </c>
      <c r="L18">
        <v>173</v>
      </c>
      <c r="M18">
        <v>62073243.243243232</v>
      </c>
      <c r="N18">
        <v>48102709.909909911</v>
      </c>
      <c r="O18">
        <v>97258261.261261269</v>
      </c>
      <c r="P18">
        <v>98984872.072072059</v>
      </c>
      <c r="Q18">
        <v>52467387.387387387</v>
      </c>
      <c r="R18">
        <v>49251711.71171172</v>
      </c>
      <c r="S18">
        <v>46214</v>
      </c>
      <c r="T18">
        <v>45061</v>
      </c>
    </row>
    <row r="19" spans="1:20" x14ac:dyDescent="0.35">
      <c r="A19" s="7" t="s">
        <v>73</v>
      </c>
      <c r="B19" s="12" t="s">
        <v>72</v>
      </c>
      <c r="C19">
        <v>50394556.687689058</v>
      </c>
      <c r="D19">
        <v>49479539.416616797</v>
      </c>
      <c r="F19">
        <v>27027.027027027001</v>
      </c>
      <c r="G19">
        <v>6</v>
      </c>
      <c r="H19">
        <v>4</v>
      </c>
      <c r="K19">
        <v>6</v>
      </c>
      <c r="L19">
        <v>6</v>
      </c>
      <c r="M19">
        <v>450450.45045045001</v>
      </c>
      <c r="N19">
        <v>2414414.4144144128</v>
      </c>
      <c r="O19">
        <v>6751576.5765765766</v>
      </c>
      <c r="P19">
        <v>7618864.8648648644</v>
      </c>
      <c r="Q19">
        <v>591261.261261262</v>
      </c>
      <c r="R19">
        <v>1870630.630630631</v>
      </c>
      <c r="S19">
        <v>3445</v>
      </c>
      <c r="T19">
        <v>3672</v>
      </c>
    </row>
    <row r="20" spans="1:20" x14ac:dyDescent="0.35">
      <c r="A20" s="7" t="s">
        <v>74</v>
      </c>
      <c r="B20" s="12" t="s">
        <v>70</v>
      </c>
      <c r="C20">
        <v>50318180.222395003</v>
      </c>
      <c r="D20">
        <v>49155876.953441232</v>
      </c>
      <c r="E20">
        <v>118558.558558559</v>
      </c>
      <c r="F20">
        <v>1473873.8738738771</v>
      </c>
      <c r="G20">
        <v>5</v>
      </c>
      <c r="H20">
        <v>11</v>
      </c>
      <c r="K20">
        <v>9</v>
      </c>
      <c r="L20">
        <v>13</v>
      </c>
      <c r="M20">
        <v>9837477.4774774797</v>
      </c>
      <c r="N20">
        <v>10010810.810810816</v>
      </c>
      <c r="O20">
        <v>17152207.207207207</v>
      </c>
      <c r="P20">
        <v>17326738.738738738</v>
      </c>
      <c r="Q20">
        <v>21698018.018018022</v>
      </c>
      <c r="R20">
        <v>7856306.3063063081</v>
      </c>
      <c r="S20">
        <v>4377</v>
      </c>
      <c r="T20">
        <v>4941</v>
      </c>
    </row>
    <row r="21" spans="1:20" x14ac:dyDescent="0.35">
      <c r="A21" s="7" t="s">
        <v>75</v>
      </c>
      <c r="B21" s="12" t="s">
        <v>76</v>
      </c>
      <c r="C21">
        <v>15977028.75319952</v>
      </c>
      <c r="D21">
        <v>13598365.599897919</v>
      </c>
      <c r="E21">
        <v>4504.5045045050001</v>
      </c>
      <c r="F21">
        <v>16216.216216216</v>
      </c>
      <c r="G21">
        <v>4</v>
      </c>
      <c r="H21">
        <v>1</v>
      </c>
      <c r="K21">
        <v>6</v>
      </c>
      <c r="L21">
        <v>2</v>
      </c>
      <c r="M21">
        <v>1445945.9459459451</v>
      </c>
      <c r="N21">
        <v>1457657.6576576571</v>
      </c>
      <c r="O21">
        <v>3898018.0180180189</v>
      </c>
      <c r="P21">
        <v>3278558.558558559</v>
      </c>
      <c r="Q21">
        <v>1521441.4414414419</v>
      </c>
      <c r="R21">
        <v>550540.54054054001</v>
      </c>
      <c r="S21">
        <v>1490</v>
      </c>
      <c r="T21">
        <v>1455</v>
      </c>
    </row>
    <row r="22" spans="1:20" x14ac:dyDescent="0.35">
      <c r="A22" s="7" t="s">
        <v>77</v>
      </c>
      <c r="B22" s="12" t="s">
        <v>78</v>
      </c>
      <c r="C22">
        <v>33080827.158294719</v>
      </c>
      <c r="D22">
        <v>30726520.865495007</v>
      </c>
      <c r="E22">
        <v>72162.162162163004</v>
      </c>
      <c r="F22">
        <v>552252.25225225498</v>
      </c>
      <c r="G22">
        <v>9</v>
      </c>
      <c r="H22">
        <v>6</v>
      </c>
      <c r="K22">
        <v>10</v>
      </c>
      <c r="L22">
        <v>7</v>
      </c>
      <c r="M22">
        <v>4639729.7297297288</v>
      </c>
      <c r="N22">
        <v>3119819.819819821</v>
      </c>
      <c r="O22">
        <v>9897747.7477477472</v>
      </c>
      <c r="P22">
        <v>9544711.7117117103</v>
      </c>
      <c r="Q22">
        <v>3110540.5405405392</v>
      </c>
      <c r="R22">
        <v>3819549.5495495498</v>
      </c>
      <c r="S22">
        <v>2538</v>
      </c>
      <c r="T22">
        <v>2416</v>
      </c>
    </row>
    <row r="23" spans="1:20" x14ac:dyDescent="0.35">
      <c r="A23" s="7" t="s">
        <v>79</v>
      </c>
      <c r="B23" s="12" t="s">
        <v>80</v>
      </c>
      <c r="C23">
        <v>293613453.82035822</v>
      </c>
      <c r="D23">
        <v>273935851.50870752</v>
      </c>
      <c r="E23">
        <v>25366216.216216221</v>
      </c>
      <c r="F23">
        <v>1616216.216216224</v>
      </c>
      <c r="G23">
        <v>67</v>
      </c>
      <c r="H23">
        <v>55</v>
      </c>
      <c r="I23">
        <v>2</v>
      </c>
      <c r="K23">
        <v>100</v>
      </c>
      <c r="L23">
        <v>80</v>
      </c>
      <c r="M23">
        <v>168775945.94594595</v>
      </c>
      <c r="N23">
        <v>32109909.909909911</v>
      </c>
      <c r="O23">
        <v>73624590.090090096</v>
      </c>
      <c r="P23">
        <v>72675842.342342332</v>
      </c>
      <c r="Q23">
        <v>24405765.765765768</v>
      </c>
      <c r="R23">
        <v>27452972.97297297</v>
      </c>
      <c r="S23">
        <v>26870</v>
      </c>
      <c r="T23">
        <v>26931</v>
      </c>
    </row>
    <row r="24" spans="1:20" x14ac:dyDescent="0.35">
      <c r="A24" s="7" t="s">
        <v>81</v>
      </c>
      <c r="B24" s="12" t="s">
        <v>54</v>
      </c>
      <c r="C24">
        <v>8464871.6512059402</v>
      </c>
      <c r="D24">
        <v>8713334.7055118196</v>
      </c>
      <c r="E24">
        <v>3603.603603604</v>
      </c>
      <c r="F24">
        <v>50450.450450450997</v>
      </c>
      <c r="G24">
        <v>3</v>
      </c>
      <c r="H24">
        <v>2</v>
      </c>
      <c r="K24">
        <v>4</v>
      </c>
      <c r="L24">
        <v>3</v>
      </c>
      <c r="M24">
        <v>589639.63963963895</v>
      </c>
      <c r="N24">
        <v>50450.450450450997</v>
      </c>
      <c r="O24">
        <v>1691891.891891893</v>
      </c>
      <c r="P24">
        <v>2193603.6036036038</v>
      </c>
      <c r="Q24">
        <v>671711.71171171195</v>
      </c>
      <c r="R24">
        <v>354144.14414414502</v>
      </c>
      <c r="S24">
        <v>1401</v>
      </c>
      <c r="T24">
        <v>1283</v>
      </c>
    </row>
    <row r="25" spans="1:20" x14ac:dyDescent="0.35">
      <c r="A25" s="7" t="s">
        <v>82</v>
      </c>
      <c r="B25" s="12" t="s">
        <v>83</v>
      </c>
      <c r="C25">
        <v>214389977.35393116</v>
      </c>
      <c r="D25">
        <v>207809246.72901866</v>
      </c>
      <c r="E25">
        <v>9915405.4054054059</v>
      </c>
      <c r="F25">
        <v>1717342.3423423481</v>
      </c>
      <c r="G25">
        <v>33</v>
      </c>
      <c r="H25">
        <v>32</v>
      </c>
      <c r="K25">
        <v>37</v>
      </c>
      <c r="L25">
        <v>41</v>
      </c>
      <c r="M25">
        <v>39452342.342342339</v>
      </c>
      <c r="N25">
        <v>62900450.45045045</v>
      </c>
      <c r="O25">
        <v>57494007.20720721</v>
      </c>
      <c r="P25">
        <v>54067734.234234229</v>
      </c>
      <c r="Q25">
        <v>28693063.063063063</v>
      </c>
      <c r="R25">
        <v>23480540.540540542</v>
      </c>
      <c r="S25">
        <v>15370</v>
      </c>
      <c r="T25">
        <v>14935</v>
      </c>
    </row>
    <row r="26" spans="1:20" x14ac:dyDescent="0.35">
      <c r="A26" s="7" t="s">
        <v>84</v>
      </c>
      <c r="B26" s="12" t="s">
        <v>85</v>
      </c>
      <c r="C26">
        <v>20030022.551863413</v>
      </c>
      <c r="D26">
        <v>21664000.742491782</v>
      </c>
      <c r="E26">
        <v>13513.513513514001</v>
      </c>
      <c r="F26">
        <v>631306.30630630802</v>
      </c>
      <c r="G26">
        <v>5</v>
      </c>
      <c r="H26">
        <v>13</v>
      </c>
      <c r="K26">
        <v>8</v>
      </c>
      <c r="L26">
        <v>16</v>
      </c>
      <c r="M26">
        <v>24150900.9009009</v>
      </c>
      <c r="N26">
        <v>33563963.963963963</v>
      </c>
      <c r="O26">
        <v>6317567.5675675673</v>
      </c>
      <c r="P26">
        <v>7753261.2612612611</v>
      </c>
      <c r="Q26">
        <v>16593243.243243244</v>
      </c>
      <c r="R26">
        <v>28398018.018018018</v>
      </c>
      <c r="S26">
        <v>2271</v>
      </c>
      <c r="T26">
        <v>6352</v>
      </c>
    </row>
    <row r="27" spans="1:20" x14ac:dyDescent="0.35">
      <c r="A27" s="7" t="s">
        <v>86</v>
      </c>
      <c r="B27" s="12" t="s">
        <v>87</v>
      </c>
      <c r="C27">
        <v>835261.74663901504</v>
      </c>
      <c r="D27">
        <v>710427.69886705605</v>
      </c>
      <c r="G27">
        <v>2</v>
      </c>
      <c r="K27">
        <v>2</v>
      </c>
      <c r="O27">
        <v>261036.03603603601</v>
      </c>
      <c r="P27">
        <v>472027.02702702698</v>
      </c>
      <c r="S27">
        <v>168</v>
      </c>
      <c r="T27">
        <v>161</v>
      </c>
    </row>
    <row r="28" spans="1:20" x14ac:dyDescent="0.35">
      <c r="A28" s="7" t="s">
        <v>88</v>
      </c>
      <c r="B28" s="12" t="s">
        <v>89</v>
      </c>
      <c r="C28">
        <v>44343732.905748218</v>
      </c>
      <c r="D28">
        <v>42155158.460070521</v>
      </c>
      <c r="E28">
        <v>1801.801801802</v>
      </c>
      <c r="F28">
        <v>90090.090090091006</v>
      </c>
      <c r="G28">
        <v>6</v>
      </c>
      <c r="H28">
        <v>7</v>
      </c>
      <c r="K28">
        <v>7</v>
      </c>
      <c r="L28">
        <v>7</v>
      </c>
      <c r="M28">
        <v>4293333.333333333</v>
      </c>
      <c r="N28">
        <v>2359279.2792792781</v>
      </c>
      <c r="O28">
        <v>14891936.936936939</v>
      </c>
      <c r="P28">
        <v>13605009.009009009</v>
      </c>
      <c r="Q28">
        <v>2429459.4594594622</v>
      </c>
      <c r="R28">
        <v>2950270.270270267</v>
      </c>
      <c r="S28">
        <v>3473</v>
      </c>
      <c r="T28">
        <v>3281</v>
      </c>
    </row>
    <row r="29" spans="1:20" x14ac:dyDescent="0.35">
      <c r="A29" s="7" t="s">
        <v>90</v>
      </c>
      <c r="B29" s="12" t="s">
        <v>60</v>
      </c>
      <c r="C29">
        <v>13940442.872344527</v>
      </c>
      <c r="D29">
        <v>15494400.595941668</v>
      </c>
      <c r="F29">
        <v>17117.117117119</v>
      </c>
      <c r="G29">
        <v>3</v>
      </c>
      <c r="H29">
        <v>2</v>
      </c>
      <c r="K29">
        <v>4</v>
      </c>
      <c r="L29">
        <v>36</v>
      </c>
      <c r="M29">
        <v>900900.90090090001</v>
      </c>
      <c r="N29">
        <v>881981.98198198294</v>
      </c>
      <c r="O29">
        <v>7526486.4864864871</v>
      </c>
      <c r="P29">
        <v>8633918.9189189188</v>
      </c>
      <c r="Q29">
        <v>801801.80180180096</v>
      </c>
      <c r="R29">
        <v>1299549.5495495489</v>
      </c>
      <c r="S29">
        <v>1558</v>
      </c>
      <c r="T29">
        <v>2562</v>
      </c>
    </row>
    <row r="30" spans="1:20" x14ac:dyDescent="0.35">
      <c r="A30" s="7" t="s">
        <v>91</v>
      </c>
      <c r="B30" s="12" t="s">
        <v>92</v>
      </c>
      <c r="C30">
        <v>12119489.769551747</v>
      </c>
      <c r="D30">
        <v>12319258.470300516</v>
      </c>
      <c r="E30">
        <v>19316573.873873871</v>
      </c>
      <c r="F30">
        <v>38499456.75675676</v>
      </c>
      <c r="G30">
        <v>3</v>
      </c>
      <c r="H30">
        <v>2</v>
      </c>
      <c r="K30">
        <v>4</v>
      </c>
      <c r="L30">
        <v>4</v>
      </c>
      <c r="M30">
        <v>5646126.1261261273</v>
      </c>
      <c r="N30">
        <v>4094594.594594596</v>
      </c>
      <c r="O30">
        <v>4125270.2702702698</v>
      </c>
      <c r="P30">
        <v>3609432.4324324322</v>
      </c>
      <c r="Q30">
        <v>60540.540540540998</v>
      </c>
      <c r="R30">
        <v>4297297.297297297</v>
      </c>
      <c r="S30">
        <v>1131</v>
      </c>
      <c r="T30">
        <v>1122</v>
      </c>
    </row>
    <row r="31" spans="1:20" x14ac:dyDescent="0.35">
      <c r="A31" s="7" t="s">
        <v>93</v>
      </c>
      <c r="B31" s="12" t="s">
        <v>94</v>
      </c>
      <c r="C31">
        <v>55871567.798676819</v>
      </c>
      <c r="D31">
        <v>50414461.68680153</v>
      </c>
      <c r="E31">
        <v>1801.801801802</v>
      </c>
      <c r="F31">
        <v>40540.540540542002</v>
      </c>
      <c r="G31">
        <v>4</v>
      </c>
      <c r="H31">
        <v>7</v>
      </c>
      <c r="K31">
        <v>6</v>
      </c>
      <c r="L31">
        <v>11</v>
      </c>
      <c r="M31">
        <v>4686486.4864864871</v>
      </c>
      <c r="N31">
        <v>6576576.5765765756</v>
      </c>
      <c r="O31">
        <v>8181801.8018018007</v>
      </c>
      <c r="P31">
        <v>8932439.6396396402</v>
      </c>
      <c r="Q31">
        <v>5197297.2972972961</v>
      </c>
      <c r="R31">
        <v>5987477.4774774797</v>
      </c>
      <c r="S31">
        <v>4247</v>
      </c>
      <c r="T31">
        <v>4193</v>
      </c>
    </row>
    <row r="32" spans="1:20" x14ac:dyDescent="0.35">
      <c r="A32" s="7" t="s">
        <v>95</v>
      </c>
      <c r="B32" s="12" t="s">
        <v>96</v>
      </c>
      <c r="C32">
        <v>56106039.262962081</v>
      </c>
      <c r="D32">
        <v>53401413.322865061</v>
      </c>
      <c r="E32">
        <v>61261.261261262</v>
      </c>
      <c r="F32">
        <v>175675.675675676</v>
      </c>
      <c r="G32">
        <v>12</v>
      </c>
      <c r="H32">
        <v>11</v>
      </c>
      <c r="K32">
        <v>13</v>
      </c>
      <c r="L32">
        <v>11</v>
      </c>
      <c r="M32">
        <v>6592792.7927927896</v>
      </c>
      <c r="N32">
        <v>11624324.324324325</v>
      </c>
      <c r="O32">
        <v>24464540.540540539</v>
      </c>
      <c r="P32">
        <v>25362900.9009009</v>
      </c>
      <c r="Q32">
        <v>7499009.0090090092</v>
      </c>
      <c r="R32">
        <v>7328108.1081081079</v>
      </c>
      <c r="S32">
        <v>5874</v>
      </c>
      <c r="T32">
        <v>5894</v>
      </c>
    </row>
    <row r="33" spans="1:20" x14ac:dyDescent="0.35">
      <c r="A33" s="7" t="s">
        <v>97</v>
      </c>
      <c r="B33" s="12" t="s">
        <v>98</v>
      </c>
      <c r="C33">
        <v>203854454.11971262</v>
      </c>
      <c r="D33">
        <v>205042007.99444315</v>
      </c>
      <c r="E33">
        <v>936126.12612613</v>
      </c>
      <c r="F33">
        <v>648648.64864865202</v>
      </c>
      <c r="G33">
        <v>82</v>
      </c>
      <c r="H33">
        <v>60</v>
      </c>
      <c r="K33">
        <v>104</v>
      </c>
      <c r="L33">
        <v>88</v>
      </c>
      <c r="M33">
        <v>28676666.666666664</v>
      </c>
      <c r="N33">
        <v>24968738.738738734</v>
      </c>
      <c r="O33">
        <v>50544666.666666664</v>
      </c>
      <c r="P33">
        <v>51623891.891891897</v>
      </c>
      <c r="Q33">
        <v>23321531.531531528</v>
      </c>
      <c r="R33">
        <v>24627747.747747749</v>
      </c>
      <c r="S33">
        <v>22324</v>
      </c>
      <c r="T33">
        <v>22365</v>
      </c>
    </row>
    <row r="34" spans="1:20" x14ac:dyDescent="0.35">
      <c r="A34" s="7" t="s">
        <v>99</v>
      </c>
      <c r="B34" s="12" t="s">
        <v>98</v>
      </c>
      <c r="C34">
        <v>338876357.16540223</v>
      </c>
      <c r="D34">
        <v>330140350.98851812</v>
      </c>
      <c r="E34">
        <v>236711.71171171701</v>
      </c>
      <c r="F34">
        <v>1100904.5045045069</v>
      </c>
      <c r="G34">
        <v>88</v>
      </c>
      <c r="H34">
        <v>83</v>
      </c>
      <c r="K34">
        <v>124</v>
      </c>
      <c r="L34">
        <v>114</v>
      </c>
      <c r="M34">
        <v>27529504.504504494</v>
      </c>
      <c r="N34">
        <v>20388288.288288288</v>
      </c>
      <c r="O34">
        <v>63196761.261261262</v>
      </c>
      <c r="P34">
        <v>64413108.108108111</v>
      </c>
      <c r="Q34">
        <v>26142927.927927922</v>
      </c>
      <c r="R34">
        <v>17944504.504504506</v>
      </c>
      <c r="S34">
        <v>29538</v>
      </c>
      <c r="T34">
        <v>29601</v>
      </c>
    </row>
    <row r="35" spans="1:20" x14ac:dyDescent="0.35">
      <c r="A35" s="7" t="s">
        <v>100</v>
      </c>
      <c r="B35" s="12" t="s">
        <v>98</v>
      </c>
      <c r="C35">
        <v>324904826.50667375</v>
      </c>
      <c r="D35">
        <v>322401739.84689492</v>
      </c>
      <c r="E35">
        <v>203603.60360360701</v>
      </c>
      <c r="F35">
        <v>3627927.9279279341</v>
      </c>
      <c r="G35">
        <v>53</v>
      </c>
      <c r="H35">
        <v>65</v>
      </c>
      <c r="K35">
        <v>139</v>
      </c>
      <c r="L35">
        <v>114</v>
      </c>
      <c r="M35">
        <v>68863378.378378361</v>
      </c>
      <c r="N35">
        <v>36744594.59459459</v>
      </c>
      <c r="O35">
        <v>65066628.828828834</v>
      </c>
      <c r="P35">
        <v>69171369.369369373</v>
      </c>
      <c r="Q35">
        <v>64970358.558558553</v>
      </c>
      <c r="R35">
        <v>31579549.54954955</v>
      </c>
      <c r="S35">
        <v>32893</v>
      </c>
      <c r="T35">
        <v>33051</v>
      </c>
    </row>
    <row r="36" spans="1:20" x14ac:dyDescent="0.35">
      <c r="A36" s="7" t="s">
        <v>101</v>
      </c>
      <c r="B36" s="12" t="s">
        <v>98</v>
      </c>
      <c r="C36">
        <v>192749292.15399069</v>
      </c>
      <c r="D36">
        <v>190670313.58148396</v>
      </c>
      <c r="E36">
        <v>336936.93693693599</v>
      </c>
      <c r="F36">
        <v>607207.20720721001</v>
      </c>
      <c r="G36">
        <v>56</v>
      </c>
      <c r="H36">
        <v>44</v>
      </c>
      <c r="I36">
        <v>1</v>
      </c>
      <c r="K36">
        <v>74</v>
      </c>
      <c r="L36">
        <v>68</v>
      </c>
      <c r="M36">
        <v>14602702.702702699</v>
      </c>
      <c r="N36">
        <v>16707207.207207205</v>
      </c>
      <c r="O36">
        <v>39425072.072072074</v>
      </c>
      <c r="P36">
        <v>43012594.59459459</v>
      </c>
      <c r="Q36">
        <v>15261261.26126126</v>
      </c>
      <c r="R36">
        <v>16967117.117117114</v>
      </c>
      <c r="S36">
        <v>21301</v>
      </c>
      <c r="T36">
        <v>21548</v>
      </c>
    </row>
    <row r="37" spans="1:20" x14ac:dyDescent="0.35">
      <c r="A37" s="7" t="s">
        <v>102</v>
      </c>
      <c r="B37" s="12" t="s">
        <v>98</v>
      </c>
      <c r="C37">
        <v>213599334.82050493</v>
      </c>
      <c r="D37">
        <v>214289968.88329124</v>
      </c>
      <c r="E37">
        <v>43607702.702702701</v>
      </c>
      <c r="F37">
        <v>2801801.8018018059</v>
      </c>
      <c r="G37">
        <v>30</v>
      </c>
      <c r="H37">
        <v>41</v>
      </c>
      <c r="K37">
        <v>38</v>
      </c>
      <c r="L37">
        <v>62</v>
      </c>
      <c r="M37">
        <v>54842792.792792782</v>
      </c>
      <c r="N37">
        <v>29189414.414414417</v>
      </c>
      <c r="O37">
        <v>57853531.531531535</v>
      </c>
      <c r="P37">
        <v>62403567.567567565</v>
      </c>
      <c r="Q37">
        <v>32625225.225225225</v>
      </c>
      <c r="R37">
        <v>42122972.972972974</v>
      </c>
      <c r="S37">
        <v>25018</v>
      </c>
      <c r="T37">
        <v>25028</v>
      </c>
    </row>
    <row r="38" spans="1:20" x14ac:dyDescent="0.35">
      <c r="A38" s="7" t="s">
        <v>103</v>
      </c>
      <c r="B38" s="12" t="s">
        <v>98</v>
      </c>
      <c r="C38">
        <v>554928922.26968682</v>
      </c>
      <c r="D38">
        <v>554474049.39444995</v>
      </c>
      <c r="E38">
        <v>444237017.11711711</v>
      </c>
      <c r="F38">
        <v>181797365.76576576</v>
      </c>
      <c r="G38">
        <v>116</v>
      </c>
      <c r="H38">
        <v>130</v>
      </c>
      <c r="I38">
        <v>1</v>
      </c>
      <c r="K38">
        <v>171</v>
      </c>
      <c r="L38">
        <v>183</v>
      </c>
      <c r="M38">
        <v>52640000</v>
      </c>
      <c r="N38">
        <v>51371171.171171166</v>
      </c>
      <c r="O38">
        <v>110134097.2972973</v>
      </c>
      <c r="P38">
        <v>115809981.98198198</v>
      </c>
      <c r="Q38">
        <v>46203286.486486487</v>
      </c>
      <c r="R38">
        <v>54138738.738738745</v>
      </c>
      <c r="S38">
        <v>54335</v>
      </c>
      <c r="T38">
        <v>54916</v>
      </c>
    </row>
    <row r="39" spans="1:20" x14ac:dyDescent="0.35">
      <c r="A39" s="7" t="s">
        <v>104</v>
      </c>
      <c r="B39" s="12" t="s">
        <v>105</v>
      </c>
      <c r="C39">
        <v>41882215.545134574</v>
      </c>
      <c r="D39">
        <v>35835563.362769619</v>
      </c>
      <c r="E39">
        <v>186486.48648648601</v>
      </c>
      <c r="F39">
        <v>364864.86486486503</v>
      </c>
      <c r="G39">
        <v>6</v>
      </c>
      <c r="H39">
        <v>9</v>
      </c>
      <c r="K39">
        <v>7</v>
      </c>
      <c r="L39">
        <v>9</v>
      </c>
      <c r="M39">
        <v>1028828.8288288279</v>
      </c>
      <c r="N39">
        <v>364864.86486486503</v>
      </c>
      <c r="O39">
        <v>7512657.6576576568</v>
      </c>
      <c r="P39">
        <v>8110000</v>
      </c>
      <c r="Q39">
        <v>840450.450450451</v>
      </c>
      <c r="R39">
        <v>400000</v>
      </c>
      <c r="S39">
        <v>2501</v>
      </c>
      <c r="T39">
        <v>2422</v>
      </c>
    </row>
    <row r="40" spans="1:20" x14ac:dyDescent="0.35">
      <c r="A40" s="7" t="s">
        <v>106</v>
      </c>
      <c r="B40" s="12" t="s">
        <v>54</v>
      </c>
      <c r="C40">
        <v>13071934.460056398</v>
      </c>
      <c r="D40">
        <v>12532501.38314868</v>
      </c>
      <c r="E40">
        <v>14867567.567567568</v>
      </c>
      <c r="F40">
        <v>11769819.819819819</v>
      </c>
      <c r="G40">
        <v>1</v>
      </c>
      <c r="H40">
        <v>2</v>
      </c>
      <c r="K40">
        <v>3</v>
      </c>
      <c r="L40">
        <v>3</v>
      </c>
      <c r="M40">
        <v>802702.70270270295</v>
      </c>
      <c r="N40">
        <v>110810.810810811</v>
      </c>
      <c r="O40">
        <v>2852657.6576576568</v>
      </c>
      <c r="P40">
        <v>3501342.3423423418</v>
      </c>
      <c r="Q40">
        <v>753063.06306306401</v>
      </c>
      <c r="R40">
        <v>395855.85585585597</v>
      </c>
      <c r="S40">
        <v>1400</v>
      </c>
      <c r="T40">
        <v>1358</v>
      </c>
    </row>
    <row r="41" spans="1:20" x14ac:dyDescent="0.35">
      <c r="A41" s="7" t="s">
        <v>107</v>
      </c>
      <c r="B41" s="12" t="s">
        <v>108</v>
      </c>
      <c r="C41">
        <v>107452903.50081465</v>
      </c>
      <c r="D41">
        <v>106246867.00945462</v>
      </c>
      <c r="E41">
        <v>329909.90990991303</v>
      </c>
      <c r="F41">
        <v>698198.19819819904</v>
      </c>
      <c r="G41">
        <v>23</v>
      </c>
      <c r="H41">
        <v>27</v>
      </c>
      <c r="K41">
        <v>40</v>
      </c>
      <c r="L41">
        <v>35</v>
      </c>
      <c r="M41">
        <v>12690270.270270269</v>
      </c>
      <c r="N41">
        <v>10941441.441441439</v>
      </c>
      <c r="O41">
        <v>23296621.62162162</v>
      </c>
      <c r="P41">
        <v>24841162.162162159</v>
      </c>
      <c r="Q41">
        <v>8895855.855855858</v>
      </c>
      <c r="R41">
        <v>10867027.027027028</v>
      </c>
      <c r="S41">
        <v>10358</v>
      </c>
      <c r="T41">
        <v>9673</v>
      </c>
    </row>
    <row r="42" spans="1:20" x14ac:dyDescent="0.35">
      <c r="A42" s="7" t="s">
        <v>109</v>
      </c>
      <c r="B42" s="12" t="s">
        <v>108</v>
      </c>
      <c r="C42">
        <v>145213233.18934679</v>
      </c>
      <c r="D42">
        <v>153013110.59847224</v>
      </c>
      <c r="E42">
        <v>450000.00000000099</v>
      </c>
      <c r="F42">
        <v>1219819.819819822</v>
      </c>
      <c r="G42">
        <v>25</v>
      </c>
      <c r="H42">
        <v>46</v>
      </c>
      <c r="K42">
        <v>38</v>
      </c>
      <c r="L42">
        <v>75</v>
      </c>
      <c r="M42">
        <v>189538288.2882883</v>
      </c>
      <c r="N42">
        <v>11797117.11711712</v>
      </c>
      <c r="O42">
        <v>36309617.117117122</v>
      </c>
      <c r="P42">
        <v>41742981.981981985</v>
      </c>
      <c r="Q42">
        <v>9909639.6396396402</v>
      </c>
      <c r="R42">
        <v>19997207.207207207</v>
      </c>
      <c r="S42">
        <v>14135</v>
      </c>
      <c r="T42">
        <v>13532</v>
      </c>
    </row>
    <row r="43" spans="1:20" x14ac:dyDescent="0.35">
      <c r="A43" s="7" t="s">
        <v>110</v>
      </c>
      <c r="B43" s="12" t="s">
        <v>111</v>
      </c>
      <c r="C43">
        <v>181443890.72718701</v>
      </c>
      <c r="D43">
        <v>170834610.92078102</v>
      </c>
      <c r="E43">
        <v>835225.22522522695</v>
      </c>
      <c r="F43">
        <v>2509009.009009013</v>
      </c>
      <c r="G43">
        <v>21</v>
      </c>
      <c r="H43">
        <v>41</v>
      </c>
      <c r="K43">
        <v>30</v>
      </c>
      <c r="L43">
        <v>113</v>
      </c>
      <c r="M43">
        <v>14671531.53153153</v>
      </c>
      <c r="N43">
        <v>17958943.243243244</v>
      </c>
      <c r="O43">
        <v>56342468.468468472</v>
      </c>
      <c r="P43">
        <v>58660702.702702701</v>
      </c>
      <c r="Q43">
        <v>14036036.036036037</v>
      </c>
      <c r="R43">
        <v>19047027.027027026</v>
      </c>
      <c r="S43">
        <v>19433</v>
      </c>
      <c r="T43">
        <v>19780</v>
      </c>
    </row>
    <row r="44" spans="1:20" x14ac:dyDescent="0.35">
      <c r="A44" s="7" t="s">
        <v>112</v>
      </c>
      <c r="B44" s="12" t="s">
        <v>111</v>
      </c>
      <c r="C44">
        <v>222129265.38793454</v>
      </c>
      <c r="D44">
        <v>224557915.78522217</v>
      </c>
      <c r="E44">
        <v>2529189.189189191</v>
      </c>
      <c r="F44">
        <v>4147747.7477477612</v>
      </c>
      <c r="G44">
        <v>42</v>
      </c>
      <c r="H44">
        <v>100</v>
      </c>
      <c r="K44">
        <v>62</v>
      </c>
      <c r="L44">
        <v>153</v>
      </c>
      <c r="M44">
        <v>17652612.612612609</v>
      </c>
      <c r="N44">
        <v>24557760.360360369</v>
      </c>
      <c r="O44">
        <v>72834648.648648635</v>
      </c>
      <c r="P44">
        <v>81999297.297297299</v>
      </c>
      <c r="Q44">
        <v>15354504.504504504</v>
      </c>
      <c r="R44">
        <v>23463873.873873871</v>
      </c>
      <c r="S44">
        <v>27081</v>
      </c>
      <c r="T44">
        <v>27196</v>
      </c>
    </row>
    <row r="45" spans="1:20" x14ac:dyDescent="0.35">
      <c r="A45" s="7" t="s">
        <v>113</v>
      </c>
      <c r="B45" s="12" t="s">
        <v>111</v>
      </c>
      <c r="C45">
        <v>156575756.210215</v>
      </c>
      <c r="D45">
        <v>154410864.33980948</v>
      </c>
      <c r="E45">
        <v>425225.22522522899</v>
      </c>
      <c r="F45">
        <v>1279954.954954962</v>
      </c>
      <c r="G45">
        <v>42</v>
      </c>
      <c r="H45">
        <v>47</v>
      </c>
      <c r="I45">
        <v>1</v>
      </c>
      <c r="K45">
        <v>51</v>
      </c>
      <c r="L45">
        <v>106</v>
      </c>
      <c r="M45">
        <v>9682072.0720720738</v>
      </c>
      <c r="N45">
        <v>13129026.126126125</v>
      </c>
      <c r="O45">
        <v>46903234.234234229</v>
      </c>
      <c r="P45">
        <v>49848565.765765756</v>
      </c>
      <c r="Q45">
        <v>8414864.8648648616</v>
      </c>
      <c r="R45">
        <v>15531441.441441439</v>
      </c>
      <c r="S45">
        <v>15246</v>
      </c>
      <c r="T45">
        <v>15654</v>
      </c>
    </row>
    <row r="46" spans="1:20" x14ac:dyDescent="0.35">
      <c r="A46" s="7" t="s">
        <v>114</v>
      </c>
      <c r="B46" s="12" t="s">
        <v>111</v>
      </c>
      <c r="C46">
        <v>179592743.56007251</v>
      </c>
      <c r="D46">
        <v>179657570.33645281</v>
      </c>
      <c r="E46">
        <v>344594.59459459601</v>
      </c>
      <c r="F46">
        <v>2899774.7747747861</v>
      </c>
      <c r="G46">
        <v>44</v>
      </c>
      <c r="H46">
        <v>69</v>
      </c>
      <c r="I46">
        <v>1</v>
      </c>
      <c r="K46">
        <v>63</v>
      </c>
      <c r="L46">
        <v>166</v>
      </c>
      <c r="M46">
        <v>15040990.990990989</v>
      </c>
      <c r="N46">
        <v>18091351.351351354</v>
      </c>
      <c r="O46">
        <v>48568927.927927926</v>
      </c>
      <c r="P46">
        <v>49593306.306306303</v>
      </c>
      <c r="Q46">
        <v>12953963.963963963</v>
      </c>
      <c r="R46">
        <v>17402072.072072074</v>
      </c>
      <c r="S46">
        <v>21413</v>
      </c>
      <c r="T46">
        <v>21018</v>
      </c>
    </row>
    <row r="47" spans="1:20" x14ac:dyDescent="0.35">
      <c r="A47" s="7" t="s">
        <v>115</v>
      </c>
      <c r="B47" s="12" t="s">
        <v>111</v>
      </c>
      <c r="C47">
        <v>227750101.86340168</v>
      </c>
      <c r="D47">
        <v>209474582.25982457</v>
      </c>
      <c r="E47">
        <v>26275552.252252255</v>
      </c>
      <c r="F47">
        <v>67549982.882882893</v>
      </c>
      <c r="G47">
        <v>90</v>
      </c>
      <c r="H47">
        <v>89</v>
      </c>
      <c r="K47">
        <v>108</v>
      </c>
      <c r="L47">
        <v>175</v>
      </c>
      <c r="M47">
        <v>22494414.414414398</v>
      </c>
      <c r="N47">
        <v>37206456.756756753</v>
      </c>
      <c r="O47">
        <v>54310135.135135137</v>
      </c>
      <c r="P47">
        <v>59455891.891891889</v>
      </c>
      <c r="Q47">
        <v>32207387.387387376</v>
      </c>
      <c r="R47">
        <v>45368288.288288288</v>
      </c>
      <c r="S47">
        <v>24173</v>
      </c>
      <c r="T47">
        <v>24075</v>
      </c>
    </row>
    <row r="48" spans="1:20" x14ac:dyDescent="0.35">
      <c r="A48" s="7" t="s">
        <v>116</v>
      </c>
      <c r="B48" s="12" t="s">
        <v>54</v>
      </c>
      <c r="C48">
        <v>12200856.285616776</v>
      </c>
      <c r="D48">
        <v>11729385.270054515</v>
      </c>
      <c r="E48">
        <v>24324.324324325</v>
      </c>
      <c r="F48">
        <v>107882.882882883</v>
      </c>
      <c r="H48">
        <v>1</v>
      </c>
      <c r="L48">
        <v>1</v>
      </c>
      <c r="M48">
        <v>1294594.5945945941</v>
      </c>
      <c r="N48">
        <v>828828.82882882899</v>
      </c>
      <c r="O48">
        <v>2716936.9369369382</v>
      </c>
      <c r="P48">
        <v>2757414.4144144142</v>
      </c>
      <c r="Q48">
        <v>898558.558558558</v>
      </c>
      <c r="R48">
        <v>609279.27927927999</v>
      </c>
      <c r="S48">
        <v>1054</v>
      </c>
      <c r="T48">
        <v>983</v>
      </c>
    </row>
    <row r="49" spans="1:20" x14ac:dyDescent="0.35">
      <c r="A49" s="7" t="s">
        <v>118</v>
      </c>
      <c r="B49" s="12" t="s">
        <v>78</v>
      </c>
      <c r="C49">
        <v>105382395.60396613</v>
      </c>
      <c r="D49">
        <v>102005628.69553919</v>
      </c>
      <c r="E49">
        <v>28655700.900900904</v>
      </c>
      <c r="F49">
        <v>92211470.270270273</v>
      </c>
      <c r="G49">
        <v>27</v>
      </c>
      <c r="H49">
        <v>26</v>
      </c>
      <c r="I49">
        <v>1</v>
      </c>
      <c r="K49">
        <v>39</v>
      </c>
      <c r="L49">
        <v>40</v>
      </c>
      <c r="M49">
        <v>17797027.027027026</v>
      </c>
      <c r="N49">
        <v>30550000</v>
      </c>
      <c r="O49">
        <v>38080576.576576576</v>
      </c>
      <c r="P49">
        <v>41126162.162162162</v>
      </c>
      <c r="Q49">
        <v>16507027.027027026</v>
      </c>
      <c r="R49">
        <v>30672072.072072078</v>
      </c>
      <c r="S49">
        <v>11765</v>
      </c>
      <c r="T49">
        <v>11364</v>
      </c>
    </row>
    <row r="50" spans="1:20" x14ac:dyDescent="0.35">
      <c r="A50" s="7" t="s">
        <v>119</v>
      </c>
      <c r="B50" s="12" t="s">
        <v>50</v>
      </c>
      <c r="C50">
        <v>32761385.543376438</v>
      </c>
      <c r="D50">
        <v>31780873.473982073</v>
      </c>
      <c r="E50">
        <v>1801.801801802</v>
      </c>
      <c r="F50">
        <v>482882.88288288401</v>
      </c>
      <c r="G50">
        <v>6</v>
      </c>
      <c r="H50">
        <v>10</v>
      </c>
      <c r="K50">
        <v>8</v>
      </c>
      <c r="L50">
        <v>11</v>
      </c>
      <c r="M50">
        <v>8832702.7027027048</v>
      </c>
      <c r="N50">
        <v>5252252.2522522518</v>
      </c>
      <c r="O50">
        <v>10778333.333333336</v>
      </c>
      <c r="P50">
        <v>11245711.711711712</v>
      </c>
      <c r="Q50">
        <v>9105315.3153153155</v>
      </c>
      <c r="R50">
        <v>4269999.9999999991</v>
      </c>
      <c r="S50">
        <v>2568</v>
      </c>
      <c r="T50">
        <v>2858</v>
      </c>
    </row>
    <row r="51" spans="1:20" x14ac:dyDescent="0.35">
      <c r="A51" s="7" t="s">
        <v>120</v>
      </c>
      <c r="B51" s="12" t="s">
        <v>121</v>
      </c>
      <c r="C51">
        <v>123453055.16769612</v>
      </c>
      <c r="D51">
        <v>103568892.65096499</v>
      </c>
      <c r="E51">
        <v>165765.76576576699</v>
      </c>
      <c r="F51">
        <v>999324.32432432799</v>
      </c>
      <c r="G51">
        <v>41</v>
      </c>
      <c r="H51">
        <v>35</v>
      </c>
      <c r="K51">
        <v>51</v>
      </c>
      <c r="L51">
        <v>48</v>
      </c>
      <c r="M51">
        <v>2219819.819819821</v>
      </c>
      <c r="N51">
        <v>4980180.1801801827</v>
      </c>
      <c r="O51">
        <v>8063405.405405405</v>
      </c>
      <c r="P51">
        <v>7892270.2702702684</v>
      </c>
      <c r="Q51">
        <v>3317747.7477477458</v>
      </c>
      <c r="R51">
        <v>3278558.5585585581</v>
      </c>
      <c r="S51">
        <v>7906</v>
      </c>
      <c r="T51">
        <v>8089</v>
      </c>
    </row>
    <row r="52" spans="1:20" x14ac:dyDescent="0.35">
      <c r="A52" s="7" t="s">
        <v>122</v>
      </c>
      <c r="B52" s="12" t="s">
        <v>123</v>
      </c>
      <c r="C52">
        <v>51930195.692212336</v>
      </c>
      <c r="D52">
        <v>52965617.291227832</v>
      </c>
      <c r="E52">
        <v>173423.423423423</v>
      </c>
      <c r="F52">
        <v>340315.31531531602</v>
      </c>
      <c r="G52">
        <v>5</v>
      </c>
      <c r="H52">
        <v>7</v>
      </c>
      <c r="K52">
        <v>7</v>
      </c>
      <c r="L52">
        <v>8</v>
      </c>
      <c r="M52">
        <v>18702072.072072074</v>
      </c>
      <c r="N52">
        <v>10355855.855855856</v>
      </c>
      <c r="O52">
        <v>22456711.711711712</v>
      </c>
      <c r="P52">
        <v>22825846.846846849</v>
      </c>
      <c r="Q52">
        <v>9000540.5405405387</v>
      </c>
      <c r="R52">
        <v>10628468.468468469</v>
      </c>
      <c r="S52">
        <v>4526</v>
      </c>
      <c r="T52">
        <v>4356</v>
      </c>
    </row>
    <row r="53" spans="1:20" x14ac:dyDescent="0.35">
      <c r="A53" s="7" t="s">
        <v>124</v>
      </c>
      <c r="B53" s="12" t="s">
        <v>125</v>
      </c>
      <c r="C53">
        <v>76148112.264042318</v>
      </c>
      <c r="D53">
        <v>69255518.813111737</v>
      </c>
      <c r="E53">
        <v>179819.81981982</v>
      </c>
      <c r="F53">
        <v>1088738.7387387429</v>
      </c>
      <c r="G53">
        <v>10</v>
      </c>
      <c r="H53">
        <v>13</v>
      </c>
      <c r="K53">
        <v>11</v>
      </c>
      <c r="L53">
        <v>16</v>
      </c>
      <c r="M53">
        <v>34939549.54954955</v>
      </c>
      <c r="N53">
        <v>12361261.26126126</v>
      </c>
      <c r="O53">
        <v>21495360.360360362</v>
      </c>
      <c r="P53">
        <v>21288016.216216218</v>
      </c>
      <c r="Q53">
        <v>34237747.747747749</v>
      </c>
      <c r="R53">
        <v>15099412.612612613</v>
      </c>
      <c r="S53">
        <v>6542</v>
      </c>
      <c r="T53">
        <v>6543</v>
      </c>
    </row>
    <row r="54" spans="1:20" x14ac:dyDescent="0.35">
      <c r="A54" s="7" t="s">
        <v>126</v>
      </c>
      <c r="B54" s="12" t="s">
        <v>78</v>
      </c>
      <c r="C54">
        <v>50470733.105578765</v>
      </c>
      <c r="D54">
        <v>46219900.486518882</v>
      </c>
      <c r="E54">
        <v>24954.954954956</v>
      </c>
      <c r="F54">
        <v>1008108.108108108</v>
      </c>
      <c r="G54">
        <v>5</v>
      </c>
      <c r="H54">
        <v>14</v>
      </c>
      <c r="K54">
        <v>8</v>
      </c>
      <c r="L54">
        <v>17</v>
      </c>
      <c r="M54">
        <v>7286216.216216214</v>
      </c>
      <c r="N54">
        <v>7413513.5135135138</v>
      </c>
      <c r="O54">
        <v>18093792.792792793</v>
      </c>
      <c r="P54">
        <v>18590846.846846849</v>
      </c>
      <c r="Q54">
        <v>8034054.0540540544</v>
      </c>
      <c r="R54">
        <v>7244054.0540540544</v>
      </c>
      <c r="S54">
        <v>5016</v>
      </c>
      <c r="T54">
        <v>5060</v>
      </c>
    </row>
    <row r="55" spans="1:20" x14ac:dyDescent="0.35">
      <c r="A55" s="7" t="s">
        <v>127</v>
      </c>
      <c r="B55" s="12" t="s">
        <v>78</v>
      </c>
      <c r="C55">
        <v>9240602.2049774304</v>
      </c>
      <c r="D55">
        <v>7527485.7279058518</v>
      </c>
      <c r="E55">
        <v>8558.5585585589997</v>
      </c>
      <c r="F55">
        <v>192792.79279279499</v>
      </c>
      <c r="G55">
        <v>2</v>
      </c>
      <c r="I55">
        <v>1</v>
      </c>
      <c r="K55">
        <v>2</v>
      </c>
      <c r="L55">
        <v>1</v>
      </c>
      <c r="M55">
        <v>1900450.450450449</v>
      </c>
      <c r="N55">
        <v>1273873.873873875</v>
      </c>
      <c r="O55">
        <v>4473288.2882882878</v>
      </c>
      <c r="P55">
        <v>3754954.9549549562</v>
      </c>
      <c r="Q55">
        <v>1306756.756756756</v>
      </c>
      <c r="R55">
        <v>4531171.1711711707</v>
      </c>
      <c r="S55">
        <v>1297</v>
      </c>
      <c r="T55">
        <v>1100</v>
      </c>
    </row>
    <row r="56" spans="1:20" x14ac:dyDescent="0.35">
      <c r="A56" s="7" t="s">
        <v>128</v>
      </c>
      <c r="B56" s="12" t="s">
        <v>78</v>
      </c>
      <c r="C56">
        <v>48231430.041369364</v>
      </c>
      <c r="D56">
        <v>46217937.178679138</v>
      </c>
      <c r="E56">
        <v>475675.67567567597</v>
      </c>
      <c r="F56">
        <v>455855.85585585999</v>
      </c>
      <c r="G56">
        <v>16</v>
      </c>
      <c r="H56">
        <v>21</v>
      </c>
      <c r="I56">
        <v>1</v>
      </c>
      <c r="K56">
        <v>17</v>
      </c>
      <c r="L56">
        <v>25</v>
      </c>
      <c r="M56">
        <v>6763963.9639639622</v>
      </c>
      <c r="N56">
        <v>6032432.4324324327</v>
      </c>
      <c r="O56">
        <v>17172441.441441439</v>
      </c>
      <c r="P56">
        <v>19074279.27927928</v>
      </c>
      <c r="Q56">
        <v>4459369.3693693709</v>
      </c>
      <c r="R56">
        <v>5740990.9909909917</v>
      </c>
      <c r="S56">
        <v>5871</v>
      </c>
      <c r="T56">
        <v>5461</v>
      </c>
    </row>
    <row r="57" spans="1:20" x14ac:dyDescent="0.35">
      <c r="A57" s="7" t="s">
        <v>129</v>
      </c>
      <c r="B57" s="12" t="s">
        <v>85</v>
      </c>
      <c r="C57">
        <v>14940594.661498632</v>
      </c>
      <c r="D57">
        <v>14807769.507282898</v>
      </c>
      <c r="E57">
        <v>2702.7027027029999</v>
      </c>
      <c r="F57">
        <v>42342.342342342999</v>
      </c>
      <c r="G57">
        <v>2</v>
      </c>
      <c r="H57">
        <v>2</v>
      </c>
      <c r="K57">
        <v>3</v>
      </c>
      <c r="L57">
        <v>3</v>
      </c>
      <c r="M57">
        <v>2498198.1981981969</v>
      </c>
      <c r="N57">
        <v>15587387.387387387</v>
      </c>
      <c r="O57">
        <v>6366891.8918918921</v>
      </c>
      <c r="P57">
        <v>7217657.6576576568</v>
      </c>
      <c r="Q57">
        <v>1470000</v>
      </c>
      <c r="R57">
        <v>12298378.378378378</v>
      </c>
      <c r="S57">
        <v>1299</v>
      </c>
      <c r="T57">
        <v>1211</v>
      </c>
    </row>
    <row r="58" spans="1:20" x14ac:dyDescent="0.35">
      <c r="A58" s="7" t="s">
        <v>130</v>
      </c>
      <c r="B58" s="12" t="s">
        <v>89</v>
      </c>
      <c r="C58">
        <v>135618404.6765568</v>
      </c>
      <c r="D58">
        <v>124373660.02174899</v>
      </c>
      <c r="E58">
        <v>337837.83783783799</v>
      </c>
      <c r="F58">
        <v>592342.34234234702</v>
      </c>
      <c r="G58">
        <v>11</v>
      </c>
      <c r="H58">
        <v>17</v>
      </c>
      <c r="K58">
        <v>16</v>
      </c>
      <c r="L58">
        <v>21</v>
      </c>
      <c r="M58">
        <v>6545945.9459459437</v>
      </c>
      <c r="N58">
        <v>7517567.5675675692</v>
      </c>
      <c r="O58">
        <v>38584585.585585587</v>
      </c>
      <c r="P58">
        <v>38456414.414414413</v>
      </c>
      <c r="Q58">
        <v>7661621.6216216218</v>
      </c>
      <c r="R58">
        <v>8952432.4324324336</v>
      </c>
      <c r="S58">
        <v>10417</v>
      </c>
      <c r="T58">
        <v>10437</v>
      </c>
    </row>
    <row r="59" spans="1:20" x14ac:dyDescent="0.35">
      <c r="A59" s="7" t="s">
        <v>131</v>
      </c>
      <c r="B59" s="12" t="s">
        <v>132</v>
      </c>
      <c r="C59">
        <v>69271220.844054684</v>
      </c>
      <c r="D59">
        <v>63104506.582784206</v>
      </c>
      <c r="E59">
        <v>21053918.918918919</v>
      </c>
      <c r="F59">
        <v>14749915.315315315</v>
      </c>
      <c r="G59">
        <v>20</v>
      </c>
      <c r="H59">
        <v>26</v>
      </c>
      <c r="K59">
        <v>22</v>
      </c>
      <c r="L59">
        <v>32</v>
      </c>
      <c r="M59">
        <v>8057882.8828828838</v>
      </c>
      <c r="N59">
        <v>3936936.9369369368</v>
      </c>
      <c r="O59">
        <v>21304585.585585583</v>
      </c>
      <c r="P59">
        <v>19292509.009009007</v>
      </c>
      <c r="Q59">
        <v>4863963.963963964</v>
      </c>
      <c r="R59">
        <v>5246486.4864864871</v>
      </c>
      <c r="S59">
        <v>6170</v>
      </c>
      <c r="T59">
        <v>8406</v>
      </c>
    </row>
    <row r="60" spans="1:20" x14ac:dyDescent="0.35">
      <c r="A60" s="7" t="s">
        <v>133</v>
      </c>
      <c r="B60" s="12" t="s">
        <v>134</v>
      </c>
      <c r="C60">
        <v>11281631.359323472</v>
      </c>
      <c r="D60">
        <v>3829015.7355536972</v>
      </c>
      <c r="O60">
        <v>1591441.4414414419</v>
      </c>
      <c r="P60">
        <v>941225.22522522497</v>
      </c>
      <c r="S60">
        <v>2210</v>
      </c>
      <c r="T60">
        <v>2132</v>
      </c>
    </row>
    <row r="61" spans="1:20" x14ac:dyDescent="0.35">
      <c r="A61" s="7" t="s">
        <v>135</v>
      </c>
      <c r="B61" s="12" t="s">
        <v>136</v>
      </c>
      <c r="C61">
        <v>57852122.311636657</v>
      </c>
      <c r="D61">
        <v>57792122.209527917</v>
      </c>
      <c r="E61">
        <v>2702.7027027029999</v>
      </c>
      <c r="F61">
        <v>234234.23423423499</v>
      </c>
      <c r="G61">
        <v>8</v>
      </c>
      <c r="H61">
        <v>21</v>
      </c>
      <c r="K61">
        <v>10</v>
      </c>
      <c r="L61">
        <v>24</v>
      </c>
      <c r="M61">
        <v>3876576.5765765761</v>
      </c>
      <c r="N61">
        <v>5864864.8648648644</v>
      </c>
      <c r="O61">
        <v>9478423.4234234225</v>
      </c>
      <c r="P61">
        <v>8550513.5135135148</v>
      </c>
      <c r="Q61">
        <v>4597477.4774774779</v>
      </c>
      <c r="R61">
        <v>3741891.8918918911</v>
      </c>
      <c r="S61">
        <v>3486</v>
      </c>
      <c r="T61">
        <v>3509</v>
      </c>
    </row>
    <row r="62" spans="1:20" x14ac:dyDescent="0.35">
      <c r="A62" s="7" t="s">
        <v>137</v>
      </c>
      <c r="B62" s="12" t="s">
        <v>89</v>
      </c>
      <c r="C62">
        <v>68900721.337852716</v>
      </c>
      <c r="D62">
        <v>59427704.402924597</v>
      </c>
      <c r="E62">
        <v>25675.675675676001</v>
      </c>
      <c r="F62">
        <v>361936.93693693797</v>
      </c>
      <c r="G62">
        <v>7</v>
      </c>
      <c r="H62">
        <v>13</v>
      </c>
      <c r="I62">
        <v>1</v>
      </c>
      <c r="K62">
        <v>8</v>
      </c>
      <c r="L62">
        <v>19</v>
      </c>
      <c r="M62">
        <v>6689819.8198198183</v>
      </c>
      <c r="N62">
        <v>5363063.0630630665</v>
      </c>
      <c r="O62">
        <v>21762882.882882886</v>
      </c>
      <c r="P62">
        <v>20238396.396396395</v>
      </c>
      <c r="Q62">
        <v>6323693.6936936919</v>
      </c>
      <c r="R62">
        <v>6270450.4504504558</v>
      </c>
      <c r="S62">
        <v>4907</v>
      </c>
      <c r="T62">
        <v>5173</v>
      </c>
    </row>
    <row r="63" spans="1:20" x14ac:dyDescent="0.35">
      <c r="A63" s="7" t="s">
        <v>138</v>
      </c>
      <c r="B63" s="12" t="s">
        <v>78</v>
      </c>
      <c r="C63">
        <v>45723897.433160909</v>
      </c>
      <c r="D63">
        <v>45913386.537077278</v>
      </c>
      <c r="E63">
        <v>23153.153153153999</v>
      </c>
      <c r="F63">
        <v>1597297.2972972989</v>
      </c>
      <c r="G63">
        <v>16</v>
      </c>
      <c r="H63">
        <v>17</v>
      </c>
      <c r="I63">
        <v>1</v>
      </c>
      <c r="K63">
        <v>18</v>
      </c>
      <c r="L63">
        <v>26</v>
      </c>
      <c r="M63">
        <v>4653783.7837837813</v>
      </c>
      <c r="N63">
        <v>6507207.2072072066</v>
      </c>
      <c r="O63">
        <v>17422747.747747749</v>
      </c>
      <c r="P63">
        <v>18794315.315315314</v>
      </c>
      <c r="Q63">
        <v>5776216.2162162159</v>
      </c>
      <c r="R63">
        <v>4997657.6576576587</v>
      </c>
      <c r="S63">
        <v>5342</v>
      </c>
      <c r="T63">
        <v>5143</v>
      </c>
    </row>
    <row r="64" spans="1:20" x14ac:dyDescent="0.35">
      <c r="A64" s="7" t="s">
        <v>139</v>
      </c>
      <c r="B64" s="12" t="s">
        <v>140</v>
      </c>
      <c r="C64">
        <v>65326671.279904023</v>
      </c>
      <c r="D64">
        <v>68598313.866859391</v>
      </c>
      <c r="E64">
        <v>499099.099099099</v>
      </c>
      <c r="F64">
        <v>584684.68468468497</v>
      </c>
      <c r="G64">
        <v>6</v>
      </c>
      <c r="H64">
        <v>3</v>
      </c>
      <c r="K64">
        <v>9</v>
      </c>
      <c r="L64">
        <v>3</v>
      </c>
      <c r="M64">
        <v>3291891.8918918921</v>
      </c>
      <c r="N64">
        <v>5990090.0900900885</v>
      </c>
      <c r="O64">
        <v>10064459.459459459</v>
      </c>
      <c r="P64">
        <v>11598540.540540541</v>
      </c>
      <c r="Q64">
        <v>3886486.4864864871</v>
      </c>
      <c r="R64">
        <v>4706486.4864864871</v>
      </c>
      <c r="S64">
        <v>4266</v>
      </c>
      <c r="T64">
        <v>4540</v>
      </c>
    </row>
    <row r="65" spans="1:20" x14ac:dyDescent="0.35">
      <c r="A65" s="7" t="s">
        <v>141</v>
      </c>
      <c r="B65" s="12" t="s">
        <v>62</v>
      </c>
      <c r="C65">
        <v>42812416.173376575</v>
      </c>
      <c r="D65">
        <v>42359813.181304611</v>
      </c>
      <c r="E65">
        <v>264864.86486486503</v>
      </c>
      <c r="F65">
        <v>193693.69369369501</v>
      </c>
      <c r="G65">
        <v>13</v>
      </c>
      <c r="H65">
        <v>12</v>
      </c>
      <c r="K65">
        <v>17</v>
      </c>
      <c r="L65">
        <v>12</v>
      </c>
      <c r="M65">
        <v>23291441.441441439</v>
      </c>
      <c r="N65">
        <v>31230810.810810812</v>
      </c>
      <c r="O65">
        <v>9634549.549549548</v>
      </c>
      <c r="P65">
        <v>8904486.4864864852</v>
      </c>
      <c r="Q65">
        <v>22442162.162162159</v>
      </c>
      <c r="R65">
        <v>31374054.054054055</v>
      </c>
      <c r="S65">
        <v>3933</v>
      </c>
      <c r="T65">
        <v>3774</v>
      </c>
    </row>
    <row r="66" spans="1:20" x14ac:dyDescent="0.35">
      <c r="A66" s="7" t="s">
        <v>142</v>
      </c>
      <c r="B66" s="12" t="s">
        <v>143</v>
      </c>
      <c r="C66">
        <v>589626.72963976301</v>
      </c>
      <c r="D66">
        <v>462311.361659405</v>
      </c>
      <c r="H66">
        <v>1</v>
      </c>
      <c r="L66">
        <v>1</v>
      </c>
      <c r="O66">
        <v>6081.0810810809999</v>
      </c>
      <c r="P66">
        <v>70270.270270270004</v>
      </c>
      <c r="S66">
        <v>169</v>
      </c>
      <c r="T66">
        <v>114</v>
      </c>
    </row>
    <row r="67" spans="1:20" x14ac:dyDescent="0.35">
      <c r="A67" s="7" t="s">
        <v>144</v>
      </c>
      <c r="B67" s="12" t="s">
        <v>140</v>
      </c>
      <c r="C67">
        <v>91391884.961540788</v>
      </c>
      <c r="D67">
        <v>93626505.305638701</v>
      </c>
      <c r="E67">
        <v>56576.576576578002</v>
      </c>
      <c r="F67">
        <v>317567.56756757002</v>
      </c>
      <c r="G67">
        <v>16</v>
      </c>
      <c r="H67">
        <v>12</v>
      </c>
      <c r="K67">
        <v>21</v>
      </c>
      <c r="L67">
        <v>17</v>
      </c>
      <c r="M67">
        <v>9461531.5315315314</v>
      </c>
      <c r="N67">
        <v>10009909.909909908</v>
      </c>
      <c r="O67">
        <v>14384954.954954956</v>
      </c>
      <c r="P67">
        <v>16188711.711711712</v>
      </c>
      <c r="Q67">
        <v>7950630.6306306301</v>
      </c>
      <c r="R67">
        <v>8512162.1621621586</v>
      </c>
      <c r="S67">
        <v>7401</v>
      </c>
      <c r="T67">
        <v>7802</v>
      </c>
    </row>
    <row r="68" spans="1:20" x14ac:dyDescent="0.35">
      <c r="A68" s="7" t="s">
        <v>145</v>
      </c>
      <c r="B68" s="12" t="s">
        <v>78</v>
      </c>
      <c r="C68">
        <v>63865622.927819401</v>
      </c>
      <c r="D68">
        <v>63024061.440608516</v>
      </c>
      <c r="E68">
        <v>365585.58558558603</v>
      </c>
      <c r="F68">
        <v>1093693.6936936961</v>
      </c>
      <c r="G68">
        <v>7</v>
      </c>
      <c r="H68">
        <v>21</v>
      </c>
      <c r="K68">
        <v>13</v>
      </c>
      <c r="L68">
        <v>28</v>
      </c>
      <c r="M68">
        <v>9018738.7387387361</v>
      </c>
      <c r="N68">
        <v>5562162.1621621624</v>
      </c>
      <c r="O68">
        <v>15675486.486486487</v>
      </c>
      <c r="P68">
        <v>17347927.927927926</v>
      </c>
      <c r="Q68">
        <v>10714864.864864865</v>
      </c>
      <c r="R68">
        <v>7647297.2972972998</v>
      </c>
      <c r="S68">
        <v>6335</v>
      </c>
      <c r="T68">
        <v>6471</v>
      </c>
    </row>
    <row r="69" spans="1:20" x14ac:dyDescent="0.35">
      <c r="A69" s="7" t="s">
        <v>146</v>
      </c>
      <c r="B69" s="12" t="s">
        <v>147</v>
      </c>
      <c r="C69">
        <v>43749666.19844947</v>
      </c>
      <c r="D69">
        <v>39285150.805785067</v>
      </c>
      <c r="E69">
        <v>46846.846846847002</v>
      </c>
      <c r="F69">
        <v>885585.58558558801</v>
      </c>
      <c r="G69">
        <v>6</v>
      </c>
      <c r="H69">
        <v>6</v>
      </c>
      <c r="K69">
        <v>6</v>
      </c>
      <c r="L69">
        <v>6</v>
      </c>
      <c r="M69">
        <v>5044324.3243243238</v>
      </c>
      <c r="N69">
        <v>10430630.630630627</v>
      </c>
      <c r="O69">
        <v>11950090.09009009</v>
      </c>
      <c r="P69">
        <v>12001099.0990991</v>
      </c>
      <c r="Q69">
        <v>4300900.9009009013</v>
      </c>
      <c r="R69">
        <v>9117477.477477476</v>
      </c>
      <c r="S69">
        <v>3761</v>
      </c>
      <c r="T69">
        <v>3696</v>
      </c>
    </row>
    <row r="70" spans="1:20" x14ac:dyDescent="0.35">
      <c r="A70" s="7" t="s">
        <v>148</v>
      </c>
      <c r="B70" s="12" t="s">
        <v>94</v>
      </c>
      <c r="D70">
        <v>8.4170080390000006</v>
      </c>
      <c r="S70">
        <v>1</v>
      </c>
      <c r="T70">
        <v>9</v>
      </c>
    </row>
    <row r="71" spans="1:20" x14ac:dyDescent="0.35">
      <c r="A71" s="7" t="s">
        <v>149</v>
      </c>
      <c r="B71" s="12" t="s">
        <v>50</v>
      </c>
      <c r="C71">
        <v>37076490.534035131</v>
      </c>
      <c r="D71">
        <v>37084870.613902919</v>
      </c>
      <c r="E71">
        <v>31531.531531532</v>
      </c>
      <c r="F71">
        <v>17117.117117116999</v>
      </c>
      <c r="G71">
        <v>1</v>
      </c>
      <c r="H71">
        <v>7</v>
      </c>
      <c r="K71">
        <v>2</v>
      </c>
      <c r="L71">
        <v>7</v>
      </c>
      <c r="M71">
        <v>6104954.9549549576</v>
      </c>
      <c r="N71">
        <v>1578828.8288288279</v>
      </c>
      <c r="O71">
        <v>14746486.486486485</v>
      </c>
      <c r="P71">
        <v>16243441.441441443</v>
      </c>
      <c r="Q71">
        <v>6234954.9549549548</v>
      </c>
      <c r="R71">
        <v>1938558.5585585569</v>
      </c>
      <c r="S71">
        <v>3628</v>
      </c>
      <c r="T71">
        <v>3535</v>
      </c>
    </row>
    <row r="72" spans="1:20" x14ac:dyDescent="0.35">
      <c r="A72" s="7" t="s">
        <v>150</v>
      </c>
      <c r="B72" s="12" t="s">
        <v>151</v>
      </c>
      <c r="C72">
        <v>11804549.050524363</v>
      </c>
      <c r="D72">
        <v>11950466.500774523</v>
      </c>
      <c r="E72">
        <v>56294396.396396399</v>
      </c>
      <c r="F72">
        <v>25478535.135135137</v>
      </c>
      <c r="G72">
        <v>1</v>
      </c>
      <c r="H72">
        <v>2</v>
      </c>
      <c r="K72">
        <v>1</v>
      </c>
      <c r="L72">
        <v>4</v>
      </c>
      <c r="M72">
        <v>36175900.900900893</v>
      </c>
      <c r="N72">
        <v>17917117.117117118</v>
      </c>
      <c r="O72">
        <v>2758378.3783783782</v>
      </c>
      <c r="P72">
        <v>3442018.018018018</v>
      </c>
      <c r="Q72">
        <v>1367567.5675675671</v>
      </c>
      <c r="R72">
        <v>4162072.072072072</v>
      </c>
      <c r="S72">
        <v>729</v>
      </c>
      <c r="T72">
        <v>689</v>
      </c>
    </row>
    <row r="73" spans="1:20" x14ac:dyDescent="0.35">
      <c r="A73" s="7" t="s">
        <v>152</v>
      </c>
      <c r="B73" s="12" t="s">
        <v>151</v>
      </c>
      <c r="C73">
        <v>109980203.17413494</v>
      </c>
      <c r="D73">
        <v>105187746.1481532</v>
      </c>
      <c r="E73">
        <v>292792.79279279301</v>
      </c>
      <c r="F73">
        <v>5426351.3513513561</v>
      </c>
      <c r="G73">
        <v>26</v>
      </c>
      <c r="H73">
        <v>60</v>
      </c>
      <c r="K73">
        <v>33</v>
      </c>
      <c r="L73">
        <v>75</v>
      </c>
      <c r="M73">
        <v>100229729.72972973</v>
      </c>
      <c r="N73">
        <v>58938738.738738738</v>
      </c>
      <c r="O73">
        <v>35996655.855855852</v>
      </c>
      <c r="P73">
        <v>35605648.648648649</v>
      </c>
      <c r="Q73">
        <v>87192248.648648649</v>
      </c>
      <c r="R73">
        <v>31595358.558558561</v>
      </c>
      <c r="S73">
        <v>7977</v>
      </c>
      <c r="T73">
        <v>9256</v>
      </c>
    </row>
    <row r="74" spans="1:20" x14ac:dyDescent="0.35">
      <c r="A74" s="7" t="s">
        <v>153</v>
      </c>
      <c r="B74" s="12" t="s">
        <v>154</v>
      </c>
      <c r="C74">
        <v>95481184.258614987</v>
      </c>
      <c r="D74">
        <v>94189458.192013323</v>
      </c>
      <c r="E74">
        <v>926126.12612612604</v>
      </c>
      <c r="F74">
        <v>252927.92792793</v>
      </c>
      <c r="G74">
        <v>2</v>
      </c>
      <c r="H74">
        <v>11</v>
      </c>
      <c r="K74">
        <v>3</v>
      </c>
      <c r="L74">
        <v>14</v>
      </c>
      <c r="M74">
        <v>16571171.171171172</v>
      </c>
      <c r="N74">
        <v>14146846.846846849</v>
      </c>
      <c r="O74">
        <v>41338693.693693697</v>
      </c>
      <c r="P74">
        <v>36875729.729729727</v>
      </c>
      <c r="Q74">
        <v>13740990.990990993</v>
      </c>
      <c r="R74">
        <v>11882162.162162164</v>
      </c>
      <c r="S74">
        <v>7136</v>
      </c>
      <c r="T74">
        <v>7189</v>
      </c>
    </row>
    <row r="75" spans="1:20" x14ac:dyDescent="0.35">
      <c r="A75" s="7" t="s">
        <v>155</v>
      </c>
      <c r="B75" s="12" t="s">
        <v>154</v>
      </c>
      <c r="C75">
        <v>12061299.282252705</v>
      </c>
      <c r="D75">
        <v>9748114.5169221126</v>
      </c>
      <c r="E75">
        <v>900.900900901</v>
      </c>
      <c r="G75">
        <v>4</v>
      </c>
      <c r="H75">
        <v>2</v>
      </c>
      <c r="K75">
        <v>4</v>
      </c>
      <c r="L75">
        <v>2</v>
      </c>
      <c r="M75">
        <v>900.900900901</v>
      </c>
      <c r="N75">
        <v>3337837.8378378372</v>
      </c>
      <c r="O75">
        <v>3251711.7117117122</v>
      </c>
      <c r="P75">
        <v>2303378.3783783782</v>
      </c>
      <c r="Q75">
        <v>61261.261261261003</v>
      </c>
      <c r="R75">
        <v>2036936.936936937</v>
      </c>
      <c r="S75">
        <v>2020</v>
      </c>
      <c r="T75">
        <v>1334</v>
      </c>
    </row>
    <row r="76" spans="1:20" x14ac:dyDescent="0.35">
      <c r="A76" s="7" t="s">
        <v>156</v>
      </c>
      <c r="B76" s="12" t="s">
        <v>154</v>
      </c>
      <c r="C76">
        <v>121107938.24841961</v>
      </c>
      <c r="D76">
        <v>100866445.37237419</v>
      </c>
      <c r="E76">
        <v>87838778.378378391</v>
      </c>
      <c r="F76">
        <v>22209235.135135137</v>
      </c>
      <c r="G76">
        <v>8</v>
      </c>
      <c r="H76">
        <v>5</v>
      </c>
      <c r="K76">
        <v>11</v>
      </c>
      <c r="L76">
        <v>5</v>
      </c>
      <c r="M76">
        <v>35188288.288288288</v>
      </c>
      <c r="N76">
        <v>14816666.666666668</v>
      </c>
      <c r="O76">
        <v>45616351.351351351</v>
      </c>
      <c r="P76">
        <v>37383468.468468472</v>
      </c>
      <c r="Q76">
        <v>27224684.684684686</v>
      </c>
      <c r="R76">
        <v>17840360.360360362</v>
      </c>
      <c r="S76">
        <v>8054</v>
      </c>
      <c r="T76">
        <v>8209</v>
      </c>
    </row>
    <row r="77" spans="1:20" x14ac:dyDescent="0.35">
      <c r="A77" s="7" t="s">
        <v>157</v>
      </c>
      <c r="B77" s="12" t="s">
        <v>134</v>
      </c>
      <c r="C77">
        <v>50025756.280666523</v>
      </c>
      <c r="D77">
        <v>46557178.85215015</v>
      </c>
      <c r="E77">
        <v>3603.603603604</v>
      </c>
      <c r="F77">
        <v>81081.081081081997</v>
      </c>
      <c r="G77">
        <v>9</v>
      </c>
      <c r="H77">
        <v>8</v>
      </c>
      <c r="K77">
        <v>10</v>
      </c>
      <c r="L77">
        <v>9</v>
      </c>
      <c r="M77">
        <v>6773873.8738738736</v>
      </c>
      <c r="N77">
        <v>6657657.6576576577</v>
      </c>
      <c r="O77">
        <v>4390315.3153153146</v>
      </c>
      <c r="P77">
        <v>5285468.4684684677</v>
      </c>
      <c r="Q77">
        <v>1691621.6216216211</v>
      </c>
      <c r="R77">
        <v>1222522.522522524</v>
      </c>
      <c r="S77">
        <v>4375</v>
      </c>
      <c r="T77">
        <v>4552</v>
      </c>
    </row>
    <row r="78" spans="1:20" x14ac:dyDescent="0.35">
      <c r="A78" s="7" t="s">
        <v>1</v>
      </c>
      <c r="B78" s="12" t="s">
        <v>158</v>
      </c>
      <c r="C78">
        <v>89955767.849913821</v>
      </c>
      <c r="D78">
        <v>83938629.636798635</v>
      </c>
      <c r="E78">
        <v>192342.34234234301</v>
      </c>
      <c r="F78">
        <v>573873.87387387396</v>
      </c>
      <c r="G78">
        <v>9</v>
      </c>
      <c r="H78">
        <v>5</v>
      </c>
      <c r="I78">
        <v>1</v>
      </c>
      <c r="K78">
        <v>13</v>
      </c>
      <c r="L78">
        <v>126</v>
      </c>
      <c r="M78">
        <v>11164414.414414411</v>
      </c>
      <c r="N78">
        <v>15841351.351351352</v>
      </c>
      <c r="O78">
        <v>39638648.648648649</v>
      </c>
      <c r="P78">
        <v>40770216.216216214</v>
      </c>
      <c r="Q78">
        <v>9225585.5855855849</v>
      </c>
      <c r="R78">
        <v>10793063.063063061</v>
      </c>
      <c r="S78">
        <v>8228</v>
      </c>
      <c r="T78">
        <v>8023</v>
      </c>
    </row>
    <row r="79" spans="1:20" x14ac:dyDescent="0.35">
      <c r="A79" s="7" t="s">
        <v>159</v>
      </c>
      <c r="B79" s="12" t="s">
        <v>121</v>
      </c>
      <c r="C79">
        <v>3755531.9512489848</v>
      </c>
      <c r="D79">
        <v>3242745.3803264052</v>
      </c>
      <c r="G79">
        <v>1</v>
      </c>
      <c r="H79">
        <v>1</v>
      </c>
      <c r="K79">
        <v>1</v>
      </c>
      <c r="L79">
        <v>2</v>
      </c>
      <c r="M79">
        <v>900900.90090090095</v>
      </c>
      <c r="O79">
        <v>465855.85585585597</v>
      </c>
      <c r="P79">
        <v>258153.15315315299</v>
      </c>
      <c r="Q79">
        <v>133603.60360360399</v>
      </c>
      <c r="S79">
        <v>573</v>
      </c>
      <c r="T79">
        <v>485</v>
      </c>
    </row>
    <row r="80" spans="1:20" x14ac:dyDescent="0.35">
      <c r="A80" s="7" t="s">
        <v>160</v>
      </c>
      <c r="B80" s="12" t="s">
        <v>161</v>
      </c>
      <c r="C80">
        <v>43326046.950775661</v>
      </c>
      <c r="D80">
        <v>46259473.001825675</v>
      </c>
      <c r="E80">
        <v>226846.84684684599</v>
      </c>
      <c r="F80">
        <v>591891.891891893</v>
      </c>
      <c r="G80">
        <v>9</v>
      </c>
      <c r="H80">
        <v>9</v>
      </c>
      <c r="K80">
        <v>13</v>
      </c>
      <c r="L80">
        <v>113</v>
      </c>
      <c r="M80">
        <v>13187657.657657664</v>
      </c>
      <c r="N80">
        <v>6971891.8918918949</v>
      </c>
      <c r="O80">
        <v>18570126.126126129</v>
      </c>
      <c r="P80">
        <v>19005000</v>
      </c>
      <c r="Q80">
        <v>20008648.648648653</v>
      </c>
      <c r="R80">
        <v>5554954.9549549548</v>
      </c>
      <c r="S80">
        <v>5986</v>
      </c>
      <c r="T80">
        <v>6140</v>
      </c>
    </row>
    <row r="81" spans="1:20" x14ac:dyDescent="0.35">
      <c r="A81" s="7" t="s">
        <v>162</v>
      </c>
      <c r="B81" s="12" t="s">
        <v>76</v>
      </c>
      <c r="C81">
        <v>20773355.484417506</v>
      </c>
      <c r="D81">
        <v>21567382.145778567</v>
      </c>
      <c r="E81">
        <v>900.900900901</v>
      </c>
      <c r="F81">
        <v>180180.18018018</v>
      </c>
      <c r="G81">
        <v>4</v>
      </c>
      <c r="H81">
        <v>6</v>
      </c>
      <c r="K81">
        <v>5</v>
      </c>
      <c r="L81">
        <v>7</v>
      </c>
      <c r="M81">
        <v>271171.17117117101</v>
      </c>
      <c r="N81">
        <v>360360.36036036001</v>
      </c>
      <c r="O81">
        <v>1293828.8288288291</v>
      </c>
      <c r="P81">
        <v>1142657.6576576571</v>
      </c>
      <c r="Q81">
        <v>284144.14414414403</v>
      </c>
      <c r="R81">
        <v>233423.423423423</v>
      </c>
      <c r="S81">
        <v>950</v>
      </c>
      <c r="T81">
        <v>923</v>
      </c>
    </row>
    <row r="82" spans="1:20" x14ac:dyDescent="0.35">
      <c r="A82" s="7" t="s">
        <v>163</v>
      </c>
      <c r="B82" s="12" t="s">
        <v>52</v>
      </c>
      <c r="C82">
        <v>16884697.292514618</v>
      </c>
      <c r="D82">
        <v>15670158.067099968</v>
      </c>
      <c r="E82">
        <v>137837.83783783799</v>
      </c>
      <c r="F82">
        <v>227027.02702702701</v>
      </c>
      <c r="G82">
        <v>2</v>
      </c>
      <c r="H82">
        <v>8</v>
      </c>
      <c r="K82">
        <v>2</v>
      </c>
      <c r="L82">
        <v>8</v>
      </c>
      <c r="M82">
        <v>336036.03603603598</v>
      </c>
      <c r="N82">
        <v>303603.60360360402</v>
      </c>
      <c r="O82">
        <v>7628153.1531531531</v>
      </c>
      <c r="P82">
        <v>7976837.8378378376</v>
      </c>
      <c r="Q82">
        <v>389999.99999999901</v>
      </c>
      <c r="R82">
        <v>315135.13513513602</v>
      </c>
      <c r="S82">
        <v>1564</v>
      </c>
      <c r="T82">
        <v>1490</v>
      </c>
    </row>
    <row r="83" spans="1:20" x14ac:dyDescent="0.35">
      <c r="A83" s="7" t="s">
        <v>164</v>
      </c>
      <c r="B83" s="12" t="s">
        <v>87</v>
      </c>
      <c r="C83">
        <v>14633391.56195466</v>
      </c>
      <c r="D83">
        <v>11130179.350646747</v>
      </c>
      <c r="E83">
        <v>28129720.72072072</v>
      </c>
      <c r="F83">
        <v>363447.74774774798</v>
      </c>
      <c r="G83">
        <v>3</v>
      </c>
      <c r="H83">
        <v>3</v>
      </c>
      <c r="K83">
        <v>4</v>
      </c>
      <c r="L83">
        <v>3</v>
      </c>
      <c r="M83">
        <v>155855.855855856</v>
      </c>
      <c r="N83">
        <v>224324.324324324</v>
      </c>
      <c r="O83">
        <v>1475945.945945946</v>
      </c>
      <c r="P83">
        <v>905855.85585585597</v>
      </c>
      <c r="Q83">
        <v>180180.18018018</v>
      </c>
      <c r="R83">
        <v>183783.783783783</v>
      </c>
      <c r="S83">
        <v>1157</v>
      </c>
      <c r="T83">
        <v>1197</v>
      </c>
    </row>
    <row r="84" spans="1:20" x14ac:dyDescent="0.35">
      <c r="A84" s="7" t="s">
        <v>165</v>
      </c>
      <c r="B84" s="12" t="s">
        <v>143</v>
      </c>
      <c r="C84">
        <v>3006000.1245516222</v>
      </c>
      <c r="D84">
        <v>3010764.1063267202</v>
      </c>
      <c r="E84">
        <v>900.900900901</v>
      </c>
      <c r="G84">
        <v>3</v>
      </c>
      <c r="H84">
        <v>1</v>
      </c>
      <c r="K84">
        <v>4</v>
      </c>
      <c r="L84">
        <v>1</v>
      </c>
      <c r="M84">
        <v>874774.77477477398</v>
      </c>
      <c r="O84">
        <v>404774.77477477503</v>
      </c>
      <c r="P84">
        <v>217657.65765765801</v>
      </c>
      <c r="Q84">
        <v>716216.21621621703</v>
      </c>
      <c r="S84">
        <v>350</v>
      </c>
      <c r="T84">
        <v>343</v>
      </c>
    </row>
    <row r="85" spans="1:20" x14ac:dyDescent="0.35">
      <c r="A85" s="7" t="s">
        <v>166</v>
      </c>
      <c r="B85" s="12" t="s">
        <v>167</v>
      </c>
      <c r="C85">
        <v>9115696.7251893356</v>
      </c>
      <c r="D85">
        <v>13110735.606290806</v>
      </c>
      <c r="E85">
        <v>900.900900901</v>
      </c>
      <c r="F85">
        <v>382882.88288288302</v>
      </c>
      <c r="G85">
        <v>2</v>
      </c>
      <c r="H85">
        <v>2</v>
      </c>
      <c r="K85">
        <v>4</v>
      </c>
      <c r="L85">
        <v>2</v>
      </c>
      <c r="M85">
        <v>938918.91891892196</v>
      </c>
      <c r="N85">
        <v>1857657.6576576571</v>
      </c>
      <c r="O85">
        <v>5359279.2792792786</v>
      </c>
      <c r="P85">
        <v>6347484.6846846854</v>
      </c>
      <c r="Q85">
        <v>1587837.83783784</v>
      </c>
      <c r="R85">
        <v>885765.76576576603</v>
      </c>
      <c r="S85">
        <v>1362</v>
      </c>
      <c r="T85">
        <v>1402</v>
      </c>
    </row>
    <row r="86" spans="1:20" x14ac:dyDescent="0.35">
      <c r="A86" s="7" t="s">
        <v>168</v>
      </c>
      <c r="B86" s="12" t="s">
        <v>169</v>
      </c>
      <c r="C86">
        <v>49062621.999764062</v>
      </c>
      <c r="D86">
        <v>47758013.520984113</v>
      </c>
      <c r="E86">
        <v>295945.94594594598</v>
      </c>
      <c r="F86">
        <v>770270.27027026995</v>
      </c>
      <c r="G86">
        <v>4</v>
      </c>
      <c r="H86">
        <v>8</v>
      </c>
      <c r="I86">
        <v>1</v>
      </c>
      <c r="K86">
        <v>6</v>
      </c>
      <c r="L86">
        <v>19</v>
      </c>
      <c r="M86">
        <v>8593243.2432432435</v>
      </c>
      <c r="N86">
        <v>7986486.4864864862</v>
      </c>
      <c r="O86">
        <v>12933378.378378378</v>
      </c>
      <c r="P86">
        <v>15120666.666666666</v>
      </c>
      <c r="Q86">
        <v>8782612.6126126125</v>
      </c>
      <c r="R86">
        <v>9687567.5675675683</v>
      </c>
      <c r="S86">
        <v>6212</v>
      </c>
      <c r="T86">
        <v>6954</v>
      </c>
    </row>
    <row r="87" spans="1:20" x14ac:dyDescent="0.35">
      <c r="A87" s="7" t="s">
        <v>170</v>
      </c>
      <c r="B87" s="12" t="s">
        <v>54</v>
      </c>
      <c r="C87">
        <v>7742249.6858401494</v>
      </c>
      <c r="D87">
        <v>8115105.1560543617</v>
      </c>
      <c r="F87">
        <v>14414.414414415</v>
      </c>
      <c r="K87">
        <v>1</v>
      </c>
      <c r="M87">
        <v>1981981.981981982</v>
      </c>
      <c r="N87">
        <v>464864.86486486503</v>
      </c>
      <c r="O87">
        <v>1109594.594594595</v>
      </c>
      <c r="P87">
        <v>1366486.4864864871</v>
      </c>
      <c r="Q87">
        <v>666306.30630630697</v>
      </c>
      <c r="R87">
        <v>896846.84684684698</v>
      </c>
      <c r="S87">
        <v>677</v>
      </c>
      <c r="T87">
        <v>681</v>
      </c>
    </row>
    <row r="88" spans="1:20" x14ac:dyDescent="0.35">
      <c r="A88" s="7" t="s">
        <v>171</v>
      </c>
      <c r="B88" s="12" t="s">
        <v>60</v>
      </c>
      <c r="C88">
        <v>175281748.29570574</v>
      </c>
      <c r="D88">
        <v>165517225.29627472</v>
      </c>
      <c r="E88">
        <v>936936.93693693797</v>
      </c>
      <c r="F88">
        <v>1891891.8918918939</v>
      </c>
      <c r="G88">
        <v>29</v>
      </c>
      <c r="H88">
        <v>32</v>
      </c>
      <c r="K88">
        <v>36</v>
      </c>
      <c r="L88">
        <v>36</v>
      </c>
      <c r="M88">
        <v>8231531.5315315304</v>
      </c>
      <c r="N88">
        <v>7284684.6846846864</v>
      </c>
      <c r="O88">
        <v>55699527.027027026</v>
      </c>
      <c r="P88">
        <v>59850792.79279279</v>
      </c>
      <c r="Q88">
        <v>6984594.5945945941</v>
      </c>
      <c r="R88">
        <v>8138558.5585585572</v>
      </c>
      <c r="S88">
        <v>11777</v>
      </c>
      <c r="T88">
        <v>12076</v>
      </c>
    </row>
    <row r="89" spans="1:20" x14ac:dyDescent="0.35">
      <c r="A89" s="7" t="s">
        <v>172</v>
      </c>
      <c r="B89" s="12" t="s">
        <v>121</v>
      </c>
      <c r="C89">
        <v>76320281.850157246</v>
      </c>
      <c r="D89">
        <v>71528808.619796112</v>
      </c>
      <c r="E89">
        <v>914414.41441441595</v>
      </c>
      <c r="F89">
        <v>750450.45045044995</v>
      </c>
      <c r="G89">
        <v>25</v>
      </c>
      <c r="H89">
        <v>21</v>
      </c>
      <c r="K89">
        <v>34</v>
      </c>
      <c r="L89">
        <v>25</v>
      </c>
      <c r="M89">
        <v>3662162.1621621619</v>
      </c>
      <c r="N89">
        <v>3063063.0630630618</v>
      </c>
      <c r="O89">
        <v>8641981.9819819815</v>
      </c>
      <c r="P89">
        <v>7218045.0450450452</v>
      </c>
      <c r="Q89">
        <v>2426126.126126125</v>
      </c>
      <c r="R89">
        <v>1692792.792792791</v>
      </c>
      <c r="S89">
        <v>5808</v>
      </c>
      <c r="T89">
        <v>5723</v>
      </c>
    </row>
    <row r="90" spans="1:20" x14ac:dyDescent="0.35">
      <c r="A90" s="7" t="s">
        <v>173</v>
      </c>
      <c r="B90" s="12" t="s">
        <v>174</v>
      </c>
      <c r="C90">
        <v>53414416.325783342</v>
      </c>
      <c r="D90">
        <v>48578437.192944035</v>
      </c>
      <c r="E90">
        <v>20270.270270272002</v>
      </c>
      <c r="F90">
        <v>188063.063063065</v>
      </c>
      <c r="G90">
        <v>6</v>
      </c>
      <c r="H90">
        <v>5</v>
      </c>
      <c r="K90">
        <v>10</v>
      </c>
      <c r="L90">
        <v>9</v>
      </c>
      <c r="M90">
        <v>3912162.162162161</v>
      </c>
      <c r="N90">
        <v>5811711.7117117113</v>
      </c>
      <c r="O90">
        <v>5793954.9549549557</v>
      </c>
      <c r="P90">
        <v>5294099.0990990996</v>
      </c>
      <c r="Q90">
        <v>4090720.7207207228</v>
      </c>
      <c r="R90">
        <v>4350540.5405405406</v>
      </c>
      <c r="S90">
        <v>4472</v>
      </c>
      <c r="T90">
        <v>4686</v>
      </c>
    </row>
    <row r="91" spans="1:20" x14ac:dyDescent="0.35">
      <c r="A91" s="7" t="s">
        <v>175</v>
      </c>
      <c r="B91" s="12" t="s">
        <v>174</v>
      </c>
      <c r="C91">
        <v>79537978.584414512</v>
      </c>
      <c r="D91">
        <v>77537857.3178</v>
      </c>
      <c r="E91">
        <v>20445891.891891893</v>
      </c>
      <c r="F91">
        <v>20597277.47747748</v>
      </c>
      <c r="G91">
        <v>30</v>
      </c>
      <c r="H91">
        <v>21</v>
      </c>
      <c r="K91">
        <v>37</v>
      </c>
      <c r="L91">
        <v>47</v>
      </c>
      <c r="M91">
        <v>13284684.684684685</v>
      </c>
      <c r="N91">
        <v>11769369.369369367</v>
      </c>
      <c r="O91">
        <v>13795133.333333332</v>
      </c>
      <c r="P91">
        <v>13747513.513513513</v>
      </c>
      <c r="Q91">
        <v>8082745.945945954</v>
      </c>
      <c r="R91">
        <v>4871891.8918918902</v>
      </c>
      <c r="S91">
        <v>8621</v>
      </c>
      <c r="T91">
        <v>9800</v>
      </c>
    </row>
    <row r="92" spans="1:20" x14ac:dyDescent="0.35">
      <c r="A92" s="7" t="s">
        <v>176</v>
      </c>
      <c r="B92" s="12" t="s">
        <v>174</v>
      </c>
      <c r="C92">
        <v>108790707.62060452</v>
      </c>
      <c r="D92">
        <v>103890925.41904138</v>
      </c>
      <c r="E92">
        <v>28828.828828829999</v>
      </c>
      <c r="F92">
        <v>388513.51351351797</v>
      </c>
      <c r="G92">
        <v>36</v>
      </c>
      <c r="H92">
        <v>20</v>
      </c>
      <c r="I92">
        <v>1</v>
      </c>
      <c r="K92">
        <v>46</v>
      </c>
      <c r="L92">
        <v>41</v>
      </c>
      <c r="M92">
        <v>13096396.396396397</v>
      </c>
      <c r="N92">
        <v>10885135.135135137</v>
      </c>
      <c r="O92">
        <v>17068887.387387387</v>
      </c>
      <c r="P92">
        <v>15342612.612612613</v>
      </c>
      <c r="Q92">
        <v>8096126.126126131</v>
      </c>
      <c r="R92">
        <v>7110180.1801801808</v>
      </c>
      <c r="S92">
        <v>11919</v>
      </c>
      <c r="T92">
        <v>12168</v>
      </c>
    </row>
    <row r="93" spans="1:20" x14ac:dyDescent="0.35">
      <c r="A93" s="7" t="s">
        <v>177</v>
      </c>
      <c r="B93" s="12" t="s">
        <v>178</v>
      </c>
      <c r="C93">
        <v>34804670.316944346</v>
      </c>
      <c r="D93">
        <v>32322761.169412479</v>
      </c>
      <c r="E93">
        <v>270270.27027027</v>
      </c>
      <c r="G93">
        <v>3</v>
      </c>
      <c r="H93">
        <v>2</v>
      </c>
      <c r="K93">
        <v>3</v>
      </c>
      <c r="L93">
        <v>2</v>
      </c>
      <c r="M93">
        <v>1580900.900900902</v>
      </c>
      <c r="N93">
        <v>532882.88288288098</v>
      </c>
      <c r="O93">
        <v>10979414.414414413</v>
      </c>
      <c r="P93">
        <v>12511016.216216216</v>
      </c>
      <c r="Q93">
        <v>1148558.55855856</v>
      </c>
      <c r="R93">
        <v>729279.27927927801</v>
      </c>
      <c r="S93">
        <v>3873</v>
      </c>
      <c r="T93">
        <v>3384</v>
      </c>
    </row>
    <row r="94" spans="1:20" x14ac:dyDescent="0.35">
      <c r="A94" s="7" t="s">
        <v>179</v>
      </c>
      <c r="B94" s="12" t="s">
        <v>167</v>
      </c>
      <c r="C94">
        <v>46644043.53204295</v>
      </c>
      <c r="D94">
        <v>35684792.401839226</v>
      </c>
      <c r="E94">
        <v>41441.441441442003</v>
      </c>
      <c r="F94">
        <v>544819.81981982</v>
      </c>
      <c r="G94">
        <v>21</v>
      </c>
      <c r="H94">
        <v>2</v>
      </c>
      <c r="K94">
        <v>26</v>
      </c>
      <c r="L94">
        <v>18</v>
      </c>
      <c r="M94">
        <v>326846.84684685001</v>
      </c>
      <c r="N94">
        <v>590090.09009009099</v>
      </c>
      <c r="O94">
        <v>11806756.756756756</v>
      </c>
      <c r="P94">
        <v>9895000</v>
      </c>
      <c r="Q94">
        <v>2098468.468468471</v>
      </c>
      <c r="R94">
        <v>438738.73873873899</v>
      </c>
      <c r="S94">
        <v>4742</v>
      </c>
      <c r="T94">
        <v>4399</v>
      </c>
    </row>
    <row r="95" spans="1:20" x14ac:dyDescent="0.35">
      <c r="A95" s="7" t="s">
        <v>180</v>
      </c>
      <c r="B95" s="12" t="s">
        <v>181</v>
      </c>
      <c r="C95">
        <v>33880769.424441122</v>
      </c>
      <c r="D95">
        <v>31399416.832090896</v>
      </c>
      <c r="E95">
        <v>900.900900901</v>
      </c>
      <c r="F95">
        <v>38738.738738738997</v>
      </c>
      <c r="G95">
        <v>6</v>
      </c>
      <c r="H95">
        <v>8</v>
      </c>
      <c r="K95">
        <v>7</v>
      </c>
      <c r="L95">
        <v>10</v>
      </c>
      <c r="M95">
        <v>3186486.4864864829</v>
      </c>
      <c r="N95">
        <v>38738.738738738997</v>
      </c>
      <c r="O95">
        <v>7690810.8108108118</v>
      </c>
      <c r="P95">
        <v>8492153.1531531531</v>
      </c>
      <c r="Q95">
        <v>3514414.4144144119</v>
      </c>
      <c r="R95">
        <v>1769279.2792792791</v>
      </c>
      <c r="S95">
        <v>3065</v>
      </c>
      <c r="T95">
        <v>3005</v>
      </c>
    </row>
    <row r="96" spans="1:20" x14ac:dyDescent="0.35">
      <c r="A96" s="7" t="s">
        <v>182</v>
      </c>
      <c r="B96" s="12" t="s">
        <v>94</v>
      </c>
      <c r="C96">
        <v>25909353.428556055</v>
      </c>
      <c r="D96">
        <v>36435029.520682767</v>
      </c>
      <c r="E96">
        <v>135135.135135135</v>
      </c>
      <c r="G96">
        <v>2</v>
      </c>
      <c r="H96">
        <v>6</v>
      </c>
      <c r="K96">
        <v>3</v>
      </c>
      <c r="L96">
        <v>10</v>
      </c>
      <c r="M96">
        <v>135135.135135135</v>
      </c>
      <c r="N96">
        <v>4423423.4234234234</v>
      </c>
      <c r="O96">
        <v>2121891.8918918911</v>
      </c>
      <c r="P96">
        <v>3539864.8648648658</v>
      </c>
      <c r="Q96">
        <v>269639.63963963999</v>
      </c>
      <c r="R96">
        <v>731531.53153153101</v>
      </c>
      <c r="S96">
        <v>3720</v>
      </c>
      <c r="T96">
        <v>3595</v>
      </c>
    </row>
    <row r="97" spans="1:20" x14ac:dyDescent="0.35">
      <c r="A97" s="7" t="s">
        <v>183</v>
      </c>
      <c r="B97" s="12" t="s">
        <v>94</v>
      </c>
      <c r="C97">
        <v>205928942.24006796</v>
      </c>
      <c r="D97">
        <v>193323657.0750809</v>
      </c>
      <c r="E97">
        <v>158083580.18018019</v>
      </c>
      <c r="F97">
        <v>370416158.55855858</v>
      </c>
      <c r="G97">
        <v>36</v>
      </c>
      <c r="H97">
        <v>35</v>
      </c>
      <c r="K97">
        <v>48</v>
      </c>
      <c r="L97">
        <v>50</v>
      </c>
      <c r="M97">
        <v>11239189.18918919</v>
      </c>
      <c r="N97">
        <v>14924774.774774777</v>
      </c>
      <c r="O97">
        <v>23750472.97297297</v>
      </c>
      <c r="P97">
        <v>24972792.792792797</v>
      </c>
      <c r="Q97">
        <v>9497297.2972972989</v>
      </c>
      <c r="R97">
        <v>17426756.756756756</v>
      </c>
      <c r="S97">
        <v>16199</v>
      </c>
      <c r="T97">
        <v>16619</v>
      </c>
    </row>
    <row r="98" spans="1:20" x14ac:dyDescent="0.35">
      <c r="A98" s="7" t="s">
        <v>184</v>
      </c>
      <c r="B98" s="12" t="s">
        <v>89</v>
      </c>
      <c r="C98">
        <v>19700893.089236256</v>
      </c>
      <c r="D98">
        <v>17225728.295402065</v>
      </c>
      <c r="E98">
        <v>137387.38738738699</v>
      </c>
      <c r="F98">
        <v>194369.36936936999</v>
      </c>
      <c r="G98">
        <v>2</v>
      </c>
      <c r="H98">
        <v>6</v>
      </c>
      <c r="K98">
        <v>2</v>
      </c>
      <c r="L98">
        <v>6</v>
      </c>
      <c r="M98">
        <v>317567.56756756699</v>
      </c>
      <c r="N98">
        <v>1043243.243243242</v>
      </c>
      <c r="O98">
        <v>5452252.2522522528</v>
      </c>
      <c r="P98">
        <v>6044585.5855855858</v>
      </c>
      <c r="Q98">
        <v>346126.12612612703</v>
      </c>
      <c r="R98">
        <v>888648.64864864806</v>
      </c>
      <c r="S98">
        <v>1679</v>
      </c>
      <c r="T98">
        <v>1457</v>
      </c>
    </row>
    <row r="99" spans="1:20" x14ac:dyDescent="0.35">
      <c r="A99" s="7" t="s">
        <v>185</v>
      </c>
      <c r="B99" s="12" t="s">
        <v>60</v>
      </c>
      <c r="C99">
        <v>11877834.431349607</v>
      </c>
      <c r="D99">
        <v>10877183.746587949</v>
      </c>
      <c r="E99">
        <v>270270.27027027</v>
      </c>
      <c r="F99">
        <v>208108.10810810901</v>
      </c>
      <c r="G99">
        <v>1</v>
      </c>
      <c r="H99">
        <v>5</v>
      </c>
      <c r="K99">
        <v>1</v>
      </c>
      <c r="L99">
        <v>5</v>
      </c>
      <c r="M99">
        <v>630630.63063062995</v>
      </c>
      <c r="N99">
        <v>208108.10810810901</v>
      </c>
      <c r="O99">
        <v>3755495.4954954949</v>
      </c>
      <c r="P99">
        <v>3914207.2072072071</v>
      </c>
      <c r="Q99">
        <v>105855.855855856</v>
      </c>
      <c r="R99">
        <v>423423.42342342401</v>
      </c>
      <c r="S99">
        <v>827</v>
      </c>
      <c r="T99">
        <v>772</v>
      </c>
    </row>
    <row r="100" spans="1:20" x14ac:dyDescent="0.35">
      <c r="A100" s="7" t="s">
        <v>186</v>
      </c>
      <c r="B100" s="12" t="s">
        <v>167</v>
      </c>
      <c r="C100">
        <v>20453074.442948811</v>
      </c>
      <c r="D100">
        <v>25336151.504640527</v>
      </c>
      <c r="E100">
        <v>900.900900901</v>
      </c>
      <c r="F100">
        <v>85360.360360360006</v>
      </c>
      <c r="G100">
        <v>2</v>
      </c>
      <c r="H100">
        <v>1</v>
      </c>
      <c r="K100">
        <v>4</v>
      </c>
      <c r="L100">
        <v>2</v>
      </c>
      <c r="M100">
        <v>900.900900901</v>
      </c>
      <c r="N100">
        <v>85585.585585585999</v>
      </c>
      <c r="O100">
        <v>4876261.2612612611</v>
      </c>
      <c r="P100">
        <v>6370009.0090090092</v>
      </c>
      <c r="S100">
        <v>2798</v>
      </c>
      <c r="T100">
        <v>2889</v>
      </c>
    </row>
    <row r="101" spans="1:20" x14ac:dyDescent="0.35">
      <c r="A101" s="7" t="s">
        <v>187</v>
      </c>
      <c r="B101" s="12" t="s">
        <v>167</v>
      </c>
      <c r="C101">
        <v>71098383.400346473</v>
      </c>
      <c r="D101">
        <v>73722810.881237462</v>
      </c>
      <c r="E101">
        <v>900.900900901</v>
      </c>
      <c r="G101">
        <v>11</v>
      </c>
      <c r="H101">
        <v>4</v>
      </c>
      <c r="K101">
        <v>13</v>
      </c>
      <c r="L101">
        <v>5</v>
      </c>
      <c r="M101">
        <v>1802702.702702703</v>
      </c>
      <c r="N101">
        <v>2434234.234234238</v>
      </c>
      <c r="O101">
        <v>13242756.756756756</v>
      </c>
      <c r="P101">
        <v>13993756.756756756</v>
      </c>
      <c r="Q101">
        <v>1142162.1621621631</v>
      </c>
      <c r="R101">
        <v>1574864.8648648681</v>
      </c>
      <c r="S101">
        <v>5902</v>
      </c>
      <c r="T101">
        <v>5794</v>
      </c>
    </row>
    <row r="102" spans="1:20" x14ac:dyDescent="0.35">
      <c r="A102" s="7" t="s">
        <v>188</v>
      </c>
      <c r="B102" s="12" t="s">
        <v>189</v>
      </c>
      <c r="C102">
        <v>32833286.061440896</v>
      </c>
      <c r="D102">
        <v>32084273.966699455</v>
      </c>
      <c r="E102">
        <v>270270.27027027</v>
      </c>
      <c r="G102">
        <v>5</v>
      </c>
      <c r="H102">
        <v>9</v>
      </c>
      <c r="K102">
        <v>6</v>
      </c>
      <c r="L102">
        <v>13</v>
      </c>
      <c r="M102">
        <v>1171171.1711711709</v>
      </c>
      <c r="N102">
        <v>450450.45045045001</v>
      </c>
      <c r="O102">
        <v>3427747.7477477482</v>
      </c>
      <c r="P102">
        <v>2668288.2882882878</v>
      </c>
      <c r="Q102">
        <v>978828.82882882899</v>
      </c>
      <c r="R102">
        <v>489639.63963963999</v>
      </c>
      <c r="S102">
        <v>1627</v>
      </c>
      <c r="T102">
        <v>1700</v>
      </c>
    </row>
    <row r="103" spans="1:20" x14ac:dyDescent="0.35">
      <c r="A103" s="7" t="s">
        <v>190</v>
      </c>
      <c r="B103" s="12" t="s">
        <v>134</v>
      </c>
      <c r="C103">
        <v>6953170.6116262963</v>
      </c>
      <c r="D103">
        <v>7281990.1162693892</v>
      </c>
      <c r="G103">
        <v>2</v>
      </c>
      <c r="H103">
        <v>2</v>
      </c>
      <c r="K103">
        <v>2</v>
      </c>
      <c r="L103">
        <v>2</v>
      </c>
      <c r="O103">
        <v>282342.34234234301</v>
      </c>
      <c r="P103">
        <v>671081.08108108095</v>
      </c>
      <c r="S103">
        <v>1018</v>
      </c>
      <c r="T103">
        <v>1016</v>
      </c>
    </row>
    <row r="104" spans="1:20" x14ac:dyDescent="0.35">
      <c r="A104" s="7" t="s">
        <v>191</v>
      </c>
      <c r="B104" s="12" t="s">
        <v>60</v>
      </c>
      <c r="C104">
        <v>47759370.165021949</v>
      </c>
      <c r="D104">
        <v>46519222.793932177</v>
      </c>
      <c r="E104">
        <v>399999.99999999901</v>
      </c>
      <c r="F104">
        <v>263738.73873874103</v>
      </c>
      <c r="G104">
        <v>2</v>
      </c>
      <c r="H104">
        <v>2</v>
      </c>
      <c r="K104">
        <v>5</v>
      </c>
      <c r="L104">
        <v>2</v>
      </c>
      <c r="M104">
        <v>3949549.549549548</v>
      </c>
      <c r="N104">
        <v>3092792.7927927952</v>
      </c>
      <c r="O104">
        <v>14161441.441441439</v>
      </c>
      <c r="P104">
        <v>13580045.045045044</v>
      </c>
      <c r="Q104">
        <v>4344414.4144144133</v>
      </c>
      <c r="R104">
        <v>3976666.6666666679</v>
      </c>
      <c r="S104">
        <v>3944</v>
      </c>
      <c r="T104">
        <v>3756</v>
      </c>
    </row>
    <row r="105" spans="1:20" x14ac:dyDescent="0.35">
      <c r="A105" s="7" t="s">
        <v>192</v>
      </c>
      <c r="B105" s="12" t="s">
        <v>60</v>
      </c>
      <c r="C105">
        <v>81781432.914315522</v>
      </c>
      <c r="D105">
        <v>79608867.548827335</v>
      </c>
      <c r="E105">
        <v>827927.92792792805</v>
      </c>
      <c r="F105">
        <v>274774.77477477601</v>
      </c>
      <c r="G105">
        <v>4</v>
      </c>
      <c r="H105">
        <v>4</v>
      </c>
      <c r="K105">
        <v>5</v>
      </c>
      <c r="L105">
        <v>4</v>
      </c>
      <c r="M105">
        <v>4972072.0720720729</v>
      </c>
      <c r="N105">
        <v>6364864.8648648653</v>
      </c>
      <c r="O105">
        <v>19009549.549549554</v>
      </c>
      <c r="P105">
        <v>18877765.765765764</v>
      </c>
      <c r="Q105">
        <v>4307657.6576576577</v>
      </c>
      <c r="R105">
        <v>4106216.2162162168</v>
      </c>
      <c r="S105">
        <v>6558</v>
      </c>
      <c r="T105">
        <v>6705</v>
      </c>
    </row>
    <row r="106" spans="1:20" x14ac:dyDescent="0.35">
      <c r="A106" s="7" t="s">
        <v>2</v>
      </c>
      <c r="B106" s="12" t="s">
        <v>193</v>
      </c>
      <c r="C106">
        <v>10926997.386205519</v>
      </c>
      <c r="D106">
        <v>5812917.9415709646</v>
      </c>
      <c r="E106">
        <v>8108.1081081089997</v>
      </c>
      <c r="G106">
        <v>1</v>
      </c>
      <c r="H106">
        <v>2</v>
      </c>
      <c r="K106">
        <v>1</v>
      </c>
      <c r="L106">
        <v>2</v>
      </c>
      <c r="M106">
        <v>8108.1081081089997</v>
      </c>
      <c r="O106">
        <v>4959189.1891891891</v>
      </c>
      <c r="P106">
        <v>3045684.684684685</v>
      </c>
      <c r="R106">
        <v>157657.65765765801</v>
      </c>
      <c r="S106">
        <v>1114</v>
      </c>
      <c r="T106">
        <v>161</v>
      </c>
    </row>
    <row r="107" spans="1:20" x14ac:dyDescent="0.35">
      <c r="A107" s="7" t="s">
        <v>194</v>
      </c>
      <c r="B107" s="12" t="s">
        <v>195</v>
      </c>
      <c r="C107">
        <v>272852245.10390168</v>
      </c>
      <c r="D107">
        <v>271758749.21547836</v>
      </c>
      <c r="E107">
        <v>576126.12612612697</v>
      </c>
      <c r="F107">
        <v>1000675.675675675</v>
      </c>
      <c r="G107">
        <v>45</v>
      </c>
      <c r="H107">
        <v>49</v>
      </c>
      <c r="K107">
        <v>56</v>
      </c>
      <c r="L107">
        <v>56</v>
      </c>
      <c r="M107">
        <v>9251081.0810810812</v>
      </c>
      <c r="N107">
        <v>13506306.306306304</v>
      </c>
      <c r="O107">
        <v>50870531.531531535</v>
      </c>
      <c r="P107">
        <v>52638846.846846849</v>
      </c>
      <c r="Q107">
        <v>12802972.972972972</v>
      </c>
      <c r="R107">
        <v>10145675.675675675</v>
      </c>
      <c r="S107">
        <v>17990</v>
      </c>
      <c r="T107">
        <v>19110</v>
      </c>
    </row>
    <row r="108" spans="1:20" x14ac:dyDescent="0.35">
      <c r="A108" s="7" t="s">
        <v>196</v>
      </c>
      <c r="B108" s="12" t="s">
        <v>80</v>
      </c>
      <c r="C108">
        <v>86830302.544984549</v>
      </c>
      <c r="D108">
        <v>81748461.750397295</v>
      </c>
      <c r="E108">
        <v>36936.936936938</v>
      </c>
      <c r="F108">
        <v>439639.639639639</v>
      </c>
      <c r="G108">
        <v>16</v>
      </c>
      <c r="H108">
        <v>9</v>
      </c>
      <c r="K108">
        <v>17</v>
      </c>
      <c r="L108">
        <v>11</v>
      </c>
      <c r="M108">
        <v>11364864.86486486</v>
      </c>
      <c r="N108">
        <v>14128828.828828828</v>
      </c>
      <c r="O108">
        <v>21913234.234234232</v>
      </c>
      <c r="P108">
        <v>23246234.234234236</v>
      </c>
      <c r="Q108">
        <v>10550270.270270268</v>
      </c>
      <c r="R108">
        <v>13473423.423423424</v>
      </c>
      <c r="S108">
        <v>6793</v>
      </c>
      <c r="T108">
        <v>6705</v>
      </c>
    </row>
    <row r="109" spans="1:20" x14ac:dyDescent="0.35">
      <c r="A109" s="7" t="s">
        <v>197</v>
      </c>
      <c r="B109" s="12" t="s">
        <v>108</v>
      </c>
      <c r="C109">
        <v>65607740.892578535</v>
      </c>
      <c r="D109">
        <v>70628963.098721296</v>
      </c>
      <c r="E109">
        <v>32252.252252253998</v>
      </c>
      <c r="F109">
        <v>275675.67567567801</v>
      </c>
      <c r="G109">
        <v>10</v>
      </c>
      <c r="H109">
        <v>18</v>
      </c>
      <c r="K109">
        <v>12</v>
      </c>
      <c r="L109">
        <v>23</v>
      </c>
      <c r="M109">
        <v>3243063.0630630618</v>
      </c>
      <c r="N109">
        <v>3627927.927927929</v>
      </c>
      <c r="O109">
        <v>17885630.630630631</v>
      </c>
      <c r="P109">
        <v>20662180.180180181</v>
      </c>
      <c r="Q109">
        <v>3374594.5945945941</v>
      </c>
      <c r="R109">
        <v>2555045.0450450429</v>
      </c>
      <c r="S109">
        <v>6988</v>
      </c>
      <c r="T109">
        <v>7257</v>
      </c>
    </row>
    <row r="110" spans="1:20" x14ac:dyDescent="0.35">
      <c r="A110" s="7" t="s">
        <v>198</v>
      </c>
      <c r="B110" s="12" t="s">
        <v>92</v>
      </c>
      <c r="C110">
        <v>36968341.556554317</v>
      </c>
      <c r="D110">
        <v>36856529.395748496</v>
      </c>
      <c r="E110">
        <v>993873.87387387396</v>
      </c>
      <c r="F110">
        <v>1193693.693693694</v>
      </c>
      <c r="G110">
        <v>6</v>
      </c>
      <c r="H110">
        <v>19</v>
      </c>
      <c r="K110">
        <v>6</v>
      </c>
      <c r="L110">
        <v>59</v>
      </c>
      <c r="M110">
        <v>11596036.036036037</v>
      </c>
      <c r="N110">
        <v>12238738.73873874</v>
      </c>
      <c r="O110">
        <v>8679414.4144144133</v>
      </c>
      <c r="P110">
        <v>8993945.9459459465</v>
      </c>
      <c r="Q110">
        <v>12204054.054054055</v>
      </c>
      <c r="R110">
        <v>11585135.135135137</v>
      </c>
      <c r="S110">
        <v>2802</v>
      </c>
      <c r="T110">
        <v>2773</v>
      </c>
    </row>
    <row r="111" spans="1:20" x14ac:dyDescent="0.35">
      <c r="A111" s="7" t="s">
        <v>199</v>
      </c>
      <c r="B111" s="12" t="s">
        <v>123</v>
      </c>
      <c r="C111">
        <v>40542501.968755513</v>
      </c>
      <c r="D111">
        <v>31518103.769000884</v>
      </c>
      <c r="E111">
        <v>483783.78378378402</v>
      </c>
      <c r="F111">
        <v>9909.9099099100004</v>
      </c>
      <c r="G111">
        <v>22</v>
      </c>
      <c r="H111">
        <v>2</v>
      </c>
      <c r="K111">
        <v>23</v>
      </c>
      <c r="L111">
        <v>2</v>
      </c>
      <c r="M111">
        <v>3907207.2072072071</v>
      </c>
      <c r="N111">
        <v>912612.61261261301</v>
      </c>
      <c r="O111">
        <v>8296891.8918918911</v>
      </c>
      <c r="P111">
        <v>5144207.2072072076</v>
      </c>
      <c r="Q111">
        <v>1146666.666666667</v>
      </c>
      <c r="R111">
        <v>1408918.9189189191</v>
      </c>
      <c r="S111">
        <v>2706</v>
      </c>
      <c r="T111">
        <v>2506</v>
      </c>
    </row>
    <row r="112" spans="1:20" x14ac:dyDescent="0.35">
      <c r="A112" s="7" t="s">
        <v>200</v>
      </c>
      <c r="B112" s="12" t="s">
        <v>60</v>
      </c>
      <c r="C112">
        <v>24371162.828375667</v>
      </c>
      <c r="D112">
        <v>23006821.677655391</v>
      </c>
      <c r="E112">
        <v>7207.207207208</v>
      </c>
      <c r="F112">
        <v>357657.65765765798</v>
      </c>
      <c r="G112">
        <v>5</v>
      </c>
      <c r="H112">
        <v>4</v>
      </c>
      <c r="K112">
        <v>7</v>
      </c>
      <c r="L112">
        <v>6</v>
      </c>
      <c r="M112">
        <v>1601801.8018018019</v>
      </c>
      <c r="N112">
        <v>3240540.5405405392</v>
      </c>
      <c r="O112">
        <v>3318549.5495495498</v>
      </c>
      <c r="P112">
        <v>3824945.945945947</v>
      </c>
      <c r="Q112">
        <v>903423.42342342401</v>
      </c>
      <c r="R112">
        <v>2303963.963963964</v>
      </c>
      <c r="S112">
        <v>3511</v>
      </c>
      <c r="T112">
        <v>3057</v>
      </c>
    </row>
    <row r="113" spans="1:20" x14ac:dyDescent="0.35">
      <c r="A113" s="7" t="s">
        <v>201</v>
      </c>
      <c r="B113" s="12" t="s">
        <v>60</v>
      </c>
      <c r="C113">
        <v>8507747.8565113787</v>
      </c>
      <c r="D113">
        <v>8132913.3631895119</v>
      </c>
      <c r="E113">
        <v>22702.702702703002</v>
      </c>
      <c r="G113">
        <v>3</v>
      </c>
      <c r="H113">
        <v>3</v>
      </c>
      <c r="K113">
        <v>4</v>
      </c>
      <c r="L113">
        <v>3</v>
      </c>
      <c r="M113">
        <v>67747.747747747999</v>
      </c>
      <c r="N113">
        <v>1009009.009009009</v>
      </c>
      <c r="O113">
        <v>2286486.4864864862</v>
      </c>
      <c r="P113">
        <v>2020126.1261261259</v>
      </c>
      <c r="Q113">
        <v>293243.24324324302</v>
      </c>
      <c r="R113">
        <v>283783.78378378402</v>
      </c>
      <c r="S113">
        <v>1171</v>
      </c>
      <c r="T113">
        <v>1464</v>
      </c>
    </row>
    <row r="114" spans="1:20" x14ac:dyDescent="0.35">
      <c r="A114" s="7" t="s">
        <v>202</v>
      </c>
      <c r="B114" s="12" t="s">
        <v>121</v>
      </c>
      <c r="C114">
        <v>18356306.27866843</v>
      </c>
      <c r="D114">
        <v>15070991.427115804</v>
      </c>
      <c r="E114">
        <v>6306.3063063070003</v>
      </c>
      <c r="F114">
        <v>112612.61261261201</v>
      </c>
      <c r="G114">
        <v>15</v>
      </c>
      <c r="H114">
        <v>9</v>
      </c>
      <c r="K114">
        <v>16</v>
      </c>
      <c r="L114">
        <v>10</v>
      </c>
      <c r="M114">
        <v>6306.3063063070003</v>
      </c>
      <c r="N114">
        <v>117117.117117117</v>
      </c>
      <c r="O114">
        <v>1904459.4594594601</v>
      </c>
      <c r="P114">
        <v>1483360.3603603609</v>
      </c>
      <c r="S114">
        <v>1560</v>
      </c>
      <c r="T114">
        <v>1382</v>
      </c>
    </row>
    <row r="115" spans="1:20" x14ac:dyDescent="0.35">
      <c r="A115" s="7" t="s">
        <v>203</v>
      </c>
      <c r="B115" s="12" t="s">
        <v>54</v>
      </c>
      <c r="C115">
        <v>25758746.155777782</v>
      </c>
      <c r="D115">
        <v>24512363.512636803</v>
      </c>
      <c r="E115">
        <v>900.900900901</v>
      </c>
      <c r="F115">
        <v>78378.378378378999</v>
      </c>
      <c r="G115">
        <v>3</v>
      </c>
      <c r="H115">
        <v>3</v>
      </c>
      <c r="K115">
        <v>7</v>
      </c>
      <c r="L115">
        <v>3</v>
      </c>
      <c r="M115">
        <v>1217117.117117116</v>
      </c>
      <c r="N115">
        <v>1299099.0990990989</v>
      </c>
      <c r="O115">
        <v>6270135.1351351347</v>
      </c>
      <c r="P115">
        <v>6133792.7927927934</v>
      </c>
      <c r="Q115">
        <v>1304684.684684684</v>
      </c>
      <c r="R115">
        <v>896756.75675675599</v>
      </c>
      <c r="S115">
        <v>3996</v>
      </c>
      <c r="T115">
        <v>3636</v>
      </c>
    </row>
    <row r="116" spans="1:20" x14ac:dyDescent="0.35">
      <c r="A116" s="7" t="s">
        <v>204</v>
      </c>
      <c r="B116" s="12" t="s">
        <v>136</v>
      </c>
      <c r="C116">
        <v>100252177.23405293</v>
      </c>
      <c r="D116">
        <v>85276600.626398608</v>
      </c>
      <c r="E116">
        <v>217567.56756756699</v>
      </c>
      <c r="F116">
        <v>82882.882882884005</v>
      </c>
      <c r="G116">
        <v>23</v>
      </c>
      <c r="H116">
        <v>7</v>
      </c>
      <c r="K116">
        <v>24</v>
      </c>
      <c r="L116">
        <v>8</v>
      </c>
      <c r="M116">
        <v>8821171.1711711697</v>
      </c>
      <c r="N116">
        <v>7533333.333333333</v>
      </c>
      <c r="O116">
        <v>16556666.666666668</v>
      </c>
      <c r="P116">
        <v>15540351.351351352</v>
      </c>
      <c r="Q116">
        <v>5865135.1351351347</v>
      </c>
      <c r="R116">
        <v>5587837.8378378386</v>
      </c>
      <c r="S116">
        <v>5886</v>
      </c>
      <c r="T116">
        <v>5664</v>
      </c>
    </row>
    <row r="117" spans="1:20" x14ac:dyDescent="0.35">
      <c r="A117" s="7" t="s">
        <v>205</v>
      </c>
      <c r="B117" s="12" t="s">
        <v>136</v>
      </c>
      <c r="C117">
        <v>48577526.775493652</v>
      </c>
      <c r="D117">
        <v>46319446.612429664</v>
      </c>
      <c r="E117">
        <v>3603.603603604</v>
      </c>
      <c r="F117">
        <v>298198.19819819799</v>
      </c>
      <c r="G117">
        <v>13</v>
      </c>
      <c r="H117">
        <v>7</v>
      </c>
      <c r="K117">
        <v>15</v>
      </c>
      <c r="L117">
        <v>11</v>
      </c>
      <c r="M117">
        <v>454054.05405405402</v>
      </c>
      <c r="N117">
        <v>1316216.2162162149</v>
      </c>
      <c r="O117">
        <v>8733603.6036036033</v>
      </c>
      <c r="P117">
        <v>9400331.5315315314</v>
      </c>
      <c r="Q117">
        <v>503603.60360360303</v>
      </c>
      <c r="R117">
        <v>1021891.891891891</v>
      </c>
      <c r="S117">
        <v>3219</v>
      </c>
      <c r="T117">
        <v>3090</v>
      </c>
    </row>
    <row r="118" spans="1:20" x14ac:dyDescent="0.35">
      <c r="A118" s="7" t="s">
        <v>206</v>
      </c>
      <c r="B118" s="12" t="s">
        <v>169</v>
      </c>
      <c r="C118">
        <v>100333894.21407096</v>
      </c>
      <c r="D118">
        <v>102611983.65284991</v>
      </c>
      <c r="E118">
        <v>308108.10810810799</v>
      </c>
      <c r="F118">
        <v>327027.02702702698</v>
      </c>
      <c r="G118">
        <v>4</v>
      </c>
      <c r="H118">
        <v>4</v>
      </c>
      <c r="K118">
        <v>4</v>
      </c>
      <c r="L118">
        <v>5</v>
      </c>
      <c r="M118">
        <v>430947747.74774778</v>
      </c>
      <c r="N118">
        <v>5732432.4324324327</v>
      </c>
      <c r="O118">
        <v>48951837.837837838</v>
      </c>
      <c r="P118">
        <v>48141108.108108103</v>
      </c>
      <c r="Q118">
        <v>435681376.57657659</v>
      </c>
      <c r="R118">
        <v>6336396.3963963958</v>
      </c>
      <c r="S118">
        <v>7987</v>
      </c>
      <c r="T118">
        <v>7990</v>
      </c>
    </row>
    <row r="119" spans="1:20" x14ac:dyDescent="0.35">
      <c r="A119" s="7" t="s">
        <v>207</v>
      </c>
      <c r="B119" s="12" t="s">
        <v>161</v>
      </c>
      <c r="C119">
        <v>111695437.67295222</v>
      </c>
      <c r="D119">
        <v>118655624.52329336</v>
      </c>
      <c r="E119">
        <v>19822436.936936937</v>
      </c>
      <c r="F119">
        <v>20521199.0990991</v>
      </c>
      <c r="G119">
        <v>22</v>
      </c>
      <c r="H119">
        <v>24</v>
      </c>
      <c r="K119">
        <v>28</v>
      </c>
      <c r="L119">
        <v>125</v>
      </c>
      <c r="M119">
        <v>16807117.117117103</v>
      </c>
      <c r="N119">
        <v>19012603.603603605</v>
      </c>
      <c r="O119">
        <v>31670981.981981982</v>
      </c>
      <c r="P119">
        <v>33234054.054054055</v>
      </c>
      <c r="Q119">
        <v>14066486.486486472</v>
      </c>
      <c r="R119">
        <v>10650900.9009009</v>
      </c>
      <c r="S119">
        <v>12394</v>
      </c>
      <c r="T119">
        <v>12062</v>
      </c>
    </row>
    <row r="120" spans="1:20" x14ac:dyDescent="0.35">
      <c r="A120" s="7" t="s">
        <v>208</v>
      </c>
      <c r="B120" s="12" t="s">
        <v>76</v>
      </c>
      <c r="C120">
        <v>4384284.5763321389</v>
      </c>
      <c r="D120">
        <v>3796217.9138867408</v>
      </c>
      <c r="O120">
        <v>311036.03603603598</v>
      </c>
      <c r="P120">
        <v>334099.099099099</v>
      </c>
      <c r="S120">
        <v>564</v>
      </c>
      <c r="T120">
        <v>505</v>
      </c>
    </row>
    <row r="121" spans="1:20" x14ac:dyDescent="0.35">
      <c r="A121" s="7" t="s">
        <v>209</v>
      </c>
      <c r="B121" s="12" t="s">
        <v>76</v>
      </c>
      <c r="C121">
        <v>55156461.193399921</v>
      </c>
      <c r="D121">
        <v>50077052.880262539</v>
      </c>
      <c r="E121">
        <v>810081.081081082</v>
      </c>
      <c r="F121">
        <v>924076.57657657901</v>
      </c>
      <c r="G121">
        <v>15</v>
      </c>
      <c r="H121">
        <v>20</v>
      </c>
      <c r="I121">
        <v>1</v>
      </c>
      <c r="K121">
        <v>22</v>
      </c>
      <c r="L121">
        <v>24</v>
      </c>
      <c r="M121">
        <v>4850810.8108108137</v>
      </c>
      <c r="N121">
        <v>6059189.18918919</v>
      </c>
      <c r="O121">
        <v>6678468.4684684686</v>
      </c>
      <c r="P121">
        <v>6893459.4594594594</v>
      </c>
      <c r="Q121">
        <v>4580000.0000000047</v>
      </c>
      <c r="R121">
        <v>5158468.4684684724</v>
      </c>
      <c r="S121">
        <v>4551</v>
      </c>
      <c r="T121">
        <v>4452</v>
      </c>
    </row>
    <row r="122" spans="1:20" x14ac:dyDescent="0.35">
      <c r="A122" s="7" t="s">
        <v>210</v>
      </c>
      <c r="B122" s="12" t="s">
        <v>76</v>
      </c>
      <c r="C122">
        <v>70046164.876810491</v>
      </c>
      <c r="D122">
        <v>63455622.293819681</v>
      </c>
      <c r="E122">
        <v>21945045.045045048</v>
      </c>
      <c r="F122">
        <v>774774.77477477805</v>
      </c>
      <c r="G122">
        <v>35</v>
      </c>
      <c r="H122">
        <v>26</v>
      </c>
      <c r="I122">
        <v>2</v>
      </c>
      <c r="K122">
        <v>42</v>
      </c>
      <c r="L122">
        <v>34</v>
      </c>
      <c r="M122">
        <v>18301801.801801801</v>
      </c>
      <c r="N122">
        <v>21017297.297297295</v>
      </c>
      <c r="O122">
        <v>19883594.59459459</v>
      </c>
      <c r="P122">
        <v>19562621.621621624</v>
      </c>
      <c r="Q122">
        <v>13838378.37837838</v>
      </c>
      <c r="R122">
        <v>17331081.081081085</v>
      </c>
      <c r="S122">
        <v>6881</v>
      </c>
      <c r="T122">
        <v>7016</v>
      </c>
    </row>
    <row r="123" spans="1:20" x14ac:dyDescent="0.35">
      <c r="A123" s="7" t="s">
        <v>211</v>
      </c>
      <c r="B123" s="12" t="s">
        <v>76</v>
      </c>
      <c r="C123">
        <v>46272320.974904187</v>
      </c>
      <c r="D123">
        <v>46161501.605705835</v>
      </c>
      <c r="E123">
        <v>473423.42342342401</v>
      </c>
      <c r="F123">
        <v>472747.74774775299</v>
      </c>
      <c r="G123">
        <v>13</v>
      </c>
      <c r="H123">
        <v>15</v>
      </c>
      <c r="K123">
        <v>17</v>
      </c>
      <c r="L123">
        <v>19</v>
      </c>
      <c r="M123">
        <v>2419369.3693693681</v>
      </c>
      <c r="N123">
        <v>3132432.432432435</v>
      </c>
      <c r="O123">
        <v>6483873.8738738727</v>
      </c>
      <c r="P123">
        <v>6045153.1531531522</v>
      </c>
      <c r="Q123">
        <v>3963783.7837837841</v>
      </c>
      <c r="R123">
        <v>2906486.486486488</v>
      </c>
      <c r="S123">
        <v>3943</v>
      </c>
      <c r="T123">
        <v>4775</v>
      </c>
    </row>
    <row r="124" spans="1:20" x14ac:dyDescent="0.35">
      <c r="A124" s="7" t="s">
        <v>212</v>
      </c>
      <c r="B124" s="12" t="s">
        <v>76</v>
      </c>
      <c r="C124">
        <v>17992198.135566749</v>
      </c>
      <c r="D124">
        <v>17478854.51669199</v>
      </c>
      <c r="E124">
        <v>2252.2522522519998</v>
      </c>
      <c r="G124">
        <v>3</v>
      </c>
      <c r="K124">
        <v>4</v>
      </c>
      <c r="M124">
        <v>272522.52252252301</v>
      </c>
      <c r="O124">
        <v>2449504.5045045051</v>
      </c>
      <c r="P124">
        <v>2660027.0270270272</v>
      </c>
      <c r="Q124">
        <v>139639.63963963999</v>
      </c>
      <c r="R124">
        <v>123873.87387387401</v>
      </c>
      <c r="S124">
        <v>1784</v>
      </c>
      <c r="T124">
        <v>2127</v>
      </c>
    </row>
    <row r="125" spans="1:20" x14ac:dyDescent="0.35">
      <c r="A125" s="7" t="s">
        <v>213</v>
      </c>
      <c r="B125" s="12" t="s">
        <v>214</v>
      </c>
      <c r="C125">
        <v>19715669.695613217</v>
      </c>
      <c r="D125">
        <v>24332247.385137573</v>
      </c>
      <c r="E125">
        <v>748198.19819819904</v>
      </c>
      <c r="F125">
        <v>187387.38738738699</v>
      </c>
      <c r="G125">
        <v>5</v>
      </c>
      <c r="H125">
        <v>14</v>
      </c>
      <c r="K125">
        <v>5</v>
      </c>
      <c r="L125">
        <v>16</v>
      </c>
      <c r="M125">
        <v>4648378.3783783801</v>
      </c>
      <c r="N125">
        <v>5330180.180180179</v>
      </c>
      <c r="O125">
        <v>9719279.2792792805</v>
      </c>
      <c r="P125">
        <v>11830414.414414413</v>
      </c>
      <c r="Q125">
        <v>3085675.6756756771</v>
      </c>
      <c r="R125">
        <v>3167747.7477477491</v>
      </c>
      <c r="S125">
        <v>2590</v>
      </c>
      <c r="T125">
        <v>2328</v>
      </c>
    </row>
    <row r="126" spans="1:20" x14ac:dyDescent="0.35">
      <c r="A126" s="7" t="s">
        <v>215</v>
      </c>
      <c r="B126" s="12" t="s">
        <v>167</v>
      </c>
      <c r="C126">
        <v>17762156.9962557</v>
      </c>
      <c r="D126">
        <v>25810458.48481195</v>
      </c>
      <c r="E126">
        <v>2027927.927927928</v>
      </c>
      <c r="G126">
        <v>1</v>
      </c>
      <c r="H126">
        <v>1</v>
      </c>
      <c r="K126">
        <v>1</v>
      </c>
      <c r="L126">
        <v>2</v>
      </c>
      <c r="M126">
        <v>27927.927927928002</v>
      </c>
      <c r="N126">
        <v>27027.027027027001</v>
      </c>
      <c r="O126">
        <v>3504639.6396396388</v>
      </c>
      <c r="P126">
        <v>5073603.6036036033</v>
      </c>
      <c r="S126">
        <v>1796</v>
      </c>
      <c r="T126">
        <v>1779</v>
      </c>
    </row>
    <row r="127" spans="1:20" x14ac:dyDescent="0.35">
      <c r="A127" s="7" t="s">
        <v>216</v>
      </c>
      <c r="B127" s="12" t="s">
        <v>85</v>
      </c>
      <c r="C127">
        <v>4790394.0515559884</v>
      </c>
      <c r="D127">
        <v>6095653.4266307568</v>
      </c>
      <c r="E127">
        <v>6306.3063063070003</v>
      </c>
      <c r="H127">
        <v>4</v>
      </c>
      <c r="L127">
        <v>4</v>
      </c>
      <c r="M127">
        <v>11105405.405405406</v>
      </c>
      <c r="N127">
        <v>990990.99099099101</v>
      </c>
      <c r="O127">
        <v>1190891.8918918921</v>
      </c>
      <c r="P127">
        <v>1944423.423423423</v>
      </c>
      <c r="Q127">
        <v>6259549.5495495489</v>
      </c>
      <c r="R127">
        <v>909729.72972973005</v>
      </c>
      <c r="S127">
        <v>634</v>
      </c>
      <c r="T127">
        <v>640</v>
      </c>
    </row>
    <row r="128" spans="1:20" x14ac:dyDescent="0.35">
      <c r="A128" s="7" t="s">
        <v>217</v>
      </c>
      <c r="B128" s="12" t="s">
        <v>85</v>
      </c>
      <c r="C128">
        <v>25416478.599798296</v>
      </c>
      <c r="D128">
        <v>23372412.657658126</v>
      </c>
      <c r="E128">
        <v>4504.5045045050001</v>
      </c>
      <c r="F128">
        <v>54054.054054054002</v>
      </c>
      <c r="G128">
        <v>12</v>
      </c>
      <c r="H128">
        <v>7</v>
      </c>
      <c r="K128">
        <v>15</v>
      </c>
      <c r="L128">
        <v>8</v>
      </c>
      <c r="M128">
        <v>1481981.981981982</v>
      </c>
      <c r="N128">
        <v>54054.054054054002</v>
      </c>
      <c r="O128">
        <v>4457342.3423423423</v>
      </c>
      <c r="P128">
        <v>4688153.1531531531</v>
      </c>
      <c r="Q128">
        <v>1472162.162162161</v>
      </c>
      <c r="R128">
        <v>846846.84684684698</v>
      </c>
      <c r="S128">
        <v>2472</v>
      </c>
      <c r="T128">
        <v>2416</v>
      </c>
    </row>
    <row r="129" spans="1:20" x14ac:dyDescent="0.35">
      <c r="A129" s="7" t="s">
        <v>218</v>
      </c>
      <c r="B129" s="12" t="s">
        <v>147</v>
      </c>
      <c r="C129">
        <v>24140868.890999261</v>
      </c>
      <c r="D129">
        <v>22076225.677796543</v>
      </c>
      <c r="E129">
        <v>1801.801801802</v>
      </c>
      <c r="F129">
        <v>1287387.3873873891</v>
      </c>
      <c r="G129">
        <v>7</v>
      </c>
      <c r="H129">
        <v>9</v>
      </c>
      <c r="K129">
        <v>7</v>
      </c>
      <c r="L129">
        <v>64</v>
      </c>
      <c r="M129">
        <v>452252.25225225202</v>
      </c>
      <c r="N129">
        <v>10542342.342342339</v>
      </c>
      <c r="O129">
        <v>6281333.333333334</v>
      </c>
      <c r="P129">
        <v>9250189.1891891882</v>
      </c>
      <c r="Q129">
        <v>1024144.144144144</v>
      </c>
      <c r="R129">
        <v>12181801.801801801</v>
      </c>
      <c r="S129">
        <v>2433</v>
      </c>
      <c r="T129">
        <v>2498</v>
      </c>
    </row>
    <row r="130" spans="1:20" x14ac:dyDescent="0.35">
      <c r="A130" s="7" t="s">
        <v>219</v>
      </c>
      <c r="B130" s="12" t="s">
        <v>220</v>
      </c>
      <c r="C130">
        <v>48278056.898878425</v>
      </c>
      <c r="D130">
        <v>45477985.801819474</v>
      </c>
      <c r="E130">
        <v>7146126.1261261264</v>
      </c>
      <c r="F130">
        <v>3933333.333333334</v>
      </c>
      <c r="G130">
        <v>10</v>
      </c>
      <c r="H130">
        <v>9</v>
      </c>
      <c r="K130">
        <v>11</v>
      </c>
      <c r="L130">
        <v>12</v>
      </c>
      <c r="M130">
        <v>38644684.684684671</v>
      </c>
      <c r="N130">
        <v>38243333.333333336</v>
      </c>
      <c r="O130">
        <v>11525378.378378378</v>
      </c>
      <c r="P130">
        <v>11658369.369369367</v>
      </c>
      <c r="Q130">
        <v>72813243.243243232</v>
      </c>
      <c r="R130">
        <v>38287477.477477483</v>
      </c>
      <c r="S130">
        <v>6460</v>
      </c>
      <c r="T130">
        <v>6242</v>
      </c>
    </row>
    <row r="131" spans="1:20" x14ac:dyDescent="0.35">
      <c r="A131" s="7" t="s">
        <v>221</v>
      </c>
      <c r="B131" s="12" t="s">
        <v>52</v>
      </c>
      <c r="C131">
        <v>113923402.37105946</v>
      </c>
      <c r="D131">
        <v>111854234.95324832</v>
      </c>
      <c r="E131">
        <v>558558.55855855905</v>
      </c>
      <c r="F131">
        <v>731531.53153153299</v>
      </c>
      <c r="G131">
        <v>24</v>
      </c>
      <c r="H131">
        <v>30</v>
      </c>
      <c r="K131">
        <v>32</v>
      </c>
      <c r="L131">
        <v>39</v>
      </c>
      <c r="M131">
        <v>3811531.531531529</v>
      </c>
      <c r="N131">
        <v>4227027.0270270277</v>
      </c>
      <c r="O131">
        <v>35172882.882882878</v>
      </c>
      <c r="P131">
        <v>36914594.59459459</v>
      </c>
      <c r="Q131">
        <v>4363243.2432432426</v>
      </c>
      <c r="R131">
        <v>12036576.576576577</v>
      </c>
      <c r="S131">
        <v>10635</v>
      </c>
      <c r="T131">
        <v>10388</v>
      </c>
    </row>
    <row r="132" spans="1:20" x14ac:dyDescent="0.35">
      <c r="A132" s="7" t="s">
        <v>222</v>
      </c>
      <c r="B132" s="12" t="s">
        <v>76</v>
      </c>
      <c r="C132">
        <v>87943879.752798676</v>
      </c>
      <c r="D132">
        <v>81449400.846687034</v>
      </c>
      <c r="E132">
        <v>43783.783783783998</v>
      </c>
      <c r="F132">
        <v>217117.11711711899</v>
      </c>
      <c r="G132">
        <v>22</v>
      </c>
      <c r="H132">
        <v>20</v>
      </c>
      <c r="K132">
        <v>26</v>
      </c>
      <c r="L132">
        <v>22</v>
      </c>
      <c r="M132">
        <v>5769009.0090090083</v>
      </c>
      <c r="N132">
        <v>5544144.144144143</v>
      </c>
      <c r="O132">
        <v>15775619.819819819</v>
      </c>
      <c r="P132">
        <v>16862810.810810812</v>
      </c>
      <c r="Q132">
        <v>5837297.2972972961</v>
      </c>
      <c r="R132">
        <v>5400270.2702702722</v>
      </c>
      <c r="S132">
        <v>7198</v>
      </c>
      <c r="T132">
        <v>9019</v>
      </c>
    </row>
    <row r="133" spans="1:20" x14ac:dyDescent="0.35">
      <c r="A133" s="7" t="s">
        <v>223</v>
      </c>
      <c r="B133" s="12" t="s">
        <v>224</v>
      </c>
      <c r="C133">
        <v>7886332.6287487503</v>
      </c>
      <c r="D133">
        <v>7243810.2152406322</v>
      </c>
      <c r="G133">
        <v>1</v>
      </c>
      <c r="K133">
        <v>2</v>
      </c>
      <c r="O133">
        <v>1635045.045045045</v>
      </c>
      <c r="P133">
        <v>1456396.396396396</v>
      </c>
      <c r="Q133">
        <v>111261.261261261</v>
      </c>
      <c r="R133">
        <v>159279.279279279</v>
      </c>
      <c r="S133">
        <v>831</v>
      </c>
      <c r="T133">
        <v>815</v>
      </c>
    </row>
    <row r="134" spans="1:20" x14ac:dyDescent="0.35">
      <c r="A134" s="7" t="s">
        <v>225</v>
      </c>
      <c r="B134" s="12" t="s">
        <v>143</v>
      </c>
      <c r="C134">
        <v>78835099.258223936</v>
      </c>
      <c r="D134">
        <v>68443714.369047001</v>
      </c>
      <c r="E134">
        <v>4504.5045045050001</v>
      </c>
      <c r="F134">
        <v>892792.79279279802</v>
      </c>
      <c r="G134">
        <v>13</v>
      </c>
      <c r="H134">
        <v>15</v>
      </c>
      <c r="K134">
        <v>17</v>
      </c>
      <c r="L134">
        <v>20</v>
      </c>
      <c r="M134">
        <v>3328828.8288288289</v>
      </c>
      <c r="N134">
        <v>4509009.009009012</v>
      </c>
      <c r="O134">
        <v>8229180.180180178</v>
      </c>
      <c r="P134">
        <v>8526153.1531531531</v>
      </c>
      <c r="Q134">
        <v>2072882.882882881</v>
      </c>
      <c r="R134">
        <v>2408648.6486486481</v>
      </c>
      <c r="S134">
        <v>6103</v>
      </c>
      <c r="T134">
        <v>6037</v>
      </c>
    </row>
    <row r="135" spans="1:20" x14ac:dyDescent="0.35">
      <c r="A135" s="7" t="s">
        <v>226</v>
      </c>
      <c r="B135" s="12" t="s">
        <v>224</v>
      </c>
      <c r="C135">
        <v>8404158.8735251445</v>
      </c>
      <c r="D135">
        <v>6955868.7200414399</v>
      </c>
      <c r="F135">
        <v>40540.540540542002</v>
      </c>
      <c r="G135">
        <v>2</v>
      </c>
      <c r="H135">
        <v>4</v>
      </c>
      <c r="K135">
        <v>2</v>
      </c>
      <c r="L135">
        <v>4</v>
      </c>
      <c r="M135">
        <v>889009.00900900795</v>
      </c>
      <c r="N135">
        <v>40540.540540542002</v>
      </c>
      <c r="O135">
        <v>1696666.666666667</v>
      </c>
      <c r="P135">
        <v>1904405.405405405</v>
      </c>
      <c r="Q135">
        <v>765855.855855854</v>
      </c>
      <c r="R135">
        <v>315315.31531531498</v>
      </c>
      <c r="S135">
        <v>761</v>
      </c>
      <c r="T135">
        <v>739</v>
      </c>
    </row>
    <row r="136" spans="1:20" x14ac:dyDescent="0.35">
      <c r="A136" s="7" t="s">
        <v>227</v>
      </c>
      <c r="B136" s="12" t="s">
        <v>78</v>
      </c>
      <c r="C136">
        <v>69535174.52634424</v>
      </c>
      <c r="D136">
        <v>64919161.422599502</v>
      </c>
      <c r="E136">
        <v>53153.153153154999</v>
      </c>
      <c r="F136">
        <v>766666.66666666802</v>
      </c>
      <c r="G136">
        <v>14</v>
      </c>
      <c r="H136">
        <v>8</v>
      </c>
      <c r="K136">
        <v>16</v>
      </c>
      <c r="L136">
        <v>10</v>
      </c>
      <c r="M136">
        <v>4539639.6396396393</v>
      </c>
      <c r="N136">
        <v>7748648.6486486467</v>
      </c>
      <c r="O136">
        <v>25888963.963963963</v>
      </c>
      <c r="P136">
        <v>23871486.486486487</v>
      </c>
      <c r="Q136">
        <v>3671351.3513513519</v>
      </c>
      <c r="R136">
        <v>8667747.7477477454</v>
      </c>
      <c r="S136">
        <v>5062</v>
      </c>
      <c r="T136">
        <v>4179</v>
      </c>
    </row>
    <row r="137" spans="1:20" x14ac:dyDescent="0.35">
      <c r="A137" s="7" t="s">
        <v>228</v>
      </c>
      <c r="B137" s="12" t="s">
        <v>136</v>
      </c>
      <c r="C137">
        <v>94934368.568704605</v>
      </c>
      <c r="D137">
        <v>86057264.915664732</v>
      </c>
      <c r="E137">
        <v>374324.32432432502</v>
      </c>
      <c r="F137">
        <v>304054.05405405798</v>
      </c>
      <c r="G137">
        <v>13</v>
      </c>
      <c r="H137">
        <v>11</v>
      </c>
      <c r="K137">
        <v>17</v>
      </c>
      <c r="L137">
        <v>16</v>
      </c>
      <c r="M137">
        <v>18022972.972972967</v>
      </c>
      <c r="N137">
        <v>11476576.576576576</v>
      </c>
      <c r="O137">
        <v>17251340.540540539</v>
      </c>
      <c r="P137">
        <v>17664252.252252251</v>
      </c>
      <c r="Q137">
        <v>14393513.513513513</v>
      </c>
      <c r="R137">
        <v>6644234.2342342352</v>
      </c>
      <c r="S137">
        <v>7519</v>
      </c>
      <c r="T137">
        <v>7521</v>
      </c>
    </row>
    <row r="138" spans="1:20" x14ac:dyDescent="0.35">
      <c r="A138" s="7" t="s">
        <v>229</v>
      </c>
      <c r="B138" s="12" t="s">
        <v>78</v>
      </c>
      <c r="C138">
        <v>24247611.617213212</v>
      </c>
      <c r="D138">
        <v>25550647.061609954</v>
      </c>
      <c r="E138">
        <v>304054.05405405402</v>
      </c>
      <c r="F138">
        <v>268468.46846846899</v>
      </c>
      <c r="G138">
        <v>2</v>
      </c>
      <c r="H138">
        <v>6</v>
      </c>
      <c r="K138">
        <v>3</v>
      </c>
      <c r="L138">
        <v>9</v>
      </c>
      <c r="M138">
        <v>5619369.369369369</v>
      </c>
      <c r="N138">
        <v>1169369.369369369</v>
      </c>
      <c r="O138">
        <v>10607162.162162162</v>
      </c>
      <c r="P138">
        <v>10807468.468468469</v>
      </c>
      <c r="Q138">
        <v>4406936.9369369363</v>
      </c>
      <c r="R138">
        <v>3570270.2702702712</v>
      </c>
      <c r="S138">
        <v>2545</v>
      </c>
      <c r="T138">
        <v>2587</v>
      </c>
    </row>
    <row r="139" spans="1:20" x14ac:dyDescent="0.35">
      <c r="A139" s="7" t="s">
        <v>230</v>
      </c>
      <c r="B139" s="12" t="s">
        <v>54</v>
      </c>
      <c r="C139">
        <v>74055845.529552683</v>
      </c>
      <c r="D139">
        <v>70759284.845400989</v>
      </c>
      <c r="F139">
        <v>95495.495495495998</v>
      </c>
      <c r="G139">
        <v>4</v>
      </c>
      <c r="H139">
        <v>9</v>
      </c>
      <c r="K139">
        <v>7</v>
      </c>
      <c r="L139">
        <v>9</v>
      </c>
      <c r="M139">
        <v>909909.90990990901</v>
      </c>
      <c r="N139">
        <v>14784684.684684686</v>
      </c>
      <c r="O139">
        <v>16543468.468468469</v>
      </c>
      <c r="P139">
        <v>17696558.558558561</v>
      </c>
      <c r="Q139">
        <v>2169189.1891891882</v>
      </c>
      <c r="R139">
        <v>18170990.990990993</v>
      </c>
      <c r="S139">
        <v>6685</v>
      </c>
      <c r="T139">
        <v>6882</v>
      </c>
    </row>
    <row r="140" spans="1:20" x14ac:dyDescent="0.35">
      <c r="A140" s="7" t="s">
        <v>231</v>
      </c>
      <c r="B140" s="12" t="s">
        <v>78</v>
      </c>
      <c r="C140">
        <v>28375593.980531152</v>
      </c>
      <c r="D140">
        <v>26032767.033423498</v>
      </c>
      <c r="E140">
        <v>75675.675675676001</v>
      </c>
      <c r="F140">
        <v>477477.47747747903</v>
      </c>
      <c r="G140">
        <v>12</v>
      </c>
      <c r="H140">
        <v>7</v>
      </c>
      <c r="K140">
        <v>13</v>
      </c>
      <c r="L140">
        <v>10</v>
      </c>
      <c r="M140">
        <v>7868468.4684684677</v>
      </c>
      <c r="N140">
        <v>3630630.6306306319</v>
      </c>
      <c r="O140">
        <v>11716486.486486485</v>
      </c>
      <c r="P140">
        <v>12173108.108108109</v>
      </c>
      <c r="Q140">
        <v>7984864.8648648635</v>
      </c>
      <c r="R140">
        <v>5662342.3423423423</v>
      </c>
      <c r="S140">
        <v>4080</v>
      </c>
      <c r="T140">
        <v>3685</v>
      </c>
    </row>
    <row r="141" spans="1:20" x14ac:dyDescent="0.35">
      <c r="A141" s="7" t="s">
        <v>232</v>
      </c>
      <c r="B141" s="12" t="s">
        <v>60</v>
      </c>
      <c r="C141">
        <v>25348073.303057238</v>
      </c>
      <c r="D141">
        <v>25104697.214313231</v>
      </c>
      <c r="G141">
        <v>5</v>
      </c>
      <c r="H141">
        <v>4</v>
      </c>
      <c r="K141">
        <v>6</v>
      </c>
      <c r="L141">
        <v>4</v>
      </c>
      <c r="O141">
        <v>9409279.2792792805</v>
      </c>
      <c r="P141">
        <v>10201225.225225225</v>
      </c>
      <c r="S141">
        <v>1921</v>
      </c>
      <c r="T141">
        <v>1893</v>
      </c>
    </row>
    <row r="142" spans="1:20" x14ac:dyDescent="0.35">
      <c r="A142" s="7" t="s">
        <v>233</v>
      </c>
      <c r="B142" s="12" t="s">
        <v>54</v>
      </c>
      <c r="C142">
        <v>12477118.792269224</v>
      </c>
      <c r="D142">
        <v>11544675.033058876</v>
      </c>
      <c r="E142">
        <v>9909.9099099100004</v>
      </c>
      <c r="F142">
        <v>15315.315315316</v>
      </c>
      <c r="G142">
        <v>2</v>
      </c>
      <c r="H142">
        <v>2</v>
      </c>
      <c r="K142">
        <v>14</v>
      </c>
      <c r="L142">
        <v>3</v>
      </c>
      <c r="M142">
        <v>145045.045045045</v>
      </c>
      <c r="N142">
        <v>648468.46846846805</v>
      </c>
      <c r="O142">
        <v>2418693.6936936942</v>
      </c>
      <c r="P142">
        <v>2261270.2702702698</v>
      </c>
      <c r="Q142">
        <v>1120000</v>
      </c>
      <c r="R142">
        <v>533423.42342342401</v>
      </c>
      <c r="S142">
        <v>1087</v>
      </c>
      <c r="T142">
        <v>1094</v>
      </c>
    </row>
    <row r="143" spans="1:20" x14ac:dyDescent="0.35">
      <c r="A143" s="7" t="s">
        <v>234</v>
      </c>
      <c r="B143" s="12" t="s">
        <v>167</v>
      </c>
      <c r="C143">
        <v>55027968.553407729</v>
      </c>
      <c r="D143">
        <v>50946599.2080855</v>
      </c>
      <c r="E143">
        <v>1801.801801802</v>
      </c>
      <c r="F143">
        <v>270270.27027027</v>
      </c>
      <c r="G143">
        <v>2</v>
      </c>
      <c r="H143">
        <v>2</v>
      </c>
      <c r="K143">
        <v>3</v>
      </c>
      <c r="L143">
        <v>7</v>
      </c>
      <c r="M143">
        <v>4524684.6846846873</v>
      </c>
      <c r="N143">
        <v>2126126.1261261278</v>
      </c>
      <c r="O143">
        <v>15219009.009009007</v>
      </c>
      <c r="P143">
        <v>13626450.450450452</v>
      </c>
      <c r="Q143">
        <v>2801891.8918918939</v>
      </c>
      <c r="R143">
        <v>2357027.0270270258</v>
      </c>
      <c r="S143">
        <v>4953</v>
      </c>
      <c r="T143">
        <v>4977</v>
      </c>
    </row>
    <row r="144" spans="1:20" x14ac:dyDescent="0.35">
      <c r="A144" s="7" t="s">
        <v>235</v>
      </c>
      <c r="B144" s="12" t="s">
        <v>236</v>
      </c>
      <c r="C144">
        <v>6185.8395973879997</v>
      </c>
      <c r="D144">
        <v>40.760776305999997</v>
      </c>
      <c r="E144">
        <v>20438424.324324325</v>
      </c>
      <c r="F144">
        <v>2834313.5135135138</v>
      </c>
      <c r="M144">
        <v>17512162.162162162</v>
      </c>
      <c r="N144">
        <v>20045045.045045044</v>
      </c>
      <c r="S144">
        <v>64</v>
      </c>
      <c r="T144">
        <v>54</v>
      </c>
    </row>
    <row r="145" spans="1:20" x14ac:dyDescent="0.35">
      <c r="A145" s="7" t="s">
        <v>237</v>
      </c>
      <c r="B145" s="12" t="s">
        <v>105</v>
      </c>
      <c r="C145">
        <v>31899532.185408633</v>
      </c>
      <c r="D145">
        <v>30462986.934389573</v>
      </c>
      <c r="E145">
        <v>94504.504504505006</v>
      </c>
      <c r="F145">
        <v>40540.540540540002</v>
      </c>
      <c r="G145">
        <v>3</v>
      </c>
      <c r="H145">
        <v>5</v>
      </c>
      <c r="K145">
        <v>3</v>
      </c>
      <c r="L145">
        <v>7</v>
      </c>
      <c r="M145">
        <v>3879009.0090090078</v>
      </c>
      <c r="N145">
        <v>3644144.144144143</v>
      </c>
      <c r="O145">
        <v>9217063.0630630627</v>
      </c>
      <c r="P145">
        <v>7527846.8468468469</v>
      </c>
      <c r="Q145">
        <v>3399819.8198198201</v>
      </c>
      <c r="R145">
        <v>2309639.6396396402</v>
      </c>
      <c r="S145">
        <v>2009</v>
      </c>
      <c r="T145">
        <v>1894</v>
      </c>
    </row>
    <row r="146" spans="1:20" x14ac:dyDescent="0.35">
      <c r="A146" s="7" t="s">
        <v>3</v>
      </c>
      <c r="B146" s="12" t="s">
        <v>158</v>
      </c>
      <c r="C146">
        <v>63866747.335801609</v>
      </c>
      <c r="D146">
        <v>60931888.051592179</v>
      </c>
      <c r="E146">
        <v>481531.53153153398</v>
      </c>
      <c r="F146">
        <v>768468.46846847003</v>
      </c>
      <c r="G146">
        <v>5</v>
      </c>
      <c r="H146">
        <v>3</v>
      </c>
      <c r="K146">
        <v>6</v>
      </c>
      <c r="L146">
        <v>5</v>
      </c>
      <c r="M146">
        <v>13121171.171171173</v>
      </c>
      <c r="N146">
        <v>7125225.225225226</v>
      </c>
      <c r="O146">
        <v>15134009.009009007</v>
      </c>
      <c r="P146">
        <v>16757819.819819819</v>
      </c>
      <c r="Q146">
        <v>11586216.21621622</v>
      </c>
      <c r="R146">
        <v>4798828.8288288284</v>
      </c>
      <c r="S146">
        <v>3703</v>
      </c>
      <c r="T146">
        <v>3601</v>
      </c>
    </row>
    <row r="147" spans="1:20" x14ac:dyDescent="0.35">
      <c r="A147" s="7" t="s">
        <v>238</v>
      </c>
      <c r="B147" s="12" t="s">
        <v>178</v>
      </c>
      <c r="C147">
        <v>53808793.710163273</v>
      </c>
      <c r="D147">
        <v>51011317.407158934</v>
      </c>
      <c r="E147">
        <v>5405.4054054059998</v>
      </c>
      <c r="F147">
        <v>219819.81981982099</v>
      </c>
      <c r="G147">
        <v>8</v>
      </c>
      <c r="H147">
        <v>14</v>
      </c>
      <c r="K147">
        <v>12</v>
      </c>
      <c r="L147">
        <v>18</v>
      </c>
      <c r="M147">
        <v>5163063.0630630637</v>
      </c>
      <c r="N147">
        <v>8643243.2432432454</v>
      </c>
      <c r="O147">
        <v>17268873.873873871</v>
      </c>
      <c r="P147">
        <v>15756567.567567568</v>
      </c>
      <c r="Q147">
        <v>3928558.558558559</v>
      </c>
      <c r="R147">
        <v>5145135.1351351347</v>
      </c>
      <c r="S147">
        <v>5388</v>
      </c>
      <c r="T147">
        <v>5049</v>
      </c>
    </row>
    <row r="148" spans="1:20" x14ac:dyDescent="0.35">
      <c r="A148" s="7" t="s">
        <v>239</v>
      </c>
      <c r="B148" s="12" t="s">
        <v>54</v>
      </c>
      <c r="C148">
        <v>38461037.047261626</v>
      </c>
      <c r="D148">
        <v>35452886.583848946</v>
      </c>
      <c r="E148">
        <v>341981.98198198201</v>
      </c>
      <c r="F148">
        <v>1009009.00900901</v>
      </c>
      <c r="G148">
        <v>3</v>
      </c>
      <c r="H148">
        <v>4</v>
      </c>
      <c r="K148">
        <v>6</v>
      </c>
      <c r="L148">
        <v>4</v>
      </c>
      <c r="M148">
        <v>2910450.4504504502</v>
      </c>
      <c r="N148">
        <v>4658018.0180180203</v>
      </c>
      <c r="O148">
        <v>10040358.558558561</v>
      </c>
      <c r="P148">
        <v>8911414.4144144151</v>
      </c>
      <c r="Q148">
        <v>4154367.5675675692</v>
      </c>
      <c r="R148">
        <v>3663243.2432432431</v>
      </c>
      <c r="S148">
        <v>3502</v>
      </c>
      <c r="T148">
        <v>4076</v>
      </c>
    </row>
    <row r="149" spans="1:20" x14ac:dyDescent="0.35">
      <c r="A149" s="7" t="s">
        <v>240</v>
      </c>
      <c r="B149" s="12" t="s">
        <v>241</v>
      </c>
      <c r="C149">
        <v>32983403.97915113</v>
      </c>
      <c r="D149">
        <v>30163745.695992604</v>
      </c>
      <c r="E149">
        <v>53153.153153152998</v>
      </c>
      <c r="F149">
        <v>173873.873873876</v>
      </c>
      <c r="G149">
        <v>18</v>
      </c>
      <c r="H149">
        <v>8</v>
      </c>
      <c r="K149">
        <v>22</v>
      </c>
      <c r="L149">
        <v>14</v>
      </c>
      <c r="M149">
        <v>2499459.4594594622</v>
      </c>
      <c r="N149">
        <v>3845225.225225227</v>
      </c>
      <c r="O149">
        <v>8062252.2522522518</v>
      </c>
      <c r="P149">
        <v>6648881.0810810812</v>
      </c>
      <c r="Q149">
        <v>14025585.585585589</v>
      </c>
      <c r="R149">
        <v>2568468.4684684691</v>
      </c>
      <c r="S149">
        <v>2745</v>
      </c>
      <c r="T149">
        <v>2740</v>
      </c>
    </row>
    <row r="150" spans="1:20" x14ac:dyDescent="0.35">
      <c r="A150" s="7" t="s">
        <v>242</v>
      </c>
      <c r="B150" s="12" t="s">
        <v>241</v>
      </c>
      <c r="C150">
        <v>82731153.107675493</v>
      </c>
      <c r="D150">
        <v>79341582.716685519</v>
      </c>
      <c r="E150">
        <v>72072.072072073002</v>
      </c>
      <c r="F150">
        <v>597297.29729729902</v>
      </c>
      <c r="G150">
        <v>30</v>
      </c>
      <c r="H150">
        <v>25</v>
      </c>
      <c r="K150">
        <v>38</v>
      </c>
      <c r="L150">
        <v>30</v>
      </c>
      <c r="M150">
        <v>15087387.387387384</v>
      </c>
      <c r="N150">
        <v>11218288.288288292</v>
      </c>
      <c r="O150">
        <v>24629585.585585583</v>
      </c>
      <c r="P150">
        <v>23351396.396396391</v>
      </c>
      <c r="Q150">
        <v>10945585.585585585</v>
      </c>
      <c r="R150">
        <v>13404774.774774777</v>
      </c>
      <c r="S150">
        <v>6817</v>
      </c>
      <c r="T150">
        <v>7184</v>
      </c>
    </row>
    <row r="151" spans="1:20" x14ac:dyDescent="0.35">
      <c r="A151" s="7" t="s">
        <v>243</v>
      </c>
      <c r="B151" s="12" t="s">
        <v>50</v>
      </c>
      <c r="C151">
        <v>16458504.982066711</v>
      </c>
      <c r="D151">
        <v>13607750.180081531</v>
      </c>
      <c r="E151">
        <v>968018.01801801904</v>
      </c>
      <c r="F151">
        <v>302702.70270270301</v>
      </c>
      <c r="G151">
        <v>4</v>
      </c>
      <c r="H151">
        <v>1</v>
      </c>
      <c r="K151">
        <v>4</v>
      </c>
      <c r="L151">
        <v>1</v>
      </c>
      <c r="M151">
        <v>2031081.0810810809</v>
      </c>
      <c r="N151">
        <v>1059459.4594594589</v>
      </c>
      <c r="O151">
        <v>5359774.7747747749</v>
      </c>
      <c r="P151">
        <v>3839990.9909909908</v>
      </c>
      <c r="Q151">
        <v>1610540.5405405411</v>
      </c>
      <c r="R151">
        <v>1011081.08108108</v>
      </c>
      <c r="S151">
        <v>1183</v>
      </c>
      <c r="T151">
        <v>831</v>
      </c>
    </row>
    <row r="152" spans="1:20" x14ac:dyDescent="0.35">
      <c r="A152" s="7" t="s">
        <v>244</v>
      </c>
      <c r="B152" s="12" t="s">
        <v>181</v>
      </c>
      <c r="C152">
        <v>456937792.24835771</v>
      </c>
      <c r="D152">
        <v>415324971.18696058</v>
      </c>
      <c r="E152">
        <v>98326846.846846849</v>
      </c>
      <c r="F152">
        <v>75308534.234234244</v>
      </c>
      <c r="G152">
        <v>144</v>
      </c>
      <c r="H152">
        <v>120</v>
      </c>
      <c r="I152">
        <v>5</v>
      </c>
      <c r="K152">
        <v>193</v>
      </c>
      <c r="L152">
        <v>192</v>
      </c>
      <c r="M152">
        <v>51429279.279279262</v>
      </c>
      <c r="N152">
        <v>47238828.828828827</v>
      </c>
      <c r="O152">
        <v>90027378.378378391</v>
      </c>
      <c r="P152">
        <v>94948594.594594598</v>
      </c>
      <c r="Q152">
        <v>43837657.657657646</v>
      </c>
      <c r="R152">
        <v>47854234.234234229</v>
      </c>
      <c r="S152">
        <v>43477</v>
      </c>
      <c r="T152">
        <v>42802</v>
      </c>
    </row>
    <row r="153" spans="1:20" x14ac:dyDescent="0.35">
      <c r="A153" s="7" t="s">
        <v>245</v>
      </c>
      <c r="B153" s="12" t="s">
        <v>48</v>
      </c>
      <c r="C153">
        <v>21711441.756689966</v>
      </c>
      <c r="D153">
        <v>19746302.35605213</v>
      </c>
      <c r="F153">
        <v>18243.243243243</v>
      </c>
      <c r="G153">
        <v>3</v>
      </c>
      <c r="K153">
        <v>3</v>
      </c>
      <c r="L153">
        <v>1</v>
      </c>
      <c r="M153">
        <v>3375855.855855858</v>
      </c>
      <c r="N153">
        <v>515315.31531531498</v>
      </c>
      <c r="O153">
        <v>5239324.3243243238</v>
      </c>
      <c r="P153">
        <v>4170531.5315315318</v>
      </c>
      <c r="Q153">
        <v>2833423.4234234248</v>
      </c>
      <c r="R153">
        <v>1011981.981981982</v>
      </c>
      <c r="S153">
        <v>1796</v>
      </c>
      <c r="T153">
        <v>1766</v>
      </c>
    </row>
    <row r="154" spans="1:20" x14ac:dyDescent="0.35">
      <c r="A154" s="7" t="s">
        <v>246</v>
      </c>
      <c r="B154" s="12" t="s">
        <v>94</v>
      </c>
      <c r="C154">
        <v>8663080.600864185</v>
      </c>
      <c r="D154">
        <v>4721598.069136017</v>
      </c>
      <c r="G154">
        <v>1</v>
      </c>
      <c r="K154">
        <v>1</v>
      </c>
      <c r="O154">
        <v>1374657.657657658</v>
      </c>
      <c r="P154">
        <v>947423.42342342297</v>
      </c>
      <c r="S154">
        <v>690</v>
      </c>
      <c r="T154">
        <v>659</v>
      </c>
    </row>
    <row r="155" spans="1:20" x14ac:dyDescent="0.35">
      <c r="A155" s="7" t="s">
        <v>247</v>
      </c>
      <c r="B155" s="12" t="s">
        <v>117</v>
      </c>
      <c r="C155">
        <v>17314050.2640757</v>
      </c>
      <c r="D155">
        <v>16719832.493926955</v>
      </c>
      <c r="E155">
        <v>1244774.774774777</v>
      </c>
      <c r="F155">
        <v>416963.06306306401</v>
      </c>
      <c r="G155">
        <v>2</v>
      </c>
      <c r="H155">
        <v>2</v>
      </c>
      <c r="K155">
        <v>12</v>
      </c>
      <c r="L155">
        <v>3</v>
      </c>
      <c r="M155">
        <v>5410810.8108108072</v>
      </c>
      <c r="N155">
        <v>690090.09009008994</v>
      </c>
      <c r="O155">
        <v>8031711.7117117122</v>
      </c>
      <c r="P155">
        <v>9182954.9549549539</v>
      </c>
      <c r="Q155">
        <v>3509099.0990990978</v>
      </c>
      <c r="R155">
        <v>1893513.5135135141</v>
      </c>
      <c r="S155">
        <v>1606</v>
      </c>
      <c r="T155">
        <v>2165</v>
      </c>
    </row>
    <row r="156" spans="1:20" x14ac:dyDescent="0.35">
      <c r="A156" s="7" t="s">
        <v>248</v>
      </c>
      <c r="B156" s="12" t="s">
        <v>121</v>
      </c>
      <c r="C156">
        <v>31810463.653832905</v>
      </c>
      <c r="D156">
        <v>30717980.584806371</v>
      </c>
      <c r="E156">
        <v>1801.801801802</v>
      </c>
      <c r="F156">
        <v>404504.50450450502</v>
      </c>
      <c r="G156">
        <v>9</v>
      </c>
      <c r="H156">
        <v>20</v>
      </c>
      <c r="K156">
        <v>12</v>
      </c>
      <c r="L156">
        <v>25</v>
      </c>
      <c r="M156">
        <v>1801.801801802</v>
      </c>
      <c r="N156">
        <v>3135135.1351351351</v>
      </c>
      <c r="O156">
        <v>3137963.963963964</v>
      </c>
      <c r="P156">
        <v>3352018.0180180189</v>
      </c>
      <c r="Q156">
        <v>775135.13513513503</v>
      </c>
      <c r="R156">
        <v>633873.87387387396</v>
      </c>
      <c r="S156">
        <v>2368</v>
      </c>
      <c r="T156">
        <v>2337</v>
      </c>
    </row>
    <row r="157" spans="1:20" x14ac:dyDescent="0.35">
      <c r="A157" s="7" t="s">
        <v>249</v>
      </c>
      <c r="B157" s="12" t="s">
        <v>76</v>
      </c>
      <c r="C157">
        <v>13569834.891566508</v>
      </c>
      <c r="D157">
        <v>12373389.537528904</v>
      </c>
      <c r="G157">
        <v>2</v>
      </c>
      <c r="H157">
        <v>1</v>
      </c>
      <c r="K157">
        <v>2</v>
      </c>
      <c r="L157">
        <v>3</v>
      </c>
      <c r="O157">
        <v>1556378.378378378</v>
      </c>
      <c r="P157">
        <v>1215225.2252252251</v>
      </c>
      <c r="S157">
        <v>1671</v>
      </c>
      <c r="T157">
        <v>1587</v>
      </c>
    </row>
    <row r="158" spans="1:20" x14ac:dyDescent="0.35">
      <c r="A158" s="7" t="s">
        <v>250</v>
      </c>
      <c r="B158" s="12" t="s">
        <v>167</v>
      </c>
      <c r="C158">
        <v>41581677.508826271</v>
      </c>
      <c r="D158">
        <v>39998634.275039233</v>
      </c>
      <c r="G158">
        <v>1</v>
      </c>
      <c r="H158">
        <v>5</v>
      </c>
      <c r="K158">
        <v>1</v>
      </c>
      <c r="L158">
        <v>33</v>
      </c>
      <c r="M158">
        <v>688288.28828829003</v>
      </c>
      <c r="N158">
        <v>27027.027027028002</v>
      </c>
      <c r="O158">
        <v>7167972.9729729732</v>
      </c>
      <c r="P158">
        <v>8035333.333333334</v>
      </c>
      <c r="Q158">
        <v>446666.66666666802</v>
      </c>
      <c r="R158">
        <v>346936.93693693797</v>
      </c>
      <c r="S158">
        <v>3749</v>
      </c>
      <c r="T158">
        <v>3609</v>
      </c>
    </row>
    <row r="159" spans="1:20" x14ac:dyDescent="0.35">
      <c r="A159" s="7" t="s">
        <v>251</v>
      </c>
      <c r="B159" s="12" t="s">
        <v>89</v>
      </c>
      <c r="C159">
        <v>128985500.00844429</v>
      </c>
      <c r="D159">
        <v>129111247.52858792</v>
      </c>
      <c r="E159">
        <v>25701711.711711712</v>
      </c>
      <c r="F159">
        <v>124172072.07207207</v>
      </c>
      <c r="G159">
        <v>12</v>
      </c>
      <c r="H159">
        <v>15</v>
      </c>
      <c r="K159">
        <v>17</v>
      </c>
      <c r="L159">
        <v>19</v>
      </c>
      <c r="M159">
        <v>10060630.630630627</v>
      </c>
      <c r="N159">
        <v>11558558.558558557</v>
      </c>
      <c r="O159">
        <v>29730942.342342343</v>
      </c>
      <c r="P159">
        <v>31522693.693693694</v>
      </c>
      <c r="Q159">
        <v>10417387.387387387</v>
      </c>
      <c r="R159">
        <v>9590450.450450452</v>
      </c>
      <c r="S159">
        <v>10151</v>
      </c>
      <c r="T159">
        <v>10591</v>
      </c>
    </row>
    <row r="160" spans="1:20" x14ac:dyDescent="0.35">
      <c r="A160" s="7" t="s">
        <v>252</v>
      </c>
      <c r="B160" s="12" t="s">
        <v>78</v>
      </c>
      <c r="C160">
        <v>37794892.450783387</v>
      </c>
      <c r="D160">
        <v>35628476.452272199</v>
      </c>
      <c r="E160">
        <v>251351.35135135101</v>
      </c>
      <c r="F160">
        <v>378378.37837837799</v>
      </c>
      <c r="G160">
        <v>6</v>
      </c>
      <c r="H160">
        <v>3</v>
      </c>
      <c r="K160">
        <v>6</v>
      </c>
      <c r="L160">
        <v>3</v>
      </c>
      <c r="M160">
        <v>6116216.216216214</v>
      </c>
      <c r="N160">
        <v>5693693.6936936909</v>
      </c>
      <c r="O160">
        <v>10572612.612612614</v>
      </c>
      <c r="P160">
        <v>10105765.765765764</v>
      </c>
      <c r="Q160">
        <v>6251081.0810810821</v>
      </c>
      <c r="R160">
        <v>7077117.1171171172</v>
      </c>
      <c r="S160">
        <v>3045</v>
      </c>
      <c r="T160">
        <v>3715</v>
      </c>
    </row>
    <row r="161" spans="1:20" x14ac:dyDescent="0.35">
      <c r="A161" s="7" t="s">
        <v>253</v>
      </c>
      <c r="B161" s="12" t="s">
        <v>105</v>
      </c>
      <c r="C161">
        <v>69695011.886175364</v>
      </c>
      <c r="D161">
        <v>70057221.824281141</v>
      </c>
      <c r="E161">
        <v>686317.11711711902</v>
      </c>
      <c r="F161">
        <v>833382.88288288598</v>
      </c>
      <c r="G161">
        <v>16</v>
      </c>
      <c r="H161">
        <v>17</v>
      </c>
      <c r="I161">
        <v>1</v>
      </c>
      <c r="K161">
        <v>19</v>
      </c>
      <c r="L161">
        <v>19</v>
      </c>
      <c r="M161">
        <v>12802702.702702705</v>
      </c>
      <c r="N161">
        <v>9682702.7027026992</v>
      </c>
      <c r="O161">
        <v>21109666.666666664</v>
      </c>
      <c r="P161">
        <v>19943297.297297295</v>
      </c>
      <c r="Q161">
        <v>9413873.8738738745</v>
      </c>
      <c r="R161">
        <v>9367117.1171171162</v>
      </c>
      <c r="S161">
        <v>5270</v>
      </c>
      <c r="T161">
        <v>5354</v>
      </c>
    </row>
    <row r="162" spans="1:20" x14ac:dyDescent="0.35">
      <c r="A162" s="7" t="s">
        <v>254</v>
      </c>
      <c r="B162" s="12" t="s">
        <v>105</v>
      </c>
      <c r="C162">
        <v>43525137.184336342</v>
      </c>
      <c r="D162">
        <v>41475660.621987216</v>
      </c>
      <c r="E162">
        <v>337837.83783783799</v>
      </c>
      <c r="F162">
        <v>650450.450450451</v>
      </c>
      <c r="G162">
        <v>6</v>
      </c>
      <c r="H162">
        <v>5</v>
      </c>
      <c r="K162">
        <v>7</v>
      </c>
      <c r="L162">
        <v>6</v>
      </c>
      <c r="M162">
        <v>3243243.2432432421</v>
      </c>
      <c r="N162">
        <v>3646846.8468468459</v>
      </c>
      <c r="O162">
        <v>13382072.072072072</v>
      </c>
      <c r="P162">
        <v>12033522.522522524</v>
      </c>
      <c r="Q162">
        <v>3443333.3333333321</v>
      </c>
      <c r="R162">
        <v>2288198.1981981969</v>
      </c>
      <c r="S162">
        <v>3781</v>
      </c>
      <c r="T162">
        <v>3782</v>
      </c>
    </row>
    <row r="163" spans="1:20" x14ac:dyDescent="0.35">
      <c r="A163" s="7" t="s">
        <v>255</v>
      </c>
      <c r="B163" s="12" t="s">
        <v>105</v>
      </c>
      <c r="C163">
        <v>37994048.864109248</v>
      </c>
      <c r="D163">
        <v>37889435.955134295</v>
      </c>
      <c r="E163">
        <v>57657.657657657997</v>
      </c>
      <c r="G163">
        <v>4</v>
      </c>
      <c r="H163">
        <v>5</v>
      </c>
      <c r="K163">
        <v>4</v>
      </c>
      <c r="L163">
        <v>5</v>
      </c>
      <c r="M163">
        <v>57657.657657657997</v>
      </c>
      <c r="N163">
        <v>900900.90090090095</v>
      </c>
      <c r="O163">
        <v>7932837.8378378367</v>
      </c>
      <c r="P163">
        <v>9835585.5855855886</v>
      </c>
      <c r="Q163">
        <v>742162.16216216201</v>
      </c>
      <c r="R163">
        <v>663963.96396396402</v>
      </c>
      <c r="S163">
        <v>2242</v>
      </c>
      <c r="T163">
        <v>2271</v>
      </c>
    </row>
    <row r="164" spans="1:20" x14ac:dyDescent="0.35">
      <c r="A164" s="7" t="s">
        <v>256</v>
      </c>
      <c r="B164" s="12" t="s">
        <v>134</v>
      </c>
      <c r="C164">
        <v>67832944.929134116</v>
      </c>
      <c r="D164">
        <v>59381013.334880143</v>
      </c>
      <c r="F164">
        <v>234234.234234234</v>
      </c>
      <c r="G164">
        <v>12</v>
      </c>
      <c r="H164">
        <v>5</v>
      </c>
      <c r="K164">
        <v>12</v>
      </c>
      <c r="L164">
        <v>7</v>
      </c>
      <c r="M164">
        <v>1801801.8018018019</v>
      </c>
      <c r="N164">
        <v>234234.234234234</v>
      </c>
      <c r="O164">
        <v>4691189.18918919</v>
      </c>
      <c r="P164">
        <v>4137513.5135135138</v>
      </c>
      <c r="Q164">
        <v>227027.02702702701</v>
      </c>
      <c r="R164">
        <v>447297.29729729699</v>
      </c>
      <c r="S164">
        <v>4233</v>
      </c>
      <c r="T164">
        <v>4178</v>
      </c>
    </row>
    <row r="165" spans="1:20" x14ac:dyDescent="0.35">
      <c r="A165" s="7" t="s">
        <v>257</v>
      </c>
      <c r="B165" s="12" t="s">
        <v>167</v>
      </c>
      <c r="C165">
        <v>20346375.606708977</v>
      </c>
      <c r="D165">
        <v>19518995.706911601</v>
      </c>
      <c r="F165">
        <v>900900.90090090095</v>
      </c>
      <c r="G165">
        <v>4</v>
      </c>
      <c r="H165">
        <v>1</v>
      </c>
      <c r="K165">
        <v>6</v>
      </c>
      <c r="L165">
        <v>3</v>
      </c>
      <c r="M165">
        <v>1376576.5765765789</v>
      </c>
      <c r="N165">
        <v>1801801.8018018019</v>
      </c>
      <c r="O165">
        <v>7750225.2252252251</v>
      </c>
      <c r="P165">
        <v>6067648.6486486495</v>
      </c>
      <c r="Q165">
        <v>1687207.207207209</v>
      </c>
      <c r="R165">
        <v>689189.189189189</v>
      </c>
      <c r="S165">
        <v>2573</v>
      </c>
      <c r="T165">
        <v>2389</v>
      </c>
    </row>
    <row r="166" spans="1:20" x14ac:dyDescent="0.35">
      <c r="A166" s="7" t="s">
        <v>258</v>
      </c>
      <c r="B166" s="12" t="s">
        <v>60</v>
      </c>
      <c r="C166">
        <v>9547574.8201949112</v>
      </c>
      <c r="D166">
        <v>8376623.4005189622</v>
      </c>
      <c r="E166">
        <v>4954.9549549550002</v>
      </c>
      <c r="F166">
        <v>6306.3063063059999</v>
      </c>
      <c r="G166">
        <v>3</v>
      </c>
      <c r="H166">
        <v>2</v>
      </c>
      <c r="I166">
        <v>1</v>
      </c>
      <c r="K166">
        <v>3</v>
      </c>
      <c r="L166">
        <v>5</v>
      </c>
      <c r="M166">
        <v>2392342.3423423409</v>
      </c>
      <c r="N166">
        <v>2465765.7657657652</v>
      </c>
      <c r="O166">
        <v>3484054.0540540549</v>
      </c>
      <c r="P166">
        <v>2674144.1441441439</v>
      </c>
      <c r="Q166">
        <v>1573333.333333333</v>
      </c>
      <c r="R166">
        <v>1780180.180180179</v>
      </c>
      <c r="S166">
        <v>671</v>
      </c>
      <c r="T166">
        <v>673</v>
      </c>
    </row>
    <row r="167" spans="1:20" x14ac:dyDescent="0.35">
      <c r="A167" s="7" t="s">
        <v>259</v>
      </c>
      <c r="B167" s="12" t="s">
        <v>260</v>
      </c>
      <c r="C167">
        <v>3554152.2922777971</v>
      </c>
      <c r="D167">
        <v>4966825.2791362172</v>
      </c>
      <c r="E167">
        <v>113811687.38738739</v>
      </c>
      <c r="F167">
        <v>88172383.783783779</v>
      </c>
      <c r="G167">
        <v>1</v>
      </c>
      <c r="K167">
        <v>1</v>
      </c>
      <c r="L167">
        <v>1</v>
      </c>
      <c r="M167">
        <v>1801801.8018018019</v>
      </c>
      <c r="N167">
        <v>9894594.594594596</v>
      </c>
      <c r="O167">
        <v>848873.87387387303</v>
      </c>
      <c r="P167">
        <v>711702.70270270202</v>
      </c>
      <c r="Q167">
        <v>1941531.5315315309</v>
      </c>
      <c r="R167">
        <v>320630.630630631</v>
      </c>
      <c r="S167">
        <v>575</v>
      </c>
      <c r="T167">
        <v>527</v>
      </c>
    </row>
    <row r="168" spans="1:20" x14ac:dyDescent="0.35">
      <c r="A168" s="7" t="s">
        <v>261</v>
      </c>
      <c r="B168" s="12" t="s">
        <v>60</v>
      </c>
      <c r="C168">
        <v>79505464.086434171</v>
      </c>
      <c r="D168">
        <v>80062562.01974903</v>
      </c>
      <c r="E168">
        <v>62188781.981981985</v>
      </c>
      <c r="F168">
        <v>79414177.477477491</v>
      </c>
      <c r="G168">
        <v>19</v>
      </c>
      <c r="H168">
        <v>59</v>
      </c>
      <c r="I168">
        <v>5</v>
      </c>
      <c r="K168">
        <v>31</v>
      </c>
      <c r="L168">
        <v>169</v>
      </c>
      <c r="M168">
        <v>15681621.621621616</v>
      </c>
      <c r="N168">
        <v>25289189.189189192</v>
      </c>
      <c r="O168">
        <v>26609486.486486487</v>
      </c>
      <c r="P168">
        <v>28227900.9009009</v>
      </c>
      <c r="Q168">
        <v>14420810.810810812</v>
      </c>
      <c r="R168">
        <v>34506936.936936937</v>
      </c>
      <c r="S168">
        <v>6152</v>
      </c>
      <c r="T168">
        <v>6239</v>
      </c>
    </row>
    <row r="169" spans="1:20" x14ac:dyDescent="0.35">
      <c r="A169" s="7" t="s">
        <v>262</v>
      </c>
      <c r="B169" s="12" t="s">
        <v>123</v>
      </c>
      <c r="C169">
        <v>62948830.594170012</v>
      </c>
      <c r="D169">
        <v>57511108.258574538</v>
      </c>
      <c r="E169">
        <v>266216.21621621703</v>
      </c>
      <c r="F169">
        <v>139639.63963964101</v>
      </c>
      <c r="G169">
        <v>6</v>
      </c>
      <c r="H169">
        <v>8</v>
      </c>
      <c r="K169">
        <v>8</v>
      </c>
      <c r="L169">
        <v>10</v>
      </c>
      <c r="M169">
        <v>3514504.5045045041</v>
      </c>
      <c r="N169">
        <v>3869369.3693693709</v>
      </c>
      <c r="O169">
        <v>24425936.936936937</v>
      </c>
      <c r="P169">
        <v>22690855.855855856</v>
      </c>
      <c r="Q169">
        <v>4126576.576576578</v>
      </c>
      <c r="R169">
        <v>3030810.8108108118</v>
      </c>
      <c r="S169">
        <v>5612</v>
      </c>
      <c r="T169">
        <v>5450</v>
      </c>
    </row>
    <row r="170" spans="1:20" x14ac:dyDescent="0.35">
      <c r="A170" s="7" t="s">
        <v>263</v>
      </c>
      <c r="B170" s="12" t="s">
        <v>123</v>
      </c>
      <c r="C170">
        <v>26262009.53715476</v>
      </c>
      <c r="D170">
        <v>25231891.460154407</v>
      </c>
      <c r="E170">
        <v>138738.73873873899</v>
      </c>
      <c r="F170">
        <v>180405.405405406</v>
      </c>
      <c r="G170">
        <v>6</v>
      </c>
      <c r="H170">
        <v>9</v>
      </c>
      <c r="K170">
        <v>8</v>
      </c>
      <c r="L170">
        <v>11</v>
      </c>
      <c r="M170">
        <v>5773963.963963965</v>
      </c>
      <c r="N170">
        <v>6998918.9189189197</v>
      </c>
      <c r="O170">
        <v>10636972.972972972</v>
      </c>
      <c r="P170">
        <v>10288990.990990993</v>
      </c>
      <c r="Q170">
        <v>5975045.0450450471</v>
      </c>
      <c r="R170">
        <v>7040360.3603603626</v>
      </c>
      <c r="S170">
        <v>2328</v>
      </c>
      <c r="T170">
        <v>2350</v>
      </c>
    </row>
    <row r="171" spans="1:20" x14ac:dyDescent="0.35">
      <c r="A171" s="7" t="s">
        <v>666</v>
      </c>
      <c r="B171" s="12" t="s">
        <v>123</v>
      </c>
      <c r="E171">
        <v>21621621.621621624</v>
      </c>
      <c r="M171">
        <v>156531.531531532</v>
      </c>
      <c r="N171">
        <v>133783.78378378399</v>
      </c>
    </row>
    <row r="172" spans="1:20" x14ac:dyDescent="0.35">
      <c r="A172" s="7" t="s">
        <v>264</v>
      </c>
      <c r="B172" s="12" t="s">
        <v>125</v>
      </c>
      <c r="C172">
        <v>65806586.049303159</v>
      </c>
      <c r="D172">
        <v>61069815.72528521</v>
      </c>
      <c r="E172">
        <v>483185.58558558603</v>
      </c>
      <c r="F172">
        <v>19890924.324324325</v>
      </c>
      <c r="G172">
        <v>4</v>
      </c>
      <c r="H172">
        <v>13</v>
      </c>
      <c r="K172">
        <v>4</v>
      </c>
      <c r="L172">
        <v>14</v>
      </c>
      <c r="M172">
        <v>14898198.198198199</v>
      </c>
      <c r="N172">
        <v>14821396.396396397</v>
      </c>
      <c r="O172">
        <v>20803333.333333332</v>
      </c>
      <c r="P172">
        <v>20224854.054054055</v>
      </c>
      <c r="Q172">
        <v>9913603.6036036033</v>
      </c>
      <c r="R172">
        <v>4059639.6396396388</v>
      </c>
      <c r="S172">
        <v>4447</v>
      </c>
      <c r="T172">
        <v>4253</v>
      </c>
    </row>
    <row r="173" spans="1:20" x14ac:dyDescent="0.35">
      <c r="A173" s="7" t="s">
        <v>265</v>
      </c>
      <c r="B173" s="12" t="s">
        <v>123</v>
      </c>
      <c r="C173">
        <v>64405972.638441458</v>
      </c>
      <c r="D173">
        <v>60211678.381051168</v>
      </c>
      <c r="E173">
        <v>18018.018018019</v>
      </c>
      <c r="F173">
        <v>309909.90990991099</v>
      </c>
      <c r="G173">
        <v>13</v>
      </c>
      <c r="H173">
        <v>4</v>
      </c>
      <c r="K173">
        <v>16</v>
      </c>
      <c r="L173">
        <v>5</v>
      </c>
      <c r="M173">
        <v>7733153.1531531531</v>
      </c>
      <c r="N173">
        <v>6221621.6216216227</v>
      </c>
      <c r="O173">
        <v>22811441.441441439</v>
      </c>
      <c r="P173">
        <v>21512531.531531531</v>
      </c>
      <c r="Q173">
        <v>5286036.036036036</v>
      </c>
      <c r="R173">
        <v>5760180.180180179</v>
      </c>
      <c r="S173">
        <v>4861</v>
      </c>
      <c r="T173">
        <v>4824</v>
      </c>
    </row>
    <row r="174" spans="1:20" x14ac:dyDescent="0.35">
      <c r="A174" s="7" t="s">
        <v>266</v>
      </c>
      <c r="B174" s="12" t="s">
        <v>123</v>
      </c>
      <c r="C174">
        <v>61509828.053723514</v>
      </c>
      <c r="D174">
        <v>64429878.831102155</v>
      </c>
      <c r="E174">
        <v>564864.86486486497</v>
      </c>
      <c r="F174">
        <v>1209459.4594594629</v>
      </c>
      <c r="G174">
        <v>4</v>
      </c>
      <c r="H174">
        <v>13</v>
      </c>
      <c r="K174">
        <v>9</v>
      </c>
      <c r="L174">
        <v>15</v>
      </c>
      <c r="M174">
        <v>7418018.0180180138</v>
      </c>
      <c r="N174">
        <v>8012432.4324324392</v>
      </c>
      <c r="O174">
        <v>26113828.828828827</v>
      </c>
      <c r="P174">
        <v>26632630.630630631</v>
      </c>
      <c r="Q174">
        <v>7364054.0540540572</v>
      </c>
      <c r="R174">
        <v>7592972.9729729723</v>
      </c>
      <c r="S174">
        <v>5558</v>
      </c>
      <c r="T174">
        <v>5613</v>
      </c>
    </row>
    <row r="175" spans="1:20" x14ac:dyDescent="0.35">
      <c r="A175" s="7" t="s">
        <v>267</v>
      </c>
      <c r="B175" s="12" t="s">
        <v>178</v>
      </c>
      <c r="C175">
        <v>330621892.6312992</v>
      </c>
      <c r="D175">
        <v>307702027.99988514</v>
      </c>
      <c r="E175">
        <v>29420824.324324328</v>
      </c>
      <c r="F175">
        <v>4125522.5225225361</v>
      </c>
      <c r="G175">
        <v>102</v>
      </c>
      <c r="H175">
        <v>77</v>
      </c>
      <c r="K175">
        <v>303</v>
      </c>
      <c r="L175">
        <v>240</v>
      </c>
      <c r="M175">
        <v>58022342.342342347</v>
      </c>
      <c r="N175">
        <v>47594144.144144155</v>
      </c>
      <c r="O175">
        <v>97955540.540540546</v>
      </c>
      <c r="P175">
        <v>90434639.639639646</v>
      </c>
      <c r="Q175">
        <v>51560360.360360369</v>
      </c>
      <c r="R175">
        <v>38277657.657657653</v>
      </c>
      <c r="S175">
        <v>32462</v>
      </c>
      <c r="T175">
        <v>32776</v>
      </c>
    </row>
    <row r="176" spans="1:20" x14ac:dyDescent="0.35">
      <c r="A176" s="7" t="s">
        <v>268</v>
      </c>
      <c r="B176" s="12" t="s">
        <v>62</v>
      </c>
      <c r="C176">
        <v>51907874.723923042</v>
      </c>
      <c r="D176">
        <v>55612461.028409563</v>
      </c>
      <c r="E176">
        <v>617207.20720720803</v>
      </c>
      <c r="F176">
        <v>943243.24324324494</v>
      </c>
      <c r="G176">
        <v>7</v>
      </c>
      <c r="H176">
        <v>9</v>
      </c>
      <c r="K176">
        <v>7</v>
      </c>
      <c r="L176">
        <v>15</v>
      </c>
      <c r="M176">
        <v>4133603.603603601</v>
      </c>
      <c r="N176">
        <v>5784054.0540540563</v>
      </c>
      <c r="O176">
        <v>15769234.234234234</v>
      </c>
      <c r="P176">
        <v>16545900.9009009</v>
      </c>
      <c r="Q176">
        <v>4436756.7567567583</v>
      </c>
      <c r="R176">
        <v>9984864.8648648635</v>
      </c>
      <c r="S176">
        <v>4738</v>
      </c>
      <c r="T176">
        <v>4780</v>
      </c>
    </row>
    <row r="177" spans="1:20" x14ac:dyDescent="0.35">
      <c r="A177" s="7" t="s">
        <v>269</v>
      </c>
      <c r="B177" s="12" t="s">
        <v>70</v>
      </c>
      <c r="C177">
        <v>70437901.449352056</v>
      </c>
      <c r="D177">
        <v>71503142.540188059</v>
      </c>
      <c r="E177">
        <v>274774.77477477503</v>
      </c>
      <c r="F177">
        <v>300900.90090090298</v>
      </c>
      <c r="G177">
        <v>16</v>
      </c>
      <c r="H177">
        <v>19</v>
      </c>
      <c r="K177">
        <v>16</v>
      </c>
      <c r="L177">
        <v>24</v>
      </c>
      <c r="M177">
        <v>7968693.6936936891</v>
      </c>
      <c r="N177">
        <v>4910810.8108108137</v>
      </c>
      <c r="O177">
        <v>30636441.441441439</v>
      </c>
      <c r="P177">
        <v>30230963.963963963</v>
      </c>
      <c r="Q177">
        <v>7827342.3423423376</v>
      </c>
      <c r="R177">
        <v>5306216.2162162187</v>
      </c>
      <c r="S177">
        <v>6942</v>
      </c>
      <c r="T177">
        <v>6716</v>
      </c>
    </row>
    <row r="178" spans="1:20" x14ac:dyDescent="0.35">
      <c r="A178" s="7" t="s">
        <v>270</v>
      </c>
      <c r="B178" s="12" t="s">
        <v>134</v>
      </c>
      <c r="C178">
        <v>576499.79316048499</v>
      </c>
      <c r="D178">
        <v>496231.69693381799</v>
      </c>
      <c r="E178">
        <v>64128362.162162162</v>
      </c>
      <c r="F178">
        <v>74502197.297297299</v>
      </c>
      <c r="M178">
        <v>7837837.8378378376</v>
      </c>
      <c r="N178">
        <v>4144144.1441441439</v>
      </c>
      <c r="O178">
        <v>89189.189189188997</v>
      </c>
      <c r="P178">
        <v>58198.198198197999</v>
      </c>
      <c r="S178">
        <v>181</v>
      </c>
      <c r="T178">
        <v>241</v>
      </c>
    </row>
    <row r="179" spans="1:20" x14ac:dyDescent="0.35">
      <c r="A179" s="7" t="s">
        <v>271</v>
      </c>
      <c r="B179" s="12" t="s">
        <v>76</v>
      </c>
      <c r="C179">
        <v>32442910.546177559</v>
      </c>
      <c r="D179">
        <v>32390785.619625509</v>
      </c>
      <c r="F179">
        <v>13513.513513514001</v>
      </c>
      <c r="G179">
        <v>7</v>
      </c>
      <c r="H179">
        <v>7</v>
      </c>
      <c r="K179">
        <v>11</v>
      </c>
      <c r="L179">
        <v>8</v>
      </c>
      <c r="N179">
        <v>13513.513513514001</v>
      </c>
      <c r="O179">
        <v>2006396.396396396</v>
      </c>
      <c r="P179">
        <v>2390378.3783783792</v>
      </c>
      <c r="Q179">
        <v>54054.054054054002</v>
      </c>
      <c r="R179">
        <v>81531.531531532004</v>
      </c>
      <c r="S179">
        <v>2362</v>
      </c>
      <c r="T179">
        <v>2430</v>
      </c>
    </row>
    <row r="180" spans="1:20" x14ac:dyDescent="0.35">
      <c r="A180" s="7" t="s">
        <v>272</v>
      </c>
      <c r="B180" s="12" t="s">
        <v>76</v>
      </c>
      <c r="C180">
        <v>11952600.495945781</v>
      </c>
      <c r="D180">
        <v>11008338.227914404</v>
      </c>
      <c r="E180">
        <v>49099.099099099003</v>
      </c>
      <c r="F180">
        <v>36036.036036035999</v>
      </c>
      <c r="G180">
        <v>8</v>
      </c>
      <c r="K180">
        <v>11</v>
      </c>
      <c r="L180">
        <v>1</v>
      </c>
      <c r="M180">
        <v>3107657.6576576582</v>
      </c>
      <c r="N180">
        <v>4648648.6486486476</v>
      </c>
      <c r="O180">
        <v>4505450.4504504502</v>
      </c>
      <c r="P180">
        <v>3580360.3603603598</v>
      </c>
      <c r="Q180">
        <v>2835585.5855855858</v>
      </c>
      <c r="R180">
        <v>2476666.6666666679</v>
      </c>
      <c r="S180">
        <v>819</v>
      </c>
      <c r="T180">
        <v>802</v>
      </c>
    </row>
    <row r="181" spans="1:20" x14ac:dyDescent="0.35">
      <c r="A181" s="7" t="s">
        <v>273</v>
      </c>
      <c r="B181" s="12" t="s">
        <v>260</v>
      </c>
      <c r="C181">
        <v>247080302.93807524</v>
      </c>
      <c r="D181">
        <v>223969102.80532295</v>
      </c>
      <c r="E181">
        <v>1924774.774774777</v>
      </c>
      <c r="F181">
        <v>3822522.5225225221</v>
      </c>
      <c r="G181">
        <v>38</v>
      </c>
      <c r="H181">
        <v>57</v>
      </c>
      <c r="K181">
        <v>51</v>
      </c>
      <c r="L181">
        <v>81</v>
      </c>
      <c r="M181">
        <v>59690540.540540539</v>
      </c>
      <c r="N181">
        <v>48991891.891891889</v>
      </c>
      <c r="O181">
        <v>67634666.666666657</v>
      </c>
      <c r="P181">
        <v>68134423.423423424</v>
      </c>
      <c r="Q181">
        <v>51030180.180180185</v>
      </c>
      <c r="R181">
        <v>34334684.684684686</v>
      </c>
      <c r="S181">
        <v>19034</v>
      </c>
      <c r="T181">
        <v>19833</v>
      </c>
    </row>
    <row r="182" spans="1:20" x14ac:dyDescent="0.35">
      <c r="A182" s="7" t="s">
        <v>274</v>
      </c>
      <c r="B182" s="12" t="s">
        <v>260</v>
      </c>
      <c r="C182">
        <v>56932262.984526977</v>
      </c>
      <c r="D182">
        <v>49721934.967958227</v>
      </c>
      <c r="E182">
        <v>222522.52252252301</v>
      </c>
      <c r="F182">
        <v>1018468.46846847</v>
      </c>
      <c r="G182">
        <v>3</v>
      </c>
      <c r="H182">
        <v>4</v>
      </c>
      <c r="K182">
        <v>3</v>
      </c>
      <c r="L182">
        <v>4</v>
      </c>
      <c r="M182">
        <v>3645945.9459459451</v>
      </c>
      <c r="N182">
        <v>4270270.2702702722</v>
      </c>
      <c r="O182">
        <v>10204900.9009009</v>
      </c>
      <c r="P182">
        <v>10186108.108108109</v>
      </c>
      <c r="Q182">
        <v>3193693.6936936942</v>
      </c>
      <c r="R182">
        <v>3136486.4864864871</v>
      </c>
      <c r="S182">
        <v>3776</v>
      </c>
      <c r="T182">
        <v>3489</v>
      </c>
    </row>
    <row r="183" spans="1:20" x14ac:dyDescent="0.35">
      <c r="A183" s="7" t="s">
        <v>275</v>
      </c>
      <c r="B183" s="12" t="s">
        <v>260</v>
      </c>
      <c r="C183">
        <v>63508498.446982175</v>
      </c>
      <c r="D183">
        <v>49572269.995319568</v>
      </c>
      <c r="E183">
        <v>549549.54954955005</v>
      </c>
      <c r="F183">
        <v>1472522.5225225219</v>
      </c>
      <c r="G183">
        <v>6</v>
      </c>
      <c r="H183">
        <v>4</v>
      </c>
      <c r="K183">
        <v>9</v>
      </c>
      <c r="L183">
        <v>4</v>
      </c>
      <c r="M183">
        <v>7007207.2072072066</v>
      </c>
      <c r="N183">
        <v>12426126.126126125</v>
      </c>
      <c r="O183">
        <v>13672207.207207207</v>
      </c>
      <c r="P183">
        <v>11067549.549549548</v>
      </c>
      <c r="Q183">
        <v>6463783.7837837841</v>
      </c>
      <c r="R183">
        <v>11549009.009009007</v>
      </c>
      <c r="S183">
        <v>5965</v>
      </c>
      <c r="T183">
        <v>5727</v>
      </c>
    </row>
    <row r="184" spans="1:20" x14ac:dyDescent="0.35">
      <c r="A184" s="7" t="s">
        <v>276</v>
      </c>
      <c r="B184" s="12" t="s">
        <v>134</v>
      </c>
      <c r="C184">
        <v>76382791.609379873</v>
      </c>
      <c r="D184">
        <v>72088384.308846071</v>
      </c>
      <c r="E184">
        <v>6306.3063063070003</v>
      </c>
      <c r="F184">
        <v>130630.630630631</v>
      </c>
      <c r="G184">
        <v>11</v>
      </c>
      <c r="H184">
        <v>16</v>
      </c>
      <c r="K184">
        <v>11</v>
      </c>
      <c r="L184">
        <v>18</v>
      </c>
      <c r="M184">
        <v>6306.3063063070003</v>
      </c>
      <c r="N184">
        <v>5085585.5855855849</v>
      </c>
      <c r="O184">
        <v>5652027.0270270268</v>
      </c>
      <c r="P184">
        <v>5565815.3153153174</v>
      </c>
      <c r="Q184">
        <v>1675405.405405405</v>
      </c>
      <c r="R184">
        <v>1571621.621621622</v>
      </c>
      <c r="S184">
        <v>6124</v>
      </c>
      <c r="T184">
        <v>5449</v>
      </c>
    </row>
    <row r="185" spans="1:20" x14ac:dyDescent="0.35">
      <c r="A185" s="7" t="s">
        <v>277</v>
      </c>
      <c r="B185" s="12" t="s">
        <v>169</v>
      </c>
      <c r="C185">
        <v>50154296.670074984</v>
      </c>
      <c r="D185">
        <v>39620191.408674888</v>
      </c>
      <c r="E185">
        <v>35135.135135135002</v>
      </c>
      <c r="F185">
        <v>27927.927927928002</v>
      </c>
      <c r="G185">
        <v>6</v>
      </c>
      <c r="H185">
        <v>2</v>
      </c>
      <c r="K185">
        <v>7</v>
      </c>
      <c r="L185">
        <v>3</v>
      </c>
      <c r="M185">
        <v>4539639.6396396402</v>
      </c>
      <c r="N185">
        <v>1847747.7477477479</v>
      </c>
      <c r="O185">
        <v>19529846.846846849</v>
      </c>
      <c r="P185">
        <v>17910036.036036037</v>
      </c>
      <c r="Q185">
        <v>2740990.9909909908</v>
      </c>
      <c r="R185">
        <v>1547747.7477477479</v>
      </c>
      <c r="S185">
        <v>3184</v>
      </c>
      <c r="T185">
        <v>3140</v>
      </c>
    </row>
    <row r="186" spans="1:20" x14ac:dyDescent="0.35">
      <c r="A186" s="7" t="s">
        <v>667</v>
      </c>
      <c r="B186" s="12" t="s">
        <v>87</v>
      </c>
      <c r="M186">
        <v>44594.594594595001</v>
      </c>
    </row>
    <row r="187" spans="1:20" x14ac:dyDescent="0.35">
      <c r="A187" s="7" t="s">
        <v>278</v>
      </c>
      <c r="B187" s="12" t="s">
        <v>169</v>
      </c>
      <c r="C187">
        <v>23561070.364636295</v>
      </c>
      <c r="D187">
        <v>20613727.72772783</v>
      </c>
      <c r="E187">
        <v>900.900900901</v>
      </c>
      <c r="F187">
        <v>2702.7027027029999</v>
      </c>
      <c r="G187">
        <v>1</v>
      </c>
      <c r="H187">
        <v>4</v>
      </c>
      <c r="K187">
        <v>1</v>
      </c>
      <c r="L187">
        <v>4</v>
      </c>
      <c r="M187">
        <v>901801.80180180201</v>
      </c>
      <c r="N187">
        <v>903603.60360360402</v>
      </c>
      <c r="O187">
        <v>8399135.1351351347</v>
      </c>
      <c r="P187">
        <v>9552756.7567567565</v>
      </c>
      <c r="Q187">
        <v>1078378.378378378</v>
      </c>
      <c r="R187">
        <v>999909.90990991006</v>
      </c>
      <c r="S187">
        <v>1976</v>
      </c>
      <c r="T187">
        <v>1887</v>
      </c>
    </row>
    <row r="188" spans="1:20" x14ac:dyDescent="0.35">
      <c r="A188" s="7" t="s">
        <v>279</v>
      </c>
      <c r="B188" s="12" t="s">
        <v>87</v>
      </c>
      <c r="C188">
        <v>680716.52575817797</v>
      </c>
      <c r="D188">
        <v>639327.28097372002</v>
      </c>
      <c r="G188">
        <v>1</v>
      </c>
      <c r="K188">
        <v>1</v>
      </c>
      <c r="O188">
        <v>332655.85585585597</v>
      </c>
      <c r="P188">
        <v>298594.59459459502</v>
      </c>
      <c r="S188">
        <v>198</v>
      </c>
      <c r="T188">
        <v>153</v>
      </c>
    </row>
    <row r="189" spans="1:20" x14ac:dyDescent="0.35">
      <c r="A189" s="7" t="s">
        <v>280</v>
      </c>
      <c r="B189" s="12" t="s">
        <v>169</v>
      </c>
      <c r="C189">
        <v>40403961.686600596</v>
      </c>
      <c r="D189">
        <v>42206521.341389067</v>
      </c>
      <c r="E189">
        <v>69249099.0990991</v>
      </c>
      <c r="F189">
        <v>218018.01801801799</v>
      </c>
      <c r="G189">
        <v>1</v>
      </c>
      <c r="H189">
        <v>9</v>
      </c>
      <c r="K189">
        <v>1</v>
      </c>
      <c r="L189">
        <v>12</v>
      </c>
      <c r="M189">
        <v>4963513.5135135129</v>
      </c>
      <c r="N189">
        <v>12319009.009009007</v>
      </c>
      <c r="O189">
        <v>14655450.45045045</v>
      </c>
      <c r="P189">
        <v>18697540.540540539</v>
      </c>
      <c r="Q189">
        <v>3548468.4684684691</v>
      </c>
      <c r="R189">
        <v>10584414.414414411</v>
      </c>
      <c r="S189">
        <v>3889</v>
      </c>
      <c r="T189">
        <v>4202</v>
      </c>
    </row>
    <row r="190" spans="1:20" x14ac:dyDescent="0.35">
      <c r="A190" s="7" t="s">
        <v>281</v>
      </c>
      <c r="B190" s="12" t="s">
        <v>54</v>
      </c>
      <c r="C190">
        <v>32615415.206880622</v>
      </c>
      <c r="D190">
        <v>32367754.662920952</v>
      </c>
      <c r="E190">
        <v>13963.963963964999</v>
      </c>
      <c r="F190">
        <v>225225.22522522701</v>
      </c>
      <c r="G190">
        <v>5</v>
      </c>
      <c r="H190">
        <v>11</v>
      </c>
      <c r="K190">
        <v>12</v>
      </c>
      <c r="L190">
        <v>14</v>
      </c>
      <c r="M190">
        <v>2322072.072072071</v>
      </c>
      <c r="N190">
        <v>2786486.4864864871</v>
      </c>
      <c r="O190">
        <v>6896207.2072072057</v>
      </c>
      <c r="P190">
        <v>6568549.5495495489</v>
      </c>
      <c r="Q190">
        <v>2488018.0180180189</v>
      </c>
      <c r="R190">
        <v>3234414.4144144142</v>
      </c>
      <c r="S190">
        <v>3715</v>
      </c>
      <c r="T190">
        <v>3693</v>
      </c>
    </row>
    <row r="191" spans="1:20" x14ac:dyDescent="0.35">
      <c r="A191" s="7" t="s">
        <v>282</v>
      </c>
      <c r="B191" s="12" t="s">
        <v>283</v>
      </c>
      <c r="C191">
        <v>52796634.450739391</v>
      </c>
      <c r="D191">
        <v>43090277.731081583</v>
      </c>
      <c r="E191">
        <v>2252.2522522519998</v>
      </c>
      <c r="F191">
        <v>29729.729729729999</v>
      </c>
      <c r="G191">
        <v>19</v>
      </c>
      <c r="H191">
        <v>2</v>
      </c>
      <c r="K191">
        <v>20</v>
      </c>
      <c r="L191">
        <v>2</v>
      </c>
      <c r="M191">
        <v>768018.01801801799</v>
      </c>
      <c r="N191">
        <v>705405.40540540498</v>
      </c>
      <c r="O191">
        <v>5348153.1531531531</v>
      </c>
      <c r="P191">
        <v>6633504.5045045037</v>
      </c>
      <c r="Q191">
        <v>1112072.0720720729</v>
      </c>
      <c r="R191">
        <v>1348018.018018018</v>
      </c>
      <c r="S191">
        <v>3112</v>
      </c>
      <c r="T191">
        <v>3047</v>
      </c>
    </row>
    <row r="192" spans="1:20" x14ac:dyDescent="0.35">
      <c r="A192" s="7" t="s">
        <v>284</v>
      </c>
      <c r="B192" s="12" t="s">
        <v>283</v>
      </c>
      <c r="C192">
        <v>88896901.177424118</v>
      </c>
      <c r="D192">
        <v>90692932.818976849</v>
      </c>
      <c r="E192">
        <v>195045.045045045</v>
      </c>
      <c r="F192">
        <v>584234.23423423502</v>
      </c>
      <c r="G192">
        <v>10</v>
      </c>
      <c r="H192">
        <v>7</v>
      </c>
      <c r="K192">
        <v>13</v>
      </c>
      <c r="L192">
        <v>11</v>
      </c>
      <c r="M192">
        <v>10973423.423423421</v>
      </c>
      <c r="N192">
        <v>7982882.8828828819</v>
      </c>
      <c r="O192">
        <v>17512972.972972974</v>
      </c>
      <c r="P192">
        <v>18036558.558558561</v>
      </c>
      <c r="Q192">
        <v>7387477.4774774788</v>
      </c>
      <c r="R192">
        <v>8452252.2522522528</v>
      </c>
      <c r="S192">
        <v>7980</v>
      </c>
      <c r="T192">
        <v>8035</v>
      </c>
    </row>
    <row r="193" spans="1:20" x14ac:dyDescent="0.35">
      <c r="A193" s="7" t="s">
        <v>285</v>
      </c>
      <c r="B193" s="12" t="s">
        <v>283</v>
      </c>
      <c r="C193">
        <v>47796863.887115709</v>
      </c>
      <c r="D193">
        <v>48108720.265160508</v>
      </c>
      <c r="E193">
        <v>362162.16216216399</v>
      </c>
      <c r="F193">
        <v>113513.513513514</v>
      </c>
      <c r="G193">
        <v>16</v>
      </c>
      <c r="H193">
        <v>4</v>
      </c>
      <c r="K193">
        <v>17</v>
      </c>
      <c r="L193">
        <v>9</v>
      </c>
      <c r="M193">
        <v>13209909.90990991</v>
      </c>
      <c r="N193">
        <v>12032432.432432432</v>
      </c>
      <c r="O193">
        <v>14149531.531531531</v>
      </c>
      <c r="P193">
        <v>14165891.891891891</v>
      </c>
      <c r="Q193">
        <v>10104234.234234236</v>
      </c>
      <c r="R193">
        <v>10900630.630630633</v>
      </c>
      <c r="S193">
        <v>5024</v>
      </c>
      <c r="T193">
        <v>4729</v>
      </c>
    </row>
    <row r="194" spans="1:20" x14ac:dyDescent="0.35">
      <c r="A194" s="7" t="s">
        <v>286</v>
      </c>
      <c r="B194" s="12" t="s">
        <v>283</v>
      </c>
      <c r="C194">
        <v>36833540.382316738</v>
      </c>
      <c r="D194">
        <v>35328103.857599847</v>
      </c>
      <c r="E194">
        <v>8108.1081081089997</v>
      </c>
      <c r="F194">
        <v>14414.414414415</v>
      </c>
      <c r="G194">
        <v>2</v>
      </c>
      <c r="H194">
        <v>2</v>
      </c>
      <c r="K194">
        <v>2</v>
      </c>
      <c r="L194">
        <v>2</v>
      </c>
      <c r="M194">
        <v>8108.1081081089997</v>
      </c>
      <c r="N194">
        <v>14414.414414415</v>
      </c>
      <c r="O194">
        <v>5805315.3153153146</v>
      </c>
      <c r="P194">
        <v>6971162.1621621624</v>
      </c>
      <c r="Q194">
        <v>951351.35135135194</v>
      </c>
      <c r="R194">
        <v>724774.77477477398</v>
      </c>
      <c r="S194">
        <v>2505</v>
      </c>
      <c r="T194">
        <v>2506</v>
      </c>
    </row>
    <row r="195" spans="1:20" x14ac:dyDescent="0.35">
      <c r="A195" s="7" t="s">
        <v>287</v>
      </c>
      <c r="B195" s="12" t="s">
        <v>283</v>
      </c>
      <c r="C195">
        <v>17183187.208344817</v>
      </c>
      <c r="D195">
        <v>18188656.763034262</v>
      </c>
      <c r="E195">
        <v>1801.801801802</v>
      </c>
      <c r="F195">
        <v>41441.441441442003</v>
      </c>
      <c r="G195">
        <v>3</v>
      </c>
      <c r="K195">
        <v>3</v>
      </c>
      <c r="M195">
        <v>1801.801801802</v>
      </c>
      <c r="N195">
        <v>464864.86486486602</v>
      </c>
      <c r="O195">
        <v>3333648.6486486481</v>
      </c>
      <c r="P195">
        <v>3029369.3693693699</v>
      </c>
      <c r="R195">
        <v>576576.57657657703</v>
      </c>
      <c r="S195">
        <v>1379</v>
      </c>
      <c r="T195">
        <v>1393</v>
      </c>
    </row>
    <row r="196" spans="1:20" x14ac:dyDescent="0.35">
      <c r="A196" s="7" t="s">
        <v>288</v>
      </c>
      <c r="B196" s="12" t="s">
        <v>283</v>
      </c>
      <c r="C196">
        <v>2971018.3438561652</v>
      </c>
      <c r="D196">
        <v>2908248.1065704362</v>
      </c>
      <c r="G196">
        <v>1</v>
      </c>
      <c r="K196">
        <v>1</v>
      </c>
      <c r="O196">
        <v>432657.65765765798</v>
      </c>
      <c r="P196">
        <v>503477.47747747699</v>
      </c>
      <c r="S196">
        <v>351</v>
      </c>
      <c r="T196">
        <v>300</v>
      </c>
    </row>
    <row r="197" spans="1:20" x14ac:dyDescent="0.35">
      <c r="A197" s="7" t="s">
        <v>289</v>
      </c>
      <c r="B197" s="12" t="s">
        <v>290</v>
      </c>
      <c r="C197">
        <v>38895287.274256274</v>
      </c>
      <c r="D197">
        <v>38305079.483356088</v>
      </c>
      <c r="E197">
        <v>7207.2072072069996</v>
      </c>
      <c r="F197">
        <v>74774.774774774996</v>
      </c>
      <c r="G197">
        <v>16</v>
      </c>
      <c r="H197">
        <v>7</v>
      </c>
      <c r="K197">
        <v>19</v>
      </c>
      <c r="L197">
        <v>7</v>
      </c>
      <c r="M197">
        <v>908108.10810810805</v>
      </c>
      <c r="N197">
        <v>85585.585585585999</v>
      </c>
      <c r="O197">
        <v>4008063.0630630618</v>
      </c>
      <c r="P197">
        <v>3098322.5225225231</v>
      </c>
      <c r="Q197">
        <v>444864.86486486503</v>
      </c>
      <c r="R197">
        <v>51801.801801802001</v>
      </c>
      <c r="S197">
        <v>4177</v>
      </c>
      <c r="T197">
        <v>4368</v>
      </c>
    </row>
    <row r="198" spans="1:20" x14ac:dyDescent="0.35">
      <c r="A198" s="7" t="s">
        <v>291</v>
      </c>
      <c r="B198" s="12" t="s">
        <v>147</v>
      </c>
      <c r="C198">
        <v>82856833.251133531</v>
      </c>
      <c r="D198">
        <v>79663376.141477495</v>
      </c>
      <c r="E198">
        <v>30143712.612612613</v>
      </c>
      <c r="F198">
        <v>68152557.657657668</v>
      </c>
      <c r="G198">
        <v>12</v>
      </c>
      <c r="H198">
        <v>17</v>
      </c>
      <c r="K198">
        <v>15</v>
      </c>
      <c r="L198">
        <v>31</v>
      </c>
      <c r="M198">
        <v>18714459.459459458</v>
      </c>
      <c r="N198">
        <v>40639189.189189196</v>
      </c>
      <c r="O198">
        <v>27019594.594594598</v>
      </c>
      <c r="P198">
        <v>29437594.594594598</v>
      </c>
      <c r="Q198">
        <v>13273603.6036036</v>
      </c>
      <c r="R198">
        <v>39488288.288288288</v>
      </c>
      <c r="S198">
        <v>7590</v>
      </c>
      <c r="T198">
        <v>7646</v>
      </c>
    </row>
    <row r="199" spans="1:20" x14ac:dyDescent="0.35">
      <c r="A199" s="7" t="s">
        <v>292</v>
      </c>
      <c r="B199" s="12" t="s">
        <v>293</v>
      </c>
      <c r="C199">
        <v>43000983.092669353</v>
      </c>
      <c r="D199">
        <v>40520883.675358631</v>
      </c>
      <c r="F199">
        <v>921621.62162162201</v>
      </c>
      <c r="G199">
        <v>2</v>
      </c>
      <c r="H199">
        <v>2</v>
      </c>
      <c r="K199">
        <v>3</v>
      </c>
      <c r="L199">
        <v>3</v>
      </c>
      <c r="M199">
        <v>10804864.864864867</v>
      </c>
      <c r="N199">
        <v>6428468.4684684612</v>
      </c>
      <c r="O199">
        <v>4824774.774774774</v>
      </c>
      <c r="P199">
        <v>5651351.3513513524</v>
      </c>
      <c r="Q199">
        <v>10998018.01801802</v>
      </c>
      <c r="R199">
        <v>6937747.7477477398</v>
      </c>
      <c r="S199">
        <v>3605</v>
      </c>
      <c r="T199">
        <v>3429</v>
      </c>
    </row>
    <row r="200" spans="1:20" x14ac:dyDescent="0.35">
      <c r="A200" s="7" t="s">
        <v>294</v>
      </c>
      <c r="B200" s="12" t="s">
        <v>290</v>
      </c>
      <c r="C200">
        <v>12543236.562718377</v>
      </c>
      <c r="D200">
        <v>10476463.022885241</v>
      </c>
      <c r="E200">
        <v>272972.97297297302</v>
      </c>
      <c r="F200">
        <v>206306.306306307</v>
      </c>
      <c r="G200">
        <v>1</v>
      </c>
      <c r="H200">
        <v>2</v>
      </c>
      <c r="K200">
        <v>2</v>
      </c>
      <c r="L200">
        <v>3</v>
      </c>
      <c r="M200">
        <v>272972.97297297302</v>
      </c>
      <c r="N200">
        <v>207207.207207208</v>
      </c>
      <c r="O200">
        <v>1671936.936936937</v>
      </c>
      <c r="P200">
        <v>1318603.6036036031</v>
      </c>
      <c r="Q200">
        <v>634774.77477477503</v>
      </c>
      <c r="R200">
        <v>452252.25225225202</v>
      </c>
      <c r="S200">
        <v>1234</v>
      </c>
      <c r="T200">
        <v>1209</v>
      </c>
    </row>
    <row r="201" spans="1:20" x14ac:dyDescent="0.35">
      <c r="A201" s="7" t="s">
        <v>665</v>
      </c>
      <c r="B201" s="12" t="s">
        <v>479</v>
      </c>
      <c r="M201">
        <v>1007432.432432432</v>
      </c>
      <c r="N201">
        <v>797297.29729729705</v>
      </c>
    </row>
    <row r="202" spans="1:20" x14ac:dyDescent="0.35">
      <c r="A202" s="7" t="s">
        <v>295</v>
      </c>
      <c r="B202" s="12" t="s">
        <v>52</v>
      </c>
      <c r="C202">
        <v>120949732.34958597</v>
      </c>
      <c r="D202">
        <v>121172932.25700882</v>
      </c>
      <c r="E202">
        <v>800900.90090090095</v>
      </c>
      <c r="F202">
        <v>1431531.5315315339</v>
      </c>
      <c r="G202">
        <v>23</v>
      </c>
      <c r="H202">
        <v>29</v>
      </c>
      <c r="K202">
        <v>29</v>
      </c>
      <c r="L202">
        <v>33</v>
      </c>
      <c r="M202">
        <v>31226126.126126125</v>
      </c>
      <c r="N202">
        <v>5470090.0900900913</v>
      </c>
      <c r="O202">
        <v>30014612.612612609</v>
      </c>
      <c r="P202">
        <v>31463108.108108107</v>
      </c>
      <c r="Q202">
        <v>35799819.819819823</v>
      </c>
      <c r="R202">
        <v>20924594.59459459</v>
      </c>
      <c r="S202">
        <v>11843</v>
      </c>
      <c r="T202">
        <v>11477</v>
      </c>
    </row>
    <row r="203" spans="1:20" x14ac:dyDescent="0.35">
      <c r="A203" s="7" t="s">
        <v>296</v>
      </c>
      <c r="B203" s="12" t="s">
        <v>169</v>
      </c>
      <c r="C203">
        <v>42378948.703915939</v>
      </c>
      <c r="D203">
        <v>32587703.507249989</v>
      </c>
      <c r="E203">
        <v>900.900900901</v>
      </c>
      <c r="G203">
        <v>4</v>
      </c>
      <c r="H203">
        <v>4</v>
      </c>
      <c r="K203">
        <v>4</v>
      </c>
      <c r="L203">
        <v>6</v>
      </c>
      <c r="M203">
        <v>1802702.702702703</v>
      </c>
      <c r="N203">
        <v>900900.90090090095</v>
      </c>
      <c r="O203">
        <v>8656144.1441441439</v>
      </c>
      <c r="P203">
        <v>6509594.594594595</v>
      </c>
      <c r="Q203">
        <v>1414774.774774774</v>
      </c>
      <c r="R203">
        <v>1442972.972972973</v>
      </c>
      <c r="S203">
        <v>4619</v>
      </c>
      <c r="T203">
        <v>3190</v>
      </c>
    </row>
    <row r="204" spans="1:20" x14ac:dyDescent="0.35">
      <c r="A204" s="7" t="s">
        <v>297</v>
      </c>
      <c r="B204" s="12" t="s">
        <v>169</v>
      </c>
      <c r="C204">
        <v>17262583.018252645</v>
      </c>
      <c r="D204">
        <v>44183707.292404607</v>
      </c>
      <c r="E204">
        <v>900.900900901</v>
      </c>
      <c r="G204">
        <v>1</v>
      </c>
      <c r="H204">
        <v>11</v>
      </c>
      <c r="K204">
        <v>1</v>
      </c>
      <c r="L204">
        <v>11</v>
      </c>
      <c r="M204">
        <v>427937837.83783782</v>
      </c>
      <c r="N204">
        <v>909918918.91891897</v>
      </c>
      <c r="O204">
        <v>6994234.2342342352</v>
      </c>
      <c r="P204">
        <v>17470270.270270269</v>
      </c>
      <c r="Q204">
        <v>432218875.67567563</v>
      </c>
      <c r="R204">
        <v>775842623.42342353</v>
      </c>
      <c r="S204">
        <v>2442</v>
      </c>
      <c r="T204">
        <v>2912</v>
      </c>
    </row>
    <row r="205" spans="1:20" x14ac:dyDescent="0.35">
      <c r="A205" s="7" t="s">
        <v>298</v>
      </c>
      <c r="B205" s="12" t="s">
        <v>89</v>
      </c>
      <c r="C205">
        <v>146391453.76454803</v>
      </c>
      <c r="D205">
        <v>132174312.49692293</v>
      </c>
      <c r="E205">
        <v>33873.873873875003</v>
      </c>
      <c r="F205">
        <v>210810.81081081499</v>
      </c>
      <c r="G205">
        <v>19</v>
      </c>
      <c r="H205">
        <v>22</v>
      </c>
      <c r="K205">
        <v>23</v>
      </c>
      <c r="L205">
        <v>26</v>
      </c>
      <c r="M205">
        <v>9692792.7927927878</v>
      </c>
      <c r="N205">
        <v>5392432.4324324308</v>
      </c>
      <c r="O205">
        <v>26172972.97297297</v>
      </c>
      <c r="P205">
        <v>24886274.774774775</v>
      </c>
      <c r="Q205">
        <v>8279729.729729726</v>
      </c>
      <c r="R205">
        <v>13231261.261261258</v>
      </c>
      <c r="S205">
        <v>10802</v>
      </c>
      <c r="T205">
        <v>11047</v>
      </c>
    </row>
    <row r="206" spans="1:20" x14ac:dyDescent="0.35">
      <c r="A206" s="7" t="s">
        <v>299</v>
      </c>
      <c r="B206" s="12" t="s">
        <v>134</v>
      </c>
      <c r="C206">
        <v>66392071.022010587</v>
      </c>
      <c r="D206">
        <v>71169492.962757856</v>
      </c>
      <c r="E206">
        <v>546846.84684684698</v>
      </c>
      <c r="F206">
        <v>383783.783783786</v>
      </c>
      <c r="G206">
        <v>9</v>
      </c>
      <c r="H206">
        <v>10</v>
      </c>
      <c r="K206">
        <v>10</v>
      </c>
      <c r="L206">
        <v>14</v>
      </c>
      <c r="M206">
        <v>6074774.774774773</v>
      </c>
      <c r="N206">
        <v>4754954.9549549548</v>
      </c>
      <c r="O206">
        <v>7331529.7297297297</v>
      </c>
      <c r="P206">
        <v>9175027.0270270277</v>
      </c>
      <c r="Q206">
        <v>4863646.8468468469</v>
      </c>
      <c r="R206">
        <v>4615945.9459459456</v>
      </c>
      <c r="S206">
        <v>6907</v>
      </c>
      <c r="T206">
        <v>7010</v>
      </c>
    </row>
    <row r="207" spans="1:20" x14ac:dyDescent="0.35">
      <c r="A207" s="7" t="s">
        <v>300</v>
      </c>
      <c r="B207" s="12" t="s">
        <v>290</v>
      </c>
      <c r="C207">
        <v>57343291.059498347</v>
      </c>
      <c r="D207">
        <v>51606672.043745682</v>
      </c>
      <c r="E207">
        <v>299549.54954955197</v>
      </c>
      <c r="F207">
        <v>1225225.225225227</v>
      </c>
      <c r="G207">
        <v>31</v>
      </c>
      <c r="H207">
        <v>21</v>
      </c>
      <c r="K207">
        <v>36</v>
      </c>
      <c r="L207">
        <v>25</v>
      </c>
      <c r="M207">
        <v>6520270.2702702722</v>
      </c>
      <c r="N207">
        <v>6190990.9909909917</v>
      </c>
      <c r="O207">
        <v>7709657.6576576559</v>
      </c>
      <c r="P207">
        <v>7798801.8018018007</v>
      </c>
      <c r="Q207">
        <v>4091801.801801804</v>
      </c>
      <c r="R207">
        <v>4539009.0090090083</v>
      </c>
      <c r="S207">
        <v>4492</v>
      </c>
      <c r="T207">
        <v>5140</v>
      </c>
    </row>
    <row r="208" spans="1:20" x14ac:dyDescent="0.35">
      <c r="A208" s="7" t="s">
        <v>301</v>
      </c>
      <c r="B208" s="12" t="s">
        <v>80</v>
      </c>
      <c r="C208">
        <v>77508335.636718646</v>
      </c>
      <c r="D208">
        <v>70331914.185519397</v>
      </c>
      <c r="E208">
        <v>260810.810810811</v>
      </c>
      <c r="F208">
        <v>795270.27027027099</v>
      </c>
      <c r="G208">
        <v>11</v>
      </c>
      <c r="H208">
        <v>11</v>
      </c>
      <c r="K208">
        <v>11</v>
      </c>
      <c r="L208">
        <v>11</v>
      </c>
      <c r="M208">
        <v>8533063.0630630609</v>
      </c>
      <c r="N208">
        <v>6981981.9819819806</v>
      </c>
      <c r="O208">
        <v>17289472.97297297</v>
      </c>
      <c r="P208">
        <v>14680144.144144144</v>
      </c>
      <c r="Q208">
        <v>7828558.5585585581</v>
      </c>
      <c r="R208">
        <v>6239279.2792792805</v>
      </c>
      <c r="S208">
        <v>5712</v>
      </c>
      <c r="T208">
        <v>5978</v>
      </c>
    </row>
    <row r="209" spans="1:20" x14ac:dyDescent="0.35">
      <c r="A209" s="7" t="s">
        <v>302</v>
      </c>
      <c r="B209" s="12" t="s">
        <v>72</v>
      </c>
      <c r="C209">
        <v>118393592.66393489</v>
      </c>
      <c r="D209">
        <v>115098340.09113519</v>
      </c>
      <c r="E209">
        <v>25010810.810810812</v>
      </c>
      <c r="F209">
        <v>225225.225225228</v>
      </c>
      <c r="G209">
        <v>22</v>
      </c>
      <c r="H209">
        <v>21</v>
      </c>
      <c r="K209">
        <v>30</v>
      </c>
      <c r="L209">
        <v>24</v>
      </c>
      <c r="M209">
        <v>12963963.963963959</v>
      </c>
      <c r="N209">
        <v>1568018.0180180201</v>
      </c>
      <c r="O209">
        <v>17597468.468468469</v>
      </c>
      <c r="P209">
        <v>17466270.270270269</v>
      </c>
      <c r="Q209">
        <v>7888288.2882882878</v>
      </c>
      <c r="R209">
        <v>6064594.5945945941</v>
      </c>
      <c r="S209">
        <v>8963</v>
      </c>
      <c r="T209">
        <v>9268</v>
      </c>
    </row>
    <row r="210" spans="1:20" x14ac:dyDescent="0.35">
      <c r="A210" s="7" t="s">
        <v>303</v>
      </c>
      <c r="B210" s="12" t="s">
        <v>304</v>
      </c>
      <c r="C210">
        <v>371923.53062377998</v>
      </c>
      <c r="D210">
        <v>403110.16841395898</v>
      </c>
      <c r="O210">
        <v>51576.576576576997</v>
      </c>
      <c r="P210">
        <v>205945.945945946</v>
      </c>
      <c r="S210">
        <v>62</v>
      </c>
      <c r="T210">
        <v>68</v>
      </c>
    </row>
    <row r="211" spans="1:20" x14ac:dyDescent="0.35">
      <c r="A211" s="7" t="s">
        <v>305</v>
      </c>
      <c r="B211" s="12" t="s">
        <v>117</v>
      </c>
      <c r="C211">
        <v>16369611.521061948</v>
      </c>
      <c r="D211">
        <v>14694888.618928023</v>
      </c>
      <c r="E211">
        <v>16216.216216217999</v>
      </c>
      <c r="F211">
        <v>86486.486486487003</v>
      </c>
      <c r="G211">
        <v>1</v>
      </c>
      <c r="K211">
        <v>1</v>
      </c>
      <c r="M211">
        <v>917117.11711711902</v>
      </c>
      <c r="N211">
        <v>987387.38738738804</v>
      </c>
      <c r="O211">
        <v>6843063.0630630627</v>
      </c>
      <c r="P211">
        <v>6905810.8108108109</v>
      </c>
      <c r="Q211">
        <v>574774.77477477503</v>
      </c>
      <c r="R211">
        <v>815315.31531531597</v>
      </c>
      <c r="S211">
        <v>1779</v>
      </c>
      <c r="T211">
        <v>1757</v>
      </c>
    </row>
    <row r="212" spans="1:20" x14ac:dyDescent="0.35">
      <c r="A212" s="7" t="s">
        <v>306</v>
      </c>
      <c r="B212" s="12" t="s">
        <v>307</v>
      </c>
      <c r="C212">
        <v>18726310.694844492</v>
      </c>
      <c r="D212">
        <v>17690424.666941091</v>
      </c>
      <c r="G212">
        <v>8</v>
      </c>
      <c r="H212">
        <v>5</v>
      </c>
      <c r="K212">
        <v>9</v>
      </c>
      <c r="L212">
        <v>9</v>
      </c>
      <c r="N212">
        <v>211711.71171171201</v>
      </c>
      <c r="O212">
        <v>9241036.0360360369</v>
      </c>
      <c r="P212">
        <v>9545315.3153153155</v>
      </c>
      <c r="Q212">
        <v>71171.171171170994</v>
      </c>
      <c r="R212">
        <v>241441.441441442</v>
      </c>
      <c r="S212">
        <v>4662</v>
      </c>
      <c r="T212">
        <v>4229</v>
      </c>
    </row>
    <row r="213" spans="1:20" x14ac:dyDescent="0.35">
      <c r="A213" s="7" t="s">
        <v>308</v>
      </c>
      <c r="B213" s="12" t="s">
        <v>140</v>
      </c>
      <c r="C213">
        <v>125789740.5108353</v>
      </c>
      <c r="D213">
        <v>128489277.7485687</v>
      </c>
      <c r="E213">
        <v>76711.711711712007</v>
      </c>
      <c r="F213">
        <v>345045.045045048</v>
      </c>
      <c r="G213">
        <v>10</v>
      </c>
      <c r="H213">
        <v>17</v>
      </c>
      <c r="K213">
        <v>20</v>
      </c>
      <c r="L213">
        <v>19</v>
      </c>
      <c r="M213">
        <v>24346396.396396395</v>
      </c>
      <c r="N213">
        <v>20749369.369369373</v>
      </c>
      <c r="O213">
        <v>23750358.558558557</v>
      </c>
      <c r="P213">
        <v>28022252.252252251</v>
      </c>
      <c r="Q213">
        <v>9120630.6306306366</v>
      </c>
      <c r="R213">
        <v>11498738.738738742</v>
      </c>
      <c r="S213">
        <v>7987</v>
      </c>
      <c r="T213">
        <v>8209</v>
      </c>
    </row>
    <row r="214" spans="1:20" x14ac:dyDescent="0.35">
      <c r="A214" s="7" t="s">
        <v>309</v>
      </c>
      <c r="B214" s="12" t="s">
        <v>132</v>
      </c>
      <c r="C214">
        <v>139718050.71119776</v>
      </c>
      <c r="D214">
        <v>105562129.31568132</v>
      </c>
      <c r="E214">
        <v>858558.558558558</v>
      </c>
      <c r="F214">
        <v>1356756.756756756</v>
      </c>
      <c r="G214">
        <v>27</v>
      </c>
      <c r="H214">
        <v>28</v>
      </c>
      <c r="K214">
        <v>36</v>
      </c>
      <c r="L214">
        <v>35</v>
      </c>
      <c r="M214">
        <v>7345045.0450450452</v>
      </c>
      <c r="N214">
        <v>2888288.2882882878</v>
      </c>
      <c r="O214">
        <v>35811648.648648649</v>
      </c>
      <c r="P214">
        <v>28787756.756756756</v>
      </c>
      <c r="Q214">
        <v>4249189.189189191</v>
      </c>
      <c r="R214">
        <v>4934054.0540540526</v>
      </c>
      <c r="S214">
        <v>12063</v>
      </c>
      <c r="T214">
        <v>11439</v>
      </c>
    </row>
    <row r="215" spans="1:20" x14ac:dyDescent="0.35">
      <c r="A215" s="7" t="s">
        <v>310</v>
      </c>
      <c r="B215" s="12" t="s">
        <v>72</v>
      </c>
      <c r="C215">
        <v>208690007.24271536</v>
      </c>
      <c r="D215">
        <v>183934831.35899124</v>
      </c>
      <c r="E215">
        <v>550990.99099099298</v>
      </c>
      <c r="F215">
        <v>775000.00000000501</v>
      </c>
      <c r="G215">
        <v>37</v>
      </c>
      <c r="H215">
        <v>30</v>
      </c>
      <c r="K215">
        <v>49</v>
      </c>
      <c r="L215">
        <v>40</v>
      </c>
      <c r="M215">
        <v>35687027.027027018</v>
      </c>
      <c r="N215">
        <v>27497297.297297295</v>
      </c>
      <c r="O215">
        <v>48887792.79279279</v>
      </c>
      <c r="P215">
        <v>45232972.972972974</v>
      </c>
      <c r="Q215">
        <v>25141981.981981985</v>
      </c>
      <c r="R215">
        <v>25895765.765765768</v>
      </c>
      <c r="S215">
        <v>16663</v>
      </c>
      <c r="T215">
        <v>18441</v>
      </c>
    </row>
    <row r="216" spans="1:20" x14ac:dyDescent="0.35">
      <c r="A216" s="7" t="s">
        <v>311</v>
      </c>
      <c r="B216" s="12" t="s">
        <v>62</v>
      </c>
      <c r="C216">
        <v>36232065.115009069</v>
      </c>
      <c r="D216">
        <v>33588463.327978373</v>
      </c>
      <c r="E216">
        <v>10810.810810812</v>
      </c>
      <c r="F216">
        <v>105405.405405407</v>
      </c>
      <c r="G216">
        <v>2</v>
      </c>
      <c r="H216">
        <v>3</v>
      </c>
      <c r="K216">
        <v>2</v>
      </c>
      <c r="L216">
        <v>3</v>
      </c>
      <c r="M216">
        <v>4831351.3513513496</v>
      </c>
      <c r="N216">
        <v>3844144.1441441448</v>
      </c>
      <c r="O216">
        <v>9216567.5675675683</v>
      </c>
      <c r="P216">
        <v>8706936.9369369373</v>
      </c>
      <c r="Q216">
        <v>4576666.666666666</v>
      </c>
      <c r="R216">
        <v>4696396.3963963967</v>
      </c>
      <c r="S216">
        <v>2237</v>
      </c>
      <c r="T216">
        <v>2220</v>
      </c>
    </row>
    <row r="217" spans="1:20" x14ac:dyDescent="0.35">
      <c r="A217" s="7" t="s">
        <v>312</v>
      </c>
      <c r="B217" s="12" t="s">
        <v>89</v>
      </c>
      <c r="C217">
        <v>12314416.584290868</v>
      </c>
      <c r="D217">
        <v>11646941.337860657</v>
      </c>
      <c r="F217">
        <v>49549.54954955</v>
      </c>
      <c r="G217">
        <v>2</v>
      </c>
      <c r="H217">
        <v>3</v>
      </c>
      <c r="K217">
        <v>2</v>
      </c>
      <c r="L217">
        <v>3</v>
      </c>
      <c r="M217">
        <v>675675.67567567504</v>
      </c>
      <c r="N217">
        <v>1218198.198198199</v>
      </c>
      <c r="O217">
        <v>3332702.702702703</v>
      </c>
      <c r="P217">
        <v>3547603.6036036029</v>
      </c>
      <c r="Q217">
        <v>247297.29729729699</v>
      </c>
      <c r="R217">
        <v>1484774.774774773</v>
      </c>
      <c r="S217">
        <v>1207</v>
      </c>
      <c r="T217">
        <v>1224</v>
      </c>
    </row>
    <row r="218" spans="1:20" x14ac:dyDescent="0.35">
      <c r="A218" s="7" t="s">
        <v>313</v>
      </c>
      <c r="B218" s="12" t="s">
        <v>92</v>
      </c>
      <c r="C218">
        <v>5482619.8210015623</v>
      </c>
      <c r="D218">
        <v>5002650.9266567882</v>
      </c>
      <c r="E218">
        <v>9459459.4594594594</v>
      </c>
      <c r="F218">
        <v>54054.054054054002</v>
      </c>
      <c r="M218">
        <v>4875000</v>
      </c>
      <c r="N218">
        <v>54054.054054054002</v>
      </c>
      <c r="O218">
        <v>340315.31531531498</v>
      </c>
      <c r="P218">
        <v>320585.58558558603</v>
      </c>
      <c r="R218">
        <v>145045.045045045</v>
      </c>
      <c r="S218">
        <v>486</v>
      </c>
      <c r="T218">
        <v>769</v>
      </c>
    </row>
    <row r="219" spans="1:20" x14ac:dyDescent="0.35">
      <c r="A219" s="7" t="s">
        <v>314</v>
      </c>
      <c r="B219" s="12" t="s">
        <v>315</v>
      </c>
      <c r="C219">
        <v>40298766.471870542</v>
      </c>
      <c r="D219">
        <v>38259279.684630163</v>
      </c>
      <c r="E219">
        <v>54054.054054054002</v>
      </c>
      <c r="F219">
        <v>454504.50450450298</v>
      </c>
      <c r="G219">
        <v>8</v>
      </c>
      <c r="H219">
        <v>8</v>
      </c>
      <c r="K219">
        <v>12</v>
      </c>
      <c r="L219">
        <v>9</v>
      </c>
      <c r="M219">
        <v>2684684.6846846822</v>
      </c>
      <c r="N219">
        <v>5754954.954954952</v>
      </c>
      <c r="O219">
        <v>6987657.6576576568</v>
      </c>
      <c r="P219">
        <v>5895333.333333333</v>
      </c>
      <c r="Q219">
        <v>3234504.5045045018</v>
      </c>
      <c r="R219">
        <v>3516666.6666666642</v>
      </c>
      <c r="S219">
        <v>3502</v>
      </c>
      <c r="T219">
        <v>3683</v>
      </c>
    </row>
    <row r="220" spans="1:20" x14ac:dyDescent="0.35">
      <c r="A220" s="7" t="s">
        <v>316</v>
      </c>
      <c r="B220" s="12" t="s">
        <v>62</v>
      </c>
      <c r="C220">
        <v>66747480.465630621</v>
      </c>
      <c r="D220">
        <v>69546988.445688561</v>
      </c>
      <c r="E220">
        <v>213963.96396396699</v>
      </c>
      <c r="F220">
        <v>1377477.477477483</v>
      </c>
      <c r="G220">
        <v>11</v>
      </c>
      <c r="H220">
        <v>11</v>
      </c>
      <c r="K220">
        <v>21</v>
      </c>
      <c r="L220">
        <v>15</v>
      </c>
      <c r="M220">
        <v>5033513.513513512</v>
      </c>
      <c r="N220">
        <v>5193333.333333334</v>
      </c>
      <c r="O220">
        <v>22530540.540540539</v>
      </c>
      <c r="P220">
        <v>23132441.441441439</v>
      </c>
      <c r="Q220">
        <v>4206756.7567567574</v>
      </c>
      <c r="R220">
        <v>5873513.5135135101</v>
      </c>
      <c r="S220">
        <v>8696</v>
      </c>
      <c r="T220">
        <v>8806</v>
      </c>
    </row>
    <row r="221" spans="1:20" x14ac:dyDescent="0.35">
      <c r="A221" s="7" t="s">
        <v>317</v>
      </c>
      <c r="B221" s="12" t="s">
        <v>62</v>
      </c>
      <c r="C221">
        <v>67283292.765487835</v>
      </c>
      <c r="D221">
        <v>62344701.230358429</v>
      </c>
      <c r="E221">
        <v>31531.531531533001</v>
      </c>
      <c r="F221">
        <v>347747.74774775002</v>
      </c>
      <c r="G221">
        <v>34</v>
      </c>
      <c r="H221">
        <v>2</v>
      </c>
      <c r="K221">
        <v>37</v>
      </c>
      <c r="L221">
        <v>2</v>
      </c>
      <c r="M221">
        <v>5919459.4594594594</v>
      </c>
      <c r="N221">
        <v>7602522.5225225221</v>
      </c>
      <c r="O221">
        <v>22266801.801801801</v>
      </c>
      <c r="P221">
        <v>20049423.423423424</v>
      </c>
      <c r="Q221">
        <v>6535225.2252252242</v>
      </c>
      <c r="R221">
        <v>8298198.1981981983</v>
      </c>
      <c r="S221">
        <v>5662</v>
      </c>
      <c r="T221">
        <v>5485</v>
      </c>
    </row>
    <row r="222" spans="1:20" x14ac:dyDescent="0.35">
      <c r="A222" s="7" t="s">
        <v>318</v>
      </c>
      <c r="B222" s="12" t="s">
        <v>78</v>
      </c>
      <c r="C222">
        <v>68155598.690468907</v>
      </c>
      <c r="D222">
        <v>65800363.420468129</v>
      </c>
      <c r="E222">
        <v>642882.88288288598</v>
      </c>
      <c r="F222">
        <v>914414.41441441898</v>
      </c>
      <c r="G222">
        <v>12</v>
      </c>
      <c r="H222">
        <v>20</v>
      </c>
      <c r="K222">
        <v>14</v>
      </c>
      <c r="L222">
        <v>34</v>
      </c>
      <c r="M222">
        <v>12615855.855855854</v>
      </c>
      <c r="N222">
        <v>16945945.945945948</v>
      </c>
      <c r="O222">
        <v>26832270.270270273</v>
      </c>
      <c r="P222">
        <v>27194734.234234232</v>
      </c>
      <c r="Q222">
        <v>13730540.540540541</v>
      </c>
      <c r="R222">
        <v>16715405.405405404</v>
      </c>
      <c r="S222">
        <v>8749</v>
      </c>
      <c r="T222">
        <v>8608</v>
      </c>
    </row>
    <row r="223" spans="1:20" x14ac:dyDescent="0.35">
      <c r="A223" s="7" t="s">
        <v>319</v>
      </c>
      <c r="B223" s="12" t="s">
        <v>78</v>
      </c>
      <c r="C223">
        <v>41703916.908811495</v>
      </c>
      <c r="D223">
        <v>38975390.225751758</v>
      </c>
      <c r="E223">
        <v>321801.80180180201</v>
      </c>
      <c r="F223">
        <v>561261.26126126305</v>
      </c>
      <c r="G223">
        <v>8</v>
      </c>
      <c r="H223">
        <v>8</v>
      </c>
      <c r="K223">
        <v>15</v>
      </c>
      <c r="L223">
        <v>20</v>
      </c>
      <c r="M223">
        <v>5510990.9909909889</v>
      </c>
      <c r="N223">
        <v>3263963.963963964</v>
      </c>
      <c r="O223">
        <v>14298936.936936935</v>
      </c>
      <c r="P223">
        <v>13069531.53153153</v>
      </c>
      <c r="Q223">
        <v>3459189.18918919</v>
      </c>
      <c r="R223">
        <v>2397117.117117119</v>
      </c>
      <c r="S223">
        <v>5629</v>
      </c>
      <c r="T223">
        <v>5389</v>
      </c>
    </row>
    <row r="224" spans="1:20" x14ac:dyDescent="0.35">
      <c r="A224" s="7" t="s">
        <v>320</v>
      </c>
      <c r="B224" s="12" t="s">
        <v>121</v>
      </c>
      <c r="C224">
        <v>342889.65934595198</v>
      </c>
      <c r="D224">
        <v>289720.262734249</v>
      </c>
      <c r="K224">
        <v>2</v>
      </c>
      <c r="O224">
        <v>140540.540540541</v>
      </c>
      <c r="P224">
        <v>13603.603603604</v>
      </c>
      <c r="S224">
        <v>84</v>
      </c>
      <c r="T224">
        <v>129</v>
      </c>
    </row>
    <row r="225" spans="1:20" x14ac:dyDescent="0.35">
      <c r="A225" s="7" t="s">
        <v>321</v>
      </c>
      <c r="B225" s="12" t="s">
        <v>224</v>
      </c>
      <c r="C225">
        <v>51553893.695797391</v>
      </c>
      <c r="D225">
        <v>42540543.391740099</v>
      </c>
      <c r="F225">
        <v>18018.018018018</v>
      </c>
      <c r="G225">
        <v>14</v>
      </c>
      <c r="H225">
        <v>13</v>
      </c>
      <c r="K225">
        <v>15</v>
      </c>
      <c r="L225">
        <v>14</v>
      </c>
      <c r="M225">
        <v>1499099.0990990989</v>
      </c>
      <c r="N225">
        <v>18018.018018018</v>
      </c>
      <c r="O225">
        <v>18938828.828828827</v>
      </c>
      <c r="P225">
        <v>18039466.666666668</v>
      </c>
      <c r="Q225">
        <v>1286756.7567567569</v>
      </c>
      <c r="R225">
        <v>872882.88288288296</v>
      </c>
      <c r="S225">
        <v>4048</v>
      </c>
      <c r="T225">
        <v>3945</v>
      </c>
    </row>
    <row r="226" spans="1:20" x14ac:dyDescent="0.35">
      <c r="A226" s="7" t="s">
        <v>322</v>
      </c>
      <c r="B226" s="12" t="s">
        <v>224</v>
      </c>
      <c r="C226">
        <v>36738905.649879418</v>
      </c>
      <c r="D226">
        <v>31113031.674882825</v>
      </c>
      <c r="E226">
        <v>16216.216216217001</v>
      </c>
      <c r="G226">
        <v>4</v>
      </c>
      <c r="K226">
        <v>4</v>
      </c>
      <c r="M226">
        <v>1727927.9279279271</v>
      </c>
      <c r="N226">
        <v>4999999.9999999991</v>
      </c>
      <c r="O226">
        <v>9742612.6126126125</v>
      </c>
      <c r="P226">
        <v>9246220.7207207195</v>
      </c>
      <c r="Q226">
        <v>2467297.297297297</v>
      </c>
      <c r="R226">
        <v>2672342.3423423418</v>
      </c>
      <c r="S226">
        <v>2220</v>
      </c>
      <c r="T226">
        <v>2200</v>
      </c>
    </row>
    <row r="227" spans="1:20" x14ac:dyDescent="0.35">
      <c r="A227" s="7" t="s">
        <v>668</v>
      </c>
      <c r="B227" s="12" t="s">
        <v>94</v>
      </c>
      <c r="S227">
        <v>2</v>
      </c>
    </row>
    <row r="228" spans="1:20" x14ac:dyDescent="0.35">
      <c r="A228" s="7" t="s">
        <v>323</v>
      </c>
      <c r="B228" s="12" t="s">
        <v>78</v>
      </c>
      <c r="C228">
        <v>50428740.735943668</v>
      </c>
      <c r="D228">
        <v>50293980.811092824</v>
      </c>
      <c r="E228">
        <v>377927.92792792799</v>
      </c>
      <c r="F228">
        <v>221621.62162162201</v>
      </c>
      <c r="G228">
        <v>9</v>
      </c>
      <c r="H228">
        <v>19</v>
      </c>
      <c r="K228">
        <v>11</v>
      </c>
      <c r="L228">
        <v>56</v>
      </c>
      <c r="M228">
        <v>9364414.4144144133</v>
      </c>
      <c r="N228">
        <v>6527927.927927928</v>
      </c>
      <c r="O228">
        <v>14185022.522522522</v>
      </c>
      <c r="P228">
        <v>15619261.261261262</v>
      </c>
      <c r="Q228">
        <v>5782792.7927927934</v>
      </c>
      <c r="R228">
        <v>6771801.8018017998</v>
      </c>
      <c r="S228">
        <v>4584</v>
      </c>
      <c r="T228">
        <v>4538</v>
      </c>
    </row>
    <row r="229" spans="1:20" x14ac:dyDescent="0.35">
      <c r="A229" s="7" t="s">
        <v>324</v>
      </c>
      <c r="B229" s="12" t="s">
        <v>108</v>
      </c>
      <c r="C229">
        <v>232806441.87593961</v>
      </c>
      <c r="D229">
        <v>231485748.69773299</v>
      </c>
      <c r="E229">
        <v>63968230.630630635</v>
      </c>
      <c r="F229">
        <v>2503813.5135135199</v>
      </c>
      <c r="G229">
        <v>51</v>
      </c>
      <c r="H229">
        <v>41</v>
      </c>
      <c r="K229">
        <v>88</v>
      </c>
      <c r="L229">
        <v>51</v>
      </c>
      <c r="M229">
        <v>20309099.099099092</v>
      </c>
      <c r="N229">
        <v>18482702.702702701</v>
      </c>
      <c r="O229">
        <v>56010067.567567565</v>
      </c>
      <c r="P229">
        <v>58693261.261261255</v>
      </c>
      <c r="Q229">
        <v>19467207.207207203</v>
      </c>
      <c r="R229">
        <v>21369369.369369365</v>
      </c>
      <c r="S229">
        <v>22425</v>
      </c>
      <c r="T229">
        <v>21892</v>
      </c>
    </row>
    <row r="230" spans="1:20" x14ac:dyDescent="0.35">
      <c r="A230" s="7" t="s">
        <v>325</v>
      </c>
      <c r="B230" s="12" t="s">
        <v>224</v>
      </c>
      <c r="C230">
        <v>57530289.830343358</v>
      </c>
      <c r="D230">
        <v>45480441.716117695</v>
      </c>
      <c r="E230">
        <v>314954.95495495503</v>
      </c>
      <c r="F230">
        <v>110810.810810811</v>
      </c>
      <c r="G230">
        <v>20</v>
      </c>
      <c r="H230">
        <v>2</v>
      </c>
      <c r="K230">
        <v>27</v>
      </c>
      <c r="L230">
        <v>2</v>
      </c>
      <c r="M230">
        <v>7522162.1621621624</v>
      </c>
      <c r="N230">
        <v>5065765.7657657657</v>
      </c>
      <c r="O230">
        <v>10492765.765765766</v>
      </c>
      <c r="P230">
        <v>8854243.2432432435</v>
      </c>
      <c r="Q230">
        <v>4717117.1171171181</v>
      </c>
      <c r="R230">
        <v>4090630.630630631</v>
      </c>
      <c r="S230">
        <v>4376</v>
      </c>
      <c r="T230">
        <v>4419</v>
      </c>
    </row>
    <row r="231" spans="1:20" x14ac:dyDescent="0.35">
      <c r="A231" s="7" t="s">
        <v>4</v>
      </c>
      <c r="B231" s="12" t="s">
        <v>158</v>
      </c>
      <c r="C231">
        <v>39160274.199134879</v>
      </c>
      <c r="D231">
        <v>39489302.059486322</v>
      </c>
      <c r="E231">
        <v>303603.60360360303</v>
      </c>
      <c r="F231">
        <v>108108.108108108</v>
      </c>
      <c r="G231">
        <v>3</v>
      </c>
      <c r="H231">
        <v>2</v>
      </c>
      <c r="K231">
        <v>5</v>
      </c>
      <c r="L231">
        <v>3</v>
      </c>
      <c r="M231">
        <v>8315765.7657657657</v>
      </c>
      <c r="N231">
        <v>16957657.657657657</v>
      </c>
      <c r="O231">
        <v>13994504.504504504</v>
      </c>
      <c r="P231">
        <v>13600981.98198198</v>
      </c>
      <c r="Q231">
        <v>6611261.2612612601</v>
      </c>
      <c r="R231">
        <v>16707837.837837836</v>
      </c>
      <c r="S231">
        <v>3584</v>
      </c>
      <c r="T231">
        <v>3607</v>
      </c>
    </row>
    <row r="232" spans="1:20" x14ac:dyDescent="0.35">
      <c r="A232" s="7" t="s">
        <v>34</v>
      </c>
      <c r="B232" s="12" t="s">
        <v>193</v>
      </c>
      <c r="E232">
        <v>74622534.234234244</v>
      </c>
      <c r="F232">
        <v>99622294.594594598</v>
      </c>
      <c r="M232">
        <v>86486.486486485999</v>
      </c>
      <c r="N232">
        <v>165765.765765766</v>
      </c>
    </row>
    <row r="233" spans="1:20" x14ac:dyDescent="0.35">
      <c r="A233" s="7" t="s">
        <v>326</v>
      </c>
      <c r="B233" s="12" t="s">
        <v>108</v>
      </c>
      <c r="C233">
        <v>186341661.8796314</v>
      </c>
      <c r="D233">
        <v>186529028.72991303</v>
      </c>
      <c r="E233">
        <v>42483063.063063063</v>
      </c>
      <c r="F233">
        <v>1969594.594594602</v>
      </c>
      <c r="G233">
        <v>50</v>
      </c>
      <c r="H233">
        <v>48</v>
      </c>
      <c r="K233">
        <v>87</v>
      </c>
      <c r="L233">
        <v>67</v>
      </c>
      <c r="M233">
        <v>27845675.675675672</v>
      </c>
      <c r="N233">
        <v>22895315.315315317</v>
      </c>
      <c r="O233">
        <v>51835045.045045048</v>
      </c>
      <c r="P233">
        <v>56648819.819819823</v>
      </c>
      <c r="Q233">
        <v>24815765.765765768</v>
      </c>
      <c r="R233">
        <v>22502072.072072074</v>
      </c>
      <c r="S233">
        <v>19784</v>
      </c>
      <c r="T233">
        <v>19768</v>
      </c>
    </row>
    <row r="234" spans="1:20" x14ac:dyDescent="0.35">
      <c r="A234" s="7" t="s">
        <v>327</v>
      </c>
      <c r="B234" s="12" t="s">
        <v>78</v>
      </c>
      <c r="C234">
        <v>19501713.548363414</v>
      </c>
      <c r="D234">
        <v>19081091.833297849</v>
      </c>
      <c r="E234">
        <v>139639.63963963999</v>
      </c>
      <c r="F234">
        <v>81081.081081081997</v>
      </c>
      <c r="G234">
        <v>8</v>
      </c>
      <c r="H234">
        <v>7</v>
      </c>
      <c r="K234">
        <v>8</v>
      </c>
      <c r="L234">
        <v>8</v>
      </c>
      <c r="M234">
        <v>229729.72972973</v>
      </c>
      <c r="N234">
        <v>1972972.972972973</v>
      </c>
      <c r="O234">
        <v>5258963.9639639631</v>
      </c>
      <c r="P234">
        <v>6277855.8558558561</v>
      </c>
      <c r="Q234">
        <v>1066576.5765765761</v>
      </c>
      <c r="R234">
        <v>1670540.5405405399</v>
      </c>
      <c r="S234">
        <v>2048</v>
      </c>
      <c r="T234">
        <v>2008</v>
      </c>
    </row>
    <row r="235" spans="1:20" x14ac:dyDescent="0.35">
      <c r="A235" s="7" t="s">
        <v>328</v>
      </c>
      <c r="B235" s="12" t="s">
        <v>121</v>
      </c>
      <c r="C235">
        <v>56461713.16270043</v>
      </c>
      <c r="D235">
        <v>48459393.516242318</v>
      </c>
      <c r="E235">
        <v>22522.522522522999</v>
      </c>
      <c r="F235">
        <v>439414.41441441298</v>
      </c>
      <c r="G235">
        <v>19</v>
      </c>
      <c r="H235">
        <v>15</v>
      </c>
      <c r="K235">
        <v>23</v>
      </c>
      <c r="L235">
        <v>17</v>
      </c>
      <c r="M235">
        <v>2283783.7837837841</v>
      </c>
      <c r="N235">
        <v>4130630.6306306301</v>
      </c>
      <c r="O235">
        <v>7744270.2702702703</v>
      </c>
      <c r="P235">
        <v>6227081.0810810803</v>
      </c>
      <c r="Q235">
        <v>2473333.333333334</v>
      </c>
      <c r="R235">
        <v>2279639.6396396402</v>
      </c>
      <c r="S235">
        <v>4071</v>
      </c>
      <c r="T235">
        <v>3591</v>
      </c>
    </row>
    <row r="236" spans="1:20" x14ac:dyDescent="0.35">
      <c r="A236" s="7" t="s">
        <v>329</v>
      </c>
      <c r="B236" s="12" t="s">
        <v>330</v>
      </c>
      <c r="C236">
        <v>128556902.47796094</v>
      </c>
      <c r="D236">
        <v>117719273.34491153</v>
      </c>
      <c r="E236">
        <v>311261.26126126299</v>
      </c>
      <c r="F236">
        <v>1419144.1441441451</v>
      </c>
      <c r="G236">
        <v>35</v>
      </c>
      <c r="H236">
        <v>41</v>
      </c>
      <c r="I236">
        <v>2</v>
      </c>
      <c r="K236">
        <v>43</v>
      </c>
      <c r="L236">
        <v>54</v>
      </c>
      <c r="M236">
        <v>8287117.1171171172</v>
      </c>
      <c r="N236">
        <v>5576576.5765765766</v>
      </c>
      <c r="O236">
        <v>24558630.630630631</v>
      </c>
      <c r="P236">
        <v>24583927.927927926</v>
      </c>
      <c r="Q236">
        <v>8291621.621621619</v>
      </c>
      <c r="R236">
        <v>6357477.4774774769</v>
      </c>
      <c r="S236">
        <v>13989</v>
      </c>
      <c r="T236">
        <v>13815</v>
      </c>
    </row>
    <row r="237" spans="1:20" x14ac:dyDescent="0.35">
      <c r="A237" s="7" t="s">
        <v>331</v>
      </c>
      <c r="B237" s="12" t="s">
        <v>290</v>
      </c>
      <c r="C237">
        <v>188620497.73435873</v>
      </c>
      <c r="D237">
        <v>179746242.27668926</v>
      </c>
      <c r="E237">
        <v>21976708.108108107</v>
      </c>
      <c r="F237">
        <v>41773594.594594598</v>
      </c>
      <c r="G237">
        <v>45</v>
      </c>
      <c r="H237">
        <v>47</v>
      </c>
      <c r="K237">
        <v>56</v>
      </c>
      <c r="L237">
        <v>65</v>
      </c>
      <c r="M237">
        <v>26665085.58558559</v>
      </c>
      <c r="N237">
        <v>18526680.180180185</v>
      </c>
      <c r="O237">
        <v>30539729.729729727</v>
      </c>
      <c r="P237">
        <v>31614664.864864863</v>
      </c>
      <c r="Q237">
        <v>18592972.972972974</v>
      </c>
      <c r="R237">
        <v>15120810.810810812</v>
      </c>
      <c r="S237">
        <v>17014</v>
      </c>
      <c r="T237">
        <v>17544</v>
      </c>
    </row>
    <row r="238" spans="1:20" x14ac:dyDescent="0.35">
      <c r="A238" s="7" t="s">
        <v>332</v>
      </c>
      <c r="B238" s="12" t="s">
        <v>290</v>
      </c>
      <c r="C238">
        <v>139320490.55221066</v>
      </c>
      <c r="D238">
        <v>134533053.17610833</v>
      </c>
      <c r="E238">
        <v>639189.189189189</v>
      </c>
      <c r="F238">
        <v>1171171.1711711739</v>
      </c>
      <c r="G238">
        <v>25</v>
      </c>
      <c r="H238">
        <v>19</v>
      </c>
      <c r="I238">
        <v>1</v>
      </c>
      <c r="K238">
        <v>42</v>
      </c>
      <c r="L238">
        <v>26</v>
      </c>
      <c r="M238">
        <v>12738288.288288292</v>
      </c>
      <c r="N238">
        <v>16784684.684684686</v>
      </c>
      <c r="O238">
        <v>33011837.837837841</v>
      </c>
      <c r="P238">
        <v>34887513.513513513</v>
      </c>
      <c r="Q238">
        <v>15359909.909909919</v>
      </c>
      <c r="R238">
        <v>19298738.738738742</v>
      </c>
      <c r="S238">
        <v>14654</v>
      </c>
      <c r="T238">
        <v>14789</v>
      </c>
    </row>
    <row r="239" spans="1:20" x14ac:dyDescent="0.35">
      <c r="A239" s="7" t="s">
        <v>333</v>
      </c>
      <c r="B239" s="12" t="s">
        <v>60</v>
      </c>
      <c r="C239">
        <v>18659236.467138685</v>
      </c>
      <c r="D239">
        <v>18788090.757349547</v>
      </c>
      <c r="E239">
        <v>28681081.081081081</v>
      </c>
      <c r="F239">
        <v>20805405.40540541</v>
      </c>
      <c r="G239">
        <v>4</v>
      </c>
      <c r="H239">
        <v>23</v>
      </c>
      <c r="K239">
        <v>8</v>
      </c>
      <c r="L239">
        <v>31</v>
      </c>
      <c r="M239">
        <v>4742342.3423423413</v>
      </c>
      <c r="N239">
        <v>4266306.3063063053</v>
      </c>
      <c r="O239">
        <v>6457747.7477477482</v>
      </c>
      <c r="P239">
        <v>6500351.3513513505</v>
      </c>
      <c r="Q239">
        <v>4132882.8828828828</v>
      </c>
      <c r="R239">
        <v>1949009.009009009</v>
      </c>
      <c r="S239">
        <v>1999</v>
      </c>
      <c r="T239">
        <v>2020</v>
      </c>
    </row>
    <row r="240" spans="1:20" x14ac:dyDescent="0.35">
      <c r="A240" s="7" t="s">
        <v>334</v>
      </c>
      <c r="B240" s="12" t="s">
        <v>60</v>
      </c>
      <c r="C240">
        <v>3160510.699340594</v>
      </c>
      <c r="D240">
        <v>3061780.4247025428</v>
      </c>
      <c r="E240">
        <v>2702.7027027029999</v>
      </c>
      <c r="F240">
        <v>215315.31531531599</v>
      </c>
      <c r="H240">
        <v>3</v>
      </c>
      <c r="L240">
        <v>5</v>
      </c>
      <c r="M240">
        <v>48648.648648649003</v>
      </c>
      <c r="N240">
        <v>457207.20720720798</v>
      </c>
      <c r="O240">
        <v>1722612.612612613</v>
      </c>
      <c r="P240">
        <v>1615765.765765765</v>
      </c>
      <c r="Q240">
        <v>43243.243243243</v>
      </c>
      <c r="R240">
        <v>399909.90990991</v>
      </c>
      <c r="S240">
        <v>1139</v>
      </c>
      <c r="T240">
        <v>778</v>
      </c>
    </row>
    <row r="241" spans="1:20" x14ac:dyDescent="0.35">
      <c r="A241" s="7" t="s">
        <v>335</v>
      </c>
      <c r="B241" s="12" t="s">
        <v>121</v>
      </c>
      <c r="C241">
        <v>31763.224249747</v>
      </c>
      <c r="D241">
        <v>434950.81578796898</v>
      </c>
      <c r="O241">
        <v>34234.234234233998</v>
      </c>
      <c r="P241">
        <v>12162.162162162</v>
      </c>
      <c r="T241">
        <v>155</v>
      </c>
    </row>
    <row r="242" spans="1:20" x14ac:dyDescent="0.35">
      <c r="A242" s="7" t="s">
        <v>336</v>
      </c>
      <c r="B242" s="12" t="s">
        <v>121</v>
      </c>
      <c r="C242">
        <v>705734.83834745397</v>
      </c>
      <c r="D242">
        <v>704437.07040411304</v>
      </c>
      <c r="E242">
        <v>451227.02702702698</v>
      </c>
      <c r="F242">
        <v>18286645.045045044</v>
      </c>
      <c r="K242">
        <v>1</v>
      </c>
      <c r="N242">
        <v>652437.83783783799</v>
      </c>
      <c r="O242">
        <v>161081.08108108101</v>
      </c>
      <c r="P242">
        <v>186576.576576577</v>
      </c>
      <c r="S242">
        <v>109</v>
      </c>
      <c r="T242">
        <v>105</v>
      </c>
    </row>
    <row r="243" spans="1:20" x14ac:dyDescent="0.35">
      <c r="A243" s="7" t="s">
        <v>337</v>
      </c>
      <c r="B243" s="12" t="s">
        <v>121</v>
      </c>
      <c r="C243">
        <v>582033.71638326498</v>
      </c>
      <c r="D243">
        <v>458088.71276487003</v>
      </c>
      <c r="O243">
        <v>10585.585585586001</v>
      </c>
      <c r="P243">
        <v>14414.414414413999</v>
      </c>
      <c r="S243">
        <v>150</v>
      </c>
      <c r="T243">
        <v>133</v>
      </c>
    </row>
    <row r="244" spans="1:20" x14ac:dyDescent="0.35">
      <c r="A244" s="7" t="s">
        <v>338</v>
      </c>
      <c r="B244" s="12" t="s">
        <v>140</v>
      </c>
      <c r="C244">
        <v>212417256.21039325</v>
      </c>
      <c r="D244">
        <v>207697032.5018875</v>
      </c>
      <c r="E244">
        <v>189099.09909910199</v>
      </c>
      <c r="F244">
        <v>460360.36036036297</v>
      </c>
      <c r="G244">
        <v>55</v>
      </c>
      <c r="H244">
        <v>29</v>
      </c>
      <c r="K244">
        <v>67</v>
      </c>
      <c r="L244">
        <v>44</v>
      </c>
      <c r="M244">
        <v>21108026.126126125</v>
      </c>
      <c r="N244">
        <v>18080900.9009009</v>
      </c>
      <c r="O244">
        <v>41152612.612612613</v>
      </c>
      <c r="P244">
        <v>39839693.693693697</v>
      </c>
      <c r="Q244">
        <v>18188288.288288288</v>
      </c>
      <c r="R244">
        <v>18215225.225225225</v>
      </c>
      <c r="S244">
        <v>16131</v>
      </c>
      <c r="T244">
        <v>15953</v>
      </c>
    </row>
    <row r="245" spans="1:20" x14ac:dyDescent="0.35">
      <c r="A245" s="7" t="s">
        <v>339</v>
      </c>
      <c r="B245" s="12" t="s">
        <v>121</v>
      </c>
      <c r="C245">
        <v>34983958.710634455</v>
      </c>
      <c r="D245">
        <v>30063496.831014618</v>
      </c>
      <c r="G245">
        <v>17</v>
      </c>
      <c r="H245">
        <v>9</v>
      </c>
      <c r="K245">
        <v>19</v>
      </c>
      <c r="L245">
        <v>9</v>
      </c>
      <c r="O245">
        <v>2397468.4684684691</v>
      </c>
      <c r="P245">
        <v>1928207.207207208</v>
      </c>
      <c r="S245">
        <v>2459</v>
      </c>
      <c r="T245">
        <v>2408</v>
      </c>
    </row>
    <row r="246" spans="1:20" x14ac:dyDescent="0.35">
      <c r="A246" s="7" t="s">
        <v>340</v>
      </c>
      <c r="B246" s="12" t="s">
        <v>140</v>
      </c>
      <c r="C246">
        <v>106287843.98208563</v>
      </c>
      <c r="D246">
        <v>113311921.46894634</v>
      </c>
      <c r="E246">
        <v>124774.77477477401</v>
      </c>
      <c r="F246">
        <v>270720.72072072403</v>
      </c>
      <c r="G246">
        <v>11</v>
      </c>
      <c r="H246">
        <v>10</v>
      </c>
      <c r="K246">
        <v>12</v>
      </c>
      <c r="L246">
        <v>19</v>
      </c>
      <c r="M246">
        <v>15255405.405405404</v>
      </c>
      <c r="N246">
        <v>21063783.783783782</v>
      </c>
      <c r="O246">
        <v>26909270.270270273</v>
      </c>
      <c r="P246">
        <v>31991322.522522524</v>
      </c>
      <c r="Q246">
        <v>17100630.630630627</v>
      </c>
      <c r="R246">
        <v>15786036.036036037</v>
      </c>
      <c r="S246">
        <v>8806</v>
      </c>
      <c r="T246">
        <v>9012</v>
      </c>
    </row>
    <row r="247" spans="1:20" x14ac:dyDescent="0.35">
      <c r="A247" s="7" t="s">
        <v>341</v>
      </c>
      <c r="B247" s="12" t="s">
        <v>134</v>
      </c>
      <c r="C247">
        <v>12729407.873553716</v>
      </c>
      <c r="D247">
        <v>10272375.937852712</v>
      </c>
      <c r="F247">
        <v>27027.027027027001</v>
      </c>
      <c r="G247">
        <v>2</v>
      </c>
      <c r="H247">
        <v>3</v>
      </c>
      <c r="K247">
        <v>2</v>
      </c>
      <c r="L247">
        <v>3</v>
      </c>
      <c r="M247">
        <v>90090.090090090001</v>
      </c>
      <c r="N247">
        <v>567567.56756756804</v>
      </c>
      <c r="O247">
        <v>838423.42342342401</v>
      </c>
      <c r="P247">
        <v>980675.67567567504</v>
      </c>
      <c r="Q247">
        <v>371531.531531532</v>
      </c>
      <c r="R247">
        <v>390090.09009009</v>
      </c>
      <c r="S247">
        <v>1262</v>
      </c>
      <c r="T247">
        <v>1306</v>
      </c>
    </row>
    <row r="248" spans="1:20" x14ac:dyDescent="0.35">
      <c r="A248" s="7" t="s">
        <v>342</v>
      </c>
      <c r="B248" s="12" t="s">
        <v>121</v>
      </c>
      <c r="C248">
        <v>660235.97899697395</v>
      </c>
      <c r="D248">
        <v>207560.142843637</v>
      </c>
      <c r="G248">
        <v>2</v>
      </c>
      <c r="K248">
        <v>2</v>
      </c>
      <c r="O248">
        <v>365765.76576576597</v>
      </c>
      <c r="P248">
        <v>40990.990990990998</v>
      </c>
      <c r="S248">
        <v>405</v>
      </c>
      <c r="T248">
        <v>2</v>
      </c>
    </row>
    <row r="249" spans="1:20" x14ac:dyDescent="0.35">
      <c r="A249" s="7" t="s">
        <v>5</v>
      </c>
      <c r="B249" s="12" t="s">
        <v>158</v>
      </c>
      <c r="C249">
        <v>31826005.618369665</v>
      </c>
      <c r="D249">
        <v>42158472.254961282</v>
      </c>
      <c r="E249">
        <v>273423.42342342302</v>
      </c>
      <c r="F249">
        <v>44144.144144145001</v>
      </c>
      <c r="G249">
        <v>5</v>
      </c>
      <c r="H249">
        <v>3</v>
      </c>
      <c r="K249">
        <v>7</v>
      </c>
      <c r="L249">
        <v>3</v>
      </c>
      <c r="M249">
        <v>1904054.054054053</v>
      </c>
      <c r="N249">
        <v>5321621.6216216218</v>
      </c>
      <c r="O249">
        <v>14639144.144144144</v>
      </c>
      <c r="P249">
        <v>17266792.792792793</v>
      </c>
      <c r="Q249">
        <v>1272252.2522522521</v>
      </c>
      <c r="R249">
        <v>4050540.5405405401</v>
      </c>
      <c r="S249">
        <v>3024</v>
      </c>
      <c r="T249">
        <v>3001</v>
      </c>
    </row>
    <row r="250" spans="1:20" x14ac:dyDescent="0.35">
      <c r="A250" s="7" t="s">
        <v>343</v>
      </c>
      <c r="B250" s="12" t="s">
        <v>304</v>
      </c>
      <c r="C250">
        <v>4424027.8147742273</v>
      </c>
      <c r="D250">
        <v>6707830.1819595098</v>
      </c>
      <c r="E250">
        <v>900.900900901</v>
      </c>
      <c r="G250">
        <v>9</v>
      </c>
      <c r="H250">
        <v>4</v>
      </c>
      <c r="K250">
        <v>10</v>
      </c>
      <c r="L250">
        <v>6</v>
      </c>
      <c r="M250">
        <v>900.900900901</v>
      </c>
      <c r="N250">
        <v>44594.594594595001</v>
      </c>
      <c r="O250">
        <v>979684.68468468497</v>
      </c>
      <c r="P250">
        <v>1452468.4684684679</v>
      </c>
      <c r="Q250">
        <v>75225.225225225004</v>
      </c>
      <c r="R250">
        <v>48648.648648649003</v>
      </c>
      <c r="S250">
        <v>566</v>
      </c>
      <c r="T250">
        <v>555</v>
      </c>
    </row>
    <row r="251" spans="1:20" x14ac:dyDescent="0.35">
      <c r="A251" s="7" t="s">
        <v>344</v>
      </c>
      <c r="B251" s="12" t="s">
        <v>105</v>
      </c>
      <c r="C251">
        <v>79865680.006651059</v>
      </c>
      <c r="D251">
        <v>83064232.910844877</v>
      </c>
      <c r="E251">
        <v>5431531.5315315314</v>
      </c>
      <c r="F251">
        <v>641891.89189189195</v>
      </c>
      <c r="G251">
        <v>11</v>
      </c>
      <c r="H251">
        <v>10</v>
      </c>
      <c r="K251">
        <v>17</v>
      </c>
      <c r="L251">
        <v>12</v>
      </c>
      <c r="M251">
        <v>6983333.333333333</v>
      </c>
      <c r="N251">
        <v>10118018.01801802</v>
      </c>
      <c r="O251">
        <v>20311027.02702703</v>
      </c>
      <c r="P251">
        <v>18164630.630630631</v>
      </c>
      <c r="Q251">
        <v>7983693.6936936937</v>
      </c>
      <c r="R251">
        <v>8828018.0180180185</v>
      </c>
      <c r="S251">
        <v>5702</v>
      </c>
      <c r="T251">
        <v>5890</v>
      </c>
    </row>
    <row r="252" spans="1:20" x14ac:dyDescent="0.35">
      <c r="A252" s="7" t="s">
        <v>345</v>
      </c>
      <c r="B252" s="12" t="s">
        <v>87</v>
      </c>
      <c r="C252">
        <v>28116672.362651277</v>
      </c>
      <c r="D252">
        <v>26034373.125524528</v>
      </c>
      <c r="E252">
        <v>288288.28828828898</v>
      </c>
      <c r="F252">
        <v>40540.540540540998</v>
      </c>
      <c r="G252">
        <v>16</v>
      </c>
      <c r="H252">
        <v>9</v>
      </c>
      <c r="K252">
        <v>18</v>
      </c>
      <c r="L252">
        <v>10</v>
      </c>
      <c r="M252">
        <v>7180180.1801801799</v>
      </c>
      <c r="N252">
        <v>9157657.6576576568</v>
      </c>
      <c r="O252">
        <v>5829662.1621621624</v>
      </c>
      <c r="P252">
        <v>6679135.1351351347</v>
      </c>
      <c r="Q252">
        <v>3656756.7567567569</v>
      </c>
      <c r="R252">
        <v>4795225.2252252242</v>
      </c>
      <c r="S252">
        <v>2166</v>
      </c>
      <c r="T252">
        <v>2377</v>
      </c>
    </row>
    <row r="253" spans="1:20" x14ac:dyDescent="0.35">
      <c r="A253" s="7" t="s">
        <v>346</v>
      </c>
      <c r="B253" s="12" t="s">
        <v>87</v>
      </c>
      <c r="C253">
        <v>85718413.028543741</v>
      </c>
      <c r="D253">
        <v>71393609.535688251</v>
      </c>
      <c r="E253">
        <v>63963.963963966002</v>
      </c>
      <c r="F253">
        <v>558558.558558563</v>
      </c>
      <c r="G253">
        <v>56</v>
      </c>
      <c r="H253">
        <v>49</v>
      </c>
      <c r="I253">
        <v>1</v>
      </c>
      <c r="K253">
        <v>71</v>
      </c>
      <c r="L253">
        <v>66</v>
      </c>
      <c r="M253">
        <v>8179279.2792792832</v>
      </c>
      <c r="N253">
        <v>6999999.9999999991</v>
      </c>
      <c r="O253">
        <v>12269373.873873876</v>
      </c>
      <c r="P253">
        <v>12182072.072072074</v>
      </c>
      <c r="Q253">
        <v>7393333.333333333</v>
      </c>
      <c r="R253">
        <v>4893693.6936936937</v>
      </c>
      <c r="S253">
        <v>6762</v>
      </c>
      <c r="T253">
        <v>6373</v>
      </c>
    </row>
    <row r="254" spans="1:20" x14ac:dyDescent="0.35">
      <c r="A254" s="7" t="s">
        <v>347</v>
      </c>
      <c r="B254" s="12" t="s">
        <v>87</v>
      </c>
      <c r="C254">
        <v>1958486.110686599</v>
      </c>
      <c r="D254">
        <v>2279233.0374918459</v>
      </c>
      <c r="G254">
        <v>1</v>
      </c>
      <c r="H254">
        <v>3</v>
      </c>
      <c r="K254">
        <v>1</v>
      </c>
      <c r="L254">
        <v>6</v>
      </c>
      <c r="O254">
        <v>1154189.18918919</v>
      </c>
      <c r="P254">
        <v>1024360.36036036</v>
      </c>
      <c r="S254">
        <v>835</v>
      </c>
      <c r="T254">
        <v>769</v>
      </c>
    </row>
    <row r="255" spans="1:20" x14ac:dyDescent="0.35">
      <c r="A255" s="7" t="s">
        <v>348</v>
      </c>
      <c r="B255" s="12" t="s">
        <v>87</v>
      </c>
      <c r="C255">
        <v>709347.89687133196</v>
      </c>
      <c r="D255">
        <v>1052450.7054426339</v>
      </c>
      <c r="H255">
        <v>1</v>
      </c>
      <c r="L255">
        <v>1</v>
      </c>
      <c r="O255">
        <v>100450.45045044999</v>
      </c>
      <c r="P255">
        <v>489954.95495495503</v>
      </c>
      <c r="S255">
        <v>193</v>
      </c>
      <c r="T255">
        <v>183</v>
      </c>
    </row>
    <row r="256" spans="1:20" x14ac:dyDescent="0.35">
      <c r="A256" s="7" t="s">
        <v>349</v>
      </c>
      <c r="B256" s="12" t="s">
        <v>87</v>
      </c>
      <c r="C256">
        <v>837051.69295218005</v>
      </c>
      <c r="D256">
        <v>824918.98987422395</v>
      </c>
      <c r="H256">
        <v>1</v>
      </c>
      <c r="K256">
        <v>1</v>
      </c>
      <c r="L256">
        <v>2</v>
      </c>
      <c r="O256">
        <v>251441.44144144101</v>
      </c>
      <c r="P256">
        <v>483603.60360360303</v>
      </c>
      <c r="S256">
        <v>646</v>
      </c>
      <c r="T256">
        <v>580</v>
      </c>
    </row>
    <row r="257" spans="1:20" x14ac:dyDescent="0.35">
      <c r="A257" s="7" t="s">
        <v>350</v>
      </c>
      <c r="B257" s="12" t="s">
        <v>87</v>
      </c>
      <c r="C257">
        <v>25393176.864334539</v>
      </c>
      <c r="D257">
        <v>21427969.023074154</v>
      </c>
      <c r="E257">
        <v>4504.5045045050001</v>
      </c>
      <c r="F257">
        <v>14414.414414415</v>
      </c>
      <c r="G257">
        <v>13</v>
      </c>
      <c r="H257">
        <v>6</v>
      </c>
      <c r="K257">
        <v>15</v>
      </c>
      <c r="L257">
        <v>9</v>
      </c>
      <c r="M257">
        <v>2887387.3873873879</v>
      </c>
      <c r="N257">
        <v>1664864.8648648639</v>
      </c>
      <c r="O257">
        <v>4676756.7567567565</v>
      </c>
      <c r="P257">
        <v>4125297.297297298</v>
      </c>
      <c r="Q257">
        <v>1951261.261261262</v>
      </c>
      <c r="R257">
        <v>1418828.8288288291</v>
      </c>
      <c r="S257">
        <v>1988</v>
      </c>
      <c r="T257">
        <v>2035</v>
      </c>
    </row>
    <row r="258" spans="1:20" x14ac:dyDescent="0.35">
      <c r="A258" s="7" t="s">
        <v>351</v>
      </c>
      <c r="B258" s="12" t="s">
        <v>50</v>
      </c>
      <c r="C258">
        <v>53317277.206531696</v>
      </c>
      <c r="D258">
        <v>59408157.696503125</v>
      </c>
      <c r="E258">
        <v>122522.522522524</v>
      </c>
      <c r="F258">
        <v>312612.61261261499</v>
      </c>
      <c r="G258">
        <v>6</v>
      </c>
      <c r="H258">
        <v>19</v>
      </c>
      <c r="K258">
        <v>7</v>
      </c>
      <c r="L258">
        <v>23</v>
      </c>
      <c r="M258">
        <v>9177477.4774774779</v>
      </c>
      <c r="N258">
        <v>6565765.7657657657</v>
      </c>
      <c r="O258">
        <v>20187117.117117114</v>
      </c>
      <c r="P258">
        <v>21801509.009009007</v>
      </c>
      <c r="Q258">
        <v>8786396.3963963985</v>
      </c>
      <c r="R258">
        <v>7742432.4324324317</v>
      </c>
      <c r="S258">
        <v>4859</v>
      </c>
      <c r="T258">
        <v>5843</v>
      </c>
    </row>
    <row r="259" spans="1:20" x14ac:dyDescent="0.35">
      <c r="A259" s="7" t="s">
        <v>352</v>
      </c>
      <c r="B259" s="12" t="s">
        <v>123</v>
      </c>
      <c r="C259">
        <v>346568.29381743498</v>
      </c>
      <c r="D259">
        <v>351639.36783234403</v>
      </c>
      <c r="O259">
        <v>60135.135135135002</v>
      </c>
      <c r="P259">
        <v>213783.78378378399</v>
      </c>
      <c r="S259">
        <v>126</v>
      </c>
      <c r="T259">
        <v>114</v>
      </c>
    </row>
    <row r="260" spans="1:20" x14ac:dyDescent="0.35">
      <c r="A260" s="7" t="s">
        <v>353</v>
      </c>
      <c r="B260" s="12" t="s">
        <v>354</v>
      </c>
      <c r="C260">
        <v>102892891.51673508</v>
      </c>
      <c r="D260">
        <v>97514162.679647043</v>
      </c>
      <c r="E260">
        <v>82616822.522522524</v>
      </c>
      <c r="F260">
        <v>74426200.9009009</v>
      </c>
      <c r="G260">
        <v>22</v>
      </c>
      <c r="H260">
        <v>65</v>
      </c>
      <c r="K260">
        <v>131</v>
      </c>
      <c r="L260">
        <v>79</v>
      </c>
      <c r="M260">
        <v>70256666.666666672</v>
      </c>
      <c r="N260">
        <v>103980180.18018018</v>
      </c>
      <c r="O260">
        <v>61487747.747747742</v>
      </c>
      <c r="P260">
        <v>57434702.702702701</v>
      </c>
      <c r="Q260">
        <v>57057747.747747749</v>
      </c>
      <c r="R260">
        <v>97789459.459459454</v>
      </c>
      <c r="S260">
        <v>9897</v>
      </c>
      <c r="T260">
        <v>8947</v>
      </c>
    </row>
    <row r="261" spans="1:20" x14ac:dyDescent="0.35">
      <c r="A261" s="7" t="s">
        <v>355</v>
      </c>
      <c r="B261" s="12" t="s">
        <v>48</v>
      </c>
      <c r="C261">
        <v>76667314.221593902</v>
      </c>
      <c r="D261">
        <v>65465221.198334441</v>
      </c>
      <c r="E261">
        <v>1801.801801802</v>
      </c>
      <c r="F261">
        <v>189189.189189189</v>
      </c>
      <c r="G261">
        <v>13</v>
      </c>
      <c r="H261">
        <v>4</v>
      </c>
      <c r="K261">
        <v>22</v>
      </c>
      <c r="L261">
        <v>7</v>
      </c>
      <c r="M261">
        <v>261261.26126126101</v>
      </c>
      <c r="N261">
        <v>189189.189189189</v>
      </c>
      <c r="O261">
        <v>5214585.5855855858</v>
      </c>
      <c r="P261">
        <v>5323009.0090090092</v>
      </c>
      <c r="Q261">
        <v>319549.54954954999</v>
      </c>
      <c r="R261">
        <v>150900.900900901</v>
      </c>
      <c r="S261">
        <v>5762</v>
      </c>
      <c r="T261">
        <v>5919</v>
      </c>
    </row>
    <row r="262" spans="1:20" x14ac:dyDescent="0.35">
      <c r="A262" s="7" t="s">
        <v>356</v>
      </c>
      <c r="B262" s="12" t="s">
        <v>123</v>
      </c>
      <c r="C262">
        <v>84006949.656794399</v>
      </c>
      <c r="D262">
        <v>74356250.579927355</v>
      </c>
      <c r="E262">
        <v>31531.531531532</v>
      </c>
      <c r="F262">
        <v>28828.828828829999</v>
      </c>
      <c r="G262">
        <v>24</v>
      </c>
      <c r="H262">
        <v>10</v>
      </c>
      <c r="K262">
        <v>24</v>
      </c>
      <c r="L262">
        <v>14</v>
      </c>
      <c r="M262">
        <v>2510450.4504504488</v>
      </c>
      <c r="N262">
        <v>6341891.8918918921</v>
      </c>
      <c r="O262">
        <v>18920891.891891893</v>
      </c>
      <c r="P262">
        <v>16857756.756756756</v>
      </c>
      <c r="Q262">
        <v>2501261.2612612601</v>
      </c>
      <c r="R262">
        <v>5095405.4054054059</v>
      </c>
      <c r="S262">
        <v>5903</v>
      </c>
      <c r="T262">
        <v>5633</v>
      </c>
    </row>
    <row r="263" spans="1:20" x14ac:dyDescent="0.35">
      <c r="A263" s="7" t="s">
        <v>357</v>
      </c>
      <c r="B263" s="12" t="s">
        <v>62</v>
      </c>
      <c r="C263">
        <v>45173510.078789741</v>
      </c>
      <c r="D263">
        <v>42559672.55604133</v>
      </c>
      <c r="E263">
        <v>36936.936936935999</v>
      </c>
      <c r="F263">
        <v>107207.207207208</v>
      </c>
      <c r="G263">
        <v>3</v>
      </c>
      <c r="H263">
        <v>4</v>
      </c>
      <c r="K263">
        <v>4</v>
      </c>
      <c r="L263">
        <v>4</v>
      </c>
      <c r="M263">
        <v>5647387.3873873856</v>
      </c>
      <c r="N263">
        <v>4432252.2522522509</v>
      </c>
      <c r="O263">
        <v>11934909.90990991</v>
      </c>
      <c r="P263">
        <v>11310450.450450452</v>
      </c>
      <c r="Q263">
        <v>5218738.7387387417</v>
      </c>
      <c r="R263">
        <v>4337297.2972972961</v>
      </c>
      <c r="S263">
        <v>3913</v>
      </c>
      <c r="T263">
        <v>3766</v>
      </c>
    </row>
    <row r="264" spans="1:20" x14ac:dyDescent="0.35">
      <c r="A264" s="7" t="s">
        <v>358</v>
      </c>
      <c r="B264" s="12" t="s">
        <v>315</v>
      </c>
      <c r="C264">
        <v>1605892.011753856</v>
      </c>
      <c r="D264">
        <v>32846.460053481002</v>
      </c>
      <c r="G264">
        <v>2</v>
      </c>
      <c r="K264">
        <v>3</v>
      </c>
      <c r="O264">
        <v>1103063.0630630639</v>
      </c>
      <c r="P264">
        <v>6306.3063063059999</v>
      </c>
      <c r="S264">
        <v>550</v>
      </c>
      <c r="T264">
        <v>1</v>
      </c>
    </row>
    <row r="265" spans="1:20" x14ac:dyDescent="0.35">
      <c r="A265" s="7" t="s">
        <v>359</v>
      </c>
      <c r="B265" s="12" t="s">
        <v>315</v>
      </c>
      <c r="C265">
        <v>50362280.46968466</v>
      </c>
      <c r="D265">
        <v>40652152.769464672</v>
      </c>
      <c r="E265">
        <v>47747.747747747999</v>
      </c>
      <c r="F265">
        <v>181981.98198198201</v>
      </c>
      <c r="G265">
        <v>5</v>
      </c>
      <c r="H265">
        <v>13</v>
      </c>
      <c r="K265">
        <v>5</v>
      </c>
      <c r="L265">
        <v>19</v>
      </c>
      <c r="M265">
        <v>5528108.1081081098</v>
      </c>
      <c r="N265">
        <v>2569369.369369369</v>
      </c>
      <c r="O265">
        <v>17649369.369369369</v>
      </c>
      <c r="P265">
        <v>16655360.36036036</v>
      </c>
      <c r="Q265">
        <v>10642162.162162161</v>
      </c>
      <c r="R265">
        <v>7108018.0180180157</v>
      </c>
      <c r="S265">
        <v>3114</v>
      </c>
      <c r="T265">
        <v>3290</v>
      </c>
    </row>
    <row r="266" spans="1:20" x14ac:dyDescent="0.35">
      <c r="A266" s="7" t="s">
        <v>360</v>
      </c>
      <c r="B266" s="12" t="s">
        <v>92</v>
      </c>
      <c r="C266">
        <v>82091591.865799755</v>
      </c>
      <c r="D266">
        <v>80123078.207895771</v>
      </c>
      <c r="E266">
        <v>1116486.4864864859</v>
      </c>
      <c r="F266">
        <v>2134234.2342342348</v>
      </c>
      <c r="G266">
        <v>21</v>
      </c>
      <c r="H266">
        <v>28</v>
      </c>
      <c r="K266">
        <v>26</v>
      </c>
      <c r="L266">
        <v>124</v>
      </c>
      <c r="M266">
        <v>15832882.882882887</v>
      </c>
      <c r="N266">
        <v>19638738.738738734</v>
      </c>
      <c r="O266">
        <v>22884819.819819819</v>
      </c>
      <c r="P266">
        <v>23581909.909909908</v>
      </c>
      <c r="Q266">
        <v>16489189.189189196</v>
      </c>
      <c r="R266">
        <v>19560450.45045045</v>
      </c>
      <c r="S266">
        <v>6577</v>
      </c>
      <c r="T266">
        <v>6873</v>
      </c>
    </row>
    <row r="267" spans="1:20" x14ac:dyDescent="0.35">
      <c r="A267" s="7" t="s">
        <v>361</v>
      </c>
      <c r="B267" s="12" t="s">
        <v>58</v>
      </c>
      <c r="C267">
        <v>175546101.59997314</v>
      </c>
      <c r="D267">
        <v>158515498.84499294</v>
      </c>
      <c r="E267">
        <v>1810810.8108108121</v>
      </c>
      <c r="F267">
        <v>499099.09909909702</v>
      </c>
      <c r="G267">
        <v>12</v>
      </c>
      <c r="H267">
        <v>18</v>
      </c>
      <c r="K267">
        <v>15</v>
      </c>
      <c r="L267">
        <v>25</v>
      </c>
      <c r="M267">
        <v>10819819.819819819</v>
      </c>
      <c r="N267">
        <v>8090090.0900900885</v>
      </c>
      <c r="O267">
        <v>24807747.747747745</v>
      </c>
      <c r="P267">
        <v>24088067.567567568</v>
      </c>
      <c r="Q267">
        <v>5509909.9099099087</v>
      </c>
      <c r="R267">
        <v>5226846.8468468459</v>
      </c>
      <c r="S267">
        <v>13118</v>
      </c>
      <c r="T267">
        <v>12792</v>
      </c>
    </row>
    <row r="268" spans="1:20" x14ac:dyDescent="0.35">
      <c r="A268" s="7" t="s">
        <v>362</v>
      </c>
      <c r="B268" s="12" t="s">
        <v>48</v>
      </c>
      <c r="C268">
        <v>59435056.959281527</v>
      </c>
      <c r="D268">
        <v>56061548.219816461</v>
      </c>
      <c r="F268">
        <v>47747.747747747999</v>
      </c>
      <c r="G268">
        <v>2</v>
      </c>
      <c r="H268">
        <v>1</v>
      </c>
      <c r="K268">
        <v>2</v>
      </c>
      <c r="L268">
        <v>1</v>
      </c>
      <c r="M268">
        <v>1150270.2702702719</v>
      </c>
      <c r="N268">
        <v>6844504.5045045</v>
      </c>
      <c r="O268">
        <v>10040765.765765768</v>
      </c>
      <c r="P268">
        <v>8379990.9909909908</v>
      </c>
      <c r="Q268">
        <v>2869099.099099101</v>
      </c>
      <c r="R268">
        <v>3508918.9189189151</v>
      </c>
      <c r="S268">
        <v>3883</v>
      </c>
      <c r="T268">
        <v>3840</v>
      </c>
    </row>
    <row r="269" spans="1:20" x14ac:dyDescent="0.35">
      <c r="A269" s="7" t="s">
        <v>669</v>
      </c>
      <c r="B269" s="12" t="s">
        <v>260</v>
      </c>
      <c r="E269">
        <v>17567567.567567568</v>
      </c>
      <c r="M269">
        <v>2089864.8648648651</v>
      </c>
      <c r="N269">
        <v>48648.648648649003</v>
      </c>
    </row>
    <row r="270" spans="1:20" x14ac:dyDescent="0.35">
      <c r="A270" s="7" t="s">
        <v>363</v>
      </c>
      <c r="B270" s="12" t="s">
        <v>52</v>
      </c>
      <c r="C270">
        <v>23521913.371298224</v>
      </c>
      <c r="D270">
        <v>23973477.09005896</v>
      </c>
      <c r="E270">
        <v>164954.954954955</v>
      </c>
      <c r="F270">
        <v>43243.243243243996</v>
      </c>
      <c r="G270">
        <v>2</v>
      </c>
      <c r="H270">
        <v>5</v>
      </c>
      <c r="K270">
        <v>3</v>
      </c>
      <c r="L270">
        <v>7</v>
      </c>
      <c r="M270">
        <v>777567.56756756699</v>
      </c>
      <c r="N270">
        <v>538738.73873873905</v>
      </c>
      <c r="O270">
        <v>10821891.891891891</v>
      </c>
      <c r="P270">
        <v>11688459.459459459</v>
      </c>
      <c r="Q270">
        <v>803603.60360360297</v>
      </c>
      <c r="R270">
        <v>606936.93693693599</v>
      </c>
      <c r="S270">
        <v>2289</v>
      </c>
      <c r="T270">
        <v>2165</v>
      </c>
    </row>
    <row r="271" spans="1:20" x14ac:dyDescent="0.35">
      <c r="A271" s="7" t="s">
        <v>364</v>
      </c>
      <c r="B271" s="12" t="s">
        <v>52</v>
      </c>
      <c r="C271">
        <v>18288131.104272734</v>
      </c>
      <c r="D271">
        <v>18688824.576643497</v>
      </c>
      <c r="E271">
        <v>152702.70270270301</v>
      </c>
      <c r="F271">
        <v>872972.97297297302</v>
      </c>
      <c r="G271">
        <v>1</v>
      </c>
      <c r="H271">
        <v>7</v>
      </c>
      <c r="K271">
        <v>2</v>
      </c>
      <c r="L271">
        <v>16</v>
      </c>
      <c r="M271">
        <v>2008558.5585585569</v>
      </c>
      <c r="N271">
        <v>1656756.756756756</v>
      </c>
      <c r="O271">
        <v>9554954.9549549557</v>
      </c>
      <c r="P271">
        <v>9758135.1351351365</v>
      </c>
      <c r="Q271">
        <v>1602702.7027027011</v>
      </c>
      <c r="R271">
        <v>6971531.5315315323</v>
      </c>
      <c r="S271">
        <v>2362</v>
      </c>
      <c r="T271">
        <v>2469</v>
      </c>
    </row>
    <row r="272" spans="1:20" x14ac:dyDescent="0.35">
      <c r="A272" s="7" t="s">
        <v>365</v>
      </c>
      <c r="B272" s="12" t="s">
        <v>52</v>
      </c>
      <c r="C272">
        <v>202292930.45986554</v>
      </c>
      <c r="D272">
        <v>214911379.91321203</v>
      </c>
      <c r="E272">
        <v>520686.48648648901</v>
      </c>
      <c r="F272">
        <v>1209200.0000000091</v>
      </c>
      <c r="G272">
        <v>39</v>
      </c>
      <c r="H272">
        <v>81</v>
      </c>
      <c r="K272">
        <v>52</v>
      </c>
      <c r="L272">
        <v>132</v>
      </c>
      <c r="M272">
        <v>8816396.3963963874</v>
      </c>
      <c r="N272">
        <v>7538738.7387387408</v>
      </c>
      <c r="O272">
        <v>67145292.792792797</v>
      </c>
      <c r="P272">
        <v>77502664.864864871</v>
      </c>
      <c r="Q272">
        <v>9276846.8468468357</v>
      </c>
      <c r="R272">
        <v>32492072.072072074</v>
      </c>
      <c r="S272">
        <v>19500</v>
      </c>
      <c r="T272">
        <v>21213</v>
      </c>
    </row>
    <row r="273" spans="1:20" x14ac:dyDescent="0.35">
      <c r="A273" s="7" t="s">
        <v>366</v>
      </c>
      <c r="B273" s="12" t="s">
        <v>293</v>
      </c>
      <c r="C273">
        <v>124216081.77224153</v>
      </c>
      <c r="D273">
        <v>117581056.16200171</v>
      </c>
      <c r="E273">
        <v>19467939.639639638</v>
      </c>
      <c r="F273">
        <v>4234899.0990990978</v>
      </c>
      <c r="G273">
        <v>22</v>
      </c>
      <c r="H273">
        <v>25</v>
      </c>
      <c r="K273">
        <v>28</v>
      </c>
      <c r="L273">
        <v>60</v>
      </c>
      <c r="M273">
        <v>13307927.927927932</v>
      </c>
      <c r="N273">
        <v>8795135.1351351291</v>
      </c>
      <c r="O273">
        <v>37932342.342342347</v>
      </c>
      <c r="P273">
        <v>36441045.045045041</v>
      </c>
      <c r="Q273">
        <v>13384234.234234238</v>
      </c>
      <c r="R273">
        <v>11221621.62162162</v>
      </c>
      <c r="S273">
        <v>11006</v>
      </c>
      <c r="T273">
        <v>10611</v>
      </c>
    </row>
    <row r="274" spans="1:20" x14ac:dyDescent="0.35">
      <c r="A274" s="7" t="s">
        <v>367</v>
      </c>
      <c r="B274" s="12" t="s">
        <v>368</v>
      </c>
      <c r="C274">
        <v>55040357.79798501</v>
      </c>
      <c r="D274">
        <v>48560863.678543486</v>
      </c>
      <c r="E274">
        <v>65045.045045045998</v>
      </c>
      <c r="F274">
        <v>107207.20720720899</v>
      </c>
      <c r="G274">
        <v>10</v>
      </c>
      <c r="H274">
        <v>10</v>
      </c>
      <c r="K274">
        <v>11</v>
      </c>
      <c r="L274">
        <v>11</v>
      </c>
      <c r="M274">
        <v>9538018.0180180185</v>
      </c>
      <c r="N274">
        <v>7597477.4774774741</v>
      </c>
      <c r="O274">
        <v>22141306.306306303</v>
      </c>
      <c r="P274">
        <v>18630396.396396395</v>
      </c>
      <c r="Q274">
        <v>9961801.8018018026</v>
      </c>
      <c r="R274">
        <v>8768288.288288286</v>
      </c>
      <c r="S274">
        <v>3974</v>
      </c>
      <c r="T274">
        <v>3774</v>
      </c>
    </row>
    <row r="275" spans="1:20" x14ac:dyDescent="0.35">
      <c r="A275" s="7" t="s">
        <v>369</v>
      </c>
      <c r="B275" s="12" t="s">
        <v>70</v>
      </c>
      <c r="C275">
        <v>15096356.495810196</v>
      </c>
      <c r="D275">
        <v>14953731.468383318</v>
      </c>
      <c r="E275">
        <v>3387919.8198198201</v>
      </c>
      <c r="F275">
        <v>6460709.0090090102</v>
      </c>
      <c r="G275">
        <v>2</v>
      </c>
      <c r="H275">
        <v>7</v>
      </c>
      <c r="K275">
        <v>3</v>
      </c>
      <c r="L275">
        <v>8</v>
      </c>
      <c r="M275">
        <v>39711977.477477483</v>
      </c>
      <c r="N275">
        <v>39814424.324324325</v>
      </c>
      <c r="O275">
        <v>5136216.2162162159</v>
      </c>
      <c r="P275">
        <v>5173018.0180180185</v>
      </c>
      <c r="Q275">
        <v>3530900.9009009008</v>
      </c>
      <c r="R275">
        <v>3223873.873873875</v>
      </c>
      <c r="S275">
        <v>1226</v>
      </c>
      <c r="T275">
        <v>1157</v>
      </c>
    </row>
    <row r="276" spans="1:20" x14ac:dyDescent="0.35">
      <c r="A276" s="7" t="s">
        <v>370</v>
      </c>
      <c r="B276" s="12" t="s">
        <v>50</v>
      </c>
      <c r="C276">
        <v>31156174.049585115</v>
      </c>
      <c r="D276">
        <v>30716446.905704927</v>
      </c>
      <c r="E276">
        <v>32449549.54954955</v>
      </c>
      <c r="F276">
        <v>75762882.882882878</v>
      </c>
      <c r="G276">
        <v>2</v>
      </c>
      <c r="H276">
        <v>4</v>
      </c>
      <c r="K276">
        <v>3</v>
      </c>
      <c r="L276">
        <v>11</v>
      </c>
      <c r="M276">
        <v>5521756.7567567574</v>
      </c>
      <c r="N276">
        <v>2979279.27927928</v>
      </c>
      <c r="O276">
        <v>13285585.585585585</v>
      </c>
      <c r="P276">
        <v>12797702.702702705</v>
      </c>
      <c r="Q276">
        <v>2773513.5135135138</v>
      </c>
      <c r="R276">
        <v>1989099.0990991001</v>
      </c>
      <c r="S276">
        <v>2744</v>
      </c>
      <c r="T276">
        <v>2867</v>
      </c>
    </row>
    <row r="277" spans="1:20" x14ac:dyDescent="0.35">
      <c r="A277" s="7" t="s">
        <v>371</v>
      </c>
      <c r="B277" s="12" t="s">
        <v>121</v>
      </c>
      <c r="C277">
        <v>32658605.983007412</v>
      </c>
      <c r="D277">
        <v>30409442.43444987</v>
      </c>
      <c r="E277">
        <v>18018.018018019</v>
      </c>
      <c r="F277">
        <v>251351.351351352</v>
      </c>
      <c r="G277">
        <v>5</v>
      </c>
      <c r="H277">
        <v>11</v>
      </c>
      <c r="K277">
        <v>8</v>
      </c>
      <c r="L277">
        <v>12</v>
      </c>
      <c r="M277">
        <v>225225.22522522599</v>
      </c>
      <c r="N277">
        <v>1436936.936936937</v>
      </c>
      <c r="O277">
        <v>3358738.7387387389</v>
      </c>
      <c r="P277">
        <v>3606855.8558558552</v>
      </c>
      <c r="Q277">
        <v>374234.23423423403</v>
      </c>
      <c r="R277">
        <v>586486.48648648604</v>
      </c>
      <c r="S277">
        <v>2897</v>
      </c>
      <c r="T277">
        <v>2837</v>
      </c>
    </row>
    <row r="278" spans="1:20" x14ac:dyDescent="0.35">
      <c r="A278" s="7" t="s">
        <v>372</v>
      </c>
      <c r="B278" s="12" t="s">
        <v>373</v>
      </c>
      <c r="C278">
        <v>76881654.743923932</v>
      </c>
      <c r="D278">
        <v>64173260.646872431</v>
      </c>
      <c r="E278">
        <v>891865.76576576498</v>
      </c>
      <c r="F278">
        <v>1048096.396396397</v>
      </c>
      <c r="G278">
        <v>101</v>
      </c>
      <c r="H278">
        <v>11</v>
      </c>
      <c r="I278">
        <v>1</v>
      </c>
      <c r="K278">
        <v>107</v>
      </c>
      <c r="L278">
        <v>14</v>
      </c>
      <c r="M278">
        <v>10246396.396396397</v>
      </c>
      <c r="N278">
        <v>5733243.2432432408</v>
      </c>
      <c r="O278">
        <v>29214723.423423424</v>
      </c>
      <c r="P278">
        <v>24308414.414414417</v>
      </c>
      <c r="Q278">
        <v>11681124.324324325</v>
      </c>
      <c r="R278">
        <v>6627927.9279279262</v>
      </c>
      <c r="S278">
        <v>10137</v>
      </c>
      <c r="T278">
        <v>10045</v>
      </c>
    </row>
    <row r="279" spans="1:20" x14ac:dyDescent="0.35">
      <c r="A279" s="7" t="s">
        <v>374</v>
      </c>
      <c r="B279" s="12" t="s">
        <v>66</v>
      </c>
      <c r="C279">
        <v>46779776.274172783</v>
      </c>
      <c r="D279">
        <v>49895846.885876514</v>
      </c>
      <c r="E279">
        <v>35135.135135135999</v>
      </c>
      <c r="F279">
        <v>1247747.7477477491</v>
      </c>
      <c r="G279">
        <v>16</v>
      </c>
      <c r="H279">
        <v>15</v>
      </c>
      <c r="K279">
        <v>20</v>
      </c>
      <c r="L279">
        <v>20</v>
      </c>
      <c r="M279">
        <v>11069369.369369371</v>
      </c>
      <c r="N279">
        <v>14619819.819819825</v>
      </c>
      <c r="O279">
        <v>16874522.522522524</v>
      </c>
      <c r="P279">
        <v>17998738.738738742</v>
      </c>
      <c r="Q279">
        <v>6129549.5495495498</v>
      </c>
      <c r="R279">
        <v>15279819.819819825</v>
      </c>
      <c r="S279">
        <v>7091</v>
      </c>
      <c r="T279">
        <v>7059</v>
      </c>
    </row>
    <row r="280" spans="1:20" x14ac:dyDescent="0.35">
      <c r="A280" s="7" t="s">
        <v>375</v>
      </c>
      <c r="B280" s="12" t="s">
        <v>354</v>
      </c>
      <c r="C280">
        <v>78129794.396867052</v>
      </c>
      <c r="D280">
        <v>74507531.234429255</v>
      </c>
      <c r="E280">
        <v>513963.96396396501</v>
      </c>
      <c r="F280">
        <v>1615315.3153153169</v>
      </c>
      <c r="G280">
        <v>169</v>
      </c>
      <c r="H280">
        <v>189</v>
      </c>
      <c r="K280">
        <v>172</v>
      </c>
      <c r="L280">
        <v>191</v>
      </c>
      <c r="M280">
        <v>14099549.549549552</v>
      </c>
      <c r="N280">
        <v>13050360.36036036</v>
      </c>
      <c r="O280">
        <v>48554675.675675683</v>
      </c>
      <c r="P280">
        <v>47281711.711711712</v>
      </c>
      <c r="Q280">
        <v>16634954.954954956</v>
      </c>
      <c r="R280">
        <v>13190540.540540541</v>
      </c>
      <c r="S280">
        <v>7351</v>
      </c>
      <c r="T280">
        <v>6823</v>
      </c>
    </row>
    <row r="281" spans="1:20" x14ac:dyDescent="0.35">
      <c r="A281" s="7" t="s">
        <v>376</v>
      </c>
      <c r="B281" s="12" t="s">
        <v>66</v>
      </c>
      <c r="C281">
        <v>26815889.260328051</v>
      </c>
      <c r="D281">
        <v>28947366.605011247</v>
      </c>
      <c r="E281">
        <v>14414.414414415</v>
      </c>
      <c r="F281">
        <v>182882.88288288401</v>
      </c>
      <c r="G281">
        <v>8</v>
      </c>
      <c r="H281">
        <v>14</v>
      </c>
      <c r="K281">
        <v>13</v>
      </c>
      <c r="L281">
        <v>18</v>
      </c>
      <c r="M281">
        <v>1430990.990990987</v>
      </c>
      <c r="N281">
        <v>941441.44144144398</v>
      </c>
      <c r="O281">
        <v>11930585.585585587</v>
      </c>
      <c r="P281">
        <v>14418166.666666666</v>
      </c>
      <c r="Q281">
        <v>3079459.4594594571</v>
      </c>
      <c r="R281">
        <v>1831351.351351354</v>
      </c>
      <c r="S281">
        <v>4945</v>
      </c>
      <c r="T281">
        <v>5074</v>
      </c>
    </row>
    <row r="282" spans="1:20" x14ac:dyDescent="0.35">
      <c r="A282" s="7" t="s">
        <v>377</v>
      </c>
      <c r="B282" s="12" t="s">
        <v>260</v>
      </c>
      <c r="C282">
        <v>26013069.871504962</v>
      </c>
      <c r="D282">
        <v>23650625.526427977</v>
      </c>
      <c r="F282">
        <v>13513.513513514001</v>
      </c>
      <c r="H282">
        <v>1</v>
      </c>
      <c r="L282">
        <v>1</v>
      </c>
      <c r="M282">
        <v>90090.090090090001</v>
      </c>
      <c r="N282">
        <v>13513.513513514001</v>
      </c>
      <c r="O282">
        <v>3806846.8468468469</v>
      </c>
      <c r="P282">
        <v>4059247.7477477472</v>
      </c>
      <c r="Q282">
        <v>242342.34234234199</v>
      </c>
      <c r="R282">
        <v>192792.79279279301</v>
      </c>
      <c r="S282">
        <v>1704</v>
      </c>
      <c r="T282">
        <v>1910</v>
      </c>
    </row>
    <row r="283" spans="1:20" x14ac:dyDescent="0.35">
      <c r="A283" s="7" t="s">
        <v>378</v>
      </c>
      <c r="B283" s="12" t="s">
        <v>354</v>
      </c>
      <c r="C283">
        <v>65383200.035880759</v>
      </c>
      <c r="D283">
        <v>60727769.877405591</v>
      </c>
      <c r="E283">
        <v>164414.41441441499</v>
      </c>
      <c r="F283">
        <v>693693.69369369396</v>
      </c>
      <c r="G283">
        <v>7</v>
      </c>
      <c r="H283">
        <v>13</v>
      </c>
      <c r="K283">
        <v>8</v>
      </c>
      <c r="L283">
        <v>22</v>
      </c>
      <c r="M283">
        <v>16676126.126126124</v>
      </c>
      <c r="N283">
        <v>12650360.36036036</v>
      </c>
      <c r="O283">
        <v>33106891.891891893</v>
      </c>
      <c r="P283">
        <v>35064736.936936937</v>
      </c>
      <c r="Q283">
        <v>15969459.459459458</v>
      </c>
      <c r="R283">
        <v>13882342.342342339</v>
      </c>
      <c r="S283">
        <v>4678</v>
      </c>
      <c r="T283">
        <v>4689</v>
      </c>
    </row>
    <row r="284" spans="1:20" x14ac:dyDescent="0.35">
      <c r="A284" s="7" t="s">
        <v>379</v>
      </c>
      <c r="B284" s="12" t="s">
        <v>87</v>
      </c>
      <c r="C284">
        <v>1323375.8224517261</v>
      </c>
      <c r="D284">
        <v>1824357.2800279739</v>
      </c>
      <c r="H284">
        <v>1</v>
      </c>
      <c r="L284">
        <v>1</v>
      </c>
      <c r="O284">
        <v>42567.567567566999</v>
      </c>
      <c r="P284">
        <v>52477.477477478002</v>
      </c>
      <c r="S284">
        <v>150</v>
      </c>
      <c r="T284">
        <v>186</v>
      </c>
    </row>
    <row r="285" spans="1:20" x14ac:dyDescent="0.35">
      <c r="A285" s="7" t="s">
        <v>380</v>
      </c>
      <c r="B285" s="12" t="s">
        <v>87</v>
      </c>
      <c r="C285">
        <v>4517129.5401731208</v>
      </c>
      <c r="D285">
        <v>2755670.841362203</v>
      </c>
      <c r="E285">
        <v>3603.603603604</v>
      </c>
      <c r="G285">
        <v>82</v>
      </c>
      <c r="H285">
        <v>2</v>
      </c>
      <c r="K285">
        <v>85</v>
      </c>
      <c r="L285">
        <v>6</v>
      </c>
      <c r="M285">
        <v>125225.225225225</v>
      </c>
      <c r="N285">
        <v>351351.35135135101</v>
      </c>
      <c r="O285">
        <v>1473873.8738738741</v>
      </c>
      <c r="P285">
        <v>376990.99099099101</v>
      </c>
      <c r="Q285">
        <v>67567.567567567996</v>
      </c>
      <c r="S285">
        <v>466</v>
      </c>
      <c r="T285">
        <v>378</v>
      </c>
    </row>
    <row r="286" spans="1:20" x14ac:dyDescent="0.35">
      <c r="A286" s="7" t="s">
        <v>381</v>
      </c>
      <c r="B286" s="12" t="s">
        <v>80</v>
      </c>
      <c r="C286">
        <v>436797515.15200007</v>
      </c>
      <c r="D286">
        <v>421382556.98148137</v>
      </c>
      <c r="E286">
        <v>289628937.83783782</v>
      </c>
      <c r="F286">
        <v>133676072.97297297</v>
      </c>
      <c r="G286">
        <v>99</v>
      </c>
      <c r="H286">
        <v>78</v>
      </c>
      <c r="I286">
        <v>1</v>
      </c>
      <c r="K286">
        <v>124</v>
      </c>
      <c r="L286">
        <v>174</v>
      </c>
      <c r="M286">
        <v>63543423.423423417</v>
      </c>
      <c r="N286">
        <v>48354054.054054059</v>
      </c>
      <c r="O286">
        <v>109006142.34234233</v>
      </c>
      <c r="P286">
        <v>117154297.2972973</v>
      </c>
      <c r="Q286">
        <v>49023243.24324324</v>
      </c>
      <c r="R286">
        <v>46876576.576576576</v>
      </c>
      <c r="S286">
        <v>37192</v>
      </c>
      <c r="T286">
        <v>37553</v>
      </c>
    </row>
    <row r="287" spans="1:20" x14ac:dyDescent="0.35">
      <c r="A287" s="7" t="s">
        <v>382</v>
      </c>
      <c r="B287" s="12" t="s">
        <v>80</v>
      </c>
      <c r="C287">
        <v>121212088.10160436</v>
      </c>
      <c r="D287">
        <v>116995852.03003295</v>
      </c>
      <c r="E287">
        <v>425225.22522522602</v>
      </c>
      <c r="F287">
        <v>1099324.3243243271</v>
      </c>
      <c r="G287">
        <v>11</v>
      </c>
      <c r="H287">
        <v>10</v>
      </c>
      <c r="K287">
        <v>15</v>
      </c>
      <c r="L287">
        <v>13</v>
      </c>
      <c r="M287">
        <v>27441441.441441439</v>
      </c>
      <c r="N287">
        <v>24209909.909909911</v>
      </c>
      <c r="O287">
        <v>48374890.090090089</v>
      </c>
      <c r="P287">
        <v>45527529.729729727</v>
      </c>
      <c r="Q287">
        <v>20753513.513513513</v>
      </c>
      <c r="R287">
        <v>16977610.810810812</v>
      </c>
      <c r="S287">
        <v>9838</v>
      </c>
      <c r="T287">
        <v>9606</v>
      </c>
    </row>
    <row r="288" spans="1:20" x14ac:dyDescent="0.35">
      <c r="A288" s="7" t="s">
        <v>383</v>
      </c>
      <c r="B288" s="12" t="s">
        <v>80</v>
      </c>
      <c r="C288">
        <v>162949380.69194701</v>
      </c>
      <c r="D288">
        <v>149377302.56624061</v>
      </c>
      <c r="E288">
        <v>19819.819819820001</v>
      </c>
      <c r="F288">
        <v>185585.58558558501</v>
      </c>
      <c r="G288">
        <v>23</v>
      </c>
      <c r="H288">
        <v>16</v>
      </c>
      <c r="K288">
        <v>34</v>
      </c>
      <c r="L288">
        <v>20</v>
      </c>
      <c r="M288">
        <v>4408828.8288288303</v>
      </c>
      <c r="N288">
        <v>397297.29729729699</v>
      </c>
      <c r="O288">
        <v>29400045.045045044</v>
      </c>
      <c r="P288">
        <v>28889666.666666668</v>
      </c>
      <c r="Q288">
        <v>6111801.8018018026</v>
      </c>
      <c r="R288">
        <v>7123873.8738738736</v>
      </c>
      <c r="S288">
        <v>9637</v>
      </c>
      <c r="T288">
        <v>9476</v>
      </c>
    </row>
    <row r="289" spans="1:20" x14ac:dyDescent="0.35">
      <c r="A289" s="7" t="s">
        <v>384</v>
      </c>
      <c r="B289" s="12" t="s">
        <v>68</v>
      </c>
      <c r="C289">
        <v>64747066.369290158</v>
      </c>
      <c r="D289">
        <v>65157158.455225535</v>
      </c>
      <c r="E289">
        <v>24731023.423423424</v>
      </c>
      <c r="F289">
        <v>3451220.7207207209</v>
      </c>
      <c r="G289">
        <v>10</v>
      </c>
      <c r="H289">
        <v>16</v>
      </c>
      <c r="K289">
        <v>13</v>
      </c>
      <c r="L289">
        <v>18</v>
      </c>
      <c r="M289">
        <v>4040540.5405405369</v>
      </c>
      <c r="N289">
        <v>2376126.1261261259</v>
      </c>
      <c r="O289">
        <v>7798954.9549549557</v>
      </c>
      <c r="P289">
        <v>10553909.909909911</v>
      </c>
      <c r="Q289">
        <v>2454864.8648648639</v>
      </c>
      <c r="R289">
        <v>2375585.5855855839</v>
      </c>
      <c r="S289">
        <v>4940</v>
      </c>
      <c r="T289">
        <v>4996</v>
      </c>
    </row>
    <row r="290" spans="1:20" x14ac:dyDescent="0.35">
      <c r="A290" s="7" t="s">
        <v>385</v>
      </c>
      <c r="B290" s="12" t="s">
        <v>167</v>
      </c>
      <c r="C290">
        <v>22347851.35375648</v>
      </c>
      <c r="D290">
        <v>24271640.311688907</v>
      </c>
      <c r="E290">
        <v>3603.603603604</v>
      </c>
      <c r="F290">
        <v>283783.78378378402</v>
      </c>
      <c r="G290">
        <v>4</v>
      </c>
      <c r="H290">
        <v>5</v>
      </c>
      <c r="K290">
        <v>6</v>
      </c>
      <c r="L290">
        <v>6</v>
      </c>
      <c r="M290">
        <v>3603.603603604</v>
      </c>
      <c r="N290">
        <v>12343243.243243244</v>
      </c>
      <c r="O290">
        <v>9301890.0900900904</v>
      </c>
      <c r="P290">
        <v>9515387.3873873875</v>
      </c>
      <c r="Q290">
        <v>3574864.8648648649</v>
      </c>
      <c r="R290">
        <v>5173963.963963964</v>
      </c>
      <c r="S290">
        <v>2370</v>
      </c>
      <c r="T290">
        <v>2410</v>
      </c>
    </row>
    <row r="291" spans="1:20" x14ac:dyDescent="0.35">
      <c r="A291" s="7" t="s">
        <v>386</v>
      </c>
      <c r="B291" s="12" t="s">
        <v>94</v>
      </c>
      <c r="C291">
        <v>121200503.41488771</v>
      </c>
      <c r="D291">
        <v>137021265.68279305</v>
      </c>
      <c r="E291">
        <v>5405.4054054059998</v>
      </c>
      <c r="F291">
        <v>297297.29729729902</v>
      </c>
      <c r="G291">
        <v>17</v>
      </c>
      <c r="H291">
        <v>30</v>
      </c>
      <c r="I291">
        <v>1</v>
      </c>
      <c r="K291">
        <v>23</v>
      </c>
      <c r="L291">
        <v>32</v>
      </c>
      <c r="M291">
        <v>5581981.9819819815</v>
      </c>
      <c r="N291">
        <v>9423423.4234234244</v>
      </c>
      <c r="O291">
        <v>13001396.396396397</v>
      </c>
      <c r="P291">
        <v>17867738.738738738</v>
      </c>
      <c r="Q291">
        <v>4057747.7477477482</v>
      </c>
      <c r="R291">
        <v>7772252.2522522528</v>
      </c>
      <c r="S291">
        <v>8217</v>
      </c>
      <c r="T291">
        <v>9275</v>
      </c>
    </row>
    <row r="292" spans="1:20" x14ac:dyDescent="0.35">
      <c r="A292" s="7" t="s">
        <v>387</v>
      </c>
      <c r="B292" s="12" t="s">
        <v>214</v>
      </c>
      <c r="C292">
        <v>17060341.224326096</v>
      </c>
      <c r="D292">
        <v>25214177.132989351</v>
      </c>
      <c r="E292">
        <v>900.900900901</v>
      </c>
      <c r="F292">
        <v>54054.054054054999</v>
      </c>
      <c r="G292">
        <v>6</v>
      </c>
      <c r="H292">
        <v>12</v>
      </c>
      <c r="K292">
        <v>8</v>
      </c>
      <c r="L292">
        <v>16</v>
      </c>
      <c r="M292">
        <v>900.900900901</v>
      </c>
      <c r="N292">
        <v>1405405.4054054059</v>
      </c>
      <c r="O292">
        <v>9044549.5495495498</v>
      </c>
      <c r="P292">
        <v>12196576.576576576</v>
      </c>
      <c r="S292">
        <v>1928</v>
      </c>
      <c r="T292">
        <v>2939</v>
      </c>
    </row>
    <row r="293" spans="1:20" x14ac:dyDescent="0.35">
      <c r="A293" s="7" t="s">
        <v>388</v>
      </c>
      <c r="B293" s="12" t="s">
        <v>117</v>
      </c>
      <c r="C293">
        <v>9850563.8465398774</v>
      </c>
      <c r="D293">
        <v>9103463.7043501604</v>
      </c>
      <c r="E293">
        <v>5405.4054054050002</v>
      </c>
      <c r="F293">
        <v>182882.88288288401</v>
      </c>
      <c r="G293">
        <v>5</v>
      </c>
      <c r="H293">
        <v>3</v>
      </c>
      <c r="K293">
        <v>6</v>
      </c>
      <c r="L293">
        <v>6</v>
      </c>
      <c r="M293">
        <v>275675.67567567498</v>
      </c>
      <c r="N293">
        <v>5769819.8198198192</v>
      </c>
      <c r="O293">
        <v>3972252.2522522518</v>
      </c>
      <c r="P293">
        <v>3921675.6756756762</v>
      </c>
      <c r="Q293">
        <v>155855.855855856</v>
      </c>
      <c r="R293">
        <v>2054684.684684684</v>
      </c>
      <c r="S293">
        <v>2056</v>
      </c>
      <c r="T293">
        <v>1677</v>
      </c>
    </row>
    <row r="294" spans="1:20" x14ac:dyDescent="0.35">
      <c r="A294" s="7" t="s">
        <v>389</v>
      </c>
      <c r="B294" s="12" t="s">
        <v>315</v>
      </c>
      <c r="C294">
        <v>42423793.137261152</v>
      </c>
      <c r="D294">
        <v>39991857.449654005</v>
      </c>
      <c r="E294">
        <v>1989639.63963964</v>
      </c>
      <c r="F294">
        <v>35135.135135135999</v>
      </c>
      <c r="G294">
        <v>7</v>
      </c>
      <c r="H294">
        <v>3</v>
      </c>
      <c r="K294">
        <v>7</v>
      </c>
      <c r="L294">
        <v>3</v>
      </c>
      <c r="M294">
        <v>2530180.1801801799</v>
      </c>
      <c r="N294">
        <v>575675.67567567597</v>
      </c>
      <c r="O294">
        <v>8990270.2702702694</v>
      </c>
      <c r="P294">
        <v>8292558.5585585581</v>
      </c>
      <c r="Q294">
        <v>1312702.702702703</v>
      </c>
      <c r="R294">
        <v>1344144.1441441439</v>
      </c>
      <c r="S294">
        <v>2659</v>
      </c>
      <c r="T294">
        <v>2738</v>
      </c>
    </row>
    <row r="295" spans="1:20" x14ac:dyDescent="0.35">
      <c r="A295" s="7" t="s">
        <v>390</v>
      </c>
      <c r="B295" s="12" t="s">
        <v>224</v>
      </c>
      <c r="C295">
        <v>20658645.786628719</v>
      </c>
      <c r="D295">
        <v>16970440.072811041</v>
      </c>
      <c r="G295">
        <v>9</v>
      </c>
      <c r="H295">
        <v>2</v>
      </c>
      <c r="K295">
        <v>9</v>
      </c>
      <c r="L295">
        <v>2</v>
      </c>
      <c r="O295">
        <v>3634450.4504504502</v>
      </c>
      <c r="P295">
        <v>2773783.7837837841</v>
      </c>
      <c r="S295">
        <v>1534</v>
      </c>
      <c r="T295">
        <v>1471</v>
      </c>
    </row>
    <row r="296" spans="1:20" x14ac:dyDescent="0.35">
      <c r="A296" s="7" t="s">
        <v>6</v>
      </c>
      <c r="B296" s="12" t="s">
        <v>193</v>
      </c>
      <c r="C296">
        <v>159102588.29631841</v>
      </c>
      <c r="D296">
        <v>145078853.30255133</v>
      </c>
      <c r="E296">
        <v>6101351.3513513459</v>
      </c>
      <c r="F296">
        <v>2209909.909909911</v>
      </c>
      <c r="G296">
        <v>30</v>
      </c>
      <c r="H296">
        <v>25</v>
      </c>
      <c r="I296">
        <v>1</v>
      </c>
      <c r="K296">
        <v>272</v>
      </c>
      <c r="L296">
        <v>226</v>
      </c>
      <c r="M296">
        <v>132857657.65765767</v>
      </c>
      <c r="N296">
        <v>50820270.270270273</v>
      </c>
      <c r="O296">
        <v>102436351.35135135</v>
      </c>
      <c r="P296">
        <v>96835783.783783779</v>
      </c>
      <c r="Q296">
        <v>113938378.37837839</v>
      </c>
      <c r="R296">
        <v>39264054.054054059</v>
      </c>
      <c r="S296">
        <v>13570</v>
      </c>
      <c r="T296">
        <v>12699</v>
      </c>
    </row>
    <row r="297" spans="1:20" x14ac:dyDescent="0.35">
      <c r="A297" s="7" t="s">
        <v>391</v>
      </c>
      <c r="B297" s="12" t="s">
        <v>121</v>
      </c>
      <c r="C297">
        <v>5104800.2341038603</v>
      </c>
      <c r="D297">
        <v>6914044.0635524187</v>
      </c>
      <c r="G297">
        <v>3</v>
      </c>
      <c r="H297">
        <v>2</v>
      </c>
      <c r="K297">
        <v>3</v>
      </c>
      <c r="L297">
        <v>2</v>
      </c>
      <c r="O297">
        <v>210045.045045045</v>
      </c>
      <c r="P297">
        <v>161261.26126126101</v>
      </c>
      <c r="S297">
        <v>516</v>
      </c>
      <c r="T297">
        <v>534</v>
      </c>
    </row>
    <row r="298" spans="1:20" x14ac:dyDescent="0.35">
      <c r="A298" s="7" t="s">
        <v>392</v>
      </c>
      <c r="B298" s="12" t="s">
        <v>134</v>
      </c>
      <c r="C298">
        <v>18395239.911362369</v>
      </c>
      <c r="D298">
        <v>18973145.546512559</v>
      </c>
      <c r="F298">
        <v>13513.513513514001</v>
      </c>
      <c r="G298">
        <v>4</v>
      </c>
      <c r="H298">
        <v>6</v>
      </c>
      <c r="K298">
        <v>5</v>
      </c>
      <c r="L298">
        <v>7</v>
      </c>
      <c r="M298">
        <v>2117117.1171171162</v>
      </c>
      <c r="N298">
        <v>1229729.7297297299</v>
      </c>
      <c r="O298">
        <v>4089682.8828828828</v>
      </c>
      <c r="P298">
        <v>3842504.5045045051</v>
      </c>
      <c r="Q298">
        <v>481081.08108108002</v>
      </c>
      <c r="R298">
        <v>274864.86486486503</v>
      </c>
      <c r="S298">
        <v>3513</v>
      </c>
      <c r="T298">
        <v>3478</v>
      </c>
    </row>
    <row r="299" spans="1:20" x14ac:dyDescent="0.35">
      <c r="A299" s="7" t="s">
        <v>393</v>
      </c>
      <c r="B299" s="12" t="s">
        <v>58</v>
      </c>
      <c r="C299">
        <v>105152629.65025446</v>
      </c>
      <c r="D299">
        <v>96673625.911361605</v>
      </c>
      <c r="E299">
        <v>4922972.9729729732</v>
      </c>
      <c r="F299">
        <v>2022297.2972973031</v>
      </c>
      <c r="G299">
        <v>20</v>
      </c>
      <c r="H299">
        <v>14</v>
      </c>
      <c r="K299">
        <v>28</v>
      </c>
      <c r="L299">
        <v>19</v>
      </c>
      <c r="M299">
        <v>10328378.37837838</v>
      </c>
      <c r="N299">
        <v>9440540.5405405443</v>
      </c>
      <c r="O299">
        <v>15606909.90990991</v>
      </c>
      <c r="P299">
        <v>14705860.36036036</v>
      </c>
      <c r="Q299">
        <v>8979729.7297297325</v>
      </c>
      <c r="R299">
        <v>8483063.0630630646</v>
      </c>
      <c r="S299">
        <v>9130</v>
      </c>
      <c r="T299">
        <v>9040</v>
      </c>
    </row>
    <row r="300" spans="1:20" x14ac:dyDescent="0.35">
      <c r="A300" s="7" t="s">
        <v>394</v>
      </c>
      <c r="B300" s="12" t="s">
        <v>134</v>
      </c>
      <c r="C300">
        <v>33713998.498813376</v>
      </c>
      <c r="D300">
        <v>32155250.449224375</v>
      </c>
      <c r="F300">
        <v>54054.054054054999</v>
      </c>
      <c r="G300">
        <v>1</v>
      </c>
      <c r="H300">
        <v>3</v>
      </c>
      <c r="K300">
        <v>3</v>
      </c>
      <c r="L300">
        <v>8</v>
      </c>
      <c r="M300">
        <v>3630630.6306306291</v>
      </c>
      <c r="N300">
        <v>2756756.7567567569</v>
      </c>
      <c r="O300">
        <v>6278909.9099099096</v>
      </c>
      <c r="P300">
        <v>6123423.4234234234</v>
      </c>
      <c r="Q300">
        <v>2025045.045045044</v>
      </c>
      <c r="R300">
        <v>1759639.63963964</v>
      </c>
      <c r="S300">
        <v>3856</v>
      </c>
      <c r="T300">
        <v>4026</v>
      </c>
    </row>
    <row r="301" spans="1:20" x14ac:dyDescent="0.35">
      <c r="A301" s="7" t="s">
        <v>395</v>
      </c>
      <c r="B301" s="12" t="s">
        <v>54</v>
      </c>
      <c r="C301">
        <v>14988597.080953836</v>
      </c>
      <c r="D301">
        <v>14464097.089883635</v>
      </c>
      <c r="E301">
        <v>1801.801801802</v>
      </c>
      <c r="G301">
        <v>1</v>
      </c>
      <c r="H301">
        <v>3</v>
      </c>
      <c r="K301">
        <v>1</v>
      </c>
      <c r="L301">
        <v>5</v>
      </c>
      <c r="M301">
        <v>947747.74774774699</v>
      </c>
      <c r="N301">
        <v>360360.36036036001</v>
      </c>
      <c r="O301">
        <v>2409504.5045045051</v>
      </c>
      <c r="P301">
        <v>2303018.018018018</v>
      </c>
      <c r="Q301">
        <v>799099.09909909999</v>
      </c>
      <c r="R301">
        <v>519009.00900900899</v>
      </c>
      <c r="S301">
        <v>1588</v>
      </c>
      <c r="T301">
        <v>1575</v>
      </c>
    </row>
    <row r="302" spans="1:20" x14ac:dyDescent="0.35">
      <c r="A302" s="7" t="s">
        <v>396</v>
      </c>
      <c r="B302" s="12" t="s">
        <v>397</v>
      </c>
      <c r="C302">
        <v>107365484.84143597</v>
      </c>
      <c r="D302">
        <v>102335127.30214372</v>
      </c>
      <c r="E302">
        <v>576756.75675675704</v>
      </c>
      <c r="F302">
        <v>600900.90090090095</v>
      </c>
      <c r="G302">
        <v>36</v>
      </c>
      <c r="H302">
        <v>29</v>
      </c>
      <c r="K302">
        <v>48</v>
      </c>
      <c r="L302">
        <v>49</v>
      </c>
      <c r="M302">
        <v>12040180.180180181</v>
      </c>
      <c r="N302">
        <v>8011711.711711714</v>
      </c>
      <c r="O302">
        <v>19249439.639639638</v>
      </c>
      <c r="P302">
        <v>18423590.090090089</v>
      </c>
      <c r="Q302">
        <v>14713513.513513513</v>
      </c>
      <c r="R302">
        <v>7701621.6216216218</v>
      </c>
      <c r="S302">
        <v>9594</v>
      </c>
      <c r="T302">
        <v>9875</v>
      </c>
    </row>
    <row r="303" spans="1:20" x14ac:dyDescent="0.35">
      <c r="A303" s="7" t="s">
        <v>398</v>
      </c>
      <c r="B303" s="12" t="s">
        <v>399</v>
      </c>
      <c r="C303">
        <v>126917781.74520734</v>
      </c>
      <c r="D303">
        <v>107563304.99564366</v>
      </c>
      <c r="E303">
        <v>41797898.198198199</v>
      </c>
      <c r="F303">
        <v>36425949.54954955</v>
      </c>
      <c r="G303">
        <v>20</v>
      </c>
      <c r="H303">
        <v>18</v>
      </c>
      <c r="I303">
        <v>1</v>
      </c>
      <c r="K303">
        <v>21</v>
      </c>
      <c r="L303">
        <v>23</v>
      </c>
      <c r="M303">
        <v>45037162.162162162</v>
      </c>
      <c r="N303">
        <v>12334234.234234236</v>
      </c>
      <c r="O303">
        <v>21501567.567567568</v>
      </c>
      <c r="P303">
        <v>18301252.252252251</v>
      </c>
      <c r="Q303">
        <v>9627567.567567572</v>
      </c>
      <c r="R303">
        <v>5141351.3513513533</v>
      </c>
      <c r="S303">
        <v>11357</v>
      </c>
      <c r="T303">
        <v>12232</v>
      </c>
    </row>
    <row r="304" spans="1:20" x14ac:dyDescent="0.35">
      <c r="A304" s="7" t="s">
        <v>400</v>
      </c>
      <c r="B304" s="12" t="s">
        <v>140</v>
      </c>
      <c r="C304">
        <v>38647807.364532627</v>
      </c>
      <c r="D304">
        <v>36902644.267612316</v>
      </c>
      <c r="E304">
        <v>332432.43243243301</v>
      </c>
      <c r="F304">
        <v>401801.80180180399</v>
      </c>
      <c r="G304">
        <v>12</v>
      </c>
      <c r="H304">
        <v>17</v>
      </c>
      <c r="K304">
        <v>16</v>
      </c>
      <c r="L304">
        <v>19</v>
      </c>
      <c r="M304">
        <v>11586486.486486487</v>
      </c>
      <c r="N304">
        <v>9457297.2972972952</v>
      </c>
      <c r="O304">
        <v>10990090.090090092</v>
      </c>
      <c r="P304">
        <v>10952549.54954955</v>
      </c>
      <c r="Q304">
        <v>8188738.7387387389</v>
      </c>
      <c r="R304">
        <v>8639729.7297297306</v>
      </c>
      <c r="S304">
        <v>3360</v>
      </c>
      <c r="T304">
        <v>3218</v>
      </c>
    </row>
    <row r="305" spans="1:20" x14ac:dyDescent="0.35">
      <c r="A305" s="7" t="s">
        <v>401</v>
      </c>
      <c r="B305" s="12" t="s">
        <v>121</v>
      </c>
      <c r="C305">
        <v>12308562.327075258</v>
      </c>
      <c r="D305">
        <v>8307787.5218156101</v>
      </c>
      <c r="G305">
        <v>4</v>
      </c>
      <c r="H305">
        <v>3</v>
      </c>
      <c r="K305">
        <v>5</v>
      </c>
      <c r="L305">
        <v>6</v>
      </c>
      <c r="O305">
        <v>751036.03603603598</v>
      </c>
      <c r="P305">
        <v>832846.84684684698</v>
      </c>
      <c r="Q305">
        <v>347297.29729729798</v>
      </c>
      <c r="R305">
        <v>246396.39639639601</v>
      </c>
      <c r="S305">
        <v>1127</v>
      </c>
      <c r="T305">
        <v>1064</v>
      </c>
    </row>
    <row r="306" spans="1:20" x14ac:dyDescent="0.35">
      <c r="A306" s="7" t="s">
        <v>402</v>
      </c>
      <c r="B306" s="12" t="s">
        <v>290</v>
      </c>
      <c r="C306">
        <v>21131950.412974413</v>
      </c>
      <c r="D306">
        <v>15138879.302442417</v>
      </c>
      <c r="E306">
        <v>7207.207207208</v>
      </c>
      <c r="F306">
        <v>292342.34234234301</v>
      </c>
      <c r="G306">
        <v>18</v>
      </c>
      <c r="H306">
        <v>4</v>
      </c>
      <c r="K306">
        <v>22</v>
      </c>
      <c r="L306">
        <v>6</v>
      </c>
      <c r="M306">
        <v>935135.13513513596</v>
      </c>
      <c r="N306">
        <v>531531.53153153101</v>
      </c>
      <c r="O306">
        <v>3348603.6036036038</v>
      </c>
      <c r="P306">
        <v>1757288.2882882881</v>
      </c>
      <c r="Q306">
        <v>1554774.7747747749</v>
      </c>
      <c r="R306">
        <v>922792.79279279301</v>
      </c>
      <c r="S306">
        <v>1673</v>
      </c>
      <c r="T306">
        <v>1650</v>
      </c>
    </row>
    <row r="307" spans="1:20" x14ac:dyDescent="0.35">
      <c r="A307" s="7" t="s">
        <v>403</v>
      </c>
      <c r="B307" s="12" t="s">
        <v>121</v>
      </c>
      <c r="C307">
        <v>17377077.269188341</v>
      </c>
      <c r="D307">
        <v>16978963.770992476</v>
      </c>
      <c r="F307">
        <v>55630.630630631</v>
      </c>
      <c r="G307">
        <v>2</v>
      </c>
      <c r="H307">
        <v>3</v>
      </c>
      <c r="K307">
        <v>2</v>
      </c>
      <c r="L307">
        <v>5</v>
      </c>
      <c r="N307">
        <v>58558.558558559002</v>
      </c>
      <c r="O307">
        <v>1384414.414414414</v>
      </c>
      <c r="P307">
        <v>1556441.441441441</v>
      </c>
      <c r="S307">
        <v>1121</v>
      </c>
      <c r="T307">
        <v>1035</v>
      </c>
    </row>
    <row r="308" spans="1:20" x14ac:dyDescent="0.35">
      <c r="A308" s="7" t="s">
        <v>404</v>
      </c>
      <c r="B308" s="12" t="s">
        <v>368</v>
      </c>
      <c r="C308">
        <v>42895661.553076111</v>
      </c>
      <c r="D308">
        <v>38461306.300439358</v>
      </c>
      <c r="E308">
        <v>14755818.918918921</v>
      </c>
      <c r="F308">
        <v>1521902.702702702</v>
      </c>
      <c r="G308">
        <v>5</v>
      </c>
      <c r="H308">
        <v>5</v>
      </c>
      <c r="K308">
        <v>6</v>
      </c>
      <c r="L308">
        <v>7</v>
      </c>
      <c r="M308">
        <v>1632432.432432431</v>
      </c>
      <c r="N308">
        <v>13075495.4954955</v>
      </c>
      <c r="O308">
        <v>12425247.747747747</v>
      </c>
      <c r="P308">
        <v>13453076.576576576</v>
      </c>
      <c r="Q308">
        <v>2146396.3963963948</v>
      </c>
      <c r="R308">
        <v>12663513.513513517</v>
      </c>
      <c r="S308">
        <v>4156</v>
      </c>
      <c r="T308">
        <v>4293</v>
      </c>
    </row>
    <row r="309" spans="1:20" x14ac:dyDescent="0.35">
      <c r="A309" s="7" t="s">
        <v>405</v>
      </c>
      <c r="B309" s="12" t="s">
        <v>140</v>
      </c>
      <c r="C309">
        <v>21550708.612630848</v>
      </c>
      <c r="D309">
        <v>19066416.687108126</v>
      </c>
      <c r="E309">
        <v>8795945.9459459465</v>
      </c>
      <c r="F309">
        <v>48423.423423421998</v>
      </c>
      <c r="H309">
        <v>2</v>
      </c>
      <c r="L309">
        <v>2</v>
      </c>
      <c r="M309">
        <v>1331081.0810810809</v>
      </c>
      <c r="N309">
        <v>2701261.261261262</v>
      </c>
      <c r="O309">
        <v>4890810.8108108109</v>
      </c>
      <c r="P309">
        <v>4763468.4684684677</v>
      </c>
      <c r="Q309">
        <v>2019549.5495495501</v>
      </c>
      <c r="R309">
        <v>2415315.315315316</v>
      </c>
      <c r="S309">
        <v>1459</v>
      </c>
      <c r="T309">
        <v>1404</v>
      </c>
    </row>
    <row r="310" spans="1:20" x14ac:dyDescent="0.35">
      <c r="A310" s="7" t="s">
        <v>406</v>
      </c>
      <c r="B310" s="12" t="s">
        <v>54</v>
      </c>
      <c r="C310">
        <v>26224191.421613343</v>
      </c>
      <c r="D310">
        <v>25805114.535714176</v>
      </c>
      <c r="E310">
        <v>5765.7657657660002</v>
      </c>
      <c r="F310">
        <v>577477.47747747705</v>
      </c>
      <c r="G310">
        <v>2</v>
      </c>
      <c r="H310">
        <v>7</v>
      </c>
      <c r="K310">
        <v>2</v>
      </c>
      <c r="L310">
        <v>24</v>
      </c>
      <c r="M310">
        <v>871531.53153153195</v>
      </c>
      <c r="N310">
        <v>3726126.1261261259</v>
      </c>
      <c r="O310">
        <v>5591081.0810810803</v>
      </c>
      <c r="P310">
        <v>5746468.4684684668</v>
      </c>
      <c r="Q310">
        <v>1333423.423423423</v>
      </c>
      <c r="R310">
        <v>4139729.7297297311</v>
      </c>
      <c r="S310">
        <v>2303</v>
      </c>
      <c r="T310">
        <v>2210</v>
      </c>
    </row>
    <row r="311" spans="1:20" x14ac:dyDescent="0.35">
      <c r="A311" s="7" t="s">
        <v>407</v>
      </c>
      <c r="B311" s="12" t="s">
        <v>134</v>
      </c>
      <c r="C311">
        <v>10165585.37675645</v>
      </c>
      <c r="D311">
        <v>10988416.567118296</v>
      </c>
      <c r="E311">
        <v>1801.801801802</v>
      </c>
      <c r="G311">
        <v>1</v>
      </c>
      <c r="H311">
        <v>1</v>
      </c>
      <c r="K311">
        <v>3</v>
      </c>
      <c r="L311">
        <v>1</v>
      </c>
      <c r="M311">
        <v>722522.52252252295</v>
      </c>
      <c r="N311">
        <v>756756.75675675704</v>
      </c>
      <c r="O311">
        <v>1322477.4774774781</v>
      </c>
      <c r="P311">
        <v>635576.57657657703</v>
      </c>
      <c r="Q311">
        <v>266126.12612612598</v>
      </c>
      <c r="R311">
        <v>507657.65765765699</v>
      </c>
      <c r="S311">
        <v>939</v>
      </c>
      <c r="T311">
        <v>941</v>
      </c>
    </row>
    <row r="312" spans="1:20" x14ac:dyDescent="0.35">
      <c r="A312" s="7" t="s">
        <v>408</v>
      </c>
      <c r="B312" s="12" t="s">
        <v>290</v>
      </c>
      <c r="C312">
        <v>8003702.3650313281</v>
      </c>
      <c r="D312">
        <v>6643997.0250205854</v>
      </c>
      <c r="E312">
        <v>18918.918918919</v>
      </c>
      <c r="F312">
        <v>187387.38738738699</v>
      </c>
      <c r="G312">
        <v>3</v>
      </c>
      <c r="H312">
        <v>5</v>
      </c>
      <c r="K312">
        <v>5</v>
      </c>
      <c r="L312">
        <v>5</v>
      </c>
      <c r="M312">
        <v>181081.08108107999</v>
      </c>
      <c r="N312">
        <v>2085585.585585586</v>
      </c>
      <c r="O312">
        <v>1397738.7387387389</v>
      </c>
      <c r="P312">
        <v>748072.07207207195</v>
      </c>
      <c r="Q312">
        <v>642702.70270270295</v>
      </c>
      <c r="R312">
        <v>544594.59459459502</v>
      </c>
      <c r="S312">
        <v>942</v>
      </c>
      <c r="T312">
        <v>915</v>
      </c>
    </row>
    <row r="313" spans="1:20" x14ac:dyDescent="0.35">
      <c r="A313" s="7" t="s">
        <v>409</v>
      </c>
      <c r="B313" s="12" t="s">
        <v>178</v>
      </c>
      <c r="C313">
        <v>118131039.24913116</v>
      </c>
      <c r="D313">
        <v>106531087.93880612</v>
      </c>
      <c r="E313">
        <v>312837.837837837</v>
      </c>
      <c r="F313">
        <v>204504.50450450601</v>
      </c>
      <c r="G313">
        <v>28</v>
      </c>
      <c r="H313">
        <v>9</v>
      </c>
      <c r="K313">
        <v>35</v>
      </c>
      <c r="L313">
        <v>55</v>
      </c>
      <c r="M313">
        <v>9320270.2702702712</v>
      </c>
      <c r="N313">
        <v>8391891.891891893</v>
      </c>
      <c r="O313">
        <v>37146702.702702701</v>
      </c>
      <c r="P313">
        <v>36572126.126126125</v>
      </c>
      <c r="Q313">
        <v>10247837.837837839</v>
      </c>
      <c r="R313">
        <v>5871261.2612612629</v>
      </c>
      <c r="S313">
        <v>9807</v>
      </c>
      <c r="T313">
        <v>9498</v>
      </c>
    </row>
    <row r="314" spans="1:20" x14ac:dyDescent="0.35">
      <c r="A314" s="7" t="s">
        <v>670</v>
      </c>
      <c r="B314" s="12" t="s">
        <v>87</v>
      </c>
      <c r="S314">
        <v>1</v>
      </c>
    </row>
    <row r="315" spans="1:20" x14ac:dyDescent="0.35">
      <c r="A315" s="7" t="s">
        <v>410</v>
      </c>
      <c r="B315" s="12" t="s">
        <v>54</v>
      </c>
      <c r="C315">
        <v>211057138.28918701</v>
      </c>
      <c r="D315">
        <v>212624833.19188213</v>
      </c>
      <c r="E315">
        <v>28425198.198198199</v>
      </c>
      <c r="F315">
        <v>2911500.9009009101</v>
      </c>
      <c r="G315">
        <v>31</v>
      </c>
      <c r="H315">
        <v>36</v>
      </c>
      <c r="K315">
        <v>43</v>
      </c>
      <c r="L315">
        <v>51</v>
      </c>
      <c r="M315">
        <v>11368468.468468467</v>
      </c>
      <c r="N315">
        <v>12836036.036036041</v>
      </c>
      <c r="O315">
        <v>39728153.153153151</v>
      </c>
      <c r="P315">
        <v>44163387.387387387</v>
      </c>
      <c r="Q315">
        <v>12177477.47747748</v>
      </c>
      <c r="R315">
        <v>11932522.52252252</v>
      </c>
      <c r="S315">
        <v>18621</v>
      </c>
      <c r="T315">
        <v>19545</v>
      </c>
    </row>
    <row r="316" spans="1:20" x14ac:dyDescent="0.35">
      <c r="A316" s="7" t="s">
        <v>411</v>
      </c>
      <c r="B316" s="12" t="s">
        <v>224</v>
      </c>
      <c r="C316">
        <v>126533226.82422416</v>
      </c>
      <c r="D316">
        <v>112715717.19077425</v>
      </c>
      <c r="E316">
        <v>561621.62162162201</v>
      </c>
      <c r="F316">
        <v>665765.76576576999</v>
      </c>
      <c r="G316">
        <v>44</v>
      </c>
      <c r="H316">
        <v>33</v>
      </c>
      <c r="K316">
        <v>53</v>
      </c>
      <c r="L316">
        <v>43</v>
      </c>
      <c r="M316">
        <v>12492792.792792792</v>
      </c>
      <c r="N316">
        <v>10358738.73873874</v>
      </c>
      <c r="O316">
        <v>30774022.52252252</v>
      </c>
      <c r="P316">
        <v>35360700.9009009</v>
      </c>
      <c r="Q316">
        <v>10164594.594594596</v>
      </c>
      <c r="R316">
        <v>13690673.873873875</v>
      </c>
      <c r="S316">
        <v>13834</v>
      </c>
      <c r="T316">
        <v>12955</v>
      </c>
    </row>
    <row r="317" spans="1:20" x14ac:dyDescent="0.35">
      <c r="A317" s="7" t="s">
        <v>412</v>
      </c>
      <c r="B317" s="12" t="s">
        <v>413</v>
      </c>
      <c r="C317">
        <v>39851759.657332607</v>
      </c>
      <c r="D317">
        <v>39519140.769830018</v>
      </c>
      <c r="E317">
        <v>900.900900901</v>
      </c>
      <c r="F317">
        <v>111261.261261263</v>
      </c>
      <c r="G317">
        <v>3</v>
      </c>
      <c r="K317">
        <v>3</v>
      </c>
      <c r="M317">
        <v>1218918.918918917</v>
      </c>
      <c r="N317">
        <v>800360.36036036396</v>
      </c>
      <c r="O317">
        <v>15962486.486486487</v>
      </c>
      <c r="P317">
        <v>14809144.144144144</v>
      </c>
      <c r="Q317">
        <v>934864.86486486404</v>
      </c>
      <c r="R317">
        <v>718018.01801801904</v>
      </c>
      <c r="S317">
        <v>4007</v>
      </c>
      <c r="T317">
        <v>3992</v>
      </c>
    </row>
    <row r="318" spans="1:20" x14ac:dyDescent="0.35">
      <c r="A318" s="7" t="s">
        <v>414</v>
      </c>
      <c r="B318" s="12" t="s">
        <v>214</v>
      </c>
      <c r="C318">
        <v>245876700.4043487</v>
      </c>
      <c r="D318">
        <v>272241412.0664956</v>
      </c>
      <c r="E318">
        <v>28178741.441441439</v>
      </c>
      <c r="F318">
        <v>5865799.0990991006</v>
      </c>
      <c r="G318">
        <v>61</v>
      </c>
      <c r="H318">
        <v>605</v>
      </c>
      <c r="K318">
        <v>92</v>
      </c>
      <c r="L318">
        <v>739</v>
      </c>
      <c r="M318">
        <v>28179369.369369376</v>
      </c>
      <c r="N318">
        <v>48306486.48648648</v>
      </c>
      <c r="O318">
        <v>104621881.08108109</v>
      </c>
      <c r="P318">
        <v>135803245.94594595</v>
      </c>
      <c r="Q318">
        <v>29376666.666666672</v>
      </c>
      <c r="R318">
        <v>40767567.567567557</v>
      </c>
      <c r="S318">
        <v>24061</v>
      </c>
      <c r="T318">
        <v>24189</v>
      </c>
    </row>
    <row r="319" spans="1:20" x14ac:dyDescent="0.35">
      <c r="A319" s="7" t="s">
        <v>415</v>
      </c>
      <c r="B319" s="12" t="s">
        <v>413</v>
      </c>
      <c r="C319">
        <v>23041784.780123424</v>
      </c>
      <c r="D319">
        <v>22450617.065578729</v>
      </c>
      <c r="E319">
        <v>900.900900901</v>
      </c>
      <c r="F319">
        <v>89639.639639639994</v>
      </c>
      <c r="G319">
        <v>4</v>
      </c>
      <c r="H319">
        <v>3</v>
      </c>
      <c r="K319">
        <v>8</v>
      </c>
      <c r="L319">
        <v>5</v>
      </c>
      <c r="M319">
        <v>5183603.6036036024</v>
      </c>
      <c r="N319">
        <v>3886486.4864864871</v>
      </c>
      <c r="O319">
        <v>7161306.3063063072</v>
      </c>
      <c r="P319">
        <v>8790216.2162162159</v>
      </c>
      <c r="Q319">
        <v>2828648.6486486481</v>
      </c>
      <c r="R319">
        <v>2880630.6306306319</v>
      </c>
      <c r="S319">
        <v>3005</v>
      </c>
      <c r="T319">
        <v>2899</v>
      </c>
    </row>
    <row r="320" spans="1:20" x14ac:dyDescent="0.35">
      <c r="A320" s="7" t="s">
        <v>416</v>
      </c>
      <c r="B320" s="12" t="s">
        <v>236</v>
      </c>
      <c r="C320">
        <v>174028432.61587915</v>
      </c>
      <c r="D320">
        <v>163074091.08096138</v>
      </c>
      <c r="E320">
        <v>11711.711711713</v>
      </c>
      <c r="F320">
        <v>424324.32432432403</v>
      </c>
      <c r="G320">
        <v>11</v>
      </c>
      <c r="H320">
        <v>32</v>
      </c>
      <c r="K320">
        <v>66</v>
      </c>
      <c r="L320">
        <v>53</v>
      </c>
      <c r="M320">
        <v>20811351.351351351</v>
      </c>
      <c r="N320">
        <v>13794054.054054055</v>
      </c>
      <c r="O320">
        <v>41934090.090090089</v>
      </c>
      <c r="P320">
        <v>37205216.216216214</v>
      </c>
      <c r="Q320">
        <v>14884324.324324328</v>
      </c>
      <c r="R320">
        <v>12062612.612612613</v>
      </c>
      <c r="S320">
        <v>11138</v>
      </c>
      <c r="T320">
        <v>10736</v>
      </c>
    </row>
    <row r="321" spans="1:20" x14ac:dyDescent="0.35">
      <c r="A321" s="7" t="s">
        <v>417</v>
      </c>
      <c r="B321" s="12" t="s">
        <v>117</v>
      </c>
      <c r="C321">
        <v>165236732.33914536</v>
      </c>
      <c r="D321">
        <v>154187912.0544911</v>
      </c>
      <c r="E321">
        <v>28349972.972972974</v>
      </c>
      <c r="F321">
        <v>1656305.4054054089</v>
      </c>
      <c r="G321">
        <v>58</v>
      </c>
      <c r="H321">
        <v>32</v>
      </c>
      <c r="I321">
        <v>1</v>
      </c>
      <c r="K321">
        <v>164</v>
      </c>
      <c r="L321">
        <v>74</v>
      </c>
      <c r="M321">
        <v>38257747.747747749</v>
      </c>
      <c r="N321">
        <v>31888738.738738734</v>
      </c>
      <c r="O321">
        <v>70844279.279279277</v>
      </c>
      <c r="P321">
        <v>69866520.720720723</v>
      </c>
      <c r="Q321">
        <v>33563243.24324324</v>
      </c>
      <c r="R321">
        <v>30733783.783783782</v>
      </c>
      <c r="S321">
        <v>17545</v>
      </c>
      <c r="T321">
        <v>17543</v>
      </c>
    </row>
    <row r="322" spans="1:20" x14ac:dyDescent="0.35">
      <c r="A322" s="7" t="s">
        <v>418</v>
      </c>
      <c r="B322" s="12" t="s">
        <v>147</v>
      </c>
      <c r="C322">
        <v>4638025.0482318522</v>
      </c>
      <c r="D322">
        <v>3551079.601306906</v>
      </c>
      <c r="O322">
        <v>1626621.6216216211</v>
      </c>
      <c r="P322">
        <v>1628963.963963964</v>
      </c>
      <c r="S322">
        <v>517</v>
      </c>
      <c r="T322">
        <v>502</v>
      </c>
    </row>
    <row r="323" spans="1:20" x14ac:dyDescent="0.35">
      <c r="A323" s="7" t="s">
        <v>419</v>
      </c>
      <c r="B323" s="12" t="s">
        <v>304</v>
      </c>
      <c r="C323">
        <v>36268200.233778678</v>
      </c>
      <c r="D323">
        <v>35938700.340025589</v>
      </c>
      <c r="E323">
        <v>236036.036036037</v>
      </c>
      <c r="F323">
        <v>938963.96396396495</v>
      </c>
      <c r="G323">
        <v>9</v>
      </c>
      <c r="H323">
        <v>18</v>
      </c>
      <c r="K323">
        <v>12</v>
      </c>
      <c r="L323">
        <v>20</v>
      </c>
      <c r="M323">
        <v>8428828.8288288284</v>
      </c>
      <c r="N323">
        <v>4404504.5045045046</v>
      </c>
      <c r="O323">
        <v>7227702.702702702</v>
      </c>
      <c r="P323">
        <v>6535117.11711712</v>
      </c>
      <c r="Q323">
        <v>6402882.8828828838</v>
      </c>
      <c r="R323">
        <v>4480720.7207207195</v>
      </c>
      <c r="S323">
        <v>2328</v>
      </c>
      <c r="T323">
        <v>2322</v>
      </c>
    </row>
    <row r="324" spans="1:20" x14ac:dyDescent="0.35">
      <c r="A324" s="7" t="s">
        <v>420</v>
      </c>
      <c r="B324" s="12" t="s">
        <v>304</v>
      </c>
      <c r="C324">
        <v>43980431.467361443</v>
      </c>
      <c r="D324">
        <v>40932937.519543871</v>
      </c>
      <c r="E324">
        <v>147747.747747749</v>
      </c>
      <c r="F324">
        <v>1184459.4594594571</v>
      </c>
      <c r="G324">
        <v>19</v>
      </c>
      <c r="H324">
        <v>16</v>
      </c>
      <c r="I324">
        <v>2</v>
      </c>
      <c r="K324">
        <v>27</v>
      </c>
      <c r="L324">
        <v>26</v>
      </c>
      <c r="M324">
        <v>8134234.2342342306</v>
      </c>
      <c r="N324">
        <v>9733333.3333333321</v>
      </c>
      <c r="O324">
        <v>8438286.4864864908</v>
      </c>
      <c r="P324">
        <v>9046288.2882882878</v>
      </c>
      <c r="Q324">
        <v>5501711.7117117113</v>
      </c>
      <c r="R324">
        <v>4530450.4504504502</v>
      </c>
      <c r="S324">
        <v>3091</v>
      </c>
      <c r="T324">
        <v>3052</v>
      </c>
    </row>
    <row r="325" spans="1:20" x14ac:dyDescent="0.35">
      <c r="A325" s="7" t="s">
        <v>421</v>
      </c>
      <c r="B325" s="12" t="s">
        <v>121</v>
      </c>
      <c r="C325">
        <v>3588379.6638499591</v>
      </c>
      <c r="D325">
        <v>1611590.8017201361</v>
      </c>
      <c r="O325">
        <v>55855.855855856003</v>
      </c>
      <c r="P325">
        <v>75450.450450449993</v>
      </c>
      <c r="S325">
        <v>309</v>
      </c>
      <c r="T325">
        <v>297</v>
      </c>
    </row>
    <row r="326" spans="1:20" x14ac:dyDescent="0.35">
      <c r="A326" s="7" t="s">
        <v>422</v>
      </c>
      <c r="B326" s="12" t="s">
        <v>60</v>
      </c>
      <c r="C326">
        <v>21152098.866781235</v>
      </c>
      <c r="D326">
        <v>20328715.336222012</v>
      </c>
      <c r="E326">
        <v>2702.7027027029999</v>
      </c>
      <c r="F326">
        <v>347747.74774775002</v>
      </c>
      <c r="G326">
        <v>6</v>
      </c>
      <c r="H326">
        <v>16</v>
      </c>
      <c r="K326">
        <v>7</v>
      </c>
      <c r="L326">
        <v>19</v>
      </c>
      <c r="M326">
        <v>3667567.5675675659</v>
      </c>
      <c r="N326">
        <v>7610810.8108108109</v>
      </c>
      <c r="O326">
        <v>6963288.2882882878</v>
      </c>
      <c r="P326">
        <v>6972585.5855855849</v>
      </c>
      <c r="Q326">
        <v>1733693.693693694</v>
      </c>
      <c r="R326">
        <v>6275765.7657657648</v>
      </c>
      <c r="S326">
        <v>2174</v>
      </c>
      <c r="T326">
        <v>1952</v>
      </c>
    </row>
    <row r="327" spans="1:20" x14ac:dyDescent="0.35">
      <c r="A327" s="7" t="s">
        <v>423</v>
      </c>
      <c r="B327" s="12" t="s">
        <v>181</v>
      </c>
      <c r="C327">
        <v>202431242.69620958</v>
      </c>
      <c r="D327">
        <v>198349999.73212495</v>
      </c>
      <c r="E327">
        <v>465765.76576576801</v>
      </c>
      <c r="F327">
        <v>1094594.5945945999</v>
      </c>
      <c r="G327">
        <v>59</v>
      </c>
      <c r="H327">
        <v>72</v>
      </c>
      <c r="I327">
        <v>10</v>
      </c>
      <c r="K327">
        <v>74</v>
      </c>
      <c r="L327">
        <v>97</v>
      </c>
      <c r="M327">
        <v>23200360.36036035</v>
      </c>
      <c r="N327">
        <v>28588468.468468465</v>
      </c>
      <c r="O327">
        <v>55043189.189189181</v>
      </c>
      <c r="P327">
        <v>59633873.873873875</v>
      </c>
      <c r="Q327">
        <v>21687207.207207207</v>
      </c>
      <c r="R327">
        <v>24383513.513513513</v>
      </c>
      <c r="S327">
        <v>22594</v>
      </c>
      <c r="T327">
        <v>21709</v>
      </c>
    </row>
    <row r="328" spans="1:20" x14ac:dyDescent="0.35">
      <c r="A328" s="7" t="s">
        <v>424</v>
      </c>
      <c r="B328" s="12" t="s">
        <v>76</v>
      </c>
      <c r="C328">
        <v>9308708.6360772159</v>
      </c>
      <c r="D328">
        <v>6499564.3618320394</v>
      </c>
      <c r="E328">
        <v>1801.801801802</v>
      </c>
      <c r="F328">
        <v>13513.513513514001</v>
      </c>
      <c r="K328">
        <v>1</v>
      </c>
      <c r="M328">
        <v>632432.43243243196</v>
      </c>
      <c r="N328">
        <v>13513.513513514001</v>
      </c>
      <c r="O328">
        <v>748828.82882882899</v>
      </c>
      <c r="P328">
        <v>541531.53153153195</v>
      </c>
      <c r="Q328">
        <v>782162.16216216201</v>
      </c>
      <c r="R328">
        <v>591081.08108108095</v>
      </c>
      <c r="S328">
        <v>937</v>
      </c>
      <c r="T328">
        <v>878</v>
      </c>
    </row>
    <row r="329" spans="1:20" x14ac:dyDescent="0.35">
      <c r="A329" s="7" t="s">
        <v>425</v>
      </c>
      <c r="B329" s="12" t="s">
        <v>76</v>
      </c>
      <c r="C329">
        <v>25795195.755237643</v>
      </c>
      <c r="D329">
        <v>23953415.859739386</v>
      </c>
      <c r="E329">
        <v>136036.03603603601</v>
      </c>
      <c r="F329">
        <v>47747.747747749003</v>
      </c>
      <c r="G329">
        <v>6</v>
      </c>
      <c r="H329">
        <v>7</v>
      </c>
      <c r="K329">
        <v>9</v>
      </c>
      <c r="L329">
        <v>7</v>
      </c>
      <c r="M329">
        <v>3537837.8378378381</v>
      </c>
      <c r="N329">
        <v>4102882.8828828838</v>
      </c>
      <c r="O329">
        <v>5712792.7927927924</v>
      </c>
      <c r="P329">
        <v>5993108.1081081089</v>
      </c>
      <c r="Q329">
        <v>2153243.2432432449</v>
      </c>
      <c r="R329">
        <v>2822522.5225225212</v>
      </c>
      <c r="S329">
        <v>1481</v>
      </c>
      <c r="T329">
        <v>1459</v>
      </c>
    </row>
    <row r="330" spans="1:20" x14ac:dyDescent="0.35">
      <c r="A330" s="7" t="s">
        <v>426</v>
      </c>
      <c r="B330" s="12" t="s">
        <v>330</v>
      </c>
      <c r="C330">
        <v>123806233.84979361</v>
      </c>
      <c r="D330">
        <v>118043032.99134749</v>
      </c>
      <c r="E330">
        <v>350180.18018018198</v>
      </c>
      <c r="F330">
        <v>1513288.288288292</v>
      </c>
      <c r="G330">
        <v>27</v>
      </c>
      <c r="H330">
        <v>38</v>
      </c>
      <c r="K330">
        <v>46</v>
      </c>
      <c r="L330">
        <v>45</v>
      </c>
      <c r="M330">
        <v>2548378.3783783792</v>
      </c>
      <c r="N330">
        <v>8027027.0270270277</v>
      </c>
      <c r="O330">
        <v>20608738.738738734</v>
      </c>
      <c r="P330">
        <v>20422144.144144144</v>
      </c>
      <c r="Q330">
        <v>3801441.4414414461</v>
      </c>
      <c r="R330">
        <v>6113603.6036036033</v>
      </c>
      <c r="S330">
        <v>11535</v>
      </c>
      <c r="T330">
        <v>11639</v>
      </c>
    </row>
    <row r="331" spans="1:20" x14ac:dyDescent="0.35">
      <c r="A331" s="7" t="s">
        <v>427</v>
      </c>
      <c r="B331" s="12" t="s">
        <v>241</v>
      </c>
      <c r="C331">
        <v>31508436.273222063</v>
      </c>
      <c r="D331">
        <v>29994150.854900386</v>
      </c>
      <c r="E331">
        <v>274774.77477477503</v>
      </c>
      <c r="F331">
        <v>33333.333333333998</v>
      </c>
      <c r="G331">
        <v>8</v>
      </c>
      <c r="H331">
        <v>7</v>
      </c>
      <c r="K331">
        <v>10</v>
      </c>
      <c r="L331">
        <v>12</v>
      </c>
      <c r="M331">
        <v>4113603.603603608</v>
      </c>
      <c r="N331">
        <v>4667567.5675675683</v>
      </c>
      <c r="O331">
        <v>11981648.648648648</v>
      </c>
      <c r="P331">
        <v>10469630.630630627</v>
      </c>
      <c r="Q331">
        <v>4307837.8378378423</v>
      </c>
      <c r="R331">
        <v>2348288.2882882878</v>
      </c>
      <c r="S331">
        <v>5291</v>
      </c>
      <c r="T331">
        <v>5336</v>
      </c>
    </row>
    <row r="332" spans="1:20" x14ac:dyDescent="0.35">
      <c r="A332" s="7" t="s">
        <v>428</v>
      </c>
      <c r="B332" s="12" t="s">
        <v>283</v>
      </c>
      <c r="C332">
        <v>12381118.848867165</v>
      </c>
      <c r="D332">
        <v>16255705.912634311</v>
      </c>
      <c r="E332">
        <v>900.900900901</v>
      </c>
      <c r="F332">
        <v>214414.41441441499</v>
      </c>
      <c r="G332">
        <v>5</v>
      </c>
      <c r="K332">
        <v>7</v>
      </c>
      <c r="L332">
        <v>23</v>
      </c>
      <c r="M332">
        <v>900.900900901</v>
      </c>
      <c r="N332">
        <v>214414.41441441499</v>
      </c>
      <c r="O332">
        <v>2628063.0630630632</v>
      </c>
      <c r="P332">
        <v>3493153.1531531531</v>
      </c>
      <c r="Q332">
        <v>246396.39639639601</v>
      </c>
      <c r="R332">
        <v>927567.56756756699</v>
      </c>
      <c r="S332">
        <v>1285</v>
      </c>
      <c r="T332">
        <v>1319</v>
      </c>
    </row>
    <row r="333" spans="1:20" x14ac:dyDescent="0.35">
      <c r="A333" s="7" t="s">
        <v>429</v>
      </c>
      <c r="B333" s="12" t="s">
        <v>283</v>
      </c>
      <c r="C333">
        <v>3859372.2460318208</v>
      </c>
      <c r="D333">
        <v>4338876.6867838893</v>
      </c>
      <c r="E333">
        <v>900.900900901</v>
      </c>
      <c r="F333">
        <v>27027.027027027001</v>
      </c>
      <c r="M333">
        <v>900.900900901</v>
      </c>
      <c r="N333">
        <v>477477.47747747699</v>
      </c>
      <c r="O333">
        <v>448288.28828828799</v>
      </c>
      <c r="P333">
        <v>194774.774774775</v>
      </c>
      <c r="R333">
        <v>423693.69369369402</v>
      </c>
      <c r="S333">
        <v>565</v>
      </c>
      <c r="T333">
        <v>457</v>
      </c>
    </row>
    <row r="334" spans="1:20" x14ac:dyDescent="0.35">
      <c r="A334" s="7" t="s">
        <v>430</v>
      </c>
      <c r="B334" s="12" t="s">
        <v>283</v>
      </c>
      <c r="C334">
        <v>7749420.1162265008</v>
      </c>
      <c r="D334">
        <v>9639418.6489187386</v>
      </c>
      <c r="F334">
        <v>166666.66666666701</v>
      </c>
      <c r="G334">
        <v>2</v>
      </c>
      <c r="H334">
        <v>2</v>
      </c>
      <c r="K334">
        <v>2</v>
      </c>
      <c r="L334">
        <v>3</v>
      </c>
      <c r="N334">
        <v>256756.75675675701</v>
      </c>
      <c r="O334">
        <v>575630.63063062995</v>
      </c>
      <c r="P334">
        <v>936261.26126126095</v>
      </c>
      <c r="R334">
        <v>148648.64864864899</v>
      </c>
      <c r="S334">
        <v>814</v>
      </c>
      <c r="T334">
        <v>1875</v>
      </c>
    </row>
    <row r="335" spans="1:20" x14ac:dyDescent="0.35">
      <c r="A335" s="7" t="s">
        <v>431</v>
      </c>
      <c r="B335" s="12" t="s">
        <v>78</v>
      </c>
      <c r="C335">
        <v>53669666.35804487</v>
      </c>
      <c r="D335">
        <v>52395412.158432558</v>
      </c>
      <c r="E335">
        <v>305405.40540540701</v>
      </c>
      <c r="F335">
        <v>500900.90090090199</v>
      </c>
      <c r="G335">
        <v>9</v>
      </c>
      <c r="H335">
        <v>31</v>
      </c>
      <c r="K335">
        <v>11</v>
      </c>
      <c r="L335">
        <v>85</v>
      </c>
      <c r="M335">
        <v>4922522.5225225212</v>
      </c>
      <c r="N335">
        <v>3554954.9549549539</v>
      </c>
      <c r="O335">
        <v>21240135.135135137</v>
      </c>
      <c r="P335">
        <v>21611414.414414417</v>
      </c>
      <c r="Q335">
        <v>3747297.2972972952</v>
      </c>
      <c r="R335">
        <v>4981261.2612612629</v>
      </c>
      <c r="S335">
        <v>6600</v>
      </c>
      <c r="T335">
        <v>7007</v>
      </c>
    </row>
    <row r="336" spans="1:20" x14ac:dyDescent="0.35">
      <c r="A336" s="7" t="s">
        <v>432</v>
      </c>
      <c r="B336" s="12" t="s">
        <v>105</v>
      </c>
      <c r="C336">
        <v>43329262.075666986</v>
      </c>
      <c r="D336">
        <v>46474694.829110555</v>
      </c>
      <c r="E336">
        <v>75675.675675676001</v>
      </c>
      <c r="F336">
        <v>205405.40540540501</v>
      </c>
      <c r="G336">
        <v>2</v>
      </c>
      <c r="H336">
        <v>7</v>
      </c>
      <c r="K336">
        <v>5</v>
      </c>
      <c r="L336">
        <v>7</v>
      </c>
      <c r="M336">
        <v>4592792.7927927934</v>
      </c>
      <c r="N336">
        <v>5006081.0810810812</v>
      </c>
      <c r="O336">
        <v>9892738.7387387399</v>
      </c>
      <c r="P336">
        <v>10294747.747747747</v>
      </c>
      <c r="Q336">
        <v>3591171.1711711702</v>
      </c>
      <c r="R336">
        <v>8127432.4324324327</v>
      </c>
      <c r="S336">
        <v>3630</v>
      </c>
      <c r="T336">
        <v>3594</v>
      </c>
    </row>
    <row r="337" spans="1:20" x14ac:dyDescent="0.35">
      <c r="A337" s="7" t="s">
        <v>433</v>
      </c>
      <c r="B337" s="12" t="s">
        <v>72</v>
      </c>
      <c r="C337">
        <v>269809179.18341684</v>
      </c>
      <c r="D337">
        <v>253104128.34854263</v>
      </c>
      <c r="E337">
        <v>430180.18018018297</v>
      </c>
      <c r="F337">
        <v>1337837.8378378451</v>
      </c>
      <c r="G337">
        <v>52</v>
      </c>
      <c r="H337">
        <v>51</v>
      </c>
      <c r="I337">
        <v>1</v>
      </c>
      <c r="K337">
        <v>112</v>
      </c>
      <c r="L337">
        <v>88</v>
      </c>
      <c r="M337">
        <v>48919369.369369365</v>
      </c>
      <c r="N337">
        <v>29302702.702702705</v>
      </c>
      <c r="O337">
        <v>57072160.360360362</v>
      </c>
      <c r="P337">
        <v>52876882.882882878</v>
      </c>
      <c r="Q337">
        <v>32379819.819819815</v>
      </c>
      <c r="R337">
        <v>30901351.351351351</v>
      </c>
      <c r="S337">
        <v>18348</v>
      </c>
      <c r="T337">
        <v>18085</v>
      </c>
    </row>
    <row r="338" spans="1:20" x14ac:dyDescent="0.35">
      <c r="A338" s="7" t="s">
        <v>434</v>
      </c>
      <c r="B338" s="12" t="s">
        <v>72</v>
      </c>
      <c r="C338">
        <v>188629860.30587405</v>
      </c>
      <c r="D338">
        <v>174156029.56615451</v>
      </c>
      <c r="E338">
        <v>374774.77477477503</v>
      </c>
      <c r="F338">
        <v>1659684.6846846889</v>
      </c>
      <c r="G338">
        <v>26</v>
      </c>
      <c r="H338">
        <v>41</v>
      </c>
      <c r="K338">
        <v>34</v>
      </c>
      <c r="L338">
        <v>55</v>
      </c>
      <c r="M338">
        <v>17396396.396396391</v>
      </c>
      <c r="N338">
        <v>14221621.62162162</v>
      </c>
      <c r="O338">
        <v>32861220.72072072</v>
      </c>
      <c r="P338">
        <v>34388675.675675675</v>
      </c>
      <c r="Q338">
        <v>16366126.126126127</v>
      </c>
      <c r="R338">
        <v>13643963.963963969</v>
      </c>
      <c r="S338">
        <v>13651</v>
      </c>
      <c r="T338">
        <v>13687</v>
      </c>
    </row>
    <row r="339" spans="1:20" x14ac:dyDescent="0.35">
      <c r="A339" s="7" t="s">
        <v>435</v>
      </c>
      <c r="B339" s="12" t="s">
        <v>94</v>
      </c>
      <c r="C339">
        <v>13927881.190310316</v>
      </c>
      <c r="D339">
        <v>11567856.5423449</v>
      </c>
      <c r="E339">
        <v>8109009.0090090092</v>
      </c>
      <c r="G339">
        <v>2</v>
      </c>
      <c r="H339">
        <v>1</v>
      </c>
      <c r="K339">
        <v>3</v>
      </c>
      <c r="L339">
        <v>1</v>
      </c>
      <c r="M339">
        <v>2274324.3243243238</v>
      </c>
      <c r="N339">
        <v>1435135.1351351349</v>
      </c>
      <c r="O339">
        <v>3033468.4684684682</v>
      </c>
      <c r="P339">
        <v>3196792.7927927929</v>
      </c>
      <c r="R339">
        <v>32432.432432432</v>
      </c>
      <c r="S339">
        <v>1005</v>
      </c>
      <c r="T339">
        <v>872</v>
      </c>
    </row>
    <row r="340" spans="1:20" x14ac:dyDescent="0.35">
      <c r="A340" s="7" t="s">
        <v>436</v>
      </c>
      <c r="B340" s="12" t="s">
        <v>89</v>
      </c>
      <c r="C340">
        <v>68518026.159029022</v>
      </c>
      <c r="D340">
        <v>64805967.007591777</v>
      </c>
      <c r="E340">
        <v>422702.70270270202</v>
      </c>
      <c r="F340">
        <v>558558.55855855998</v>
      </c>
      <c r="G340">
        <v>15</v>
      </c>
      <c r="H340">
        <v>18</v>
      </c>
      <c r="K340">
        <v>15</v>
      </c>
      <c r="L340">
        <v>22</v>
      </c>
      <c r="M340">
        <v>6197477.477477476</v>
      </c>
      <c r="N340">
        <v>8616936.9369369354</v>
      </c>
      <c r="O340">
        <v>28011756.75675676</v>
      </c>
      <c r="P340">
        <v>28603738.738738734</v>
      </c>
      <c r="Q340">
        <v>7089999.9999999991</v>
      </c>
      <c r="R340">
        <v>10200990.990990994</v>
      </c>
      <c r="S340">
        <v>5861</v>
      </c>
      <c r="T340">
        <v>5332</v>
      </c>
    </row>
    <row r="341" spans="1:20" x14ac:dyDescent="0.35">
      <c r="A341" s="7" t="s">
        <v>437</v>
      </c>
      <c r="B341" s="12" t="s">
        <v>70</v>
      </c>
      <c r="C341">
        <v>2182742.3534915079</v>
      </c>
      <c r="D341">
        <v>1952948.1617789669</v>
      </c>
      <c r="G341">
        <v>2</v>
      </c>
      <c r="H341">
        <v>2</v>
      </c>
      <c r="K341">
        <v>2</v>
      </c>
      <c r="L341">
        <v>2</v>
      </c>
      <c r="O341">
        <v>918423.42342342297</v>
      </c>
      <c r="P341">
        <v>1232522.5225225219</v>
      </c>
      <c r="S341">
        <v>1326</v>
      </c>
      <c r="T341">
        <v>1393</v>
      </c>
    </row>
    <row r="342" spans="1:20" x14ac:dyDescent="0.35">
      <c r="A342" s="7" t="s">
        <v>438</v>
      </c>
      <c r="B342" s="12" t="s">
        <v>195</v>
      </c>
      <c r="C342">
        <v>315748321.047921</v>
      </c>
      <c r="D342">
        <v>290165028.69285852</v>
      </c>
      <c r="E342">
        <v>64994237.837837838</v>
      </c>
      <c r="F342">
        <v>31251533.333333332</v>
      </c>
      <c r="G342">
        <v>40</v>
      </c>
      <c r="H342">
        <v>67</v>
      </c>
      <c r="K342">
        <v>57</v>
      </c>
      <c r="L342">
        <v>95</v>
      </c>
      <c r="M342">
        <v>32779279.279279277</v>
      </c>
      <c r="N342">
        <v>26298378.378378384</v>
      </c>
      <c r="O342">
        <v>49186189.189189196</v>
      </c>
      <c r="P342">
        <v>50420900.900900893</v>
      </c>
      <c r="Q342">
        <v>27174414.414414413</v>
      </c>
      <c r="R342">
        <v>21144594.59459459</v>
      </c>
      <c r="S342">
        <v>20604</v>
      </c>
      <c r="T342">
        <v>23936</v>
      </c>
    </row>
    <row r="343" spans="1:20" x14ac:dyDescent="0.35">
      <c r="A343" s="7" t="s">
        <v>439</v>
      </c>
      <c r="B343" s="12" t="s">
        <v>178</v>
      </c>
      <c r="C343">
        <v>144047636.92629004</v>
      </c>
      <c r="D343">
        <v>149921002.00731155</v>
      </c>
      <c r="E343">
        <v>390360.360360361</v>
      </c>
      <c r="F343">
        <v>588288.28828829003</v>
      </c>
      <c r="G343">
        <v>13</v>
      </c>
      <c r="H343">
        <v>11</v>
      </c>
      <c r="K343">
        <v>16</v>
      </c>
      <c r="L343">
        <v>17</v>
      </c>
      <c r="M343">
        <v>34608198.198198199</v>
      </c>
      <c r="N343">
        <v>31320270.270270273</v>
      </c>
      <c r="O343">
        <v>56153243.24324324</v>
      </c>
      <c r="P343">
        <v>59939918.918918923</v>
      </c>
      <c r="Q343">
        <v>24150180.180180185</v>
      </c>
      <c r="R343">
        <v>26762522.52252252</v>
      </c>
      <c r="S343">
        <v>14242</v>
      </c>
      <c r="T343">
        <v>14368</v>
      </c>
    </row>
    <row r="344" spans="1:20" x14ac:dyDescent="0.35">
      <c r="A344" s="7" t="s">
        <v>440</v>
      </c>
      <c r="B344" s="12" t="s">
        <v>78</v>
      </c>
      <c r="C344">
        <v>65066945.63532117</v>
      </c>
      <c r="D344">
        <v>68413145.982542217</v>
      </c>
      <c r="E344">
        <v>15184414.414414415</v>
      </c>
      <c r="F344">
        <v>24055855.855855856</v>
      </c>
      <c r="G344">
        <v>9</v>
      </c>
      <c r="H344">
        <v>9</v>
      </c>
      <c r="K344">
        <v>16</v>
      </c>
      <c r="L344">
        <v>12</v>
      </c>
      <c r="M344">
        <v>2941171.1711711702</v>
      </c>
      <c r="N344">
        <v>7461261.261261262</v>
      </c>
      <c r="O344">
        <v>12748225.225225223</v>
      </c>
      <c r="P344">
        <v>13035504.504504504</v>
      </c>
      <c r="Q344">
        <v>3896126.1261261269</v>
      </c>
      <c r="R344">
        <v>7393873.8738738745</v>
      </c>
      <c r="S344">
        <v>4802</v>
      </c>
      <c r="T344">
        <v>4926</v>
      </c>
    </row>
    <row r="345" spans="1:20" x14ac:dyDescent="0.35">
      <c r="A345" s="7" t="s">
        <v>441</v>
      </c>
      <c r="B345" s="12" t="s">
        <v>78</v>
      </c>
      <c r="C345">
        <v>29386544.605853584</v>
      </c>
      <c r="D345">
        <v>27190131.295182575</v>
      </c>
      <c r="E345">
        <v>298198.19819819898</v>
      </c>
      <c r="F345">
        <v>372972.97297297401</v>
      </c>
      <c r="G345">
        <v>8</v>
      </c>
      <c r="H345">
        <v>4</v>
      </c>
      <c r="K345">
        <v>8</v>
      </c>
      <c r="L345">
        <v>4</v>
      </c>
      <c r="M345">
        <v>6388288.2882882869</v>
      </c>
      <c r="N345">
        <v>5156756.7567567546</v>
      </c>
      <c r="O345">
        <v>6161261.2612612611</v>
      </c>
      <c r="P345">
        <v>5550423.4234234234</v>
      </c>
      <c r="Q345">
        <v>5312432.4324324327</v>
      </c>
      <c r="R345">
        <v>6303333.333333333</v>
      </c>
      <c r="S345">
        <v>2313</v>
      </c>
      <c r="T345">
        <v>2358</v>
      </c>
    </row>
    <row r="346" spans="1:20" x14ac:dyDescent="0.35">
      <c r="A346" s="7" t="s">
        <v>442</v>
      </c>
      <c r="B346" s="12" t="s">
        <v>123</v>
      </c>
      <c r="C346">
        <v>406648.47239190398</v>
      </c>
      <c r="D346">
        <v>504757.37647658802</v>
      </c>
      <c r="G346">
        <v>1</v>
      </c>
      <c r="K346">
        <v>1</v>
      </c>
      <c r="O346">
        <v>175900.900900901</v>
      </c>
      <c r="P346">
        <v>210090.09009009</v>
      </c>
      <c r="S346">
        <v>403</v>
      </c>
      <c r="T346">
        <v>342</v>
      </c>
    </row>
    <row r="347" spans="1:20" x14ac:dyDescent="0.35">
      <c r="A347" s="7" t="s">
        <v>443</v>
      </c>
      <c r="B347" s="12" t="s">
        <v>140</v>
      </c>
      <c r="C347">
        <v>67663715.053903773</v>
      </c>
      <c r="D347">
        <v>69080300.832115859</v>
      </c>
      <c r="E347">
        <v>281981.98198198201</v>
      </c>
      <c r="F347">
        <v>159009.00900900899</v>
      </c>
      <c r="G347">
        <v>5</v>
      </c>
      <c r="H347">
        <v>10</v>
      </c>
      <c r="K347">
        <v>7</v>
      </c>
      <c r="L347">
        <v>14</v>
      </c>
      <c r="M347">
        <v>7831081.0810810803</v>
      </c>
      <c r="N347">
        <v>7485405.4054054031</v>
      </c>
      <c r="O347">
        <v>15736306.306306308</v>
      </c>
      <c r="P347">
        <v>17342747.747747749</v>
      </c>
      <c r="Q347">
        <v>6402342.3423423413</v>
      </c>
      <c r="R347">
        <v>5847657.657657655</v>
      </c>
      <c r="S347">
        <v>5603</v>
      </c>
      <c r="T347">
        <v>5689</v>
      </c>
    </row>
    <row r="348" spans="1:20" x14ac:dyDescent="0.35">
      <c r="A348" s="7" t="s">
        <v>444</v>
      </c>
      <c r="B348" s="12" t="s">
        <v>76</v>
      </c>
      <c r="C348">
        <v>7499366.0823906492</v>
      </c>
      <c r="D348">
        <v>7306021.0867164144</v>
      </c>
      <c r="E348">
        <v>36936.936936937003</v>
      </c>
      <c r="F348">
        <v>29729.729729731</v>
      </c>
      <c r="G348">
        <v>2</v>
      </c>
      <c r="H348">
        <v>1</v>
      </c>
      <c r="K348">
        <v>2</v>
      </c>
      <c r="L348">
        <v>1</v>
      </c>
      <c r="M348">
        <v>3226126.1261261259</v>
      </c>
      <c r="N348">
        <v>2056756.7567567569</v>
      </c>
      <c r="O348">
        <v>1555675.675675676</v>
      </c>
      <c r="P348">
        <v>1637630.630630631</v>
      </c>
      <c r="Q348">
        <v>1975675.675675676</v>
      </c>
      <c r="R348">
        <v>1411621.6216216211</v>
      </c>
      <c r="S348">
        <v>614</v>
      </c>
      <c r="T348">
        <v>577</v>
      </c>
    </row>
    <row r="349" spans="1:20" x14ac:dyDescent="0.35">
      <c r="A349" s="7" t="s">
        <v>445</v>
      </c>
      <c r="B349" s="12" t="s">
        <v>89</v>
      </c>
      <c r="C349">
        <v>211090613.31304842</v>
      </c>
      <c r="D349">
        <v>209051451.89799553</v>
      </c>
      <c r="E349">
        <v>28833239.639639638</v>
      </c>
      <c r="F349">
        <v>87058569.369369373</v>
      </c>
      <c r="G349">
        <v>24</v>
      </c>
      <c r="H349">
        <v>52</v>
      </c>
      <c r="I349">
        <v>1</v>
      </c>
      <c r="K349">
        <v>36</v>
      </c>
      <c r="L349">
        <v>66</v>
      </c>
      <c r="M349">
        <v>26722792.792792782</v>
      </c>
      <c r="N349">
        <v>21293873.873873871</v>
      </c>
      <c r="O349">
        <v>60865765.765765771</v>
      </c>
      <c r="P349">
        <v>63445809.009009011</v>
      </c>
      <c r="Q349">
        <v>23683063.063063063</v>
      </c>
      <c r="R349">
        <v>21276306.306306303</v>
      </c>
      <c r="S349">
        <v>16201</v>
      </c>
      <c r="T349">
        <v>17287</v>
      </c>
    </row>
    <row r="350" spans="1:20" x14ac:dyDescent="0.35">
      <c r="A350" s="7" t="s">
        <v>446</v>
      </c>
      <c r="B350" s="12" t="s">
        <v>48</v>
      </c>
      <c r="C350">
        <v>20628668.856061731</v>
      </c>
      <c r="D350">
        <v>19805743.925026201</v>
      </c>
      <c r="E350">
        <v>19225737.837837841</v>
      </c>
      <c r="F350">
        <v>22193727.02702703</v>
      </c>
      <c r="L350">
        <v>1</v>
      </c>
      <c r="M350">
        <v>1632972.9729729751</v>
      </c>
      <c r="N350">
        <v>7099099.0990990987</v>
      </c>
      <c r="O350">
        <v>7009369.369369369</v>
      </c>
      <c r="P350">
        <v>6411891.8918918921</v>
      </c>
      <c r="Q350">
        <v>1677117.1171171169</v>
      </c>
      <c r="R350">
        <v>1599639.63963964</v>
      </c>
      <c r="S350">
        <v>1051</v>
      </c>
      <c r="T350">
        <v>1087</v>
      </c>
    </row>
    <row r="351" spans="1:20" x14ac:dyDescent="0.35">
      <c r="A351" s="7" t="s">
        <v>447</v>
      </c>
      <c r="B351" s="12" t="s">
        <v>448</v>
      </c>
      <c r="C351">
        <v>40601429.31393493</v>
      </c>
      <c r="D351">
        <v>39387908.066699266</v>
      </c>
      <c r="E351">
        <v>254054.054054054</v>
      </c>
      <c r="F351">
        <v>496396.39639639901</v>
      </c>
      <c r="G351">
        <v>378</v>
      </c>
      <c r="H351">
        <v>19</v>
      </c>
      <c r="K351">
        <v>400</v>
      </c>
      <c r="L351">
        <v>26</v>
      </c>
      <c r="M351">
        <v>3977027.0270270272</v>
      </c>
      <c r="N351">
        <v>2295495.4954954959</v>
      </c>
      <c r="O351">
        <v>18933288.288288288</v>
      </c>
      <c r="P351">
        <v>15873693.693693692</v>
      </c>
      <c r="Q351">
        <v>3202162.1621621628</v>
      </c>
      <c r="R351">
        <v>3002252.252252256</v>
      </c>
      <c r="S351">
        <v>6170</v>
      </c>
      <c r="T351">
        <v>5691</v>
      </c>
    </row>
    <row r="352" spans="1:20" x14ac:dyDescent="0.35">
      <c r="A352" s="7" t="s">
        <v>449</v>
      </c>
      <c r="B352" s="12" t="s">
        <v>76</v>
      </c>
      <c r="C352">
        <v>10550040.633416699</v>
      </c>
      <c r="D352">
        <v>8809813.9604961686</v>
      </c>
      <c r="E352">
        <v>5405.4054054059998</v>
      </c>
      <c r="F352">
        <v>57657.657657657997</v>
      </c>
      <c r="G352">
        <v>2</v>
      </c>
      <c r="H352">
        <v>2</v>
      </c>
      <c r="K352">
        <v>3</v>
      </c>
      <c r="L352">
        <v>5</v>
      </c>
      <c r="M352">
        <v>1098198.1981981969</v>
      </c>
      <c r="N352">
        <v>3327927.9279279271</v>
      </c>
      <c r="O352">
        <v>3420945.945945946</v>
      </c>
      <c r="P352">
        <v>3011855.8558558561</v>
      </c>
      <c r="Q352">
        <v>1179819.8198198189</v>
      </c>
      <c r="R352">
        <v>1677027.027027027</v>
      </c>
      <c r="S352">
        <v>1898</v>
      </c>
      <c r="T352">
        <v>1844</v>
      </c>
    </row>
    <row r="353" spans="1:20" x14ac:dyDescent="0.35">
      <c r="A353" s="7" t="s">
        <v>450</v>
      </c>
      <c r="B353" s="12" t="s">
        <v>83</v>
      </c>
      <c r="C353">
        <v>379611328.30766267</v>
      </c>
      <c r="D353">
        <v>381245968.78310049</v>
      </c>
      <c r="E353">
        <v>2456715.315315315</v>
      </c>
      <c r="F353">
        <v>94127660.360360369</v>
      </c>
      <c r="G353">
        <v>55</v>
      </c>
      <c r="H353">
        <v>59</v>
      </c>
      <c r="I353">
        <v>2</v>
      </c>
      <c r="K353">
        <v>72</v>
      </c>
      <c r="L353">
        <v>87</v>
      </c>
      <c r="M353">
        <v>37580990.990990974</v>
      </c>
      <c r="N353">
        <v>39690990.990990989</v>
      </c>
      <c r="O353">
        <v>73761756.756756753</v>
      </c>
      <c r="P353">
        <v>76446873.873873875</v>
      </c>
      <c r="Q353">
        <v>35482432.432432428</v>
      </c>
      <c r="R353">
        <v>40291711.711711712</v>
      </c>
      <c r="S353">
        <v>31524</v>
      </c>
      <c r="T353">
        <v>31781</v>
      </c>
    </row>
    <row r="354" spans="1:20" x14ac:dyDescent="0.35">
      <c r="A354" s="7" t="s">
        <v>451</v>
      </c>
      <c r="B354" s="12" t="s">
        <v>70</v>
      </c>
      <c r="C354">
        <v>26512838.346755665</v>
      </c>
      <c r="D354">
        <v>22676524.671570495</v>
      </c>
      <c r="E354">
        <v>1801.801801802</v>
      </c>
      <c r="F354">
        <v>5405.4054054059998</v>
      </c>
      <c r="H354">
        <v>2</v>
      </c>
      <c r="L354">
        <v>3</v>
      </c>
      <c r="M354">
        <v>1801.801801802</v>
      </c>
      <c r="N354">
        <v>650450.45045044995</v>
      </c>
      <c r="O354">
        <v>15140135.135135137</v>
      </c>
      <c r="P354">
        <v>13244900.9009009</v>
      </c>
      <c r="Q354">
        <v>412792.79279279301</v>
      </c>
      <c r="R354">
        <v>318468.46846846899</v>
      </c>
      <c r="S354">
        <v>2912</v>
      </c>
      <c r="T354">
        <v>2775</v>
      </c>
    </row>
    <row r="355" spans="1:20" x14ac:dyDescent="0.35">
      <c r="A355" s="7" t="s">
        <v>452</v>
      </c>
      <c r="B355" s="12" t="s">
        <v>167</v>
      </c>
      <c r="C355">
        <v>29728387.412089184</v>
      </c>
      <c r="D355">
        <v>27938658.878312219</v>
      </c>
      <c r="F355">
        <v>225225.225225225</v>
      </c>
      <c r="G355">
        <v>1</v>
      </c>
      <c r="K355">
        <v>1</v>
      </c>
      <c r="L355">
        <v>1</v>
      </c>
      <c r="M355">
        <v>2893333.3333333321</v>
      </c>
      <c r="N355">
        <v>450450.45045045001</v>
      </c>
      <c r="O355">
        <v>5182567.5675675683</v>
      </c>
      <c r="P355">
        <v>4978990.9909909908</v>
      </c>
      <c r="Q355">
        <v>2823513.5135135129</v>
      </c>
      <c r="R355">
        <v>1322972.972972973</v>
      </c>
      <c r="S355">
        <v>2909</v>
      </c>
      <c r="T355">
        <v>2749</v>
      </c>
    </row>
    <row r="356" spans="1:20" x14ac:dyDescent="0.35">
      <c r="A356" s="7" t="s">
        <v>453</v>
      </c>
      <c r="B356" s="12" t="s">
        <v>121</v>
      </c>
      <c r="C356">
        <v>1745772.285744851</v>
      </c>
      <c r="D356">
        <v>1518656.2830041931</v>
      </c>
      <c r="F356">
        <v>34234.234234233998</v>
      </c>
      <c r="G356">
        <v>1</v>
      </c>
      <c r="K356">
        <v>1</v>
      </c>
      <c r="N356">
        <v>36036.036036035999</v>
      </c>
      <c r="O356">
        <v>129234.234234234</v>
      </c>
      <c r="P356">
        <v>132162.16216216201</v>
      </c>
      <c r="S356">
        <v>127</v>
      </c>
      <c r="T356">
        <v>146</v>
      </c>
    </row>
    <row r="357" spans="1:20" x14ac:dyDescent="0.35">
      <c r="A357" s="7" t="s">
        <v>454</v>
      </c>
      <c r="B357" s="12" t="s">
        <v>224</v>
      </c>
      <c r="C357">
        <v>12670443.671383355</v>
      </c>
      <c r="D357">
        <v>9038472.6350943334</v>
      </c>
      <c r="L357">
        <v>1</v>
      </c>
      <c r="O357">
        <v>1974954.954954955</v>
      </c>
      <c r="P357">
        <v>1669000</v>
      </c>
      <c r="Q357">
        <v>26126.126126126001</v>
      </c>
      <c r="R357">
        <v>45045.045045045001</v>
      </c>
      <c r="S357">
        <v>1317</v>
      </c>
      <c r="T357">
        <v>1280</v>
      </c>
    </row>
    <row r="358" spans="1:20" x14ac:dyDescent="0.35">
      <c r="A358" s="7" t="s">
        <v>455</v>
      </c>
      <c r="B358" s="12" t="s">
        <v>94</v>
      </c>
      <c r="C358">
        <v>13732913.272694401</v>
      </c>
      <c r="D358">
        <v>14433298.237578083</v>
      </c>
      <c r="E358">
        <v>6306.3063063059999</v>
      </c>
      <c r="F358">
        <v>162162.162162163</v>
      </c>
      <c r="G358">
        <v>6</v>
      </c>
      <c r="H358">
        <v>6</v>
      </c>
      <c r="K358">
        <v>7</v>
      </c>
      <c r="L358">
        <v>7</v>
      </c>
      <c r="M358">
        <v>1504504.5045045051</v>
      </c>
      <c r="N358">
        <v>12018018.018018017</v>
      </c>
      <c r="O358">
        <v>2806711.7117117122</v>
      </c>
      <c r="P358">
        <v>4265662.1621621624</v>
      </c>
      <c r="Q358">
        <v>2402612.6126126121</v>
      </c>
      <c r="R358">
        <v>12558648.648648648</v>
      </c>
      <c r="S358">
        <v>2032</v>
      </c>
      <c r="T358">
        <v>2064</v>
      </c>
    </row>
    <row r="359" spans="1:20" x14ac:dyDescent="0.35">
      <c r="A359" s="7" t="s">
        <v>671</v>
      </c>
      <c r="B359" s="12" t="s">
        <v>260</v>
      </c>
      <c r="T359">
        <v>13</v>
      </c>
    </row>
    <row r="360" spans="1:20" x14ac:dyDescent="0.35">
      <c r="A360" s="7" t="s">
        <v>456</v>
      </c>
      <c r="B360" s="12" t="s">
        <v>60</v>
      </c>
      <c r="C360">
        <v>2866913.6436417578</v>
      </c>
      <c r="D360">
        <v>2057987.506277449</v>
      </c>
      <c r="E360">
        <v>287387.38738738699</v>
      </c>
      <c r="F360">
        <v>79279.279279278999</v>
      </c>
      <c r="G360">
        <v>1</v>
      </c>
      <c r="H360">
        <v>1</v>
      </c>
      <c r="K360">
        <v>1</v>
      </c>
      <c r="L360">
        <v>2</v>
      </c>
      <c r="M360">
        <v>918018.01801801799</v>
      </c>
      <c r="N360">
        <v>529729.72972972901</v>
      </c>
      <c r="O360">
        <v>1498603.6036036031</v>
      </c>
      <c r="P360">
        <v>855720.72072072094</v>
      </c>
      <c r="Q360">
        <v>460360.36036036001</v>
      </c>
      <c r="R360">
        <v>63513.513513514001</v>
      </c>
      <c r="S360">
        <v>630</v>
      </c>
      <c r="T360">
        <v>554</v>
      </c>
    </row>
    <row r="361" spans="1:20" x14ac:dyDescent="0.35">
      <c r="A361" s="7" t="s">
        <v>457</v>
      </c>
      <c r="B361" s="12" t="s">
        <v>214</v>
      </c>
      <c r="C361">
        <v>36694683.702940039</v>
      </c>
      <c r="D361">
        <v>39061008.286805958</v>
      </c>
      <c r="F361">
        <v>189189.189189189</v>
      </c>
      <c r="G361">
        <v>2</v>
      </c>
      <c r="H361">
        <v>4</v>
      </c>
      <c r="K361">
        <v>2</v>
      </c>
      <c r="L361">
        <v>6</v>
      </c>
      <c r="M361">
        <v>450450.45045045001</v>
      </c>
      <c r="N361">
        <v>189189.189189189</v>
      </c>
      <c r="O361">
        <v>19135225.225225225</v>
      </c>
      <c r="P361">
        <v>19559684.684684683</v>
      </c>
      <c r="Q361">
        <v>432432.43243243202</v>
      </c>
      <c r="R361">
        <v>1077477.4774774769</v>
      </c>
      <c r="S361">
        <v>3052</v>
      </c>
      <c r="T361">
        <v>3032</v>
      </c>
    </row>
    <row r="362" spans="1:20" x14ac:dyDescent="0.35">
      <c r="A362" s="7" t="s">
        <v>458</v>
      </c>
      <c r="B362" s="12" t="s">
        <v>459</v>
      </c>
      <c r="C362">
        <v>162168720.28664052</v>
      </c>
      <c r="D362">
        <v>153774090.47088671</v>
      </c>
      <c r="E362">
        <v>692612.61261261394</v>
      </c>
      <c r="F362">
        <v>1987837.8378378439</v>
      </c>
      <c r="G362">
        <v>37</v>
      </c>
      <c r="H362">
        <v>39</v>
      </c>
      <c r="I362">
        <v>2</v>
      </c>
      <c r="K362">
        <v>64</v>
      </c>
      <c r="L362">
        <v>64</v>
      </c>
      <c r="M362">
        <v>26447117.117117111</v>
      </c>
      <c r="N362">
        <v>23791981.981981967</v>
      </c>
      <c r="O362">
        <v>52772495.495495498</v>
      </c>
      <c r="P362">
        <v>56679180.180180177</v>
      </c>
      <c r="Q362">
        <v>19982702.702702705</v>
      </c>
      <c r="R362">
        <v>28806126.126126125</v>
      </c>
      <c r="S362">
        <v>24268</v>
      </c>
      <c r="T362">
        <v>24604</v>
      </c>
    </row>
    <row r="363" spans="1:20" x14ac:dyDescent="0.35">
      <c r="A363" s="7" t="s">
        <v>460</v>
      </c>
      <c r="B363" s="12" t="s">
        <v>459</v>
      </c>
      <c r="C363">
        <v>275428139.817783</v>
      </c>
      <c r="D363">
        <v>268933946.06158012</v>
      </c>
      <c r="E363">
        <v>1377657.657657661</v>
      </c>
      <c r="F363">
        <v>2001801.8018018091</v>
      </c>
      <c r="G363">
        <v>71</v>
      </c>
      <c r="H363">
        <v>45</v>
      </c>
      <c r="K363">
        <v>97</v>
      </c>
      <c r="L363">
        <v>78</v>
      </c>
      <c r="M363">
        <v>22157342.342342343</v>
      </c>
      <c r="N363">
        <v>19986486.48648648</v>
      </c>
      <c r="O363">
        <v>75319819.819819823</v>
      </c>
      <c r="P363">
        <v>85897292.792792797</v>
      </c>
      <c r="Q363">
        <v>16790585.585585583</v>
      </c>
      <c r="R363">
        <v>20336216.216216218</v>
      </c>
      <c r="S363">
        <v>32994</v>
      </c>
      <c r="T363">
        <v>30531</v>
      </c>
    </row>
    <row r="364" spans="1:20" x14ac:dyDescent="0.35">
      <c r="A364" s="7" t="s">
        <v>461</v>
      </c>
      <c r="B364" s="12" t="s">
        <v>459</v>
      </c>
      <c r="C364">
        <v>245964286.16585681</v>
      </c>
      <c r="D364">
        <v>247866693.66739437</v>
      </c>
      <c r="E364">
        <v>338288.28828828997</v>
      </c>
      <c r="F364">
        <v>2190090.0900900951</v>
      </c>
      <c r="G364">
        <v>58</v>
      </c>
      <c r="H364">
        <v>51</v>
      </c>
      <c r="I364">
        <v>2</v>
      </c>
      <c r="K364">
        <v>81</v>
      </c>
      <c r="L364">
        <v>103</v>
      </c>
      <c r="M364">
        <v>686087567.56756759</v>
      </c>
      <c r="N364">
        <v>10526846.846846849</v>
      </c>
      <c r="O364">
        <v>64927599.0990991</v>
      </c>
      <c r="P364">
        <v>72918324.324324325</v>
      </c>
      <c r="Q364">
        <v>708425495.49549556</v>
      </c>
      <c r="R364">
        <v>24063873.873873867</v>
      </c>
      <c r="S364">
        <v>26519</v>
      </c>
      <c r="T364">
        <v>23926</v>
      </c>
    </row>
    <row r="365" spans="1:20" x14ac:dyDescent="0.35">
      <c r="A365" s="7" t="s">
        <v>462</v>
      </c>
      <c r="B365" s="12" t="s">
        <v>459</v>
      </c>
      <c r="C365">
        <v>179918822.30079821</v>
      </c>
      <c r="D365">
        <v>171312897.88909069</v>
      </c>
      <c r="E365">
        <v>68828.828828829995</v>
      </c>
      <c r="F365">
        <v>529729.72972973296</v>
      </c>
      <c r="G365">
        <v>36</v>
      </c>
      <c r="H365">
        <v>35</v>
      </c>
      <c r="K365">
        <v>48</v>
      </c>
      <c r="L365">
        <v>61</v>
      </c>
      <c r="M365">
        <v>10382792.79279279</v>
      </c>
      <c r="N365">
        <v>11438198.198198186</v>
      </c>
      <c r="O365">
        <v>39406385.585585587</v>
      </c>
      <c r="P365">
        <v>42161810.810810804</v>
      </c>
      <c r="Q365">
        <v>13274774.774774777</v>
      </c>
      <c r="R365">
        <v>10856576.576576564</v>
      </c>
      <c r="S365">
        <v>19552</v>
      </c>
      <c r="T365">
        <v>19606</v>
      </c>
    </row>
    <row r="366" spans="1:20" x14ac:dyDescent="0.35">
      <c r="A366" s="7" t="s">
        <v>463</v>
      </c>
      <c r="B366" s="12" t="s">
        <v>459</v>
      </c>
      <c r="C366">
        <v>171487576.44613785</v>
      </c>
      <c r="D366">
        <v>176065984.56933951</v>
      </c>
      <c r="E366">
        <v>110106306.3063063</v>
      </c>
      <c r="F366">
        <v>2369594.5945946029</v>
      </c>
      <c r="G366">
        <v>41</v>
      </c>
      <c r="H366">
        <v>49</v>
      </c>
      <c r="K366">
        <v>53</v>
      </c>
      <c r="L366">
        <v>101</v>
      </c>
      <c r="M366">
        <v>13063558.558558552</v>
      </c>
      <c r="N366">
        <v>27022702.702702694</v>
      </c>
      <c r="O366">
        <v>62534378.378378376</v>
      </c>
      <c r="P366">
        <v>71833342.342342347</v>
      </c>
      <c r="Q366">
        <v>11767567.567567565</v>
      </c>
      <c r="R366">
        <v>21302702.702702694</v>
      </c>
      <c r="S366">
        <v>25952</v>
      </c>
      <c r="T366">
        <v>26402</v>
      </c>
    </row>
    <row r="367" spans="1:20" x14ac:dyDescent="0.35">
      <c r="A367" s="7" t="s">
        <v>464</v>
      </c>
      <c r="B367" s="12" t="s">
        <v>459</v>
      </c>
      <c r="C367">
        <v>195118332.91200104</v>
      </c>
      <c r="D367">
        <v>203491874.66636479</v>
      </c>
      <c r="E367">
        <v>561208644.14414418</v>
      </c>
      <c r="F367">
        <v>174306052.25225225</v>
      </c>
      <c r="G367">
        <v>69</v>
      </c>
      <c r="H367">
        <v>46</v>
      </c>
      <c r="K367">
        <v>94</v>
      </c>
      <c r="L367">
        <v>68</v>
      </c>
      <c r="M367">
        <v>25669999.999999996</v>
      </c>
      <c r="N367">
        <v>28921531.531531513</v>
      </c>
      <c r="O367">
        <v>84671153.153153151</v>
      </c>
      <c r="P367">
        <v>88639279.279279277</v>
      </c>
      <c r="Q367">
        <v>26630090.090090092</v>
      </c>
      <c r="R367">
        <v>28722072.072072051</v>
      </c>
      <c r="S367">
        <v>27893</v>
      </c>
      <c r="T367">
        <v>28464</v>
      </c>
    </row>
    <row r="368" spans="1:20" x14ac:dyDescent="0.35">
      <c r="A368" s="7" t="s">
        <v>465</v>
      </c>
      <c r="B368" s="12" t="s">
        <v>54</v>
      </c>
      <c r="C368">
        <v>14145423.412334496</v>
      </c>
      <c r="D368">
        <v>13389819.856390227</v>
      </c>
      <c r="E368">
        <v>4504.5045045050001</v>
      </c>
      <c r="F368">
        <v>54054.054054054002</v>
      </c>
      <c r="H368">
        <v>2</v>
      </c>
      <c r="L368">
        <v>2</v>
      </c>
      <c r="M368">
        <v>771171.17117117101</v>
      </c>
      <c r="N368">
        <v>1371891.8918918909</v>
      </c>
      <c r="O368">
        <v>2921171.1711711711</v>
      </c>
      <c r="P368">
        <v>2592855.8558558561</v>
      </c>
      <c r="Q368">
        <v>1038288.2882882881</v>
      </c>
      <c r="R368">
        <v>865675.67567567702</v>
      </c>
      <c r="S368">
        <v>1266</v>
      </c>
      <c r="T368">
        <v>1188</v>
      </c>
    </row>
    <row r="369" spans="1:20" x14ac:dyDescent="0.35">
      <c r="A369" s="7" t="s">
        <v>466</v>
      </c>
      <c r="B369" s="12" t="s">
        <v>87</v>
      </c>
      <c r="C369">
        <v>612948.69233656803</v>
      </c>
      <c r="D369">
        <v>517118.61991076998</v>
      </c>
      <c r="O369">
        <v>251351.35135135101</v>
      </c>
      <c r="P369">
        <v>140765.765765766</v>
      </c>
      <c r="S369">
        <v>100</v>
      </c>
      <c r="T369">
        <v>140</v>
      </c>
    </row>
    <row r="370" spans="1:20" x14ac:dyDescent="0.35">
      <c r="A370" s="7" t="s">
        <v>467</v>
      </c>
      <c r="B370" s="12" t="s">
        <v>143</v>
      </c>
      <c r="C370">
        <v>75390726.752049163</v>
      </c>
      <c r="D370">
        <v>64750636.76610069</v>
      </c>
      <c r="E370">
        <v>6306.3063063059999</v>
      </c>
      <c r="F370">
        <v>90090.090090091006</v>
      </c>
      <c r="G370">
        <v>19</v>
      </c>
      <c r="H370">
        <v>13</v>
      </c>
      <c r="K370">
        <v>22</v>
      </c>
      <c r="L370">
        <v>29</v>
      </c>
      <c r="M370">
        <v>4285585.5855855849</v>
      </c>
      <c r="N370">
        <v>7747747.7477477482</v>
      </c>
      <c r="O370">
        <v>12423540.540540541</v>
      </c>
      <c r="P370">
        <v>9420744.1441441439</v>
      </c>
      <c r="Q370">
        <v>3946216.2162162159</v>
      </c>
      <c r="R370">
        <v>2260090.090090089</v>
      </c>
      <c r="S370">
        <v>5091</v>
      </c>
      <c r="T370">
        <v>4905</v>
      </c>
    </row>
    <row r="371" spans="1:20" x14ac:dyDescent="0.35">
      <c r="A371" s="7" t="s">
        <v>468</v>
      </c>
      <c r="B371" s="12" t="s">
        <v>80</v>
      </c>
      <c r="C371">
        <v>59769798.43118196</v>
      </c>
      <c r="D371">
        <v>55558912.805044025</v>
      </c>
      <c r="E371">
        <v>1801.801801802</v>
      </c>
      <c r="F371">
        <v>25675.675675677001</v>
      </c>
      <c r="G371">
        <v>7</v>
      </c>
      <c r="H371">
        <v>1</v>
      </c>
      <c r="K371">
        <v>7</v>
      </c>
      <c r="L371">
        <v>2</v>
      </c>
      <c r="M371">
        <v>1579279.27927928</v>
      </c>
      <c r="N371">
        <v>958108.10810810805</v>
      </c>
      <c r="O371">
        <v>21171727.927927926</v>
      </c>
      <c r="P371">
        <v>20484909.909909911</v>
      </c>
      <c r="Q371">
        <v>2216756.7567567579</v>
      </c>
      <c r="R371">
        <v>1100180.1801801799</v>
      </c>
      <c r="S371">
        <v>5237</v>
      </c>
      <c r="T371">
        <v>5162</v>
      </c>
    </row>
    <row r="372" spans="1:20" x14ac:dyDescent="0.35">
      <c r="A372" s="7" t="s">
        <v>469</v>
      </c>
      <c r="B372" s="12" t="s">
        <v>470</v>
      </c>
      <c r="C372">
        <v>65611815.580056176</v>
      </c>
      <c r="D372">
        <v>67606987.649380669</v>
      </c>
      <c r="E372">
        <v>13243.243243243</v>
      </c>
      <c r="F372">
        <v>333333.33333333401</v>
      </c>
      <c r="G372">
        <v>9</v>
      </c>
      <c r="H372">
        <v>7</v>
      </c>
      <c r="K372">
        <v>12</v>
      </c>
      <c r="L372">
        <v>8</v>
      </c>
      <c r="M372">
        <v>2625855.8558558561</v>
      </c>
      <c r="N372">
        <v>3756756.756756756</v>
      </c>
      <c r="O372">
        <v>20316189.189189192</v>
      </c>
      <c r="P372">
        <v>21574630.630630631</v>
      </c>
      <c r="Q372">
        <v>2586846.8468468469</v>
      </c>
      <c r="R372">
        <v>3600270.2702702689</v>
      </c>
      <c r="S372">
        <v>5282</v>
      </c>
      <c r="T372">
        <v>5486</v>
      </c>
    </row>
    <row r="373" spans="1:20" x14ac:dyDescent="0.35">
      <c r="A373" s="7" t="s">
        <v>471</v>
      </c>
      <c r="B373" s="12" t="s">
        <v>470</v>
      </c>
      <c r="C373">
        <v>6018450.9140103171</v>
      </c>
      <c r="D373">
        <v>6269109.2833397472</v>
      </c>
      <c r="O373">
        <v>430720.720720721</v>
      </c>
      <c r="P373">
        <v>665180.18018018</v>
      </c>
      <c r="S373">
        <v>604</v>
      </c>
      <c r="T373">
        <v>651</v>
      </c>
    </row>
    <row r="374" spans="1:20" x14ac:dyDescent="0.35">
      <c r="A374" s="7" t="s">
        <v>472</v>
      </c>
      <c r="B374" s="12" t="s">
        <v>470</v>
      </c>
      <c r="C374">
        <v>608512.01785031299</v>
      </c>
      <c r="D374">
        <v>823964.85643589497</v>
      </c>
      <c r="E374">
        <v>1801.801801802</v>
      </c>
      <c r="F374">
        <v>94594.594594594993</v>
      </c>
      <c r="M374">
        <v>1801.801801802</v>
      </c>
      <c r="N374">
        <v>94594.594594594993</v>
      </c>
      <c r="O374">
        <v>190990.99099099101</v>
      </c>
      <c r="P374">
        <v>245090.09009009</v>
      </c>
      <c r="Q374">
        <v>136936.93693693701</v>
      </c>
      <c r="S374">
        <v>457</v>
      </c>
      <c r="T374">
        <v>279</v>
      </c>
    </row>
    <row r="375" spans="1:20" x14ac:dyDescent="0.35">
      <c r="A375" s="7" t="s">
        <v>473</v>
      </c>
      <c r="B375" s="12" t="s">
        <v>470</v>
      </c>
      <c r="C375">
        <v>22803642.802257281</v>
      </c>
      <c r="D375">
        <v>24339747.201456044</v>
      </c>
      <c r="E375">
        <v>187387.38738738699</v>
      </c>
      <c r="F375">
        <v>97297.297297297002</v>
      </c>
      <c r="G375">
        <v>1</v>
      </c>
      <c r="H375">
        <v>5</v>
      </c>
      <c r="K375">
        <v>2</v>
      </c>
      <c r="L375">
        <v>7</v>
      </c>
      <c r="M375">
        <v>187387.38738738699</v>
      </c>
      <c r="N375">
        <v>187387.38738738699</v>
      </c>
      <c r="O375">
        <v>3003864.8648648649</v>
      </c>
      <c r="P375">
        <v>4278513.5135135138</v>
      </c>
      <c r="Q375">
        <v>2827297.297297298</v>
      </c>
      <c r="R375">
        <v>6527207.2072072076</v>
      </c>
      <c r="S375">
        <v>2265</v>
      </c>
      <c r="T375">
        <v>2127</v>
      </c>
    </row>
    <row r="376" spans="1:20" x14ac:dyDescent="0.35">
      <c r="A376" s="7" t="s">
        <v>474</v>
      </c>
      <c r="B376" s="12" t="s">
        <v>470</v>
      </c>
      <c r="C376">
        <v>33008122.075629212</v>
      </c>
      <c r="D376">
        <v>34072103.019950189</v>
      </c>
      <c r="E376">
        <v>10450.450450451001</v>
      </c>
      <c r="F376">
        <v>174774.77477477599</v>
      </c>
      <c r="G376">
        <v>8</v>
      </c>
      <c r="H376">
        <v>14</v>
      </c>
      <c r="K376">
        <v>10</v>
      </c>
      <c r="L376">
        <v>14</v>
      </c>
      <c r="M376">
        <v>911351.35135135194</v>
      </c>
      <c r="N376">
        <v>174774.77477477599</v>
      </c>
      <c r="O376">
        <v>7371666.666666667</v>
      </c>
      <c r="P376">
        <v>8000450.4504504511</v>
      </c>
      <c r="Q376">
        <v>758288.28828828898</v>
      </c>
      <c r="R376">
        <v>801891.89189189195</v>
      </c>
      <c r="S376">
        <v>2475</v>
      </c>
      <c r="T376">
        <v>2405</v>
      </c>
    </row>
    <row r="377" spans="1:20" x14ac:dyDescent="0.35">
      <c r="A377" s="7" t="s">
        <v>475</v>
      </c>
      <c r="B377" s="12" t="s">
        <v>470</v>
      </c>
      <c r="C377">
        <v>12951452.958218422</v>
      </c>
      <c r="D377">
        <v>12738078.567116152</v>
      </c>
      <c r="E377">
        <v>5405.4054054050002</v>
      </c>
      <c r="F377">
        <v>54054.054054054999</v>
      </c>
      <c r="G377">
        <v>1</v>
      </c>
      <c r="H377">
        <v>1</v>
      </c>
      <c r="K377">
        <v>1</v>
      </c>
      <c r="L377">
        <v>1</v>
      </c>
      <c r="M377">
        <v>455855.85585585498</v>
      </c>
      <c r="N377">
        <v>954954.95495495503</v>
      </c>
      <c r="O377">
        <v>2682882.8828828819</v>
      </c>
      <c r="P377">
        <v>2530513.5135135138</v>
      </c>
      <c r="Q377">
        <v>809009.00900900899</v>
      </c>
      <c r="R377">
        <v>1068378.378378378</v>
      </c>
      <c r="S377">
        <v>1388</v>
      </c>
      <c r="T377">
        <v>2285</v>
      </c>
    </row>
    <row r="378" spans="1:20" x14ac:dyDescent="0.35">
      <c r="A378" s="7" t="s">
        <v>476</v>
      </c>
      <c r="B378" s="12" t="s">
        <v>470</v>
      </c>
      <c r="C378">
        <v>120142237.39590837</v>
      </c>
      <c r="D378">
        <v>129017856.26248093</v>
      </c>
      <c r="E378">
        <v>20857936.036036037</v>
      </c>
      <c r="F378">
        <v>24051294.594594602</v>
      </c>
      <c r="G378">
        <v>16</v>
      </c>
      <c r="H378">
        <v>57</v>
      </c>
      <c r="K378">
        <v>27</v>
      </c>
      <c r="L378">
        <v>98</v>
      </c>
      <c r="M378">
        <v>35286465.765765756</v>
      </c>
      <c r="N378">
        <v>18457657.657657661</v>
      </c>
      <c r="O378">
        <v>28923969.369369369</v>
      </c>
      <c r="P378">
        <v>34128115.315315314</v>
      </c>
      <c r="Q378">
        <v>24958378.378378376</v>
      </c>
      <c r="R378">
        <v>17871351.351351354</v>
      </c>
      <c r="S378">
        <v>16040</v>
      </c>
      <c r="T378">
        <v>16288</v>
      </c>
    </row>
    <row r="379" spans="1:20" x14ac:dyDescent="0.35">
      <c r="A379" s="7" t="s">
        <v>477</v>
      </c>
      <c r="B379" s="12" t="s">
        <v>260</v>
      </c>
      <c r="C379">
        <v>136672644.07707202</v>
      </c>
      <c r="D379">
        <v>148143527.33203173</v>
      </c>
      <c r="E379">
        <v>93783.783783783001</v>
      </c>
      <c r="F379">
        <v>382207.20720720699</v>
      </c>
      <c r="G379">
        <v>25</v>
      </c>
      <c r="H379">
        <v>17</v>
      </c>
      <c r="K379">
        <v>27</v>
      </c>
      <c r="L379">
        <v>18</v>
      </c>
      <c r="M379">
        <v>15237927.927927928</v>
      </c>
      <c r="N379">
        <v>21333333.333333336</v>
      </c>
      <c r="O379">
        <v>32736612.612612613</v>
      </c>
      <c r="P379">
        <v>37526810.810810804</v>
      </c>
      <c r="Q379">
        <v>14523423.423423424</v>
      </c>
      <c r="R379">
        <v>19869909.909909908</v>
      </c>
      <c r="S379">
        <v>11260</v>
      </c>
      <c r="T379">
        <v>11530</v>
      </c>
    </row>
    <row r="380" spans="1:20" x14ac:dyDescent="0.35">
      <c r="A380" s="7" t="s">
        <v>478</v>
      </c>
      <c r="B380" s="12" t="s">
        <v>479</v>
      </c>
      <c r="C380">
        <v>11403193.604951568</v>
      </c>
      <c r="D380">
        <v>11065467.005402908</v>
      </c>
      <c r="E380">
        <v>57721620.720720723</v>
      </c>
      <c r="F380">
        <v>19639750.450450446</v>
      </c>
      <c r="G380">
        <v>3</v>
      </c>
      <c r="H380">
        <v>2</v>
      </c>
      <c r="K380">
        <v>3</v>
      </c>
      <c r="L380">
        <v>2</v>
      </c>
      <c r="M380">
        <v>11757657.657657659</v>
      </c>
      <c r="N380">
        <v>3157657.6576576582</v>
      </c>
      <c r="O380">
        <v>2722837.8378378381</v>
      </c>
      <c r="P380">
        <v>2388513.5135135129</v>
      </c>
      <c r="Q380">
        <v>11962612.612612613</v>
      </c>
      <c r="R380">
        <v>3122522.5225225221</v>
      </c>
      <c r="S380">
        <v>873</v>
      </c>
      <c r="T380">
        <v>782</v>
      </c>
    </row>
    <row r="381" spans="1:20" x14ac:dyDescent="0.35">
      <c r="A381" s="7" t="s">
        <v>480</v>
      </c>
      <c r="B381" s="12" t="s">
        <v>123</v>
      </c>
      <c r="C381">
        <v>77551454.528703317</v>
      </c>
      <c r="D381">
        <v>73844202.05886808</v>
      </c>
      <c r="E381">
        <v>380630.630630631</v>
      </c>
      <c r="F381">
        <v>136936.93693693899</v>
      </c>
      <c r="G381">
        <v>8</v>
      </c>
      <c r="H381">
        <v>12</v>
      </c>
      <c r="K381">
        <v>10</v>
      </c>
      <c r="L381">
        <v>17</v>
      </c>
      <c r="M381">
        <v>5160270.2702702684</v>
      </c>
      <c r="N381">
        <v>3937837.8378378381</v>
      </c>
      <c r="O381">
        <v>28607612.612612613</v>
      </c>
      <c r="P381">
        <v>27866117.117117114</v>
      </c>
      <c r="Q381">
        <v>4917207.2072072057</v>
      </c>
      <c r="R381">
        <v>5169729.7297297297</v>
      </c>
      <c r="S381">
        <v>5626</v>
      </c>
      <c r="T381">
        <v>5507</v>
      </c>
    </row>
    <row r="382" spans="1:20" x14ac:dyDescent="0.35">
      <c r="A382" s="7" t="s">
        <v>481</v>
      </c>
      <c r="B382" s="12" t="s">
        <v>470</v>
      </c>
      <c r="C382">
        <v>6603494.9782156097</v>
      </c>
      <c r="D382">
        <v>6011074.0428836644</v>
      </c>
      <c r="E382">
        <v>3153.1531531529999</v>
      </c>
      <c r="F382">
        <v>44144.144144143997</v>
      </c>
      <c r="G382">
        <v>1</v>
      </c>
      <c r="K382">
        <v>1</v>
      </c>
      <c r="L382">
        <v>1</v>
      </c>
      <c r="M382">
        <v>453603.60360360303</v>
      </c>
      <c r="N382">
        <v>494594.59459459397</v>
      </c>
      <c r="O382">
        <v>1610585.585585586</v>
      </c>
      <c r="P382">
        <v>1279009.009009009</v>
      </c>
      <c r="Q382">
        <v>148198.19819819799</v>
      </c>
      <c r="R382">
        <v>254594.594594594</v>
      </c>
      <c r="S382">
        <v>680</v>
      </c>
      <c r="T382">
        <v>615</v>
      </c>
    </row>
    <row r="383" spans="1:20" x14ac:dyDescent="0.35">
      <c r="A383" s="7" t="s">
        <v>672</v>
      </c>
      <c r="B383" s="12" t="s">
        <v>85</v>
      </c>
      <c r="E383">
        <v>94421995.495495483</v>
      </c>
      <c r="F383">
        <v>58619007.20720721</v>
      </c>
    </row>
    <row r="384" spans="1:20" x14ac:dyDescent="0.35">
      <c r="A384" s="7" t="s">
        <v>482</v>
      </c>
      <c r="B384" s="12" t="s">
        <v>167</v>
      </c>
      <c r="C384">
        <v>58134308.235076644</v>
      </c>
      <c r="D384">
        <v>65214327.069963515</v>
      </c>
      <c r="E384">
        <v>139639.63963963999</v>
      </c>
      <c r="F384">
        <v>1081081.081081083</v>
      </c>
      <c r="G384">
        <v>25</v>
      </c>
      <c r="H384">
        <v>27</v>
      </c>
      <c r="K384">
        <v>34</v>
      </c>
      <c r="L384">
        <v>82</v>
      </c>
      <c r="M384">
        <v>8129189.1891891938</v>
      </c>
      <c r="N384">
        <v>2953153.1531531541</v>
      </c>
      <c r="O384">
        <v>25230809.009009007</v>
      </c>
      <c r="P384">
        <v>27586175.675675675</v>
      </c>
      <c r="Q384">
        <v>6880810.8108108174</v>
      </c>
      <c r="R384">
        <v>3590900.9009009022</v>
      </c>
      <c r="S384">
        <v>9512</v>
      </c>
      <c r="T384">
        <v>8467</v>
      </c>
    </row>
    <row r="385" spans="1:20" x14ac:dyDescent="0.35">
      <c r="A385" s="7" t="s">
        <v>483</v>
      </c>
      <c r="B385" s="12" t="s">
        <v>167</v>
      </c>
      <c r="C385">
        <v>57782302.90202532</v>
      </c>
      <c r="D385">
        <v>70313166.414183646</v>
      </c>
      <c r="E385">
        <v>27511741.441441439</v>
      </c>
      <c r="F385">
        <v>1506393.6936936991</v>
      </c>
      <c r="G385">
        <v>31</v>
      </c>
      <c r="H385">
        <v>27</v>
      </c>
      <c r="K385">
        <v>51</v>
      </c>
      <c r="L385">
        <v>80</v>
      </c>
      <c r="M385">
        <v>17536486.486486483</v>
      </c>
      <c r="N385">
        <v>8084684.6846846882</v>
      </c>
      <c r="O385">
        <v>24689414.414414417</v>
      </c>
      <c r="P385">
        <v>25205756.756756756</v>
      </c>
      <c r="Q385">
        <v>10296936.936936935</v>
      </c>
      <c r="R385">
        <v>8730810.8108108155</v>
      </c>
      <c r="S385">
        <v>8742</v>
      </c>
      <c r="T385">
        <v>9388</v>
      </c>
    </row>
    <row r="386" spans="1:20" x14ac:dyDescent="0.35">
      <c r="A386" s="7" t="s">
        <v>673</v>
      </c>
      <c r="B386" s="12" t="s">
        <v>181</v>
      </c>
      <c r="E386">
        <v>21621621.621621624</v>
      </c>
      <c r="M386">
        <v>887837.83783783799</v>
      </c>
      <c r="N386">
        <v>913513.51351351303</v>
      </c>
    </row>
    <row r="387" spans="1:20" x14ac:dyDescent="0.35">
      <c r="A387" s="7" t="s">
        <v>484</v>
      </c>
      <c r="B387" s="12" t="s">
        <v>50</v>
      </c>
      <c r="C387">
        <v>45860295.683511101</v>
      </c>
      <c r="D387">
        <v>44311043.985397242</v>
      </c>
      <c r="E387">
        <v>454594.59459459601</v>
      </c>
      <c r="F387">
        <v>478378.37837838102</v>
      </c>
      <c r="G387">
        <v>21</v>
      </c>
      <c r="H387">
        <v>12</v>
      </c>
      <c r="K387">
        <v>23</v>
      </c>
      <c r="L387">
        <v>13</v>
      </c>
      <c r="M387">
        <v>7005585.5855855849</v>
      </c>
      <c r="N387">
        <v>4106396.396396399</v>
      </c>
      <c r="O387">
        <v>19261936.936936937</v>
      </c>
      <c r="P387">
        <v>19627288.288288288</v>
      </c>
      <c r="Q387">
        <v>6942702.702702703</v>
      </c>
      <c r="R387">
        <v>5666846.8468468478</v>
      </c>
      <c r="S387">
        <v>3739</v>
      </c>
      <c r="T387">
        <v>2880</v>
      </c>
    </row>
    <row r="388" spans="1:20" x14ac:dyDescent="0.35">
      <c r="A388" s="7" t="s">
        <v>485</v>
      </c>
      <c r="B388" s="12" t="s">
        <v>134</v>
      </c>
      <c r="C388">
        <v>64735526.838296935</v>
      </c>
      <c r="D388">
        <v>58947301.952340767</v>
      </c>
      <c r="E388">
        <v>143243.24324324401</v>
      </c>
      <c r="F388">
        <v>130630.63063063299</v>
      </c>
      <c r="G388">
        <v>9</v>
      </c>
      <c r="H388">
        <v>8</v>
      </c>
      <c r="K388">
        <v>9</v>
      </c>
      <c r="L388">
        <v>9</v>
      </c>
      <c r="M388">
        <v>9796396.3963963985</v>
      </c>
      <c r="N388">
        <v>9409909.9099099096</v>
      </c>
      <c r="O388">
        <v>10724099.0990991</v>
      </c>
      <c r="P388">
        <v>10533756.756756756</v>
      </c>
      <c r="Q388">
        <v>5225045.0450450452</v>
      </c>
      <c r="R388">
        <v>3453783.7837837832</v>
      </c>
      <c r="S388">
        <v>4579</v>
      </c>
      <c r="T388">
        <v>4604</v>
      </c>
    </row>
    <row r="389" spans="1:20" x14ac:dyDescent="0.35">
      <c r="A389" s="7" t="s">
        <v>486</v>
      </c>
      <c r="B389" s="12" t="s">
        <v>76</v>
      </c>
      <c r="C389">
        <v>15365255.595995059</v>
      </c>
      <c r="D389">
        <v>11890059.107503759</v>
      </c>
      <c r="E389">
        <v>273873.87387387402</v>
      </c>
      <c r="F389">
        <v>328828.82882882899</v>
      </c>
      <c r="G389">
        <v>4</v>
      </c>
      <c r="H389">
        <v>1</v>
      </c>
      <c r="K389">
        <v>4</v>
      </c>
      <c r="L389">
        <v>1</v>
      </c>
      <c r="M389">
        <v>3742342.3423423409</v>
      </c>
      <c r="N389">
        <v>2684684.684684684</v>
      </c>
      <c r="O389">
        <v>5250959.4594594594</v>
      </c>
      <c r="P389">
        <v>4136837.8378378381</v>
      </c>
      <c r="Q389">
        <v>2614144.1441441448</v>
      </c>
      <c r="R389">
        <v>2311801.8018018031</v>
      </c>
      <c r="S389">
        <v>1504</v>
      </c>
      <c r="T389">
        <v>1422</v>
      </c>
    </row>
    <row r="390" spans="1:20" x14ac:dyDescent="0.35">
      <c r="A390" s="7" t="s">
        <v>487</v>
      </c>
      <c r="B390" s="12" t="s">
        <v>307</v>
      </c>
      <c r="C390">
        <v>96396391.412967563</v>
      </c>
      <c r="D390">
        <v>94212578.557188407</v>
      </c>
      <c r="E390">
        <v>19819.819819820001</v>
      </c>
      <c r="F390">
        <v>797297.297297301</v>
      </c>
      <c r="G390">
        <v>12</v>
      </c>
      <c r="H390">
        <v>21</v>
      </c>
      <c r="K390">
        <v>16</v>
      </c>
      <c r="L390">
        <v>31</v>
      </c>
      <c r="M390">
        <v>13240450.45045045</v>
      </c>
      <c r="N390">
        <v>12522612.612612614</v>
      </c>
      <c r="O390">
        <v>37191630.630630635</v>
      </c>
      <c r="P390">
        <v>39975513.513513513</v>
      </c>
      <c r="Q390">
        <v>11345585.585585587</v>
      </c>
      <c r="R390">
        <v>15165495.4954955</v>
      </c>
      <c r="S390">
        <v>11191</v>
      </c>
      <c r="T390">
        <v>11916</v>
      </c>
    </row>
    <row r="391" spans="1:20" x14ac:dyDescent="0.35">
      <c r="A391" s="7" t="s">
        <v>488</v>
      </c>
      <c r="B391" s="12" t="s">
        <v>315</v>
      </c>
      <c r="C391">
        <v>22990712.498765256</v>
      </c>
      <c r="D391">
        <v>19231864.604045104</v>
      </c>
      <c r="E391">
        <v>3603.603603604</v>
      </c>
      <c r="F391">
        <v>332432.43243243301</v>
      </c>
      <c r="G391">
        <v>2</v>
      </c>
      <c r="H391">
        <v>2</v>
      </c>
      <c r="K391">
        <v>3</v>
      </c>
      <c r="L391">
        <v>4</v>
      </c>
      <c r="M391">
        <v>10844324.324324328</v>
      </c>
      <c r="N391">
        <v>332432.43243243301</v>
      </c>
      <c r="O391">
        <v>9983828.8288288284</v>
      </c>
      <c r="P391">
        <v>8292108.1081081079</v>
      </c>
      <c r="Q391">
        <v>11031081.081081081</v>
      </c>
      <c r="R391">
        <v>2309189.1891891891</v>
      </c>
      <c r="S391">
        <v>1688</v>
      </c>
      <c r="T391">
        <v>1738</v>
      </c>
    </row>
    <row r="392" spans="1:20" x14ac:dyDescent="0.35">
      <c r="A392" s="7" t="s">
        <v>489</v>
      </c>
      <c r="B392" s="12" t="s">
        <v>181</v>
      </c>
      <c r="C392">
        <v>52757454.569615766</v>
      </c>
      <c r="D392">
        <v>50128346.288107403</v>
      </c>
      <c r="E392">
        <v>14414.414414416</v>
      </c>
      <c r="F392">
        <v>233783.78378378399</v>
      </c>
      <c r="G392">
        <v>21</v>
      </c>
      <c r="H392">
        <v>19</v>
      </c>
      <c r="K392">
        <v>31</v>
      </c>
      <c r="L392">
        <v>37</v>
      </c>
      <c r="M392">
        <v>4723333.3333333312</v>
      </c>
      <c r="N392">
        <v>2877477.4774774751</v>
      </c>
      <c r="O392">
        <v>14153153.153153153</v>
      </c>
      <c r="P392">
        <v>15774522.522522524</v>
      </c>
      <c r="Q392">
        <v>2891981.9819819811</v>
      </c>
      <c r="R392">
        <v>4394864.8648648644</v>
      </c>
      <c r="S392">
        <v>6288</v>
      </c>
      <c r="T392">
        <v>6401</v>
      </c>
    </row>
    <row r="393" spans="1:20" x14ac:dyDescent="0.35">
      <c r="A393" s="7" t="s">
        <v>490</v>
      </c>
      <c r="B393" s="12" t="s">
        <v>220</v>
      </c>
      <c r="C393">
        <v>32189271.594807003</v>
      </c>
      <c r="D393">
        <v>29277057.818989713</v>
      </c>
      <c r="E393">
        <v>2702.7027027029999</v>
      </c>
      <c r="F393">
        <v>13513.513513514001</v>
      </c>
      <c r="G393">
        <v>8</v>
      </c>
      <c r="H393">
        <v>12</v>
      </c>
      <c r="K393">
        <v>11</v>
      </c>
      <c r="L393">
        <v>15</v>
      </c>
      <c r="M393">
        <v>2702.7027027029999</v>
      </c>
      <c r="N393">
        <v>489189.189189189</v>
      </c>
      <c r="O393">
        <v>7915450.4504504502</v>
      </c>
      <c r="P393">
        <v>7255333.333333333</v>
      </c>
      <c r="Q393">
        <v>205405.40540540501</v>
      </c>
      <c r="R393">
        <v>534234.23423423397</v>
      </c>
      <c r="S393">
        <v>3994</v>
      </c>
      <c r="T393">
        <v>4458</v>
      </c>
    </row>
    <row r="394" spans="1:20" x14ac:dyDescent="0.35">
      <c r="A394" s="7" t="s">
        <v>491</v>
      </c>
      <c r="B394" s="12" t="s">
        <v>220</v>
      </c>
      <c r="C394">
        <v>11277036.211593196</v>
      </c>
      <c r="D394">
        <v>9267318.3598938156</v>
      </c>
      <c r="E394">
        <v>129111890.990991</v>
      </c>
      <c r="F394">
        <v>198733252.25225225</v>
      </c>
      <c r="G394">
        <v>6</v>
      </c>
      <c r="H394">
        <v>4</v>
      </c>
      <c r="K394">
        <v>8</v>
      </c>
      <c r="L394">
        <v>4</v>
      </c>
      <c r="M394">
        <v>5840540.5405405397</v>
      </c>
      <c r="N394">
        <v>8778828.8288288303</v>
      </c>
      <c r="O394">
        <v>3397927.927927928</v>
      </c>
      <c r="P394">
        <v>2762702.702702702</v>
      </c>
      <c r="Q394">
        <v>1675585.5855855839</v>
      </c>
      <c r="R394">
        <v>7910090.0900900913</v>
      </c>
      <c r="S394">
        <v>1285</v>
      </c>
      <c r="T394">
        <v>1184</v>
      </c>
    </row>
    <row r="395" spans="1:20" x14ac:dyDescent="0.35">
      <c r="A395" s="7" t="s">
        <v>492</v>
      </c>
      <c r="B395" s="12" t="s">
        <v>60</v>
      </c>
      <c r="C395">
        <v>39225115.023100853</v>
      </c>
      <c r="D395">
        <v>33440604.649054084</v>
      </c>
      <c r="E395">
        <v>4504.5045045050001</v>
      </c>
      <c r="F395">
        <v>1216216.2162162219</v>
      </c>
      <c r="G395">
        <v>4</v>
      </c>
      <c r="H395">
        <v>4</v>
      </c>
      <c r="K395">
        <v>5</v>
      </c>
      <c r="L395">
        <v>48</v>
      </c>
      <c r="M395">
        <v>11606306.306306308</v>
      </c>
      <c r="N395">
        <v>6788108.1081081079</v>
      </c>
      <c r="O395">
        <v>16026576.576576576</v>
      </c>
      <c r="P395">
        <v>14325054.054054054</v>
      </c>
      <c r="Q395">
        <v>9686846.8468468487</v>
      </c>
      <c r="R395">
        <v>7118918.9189189197</v>
      </c>
      <c r="S395">
        <v>3609</v>
      </c>
      <c r="T395">
        <v>3593</v>
      </c>
    </row>
    <row r="396" spans="1:20" x14ac:dyDescent="0.35">
      <c r="A396" s="7" t="s">
        <v>493</v>
      </c>
      <c r="B396" s="12" t="s">
        <v>448</v>
      </c>
      <c r="C396">
        <v>42427065.937490679</v>
      </c>
      <c r="D396">
        <v>41247740.875814341</v>
      </c>
      <c r="E396">
        <v>56756.756756757997</v>
      </c>
      <c r="F396">
        <v>27027.027027028002</v>
      </c>
      <c r="G396">
        <v>21</v>
      </c>
      <c r="H396">
        <v>18</v>
      </c>
      <c r="K396">
        <v>25</v>
      </c>
      <c r="L396">
        <v>23</v>
      </c>
      <c r="M396">
        <v>4877702.7027027039</v>
      </c>
      <c r="N396">
        <v>4664864.8648648662</v>
      </c>
      <c r="O396">
        <v>15514549.549549552</v>
      </c>
      <c r="P396">
        <v>14274423.423423423</v>
      </c>
      <c r="Q396">
        <v>5359954.9549549548</v>
      </c>
      <c r="R396">
        <v>5055675.6756756771</v>
      </c>
      <c r="S396">
        <v>4906</v>
      </c>
      <c r="T396">
        <v>4823</v>
      </c>
    </row>
    <row r="397" spans="1:20" x14ac:dyDescent="0.35">
      <c r="A397" s="7" t="s">
        <v>7</v>
      </c>
      <c r="B397" s="12" t="s">
        <v>193</v>
      </c>
      <c r="C397">
        <v>35102336.369845547</v>
      </c>
      <c r="D397">
        <v>36154651.20325432</v>
      </c>
      <c r="E397">
        <v>10360.360360361001</v>
      </c>
      <c r="F397">
        <v>109909.90990991</v>
      </c>
      <c r="G397">
        <v>10</v>
      </c>
      <c r="H397">
        <v>12</v>
      </c>
      <c r="K397">
        <v>12</v>
      </c>
      <c r="L397">
        <v>18</v>
      </c>
      <c r="M397">
        <v>9260810.8108108118</v>
      </c>
      <c r="N397">
        <v>6970270.2702702694</v>
      </c>
      <c r="O397">
        <v>22941441.441441439</v>
      </c>
      <c r="P397">
        <v>25451621.62162162</v>
      </c>
      <c r="Q397">
        <v>10096756.75675676</v>
      </c>
      <c r="R397">
        <v>7751261.2612612601</v>
      </c>
      <c r="S397">
        <v>4976</v>
      </c>
      <c r="T397">
        <v>5275</v>
      </c>
    </row>
    <row r="398" spans="1:20" x14ac:dyDescent="0.35">
      <c r="A398" s="7" t="s">
        <v>494</v>
      </c>
      <c r="B398" s="12" t="s">
        <v>330</v>
      </c>
      <c r="C398">
        <v>45994772.052751891</v>
      </c>
      <c r="D398">
        <v>41585855.976633474</v>
      </c>
      <c r="E398">
        <v>13513.513513513</v>
      </c>
      <c r="F398">
        <v>84684.684684684995</v>
      </c>
      <c r="G398">
        <v>18</v>
      </c>
      <c r="H398">
        <v>12</v>
      </c>
      <c r="K398">
        <v>19</v>
      </c>
      <c r="L398">
        <v>25</v>
      </c>
      <c r="M398">
        <v>1923423.4234234239</v>
      </c>
      <c r="N398">
        <v>2021621.621621622</v>
      </c>
      <c r="O398">
        <v>12969279.27927928</v>
      </c>
      <c r="P398">
        <v>10589009.009009009</v>
      </c>
      <c r="Q398">
        <v>851801.80180180201</v>
      </c>
      <c r="R398">
        <v>2045225.2252252251</v>
      </c>
      <c r="S398">
        <v>6406</v>
      </c>
      <c r="T398">
        <v>5978</v>
      </c>
    </row>
    <row r="399" spans="1:20" x14ac:dyDescent="0.35">
      <c r="A399" s="7" t="s">
        <v>495</v>
      </c>
      <c r="B399" s="12" t="s">
        <v>330</v>
      </c>
      <c r="C399">
        <v>68207561.398538649</v>
      </c>
      <c r="D399">
        <v>71608847.37768288</v>
      </c>
      <c r="E399">
        <v>4504.5045045050001</v>
      </c>
      <c r="F399">
        <v>682657.65765766101</v>
      </c>
      <c r="G399">
        <v>15</v>
      </c>
      <c r="H399">
        <v>19</v>
      </c>
      <c r="K399">
        <v>23</v>
      </c>
      <c r="L399">
        <v>28</v>
      </c>
      <c r="M399">
        <v>1986486.4864864871</v>
      </c>
      <c r="N399">
        <v>2516216.2162162191</v>
      </c>
      <c r="O399">
        <v>16352063.063063065</v>
      </c>
      <c r="P399">
        <v>17524720.72072072</v>
      </c>
      <c r="Q399">
        <v>2488108.1081081089</v>
      </c>
      <c r="R399">
        <v>1946126.1261261259</v>
      </c>
      <c r="S399">
        <v>8013</v>
      </c>
      <c r="T399">
        <v>7283</v>
      </c>
    </row>
    <row r="400" spans="1:20" x14ac:dyDescent="0.35">
      <c r="A400" s="7" t="s">
        <v>496</v>
      </c>
      <c r="B400" s="12" t="s">
        <v>330</v>
      </c>
      <c r="C400">
        <v>76404904.415701479</v>
      </c>
      <c r="D400">
        <v>71210144.696290657</v>
      </c>
      <c r="E400">
        <v>42342.342342344004</v>
      </c>
      <c r="F400">
        <v>1267342.342342345</v>
      </c>
      <c r="G400">
        <v>37</v>
      </c>
      <c r="H400">
        <v>41</v>
      </c>
      <c r="K400">
        <v>50</v>
      </c>
      <c r="L400">
        <v>53</v>
      </c>
      <c r="M400">
        <v>5370990.9909909889</v>
      </c>
      <c r="N400">
        <v>7436936.9369369382</v>
      </c>
      <c r="O400">
        <v>16840981.981981985</v>
      </c>
      <c r="P400">
        <v>16478459.459459459</v>
      </c>
      <c r="Q400">
        <v>4666126.1261261273</v>
      </c>
      <c r="R400">
        <v>7581621.6216216218</v>
      </c>
      <c r="S400">
        <v>8741</v>
      </c>
      <c r="T400">
        <v>8302</v>
      </c>
    </row>
    <row r="401" spans="1:20" x14ac:dyDescent="0.35">
      <c r="A401" s="7" t="s">
        <v>497</v>
      </c>
      <c r="B401" s="12" t="s">
        <v>330</v>
      </c>
      <c r="C401">
        <v>303745685.53722501</v>
      </c>
      <c r="D401">
        <v>260692945.93294737</v>
      </c>
      <c r="E401">
        <v>357192392.7927928</v>
      </c>
      <c r="F401">
        <v>92467576.576576576</v>
      </c>
      <c r="G401">
        <v>86</v>
      </c>
      <c r="H401">
        <v>82</v>
      </c>
      <c r="K401">
        <v>107</v>
      </c>
      <c r="L401">
        <v>116</v>
      </c>
      <c r="M401">
        <v>97628108.108108118</v>
      </c>
      <c r="N401">
        <v>17236936.936936941</v>
      </c>
      <c r="O401">
        <v>53050747.747747749</v>
      </c>
      <c r="P401">
        <v>54557315.315315321</v>
      </c>
      <c r="Q401">
        <v>94764684.684684694</v>
      </c>
      <c r="R401">
        <v>14244594.594594596</v>
      </c>
      <c r="S401">
        <v>29475</v>
      </c>
      <c r="T401">
        <v>27261</v>
      </c>
    </row>
    <row r="402" spans="1:20" x14ac:dyDescent="0.35">
      <c r="A402" s="7" t="s">
        <v>498</v>
      </c>
      <c r="B402" s="12" t="s">
        <v>330</v>
      </c>
      <c r="C402">
        <v>231736371.62881976</v>
      </c>
      <c r="D402">
        <v>212797830.09737265</v>
      </c>
      <c r="E402">
        <v>109639.639639642</v>
      </c>
      <c r="F402">
        <v>2167117.1171171251</v>
      </c>
      <c r="G402">
        <v>53</v>
      </c>
      <c r="H402">
        <v>47</v>
      </c>
      <c r="K402">
        <v>77</v>
      </c>
      <c r="L402">
        <v>79</v>
      </c>
      <c r="M402">
        <v>111706036.03603603</v>
      </c>
      <c r="N402">
        <v>20768468.468468465</v>
      </c>
      <c r="O402">
        <v>54444738.738738738</v>
      </c>
      <c r="P402">
        <v>51979135.135135137</v>
      </c>
      <c r="Q402">
        <v>17365405.40540541</v>
      </c>
      <c r="R402">
        <v>17360450.45045045</v>
      </c>
      <c r="S402">
        <v>26410</v>
      </c>
      <c r="T402">
        <v>27209</v>
      </c>
    </row>
    <row r="403" spans="1:20" x14ac:dyDescent="0.35">
      <c r="A403" s="7" t="s">
        <v>499</v>
      </c>
      <c r="B403" s="12" t="s">
        <v>143</v>
      </c>
      <c r="C403">
        <v>94464357.179994419</v>
      </c>
      <c r="D403">
        <v>94492145.387585074</v>
      </c>
      <c r="E403">
        <v>10810.810810812</v>
      </c>
      <c r="F403">
        <v>549774.77477477805</v>
      </c>
      <c r="G403">
        <v>17</v>
      </c>
      <c r="H403">
        <v>15</v>
      </c>
      <c r="K403">
        <v>26</v>
      </c>
      <c r="L403">
        <v>20</v>
      </c>
      <c r="M403">
        <v>10345585.585585587</v>
      </c>
      <c r="N403">
        <v>10946846.846846849</v>
      </c>
      <c r="O403">
        <v>14748729.729729731</v>
      </c>
      <c r="P403">
        <v>15872531.531531531</v>
      </c>
      <c r="Q403">
        <v>5419369.3693693699</v>
      </c>
      <c r="R403">
        <v>5238378.3783783773</v>
      </c>
      <c r="S403">
        <v>7618</v>
      </c>
      <c r="T403">
        <v>8549</v>
      </c>
    </row>
    <row r="404" spans="1:20" x14ac:dyDescent="0.35">
      <c r="A404" s="7" t="s">
        <v>500</v>
      </c>
      <c r="B404" s="12" t="s">
        <v>220</v>
      </c>
      <c r="C404">
        <v>103727613.73955952</v>
      </c>
      <c r="D404">
        <v>107263759.64966525</v>
      </c>
      <c r="E404">
        <v>554954.95495495503</v>
      </c>
      <c r="F404">
        <v>1092117.117117122</v>
      </c>
      <c r="G404">
        <v>47</v>
      </c>
      <c r="H404">
        <v>34</v>
      </c>
      <c r="I404">
        <v>1</v>
      </c>
      <c r="K404">
        <v>61</v>
      </c>
      <c r="L404">
        <v>48</v>
      </c>
      <c r="M404">
        <v>33054054.054054055</v>
      </c>
      <c r="N404">
        <v>113099909.9099099</v>
      </c>
      <c r="O404">
        <v>31749711.711711712</v>
      </c>
      <c r="P404">
        <v>32750612.612612613</v>
      </c>
      <c r="Q404">
        <v>33498558.558558561</v>
      </c>
      <c r="R404">
        <v>100174774.77477477</v>
      </c>
      <c r="S404">
        <v>11685</v>
      </c>
      <c r="T404">
        <v>11891</v>
      </c>
    </row>
    <row r="405" spans="1:20" x14ac:dyDescent="0.35">
      <c r="A405" s="7" t="s">
        <v>501</v>
      </c>
      <c r="B405" s="12" t="s">
        <v>397</v>
      </c>
      <c r="C405">
        <v>308911307.18140513</v>
      </c>
      <c r="D405">
        <v>314105530.65718579</v>
      </c>
      <c r="E405">
        <v>1384000.900900902</v>
      </c>
      <c r="F405">
        <v>2305363.9639639668</v>
      </c>
      <c r="G405">
        <v>69</v>
      </c>
      <c r="H405">
        <v>81</v>
      </c>
      <c r="K405">
        <v>90</v>
      </c>
      <c r="L405">
        <v>109</v>
      </c>
      <c r="M405">
        <v>40555135.135135137</v>
      </c>
      <c r="N405">
        <v>32801576.576576576</v>
      </c>
      <c r="O405">
        <v>62328989.189189181</v>
      </c>
      <c r="P405">
        <v>65184369.369369373</v>
      </c>
      <c r="Q405">
        <v>34065765.765765771</v>
      </c>
      <c r="R405">
        <v>27294189.189189188</v>
      </c>
      <c r="S405">
        <v>26610</v>
      </c>
      <c r="T405">
        <v>26750</v>
      </c>
    </row>
    <row r="406" spans="1:20" x14ac:dyDescent="0.35">
      <c r="A406" s="7" t="s">
        <v>502</v>
      </c>
      <c r="B406" s="12" t="s">
        <v>70</v>
      </c>
      <c r="C406">
        <v>4435990.1182478983</v>
      </c>
      <c r="D406">
        <v>4762480.5264080809</v>
      </c>
      <c r="F406">
        <v>54054.054054054002</v>
      </c>
      <c r="G406">
        <v>2</v>
      </c>
      <c r="H406">
        <v>1</v>
      </c>
      <c r="K406">
        <v>2</v>
      </c>
      <c r="L406">
        <v>2</v>
      </c>
      <c r="N406">
        <v>183783.78378378399</v>
      </c>
      <c r="O406">
        <v>3440945.945945946</v>
      </c>
      <c r="P406">
        <v>3484000</v>
      </c>
      <c r="Q406">
        <v>1012612.612612612</v>
      </c>
      <c r="R406">
        <v>129729.72972973</v>
      </c>
      <c r="S406">
        <v>677</v>
      </c>
      <c r="T406">
        <v>690</v>
      </c>
    </row>
    <row r="407" spans="1:20" x14ac:dyDescent="0.35">
      <c r="A407" s="7" t="s">
        <v>503</v>
      </c>
      <c r="B407" s="12" t="s">
        <v>330</v>
      </c>
      <c r="C407">
        <v>127967653.08782928</v>
      </c>
      <c r="D407">
        <v>126707279.42506978</v>
      </c>
      <c r="E407">
        <v>290990.990990992</v>
      </c>
      <c r="F407">
        <v>1942117.1171171209</v>
      </c>
      <c r="G407">
        <v>25</v>
      </c>
      <c r="H407">
        <v>41</v>
      </c>
      <c r="K407">
        <v>35</v>
      </c>
      <c r="L407">
        <v>56</v>
      </c>
      <c r="M407">
        <v>11110810.810810808</v>
      </c>
      <c r="N407">
        <v>11623423.423423428</v>
      </c>
      <c r="O407">
        <v>31777385.585585583</v>
      </c>
      <c r="P407">
        <v>32816243.24324324</v>
      </c>
      <c r="Q407">
        <v>8741801.8018018007</v>
      </c>
      <c r="R407">
        <v>10660540.540540541</v>
      </c>
      <c r="S407">
        <v>15935</v>
      </c>
      <c r="T407">
        <v>15911</v>
      </c>
    </row>
    <row r="408" spans="1:20" x14ac:dyDescent="0.35">
      <c r="A408" s="7" t="s">
        <v>504</v>
      </c>
      <c r="B408" s="12" t="s">
        <v>283</v>
      </c>
      <c r="C408">
        <v>38947603.104062878</v>
      </c>
      <c r="D408">
        <v>41321989.43853756</v>
      </c>
      <c r="E408">
        <v>273873.87387387402</v>
      </c>
      <c r="F408">
        <v>13513.513513514001</v>
      </c>
      <c r="G408">
        <v>8</v>
      </c>
      <c r="H408">
        <v>4</v>
      </c>
      <c r="K408">
        <v>9</v>
      </c>
      <c r="L408">
        <v>5</v>
      </c>
      <c r="M408">
        <v>3427027.0270270281</v>
      </c>
      <c r="N408">
        <v>1815315.315315316</v>
      </c>
      <c r="O408">
        <v>7579324.3243243247</v>
      </c>
      <c r="P408">
        <v>6493828.8288288293</v>
      </c>
      <c r="Q408">
        <v>5158108.1081081089</v>
      </c>
      <c r="R408">
        <v>1530540.5405405411</v>
      </c>
      <c r="S408">
        <v>3075</v>
      </c>
      <c r="T408">
        <v>3032</v>
      </c>
    </row>
    <row r="409" spans="1:20" x14ac:dyDescent="0.35">
      <c r="A409" s="7" t="s">
        <v>505</v>
      </c>
      <c r="B409" s="12" t="s">
        <v>260</v>
      </c>
      <c r="C409">
        <v>23285917.06345617</v>
      </c>
      <c r="D409">
        <v>22803718.883242745</v>
      </c>
      <c r="G409">
        <v>2</v>
      </c>
      <c r="K409">
        <v>2</v>
      </c>
      <c r="L409">
        <v>1</v>
      </c>
      <c r="O409">
        <v>5682072.072072072</v>
      </c>
      <c r="P409">
        <v>4976945.9459459474</v>
      </c>
      <c r="S409">
        <v>2122</v>
      </c>
      <c r="T409">
        <v>2240</v>
      </c>
    </row>
    <row r="410" spans="1:20" x14ac:dyDescent="0.35">
      <c r="A410" s="7" t="s">
        <v>506</v>
      </c>
      <c r="B410" s="12" t="s">
        <v>236</v>
      </c>
      <c r="C410">
        <v>64640134.333943985</v>
      </c>
      <c r="D410">
        <v>56845253.460506178</v>
      </c>
      <c r="E410">
        <v>30270.270270271001</v>
      </c>
      <c r="F410">
        <v>123873.873873875</v>
      </c>
      <c r="G410">
        <v>13</v>
      </c>
      <c r="H410">
        <v>3</v>
      </c>
      <c r="K410">
        <v>15</v>
      </c>
      <c r="L410">
        <v>4</v>
      </c>
      <c r="M410">
        <v>9409009.0090090092</v>
      </c>
      <c r="N410">
        <v>6242972.9729729732</v>
      </c>
      <c r="O410">
        <v>15006418.918918921</v>
      </c>
      <c r="P410">
        <v>12527792.792792792</v>
      </c>
      <c r="Q410">
        <v>9607297.2972972952</v>
      </c>
      <c r="R410">
        <v>6569279.2792792786</v>
      </c>
      <c r="S410">
        <v>4694</v>
      </c>
      <c r="T410">
        <v>4542</v>
      </c>
    </row>
    <row r="411" spans="1:20" x14ac:dyDescent="0.35">
      <c r="A411" s="7" t="s">
        <v>507</v>
      </c>
      <c r="B411" s="12" t="s">
        <v>134</v>
      </c>
      <c r="C411">
        <v>9715443.8307292089</v>
      </c>
      <c r="D411">
        <v>5127815.2266073758</v>
      </c>
      <c r="O411">
        <v>1467792.7927927929</v>
      </c>
      <c r="P411">
        <v>839234.23423423397</v>
      </c>
      <c r="S411">
        <v>1309</v>
      </c>
      <c r="T411">
        <v>905</v>
      </c>
    </row>
    <row r="412" spans="1:20" x14ac:dyDescent="0.35">
      <c r="A412" s="7" t="s">
        <v>508</v>
      </c>
      <c r="B412" s="12" t="s">
        <v>397</v>
      </c>
      <c r="C412">
        <v>64640601.029219203</v>
      </c>
      <c r="D412">
        <v>60871306.609802648</v>
      </c>
      <c r="E412">
        <v>8495045.0450450443</v>
      </c>
      <c r="F412">
        <v>184684.684684687</v>
      </c>
      <c r="G412">
        <v>3</v>
      </c>
      <c r="H412">
        <v>13</v>
      </c>
      <c r="K412">
        <v>6</v>
      </c>
      <c r="L412">
        <v>17</v>
      </c>
      <c r="M412">
        <v>7893693.6936936947</v>
      </c>
      <c r="N412">
        <v>4704504.5045045046</v>
      </c>
      <c r="O412">
        <v>9553378.3783783801</v>
      </c>
      <c r="P412">
        <v>10447027.027027028</v>
      </c>
      <c r="Q412">
        <v>5628648.6486486495</v>
      </c>
      <c r="R412">
        <v>5292342.3423423441</v>
      </c>
      <c r="S412">
        <v>4384</v>
      </c>
      <c r="T412">
        <v>4441</v>
      </c>
    </row>
    <row r="413" spans="1:20" x14ac:dyDescent="0.35">
      <c r="A413" s="7" t="s">
        <v>509</v>
      </c>
      <c r="B413" s="12" t="s">
        <v>134</v>
      </c>
      <c r="C413">
        <v>71853349.837075695</v>
      </c>
      <c r="D413">
        <v>68793171.85500285</v>
      </c>
      <c r="E413">
        <v>10810.810810812</v>
      </c>
      <c r="F413">
        <v>396396.3963964</v>
      </c>
      <c r="G413">
        <v>17</v>
      </c>
      <c r="H413">
        <v>18</v>
      </c>
      <c r="K413">
        <v>19</v>
      </c>
      <c r="L413">
        <v>22</v>
      </c>
      <c r="M413">
        <v>6533333.333333333</v>
      </c>
      <c r="N413">
        <v>5216216.2162162168</v>
      </c>
      <c r="O413">
        <v>11695516.216216216</v>
      </c>
      <c r="P413">
        <v>11417626.126126127</v>
      </c>
      <c r="Q413">
        <v>4481621.6216216236</v>
      </c>
      <c r="R413">
        <v>4447027.0270270277</v>
      </c>
      <c r="S413">
        <v>5490</v>
      </c>
      <c r="T413">
        <v>5527</v>
      </c>
    </row>
    <row r="414" spans="1:20" x14ac:dyDescent="0.35">
      <c r="A414" s="7" t="s">
        <v>510</v>
      </c>
      <c r="B414" s="12" t="s">
        <v>134</v>
      </c>
      <c r="C414">
        <v>195302629.23386267</v>
      </c>
      <c r="D414">
        <v>187865359.63765711</v>
      </c>
      <c r="E414">
        <v>365045.04504504701</v>
      </c>
      <c r="F414">
        <v>1022522.522522527</v>
      </c>
      <c r="G414">
        <v>28</v>
      </c>
      <c r="H414">
        <v>25</v>
      </c>
      <c r="K414">
        <v>33</v>
      </c>
      <c r="L414">
        <v>34</v>
      </c>
      <c r="M414">
        <v>12988918.918918919</v>
      </c>
      <c r="N414">
        <v>8290990.9909909908</v>
      </c>
      <c r="O414">
        <v>19491927.927927926</v>
      </c>
      <c r="P414">
        <v>20069603.603603609</v>
      </c>
      <c r="Q414">
        <v>10308648.648648646</v>
      </c>
      <c r="R414">
        <v>12168018.018018017</v>
      </c>
      <c r="S414">
        <v>16442</v>
      </c>
      <c r="T414">
        <v>16621</v>
      </c>
    </row>
    <row r="415" spans="1:20" x14ac:dyDescent="0.35">
      <c r="A415" s="7" t="s">
        <v>8</v>
      </c>
      <c r="B415" s="12" t="s">
        <v>158</v>
      </c>
      <c r="C415">
        <v>50981047.372630015</v>
      </c>
      <c r="D415">
        <v>47236312.580856249</v>
      </c>
      <c r="E415">
        <v>662162.16216216201</v>
      </c>
      <c r="F415">
        <v>732432.43243243406</v>
      </c>
      <c r="G415">
        <v>3</v>
      </c>
      <c r="K415">
        <v>4</v>
      </c>
      <c r="M415">
        <v>8993693.6936936956</v>
      </c>
      <c r="N415">
        <v>5355855.855855857</v>
      </c>
      <c r="O415">
        <v>14819864.864864863</v>
      </c>
      <c r="P415">
        <v>12901945.945945946</v>
      </c>
      <c r="Q415">
        <v>7886486.4864864871</v>
      </c>
      <c r="R415">
        <v>3724954.9549549548</v>
      </c>
      <c r="S415">
        <v>3518</v>
      </c>
      <c r="T415">
        <v>3770</v>
      </c>
    </row>
    <row r="416" spans="1:20" x14ac:dyDescent="0.35">
      <c r="A416" s="7" t="s">
        <v>511</v>
      </c>
      <c r="B416" s="12" t="s">
        <v>134</v>
      </c>
      <c r="C416">
        <v>33261751.587015159</v>
      </c>
      <c r="D416">
        <v>31348668.220993023</v>
      </c>
      <c r="F416">
        <v>270270.27027027</v>
      </c>
      <c r="G416">
        <v>1</v>
      </c>
      <c r="H416">
        <v>1</v>
      </c>
      <c r="K416">
        <v>2</v>
      </c>
      <c r="L416">
        <v>1</v>
      </c>
      <c r="N416">
        <v>1171171.1711711709</v>
      </c>
      <c r="O416">
        <v>3344405.405405405</v>
      </c>
      <c r="P416">
        <v>4071639.6396396388</v>
      </c>
      <c r="Q416">
        <v>1033963.963963965</v>
      </c>
      <c r="R416">
        <v>791081.08108108095</v>
      </c>
      <c r="S416">
        <v>3174</v>
      </c>
      <c r="T416">
        <v>4002</v>
      </c>
    </row>
    <row r="417" spans="1:20" x14ac:dyDescent="0.35">
      <c r="A417" s="7" t="s">
        <v>512</v>
      </c>
      <c r="B417" s="12" t="s">
        <v>62</v>
      </c>
      <c r="C417">
        <v>167384789.1260944</v>
      </c>
      <c r="D417">
        <v>151752425.21360666</v>
      </c>
      <c r="E417">
        <v>816216.21621621598</v>
      </c>
      <c r="F417">
        <v>917117.11711711902</v>
      </c>
      <c r="G417">
        <v>35</v>
      </c>
      <c r="H417">
        <v>27</v>
      </c>
      <c r="K417">
        <v>40</v>
      </c>
      <c r="L417">
        <v>54</v>
      </c>
      <c r="M417">
        <v>8284324.3243243247</v>
      </c>
      <c r="N417">
        <v>7127567.5675675701</v>
      </c>
      <c r="O417">
        <v>31474054.054054055</v>
      </c>
      <c r="P417">
        <v>32046333.333333332</v>
      </c>
      <c r="Q417">
        <v>7103693.6936936937</v>
      </c>
      <c r="R417">
        <v>7753783.7837837879</v>
      </c>
      <c r="S417">
        <v>14424</v>
      </c>
      <c r="T417">
        <v>14669</v>
      </c>
    </row>
    <row r="418" spans="1:20" x14ac:dyDescent="0.35">
      <c r="A418" s="7" t="s">
        <v>513</v>
      </c>
      <c r="B418" s="12" t="s">
        <v>117</v>
      </c>
      <c r="C418">
        <v>18116766.677959535</v>
      </c>
      <c r="D418">
        <v>11593944.359506305</v>
      </c>
      <c r="E418">
        <v>900.900900901</v>
      </c>
      <c r="F418">
        <v>27027.027027027001</v>
      </c>
      <c r="G418">
        <v>9</v>
      </c>
      <c r="H418">
        <v>11</v>
      </c>
      <c r="K418">
        <v>10</v>
      </c>
      <c r="L418">
        <v>12</v>
      </c>
      <c r="M418">
        <v>1308648.648648646</v>
      </c>
      <c r="N418">
        <v>1301351.351351351</v>
      </c>
      <c r="O418">
        <v>8758108.1081081089</v>
      </c>
      <c r="P418">
        <v>5213873.8738738727</v>
      </c>
      <c r="Q418">
        <v>994234.23423423199</v>
      </c>
      <c r="R418">
        <v>467117.11711711797</v>
      </c>
      <c r="S418">
        <v>1732</v>
      </c>
      <c r="T418">
        <v>2020</v>
      </c>
    </row>
    <row r="419" spans="1:20" x14ac:dyDescent="0.35">
      <c r="A419" s="7" t="s">
        <v>514</v>
      </c>
      <c r="B419" s="12" t="s">
        <v>304</v>
      </c>
      <c r="C419">
        <v>33865486.743928902</v>
      </c>
      <c r="D419">
        <v>29337134.663844466</v>
      </c>
      <c r="E419">
        <v>5405.4054054059998</v>
      </c>
      <c r="F419">
        <v>136036.03603603601</v>
      </c>
      <c r="G419">
        <v>8</v>
      </c>
      <c r="H419">
        <v>13</v>
      </c>
      <c r="K419">
        <v>9</v>
      </c>
      <c r="L419">
        <v>15</v>
      </c>
      <c r="M419">
        <v>5405.4054054059998</v>
      </c>
      <c r="N419">
        <v>5872522.5225225221</v>
      </c>
      <c r="O419">
        <v>1996396.3963963969</v>
      </c>
      <c r="P419">
        <v>2810225.2252252242</v>
      </c>
      <c r="Q419">
        <v>404504.50450450397</v>
      </c>
      <c r="R419">
        <v>6154324.3243243238</v>
      </c>
      <c r="S419">
        <v>1539</v>
      </c>
      <c r="T419">
        <v>1354</v>
      </c>
    </row>
    <row r="420" spans="1:20" x14ac:dyDescent="0.35">
      <c r="A420" s="7" t="s">
        <v>674</v>
      </c>
      <c r="B420" s="12" t="s">
        <v>304</v>
      </c>
      <c r="E420">
        <v>2059954.954954955</v>
      </c>
      <c r="F420">
        <v>38755518.018018015</v>
      </c>
      <c r="M420">
        <v>31485585.585585583</v>
      </c>
    </row>
    <row r="421" spans="1:20" x14ac:dyDescent="0.35">
      <c r="A421" s="7" t="s">
        <v>515</v>
      </c>
      <c r="B421" s="12" t="s">
        <v>304</v>
      </c>
      <c r="C421">
        <v>10037276.33066106</v>
      </c>
      <c r="D421">
        <v>4866473.3102501174</v>
      </c>
      <c r="E421">
        <v>187747.74774774699</v>
      </c>
      <c r="F421">
        <v>129729.72972973</v>
      </c>
      <c r="M421">
        <v>1494054.054054054</v>
      </c>
      <c r="N421">
        <v>882882.88288288296</v>
      </c>
      <c r="O421">
        <v>1385810.8108108109</v>
      </c>
      <c r="P421">
        <v>738387.38738738699</v>
      </c>
      <c r="Q421">
        <v>1303783.7837837851</v>
      </c>
      <c r="R421">
        <v>498648.64864864899</v>
      </c>
      <c r="S421">
        <v>621</v>
      </c>
      <c r="T421">
        <v>353</v>
      </c>
    </row>
    <row r="422" spans="1:20" x14ac:dyDescent="0.35">
      <c r="A422" s="7" t="s">
        <v>516</v>
      </c>
      <c r="B422" s="12" t="s">
        <v>304</v>
      </c>
      <c r="C422">
        <v>18310100.911884524</v>
      </c>
      <c r="D422">
        <v>19572614.799250547</v>
      </c>
      <c r="E422">
        <v>5045.0450450449998</v>
      </c>
      <c r="F422">
        <v>419819.81981981802</v>
      </c>
      <c r="G422">
        <v>5</v>
      </c>
      <c r="H422">
        <v>9</v>
      </c>
      <c r="K422">
        <v>8</v>
      </c>
      <c r="L422">
        <v>9</v>
      </c>
      <c r="M422">
        <v>1824864.8648648639</v>
      </c>
      <c r="N422">
        <v>1463963.9639639631</v>
      </c>
      <c r="O422">
        <v>2543738.7387387399</v>
      </c>
      <c r="P422">
        <v>1915792.792792792</v>
      </c>
      <c r="Q422">
        <v>1197117.1171171181</v>
      </c>
      <c r="R422">
        <v>632432.43243243196</v>
      </c>
      <c r="S422">
        <v>1146</v>
      </c>
      <c r="T422">
        <v>1295</v>
      </c>
    </row>
    <row r="423" spans="1:20" x14ac:dyDescent="0.35">
      <c r="A423" s="7" t="s">
        <v>517</v>
      </c>
      <c r="B423" s="12" t="s">
        <v>304</v>
      </c>
      <c r="C423">
        <v>14970199.462722681</v>
      </c>
      <c r="D423">
        <v>13759868.427570865</v>
      </c>
      <c r="E423">
        <v>11711.711711712</v>
      </c>
      <c r="F423">
        <v>67567.567567567996</v>
      </c>
      <c r="G423">
        <v>2</v>
      </c>
      <c r="H423">
        <v>6</v>
      </c>
      <c r="K423">
        <v>2</v>
      </c>
      <c r="L423">
        <v>6</v>
      </c>
      <c r="M423">
        <v>516216.21621621598</v>
      </c>
      <c r="N423">
        <v>67567.567567567996</v>
      </c>
      <c r="O423">
        <v>1685810.8108108109</v>
      </c>
      <c r="P423">
        <v>1850162.1621621619</v>
      </c>
      <c r="Q423">
        <v>349099.099099099</v>
      </c>
      <c r="R423">
        <v>252252.25225225199</v>
      </c>
      <c r="S423">
        <v>752</v>
      </c>
      <c r="T423">
        <v>773</v>
      </c>
    </row>
    <row r="424" spans="1:20" x14ac:dyDescent="0.35">
      <c r="A424" s="7" t="s">
        <v>518</v>
      </c>
      <c r="B424" s="12" t="s">
        <v>448</v>
      </c>
      <c r="C424">
        <v>13951264.663564688</v>
      </c>
      <c r="D424">
        <v>13650255.81944094</v>
      </c>
      <c r="E424">
        <v>21621.621621621001</v>
      </c>
      <c r="F424">
        <v>81081.081081081997</v>
      </c>
      <c r="G424">
        <v>6</v>
      </c>
      <c r="H424">
        <v>1</v>
      </c>
      <c r="K424">
        <v>7</v>
      </c>
      <c r="L424">
        <v>2</v>
      </c>
      <c r="M424">
        <v>291891.89189189102</v>
      </c>
      <c r="N424">
        <v>618018.01801801706</v>
      </c>
      <c r="O424">
        <v>4733783.7837837832</v>
      </c>
      <c r="P424">
        <v>4383243.2432432426</v>
      </c>
      <c r="Q424">
        <v>372342.34234234202</v>
      </c>
      <c r="R424">
        <v>710360.36036035896</v>
      </c>
      <c r="S424">
        <v>1807</v>
      </c>
      <c r="T424">
        <v>1709</v>
      </c>
    </row>
    <row r="425" spans="1:20" x14ac:dyDescent="0.35">
      <c r="A425" s="7" t="s">
        <v>519</v>
      </c>
      <c r="B425" s="12" t="s">
        <v>85</v>
      </c>
      <c r="C425">
        <v>41644279.637184307</v>
      </c>
      <c r="D425">
        <v>41488499.397276454</v>
      </c>
      <c r="E425">
        <v>6306.3063063070003</v>
      </c>
      <c r="F425">
        <v>216216.216216217</v>
      </c>
      <c r="G425">
        <v>14</v>
      </c>
      <c r="H425">
        <v>3</v>
      </c>
      <c r="K425">
        <v>17</v>
      </c>
      <c r="L425">
        <v>10</v>
      </c>
      <c r="M425">
        <v>4222522.5225225221</v>
      </c>
      <c r="N425">
        <v>10135135.135135137</v>
      </c>
      <c r="O425">
        <v>9317297.2972972952</v>
      </c>
      <c r="P425">
        <v>10122738.738738738</v>
      </c>
      <c r="Q425">
        <v>2459099.0990990978</v>
      </c>
      <c r="R425">
        <v>13629772.972972972</v>
      </c>
      <c r="S425">
        <v>4220</v>
      </c>
      <c r="T425">
        <v>4046</v>
      </c>
    </row>
    <row r="426" spans="1:20" x14ac:dyDescent="0.35">
      <c r="A426" s="7" t="s">
        <v>520</v>
      </c>
      <c r="B426" s="12" t="s">
        <v>304</v>
      </c>
      <c r="C426">
        <v>21733727.095590096</v>
      </c>
      <c r="D426">
        <v>23055624.183785398</v>
      </c>
      <c r="F426">
        <v>17117.117117116999</v>
      </c>
      <c r="G426">
        <v>1</v>
      </c>
      <c r="H426">
        <v>1</v>
      </c>
      <c r="K426">
        <v>1</v>
      </c>
      <c r="L426">
        <v>1</v>
      </c>
      <c r="M426">
        <v>2666666.666666666</v>
      </c>
      <c r="N426">
        <v>1819819.8198198201</v>
      </c>
      <c r="O426">
        <v>3342927.927927928</v>
      </c>
      <c r="P426">
        <v>3989225.2252252242</v>
      </c>
      <c r="Q426">
        <v>718288.28828828805</v>
      </c>
      <c r="R426">
        <v>296396.39639639598</v>
      </c>
      <c r="S426">
        <v>1484</v>
      </c>
      <c r="T426">
        <v>1347</v>
      </c>
    </row>
    <row r="427" spans="1:20" x14ac:dyDescent="0.35">
      <c r="A427" s="7" t="s">
        <v>521</v>
      </c>
      <c r="B427" s="12" t="s">
        <v>399</v>
      </c>
      <c r="C427">
        <v>162709711.05294847</v>
      </c>
      <c r="D427">
        <v>154934573.83410415</v>
      </c>
      <c r="E427">
        <v>398378.37837837997</v>
      </c>
      <c r="F427">
        <v>1548648.6486486529</v>
      </c>
      <c r="G427">
        <v>28</v>
      </c>
      <c r="H427">
        <v>24</v>
      </c>
      <c r="K427">
        <v>35</v>
      </c>
      <c r="L427">
        <v>100</v>
      </c>
      <c r="M427">
        <v>29617747.747747745</v>
      </c>
      <c r="N427">
        <v>21083783.783783782</v>
      </c>
      <c r="O427">
        <v>34832837.837837838</v>
      </c>
      <c r="P427">
        <v>37060855.855855852</v>
      </c>
      <c r="Q427">
        <v>18768648.648648649</v>
      </c>
      <c r="R427">
        <v>20600630.630630631</v>
      </c>
      <c r="S427">
        <v>13667</v>
      </c>
      <c r="T427">
        <v>13700</v>
      </c>
    </row>
    <row r="428" spans="1:20" x14ac:dyDescent="0.35">
      <c r="A428" s="7" t="s">
        <v>522</v>
      </c>
      <c r="B428" s="12" t="s">
        <v>143</v>
      </c>
      <c r="C428">
        <v>48767645.066931106</v>
      </c>
      <c r="D428">
        <v>44672381.290169023</v>
      </c>
      <c r="E428">
        <v>900.900900901</v>
      </c>
      <c r="F428">
        <v>121621.621621623</v>
      </c>
      <c r="G428">
        <v>8</v>
      </c>
      <c r="H428">
        <v>11</v>
      </c>
      <c r="K428">
        <v>9</v>
      </c>
      <c r="L428">
        <v>12</v>
      </c>
      <c r="M428">
        <v>2289189.1891891891</v>
      </c>
      <c r="N428">
        <v>3725225.225225226</v>
      </c>
      <c r="O428">
        <v>5347792.7927927924</v>
      </c>
      <c r="P428">
        <v>5064684.6846846854</v>
      </c>
      <c r="Q428">
        <v>3155495.4954954949</v>
      </c>
      <c r="R428">
        <v>2074594.594594595</v>
      </c>
      <c r="S428">
        <v>3015</v>
      </c>
      <c r="T428">
        <v>2968</v>
      </c>
    </row>
    <row r="429" spans="1:20" x14ac:dyDescent="0.35">
      <c r="A429" s="7" t="s">
        <v>523</v>
      </c>
      <c r="B429" s="12" t="s">
        <v>66</v>
      </c>
      <c r="C429">
        <v>28944087.937805422</v>
      </c>
      <c r="D429">
        <v>28864550.687457733</v>
      </c>
      <c r="E429">
        <v>31171.171171172002</v>
      </c>
      <c r="F429">
        <v>353153.15315315401</v>
      </c>
      <c r="G429">
        <v>2</v>
      </c>
      <c r="H429">
        <v>3</v>
      </c>
      <c r="I429">
        <v>1</v>
      </c>
      <c r="K429">
        <v>2</v>
      </c>
      <c r="L429">
        <v>4</v>
      </c>
      <c r="M429">
        <v>2542522.5225225179</v>
      </c>
      <c r="N429">
        <v>5027027.0270270295</v>
      </c>
      <c r="O429">
        <v>15186666.666666666</v>
      </c>
      <c r="P429">
        <v>13473765.765765766</v>
      </c>
      <c r="Q429">
        <v>3412612.6126126102</v>
      </c>
      <c r="R429">
        <v>5116396.3963963976</v>
      </c>
      <c r="S429">
        <v>3792</v>
      </c>
      <c r="T429">
        <v>3668</v>
      </c>
    </row>
    <row r="430" spans="1:20" x14ac:dyDescent="0.35">
      <c r="A430" s="7" t="s">
        <v>524</v>
      </c>
      <c r="B430" s="12" t="s">
        <v>220</v>
      </c>
      <c r="C430">
        <v>39649005.920953989</v>
      </c>
      <c r="D430">
        <v>38780358.068713322</v>
      </c>
      <c r="E430">
        <v>3603.603603604</v>
      </c>
      <c r="F430">
        <v>373873.87387387402</v>
      </c>
      <c r="G430">
        <v>7</v>
      </c>
      <c r="H430">
        <v>6</v>
      </c>
      <c r="K430">
        <v>13</v>
      </c>
      <c r="L430">
        <v>6</v>
      </c>
      <c r="M430">
        <v>3511711.7117117099</v>
      </c>
      <c r="N430">
        <v>824324.32432432496</v>
      </c>
      <c r="O430">
        <v>9315126.1261261255</v>
      </c>
      <c r="P430">
        <v>9401576.5765765756</v>
      </c>
      <c r="Q430">
        <v>1875495.495495494</v>
      </c>
      <c r="R430">
        <v>1174234.234234235</v>
      </c>
      <c r="S430">
        <v>4399</v>
      </c>
      <c r="T430">
        <v>4324</v>
      </c>
    </row>
    <row r="431" spans="1:20" x14ac:dyDescent="0.35">
      <c r="A431" s="7" t="s">
        <v>525</v>
      </c>
      <c r="B431" s="12" t="s">
        <v>413</v>
      </c>
      <c r="C431">
        <v>425727483.36906099</v>
      </c>
      <c r="D431">
        <v>409455398.01475316</v>
      </c>
      <c r="E431">
        <v>30274872.972972974</v>
      </c>
      <c r="F431">
        <v>2299045.0450450522</v>
      </c>
      <c r="G431">
        <v>32</v>
      </c>
      <c r="H431">
        <v>34</v>
      </c>
      <c r="K431">
        <v>56</v>
      </c>
      <c r="L431">
        <v>66</v>
      </c>
      <c r="M431">
        <v>48062792.79279279</v>
      </c>
      <c r="N431">
        <v>23730090.090090096</v>
      </c>
      <c r="O431">
        <v>118690468.46846846</v>
      </c>
      <c r="P431">
        <v>117808144.14414415</v>
      </c>
      <c r="Q431">
        <v>35179639.639639638</v>
      </c>
      <c r="R431">
        <v>25755045.045045052</v>
      </c>
      <c r="S431">
        <v>32157</v>
      </c>
      <c r="T431">
        <v>35613</v>
      </c>
    </row>
    <row r="432" spans="1:20" x14ac:dyDescent="0.35">
      <c r="A432" s="7" t="s">
        <v>526</v>
      </c>
      <c r="B432" s="12" t="s">
        <v>413</v>
      </c>
      <c r="C432">
        <v>51334691.201714814</v>
      </c>
      <c r="D432">
        <v>46549654.621914767</v>
      </c>
      <c r="E432">
        <v>8108.1081081080001</v>
      </c>
      <c r="F432">
        <v>26351.351351351001</v>
      </c>
      <c r="G432">
        <v>12</v>
      </c>
      <c r="H432">
        <v>1</v>
      </c>
      <c r="K432">
        <v>12</v>
      </c>
      <c r="L432">
        <v>2</v>
      </c>
      <c r="M432">
        <v>2395855.8558558552</v>
      </c>
      <c r="N432">
        <v>2647207.207207208</v>
      </c>
      <c r="O432">
        <v>13611657.657657659</v>
      </c>
      <c r="P432">
        <v>15082261.26126126</v>
      </c>
      <c r="Q432">
        <v>1700810.8108108109</v>
      </c>
      <c r="R432">
        <v>2285405.405405405</v>
      </c>
      <c r="S432">
        <v>4722</v>
      </c>
      <c r="T432">
        <v>4347</v>
      </c>
    </row>
    <row r="433" spans="1:20" x14ac:dyDescent="0.35">
      <c r="A433" s="7" t="s">
        <v>661</v>
      </c>
      <c r="B433" s="12" t="s">
        <v>189</v>
      </c>
      <c r="C433">
        <v>670573.51491567097</v>
      </c>
      <c r="O433">
        <v>79729.729729729996</v>
      </c>
      <c r="S433">
        <v>121</v>
      </c>
    </row>
    <row r="434" spans="1:20" x14ac:dyDescent="0.35">
      <c r="A434" s="7" t="s">
        <v>527</v>
      </c>
      <c r="B434" s="12" t="s">
        <v>147</v>
      </c>
      <c r="C434">
        <v>102896579.96838959</v>
      </c>
      <c r="D434">
        <v>96931231.59976159</v>
      </c>
      <c r="E434">
        <v>281081.08108108101</v>
      </c>
      <c r="F434">
        <v>1713738.7387387389</v>
      </c>
      <c r="G434">
        <v>9</v>
      </c>
      <c r="H434">
        <v>13</v>
      </c>
      <c r="K434">
        <v>11</v>
      </c>
      <c r="L434">
        <v>53</v>
      </c>
      <c r="M434">
        <v>1668468.4684684679</v>
      </c>
      <c r="N434">
        <v>10278558.558558555</v>
      </c>
      <c r="O434">
        <v>33154990.990990993</v>
      </c>
      <c r="P434">
        <v>34009070.270270273</v>
      </c>
      <c r="Q434">
        <v>5694504.5045045028</v>
      </c>
      <c r="R434">
        <v>11590360.36036036</v>
      </c>
      <c r="S434">
        <v>10011</v>
      </c>
      <c r="T434">
        <v>10455</v>
      </c>
    </row>
    <row r="435" spans="1:20" x14ac:dyDescent="0.35">
      <c r="A435" s="7" t="s">
        <v>528</v>
      </c>
      <c r="B435" s="12" t="s">
        <v>121</v>
      </c>
      <c r="C435">
        <v>10877795.36319866</v>
      </c>
      <c r="D435">
        <v>10770222.278184509</v>
      </c>
      <c r="E435">
        <v>6306.3063063059999</v>
      </c>
      <c r="F435">
        <v>139639.63963963999</v>
      </c>
      <c r="G435">
        <v>7</v>
      </c>
      <c r="H435">
        <v>4</v>
      </c>
      <c r="K435">
        <v>7</v>
      </c>
      <c r="L435">
        <v>4</v>
      </c>
      <c r="M435">
        <v>456756.75675675698</v>
      </c>
      <c r="N435">
        <v>1765765.7657657659</v>
      </c>
      <c r="O435">
        <v>1257927.927927928</v>
      </c>
      <c r="P435">
        <v>985797.29729729705</v>
      </c>
      <c r="Q435">
        <v>598288.28828828805</v>
      </c>
      <c r="R435">
        <v>691891.891891893</v>
      </c>
      <c r="S435">
        <v>956</v>
      </c>
      <c r="T435">
        <v>936</v>
      </c>
    </row>
    <row r="436" spans="1:20" x14ac:dyDescent="0.35">
      <c r="A436" s="7" t="s">
        <v>529</v>
      </c>
      <c r="B436" s="12" t="s">
        <v>448</v>
      </c>
      <c r="C436">
        <v>31356462.366800059</v>
      </c>
      <c r="D436">
        <v>16791016.841438632</v>
      </c>
      <c r="E436">
        <v>903783.78378378402</v>
      </c>
      <c r="G436">
        <v>20</v>
      </c>
      <c r="H436">
        <v>4</v>
      </c>
      <c r="K436">
        <v>20</v>
      </c>
      <c r="L436">
        <v>4</v>
      </c>
      <c r="M436">
        <v>1672702.7027027039</v>
      </c>
      <c r="N436">
        <v>156756.75675675599</v>
      </c>
      <c r="O436">
        <v>12953360.36036036</v>
      </c>
      <c r="P436">
        <v>8858513.5135135129</v>
      </c>
      <c r="Q436">
        <v>1710810.8108108109</v>
      </c>
      <c r="R436">
        <v>182972.972972972</v>
      </c>
      <c r="S436">
        <v>2683</v>
      </c>
      <c r="T436">
        <v>2283</v>
      </c>
    </row>
    <row r="437" spans="1:20" x14ac:dyDescent="0.35">
      <c r="A437" s="7" t="s">
        <v>530</v>
      </c>
      <c r="B437" s="12" t="s">
        <v>448</v>
      </c>
      <c r="C437">
        <v>45871783.353748053</v>
      </c>
      <c r="D437">
        <v>44616634.276717409</v>
      </c>
      <c r="E437">
        <v>29729.729729729999</v>
      </c>
      <c r="F437">
        <v>202702.70270270301</v>
      </c>
      <c r="G437">
        <v>16</v>
      </c>
      <c r="H437">
        <v>13</v>
      </c>
      <c r="K437">
        <v>17</v>
      </c>
      <c r="L437">
        <v>17</v>
      </c>
      <c r="M437">
        <v>1875225.2252252239</v>
      </c>
      <c r="N437">
        <v>1659909.9099099089</v>
      </c>
      <c r="O437">
        <v>21379009.009009007</v>
      </c>
      <c r="P437">
        <v>20552162.162162159</v>
      </c>
      <c r="Q437">
        <v>3519189.1891891868</v>
      </c>
      <c r="R437">
        <v>2224864.8648648639</v>
      </c>
      <c r="S437">
        <v>5155</v>
      </c>
      <c r="T437">
        <v>5058</v>
      </c>
    </row>
    <row r="438" spans="1:20" x14ac:dyDescent="0.35">
      <c r="A438" s="7" t="s">
        <v>531</v>
      </c>
      <c r="B438" s="12" t="s">
        <v>123</v>
      </c>
      <c r="C438">
        <v>117025993.52701937</v>
      </c>
      <c r="D438">
        <v>120715417.95030327</v>
      </c>
      <c r="E438">
        <v>44135995.495495498</v>
      </c>
      <c r="F438">
        <v>74846513.51351352</v>
      </c>
      <c r="G438">
        <v>25</v>
      </c>
      <c r="H438">
        <v>49</v>
      </c>
      <c r="I438">
        <v>1</v>
      </c>
      <c r="K438">
        <v>40</v>
      </c>
      <c r="L438">
        <v>84</v>
      </c>
      <c r="M438">
        <v>20941621.621621624</v>
      </c>
      <c r="N438">
        <v>49771621.621621624</v>
      </c>
      <c r="O438">
        <v>40651372.072072074</v>
      </c>
      <c r="P438">
        <v>42027463.963963971</v>
      </c>
      <c r="Q438">
        <v>25545855.855855856</v>
      </c>
      <c r="R438">
        <v>50433873.873873875</v>
      </c>
      <c r="S438">
        <v>11496</v>
      </c>
      <c r="T438">
        <v>11302</v>
      </c>
    </row>
    <row r="439" spans="1:20" x14ac:dyDescent="0.35">
      <c r="A439" s="7" t="s">
        <v>532</v>
      </c>
      <c r="B439" s="12" t="s">
        <v>85</v>
      </c>
      <c r="C439">
        <v>38402128.007078312</v>
      </c>
      <c r="D439">
        <v>37975227.892892808</v>
      </c>
      <c r="E439">
        <v>276576.57657657698</v>
      </c>
      <c r="F439">
        <v>40540.540540540998</v>
      </c>
      <c r="G439">
        <v>6</v>
      </c>
      <c r="H439">
        <v>3</v>
      </c>
      <c r="K439">
        <v>7</v>
      </c>
      <c r="L439">
        <v>35</v>
      </c>
      <c r="M439">
        <v>2528828.8288288289</v>
      </c>
      <c r="N439">
        <v>6123063.0630630637</v>
      </c>
      <c r="O439">
        <v>8123153.1531531541</v>
      </c>
      <c r="P439">
        <v>7596153.1531531531</v>
      </c>
      <c r="Q439">
        <v>3950630.630630631</v>
      </c>
      <c r="R439">
        <v>3155945.9459459451</v>
      </c>
      <c r="S439">
        <v>3624</v>
      </c>
      <c r="T439">
        <v>3843</v>
      </c>
    </row>
    <row r="440" spans="1:20" x14ac:dyDescent="0.35">
      <c r="A440" s="7" t="s">
        <v>9</v>
      </c>
      <c r="B440" s="12" t="s">
        <v>158</v>
      </c>
      <c r="C440">
        <v>97703732.420399234</v>
      </c>
      <c r="D440">
        <v>90678997.334618971</v>
      </c>
      <c r="E440">
        <v>954414.41441441502</v>
      </c>
      <c r="F440">
        <v>543243.24324324401</v>
      </c>
      <c r="G440">
        <v>16</v>
      </c>
      <c r="H440">
        <v>14</v>
      </c>
      <c r="I440">
        <v>1</v>
      </c>
      <c r="K440">
        <v>17</v>
      </c>
      <c r="L440">
        <v>16</v>
      </c>
      <c r="M440">
        <v>186165225.22522521</v>
      </c>
      <c r="N440">
        <v>73327927.927927926</v>
      </c>
      <c r="O440">
        <v>33787747.747747749</v>
      </c>
      <c r="P440">
        <v>31868648.648648649</v>
      </c>
      <c r="Q440">
        <v>134258378.37837839</v>
      </c>
      <c r="R440">
        <v>74555495.495495483</v>
      </c>
      <c r="S440">
        <v>7423</v>
      </c>
      <c r="T440">
        <v>6853</v>
      </c>
    </row>
    <row r="441" spans="1:20" x14ac:dyDescent="0.35">
      <c r="A441" s="7" t="s">
        <v>533</v>
      </c>
      <c r="B441" s="12" t="s">
        <v>94</v>
      </c>
      <c r="C441">
        <v>92522525.736919194</v>
      </c>
      <c r="D441">
        <v>89229183.412572697</v>
      </c>
      <c r="E441">
        <v>8108.1081081089997</v>
      </c>
      <c r="F441">
        <v>230630.630630631</v>
      </c>
      <c r="G441">
        <v>8</v>
      </c>
      <c r="H441">
        <v>16</v>
      </c>
      <c r="K441">
        <v>13</v>
      </c>
      <c r="L441">
        <v>21</v>
      </c>
      <c r="M441">
        <v>9791891.8918918874</v>
      </c>
      <c r="N441">
        <v>6581981.9819819806</v>
      </c>
      <c r="O441">
        <v>9607477.4774774797</v>
      </c>
      <c r="P441">
        <v>11592873.873873873</v>
      </c>
      <c r="Q441">
        <v>6765315.3153153127</v>
      </c>
      <c r="R441">
        <v>6840090.0900900885</v>
      </c>
      <c r="S441">
        <v>6258</v>
      </c>
      <c r="T441">
        <v>5867</v>
      </c>
    </row>
    <row r="442" spans="1:20" x14ac:dyDescent="0.35">
      <c r="A442" s="7" t="s">
        <v>534</v>
      </c>
      <c r="B442" s="12" t="s">
        <v>304</v>
      </c>
      <c r="C442">
        <v>2949528.7364476728</v>
      </c>
      <c r="D442">
        <v>3214099.8347262968</v>
      </c>
      <c r="L442">
        <v>1</v>
      </c>
      <c r="O442">
        <v>174234.234234234</v>
      </c>
      <c r="P442">
        <v>434594.59459459502</v>
      </c>
      <c r="S442">
        <v>236</v>
      </c>
      <c r="T442">
        <v>427</v>
      </c>
    </row>
    <row r="443" spans="1:20" x14ac:dyDescent="0.35">
      <c r="A443" s="7" t="s">
        <v>535</v>
      </c>
      <c r="B443" s="12" t="s">
        <v>304</v>
      </c>
      <c r="C443">
        <v>41619158.567630991</v>
      </c>
      <c r="D443">
        <v>38502559.519256875</v>
      </c>
      <c r="E443">
        <v>2702.7027027029999</v>
      </c>
      <c r="F443">
        <v>238738.73873873899</v>
      </c>
      <c r="G443">
        <v>10</v>
      </c>
      <c r="H443">
        <v>5</v>
      </c>
      <c r="K443">
        <v>12</v>
      </c>
      <c r="L443">
        <v>6</v>
      </c>
      <c r="M443">
        <v>3020720.72072072</v>
      </c>
      <c r="N443">
        <v>4427927.927927928</v>
      </c>
      <c r="O443">
        <v>2917747.7477477472</v>
      </c>
      <c r="P443">
        <v>3983108.1081081079</v>
      </c>
      <c r="Q443">
        <v>1178378.378378378</v>
      </c>
      <c r="R443">
        <v>1825045.045045044</v>
      </c>
      <c r="S443">
        <v>2811</v>
      </c>
      <c r="T443">
        <v>2630</v>
      </c>
    </row>
    <row r="444" spans="1:20" x14ac:dyDescent="0.35">
      <c r="A444" s="7" t="s">
        <v>536</v>
      </c>
      <c r="B444" s="12" t="s">
        <v>85</v>
      </c>
      <c r="C444">
        <v>32498201.000938911</v>
      </c>
      <c r="D444">
        <v>32840189.206529655</v>
      </c>
      <c r="E444">
        <v>9909.9099099100004</v>
      </c>
      <c r="F444">
        <v>228828.828828831</v>
      </c>
      <c r="G444">
        <v>17</v>
      </c>
      <c r="H444">
        <v>12</v>
      </c>
      <c r="K444">
        <v>18</v>
      </c>
      <c r="L444">
        <v>17</v>
      </c>
      <c r="M444">
        <v>10100000</v>
      </c>
      <c r="N444">
        <v>8881441.441441441</v>
      </c>
      <c r="O444">
        <v>13591261.26126126</v>
      </c>
      <c r="P444">
        <v>14065396.396396397</v>
      </c>
      <c r="Q444">
        <v>7186756.7567567565</v>
      </c>
      <c r="R444">
        <v>8306846.8468468487</v>
      </c>
      <c r="S444">
        <v>3042</v>
      </c>
      <c r="T444">
        <v>3119</v>
      </c>
    </row>
    <row r="445" spans="1:20" x14ac:dyDescent="0.35">
      <c r="A445" s="7" t="s">
        <v>537</v>
      </c>
      <c r="B445" s="12" t="s">
        <v>448</v>
      </c>
      <c r="C445">
        <v>46416805.197426893</v>
      </c>
      <c r="D445">
        <v>45265686.756586656</v>
      </c>
      <c r="E445">
        <v>27669369.369369369</v>
      </c>
      <c r="F445">
        <v>123423.423423424</v>
      </c>
      <c r="G445">
        <v>29</v>
      </c>
      <c r="H445">
        <v>8</v>
      </c>
      <c r="K445">
        <v>34</v>
      </c>
      <c r="L445">
        <v>13</v>
      </c>
      <c r="M445">
        <v>2290540.5405405392</v>
      </c>
      <c r="N445">
        <v>941891.89189189195</v>
      </c>
      <c r="O445">
        <v>13080171.17117117</v>
      </c>
      <c r="P445">
        <v>12815646.846846847</v>
      </c>
      <c r="Q445">
        <v>2439189.1891891891</v>
      </c>
      <c r="R445">
        <v>1442972.972972973</v>
      </c>
      <c r="S445">
        <v>5084</v>
      </c>
      <c r="T445">
        <v>4982</v>
      </c>
    </row>
    <row r="446" spans="1:20" x14ac:dyDescent="0.35">
      <c r="A446" s="7" t="s">
        <v>538</v>
      </c>
      <c r="B446" s="12" t="s">
        <v>117</v>
      </c>
      <c r="C446">
        <v>103769796.97827984</v>
      </c>
      <c r="D446">
        <v>101827020.11123869</v>
      </c>
      <c r="E446">
        <v>197567.567567569</v>
      </c>
      <c r="F446">
        <v>1075675.6756756781</v>
      </c>
      <c r="G446">
        <v>21</v>
      </c>
      <c r="H446">
        <v>23</v>
      </c>
      <c r="K446">
        <v>26</v>
      </c>
      <c r="L446">
        <v>29</v>
      </c>
      <c r="M446">
        <v>20147837.837837838</v>
      </c>
      <c r="N446">
        <v>20466576.576576579</v>
      </c>
      <c r="O446">
        <v>53881441.441441447</v>
      </c>
      <c r="P446">
        <v>55776090.090090089</v>
      </c>
      <c r="Q446">
        <v>17636756.756756753</v>
      </c>
      <c r="R446">
        <v>16226216.21621622</v>
      </c>
      <c r="S446">
        <v>11274</v>
      </c>
      <c r="T446">
        <v>11220</v>
      </c>
    </row>
    <row r="447" spans="1:20" x14ac:dyDescent="0.35">
      <c r="A447" s="7" t="s">
        <v>539</v>
      </c>
      <c r="B447" s="12" t="s">
        <v>83</v>
      </c>
      <c r="C447">
        <v>340376069.5162251</v>
      </c>
      <c r="D447">
        <v>337953768.10621279</v>
      </c>
      <c r="E447">
        <v>748648.64864864899</v>
      </c>
      <c r="F447">
        <v>1433783.78378379</v>
      </c>
      <c r="G447">
        <v>37</v>
      </c>
      <c r="H447">
        <v>75</v>
      </c>
      <c r="K447">
        <v>42</v>
      </c>
      <c r="L447">
        <v>101</v>
      </c>
      <c r="M447">
        <v>19131081.081081077</v>
      </c>
      <c r="N447">
        <v>21299099.0990991</v>
      </c>
      <c r="O447">
        <v>30778783.783783782</v>
      </c>
      <c r="P447">
        <v>34776217.117117122</v>
      </c>
      <c r="Q447">
        <v>14688648.648648648</v>
      </c>
      <c r="R447">
        <v>17006709.909909911</v>
      </c>
      <c r="S447">
        <v>21513</v>
      </c>
      <c r="T447">
        <v>22128</v>
      </c>
    </row>
    <row r="448" spans="1:20" x14ac:dyDescent="0.35">
      <c r="A448" s="7" t="s">
        <v>540</v>
      </c>
      <c r="B448" s="12" t="s">
        <v>315</v>
      </c>
      <c r="C448">
        <v>39798046.926598608</v>
      </c>
      <c r="D448">
        <v>38015267.125947945</v>
      </c>
      <c r="E448">
        <v>4910336.9369369382</v>
      </c>
      <c r="F448">
        <v>2628354.0540540549</v>
      </c>
      <c r="G448">
        <v>5</v>
      </c>
      <c r="H448">
        <v>3</v>
      </c>
      <c r="K448">
        <v>7</v>
      </c>
      <c r="L448">
        <v>3</v>
      </c>
      <c r="M448">
        <v>32156306.306306306</v>
      </c>
      <c r="N448">
        <v>1041441.441441442</v>
      </c>
      <c r="O448">
        <v>7604684.6846846854</v>
      </c>
      <c r="P448">
        <v>7526126.1261261264</v>
      </c>
      <c r="Q448">
        <v>3630000.0000000009</v>
      </c>
      <c r="R448">
        <v>1109009.0090090099</v>
      </c>
      <c r="S448">
        <v>2441</v>
      </c>
      <c r="T448">
        <v>2656</v>
      </c>
    </row>
    <row r="449" spans="1:20" x14ac:dyDescent="0.35">
      <c r="A449" s="7" t="s">
        <v>541</v>
      </c>
      <c r="B449" s="12" t="s">
        <v>169</v>
      </c>
      <c r="C449">
        <v>285061153.41551083</v>
      </c>
      <c r="D449">
        <v>258182187.5641216</v>
      </c>
      <c r="E449">
        <v>487837.83783783799</v>
      </c>
      <c r="F449">
        <v>728828.82882883004</v>
      </c>
      <c r="G449">
        <v>24</v>
      </c>
      <c r="H449">
        <v>32</v>
      </c>
      <c r="K449">
        <v>25</v>
      </c>
      <c r="L449">
        <v>38</v>
      </c>
      <c r="M449">
        <v>15088918.918918924</v>
      </c>
      <c r="N449">
        <v>15945405.4054054</v>
      </c>
      <c r="O449">
        <v>100188270.27027027</v>
      </c>
      <c r="P449">
        <v>95891301.801801801</v>
      </c>
      <c r="Q449">
        <v>12951351.351351354</v>
      </c>
      <c r="R449">
        <v>18930540.540540535</v>
      </c>
      <c r="S449">
        <v>21681</v>
      </c>
      <c r="T449">
        <v>21322</v>
      </c>
    </row>
    <row r="450" spans="1:20" x14ac:dyDescent="0.35">
      <c r="A450" s="7" t="s">
        <v>542</v>
      </c>
      <c r="B450" s="12" t="s">
        <v>479</v>
      </c>
      <c r="C450">
        <v>87888936.557278797</v>
      </c>
      <c r="D450">
        <v>85362964.539915219</v>
      </c>
      <c r="E450">
        <v>1036036.036036036</v>
      </c>
      <c r="F450">
        <v>27027.027027028002</v>
      </c>
      <c r="G450">
        <v>7</v>
      </c>
      <c r="H450">
        <v>3</v>
      </c>
      <c r="K450">
        <v>8</v>
      </c>
      <c r="L450">
        <v>6</v>
      </c>
      <c r="M450">
        <v>1072072.072072072</v>
      </c>
      <c r="N450">
        <v>27027.027027028002</v>
      </c>
      <c r="O450">
        <v>11185486.486486487</v>
      </c>
      <c r="P450">
        <v>9997792.7927927915</v>
      </c>
      <c r="Q450">
        <v>1040540.5405405411</v>
      </c>
      <c r="S450">
        <v>6532</v>
      </c>
      <c r="T450">
        <v>5429</v>
      </c>
    </row>
    <row r="451" spans="1:20" x14ac:dyDescent="0.35">
      <c r="A451" s="7" t="s">
        <v>543</v>
      </c>
      <c r="B451" s="12" t="s">
        <v>80</v>
      </c>
      <c r="C451">
        <v>23100649.470135026</v>
      </c>
      <c r="D451">
        <v>17522222.345874753</v>
      </c>
      <c r="E451">
        <v>30630.630630631</v>
      </c>
      <c r="F451">
        <v>36486.486486487003</v>
      </c>
      <c r="G451">
        <v>4</v>
      </c>
      <c r="H451">
        <v>5</v>
      </c>
      <c r="K451">
        <v>4</v>
      </c>
      <c r="L451">
        <v>5</v>
      </c>
      <c r="M451">
        <v>2598198.1981981979</v>
      </c>
      <c r="N451">
        <v>2840540.5405405401</v>
      </c>
      <c r="O451">
        <v>8132702.702702703</v>
      </c>
      <c r="P451">
        <v>6034648.6486486495</v>
      </c>
      <c r="Q451">
        <v>1711351.3513513501</v>
      </c>
      <c r="R451">
        <v>1802792.7927927929</v>
      </c>
      <c r="S451">
        <v>2322</v>
      </c>
      <c r="T451">
        <v>1330</v>
      </c>
    </row>
    <row r="452" spans="1:20" x14ac:dyDescent="0.35">
      <c r="A452" s="7" t="s">
        <v>544</v>
      </c>
      <c r="B452" s="12" t="s">
        <v>169</v>
      </c>
      <c r="C452">
        <v>19167704.877895821</v>
      </c>
      <c r="D452">
        <v>24389443.407342114</v>
      </c>
      <c r="F452">
        <v>270270.27027027</v>
      </c>
      <c r="G452">
        <v>1</v>
      </c>
      <c r="H452">
        <v>10</v>
      </c>
      <c r="K452">
        <v>2</v>
      </c>
      <c r="L452">
        <v>11</v>
      </c>
      <c r="M452">
        <v>1801801.801801801</v>
      </c>
      <c r="N452">
        <v>1171171.17117117</v>
      </c>
      <c r="O452">
        <v>9389944.1441441439</v>
      </c>
      <c r="P452">
        <v>11586720.72072072</v>
      </c>
      <c r="Q452">
        <v>493063.06306306302</v>
      </c>
      <c r="R452">
        <v>186486.48648648601</v>
      </c>
      <c r="S452">
        <v>2517</v>
      </c>
      <c r="T452">
        <v>2529</v>
      </c>
    </row>
    <row r="453" spans="1:20" x14ac:dyDescent="0.35">
      <c r="A453" s="7" t="s">
        <v>545</v>
      </c>
      <c r="B453" s="12" t="s">
        <v>224</v>
      </c>
      <c r="C453">
        <v>8175.6756756750001</v>
      </c>
      <c r="D453">
        <v>7.2257745230000001</v>
      </c>
    </row>
    <row r="454" spans="1:20" x14ac:dyDescent="0.35">
      <c r="A454" s="7" t="s">
        <v>546</v>
      </c>
      <c r="B454" s="12" t="s">
        <v>136</v>
      </c>
      <c r="C454">
        <v>57565213.843469545</v>
      </c>
      <c r="D454">
        <v>55280750.186404392</v>
      </c>
      <c r="E454">
        <v>257207.207207208</v>
      </c>
      <c r="F454">
        <v>234234.23423423601</v>
      </c>
      <c r="G454">
        <v>14</v>
      </c>
      <c r="H454">
        <v>12</v>
      </c>
      <c r="K454">
        <v>18</v>
      </c>
      <c r="L454">
        <v>17</v>
      </c>
      <c r="M454">
        <v>10239189.189189188</v>
      </c>
      <c r="N454">
        <v>10557657.657657657</v>
      </c>
      <c r="O454">
        <v>17636486.486486487</v>
      </c>
      <c r="P454">
        <v>18112061.261261258</v>
      </c>
      <c r="Q454">
        <v>9749189.1891891882</v>
      </c>
      <c r="R454">
        <v>11705495.495495496</v>
      </c>
      <c r="S454">
        <v>4385</v>
      </c>
      <c r="T454">
        <v>4372</v>
      </c>
    </row>
    <row r="455" spans="1:20" x14ac:dyDescent="0.35">
      <c r="A455" s="7" t="s">
        <v>547</v>
      </c>
      <c r="B455" s="12" t="s">
        <v>136</v>
      </c>
      <c r="C455">
        <v>102905269.79257773</v>
      </c>
      <c r="D455">
        <v>105662840.33446224</v>
      </c>
      <c r="E455">
        <v>30236962.162162162</v>
      </c>
      <c r="F455">
        <v>45661505.40540541</v>
      </c>
      <c r="G455">
        <v>31</v>
      </c>
      <c r="H455">
        <v>51</v>
      </c>
      <c r="K455">
        <v>41</v>
      </c>
      <c r="L455">
        <v>62</v>
      </c>
      <c r="M455">
        <v>25705855.855855852</v>
      </c>
      <c r="N455">
        <v>22398648.648648646</v>
      </c>
      <c r="O455">
        <v>30408124.324324325</v>
      </c>
      <c r="P455">
        <v>35171905.40540541</v>
      </c>
      <c r="Q455">
        <v>19765045.045045048</v>
      </c>
      <c r="R455">
        <v>21432072.072072074</v>
      </c>
      <c r="S455">
        <v>12430</v>
      </c>
      <c r="T455">
        <v>12994</v>
      </c>
    </row>
    <row r="456" spans="1:20" x14ac:dyDescent="0.35">
      <c r="A456" s="7" t="s">
        <v>675</v>
      </c>
      <c r="B456" s="12" t="s">
        <v>136</v>
      </c>
      <c r="E456">
        <v>8108108.1081081079</v>
      </c>
      <c r="N456">
        <v>27027.027027027001</v>
      </c>
    </row>
    <row r="457" spans="1:20" x14ac:dyDescent="0.35">
      <c r="A457" s="7" t="s">
        <v>548</v>
      </c>
      <c r="B457" s="12" t="s">
        <v>136</v>
      </c>
      <c r="C457">
        <v>116116790.20030381</v>
      </c>
      <c r="D457">
        <v>117414739.9867266</v>
      </c>
      <c r="E457">
        <v>497297.29729729699</v>
      </c>
      <c r="F457">
        <v>671171.17117117101</v>
      </c>
      <c r="G457">
        <v>17</v>
      </c>
      <c r="H457">
        <v>9</v>
      </c>
      <c r="K457">
        <v>19</v>
      </c>
      <c r="L457">
        <v>14</v>
      </c>
      <c r="M457">
        <v>5281081.0810810812</v>
      </c>
      <c r="N457">
        <v>4635135.1351351338</v>
      </c>
      <c r="O457">
        <v>17702423.423423424</v>
      </c>
      <c r="P457">
        <v>18416936.936936937</v>
      </c>
      <c r="Q457">
        <v>4152612.6126126121</v>
      </c>
      <c r="R457">
        <v>4808738.7387387389</v>
      </c>
      <c r="S457">
        <v>8012</v>
      </c>
      <c r="T457">
        <v>8890</v>
      </c>
    </row>
    <row r="458" spans="1:20" x14ac:dyDescent="0.35">
      <c r="A458" s="7" t="s">
        <v>549</v>
      </c>
      <c r="B458" s="12" t="s">
        <v>136</v>
      </c>
      <c r="C458">
        <v>55789372.238538109</v>
      </c>
      <c r="D458">
        <v>46793598.343805678</v>
      </c>
      <c r="E458">
        <v>4504.5045045050001</v>
      </c>
      <c r="F458">
        <v>40540.540540540998</v>
      </c>
      <c r="G458">
        <v>10</v>
      </c>
      <c r="H458">
        <v>6</v>
      </c>
      <c r="K458">
        <v>12</v>
      </c>
      <c r="L458">
        <v>8</v>
      </c>
      <c r="M458">
        <v>2707207.207207208</v>
      </c>
      <c r="N458">
        <v>5328828.8288288284</v>
      </c>
      <c r="O458">
        <v>9028198.1981981974</v>
      </c>
      <c r="P458">
        <v>8295306.3063063053</v>
      </c>
      <c r="Q458">
        <v>3472072.0720720729</v>
      </c>
      <c r="R458">
        <v>3382702.702702703</v>
      </c>
      <c r="S458">
        <v>3875</v>
      </c>
      <c r="T458">
        <v>3628</v>
      </c>
    </row>
    <row r="459" spans="1:20" x14ac:dyDescent="0.35">
      <c r="A459" s="7" t="s">
        <v>550</v>
      </c>
      <c r="B459" s="12" t="s">
        <v>87</v>
      </c>
      <c r="C459">
        <v>24604903.995896734</v>
      </c>
      <c r="D459">
        <v>19020939.74157732</v>
      </c>
      <c r="E459">
        <v>904504.50450450496</v>
      </c>
      <c r="F459">
        <v>27027.027027027001</v>
      </c>
      <c r="G459">
        <v>9</v>
      </c>
      <c r="H459">
        <v>2</v>
      </c>
      <c r="K459">
        <v>10</v>
      </c>
      <c r="L459">
        <v>5</v>
      </c>
      <c r="M459">
        <v>1625225.225225226</v>
      </c>
      <c r="N459">
        <v>1679279.2792792779</v>
      </c>
      <c r="O459">
        <v>4303819.8198198201</v>
      </c>
      <c r="P459">
        <v>2939090.0900900899</v>
      </c>
      <c r="Q459">
        <v>1540810.8108108109</v>
      </c>
      <c r="R459">
        <v>1182162.1621621619</v>
      </c>
      <c r="S459">
        <v>1412</v>
      </c>
      <c r="T459">
        <v>1351</v>
      </c>
    </row>
    <row r="460" spans="1:20" x14ac:dyDescent="0.35">
      <c r="A460" s="7" t="s">
        <v>551</v>
      </c>
      <c r="B460" s="12" t="s">
        <v>87</v>
      </c>
      <c r="C460">
        <v>34408923.526888855</v>
      </c>
      <c r="D460">
        <v>30488469.939539168</v>
      </c>
      <c r="E460">
        <v>1801.801801802</v>
      </c>
      <c r="F460">
        <v>67567.567567569</v>
      </c>
      <c r="G460">
        <v>20</v>
      </c>
      <c r="H460">
        <v>7</v>
      </c>
      <c r="I460">
        <v>1</v>
      </c>
      <c r="K460">
        <v>23</v>
      </c>
      <c r="L460">
        <v>13</v>
      </c>
      <c r="M460">
        <v>4686486.4864864862</v>
      </c>
      <c r="N460">
        <v>3361261.261261262</v>
      </c>
      <c r="O460">
        <v>3926531.5315315309</v>
      </c>
      <c r="P460">
        <v>3120142.3423423418</v>
      </c>
      <c r="Q460">
        <v>1673243.243243244</v>
      </c>
      <c r="R460">
        <v>1280270.2702702701</v>
      </c>
      <c r="S460">
        <v>2574</v>
      </c>
      <c r="T460">
        <v>2556</v>
      </c>
    </row>
    <row r="461" spans="1:20" x14ac:dyDescent="0.35">
      <c r="A461" s="7" t="s">
        <v>552</v>
      </c>
      <c r="B461" s="12" t="s">
        <v>66</v>
      </c>
      <c r="C461">
        <v>59043981.092186667</v>
      </c>
      <c r="D461">
        <v>57811285.825573586</v>
      </c>
      <c r="E461">
        <v>1133963.963963965</v>
      </c>
      <c r="F461">
        <v>722522.52252252295</v>
      </c>
      <c r="G461">
        <v>20</v>
      </c>
      <c r="H461">
        <v>15</v>
      </c>
      <c r="K461">
        <v>24</v>
      </c>
      <c r="L461">
        <v>25</v>
      </c>
      <c r="M461">
        <v>11389459.459459452</v>
      </c>
      <c r="N461">
        <v>19951801.801801801</v>
      </c>
      <c r="O461">
        <v>24944108.108108107</v>
      </c>
      <c r="P461">
        <v>24238342.342342343</v>
      </c>
      <c r="Q461">
        <v>9149999.9999999963</v>
      </c>
      <c r="R461">
        <v>18086396.396396391</v>
      </c>
      <c r="S461">
        <v>8744</v>
      </c>
      <c r="T461">
        <v>8961</v>
      </c>
    </row>
    <row r="462" spans="1:20" x14ac:dyDescent="0.35">
      <c r="A462" s="7" t="s">
        <v>553</v>
      </c>
      <c r="B462" s="12" t="s">
        <v>554</v>
      </c>
      <c r="C462">
        <v>126431028.00159512</v>
      </c>
      <c r="D462">
        <v>111644968.06402645</v>
      </c>
      <c r="E462">
        <v>1545588.288288289</v>
      </c>
      <c r="F462">
        <v>4767692.7927927943</v>
      </c>
      <c r="G462">
        <v>27</v>
      </c>
      <c r="H462">
        <v>10</v>
      </c>
      <c r="K462">
        <v>34</v>
      </c>
      <c r="L462">
        <v>14</v>
      </c>
      <c r="M462">
        <v>12170450.450450446</v>
      </c>
      <c r="N462">
        <v>19946846.846846841</v>
      </c>
      <c r="O462">
        <v>32355045.045045044</v>
      </c>
      <c r="P462">
        <v>30055684.684684683</v>
      </c>
      <c r="Q462">
        <v>9514594.5945945885</v>
      </c>
      <c r="R462">
        <v>14780540.540540537</v>
      </c>
      <c r="S462">
        <v>9293</v>
      </c>
      <c r="T462">
        <v>9052</v>
      </c>
    </row>
    <row r="463" spans="1:20" x14ac:dyDescent="0.35">
      <c r="A463" s="7" t="s">
        <v>555</v>
      </c>
      <c r="B463" s="12" t="s">
        <v>554</v>
      </c>
      <c r="C463">
        <v>17751899.544853624</v>
      </c>
      <c r="D463">
        <v>16781061.787084363</v>
      </c>
      <c r="E463">
        <v>9009.0090090100002</v>
      </c>
      <c r="F463">
        <v>13513.513513514001</v>
      </c>
      <c r="G463">
        <v>9</v>
      </c>
      <c r="H463">
        <v>1</v>
      </c>
      <c r="K463">
        <v>9</v>
      </c>
      <c r="L463">
        <v>2</v>
      </c>
      <c r="M463">
        <v>641081.08108108002</v>
      </c>
      <c r="N463">
        <v>13513.513513514001</v>
      </c>
      <c r="O463">
        <v>6788423.4234234244</v>
      </c>
      <c r="P463">
        <v>5882882.8828828828</v>
      </c>
      <c r="Q463">
        <v>1154774.774774774</v>
      </c>
      <c r="R463">
        <v>1105405.405405405</v>
      </c>
      <c r="S463">
        <v>1570</v>
      </c>
      <c r="T463">
        <v>1522</v>
      </c>
    </row>
    <row r="464" spans="1:20" x14ac:dyDescent="0.35">
      <c r="A464" s="7" t="s">
        <v>556</v>
      </c>
      <c r="B464" s="12" t="s">
        <v>121</v>
      </c>
      <c r="C464">
        <v>14770447.791393051</v>
      </c>
      <c r="D464">
        <v>14350837.930964101</v>
      </c>
      <c r="F464">
        <v>180180.18018018</v>
      </c>
      <c r="G464">
        <v>4</v>
      </c>
      <c r="H464">
        <v>2</v>
      </c>
      <c r="K464">
        <v>5</v>
      </c>
      <c r="L464">
        <v>4</v>
      </c>
      <c r="N464">
        <v>180180.18018018</v>
      </c>
      <c r="O464">
        <v>739414.41441441502</v>
      </c>
      <c r="P464">
        <v>1438918.9189189191</v>
      </c>
      <c r="Q464">
        <v>92792.792792793</v>
      </c>
      <c r="S464">
        <v>1401</v>
      </c>
      <c r="T464">
        <v>1300</v>
      </c>
    </row>
    <row r="465" spans="1:20" x14ac:dyDescent="0.35">
      <c r="A465" s="7" t="s">
        <v>557</v>
      </c>
      <c r="B465" s="12" t="s">
        <v>70</v>
      </c>
      <c r="C465">
        <v>111809934.40185203</v>
      </c>
      <c r="D465">
        <v>112521753.74635068</v>
      </c>
      <c r="E465">
        <v>10161441.441441443</v>
      </c>
      <c r="F465">
        <v>1139639.6396396451</v>
      </c>
      <c r="G465">
        <v>26</v>
      </c>
      <c r="H465">
        <v>18</v>
      </c>
      <c r="K465">
        <v>27</v>
      </c>
      <c r="L465">
        <v>23</v>
      </c>
      <c r="M465">
        <v>11701306.306306312</v>
      </c>
      <c r="N465">
        <v>33326351.351351354</v>
      </c>
      <c r="O465">
        <v>45034405.40540541</v>
      </c>
      <c r="P465">
        <v>44155828.828828834</v>
      </c>
      <c r="Q465">
        <v>16837657.657657661</v>
      </c>
      <c r="R465">
        <v>15270090.090090092</v>
      </c>
      <c r="S465">
        <v>10412</v>
      </c>
      <c r="T465">
        <v>10246</v>
      </c>
    </row>
    <row r="466" spans="1:20" x14ac:dyDescent="0.35">
      <c r="A466" s="7" t="s">
        <v>558</v>
      </c>
      <c r="B466" s="12" t="s">
        <v>62</v>
      </c>
      <c r="C466">
        <v>203690654.7987366</v>
      </c>
      <c r="D466">
        <v>202412952.04210439</v>
      </c>
      <c r="E466">
        <v>2279729.7297297311</v>
      </c>
      <c r="F466">
        <v>2218018.0180180222</v>
      </c>
      <c r="G466">
        <v>46</v>
      </c>
      <c r="H466">
        <v>51</v>
      </c>
      <c r="K466">
        <v>56</v>
      </c>
      <c r="L466">
        <v>90</v>
      </c>
      <c r="M466">
        <v>19729459.459459458</v>
      </c>
      <c r="N466">
        <v>14044324.324324315</v>
      </c>
      <c r="O466">
        <v>45972072.072072074</v>
      </c>
      <c r="P466">
        <v>43813319.819819823</v>
      </c>
      <c r="Q466">
        <v>14632072.072072068</v>
      </c>
      <c r="R466">
        <v>13034954.954954948</v>
      </c>
      <c r="S466">
        <v>17995</v>
      </c>
      <c r="T466">
        <v>18374</v>
      </c>
    </row>
    <row r="467" spans="1:20" x14ac:dyDescent="0.35">
      <c r="A467" s="7" t="s">
        <v>559</v>
      </c>
      <c r="B467" s="12" t="s">
        <v>479</v>
      </c>
      <c r="C467">
        <v>103755262.67189029</v>
      </c>
      <c r="D467">
        <v>93425595.204081953</v>
      </c>
      <c r="E467">
        <v>38738.738738740998</v>
      </c>
      <c r="F467">
        <v>514414.41441441898</v>
      </c>
      <c r="G467">
        <v>48</v>
      </c>
      <c r="H467">
        <v>22</v>
      </c>
      <c r="K467">
        <v>51</v>
      </c>
      <c r="L467">
        <v>29</v>
      </c>
      <c r="M467">
        <v>12125225.225225229</v>
      </c>
      <c r="N467">
        <v>11096396.3963964</v>
      </c>
      <c r="O467">
        <v>29562144.144144144</v>
      </c>
      <c r="P467">
        <v>27146711.711711712</v>
      </c>
      <c r="Q467">
        <v>11094234.234234232</v>
      </c>
      <c r="R467">
        <v>8409549.5495495517</v>
      </c>
      <c r="S467">
        <v>7910</v>
      </c>
      <c r="T467">
        <v>9469</v>
      </c>
    </row>
    <row r="468" spans="1:20" x14ac:dyDescent="0.35">
      <c r="A468" s="7" t="s">
        <v>560</v>
      </c>
      <c r="B468" s="12" t="s">
        <v>236</v>
      </c>
      <c r="C468">
        <v>15299594.855850171</v>
      </c>
      <c r="D468">
        <v>15610085.160222968</v>
      </c>
      <c r="E468">
        <v>5405.4054054059998</v>
      </c>
      <c r="F468">
        <v>27027.027027028002</v>
      </c>
      <c r="G468">
        <v>2</v>
      </c>
      <c r="H468">
        <v>4</v>
      </c>
      <c r="K468">
        <v>4</v>
      </c>
      <c r="L468">
        <v>5</v>
      </c>
      <c r="M468">
        <v>2588288.2882882869</v>
      </c>
      <c r="N468">
        <v>477477.47747747798</v>
      </c>
      <c r="O468">
        <v>5491981.9819819815</v>
      </c>
      <c r="P468">
        <v>5628828.8288288293</v>
      </c>
      <c r="Q468">
        <v>1952612.6126126121</v>
      </c>
      <c r="R468">
        <v>359369.36936936999</v>
      </c>
      <c r="S468">
        <v>2117</v>
      </c>
      <c r="T468">
        <v>2316</v>
      </c>
    </row>
    <row r="469" spans="1:20" x14ac:dyDescent="0.35">
      <c r="A469" s="7" t="s">
        <v>561</v>
      </c>
      <c r="B469" s="12" t="s">
        <v>60</v>
      </c>
      <c r="C469">
        <v>16025294.113551171</v>
      </c>
      <c r="D469">
        <v>15904328.532486007</v>
      </c>
      <c r="E469">
        <v>11261.261261262</v>
      </c>
      <c r="F469">
        <v>275675.67567567702</v>
      </c>
      <c r="G469">
        <v>4</v>
      </c>
      <c r="H469">
        <v>10</v>
      </c>
      <c r="K469">
        <v>5</v>
      </c>
      <c r="L469">
        <v>12</v>
      </c>
      <c r="M469">
        <v>3840090.0900900909</v>
      </c>
      <c r="N469">
        <v>5320720.7207207214</v>
      </c>
      <c r="O469">
        <v>5919324.3243243238</v>
      </c>
      <c r="P469">
        <v>6117954.9549549557</v>
      </c>
      <c r="Q469">
        <v>2796576.5765765761</v>
      </c>
      <c r="R469">
        <v>5763423.4234234244</v>
      </c>
      <c r="S469">
        <v>1241</v>
      </c>
      <c r="T469">
        <v>1222</v>
      </c>
    </row>
    <row r="470" spans="1:20" x14ac:dyDescent="0.35">
      <c r="A470" s="7" t="s">
        <v>562</v>
      </c>
      <c r="B470" s="12" t="s">
        <v>563</v>
      </c>
      <c r="C470">
        <v>80727822.653609589</v>
      </c>
      <c r="D470">
        <v>83589505.584092796</v>
      </c>
      <c r="E470">
        <v>932571.17117117206</v>
      </c>
      <c r="F470">
        <v>74943588.288288295</v>
      </c>
      <c r="G470">
        <v>31</v>
      </c>
      <c r="H470">
        <v>22</v>
      </c>
      <c r="K470">
        <v>44</v>
      </c>
      <c r="L470">
        <v>34</v>
      </c>
      <c r="M470">
        <v>31552927.927927926</v>
      </c>
      <c r="N470">
        <v>16575225.225225229</v>
      </c>
      <c r="O470">
        <v>32919549.54954955</v>
      </c>
      <c r="P470">
        <v>36569756.75675676</v>
      </c>
      <c r="Q470">
        <v>44718596.396396399</v>
      </c>
      <c r="R470">
        <v>68896389.189189196</v>
      </c>
      <c r="S470">
        <v>9447</v>
      </c>
      <c r="T470">
        <v>8688</v>
      </c>
    </row>
    <row r="471" spans="1:20" x14ac:dyDescent="0.35">
      <c r="A471" s="7" t="s">
        <v>564</v>
      </c>
      <c r="B471" s="12" t="s">
        <v>563</v>
      </c>
      <c r="C471">
        <v>120541445.05263692</v>
      </c>
      <c r="D471">
        <v>111382337.36533552</v>
      </c>
      <c r="E471">
        <v>312522.52252252202</v>
      </c>
      <c r="F471">
        <v>399099.09909910301</v>
      </c>
      <c r="G471">
        <v>18</v>
      </c>
      <c r="H471">
        <v>15</v>
      </c>
      <c r="K471">
        <v>26</v>
      </c>
      <c r="L471">
        <v>21</v>
      </c>
      <c r="M471">
        <v>10915315.315315319</v>
      </c>
      <c r="N471">
        <v>6846846.8468468506</v>
      </c>
      <c r="O471">
        <v>47906981.981981978</v>
      </c>
      <c r="P471">
        <v>45405261.261261262</v>
      </c>
      <c r="Q471">
        <v>10861171.171171175</v>
      </c>
      <c r="R471">
        <v>8537927.9279279318</v>
      </c>
      <c r="S471">
        <v>12160</v>
      </c>
      <c r="T471">
        <v>12852</v>
      </c>
    </row>
    <row r="472" spans="1:20" x14ac:dyDescent="0.35">
      <c r="A472" s="7" t="s">
        <v>565</v>
      </c>
      <c r="B472" s="12" t="s">
        <v>563</v>
      </c>
      <c r="C472">
        <v>79682495.55601193</v>
      </c>
      <c r="D472">
        <v>83201604.941992506</v>
      </c>
      <c r="E472">
        <v>28828.828828829999</v>
      </c>
      <c r="F472">
        <v>2214414.4144144179</v>
      </c>
      <c r="G472">
        <v>23</v>
      </c>
      <c r="H472">
        <v>16</v>
      </c>
      <c r="K472">
        <v>37</v>
      </c>
      <c r="L472">
        <v>225</v>
      </c>
      <c r="M472">
        <v>9618468.4684684649</v>
      </c>
      <c r="N472">
        <v>12920270.270270273</v>
      </c>
      <c r="O472">
        <v>34316117.117117122</v>
      </c>
      <c r="P472">
        <v>41188198.198198199</v>
      </c>
      <c r="Q472">
        <v>12045495.495495493</v>
      </c>
      <c r="R472">
        <v>8027657.6576576633</v>
      </c>
      <c r="S472">
        <v>11149</v>
      </c>
      <c r="T472">
        <v>11598</v>
      </c>
    </row>
    <row r="473" spans="1:20" x14ac:dyDescent="0.35">
      <c r="A473" s="7" t="s">
        <v>566</v>
      </c>
      <c r="B473" s="12" t="s">
        <v>563</v>
      </c>
      <c r="C473">
        <v>53849563.482264146</v>
      </c>
      <c r="D473">
        <v>59959730.965151586</v>
      </c>
      <c r="E473">
        <v>110810.810810811</v>
      </c>
      <c r="F473">
        <v>95495.495495494994</v>
      </c>
      <c r="G473">
        <v>12</v>
      </c>
      <c r="H473">
        <v>7</v>
      </c>
      <c r="K473">
        <v>12</v>
      </c>
      <c r="L473">
        <v>8</v>
      </c>
      <c r="M473">
        <v>11507567.567567566</v>
      </c>
      <c r="N473">
        <v>9528828.8288288303</v>
      </c>
      <c r="O473">
        <v>31180981.981981985</v>
      </c>
      <c r="P473">
        <v>34227567.567567565</v>
      </c>
      <c r="Q473">
        <v>10502972.972972972</v>
      </c>
      <c r="R473">
        <v>6867747.74774775</v>
      </c>
      <c r="S473">
        <v>6922</v>
      </c>
      <c r="T473">
        <v>6853</v>
      </c>
    </row>
    <row r="474" spans="1:20" x14ac:dyDescent="0.35">
      <c r="A474" s="7" t="s">
        <v>567</v>
      </c>
      <c r="B474" s="12" t="s">
        <v>563</v>
      </c>
      <c r="C474">
        <v>31823611.851341799</v>
      </c>
      <c r="D474">
        <v>32370187.712738659</v>
      </c>
      <c r="E474">
        <v>11450900.900900904</v>
      </c>
      <c r="F474">
        <v>376576.57657657802</v>
      </c>
      <c r="G474">
        <v>4</v>
      </c>
      <c r="H474">
        <v>2</v>
      </c>
      <c r="K474">
        <v>5</v>
      </c>
      <c r="L474">
        <v>10</v>
      </c>
      <c r="M474">
        <v>7748783.7837837832</v>
      </c>
      <c r="N474">
        <v>8303783.7837837851</v>
      </c>
      <c r="O474">
        <v>12823468.468468469</v>
      </c>
      <c r="P474">
        <v>13161846.846846849</v>
      </c>
      <c r="Q474">
        <v>7902297.297297298</v>
      </c>
      <c r="R474">
        <v>3440855.8558558561</v>
      </c>
      <c r="S474">
        <v>4507</v>
      </c>
      <c r="T474">
        <v>4763</v>
      </c>
    </row>
    <row r="475" spans="1:20" x14ac:dyDescent="0.35">
      <c r="A475" s="7" t="s">
        <v>568</v>
      </c>
      <c r="B475" s="12" t="s">
        <v>48</v>
      </c>
      <c r="C475">
        <v>77925119.981444463</v>
      </c>
      <c r="D475">
        <v>71167641.757548809</v>
      </c>
      <c r="E475">
        <v>2252.2522522519998</v>
      </c>
      <c r="F475">
        <v>284684.68468468502</v>
      </c>
      <c r="G475">
        <v>1</v>
      </c>
      <c r="H475">
        <v>3</v>
      </c>
      <c r="K475">
        <v>1</v>
      </c>
      <c r="L475">
        <v>3</v>
      </c>
      <c r="M475">
        <v>903153.15315315302</v>
      </c>
      <c r="N475">
        <v>1185585.585585586</v>
      </c>
      <c r="O475">
        <v>8371261.261261262</v>
      </c>
      <c r="P475">
        <v>7233648.6486486495</v>
      </c>
      <c r="Q475">
        <v>2390900.9009009008</v>
      </c>
      <c r="R475">
        <v>2116756.756756756</v>
      </c>
      <c r="S475">
        <v>6212</v>
      </c>
      <c r="T475">
        <v>5975</v>
      </c>
    </row>
    <row r="476" spans="1:20" x14ac:dyDescent="0.35">
      <c r="A476" s="7" t="s">
        <v>569</v>
      </c>
      <c r="B476" s="12" t="s">
        <v>169</v>
      </c>
      <c r="C476">
        <v>631457767.06735253</v>
      </c>
      <c r="D476">
        <v>676742153.99291492</v>
      </c>
      <c r="E476">
        <v>422926318.01801807</v>
      </c>
      <c r="F476">
        <v>17760334.234234236</v>
      </c>
      <c r="G476">
        <v>242</v>
      </c>
      <c r="H476">
        <v>336</v>
      </c>
      <c r="I476">
        <v>3</v>
      </c>
      <c r="K476">
        <v>312</v>
      </c>
      <c r="L476">
        <v>435</v>
      </c>
      <c r="M476">
        <v>145525315.31531534</v>
      </c>
      <c r="N476">
        <v>133215315.31531531</v>
      </c>
      <c r="O476">
        <v>216375027.02702704</v>
      </c>
      <c r="P476">
        <v>238963072.97297296</v>
      </c>
      <c r="Q476">
        <v>106272072.07207207</v>
      </c>
      <c r="R476">
        <v>133942115.31531531</v>
      </c>
      <c r="S476">
        <v>55791</v>
      </c>
      <c r="T476">
        <v>57096</v>
      </c>
    </row>
    <row r="477" spans="1:20" x14ac:dyDescent="0.35">
      <c r="A477" s="7" t="s">
        <v>570</v>
      </c>
      <c r="B477" s="12" t="s">
        <v>220</v>
      </c>
      <c r="C477">
        <v>66985832.21556776</v>
      </c>
      <c r="D477">
        <v>66317711.92377267</v>
      </c>
      <c r="E477">
        <v>289189.189189189</v>
      </c>
      <c r="F477">
        <v>288288.28828828997</v>
      </c>
      <c r="G477">
        <v>5</v>
      </c>
      <c r="H477">
        <v>8</v>
      </c>
      <c r="K477">
        <v>6</v>
      </c>
      <c r="L477">
        <v>9</v>
      </c>
      <c r="M477">
        <v>1636936.936936937</v>
      </c>
      <c r="N477">
        <v>3177117.1171171139</v>
      </c>
      <c r="O477">
        <v>10255711.711711712</v>
      </c>
      <c r="P477">
        <v>10267918.918918921</v>
      </c>
      <c r="Q477">
        <v>1867837.8378378381</v>
      </c>
      <c r="R477">
        <v>3420360.3603603551</v>
      </c>
      <c r="S477">
        <v>5086</v>
      </c>
      <c r="T477">
        <v>7259</v>
      </c>
    </row>
    <row r="478" spans="1:20" x14ac:dyDescent="0.35">
      <c r="A478" s="7" t="s">
        <v>571</v>
      </c>
      <c r="B478" s="12" t="s">
        <v>85</v>
      </c>
      <c r="C478">
        <v>78858074.69750537</v>
      </c>
      <c r="D478">
        <v>77425757.1962291</v>
      </c>
      <c r="E478">
        <v>9009.0090090089998</v>
      </c>
      <c r="F478">
        <v>184684.684684687</v>
      </c>
      <c r="G478">
        <v>10</v>
      </c>
      <c r="H478">
        <v>9</v>
      </c>
      <c r="K478">
        <v>12</v>
      </c>
      <c r="L478">
        <v>10</v>
      </c>
      <c r="M478">
        <v>1945945.9459459451</v>
      </c>
      <c r="N478">
        <v>6981981.9819819881</v>
      </c>
      <c r="O478">
        <v>16293108.108108109</v>
      </c>
      <c r="P478">
        <v>17578675.675675675</v>
      </c>
      <c r="Q478">
        <v>4515405.405405405</v>
      </c>
      <c r="R478">
        <v>6788198.198198203</v>
      </c>
      <c r="S478">
        <v>4998</v>
      </c>
      <c r="T478">
        <v>5030</v>
      </c>
    </row>
    <row r="479" spans="1:20" x14ac:dyDescent="0.35">
      <c r="A479" s="7" t="s">
        <v>572</v>
      </c>
      <c r="B479" s="12" t="s">
        <v>479</v>
      </c>
      <c r="C479">
        <v>39373752.439225934</v>
      </c>
      <c r="D479">
        <v>50094788.290491447</v>
      </c>
      <c r="E479">
        <v>939639.63963964104</v>
      </c>
      <c r="F479">
        <v>1404504.5045045081</v>
      </c>
      <c r="G479">
        <v>16</v>
      </c>
      <c r="H479">
        <v>25</v>
      </c>
      <c r="K479">
        <v>25</v>
      </c>
      <c r="L479">
        <v>48</v>
      </c>
      <c r="M479">
        <v>6457837.8378378339</v>
      </c>
      <c r="N479">
        <v>4677477.4774774769</v>
      </c>
      <c r="O479">
        <v>13359234.234234232</v>
      </c>
      <c r="P479">
        <v>19700342.342342343</v>
      </c>
      <c r="Q479">
        <v>7407837.8378378348</v>
      </c>
      <c r="R479">
        <v>5979909.9099099068</v>
      </c>
      <c r="S479">
        <v>5164</v>
      </c>
      <c r="T479">
        <v>5785</v>
      </c>
    </row>
    <row r="480" spans="1:20" x14ac:dyDescent="0.35">
      <c r="A480" s="7" t="s">
        <v>573</v>
      </c>
      <c r="B480" s="12" t="s">
        <v>94</v>
      </c>
      <c r="C480">
        <v>114682274.48862955</v>
      </c>
      <c r="D480">
        <v>99506109.907944351</v>
      </c>
      <c r="E480">
        <v>549549.54954955005</v>
      </c>
      <c r="F480">
        <v>865765.76576576498</v>
      </c>
      <c r="G480">
        <v>26</v>
      </c>
      <c r="H480">
        <v>11</v>
      </c>
      <c r="K480">
        <v>31</v>
      </c>
      <c r="L480">
        <v>21</v>
      </c>
      <c r="M480">
        <v>187486486.48648649</v>
      </c>
      <c r="N480">
        <v>374397297.2972973</v>
      </c>
      <c r="O480">
        <v>25899923.423423424</v>
      </c>
      <c r="P480">
        <v>26646966.666666668</v>
      </c>
      <c r="Q480">
        <v>7953333.333333333</v>
      </c>
      <c r="R480">
        <v>14608828.82882883</v>
      </c>
      <c r="S480">
        <v>9520</v>
      </c>
      <c r="T480">
        <v>9675</v>
      </c>
    </row>
    <row r="481" spans="1:20" x14ac:dyDescent="0.35">
      <c r="A481" s="7" t="s">
        <v>574</v>
      </c>
      <c r="B481" s="12" t="s">
        <v>307</v>
      </c>
      <c r="C481">
        <v>246735137.49077368</v>
      </c>
      <c r="D481">
        <v>250911472.74523047</v>
      </c>
      <c r="E481">
        <v>755855.85585585702</v>
      </c>
      <c r="F481">
        <v>2492792.7927928022</v>
      </c>
      <c r="G481">
        <v>40</v>
      </c>
      <c r="H481">
        <v>60</v>
      </c>
      <c r="K481">
        <v>47</v>
      </c>
      <c r="L481">
        <v>88</v>
      </c>
      <c r="M481">
        <v>26595000.000000007</v>
      </c>
      <c r="N481">
        <v>27562252.252252255</v>
      </c>
      <c r="O481">
        <v>94841828.828828827</v>
      </c>
      <c r="P481">
        <v>97640619.819819823</v>
      </c>
      <c r="Q481">
        <v>17566171.171171177</v>
      </c>
      <c r="R481">
        <v>30680720.72072072</v>
      </c>
      <c r="S481">
        <v>32086</v>
      </c>
      <c r="T481">
        <v>33336</v>
      </c>
    </row>
    <row r="482" spans="1:20" x14ac:dyDescent="0.35">
      <c r="A482" s="7" t="s">
        <v>10</v>
      </c>
      <c r="B482" s="12" t="s">
        <v>193</v>
      </c>
      <c r="C482">
        <v>40790538.687601499</v>
      </c>
      <c r="D482">
        <v>37585749.120603293</v>
      </c>
      <c r="G482">
        <v>5</v>
      </c>
      <c r="H482">
        <v>5</v>
      </c>
      <c r="K482">
        <v>5</v>
      </c>
      <c r="L482">
        <v>6</v>
      </c>
      <c r="O482">
        <v>23868018.018018015</v>
      </c>
      <c r="P482">
        <v>22335000</v>
      </c>
      <c r="R482">
        <v>11081.081081081</v>
      </c>
      <c r="S482">
        <v>3727</v>
      </c>
      <c r="T482">
        <v>3583</v>
      </c>
    </row>
    <row r="483" spans="1:20" x14ac:dyDescent="0.35">
      <c r="A483" s="7" t="s">
        <v>575</v>
      </c>
      <c r="B483" s="12" t="s">
        <v>87</v>
      </c>
      <c r="C483">
        <v>974434.48045512906</v>
      </c>
      <c r="D483">
        <v>1023730.893379455</v>
      </c>
      <c r="H483">
        <v>2</v>
      </c>
      <c r="L483">
        <v>2</v>
      </c>
      <c r="O483">
        <v>420270.27027027</v>
      </c>
      <c r="P483">
        <v>349025.22522522497</v>
      </c>
      <c r="S483">
        <v>265</v>
      </c>
      <c r="T483">
        <v>199</v>
      </c>
    </row>
    <row r="484" spans="1:20" x14ac:dyDescent="0.35">
      <c r="A484" s="7" t="s">
        <v>576</v>
      </c>
      <c r="B484" s="12" t="s">
        <v>283</v>
      </c>
      <c r="C484">
        <v>61719709.547303557</v>
      </c>
      <c r="D484">
        <v>58572954.486000359</v>
      </c>
      <c r="E484">
        <v>38283173.873873875</v>
      </c>
      <c r="F484">
        <v>24869290.090090089</v>
      </c>
      <c r="G484">
        <v>7</v>
      </c>
      <c r="H484">
        <v>1</v>
      </c>
      <c r="K484">
        <v>10</v>
      </c>
      <c r="L484">
        <v>2</v>
      </c>
      <c r="M484">
        <v>6418918.9189189188</v>
      </c>
      <c r="N484">
        <v>8815004.5045045055</v>
      </c>
      <c r="O484">
        <v>8202612.6126126116</v>
      </c>
      <c r="P484">
        <v>9138774.7747747749</v>
      </c>
      <c r="Q484">
        <v>1608108.1081081079</v>
      </c>
      <c r="R484">
        <v>7140090.0900900904</v>
      </c>
      <c r="S484">
        <v>3496</v>
      </c>
      <c r="T484">
        <v>3447</v>
      </c>
    </row>
    <row r="485" spans="1:20" x14ac:dyDescent="0.35">
      <c r="A485" s="7" t="s">
        <v>577</v>
      </c>
      <c r="B485" s="12" t="s">
        <v>307</v>
      </c>
      <c r="C485">
        <v>246384972.88898054</v>
      </c>
      <c r="D485">
        <v>232777849.18388695</v>
      </c>
      <c r="E485">
        <v>84138108.108108118</v>
      </c>
      <c r="F485">
        <v>2343693.6936937012</v>
      </c>
      <c r="G485">
        <v>50</v>
      </c>
      <c r="H485">
        <v>83</v>
      </c>
      <c r="K485">
        <v>78</v>
      </c>
      <c r="L485">
        <v>132</v>
      </c>
      <c r="M485">
        <v>16896621.621621624</v>
      </c>
      <c r="N485">
        <v>22183513.513513517</v>
      </c>
      <c r="O485">
        <v>91415072.072072074</v>
      </c>
      <c r="P485">
        <v>98620099.0990991</v>
      </c>
      <c r="Q485">
        <v>15277927.927927932</v>
      </c>
      <c r="R485">
        <v>18128288.288288292</v>
      </c>
      <c r="S485">
        <v>37614</v>
      </c>
      <c r="T485">
        <v>37966</v>
      </c>
    </row>
    <row r="486" spans="1:20" x14ac:dyDescent="0.35">
      <c r="A486" s="7" t="s">
        <v>578</v>
      </c>
      <c r="B486" s="12" t="s">
        <v>330</v>
      </c>
      <c r="C486">
        <v>242422104.93643147</v>
      </c>
      <c r="D486">
        <v>220314563.21215549</v>
      </c>
      <c r="E486">
        <v>239639.63963964101</v>
      </c>
      <c r="F486">
        <v>2875225.225225233</v>
      </c>
      <c r="G486">
        <v>51</v>
      </c>
      <c r="H486">
        <v>70</v>
      </c>
      <c r="K486">
        <v>79</v>
      </c>
      <c r="L486">
        <v>104</v>
      </c>
      <c r="M486">
        <v>102300900.9009009</v>
      </c>
      <c r="N486">
        <v>17485585.585585587</v>
      </c>
      <c r="O486">
        <v>47465882.882882878</v>
      </c>
      <c r="P486">
        <v>48551873.873873875</v>
      </c>
      <c r="Q486">
        <v>96691351.351351365</v>
      </c>
      <c r="R486">
        <v>16677747.747747744</v>
      </c>
      <c r="S486">
        <v>28354</v>
      </c>
      <c r="T486">
        <v>28011</v>
      </c>
    </row>
    <row r="487" spans="1:20" x14ac:dyDescent="0.35">
      <c r="A487" s="7" t="s">
        <v>579</v>
      </c>
      <c r="B487" s="12" t="s">
        <v>66</v>
      </c>
      <c r="C487">
        <v>34389048.650183439</v>
      </c>
      <c r="D487">
        <v>32999620.059459958</v>
      </c>
      <c r="E487">
        <v>5855.8558558559998</v>
      </c>
      <c r="F487">
        <v>21621.621621621998</v>
      </c>
      <c r="G487">
        <v>6</v>
      </c>
      <c r="H487">
        <v>6</v>
      </c>
      <c r="K487">
        <v>6</v>
      </c>
      <c r="L487">
        <v>6</v>
      </c>
      <c r="M487">
        <v>402702.70270270301</v>
      </c>
      <c r="N487">
        <v>854054.05405405595</v>
      </c>
      <c r="O487">
        <v>8749819.8198198173</v>
      </c>
      <c r="P487">
        <v>8035747.7477477491</v>
      </c>
      <c r="Q487">
        <v>590990.99099099101</v>
      </c>
      <c r="R487">
        <v>900450.45045045204</v>
      </c>
      <c r="S487">
        <v>3288</v>
      </c>
      <c r="T487">
        <v>3385</v>
      </c>
    </row>
    <row r="488" spans="1:20" x14ac:dyDescent="0.35">
      <c r="A488" s="7" t="s">
        <v>580</v>
      </c>
      <c r="B488" s="12" t="s">
        <v>236</v>
      </c>
      <c r="C488">
        <v>0</v>
      </c>
      <c r="D488">
        <v>5008.6635105530004</v>
      </c>
    </row>
    <row r="489" spans="1:20" x14ac:dyDescent="0.35">
      <c r="A489" s="7" t="s">
        <v>581</v>
      </c>
      <c r="B489" s="12" t="s">
        <v>62</v>
      </c>
      <c r="C489">
        <v>93320087.679870114</v>
      </c>
      <c r="D489">
        <v>88979688.988449126</v>
      </c>
      <c r="E489">
        <v>86819753.153153151</v>
      </c>
      <c r="F489">
        <v>88728907.207207218</v>
      </c>
      <c r="G489">
        <v>16</v>
      </c>
      <c r="H489">
        <v>82</v>
      </c>
      <c r="K489">
        <v>20</v>
      </c>
      <c r="L489">
        <v>82</v>
      </c>
      <c r="M489">
        <v>28274265.765765768</v>
      </c>
      <c r="N489">
        <v>17737770.270270269</v>
      </c>
      <c r="O489">
        <v>20251621.621621624</v>
      </c>
      <c r="P489">
        <v>18268810.810810808</v>
      </c>
      <c r="Q489">
        <v>7380090.0900900941</v>
      </c>
      <c r="R489">
        <v>5346306.3063063016</v>
      </c>
      <c r="S489">
        <v>6718</v>
      </c>
      <c r="T489">
        <v>6737</v>
      </c>
    </row>
    <row r="490" spans="1:20" x14ac:dyDescent="0.35">
      <c r="A490" s="7" t="s">
        <v>582</v>
      </c>
      <c r="B490" s="12" t="s">
        <v>48</v>
      </c>
      <c r="C490">
        <v>90000523.236469299</v>
      </c>
      <c r="D490">
        <v>86023008.354329601</v>
      </c>
      <c r="E490">
        <v>1156396.396396396</v>
      </c>
      <c r="F490">
        <v>84684.684684685999</v>
      </c>
      <c r="G490">
        <v>9</v>
      </c>
      <c r="H490">
        <v>7</v>
      </c>
      <c r="K490">
        <v>10</v>
      </c>
      <c r="L490">
        <v>12</v>
      </c>
      <c r="M490">
        <v>5655495.4954954972</v>
      </c>
      <c r="N490">
        <v>16295405.405405404</v>
      </c>
      <c r="O490">
        <v>12339549.54954955</v>
      </c>
      <c r="P490">
        <v>11735639.63963964</v>
      </c>
      <c r="Q490">
        <v>7178828.8288288321</v>
      </c>
      <c r="R490">
        <v>12245675.675675675</v>
      </c>
      <c r="S490">
        <v>5435</v>
      </c>
      <c r="T490">
        <v>5307</v>
      </c>
    </row>
    <row r="491" spans="1:20" x14ac:dyDescent="0.35">
      <c r="A491" s="7" t="s">
        <v>583</v>
      </c>
      <c r="B491" s="12" t="s">
        <v>54</v>
      </c>
      <c r="C491">
        <v>15691644.048739783</v>
      </c>
      <c r="D491">
        <v>16358584.730364528</v>
      </c>
      <c r="E491">
        <v>8108.1081081089997</v>
      </c>
      <c r="F491">
        <v>145945.94594594801</v>
      </c>
      <c r="G491">
        <v>6</v>
      </c>
      <c r="H491">
        <v>7</v>
      </c>
      <c r="K491">
        <v>7</v>
      </c>
      <c r="L491">
        <v>7</v>
      </c>
      <c r="M491">
        <v>2127027.0270270258</v>
      </c>
      <c r="N491">
        <v>3911981.981981982</v>
      </c>
      <c r="O491">
        <v>3733513.5135135129</v>
      </c>
      <c r="P491">
        <v>4153819.8198198201</v>
      </c>
      <c r="Q491">
        <v>1619369.3693693699</v>
      </c>
      <c r="R491">
        <v>3736036.036036036</v>
      </c>
      <c r="S491">
        <v>2057</v>
      </c>
      <c r="T491">
        <v>2205</v>
      </c>
    </row>
    <row r="492" spans="1:20" x14ac:dyDescent="0.35">
      <c r="A492" s="7" t="s">
        <v>584</v>
      </c>
      <c r="B492" s="12" t="s">
        <v>70</v>
      </c>
      <c r="C492">
        <v>42716598.047200926</v>
      </c>
      <c r="D492">
        <v>41772712.073066957</v>
      </c>
      <c r="E492">
        <v>315315.31531531498</v>
      </c>
      <c r="F492">
        <v>3603.603603604</v>
      </c>
      <c r="G492">
        <v>3</v>
      </c>
      <c r="H492">
        <v>10</v>
      </c>
      <c r="K492">
        <v>5</v>
      </c>
      <c r="L492">
        <v>11</v>
      </c>
      <c r="M492">
        <v>315315.31531531498</v>
      </c>
      <c r="N492">
        <v>392792.792792794</v>
      </c>
      <c r="O492">
        <v>16565495.495495496</v>
      </c>
      <c r="P492">
        <v>17856819.819819819</v>
      </c>
      <c r="Q492">
        <v>312612.61261261301</v>
      </c>
      <c r="R492">
        <v>616576.57657657703</v>
      </c>
      <c r="S492">
        <v>3756</v>
      </c>
      <c r="T492">
        <v>3505</v>
      </c>
    </row>
    <row r="493" spans="1:20" x14ac:dyDescent="0.35">
      <c r="A493" s="7" t="s">
        <v>585</v>
      </c>
      <c r="B493" s="12" t="s">
        <v>330</v>
      </c>
      <c r="C493">
        <v>162708223.11842543</v>
      </c>
      <c r="D493">
        <v>153361719.97656617</v>
      </c>
      <c r="E493">
        <v>79279.279279278999</v>
      </c>
      <c r="F493">
        <v>1859459.459459462</v>
      </c>
      <c r="G493">
        <v>43</v>
      </c>
      <c r="H493">
        <v>53</v>
      </c>
      <c r="K493">
        <v>62</v>
      </c>
      <c r="L493">
        <v>77</v>
      </c>
      <c r="M493">
        <v>8427027.0270270258</v>
      </c>
      <c r="N493">
        <v>9225225.2252252232</v>
      </c>
      <c r="O493">
        <v>40506756.75675676</v>
      </c>
      <c r="P493">
        <v>38164864.864864863</v>
      </c>
      <c r="Q493">
        <v>8379459.4594594613</v>
      </c>
      <c r="R493">
        <v>7006936.9369369373</v>
      </c>
      <c r="S493">
        <v>20582</v>
      </c>
      <c r="T493">
        <v>20019</v>
      </c>
    </row>
    <row r="494" spans="1:20" x14ac:dyDescent="0.35">
      <c r="A494" s="7" t="s">
        <v>586</v>
      </c>
      <c r="B494" s="12" t="s">
        <v>66</v>
      </c>
      <c r="C494">
        <v>78003479.774409443</v>
      </c>
      <c r="D494">
        <v>65480045.942066878</v>
      </c>
      <c r="E494">
        <v>90803490.990990996</v>
      </c>
      <c r="F494">
        <v>93272672.972972974</v>
      </c>
      <c r="G494">
        <v>15</v>
      </c>
      <c r="H494">
        <v>24</v>
      </c>
      <c r="K494">
        <v>19</v>
      </c>
      <c r="L494">
        <v>47</v>
      </c>
      <c r="M494">
        <v>13634819.819819815</v>
      </c>
      <c r="N494">
        <v>15469684.684684688</v>
      </c>
      <c r="O494">
        <v>36419225.225225225</v>
      </c>
      <c r="P494">
        <v>34195909.909909911</v>
      </c>
      <c r="Q494">
        <v>7961981.9819819815</v>
      </c>
      <c r="R494">
        <v>11122837.837837839</v>
      </c>
      <c r="S494">
        <v>10850</v>
      </c>
      <c r="T494">
        <v>10589</v>
      </c>
    </row>
    <row r="495" spans="1:20" x14ac:dyDescent="0.35">
      <c r="A495" s="7" t="s">
        <v>11</v>
      </c>
      <c r="B495" s="12" t="s">
        <v>193</v>
      </c>
      <c r="C495">
        <v>32597292.214296337</v>
      </c>
      <c r="D495">
        <v>33025382.878902655</v>
      </c>
      <c r="E495">
        <v>194594.59459459601</v>
      </c>
      <c r="F495">
        <v>18018.018018018</v>
      </c>
      <c r="G495">
        <v>6</v>
      </c>
      <c r="H495">
        <v>6</v>
      </c>
      <c r="K495">
        <v>9</v>
      </c>
      <c r="L495">
        <v>10</v>
      </c>
      <c r="M495">
        <v>194594.59459459601</v>
      </c>
      <c r="N495">
        <v>1819819.8198198189</v>
      </c>
      <c r="O495">
        <v>9553513.5135135129</v>
      </c>
      <c r="P495">
        <v>11448864.864864863</v>
      </c>
      <c r="Q495">
        <v>1017117.117117118</v>
      </c>
      <c r="R495">
        <v>1262612.612612613</v>
      </c>
      <c r="S495">
        <v>3780</v>
      </c>
      <c r="T495">
        <v>3958</v>
      </c>
    </row>
    <row r="496" spans="1:20" x14ac:dyDescent="0.35">
      <c r="A496" s="7" t="s">
        <v>12</v>
      </c>
      <c r="B496" s="12" t="s">
        <v>193</v>
      </c>
      <c r="C496">
        <v>23931666.655030821</v>
      </c>
      <c r="D496">
        <v>20821164.01243417</v>
      </c>
      <c r="E496">
        <v>26126.126126128998</v>
      </c>
      <c r="F496">
        <v>48648.648648649003</v>
      </c>
      <c r="G496">
        <v>4</v>
      </c>
      <c r="H496">
        <v>2</v>
      </c>
      <c r="K496">
        <v>6</v>
      </c>
      <c r="L496">
        <v>2</v>
      </c>
      <c r="M496">
        <v>3629729.729729732</v>
      </c>
      <c r="N496">
        <v>48648.648648649003</v>
      </c>
      <c r="O496">
        <v>8671531.5315315314</v>
      </c>
      <c r="P496">
        <v>8711036.0360360369</v>
      </c>
      <c r="Q496">
        <v>309459.459459459</v>
      </c>
      <c r="R496">
        <v>1184054.0540540549</v>
      </c>
      <c r="S496">
        <v>2898</v>
      </c>
      <c r="T496">
        <v>3015</v>
      </c>
    </row>
    <row r="497" spans="1:20" x14ac:dyDescent="0.35">
      <c r="A497" s="7" t="s">
        <v>587</v>
      </c>
      <c r="B497" s="12" t="s">
        <v>60</v>
      </c>
      <c r="C497">
        <v>18176552.716382056</v>
      </c>
      <c r="D497">
        <v>18964292.348785132</v>
      </c>
      <c r="E497">
        <v>14414.414414416</v>
      </c>
      <c r="F497">
        <v>90990.990990991995</v>
      </c>
      <c r="G497">
        <v>4</v>
      </c>
      <c r="H497">
        <v>6</v>
      </c>
      <c r="K497">
        <v>4</v>
      </c>
      <c r="L497">
        <v>10</v>
      </c>
      <c r="M497">
        <v>3212612.6126126121</v>
      </c>
      <c r="N497">
        <v>3469369.3693693699</v>
      </c>
      <c r="O497">
        <v>7062477.4774774769</v>
      </c>
      <c r="P497">
        <v>7578603.6036036042</v>
      </c>
      <c r="Q497">
        <v>1890810.81081081</v>
      </c>
      <c r="R497">
        <v>2604954.9549549539</v>
      </c>
      <c r="S497">
        <v>1757</v>
      </c>
      <c r="T497">
        <v>1798</v>
      </c>
    </row>
    <row r="498" spans="1:20" x14ac:dyDescent="0.35">
      <c r="A498" s="7" t="s">
        <v>588</v>
      </c>
      <c r="B498" s="12" t="s">
        <v>307</v>
      </c>
      <c r="C498">
        <v>545779513.81494963</v>
      </c>
      <c r="D498">
        <v>512419765.15839833</v>
      </c>
      <c r="E498">
        <v>559770040.54054058</v>
      </c>
      <c r="F498">
        <v>161909238.73873875</v>
      </c>
      <c r="G498">
        <v>101</v>
      </c>
      <c r="H498">
        <v>114</v>
      </c>
      <c r="K498">
        <v>147</v>
      </c>
      <c r="L498">
        <v>180</v>
      </c>
      <c r="M498">
        <v>42166396.396396399</v>
      </c>
      <c r="N498">
        <v>77971441.441441447</v>
      </c>
      <c r="O498">
        <v>164571963.96396396</v>
      </c>
      <c r="P498">
        <v>165901090.09009007</v>
      </c>
      <c r="Q498">
        <v>44198828.828828834</v>
      </c>
      <c r="R498">
        <v>75466936.936936945</v>
      </c>
      <c r="S498">
        <v>63760</v>
      </c>
      <c r="T498">
        <v>63472</v>
      </c>
    </row>
    <row r="499" spans="1:20" x14ac:dyDescent="0.35">
      <c r="A499" s="7" t="s">
        <v>589</v>
      </c>
      <c r="B499" s="12" t="s">
        <v>52</v>
      </c>
      <c r="C499">
        <v>130989079.0221163</v>
      </c>
      <c r="D499">
        <v>124266288.2736873</v>
      </c>
      <c r="E499">
        <v>1051351.3513513519</v>
      </c>
      <c r="F499">
        <v>2030630.630630634</v>
      </c>
      <c r="G499">
        <v>11</v>
      </c>
      <c r="H499">
        <v>32</v>
      </c>
      <c r="K499">
        <v>18</v>
      </c>
      <c r="L499">
        <v>55</v>
      </c>
      <c r="M499">
        <v>11226846.846846843</v>
      </c>
      <c r="N499">
        <v>22243378.37837838</v>
      </c>
      <c r="O499">
        <v>50192076.576576576</v>
      </c>
      <c r="P499">
        <v>51051864.864864863</v>
      </c>
      <c r="Q499">
        <v>10448108.108108103</v>
      </c>
      <c r="R499">
        <v>32781846.846846849</v>
      </c>
      <c r="S499">
        <v>14327</v>
      </c>
      <c r="T499">
        <v>13822</v>
      </c>
    </row>
    <row r="500" spans="1:20" x14ac:dyDescent="0.35">
      <c r="A500" s="7" t="s">
        <v>590</v>
      </c>
      <c r="B500" s="12" t="s">
        <v>54</v>
      </c>
      <c r="C500">
        <v>10771196.025596691</v>
      </c>
      <c r="D500">
        <v>11079851.492085615</v>
      </c>
      <c r="E500">
        <v>1801.801801802</v>
      </c>
      <c r="F500">
        <v>84684.684684684995</v>
      </c>
      <c r="G500">
        <v>3</v>
      </c>
      <c r="H500">
        <v>3</v>
      </c>
      <c r="K500">
        <v>3</v>
      </c>
      <c r="L500">
        <v>5</v>
      </c>
      <c r="M500">
        <v>1353153.1531531529</v>
      </c>
      <c r="N500">
        <v>445045.04504504497</v>
      </c>
      <c r="O500">
        <v>3818954.9549549548</v>
      </c>
      <c r="P500">
        <v>3568693.6936936942</v>
      </c>
      <c r="Q500">
        <v>3244234.2342342339</v>
      </c>
      <c r="R500">
        <v>1515225.225225226</v>
      </c>
      <c r="S500">
        <v>1553</v>
      </c>
      <c r="T500">
        <v>1512</v>
      </c>
    </row>
    <row r="501" spans="1:20" x14ac:dyDescent="0.35">
      <c r="A501" s="7" t="s">
        <v>591</v>
      </c>
      <c r="B501" s="12" t="s">
        <v>169</v>
      </c>
      <c r="C501">
        <v>315620035.17727643</v>
      </c>
      <c r="D501">
        <v>283980757.63555437</v>
      </c>
      <c r="E501">
        <v>1877657.6576576601</v>
      </c>
      <c r="F501">
        <v>2307882.8828828819</v>
      </c>
      <c r="G501">
        <v>36</v>
      </c>
      <c r="H501">
        <v>20</v>
      </c>
      <c r="K501">
        <v>45</v>
      </c>
      <c r="L501">
        <v>22</v>
      </c>
      <c r="M501">
        <v>62632972.972972974</v>
      </c>
      <c r="N501">
        <v>64132972.972972967</v>
      </c>
      <c r="O501">
        <v>102152630.63063064</v>
      </c>
      <c r="P501">
        <v>91404027.027027026</v>
      </c>
      <c r="Q501">
        <v>50114324.324324317</v>
      </c>
      <c r="R501">
        <v>55298198.198198192</v>
      </c>
      <c r="S501">
        <v>23465</v>
      </c>
      <c r="T501">
        <v>22950</v>
      </c>
    </row>
    <row r="502" spans="1:20" x14ac:dyDescent="0.35">
      <c r="A502" s="7" t="s">
        <v>592</v>
      </c>
      <c r="B502" s="12" t="s">
        <v>87</v>
      </c>
      <c r="C502">
        <v>1821343.463244918</v>
      </c>
      <c r="D502">
        <v>1580943.2674306729</v>
      </c>
      <c r="H502">
        <v>1</v>
      </c>
      <c r="L502">
        <v>1</v>
      </c>
      <c r="O502">
        <v>420261.26126126101</v>
      </c>
      <c r="P502">
        <v>399864.86486486602</v>
      </c>
      <c r="S502">
        <v>369</v>
      </c>
      <c r="T502">
        <v>282</v>
      </c>
    </row>
    <row r="503" spans="1:20" x14ac:dyDescent="0.35">
      <c r="A503" s="7" t="s">
        <v>36</v>
      </c>
      <c r="B503" s="12" t="s">
        <v>158</v>
      </c>
      <c r="E503">
        <v>228650946.84684685</v>
      </c>
      <c r="F503">
        <v>127223200.9009009</v>
      </c>
      <c r="M503">
        <v>14890315.315315315</v>
      </c>
      <c r="N503">
        <v>10879054.054054054</v>
      </c>
    </row>
    <row r="504" spans="1:20" x14ac:dyDescent="0.35">
      <c r="A504" s="7" t="s">
        <v>593</v>
      </c>
      <c r="B504" s="12" t="s">
        <v>143</v>
      </c>
      <c r="C504">
        <v>23435105.831996724</v>
      </c>
      <c r="D504">
        <v>21899562.958631966</v>
      </c>
      <c r="E504">
        <v>900.900900901</v>
      </c>
      <c r="F504">
        <v>54054.054054056003</v>
      </c>
      <c r="G504">
        <v>2</v>
      </c>
      <c r="H504">
        <v>2</v>
      </c>
      <c r="K504">
        <v>2</v>
      </c>
      <c r="L504">
        <v>2</v>
      </c>
      <c r="M504">
        <v>1514414.414414414</v>
      </c>
      <c r="N504">
        <v>1405405.4054054059</v>
      </c>
      <c r="O504">
        <v>2368873.8738738741</v>
      </c>
      <c r="P504">
        <v>2053288.2882882881</v>
      </c>
      <c r="Q504">
        <v>1163063.063063063</v>
      </c>
      <c r="R504">
        <v>1036936.936936937</v>
      </c>
      <c r="S504">
        <v>1525</v>
      </c>
      <c r="T504">
        <v>1547</v>
      </c>
    </row>
    <row r="505" spans="1:20" x14ac:dyDescent="0.35">
      <c r="A505" s="7" t="s">
        <v>594</v>
      </c>
      <c r="B505" s="12" t="s">
        <v>290</v>
      </c>
      <c r="C505">
        <v>7271797.8639730513</v>
      </c>
      <c r="D505">
        <v>4818787.4022874534</v>
      </c>
      <c r="G505">
        <v>1</v>
      </c>
      <c r="H505">
        <v>1</v>
      </c>
      <c r="K505">
        <v>1</v>
      </c>
      <c r="L505">
        <v>1</v>
      </c>
      <c r="O505">
        <v>242702.70270270301</v>
      </c>
      <c r="P505">
        <v>395810.810810811</v>
      </c>
      <c r="S505">
        <v>616</v>
      </c>
      <c r="T505">
        <v>749</v>
      </c>
    </row>
    <row r="506" spans="1:20" x14ac:dyDescent="0.35">
      <c r="A506" s="7" t="s">
        <v>595</v>
      </c>
      <c r="B506" s="12" t="s">
        <v>92</v>
      </c>
      <c r="C506">
        <v>8136495.2883312693</v>
      </c>
      <c r="D506">
        <v>6748993.1963526905</v>
      </c>
      <c r="E506">
        <v>1801.801801802</v>
      </c>
      <c r="F506">
        <v>497297.29729729798</v>
      </c>
      <c r="G506">
        <v>4</v>
      </c>
      <c r="H506">
        <v>1</v>
      </c>
      <c r="K506">
        <v>4</v>
      </c>
      <c r="L506">
        <v>1</v>
      </c>
      <c r="M506">
        <v>49369.369369369</v>
      </c>
      <c r="N506">
        <v>1353153.1531531541</v>
      </c>
      <c r="O506">
        <v>1111126.1261261259</v>
      </c>
      <c r="P506">
        <v>1284909.9099099101</v>
      </c>
      <c r="Q506">
        <v>47567.567567568003</v>
      </c>
      <c r="R506">
        <v>1496396.396396396</v>
      </c>
      <c r="S506">
        <v>338</v>
      </c>
      <c r="T506">
        <v>655</v>
      </c>
    </row>
    <row r="507" spans="1:20" x14ac:dyDescent="0.35">
      <c r="A507" s="7" t="s">
        <v>596</v>
      </c>
      <c r="B507" s="12" t="s">
        <v>50</v>
      </c>
      <c r="C507">
        <v>30386623.067720834</v>
      </c>
      <c r="D507">
        <v>25141949.7237266</v>
      </c>
      <c r="E507">
        <v>187387.38738738801</v>
      </c>
      <c r="F507">
        <v>350225.22522522701</v>
      </c>
      <c r="G507">
        <v>4</v>
      </c>
      <c r="H507">
        <v>2</v>
      </c>
      <c r="K507">
        <v>4</v>
      </c>
      <c r="L507">
        <v>2</v>
      </c>
      <c r="M507">
        <v>1518828.82882883</v>
      </c>
      <c r="N507">
        <v>872072.07207207405</v>
      </c>
      <c r="O507">
        <v>5582699.0990990987</v>
      </c>
      <c r="P507">
        <v>4489360.3603603598</v>
      </c>
      <c r="Q507">
        <v>1697117.11711712</v>
      </c>
      <c r="R507">
        <v>810270.27027026995</v>
      </c>
      <c r="S507">
        <v>1731</v>
      </c>
      <c r="T507">
        <v>1479</v>
      </c>
    </row>
    <row r="508" spans="1:20" x14ac:dyDescent="0.35">
      <c r="A508" s="7" t="s">
        <v>597</v>
      </c>
      <c r="B508" s="12" t="s">
        <v>89</v>
      </c>
      <c r="C508">
        <v>42075356.672373705</v>
      </c>
      <c r="D508">
        <v>39887473.456909768</v>
      </c>
      <c r="E508">
        <v>147747.74774774699</v>
      </c>
      <c r="F508">
        <v>234234.23423423601</v>
      </c>
      <c r="G508">
        <v>6</v>
      </c>
      <c r="H508">
        <v>5</v>
      </c>
      <c r="K508">
        <v>7</v>
      </c>
      <c r="L508">
        <v>7</v>
      </c>
      <c r="M508">
        <v>3714414.41441441</v>
      </c>
      <c r="N508">
        <v>1661981.981981982</v>
      </c>
      <c r="O508">
        <v>9292610.8108108118</v>
      </c>
      <c r="P508">
        <v>9860180.1801801808</v>
      </c>
      <c r="Q508">
        <v>2757927.9279279248</v>
      </c>
      <c r="R508">
        <v>2036396.396396396</v>
      </c>
      <c r="S508">
        <v>3487</v>
      </c>
      <c r="T508">
        <v>3352</v>
      </c>
    </row>
    <row r="509" spans="1:20" x14ac:dyDescent="0.35">
      <c r="A509" s="7" t="s">
        <v>598</v>
      </c>
      <c r="B509" s="12" t="s">
        <v>143</v>
      </c>
      <c r="C509">
        <v>15477972.626284176</v>
      </c>
      <c r="D509">
        <v>15954564.891000044</v>
      </c>
      <c r="E509">
        <v>6306.3063063070003</v>
      </c>
      <c r="F509">
        <v>67567.567567567996</v>
      </c>
      <c r="G509">
        <v>2</v>
      </c>
      <c r="K509">
        <v>2</v>
      </c>
      <c r="M509">
        <v>2105405.4054054059</v>
      </c>
      <c r="N509">
        <v>698198.19819819799</v>
      </c>
      <c r="O509">
        <v>802927.92792792805</v>
      </c>
      <c r="P509">
        <v>1191180.1801801811</v>
      </c>
      <c r="Q509">
        <v>1562162.1621621631</v>
      </c>
      <c r="R509">
        <v>827387.38738738699</v>
      </c>
      <c r="S509">
        <v>1164</v>
      </c>
      <c r="T509">
        <v>1174</v>
      </c>
    </row>
    <row r="510" spans="1:20" x14ac:dyDescent="0.35">
      <c r="A510" s="7" t="s">
        <v>599</v>
      </c>
      <c r="B510" s="12" t="s">
        <v>125</v>
      </c>
      <c r="C510">
        <v>39618210.154559426</v>
      </c>
      <c r="D510">
        <v>36525641.534307018</v>
      </c>
      <c r="E510">
        <v>20270.270270270001</v>
      </c>
      <c r="F510">
        <v>36036.036036037003</v>
      </c>
      <c r="G510">
        <v>1</v>
      </c>
      <c r="H510">
        <v>4</v>
      </c>
      <c r="K510">
        <v>2</v>
      </c>
      <c r="L510">
        <v>5</v>
      </c>
      <c r="M510">
        <v>16371441.441441439</v>
      </c>
      <c r="N510">
        <v>4038738.738738738</v>
      </c>
      <c r="O510">
        <v>15044234.234234232</v>
      </c>
      <c r="P510">
        <v>14020837.837837838</v>
      </c>
      <c r="Q510">
        <v>16333153.153153153</v>
      </c>
      <c r="R510">
        <v>3871441.441441441</v>
      </c>
      <c r="S510">
        <v>3368</v>
      </c>
      <c r="T510">
        <v>3536</v>
      </c>
    </row>
    <row r="511" spans="1:20" x14ac:dyDescent="0.35">
      <c r="A511" s="7" t="s">
        <v>600</v>
      </c>
      <c r="B511" s="12" t="s">
        <v>50</v>
      </c>
      <c r="C511">
        <v>102013337.32395567</v>
      </c>
      <c r="D511">
        <v>98153122.967928573</v>
      </c>
      <c r="E511">
        <v>27117597.297297295</v>
      </c>
      <c r="F511">
        <v>66022184.684684686</v>
      </c>
      <c r="G511">
        <v>11</v>
      </c>
      <c r="H511">
        <v>14</v>
      </c>
      <c r="K511">
        <v>15</v>
      </c>
      <c r="L511">
        <v>14</v>
      </c>
      <c r="M511">
        <v>82467797.297297299</v>
      </c>
      <c r="N511">
        <v>10890090.090090092</v>
      </c>
      <c r="O511">
        <v>40419855.855855852</v>
      </c>
      <c r="P511">
        <v>40053900.900900893</v>
      </c>
      <c r="Q511">
        <v>9993603.6036036015</v>
      </c>
      <c r="R511">
        <v>9808468.4684684705</v>
      </c>
      <c r="S511">
        <v>7837</v>
      </c>
      <c r="T511">
        <v>7399</v>
      </c>
    </row>
    <row r="512" spans="1:20" x14ac:dyDescent="0.35">
      <c r="A512" s="7" t="s">
        <v>601</v>
      </c>
      <c r="B512" s="12" t="s">
        <v>89</v>
      </c>
      <c r="C512">
        <v>29470386.905485012</v>
      </c>
      <c r="D512">
        <v>30418032.965566132</v>
      </c>
      <c r="E512">
        <v>73873.873873874007</v>
      </c>
      <c r="F512">
        <v>37837.837837838997</v>
      </c>
      <c r="G512">
        <v>4</v>
      </c>
      <c r="H512">
        <v>4</v>
      </c>
      <c r="K512">
        <v>4</v>
      </c>
      <c r="L512">
        <v>5</v>
      </c>
      <c r="M512">
        <v>2849549.5495495489</v>
      </c>
      <c r="N512">
        <v>18366126.126126129</v>
      </c>
      <c r="O512">
        <v>7892117.1171171172</v>
      </c>
      <c r="P512">
        <v>9255459.4594594594</v>
      </c>
      <c r="Q512">
        <v>1877567.567567568</v>
      </c>
      <c r="R512">
        <v>18741351.351351351</v>
      </c>
      <c r="S512">
        <v>2524</v>
      </c>
      <c r="T512">
        <v>2564</v>
      </c>
    </row>
    <row r="513" spans="1:20" x14ac:dyDescent="0.35">
      <c r="A513" s="7" t="s">
        <v>602</v>
      </c>
      <c r="B513" s="12" t="s">
        <v>87</v>
      </c>
      <c r="C513">
        <v>28168339.46212922</v>
      </c>
      <c r="D513">
        <v>26323209.026932061</v>
      </c>
      <c r="E513">
        <v>900.900900901</v>
      </c>
      <c r="G513">
        <v>2</v>
      </c>
      <c r="H513">
        <v>1</v>
      </c>
      <c r="K513">
        <v>3</v>
      </c>
      <c r="L513">
        <v>1</v>
      </c>
      <c r="M513">
        <v>406306.30630630598</v>
      </c>
      <c r="N513">
        <v>9009.0090090089998</v>
      </c>
      <c r="O513">
        <v>1942430.630630631</v>
      </c>
      <c r="P513">
        <v>1419234.2342342341</v>
      </c>
      <c r="Q513">
        <v>317790.99099099101</v>
      </c>
      <c r="R513">
        <v>232432.43243243199</v>
      </c>
      <c r="S513">
        <v>1225</v>
      </c>
      <c r="T513">
        <v>1207</v>
      </c>
    </row>
    <row r="514" spans="1:20" x14ac:dyDescent="0.35">
      <c r="A514" s="7" t="s">
        <v>603</v>
      </c>
      <c r="B514" s="12" t="s">
        <v>140</v>
      </c>
      <c r="C514">
        <v>208319051.03434238</v>
      </c>
      <c r="D514">
        <v>209473578.15780875</v>
      </c>
      <c r="E514">
        <v>2669008.1081081098</v>
      </c>
      <c r="F514">
        <v>92618486.486486495</v>
      </c>
      <c r="G514">
        <v>48</v>
      </c>
      <c r="H514">
        <v>46</v>
      </c>
      <c r="K514">
        <v>69</v>
      </c>
      <c r="L514">
        <v>81</v>
      </c>
      <c r="M514">
        <v>41917477.477477469</v>
      </c>
      <c r="N514">
        <v>32306576.576576572</v>
      </c>
      <c r="O514">
        <v>47350581.981981985</v>
      </c>
      <c r="P514">
        <v>49980909.909909904</v>
      </c>
      <c r="Q514">
        <v>31500360.360360362</v>
      </c>
      <c r="R514">
        <v>32793063.063063059</v>
      </c>
      <c r="S514">
        <v>19566</v>
      </c>
      <c r="T514">
        <v>18939</v>
      </c>
    </row>
    <row r="515" spans="1:20" x14ac:dyDescent="0.35">
      <c r="A515" s="7" t="s">
        <v>604</v>
      </c>
      <c r="B515" s="12" t="s">
        <v>224</v>
      </c>
      <c r="C515">
        <v>39389989.441421077</v>
      </c>
      <c r="D515">
        <v>33823237.873496905</v>
      </c>
      <c r="E515">
        <v>4504.5045045050001</v>
      </c>
      <c r="G515">
        <v>6</v>
      </c>
      <c r="H515">
        <v>9</v>
      </c>
      <c r="K515">
        <v>9</v>
      </c>
      <c r="L515">
        <v>9</v>
      </c>
      <c r="M515">
        <v>2256756.7567567569</v>
      </c>
      <c r="O515">
        <v>11860504.504504504</v>
      </c>
      <c r="P515">
        <v>11930990.990990993</v>
      </c>
      <c r="Q515">
        <v>544594.59459459397</v>
      </c>
      <c r="R515">
        <v>976216.21621621598</v>
      </c>
      <c r="S515">
        <v>3619</v>
      </c>
      <c r="T515">
        <v>3676</v>
      </c>
    </row>
    <row r="516" spans="1:20" x14ac:dyDescent="0.35">
      <c r="A516" s="7" t="s">
        <v>605</v>
      </c>
      <c r="B516" s="12" t="s">
        <v>224</v>
      </c>
      <c r="C516">
        <v>22506387.614081647</v>
      </c>
      <c r="D516">
        <v>22799663.616393581</v>
      </c>
      <c r="E516">
        <v>3603.603603604</v>
      </c>
      <c r="F516">
        <v>13513.513513514001</v>
      </c>
      <c r="G516">
        <v>6</v>
      </c>
      <c r="H516">
        <v>3</v>
      </c>
      <c r="K516">
        <v>7</v>
      </c>
      <c r="L516">
        <v>4</v>
      </c>
      <c r="M516">
        <v>904504.50450450496</v>
      </c>
      <c r="N516">
        <v>13513.513513514001</v>
      </c>
      <c r="O516">
        <v>6181756.7567567574</v>
      </c>
      <c r="P516">
        <v>5819702.702702703</v>
      </c>
      <c r="Q516">
        <v>902882.88288288203</v>
      </c>
      <c r="R516">
        <v>1124144.1441441439</v>
      </c>
      <c r="S516">
        <v>3003</v>
      </c>
      <c r="T516">
        <v>4003</v>
      </c>
    </row>
    <row r="517" spans="1:20" x14ac:dyDescent="0.35">
      <c r="A517" s="7" t="s">
        <v>606</v>
      </c>
      <c r="B517" s="12" t="s">
        <v>241</v>
      </c>
      <c r="C517">
        <v>20150951.605661374</v>
      </c>
      <c r="D517">
        <v>18962887.587929826</v>
      </c>
      <c r="E517">
        <v>2702.7027027029999</v>
      </c>
      <c r="G517">
        <v>4</v>
      </c>
      <c r="H517">
        <v>6</v>
      </c>
      <c r="K517">
        <v>5</v>
      </c>
      <c r="L517">
        <v>8</v>
      </c>
      <c r="M517">
        <v>829189.18918919004</v>
      </c>
      <c r="N517">
        <v>1270270.2702702701</v>
      </c>
      <c r="O517">
        <v>5682072.072072072</v>
      </c>
      <c r="P517">
        <v>5352711.7117117103</v>
      </c>
      <c r="Q517">
        <v>877387.38738738897</v>
      </c>
      <c r="R517">
        <v>585045.04504504404</v>
      </c>
      <c r="S517">
        <v>2321</v>
      </c>
      <c r="T517">
        <v>2315</v>
      </c>
    </row>
    <row r="518" spans="1:20" x14ac:dyDescent="0.35">
      <c r="A518" s="7" t="s">
        <v>607</v>
      </c>
      <c r="B518" s="12" t="s">
        <v>140</v>
      </c>
      <c r="C518">
        <v>6302096.2299237968</v>
      </c>
      <c r="D518">
        <v>5713120.7036602832</v>
      </c>
      <c r="H518">
        <v>1</v>
      </c>
      <c r="L518">
        <v>2</v>
      </c>
      <c r="O518">
        <v>740495.49549549504</v>
      </c>
      <c r="P518">
        <v>653144.14414414403</v>
      </c>
      <c r="Q518">
        <v>95855.855855856003</v>
      </c>
      <c r="R518">
        <v>84684.684684684995</v>
      </c>
      <c r="S518">
        <v>372</v>
      </c>
      <c r="T518">
        <v>314</v>
      </c>
    </row>
    <row r="519" spans="1:20" x14ac:dyDescent="0.35">
      <c r="A519" s="7" t="s">
        <v>676</v>
      </c>
      <c r="B519" s="12" t="s">
        <v>189</v>
      </c>
      <c r="S519">
        <v>1</v>
      </c>
    </row>
    <row r="520" spans="1:20" x14ac:dyDescent="0.35">
      <c r="A520" s="7" t="s">
        <v>608</v>
      </c>
      <c r="B520" s="12" t="s">
        <v>189</v>
      </c>
      <c r="C520">
        <v>24408422.119917721</v>
      </c>
      <c r="D520">
        <v>20139923.590163089</v>
      </c>
      <c r="E520">
        <v>318918.91891891899</v>
      </c>
      <c r="F520">
        <v>662162.16216216295</v>
      </c>
      <c r="G520">
        <v>6</v>
      </c>
      <c r="H520">
        <v>17</v>
      </c>
      <c r="K520">
        <v>7</v>
      </c>
      <c r="L520">
        <v>17</v>
      </c>
      <c r="M520">
        <v>2716216.2162162159</v>
      </c>
      <c r="N520">
        <v>2283783.7837837841</v>
      </c>
      <c r="O520">
        <v>4564450.4504504511</v>
      </c>
      <c r="P520">
        <v>5167436.9369369373</v>
      </c>
      <c r="Q520">
        <v>2043063.0630630639</v>
      </c>
      <c r="R520">
        <v>1844864.8648648651</v>
      </c>
      <c r="S520">
        <v>1631</v>
      </c>
      <c r="T520">
        <v>1553</v>
      </c>
    </row>
    <row r="521" spans="1:20" x14ac:dyDescent="0.35">
      <c r="A521" s="7" t="s">
        <v>609</v>
      </c>
      <c r="B521" s="12" t="s">
        <v>189</v>
      </c>
      <c r="C521">
        <v>71359552.230770707</v>
      </c>
      <c r="D521">
        <v>65248687.373540163</v>
      </c>
      <c r="E521">
        <v>5405.4054054059998</v>
      </c>
      <c r="F521">
        <v>135135.13513513701</v>
      </c>
      <c r="G521">
        <v>17</v>
      </c>
      <c r="H521">
        <v>18</v>
      </c>
      <c r="K521">
        <v>18</v>
      </c>
      <c r="L521">
        <v>24</v>
      </c>
      <c r="M521">
        <v>2291891.8918918921</v>
      </c>
      <c r="N521">
        <v>1576576.576576578</v>
      </c>
      <c r="O521">
        <v>10510000</v>
      </c>
      <c r="P521">
        <v>11321918.918918921</v>
      </c>
      <c r="Q521">
        <v>2448288.2882882878</v>
      </c>
      <c r="R521">
        <v>2001171.1711711709</v>
      </c>
      <c r="S521">
        <v>4951</v>
      </c>
      <c r="T521">
        <v>4976</v>
      </c>
    </row>
    <row r="522" spans="1:20" x14ac:dyDescent="0.35">
      <c r="A522" s="7" t="s">
        <v>610</v>
      </c>
      <c r="B522" s="12" t="s">
        <v>189</v>
      </c>
      <c r="C522">
        <v>28053248.715831764</v>
      </c>
      <c r="D522">
        <v>24626941.544642422</v>
      </c>
      <c r="E522">
        <v>3603.603603604</v>
      </c>
      <c r="F522">
        <v>196171.17117117299</v>
      </c>
      <c r="G522">
        <v>3</v>
      </c>
      <c r="H522">
        <v>4</v>
      </c>
      <c r="K522">
        <v>3</v>
      </c>
      <c r="L522">
        <v>5</v>
      </c>
      <c r="M522">
        <v>1390090.090090089</v>
      </c>
      <c r="N522">
        <v>1954954.954954955</v>
      </c>
      <c r="O522">
        <v>2817612.612612613</v>
      </c>
      <c r="P522">
        <v>2795396.3963963971</v>
      </c>
      <c r="Q522">
        <v>1285675.675675676</v>
      </c>
      <c r="R522">
        <v>1929549.5495495501</v>
      </c>
      <c r="S522">
        <v>1683</v>
      </c>
      <c r="T522">
        <v>1692</v>
      </c>
    </row>
    <row r="523" spans="1:20" x14ac:dyDescent="0.35">
      <c r="A523" s="7" t="s">
        <v>611</v>
      </c>
      <c r="B523" s="12" t="s">
        <v>189</v>
      </c>
      <c r="C523">
        <v>8320393.3942575008</v>
      </c>
      <c r="D523">
        <v>10841935.264857635</v>
      </c>
      <c r="E523">
        <v>28115596.396396395</v>
      </c>
      <c r="F523">
        <v>27396954.054054055</v>
      </c>
      <c r="G523">
        <v>2</v>
      </c>
      <c r="H523">
        <v>4</v>
      </c>
      <c r="K523">
        <v>4</v>
      </c>
      <c r="L523">
        <v>5</v>
      </c>
      <c r="M523">
        <v>430630.63063063001</v>
      </c>
      <c r="N523">
        <v>2301801.8018018031</v>
      </c>
      <c r="O523">
        <v>1389369.369369369</v>
      </c>
      <c r="P523">
        <v>2306216.2162162159</v>
      </c>
      <c r="Q523">
        <v>220720.720720721</v>
      </c>
      <c r="R523">
        <v>2417117.1171171181</v>
      </c>
      <c r="S523">
        <v>917</v>
      </c>
      <c r="T523">
        <v>967</v>
      </c>
    </row>
    <row r="524" spans="1:20" x14ac:dyDescent="0.35">
      <c r="A524" s="7" t="s">
        <v>612</v>
      </c>
      <c r="B524" s="12" t="s">
        <v>143</v>
      </c>
      <c r="C524">
        <v>63948803.79284317</v>
      </c>
      <c r="D524">
        <v>70583816.239965558</v>
      </c>
      <c r="E524">
        <v>25081.081081082</v>
      </c>
      <c r="F524">
        <v>636308.10810810898</v>
      </c>
      <c r="G524">
        <v>10</v>
      </c>
      <c r="H524">
        <v>17</v>
      </c>
      <c r="K524">
        <v>16</v>
      </c>
      <c r="L524">
        <v>27</v>
      </c>
      <c r="M524">
        <v>5061261.2612612592</v>
      </c>
      <c r="N524">
        <v>3054054.054054054</v>
      </c>
      <c r="O524">
        <v>8063061.2612612611</v>
      </c>
      <c r="P524">
        <v>8486180.1801801808</v>
      </c>
      <c r="Q524">
        <v>7366576.5765765756</v>
      </c>
      <c r="R524">
        <v>5926936.9369369363</v>
      </c>
      <c r="S524">
        <v>6480</v>
      </c>
      <c r="T524">
        <v>6566</v>
      </c>
    </row>
    <row r="525" spans="1:20" x14ac:dyDescent="0.35">
      <c r="A525" s="7" t="s">
        <v>613</v>
      </c>
      <c r="B525" s="12" t="s">
        <v>189</v>
      </c>
      <c r="C525">
        <v>92442097.084652558</v>
      </c>
      <c r="D525">
        <v>82929086.037492707</v>
      </c>
      <c r="E525">
        <v>9909.9099099110008</v>
      </c>
      <c r="F525">
        <v>612387.38738739002</v>
      </c>
      <c r="G525">
        <v>17</v>
      </c>
      <c r="H525">
        <v>20</v>
      </c>
      <c r="K525">
        <v>25</v>
      </c>
      <c r="L525">
        <v>33</v>
      </c>
      <c r="M525">
        <v>3041441.441441441</v>
      </c>
      <c r="N525">
        <v>7666666.666666667</v>
      </c>
      <c r="O525">
        <v>7842457.6576576568</v>
      </c>
      <c r="P525">
        <v>8265468.4684684686</v>
      </c>
      <c r="Q525">
        <v>2875989.1891891891</v>
      </c>
      <c r="R525">
        <v>7166846.8468468478</v>
      </c>
      <c r="S525">
        <v>7580</v>
      </c>
      <c r="T525">
        <v>8207</v>
      </c>
    </row>
    <row r="526" spans="1:20" x14ac:dyDescent="0.35">
      <c r="A526" s="7" t="s">
        <v>614</v>
      </c>
      <c r="B526" s="12" t="s">
        <v>54</v>
      </c>
      <c r="C526">
        <v>61874431.485049814</v>
      </c>
      <c r="D526">
        <v>58262927.366300777</v>
      </c>
      <c r="E526">
        <v>746396.39639639703</v>
      </c>
      <c r="F526">
        <v>974774.774774777</v>
      </c>
      <c r="G526">
        <v>9</v>
      </c>
      <c r="H526">
        <v>15</v>
      </c>
      <c r="K526">
        <v>12</v>
      </c>
      <c r="L526">
        <v>16</v>
      </c>
      <c r="M526">
        <v>6557207.2072072066</v>
      </c>
      <c r="N526">
        <v>10443243.243243242</v>
      </c>
      <c r="O526">
        <v>17787477.477477476</v>
      </c>
      <c r="P526">
        <v>18047603.603603605</v>
      </c>
      <c r="Q526">
        <v>8746576.5765765775</v>
      </c>
      <c r="R526">
        <v>10587927.927927928</v>
      </c>
      <c r="S526">
        <v>6584</v>
      </c>
      <c r="T526">
        <v>6412</v>
      </c>
    </row>
    <row r="527" spans="1:20" x14ac:dyDescent="0.35">
      <c r="A527" s="7" t="s">
        <v>615</v>
      </c>
      <c r="B527" s="12" t="s">
        <v>54</v>
      </c>
      <c r="C527">
        <v>32426783.037876524</v>
      </c>
      <c r="D527">
        <v>31138467.756458256</v>
      </c>
      <c r="E527">
        <v>1801.801801802</v>
      </c>
      <c r="G527">
        <v>6</v>
      </c>
      <c r="H527">
        <v>2</v>
      </c>
      <c r="K527">
        <v>7</v>
      </c>
      <c r="L527">
        <v>3</v>
      </c>
      <c r="M527">
        <v>1533333.333333333</v>
      </c>
      <c r="N527">
        <v>720720.72072072001</v>
      </c>
      <c r="O527">
        <v>5112207.2072072076</v>
      </c>
      <c r="P527">
        <v>4933549.549549548</v>
      </c>
      <c r="Q527">
        <v>1097657.6576576571</v>
      </c>
      <c r="R527">
        <v>738468.46846846805</v>
      </c>
      <c r="S527">
        <v>2764</v>
      </c>
      <c r="T527">
        <v>2625</v>
      </c>
    </row>
    <row r="528" spans="1:20" x14ac:dyDescent="0.35">
      <c r="A528" s="7" t="s">
        <v>616</v>
      </c>
      <c r="B528" s="12" t="s">
        <v>60</v>
      </c>
      <c r="C528">
        <v>47975202.290230267</v>
      </c>
      <c r="D528">
        <v>49913831.56459368</v>
      </c>
      <c r="E528">
        <v>37837.837837838</v>
      </c>
      <c r="F528">
        <v>1609909.9099099149</v>
      </c>
      <c r="G528">
        <v>2</v>
      </c>
      <c r="H528">
        <v>14</v>
      </c>
      <c r="K528">
        <v>2</v>
      </c>
      <c r="L528">
        <v>95</v>
      </c>
      <c r="M528">
        <v>7201801.8018018007</v>
      </c>
      <c r="N528">
        <v>10107927.927927928</v>
      </c>
      <c r="O528">
        <v>13987612.612612614</v>
      </c>
      <c r="P528">
        <v>15378657.657657659</v>
      </c>
      <c r="Q528">
        <v>5872972.9729729751</v>
      </c>
      <c r="R528">
        <v>8671171.1711711735</v>
      </c>
      <c r="S528">
        <v>4085</v>
      </c>
      <c r="T528">
        <v>4420</v>
      </c>
    </row>
    <row r="529" spans="1:20" x14ac:dyDescent="0.35">
      <c r="A529" s="7" t="s">
        <v>617</v>
      </c>
      <c r="B529" s="12" t="s">
        <v>60</v>
      </c>
      <c r="C529">
        <v>53340160.951724172</v>
      </c>
      <c r="D529">
        <v>51495825.340106443</v>
      </c>
      <c r="E529">
        <v>281081.081081082</v>
      </c>
      <c r="F529">
        <v>214414.41441441799</v>
      </c>
      <c r="G529">
        <v>5</v>
      </c>
      <c r="H529">
        <v>13</v>
      </c>
      <c r="K529">
        <v>6</v>
      </c>
      <c r="L529">
        <v>18</v>
      </c>
      <c r="M529">
        <v>4046846.8468468459</v>
      </c>
      <c r="N529">
        <v>7163963.963963964</v>
      </c>
      <c r="O529">
        <v>26642972.97297297</v>
      </c>
      <c r="P529">
        <v>24700216.216216218</v>
      </c>
      <c r="Q529">
        <v>5398738.7387387361</v>
      </c>
      <c r="R529">
        <v>5564414.4144144142</v>
      </c>
      <c r="S529">
        <v>5372</v>
      </c>
      <c r="T529">
        <v>5278</v>
      </c>
    </row>
    <row r="530" spans="1:20" x14ac:dyDescent="0.35">
      <c r="A530" s="7" t="s">
        <v>618</v>
      </c>
      <c r="B530" s="12" t="s">
        <v>60</v>
      </c>
      <c r="C530">
        <v>68811362.384399995</v>
      </c>
      <c r="D530">
        <v>68245200.154197454</v>
      </c>
      <c r="E530">
        <v>192792.79279279301</v>
      </c>
      <c r="F530">
        <v>636036.036036039</v>
      </c>
      <c r="G530">
        <v>14</v>
      </c>
      <c r="H530">
        <v>10</v>
      </c>
      <c r="K530">
        <v>15</v>
      </c>
      <c r="L530">
        <v>16</v>
      </c>
      <c r="M530">
        <v>2589189.1891891882</v>
      </c>
      <c r="N530">
        <v>9087207.2072072104</v>
      </c>
      <c r="O530">
        <v>21093144.144144144</v>
      </c>
      <c r="P530">
        <v>22012459.459459461</v>
      </c>
      <c r="Q530">
        <v>1980360.3603603621</v>
      </c>
      <c r="R530">
        <v>8702432.4324324336</v>
      </c>
      <c r="S530">
        <v>6053</v>
      </c>
      <c r="T530">
        <v>7031</v>
      </c>
    </row>
    <row r="531" spans="1:20" x14ac:dyDescent="0.35">
      <c r="A531" s="7" t="s">
        <v>619</v>
      </c>
      <c r="B531" s="12" t="s">
        <v>620</v>
      </c>
      <c r="C531">
        <v>79823575.867949367</v>
      </c>
      <c r="D531">
        <v>78683860.531390101</v>
      </c>
      <c r="E531">
        <v>822252.25225225103</v>
      </c>
      <c r="F531">
        <v>1141216.2162162189</v>
      </c>
      <c r="G531">
        <v>24</v>
      </c>
      <c r="H531">
        <v>18</v>
      </c>
      <c r="K531">
        <v>34</v>
      </c>
      <c r="L531">
        <v>35</v>
      </c>
      <c r="M531">
        <v>8466846.8468468469</v>
      </c>
      <c r="N531">
        <v>5470270.2702702712</v>
      </c>
      <c r="O531">
        <v>10005432.432432435</v>
      </c>
      <c r="P531">
        <v>8688207.2072072066</v>
      </c>
      <c r="Q531">
        <v>3322432.4324324341</v>
      </c>
      <c r="R531">
        <v>7613513.5135135129</v>
      </c>
      <c r="S531">
        <v>7513</v>
      </c>
      <c r="T531">
        <v>8845</v>
      </c>
    </row>
    <row r="532" spans="1:20" x14ac:dyDescent="0.35">
      <c r="A532" s="7" t="s">
        <v>621</v>
      </c>
      <c r="B532" s="12" t="s">
        <v>620</v>
      </c>
      <c r="C532">
        <v>61874815.564985931</v>
      </c>
      <c r="D532">
        <v>57465893.381814629</v>
      </c>
      <c r="E532">
        <v>559304.50450450403</v>
      </c>
      <c r="F532">
        <v>19998731.531531531</v>
      </c>
      <c r="G532">
        <v>16</v>
      </c>
      <c r="H532">
        <v>18</v>
      </c>
      <c r="I532">
        <v>2</v>
      </c>
      <c r="K532">
        <v>26</v>
      </c>
      <c r="L532">
        <v>31</v>
      </c>
      <c r="M532">
        <v>4161572.0720720701</v>
      </c>
      <c r="N532">
        <v>4992792.7927927924</v>
      </c>
      <c r="O532">
        <v>8460202.7027027048</v>
      </c>
      <c r="P532">
        <v>9254142.3423423413</v>
      </c>
      <c r="Q532">
        <v>3685045.0450450452</v>
      </c>
      <c r="R532">
        <v>3841981.981981982</v>
      </c>
      <c r="S532">
        <v>6194</v>
      </c>
      <c r="T532">
        <v>5898</v>
      </c>
    </row>
    <row r="533" spans="1:20" x14ac:dyDescent="0.35">
      <c r="A533" s="7" t="s">
        <v>622</v>
      </c>
      <c r="B533" s="12" t="s">
        <v>620</v>
      </c>
      <c r="C533">
        <v>66445250.676472813</v>
      </c>
      <c r="D533">
        <v>61150914.834187753</v>
      </c>
      <c r="E533">
        <v>11711.711711712</v>
      </c>
      <c r="F533">
        <v>787387.38738739002</v>
      </c>
      <c r="G533">
        <v>17</v>
      </c>
      <c r="H533">
        <v>15</v>
      </c>
      <c r="I533">
        <v>1</v>
      </c>
      <c r="K533">
        <v>27</v>
      </c>
      <c r="L533">
        <v>19</v>
      </c>
      <c r="M533">
        <v>7424324.3243243238</v>
      </c>
      <c r="N533">
        <v>3990990.9909909898</v>
      </c>
      <c r="O533">
        <v>9250135.1351351347</v>
      </c>
      <c r="P533">
        <v>9309590.0900900904</v>
      </c>
      <c r="Q533">
        <v>6958468.4684684668</v>
      </c>
      <c r="R533">
        <v>2540090.0900900881</v>
      </c>
      <c r="S533">
        <v>5969</v>
      </c>
      <c r="T533">
        <v>5659</v>
      </c>
    </row>
    <row r="534" spans="1:20" x14ac:dyDescent="0.35">
      <c r="A534" s="7" t="s">
        <v>623</v>
      </c>
      <c r="B534" s="12" t="s">
        <v>620</v>
      </c>
      <c r="C534">
        <v>45134969.422360271</v>
      </c>
      <c r="D534">
        <v>42783925.82885538</v>
      </c>
      <c r="E534">
        <v>140540.540540541</v>
      </c>
      <c r="F534">
        <v>158558.55855855899</v>
      </c>
      <c r="G534">
        <v>20</v>
      </c>
      <c r="H534">
        <v>10</v>
      </c>
      <c r="K534">
        <v>30</v>
      </c>
      <c r="L534">
        <v>14</v>
      </c>
      <c r="M534">
        <v>3726576.5765765761</v>
      </c>
      <c r="N534">
        <v>2936036.036036036</v>
      </c>
      <c r="O534">
        <v>5588963.963963965</v>
      </c>
      <c r="P534">
        <v>6158117.1171171181</v>
      </c>
      <c r="Q534">
        <v>3830090.0900900909</v>
      </c>
      <c r="R534">
        <v>4491621.6216216218</v>
      </c>
      <c r="S534">
        <v>3553</v>
      </c>
      <c r="T534">
        <v>3498</v>
      </c>
    </row>
    <row r="535" spans="1:20" x14ac:dyDescent="0.35">
      <c r="A535" s="7" t="s">
        <v>624</v>
      </c>
      <c r="B535" s="12" t="s">
        <v>260</v>
      </c>
      <c r="C535">
        <v>24930933.277114749</v>
      </c>
      <c r="D535">
        <v>21724010.217451837</v>
      </c>
      <c r="F535">
        <v>47747.747747747999</v>
      </c>
      <c r="G535">
        <v>1</v>
      </c>
      <c r="H535">
        <v>1</v>
      </c>
      <c r="K535">
        <v>1</v>
      </c>
      <c r="L535">
        <v>1</v>
      </c>
      <c r="M535">
        <v>5495495.4954954963</v>
      </c>
      <c r="N535">
        <v>49549.54954955</v>
      </c>
      <c r="O535">
        <v>8091387.3873873875</v>
      </c>
      <c r="P535">
        <v>7296360.3603603598</v>
      </c>
      <c r="Q535">
        <v>2748648.6486486481</v>
      </c>
      <c r="R535">
        <v>3360810.8108108109</v>
      </c>
      <c r="S535">
        <v>2138</v>
      </c>
      <c r="T535">
        <v>2039</v>
      </c>
    </row>
    <row r="536" spans="1:20" x14ac:dyDescent="0.35">
      <c r="A536" s="7" t="s">
        <v>625</v>
      </c>
      <c r="B536" s="12" t="s">
        <v>52</v>
      </c>
      <c r="C536">
        <v>36624499.919111632</v>
      </c>
      <c r="D536">
        <v>37259985.580639258</v>
      </c>
      <c r="E536">
        <v>8288.2882882880003</v>
      </c>
      <c r="F536">
        <v>27027.027027027001</v>
      </c>
      <c r="G536">
        <v>6</v>
      </c>
      <c r="H536">
        <v>11</v>
      </c>
      <c r="K536">
        <v>8</v>
      </c>
      <c r="L536">
        <v>26</v>
      </c>
      <c r="M536">
        <v>47477.477477476998</v>
      </c>
      <c r="N536">
        <v>927927.92792792805</v>
      </c>
      <c r="O536">
        <v>12848144.144144144</v>
      </c>
      <c r="P536">
        <v>13964153.153153151</v>
      </c>
      <c r="Q536">
        <v>1048648.648648649</v>
      </c>
      <c r="R536">
        <v>1131081.0810810809</v>
      </c>
      <c r="S536">
        <v>4336</v>
      </c>
      <c r="T536">
        <v>4970</v>
      </c>
    </row>
    <row r="537" spans="1:20" x14ac:dyDescent="0.35">
      <c r="A537" s="7" t="s">
        <v>626</v>
      </c>
      <c r="B537" s="12" t="s">
        <v>96</v>
      </c>
      <c r="C537">
        <v>88313345.788193151</v>
      </c>
      <c r="D537">
        <v>84574929.158731312</v>
      </c>
      <c r="E537">
        <v>20989715.315315317</v>
      </c>
      <c r="F537">
        <v>24563823.423423424</v>
      </c>
      <c r="G537">
        <v>39</v>
      </c>
      <c r="H537">
        <v>39</v>
      </c>
      <c r="I537">
        <v>1</v>
      </c>
      <c r="K537">
        <v>53</v>
      </c>
      <c r="L537">
        <v>52</v>
      </c>
      <c r="M537">
        <v>19638198.198198192</v>
      </c>
      <c r="N537">
        <v>22694819.819819819</v>
      </c>
      <c r="O537">
        <v>27544189.189189192</v>
      </c>
      <c r="P537">
        <v>28488698.198198199</v>
      </c>
      <c r="Q537">
        <v>16327567.567567565</v>
      </c>
      <c r="R537">
        <v>15955495.495495496</v>
      </c>
      <c r="S537">
        <v>10721</v>
      </c>
      <c r="T537">
        <v>10593</v>
      </c>
    </row>
    <row r="538" spans="1:20" x14ac:dyDescent="0.35">
      <c r="A538" s="7" t="s">
        <v>627</v>
      </c>
      <c r="B538" s="12" t="s">
        <v>96</v>
      </c>
      <c r="C538">
        <v>156805923.48681182</v>
      </c>
      <c r="D538">
        <v>140641790.56358072</v>
      </c>
      <c r="E538">
        <v>289729.72972973099</v>
      </c>
      <c r="F538">
        <v>644144.144144146</v>
      </c>
      <c r="G538">
        <v>34</v>
      </c>
      <c r="H538">
        <v>16</v>
      </c>
      <c r="I538">
        <v>1</v>
      </c>
      <c r="K538">
        <v>51</v>
      </c>
      <c r="L538">
        <v>26</v>
      </c>
      <c r="M538">
        <v>19892972.972972974</v>
      </c>
      <c r="N538">
        <v>22491441.441441443</v>
      </c>
      <c r="O538">
        <v>61967576.576576576</v>
      </c>
      <c r="P538">
        <v>56330918.918918923</v>
      </c>
      <c r="Q538">
        <v>26709009.009009011</v>
      </c>
      <c r="R538">
        <v>34621801.801801801</v>
      </c>
      <c r="S538">
        <v>13781</v>
      </c>
      <c r="T538">
        <v>13352</v>
      </c>
    </row>
    <row r="539" spans="1:20" x14ac:dyDescent="0.35">
      <c r="A539" s="7" t="s">
        <v>628</v>
      </c>
      <c r="B539" s="12" t="s">
        <v>448</v>
      </c>
      <c r="C539">
        <v>111094389.50813702</v>
      </c>
      <c r="D539">
        <v>104191467.01242281</v>
      </c>
      <c r="E539">
        <v>106142691.89189188</v>
      </c>
      <c r="F539">
        <v>41567496.396396399</v>
      </c>
      <c r="G539">
        <v>41</v>
      </c>
      <c r="H539">
        <v>19</v>
      </c>
      <c r="K539">
        <v>60</v>
      </c>
      <c r="L539">
        <v>26</v>
      </c>
      <c r="M539">
        <v>31363963.963963959</v>
      </c>
      <c r="N539">
        <v>27542792.792792793</v>
      </c>
      <c r="O539">
        <v>31795621.621621624</v>
      </c>
      <c r="P539">
        <v>30373369.369369369</v>
      </c>
      <c r="Q539">
        <v>30872792.792792793</v>
      </c>
      <c r="R539">
        <v>21119819.819819819</v>
      </c>
      <c r="S539">
        <v>11647</v>
      </c>
      <c r="T539">
        <v>11227</v>
      </c>
    </row>
    <row r="540" spans="1:20" x14ac:dyDescent="0.35">
      <c r="A540" s="7" t="s">
        <v>629</v>
      </c>
      <c r="B540" s="12" t="s">
        <v>78</v>
      </c>
      <c r="C540">
        <v>5177287.3503839746</v>
      </c>
      <c r="D540">
        <v>5166261.6669781823</v>
      </c>
      <c r="E540">
        <v>180180.18018018</v>
      </c>
      <c r="F540">
        <v>278378.37837837799</v>
      </c>
      <c r="G540">
        <v>1</v>
      </c>
      <c r="H540">
        <v>1</v>
      </c>
      <c r="K540">
        <v>2</v>
      </c>
      <c r="L540">
        <v>1</v>
      </c>
      <c r="M540">
        <v>180180.18018018</v>
      </c>
      <c r="N540">
        <v>638738.738738738</v>
      </c>
      <c r="O540">
        <v>1468198.1981981981</v>
      </c>
      <c r="P540">
        <v>1547333.333333333</v>
      </c>
      <c r="Q540">
        <v>257657.65765765801</v>
      </c>
      <c r="R540">
        <v>527027.02702702698</v>
      </c>
      <c r="S540">
        <v>441</v>
      </c>
      <c r="T540">
        <v>350</v>
      </c>
    </row>
    <row r="541" spans="1:20" x14ac:dyDescent="0.35">
      <c r="A541" s="7" t="s">
        <v>630</v>
      </c>
      <c r="B541" s="12" t="s">
        <v>241</v>
      </c>
      <c r="C541">
        <v>29125803.711713497</v>
      </c>
      <c r="D541">
        <v>27414078.412732158</v>
      </c>
      <c r="E541">
        <v>30578981.981981985</v>
      </c>
      <c r="F541">
        <v>2103601.801801804</v>
      </c>
      <c r="G541">
        <v>11</v>
      </c>
      <c r="H541">
        <v>12</v>
      </c>
      <c r="K541">
        <v>13</v>
      </c>
      <c r="L541">
        <v>15</v>
      </c>
      <c r="M541">
        <v>5454324.3243243247</v>
      </c>
      <c r="N541">
        <v>4241711.7117117122</v>
      </c>
      <c r="O541">
        <v>6735810.81081081</v>
      </c>
      <c r="P541">
        <v>5915540.5405405406</v>
      </c>
      <c r="Q541">
        <v>4899009.0090090102</v>
      </c>
      <c r="R541">
        <v>2041261.2612612611</v>
      </c>
      <c r="S541">
        <v>2795</v>
      </c>
      <c r="T541">
        <v>2870</v>
      </c>
    </row>
    <row r="542" spans="1:20" x14ac:dyDescent="0.35">
      <c r="A542" s="7" t="s">
        <v>631</v>
      </c>
      <c r="B542" s="12" t="s">
        <v>68</v>
      </c>
      <c r="C542">
        <v>126273730.90267371</v>
      </c>
      <c r="D542">
        <v>120914832.96980426</v>
      </c>
      <c r="E542">
        <v>422522.522522524</v>
      </c>
      <c r="F542">
        <v>1517342.3423423441</v>
      </c>
      <c r="G542">
        <v>10</v>
      </c>
      <c r="H542">
        <v>17</v>
      </c>
      <c r="K542">
        <v>18</v>
      </c>
      <c r="L542">
        <v>22</v>
      </c>
      <c r="M542">
        <v>13362522.522522522</v>
      </c>
      <c r="N542">
        <v>9420270.2702702712</v>
      </c>
      <c r="O542">
        <v>21328378.378378376</v>
      </c>
      <c r="P542">
        <v>21253585.585585587</v>
      </c>
      <c r="Q542">
        <v>9191711.7117117085</v>
      </c>
      <c r="R542">
        <v>10181621.62162162</v>
      </c>
      <c r="S542">
        <v>8980</v>
      </c>
      <c r="T542">
        <v>9066</v>
      </c>
    </row>
    <row r="543" spans="1:20" x14ac:dyDescent="0.35">
      <c r="A543" s="7" t="s">
        <v>632</v>
      </c>
      <c r="B543" s="12" t="s">
        <v>70</v>
      </c>
      <c r="C543">
        <v>1110992.1054816169</v>
      </c>
      <c r="D543">
        <v>998231.26229879202</v>
      </c>
      <c r="F543">
        <v>40540.540540540998</v>
      </c>
      <c r="L543">
        <v>1</v>
      </c>
      <c r="N543">
        <v>40540.540540540998</v>
      </c>
      <c r="O543">
        <v>645630.630630631</v>
      </c>
      <c r="P543">
        <v>582702.70270270295</v>
      </c>
      <c r="Q543">
        <v>27297.297297296998</v>
      </c>
      <c r="R543">
        <v>164864.864864865</v>
      </c>
      <c r="S543">
        <v>207</v>
      </c>
      <c r="T543">
        <v>184</v>
      </c>
    </row>
    <row r="544" spans="1:20" x14ac:dyDescent="0.35">
      <c r="A544" s="7" t="s">
        <v>633</v>
      </c>
      <c r="B544" s="12" t="s">
        <v>60</v>
      </c>
      <c r="C544">
        <v>9710002.1915247794</v>
      </c>
      <c r="D544">
        <v>9991653.0708824564</v>
      </c>
      <c r="E544">
        <v>900.900900901</v>
      </c>
      <c r="F544">
        <v>1801.801801802</v>
      </c>
      <c r="G544">
        <v>1</v>
      </c>
      <c r="H544">
        <v>2</v>
      </c>
      <c r="K544">
        <v>2</v>
      </c>
      <c r="L544">
        <v>5</v>
      </c>
      <c r="M544">
        <v>181081.08108108101</v>
      </c>
      <c r="N544">
        <v>479279.279279279</v>
      </c>
      <c r="O544">
        <v>3655270.2702702698</v>
      </c>
      <c r="P544">
        <v>4659324.3243243247</v>
      </c>
      <c r="Q544">
        <v>76126.126126125993</v>
      </c>
      <c r="R544">
        <v>113963.96396396399</v>
      </c>
      <c r="S544">
        <v>1023</v>
      </c>
      <c r="T544">
        <v>1326</v>
      </c>
    </row>
    <row r="545" spans="1:20" x14ac:dyDescent="0.35">
      <c r="A545" s="7" t="s">
        <v>634</v>
      </c>
      <c r="B545" s="12" t="s">
        <v>80</v>
      </c>
      <c r="C545">
        <v>100441443.14389487</v>
      </c>
      <c r="D545">
        <v>96232115.69136925</v>
      </c>
      <c r="E545">
        <v>939639.63963964104</v>
      </c>
      <c r="F545">
        <v>1036036.036036038</v>
      </c>
      <c r="G545">
        <v>21</v>
      </c>
      <c r="H545">
        <v>8</v>
      </c>
      <c r="K545">
        <v>29</v>
      </c>
      <c r="L545">
        <v>9</v>
      </c>
      <c r="M545">
        <v>13727387.387387387</v>
      </c>
      <c r="N545">
        <v>9461261.2612612601</v>
      </c>
      <c r="O545">
        <v>18587432.432432432</v>
      </c>
      <c r="P545">
        <v>19353635.135135137</v>
      </c>
      <c r="Q545">
        <v>12203153.153153151</v>
      </c>
      <c r="R545">
        <v>9395585.5855855886</v>
      </c>
      <c r="S545">
        <v>6421</v>
      </c>
      <c r="T545">
        <v>6632</v>
      </c>
    </row>
    <row r="546" spans="1:20" x14ac:dyDescent="0.35">
      <c r="A546" s="7" t="s">
        <v>635</v>
      </c>
      <c r="B546" s="12" t="s">
        <v>134</v>
      </c>
      <c r="C546">
        <v>16401980.984707825</v>
      </c>
      <c r="D546">
        <v>16609927.748239884</v>
      </c>
      <c r="G546">
        <v>1</v>
      </c>
      <c r="H546">
        <v>1</v>
      </c>
      <c r="K546">
        <v>2</v>
      </c>
      <c r="L546">
        <v>4</v>
      </c>
      <c r="N546">
        <v>630630.630630631</v>
      </c>
      <c r="O546">
        <v>1075900.900900902</v>
      </c>
      <c r="P546">
        <v>1470549.5495495501</v>
      </c>
      <c r="Q546">
        <v>245045.045045045</v>
      </c>
      <c r="R546">
        <v>190990.99099099101</v>
      </c>
      <c r="S546">
        <v>1447</v>
      </c>
      <c r="T546">
        <v>1528</v>
      </c>
    </row>
    <row r="547" spans="1:20" x14ac:dyDescent="0.35">
      <c r="A547" s="7" t="s">
        <v>636</v>
      </c>
      <c r="B547" s="12" t="s">
        <v>479</v>
      </c>
      <c r="C547">
        <v>59531535.526741192</v>
      </c>
      <c r="D547">
        <v>52134133.800799057</v>
      </c>
      <c r="E547">
        <v>18468.468468469</v>
      </c>
      <c r="F547">
        <v>436036.03603603703</v>
      </c>
      <c r="G547">
        <v>2</v>
      </c>
      <c r="H547">
        <v>4</v>
      </c>
      <c r="K547">
        <v>2</v>
      </c>
      <c r="L547">
        <v>5</v>
      </c>
      <c r="M547">
        <v>8473423.4234234206</v>
      </c>
      <c r="N547">
        <v>11204504.504504506</v>
      </c>
      <c r="O547">
        <v>18089211.711711712</v>
      </c>
      <c r="P547">
        <v>16547126.126126125</v>
      </c>
      <c r="Q547">
        <v>7201351.3513513487</v>
      </c>
      <c r="R547">
        <v>10612882.882882884</v>
      </c>
      <c r="S547">
        <v>5710</v>
      </c>
      <c r="T547">
        <v>5636</v>
      </c>
    </row>
    <row r="548" spans="1:20" x14ac:dyDescent="0.35">
      <c r="A548" s="7" t="s">
        <v>637</v>
      </c>
      <c r="B548" s="12" t="s">
        <v>143</v>
      </c>
      <c r="C548">
        <v>99332487.689267829</v>
      </c>
      <c r="D548">
        <v>92908461.406765312</v>
      </c>
      <c r="E548">
        <v>48117595.495495498</v>
      </c>
      <c r="F548">
        <v>4889080.1801801827</v>
      </c>
      <c r="G548">
        <v>12</v>
      </c>
      <c r="H548">
        <v>9</v>
      </c>
      <c r="K548">
        <v>17</v>
      </c>
      <c r="L548">
        <v>22</v>
      </c>
      <c r="M548">
        <v>13596396.396396395</v>
      </c>
      <c r="N548">
        <v>5027027.0270270314</v>
      </c>
      <c r="O548">
        <v>9340072.072072072</v>
      </c>
      <c r="P548">
        <v>11641369.369369373</v>
      </c>
      <c r="Q548">
        <v>6210540.5405405378</v>
      </c>
      <c r="R548">
        <v>3366216.2162162149</v>
      </c>
      <c r="S548">
        <v>9697</v>
      </c>
      <c r="T548">
        <v>9485</v>
      </c>
    </row>
    <row r="549" spans="1:20" x14ac:dyDescent="0.35">
      <c r="A549" s="7" t="s">
        <v>638</v>
      </c>
      <c r="B549" s="12" t="s">
        <v>241</v>
      </c>
      <c r="C549">
        <v>103046027.11382142</v>
      </c>
      <c r="D549">
        <v>95898534.839315072</v>
      </c>
      <c r="E549">
        <v>154054.054054054</v>
      </c>
      <c r="F549">
        <v>745945.94594594894</v>
      </c>
      <c r="G549">
        <v>39</v>
      </c>
      <c r="H549">
        <v>47</v>
      </c>
      <c r="K549">
        <v>47</v>
      </c>
      <c r="L549">
        <v>56</v>
      </c>
      <c r="M549">
        <v>4219549.5495495489</v>
      </c>
      <c r="N549">
        <v>5214414.4144144151</v>
      </c>
      <c r="O549">
        <v>34226243.243243247</v>
      </c>
      <c r="P549">
        <v>29915081.081081081</v>
      </c>
      <c r="Q549">
        <v>4401531.5315315314</v>
      </c>
      <c r="R549">
        <v>4049189.18918919</v>
      </c>
      <c r="S549">
        <v>12749</v>
      </c>
      <c r="T549">
        <v>12473</v>
      </c>
    </row>
    <row r="550" spans="1:20" x14ac:dyDescent="0.35">
      <c r="A550" s="7" t="s">
        <v>639</v>
      </c>
      <c r="B550" s="12" t="s">
        <v>132</v>
      </c>
      <c r="C550">
        <v>42761511.917902574</v>
      </c>
      <c r="D550">
        <v>38233125.876140296</v>
      </c>
      <c r="E550">
        <v>3603.603603604</v>
      </c>
      <c r="G550">
        <v>10</v>
      </c>
      <c r="H550">
        <v>11</v>
      </c>
      <c r="K550">
        <v>16</v>
      </c>
      <c r="L550">
        <v>16</v>
      </c>
      <c r="M550">
        <v>3607207.2072072071</v>
      </c>
      <c r="N550">
        <v>630630.63063062995</v>
      </c>
      <c r="O550">
        <v>14600000</v>
      </c>
      <c r="P550">
        <v>13170486.486486485</v>
      </c>
      <c r="Q550">
        <v>3775675.6756756762</v>
      </c>
      <c r="R550">
        <v>281621.62162162201</v>
      </c>
      <c r="S550">
        <v>5709</v>
      </c>
      <c r="T550">
        <v>5391</v>
      </c>
    </row>
    <row r="551" spans="1:20" x14ac:dyDescent="0.35">
      <c r="A551" s="7" t="s">
        <v>640</v>
      </c>
      <c r="B551" s="12" t="s">
        <v>134</v>
      </c>
      <c r="C551">
        <v>122849212.13822295</v>
      </c>
      <c r="D551">
        <v>115373679.14261383</v>
      </c>
      <c r="E551">
        <v>27027.027027027001</v>
      </c>
      <c r="F551">
        <v>252252.25225225301</v>
      </c>
      <c r="G551">
        <v>14</v>
      </c>
      <c r="H551">
        <v>7</v>
      </c>
      <c r="K551">
        <v>15</v>
      </c>
      <c r="L551">
        <v>13</v>
      </c>
      <c r="M551">
        <v>8639639.6396396384</v>
      </c>
      <c r="N551">
        <v>8397477.477477476</v>
      </c>
      <c r="O551">
        <v>13390220.72072072</v>
      </c>
      <c r="P551">
        <v>15446863.063063065</v>
      </c>
      <c r="Q551">
        <v>7314594.5945945978</v>
      </c>
      <c r="R551">
        <v>7679772.9729729714</v>
      </c>
      <c r="S551">
        <v>7412</v>
      </c>
      <c r="T551">
        <v>7471</v>
      </c>
    </row>
    <row r="552" spans="1:20" x14ac:dyDescent="0.35">
      <c r="A552" s="7" t="s">
        <v>641</v>
      </c>
      <c r="B552" s="12" t="s">
        <v>80</v>
      </c>
      <c r="C552">
        <v>60763565.630902164</v>
      </c>
      <c r="D552">
        <v>58087211.478526823</v>
      </c>
      <c r="E552">
        <v>900.900900901</v>
      </c>
      <c r="F552">
        <v>35135.135135135999</v>
      </c>
      <c r="G552">
        <v>5</v>
      </c>
      <c r="H552">
        <v>6</v>
      </c>
      <c r="I552">
        <v>1</v>
      </c>
      <c r="K552">
        <v>5</v>
      </c>
      <c r="L552">
        <v>8</v>
      </c>
      <c r="M552">
        <v>8102702.702702703</v>
      </c>
      <c r="N552">
        <v>494594.59459459502</v>
      </c>
      <c r="O552">
        <v>20834297.297297295</v>
      </c>
      <c r="P552">
        <v>20913734.234234232</v>
      </c>
      <c r="Q552">
        <v>5457117.1171171162</v>
      </c>
      <c r="R552">
        <v>5035765.7657657666</v>
      </c>
      <c r="S552">
        <v>5025</v>
      </c>
      <c r="T552">
        <v>4871</v>
      </c>
    </row>
    <row r="553" spans="1:20" x14ac:dyDescent="0.35">
      <c r="A553" s="7" t="s">
        <v>642</v>
      </c>
      <c r="B553" s="12" t="s">
        <v>169</v>
      </c>
      <c r="C553">
        <v>109603382.9675414</v>
      </c>
      <c r="D553">
        <v>95493412.794194177</v>
      </c>
      <c r="E553">
        <v>301351.35135135101</v>
      </c>
      <c r="F553">
        <v>117117.117117117</v>
      </c>
      <c r="G553">
        <v>13</v>
      </c>
      <c r="H553">
        <v>12</v>
      </c>
      <c r="I553">
        <v>1</v>
      </c>
      <c r="K553">
        <v>15</v>
      </c>
      <c r="L553">
        <v>14</v>
      </c>
      <c r="M553">
        <v>7598648.6486486495</v>
      </c>
      <c r="N553">
        <v>5117117.1171171162</v>
      </c>
      <c r="O553">
        <v>34651576.576576576</v>
      </c>
      <c r="P553">
        <v>33197657.657657657</v>
      </c>
      <c r="Q553">
        <v>7832252.2522522518</v>
      </c>
      <c r="R553">
        <v>6543603.6036036042</v>
      </c>
      <c r="S553">
        <v>8931</v>
      </c>
      <c r="T553">
        <v>8659</v>
      </c>
    </row>
    <row r="554" spans="1:20" x14ac:dyDescent="0.35">
      <c r="A554" s="7" t="s">
        <v>643</v>
      </c>
      <c r="B554" s="12" t="s">
        <v>58</v>
      </c>
      <c r="C554">
        <v>184836896.19241583</v>
      </c>
      <c r="D554">
        <v>171637625.68472901</v>
      </c>
      <c r="E554">
        <v>765315.31531531701</v>
      </c>
      <c r="F554">
        <v>1375675.6756756741</v>
      </c>
      <c r="G554">
        <v>39</v>
      </c>
      <c r="H554">
        <v>24</v>
      </c>
      <c r="K554">
        <v>44</v>
      </c>
      <c r="L554">
        <v>30</v>
      </c>
      <c r="M554">
        <v>16314864.864864863</v>
      </c>
      <c r="N554">
        <v>9509909.9099099077</v>
      </c>
      <c r="O554">
        <v>36857477.477477483</v>
      </c>
      <c r="P554">
        <v>35677927.927927926</v>
      </c>
      <c r="Q554">
        <v>10070540.540540541</v>
      </c>
      <c r="R554">
        <v>10276216.216216216</v>
      </c>
      <c r="S554">
        <v>17626</v>
      </c>
      <c r="T554">
        <v>17299</v>
      </c>
    </row>
    <row r="555" spans="1:20" x14ac:dyDescent="0.35">
      <c r="A555" s="7" t="s">
        <v>644</v>
      </c>
      <c r="B555" s="12" t="s">
        <v>58</v>
      </c>
      <c r="C555">
        <v>229372386.8580358</v>
      </c>
      <c r="D555">
        <v>221002757.31611624</v>
      </c>
      <c r="E555">
        <v>124079486.48648649</v>
      </c>
      <c r="F555">
        <v>4414864.864864869</v>
      </c>
      <c r="G555">
        <v>43</v>
      </c>
      <c r="H555">
        <v>49</v>
      </c>
      <c r="K555">
        <v>62</v>
      </c>
      <c r="L555">
        <v>76</v>
      </c>
      <c r="M555">
        <v>32916666.666666664</v>
      </c>
      <c r="N555">
        <v>35056756.75675676</v>
      </c>
      <c r="O555">
        <v>59090484.684684686</v>
      </c>
      <c r="P555">
        <v>59922594.59459459</v>
      </c>
      <c r="Q555">
        <v>24806036.036036041</v>
      </c>
      <c r="R555">
        <v>30485765.765765768</v>
      </c>
      <c r="S555">
        <v>22424</v>
      </c>
      <c r="T555">
        <v>21966</v>
      </c>
    </row>
    <row r="556" spans="1:20" x14ac:dyDescent="0.35">
      <c r="A556" s="7" t="s">
        <v>645</v>
      </c>
      <c r="B556" s="12" t="s">
        <v>307</v>
      </c>
      <c r="C556">
        <v>73936616.54742302</v>
      </c>
      <c r="D556">
        <v>68179615.793916821</v>
      </c>
      <c r="E556">
        <v>457657.65765765798</v>
      </c>
      <c r="F556">
        <v>827027.02702702803</v>
      </c>
      <c r="G556">
        <v>10</v>
      </c>
      <c r="H556">
        <v>4</v>
      </c>
      <c r="K556">
        <v>11</v>
      </c>
      <c r="L556">
        <v>4</v>
      </c>
      <c r="M556">
        <v>1596396.3963963969</v>
      </c>
      <c r="N556">
        <v>1277477.4774774781</v>
      </c>
      <c r="O556">
        <v>12176621.621621622</v>
      </c>
      <c r="P556">
        <v>11449549.54954955</v>
      </c>
      <c r="Q556">
        <v>1567567.567567568</v>
      </c>
      <c r="R556">
        <v>1070270.2702702701</v>
      </c>
      <c r="S556">
        <v>5329</v>
      </c>
      <c r="T556">
        <v>5225</v>
      </c>
    </row>
    <row r="557" spans="1:20" x14ac:dyDescent="0.35">
      <c r="A557" s="7" t="s">
        <v>13</v>
      </c>
      <c r="B557" s="12" t="s">
        <v>158</v>
      </c>
      <c r="C557">
        <v>82864196.514485732</v>
      </c>
      <c r="D557">
        <v>76603437.995118037</v>
      </c>
      <c r="E557">
        <v>79729.729729731</v>
      </c>
      <c r="F557">
        <v>369369.36936937098</v>
      </c>
      <c r="G557">
        <v>6</v>
      </c>
      <c r="H557">
        <v>5</v>
      </c>
      <c r="K557">
        <v>7</v>
      </c>
      <c r="L557">
        <v>90</v>
      </c>
      <c r="M557">
        <v>14045855.855855852</v>
      </c>
      <c r="N557">
        <v>16557027.02702703</v>
      </c>
      <c r="O557">
        <v>44361689.189189181</v>
      </c>
      <c r="P557">
        <v>42558747.747747742</v>
      </c>
      <c r="Q557">
        <v>17492882.882882874</v>
      </c>
      <c r="R557">
        <v>18064594.594594602</v>
      </c>
      <c r="S557">
        <v>7507</v>
      </c>
      <c r="T557">
        <v>6971</v>
      </c>
    </row>
    <row r="558" spans="1:20" x14ac:dyDescent="0.35">
      <c r="A558" s="7" t="s">
        <v>646</v>
      </c>
      <c r="B558" s="12" t="s">
        <v>121</v>
      </c>
      <c r="C558">
        <v>57752439.990365975</v>
      </c>
      <c r="D558">
        <v>60137808.653548971</v>
      </c>
      <c r="E558">
        <v>900.900900901</v>
      </c>
      <c r="F558">
        <v>68468.468468467996</v>
      </c>
      <c r="G558">
        <v>11</v>
      </c>
      <c r="H558">
        <v>8</v>
      </c>
      <c r="K558">
        <v>11</v>
      </c>
      <c r="L558">
        <v>9</v>
      </c>
      <c r="M558">
        <v>181081.08108108101</v>
      </c>
      <c r="N558">
        <v>252252.25225225199</v>
      </c>
      <c r="O558">
        <v>4835855.855855857</v>
      </c>
      <c r="P558">
        <v>4948603.6036036033</v>
      </c>
      <c r="Q558">
        <v>61261.261261261003</v>
      </c>
      <c r="R558">
        <v>62612.612612612997</v>
      </c>
      <c r="S558">
        <v>3085</v>
      </c>
      <c r="T558">
        <v>4571</v>
      </c>
    </row>
    <row r="559" spans="1:20" x14ac:dyDescent="0.35">
      <c r="A559" s="7" t="s">
        <v>647</v>
      </c>
      <c r="B559" s="12" t="s">
        <v>315</v>
      </c>
      <c r="C559">
        <v>20826323.925429039</v>
      </c>
      <c r="D559">
        <v>18323545.54070586</v>
      </c>
      <c r="E559">
        <v>181081.08108108101</v>
      </c>
      <c r="F559">
        <v>274774.77477477398</v>
      </c>
      <c r="G559">
        <v>2</v>
      </c>
      <c r="H559">
        <v>2</v>
      </c>
      <c r="K559">
        <v>3</v>
      </c>
      <c r="L559">
        <v>3</v>
      </c>
      <c r="M559">
        <v>322972.97297297098</v>
      </c>
      <c r="N559">
        <v>1751351.3513513501</v>
      </c>
      <c r="O559">
        <v>3826463.963963964</v>
      </c>
      <c r="P559">
        <v>4082369.369369369</v>
      </c>
      <c r="Q559">
        <v>855675.67567567399</v>
      </c>
      <c r="R559">
        <v>2827387.3873873879</v>
      </c>
      <c r="S559">
        <v>1324</v>
      </c>
      <c r="T559">
        <v>1269</v>
      </c>
    </row>
    <row r="560" spans="1:20" x14ac:dyDescent="0.35">
      <c r="A560" s="7" t="s">
        <v>648</v>
      </c>
      <c r="B560" s="12" t="s">
        <v>260</v>
      </c>
      <c r="C560">
        <v>51690462.245848894</v>
      </c>
      <c r="D560">
        <v>47397670.127945378</v>
      </c>
      <c r="E560">
        <v>145315.31531531501</v>
      </c>
      <c r="F560">
        <v>519144.14414414502</v>
      </c>
      <c r="G560">
        <v>11</v>
      </c>
      <c r="H560">
        <v>16</v>
      </c>
      <c r="K560">
        <v>11</v>
      </c>
      <c r="L560">
        <v>20</v>
      </c>
      <c r="M560">
        <v>10505675.675675675</v>
      </c>
      <c r="N560">
        <v>8239639.6396396402</v>
      </c>
      <c r="O560">
        <v>16186036.036036037</v>
      </c>
      <c r="P560">
        <v>16459477.477477476</v>
      </c>
      <c r="Q560">
        <v>10125225.225225223</v>
      </c>
      <c r="R560">
        <v>10082252.252252253</v>
      </c>
      <c r="S560">
        <v>4113</v>
      </c>
      <c r="T560">
        <v>4354</v>
      </c>
    </row>
    <row r="561" spans="1:20" x14ac:dyDescent="0.35">
      <c r="A561" s="7" t="s">
        <v>649</v>
      </c>
      <c r="B561" s="12" t="s">
        <v>224</v>
      </c>
      <c r="C561">
        <v>53442614.552551255</v>
      </c>
      <c r="D561">
        <v>47200906.897335716</v>
      </c>
      <c r="E561">
        <v>22972.972972972999</v>
      </c>
      <c r="F561">
        <v>272747.74774775002</v>
      </c>
      <c r="G561">
        <v>8</v>
      </c>
      <c r="H561">
        <v>8</v>
      </c>
      <c r="K561">
        <v>13</v>
      </c>
      <c r="L561">
        <v>12</v>
      </c>
      <c r="M561">
        <v>2677207.207207209</v>
      </c>
      <c r="N561">
        <v>4801441.441441441</v>
      </c>
      <c r="O561">
        <v>10946531.531531531</v>
      </c>
      <c r="P561">
        <v>11166828.828828828</v>
      </c>
      <c r="Q561">
        <v>2481711.7117117131</v>
      </c>
      <c r="R561">
        <v>5508468.4684684658</v>
      </c>
      <c r="S561">
        <v>5625</v>
      </c>
      <c r="T561">
        <v>5447</v>
      </c>
    </row>
    <row r="562" spans="1:20" x14ac:dyDescent="0.35">
      <c r="A562" s="7" t="s">
        <v>650</v>
      </c>
      <c r="B562" s="12" t="s">
        <v>224</v>
      </c>
      <c r="C562">
        <v>45474700.584107302</v>
      </c>
      <c r="D562">
        <v>39183925.333711065</v>
      </c>
      <c r="E562">
        <v>41908108.108108111</v>
      </c>
      <c r="G562">
        <v>2</v>
      </c>
      <c r="H562">
        <v>6</v>
      </c>
      <c r="K562">
        <v>2</v>
      </c>
      <c r="L562">
        <v>6</v>
      </c>
      <c r="M562">
        <v>3047747.7477477472</v>
      </c>
      <c r="N562">
        <v>1344144.144144143</v>
      </c>
      <c r="O562">
        <v>5636576.5765765766</v>
      </c>
      <c r="P562">
        <v>6130351.3513513524</v>
      </c>
      <c r="Q562">
        <v>1107027.027027027</v>
      </c>
      <c r="R562">
        <v>332882.88288288302</v>
      </c>
      <c r="S562">
        <v>3099</v>
      </c>
      <c r="T562">
        <v>3106</v>
      </c>
    </row>
    <row r="563" spans="1:20" x14ac:dyDescent="0.35">
      <c r="A563" s="7" t="s">
        <v>651</v>
      </c>
      <c r="B563" s="12" t="s">
        <v>224</v>
      </c>
      <c r="C563">
        <v>166719403.62193763</v>
      </c>
      <c r="D563">
        <v>151397574.67703626</v>
      </c>
      <c r="E563">
        <v>1794590.990990994</v>
      </c>
      <c r="F563">
        <v>2103272.0720720761</v>
      </c>
      <c r="G563">
        <v>34</v>
      </c>
      <c r="H563">
        <v>33</v>
      </c>
      <c r="I563">
        <v>1</v>
      </c>
      <c r="K563">
        <v>58</v>
      </c>
      <c r="L563">
        <v>56</v>
      </c>
      <c r="M563">
        <v>26904054.054054059</v>
      </c>
      <c r="N563">
        <v>19493153.153153155</v>
      </c>
      <c r="O563">
        <v>38255693.693693697</v>
      </c>
      <c r="P563">
        <v>39197063.063063063</v>
      </c>
      <c r="Q563">
        <v>17749639.63963965</v>
      </c>
      <c r="R563">
        <v>16506126.126126127</v>
      </c>
      <c r="S563">
        <v>18154</v>
      </c>
      <c r="T563">
        <v>18533</v>
      </c>
    </row>
    <row r="564" spans="1:20" x14ac:dyDescent="0.35">
      <c r="A564" s="7" t="s">
        <v>652</v>
      </c>
      <c r="B564" s="12" t="s">
        <v>224</v>
      </c>
      <c r="C564">
        <v>19475207.084377497</v>
      </c>
      <c r="D564">
        <v>19679225.24951677</v>
      </c>
      <c r="F564">
        <v>13513.513513514001</v>
      </c>
      <c r="G564">
        <v>4</v>
      </c>
      <c r="H564">
        <v>7</v>
      </c>
      <c r="K564">
        <v>7</v>
      </c>
      <c r="L564">
        <v>8</v>
      </c>
      <c r="M564">
        <v>450450.45045045001</v>
      </c>
      <c r="N564">
        <v>13513.513513514001</v>
      </c>
      <c r="O564">
        <v>2711441.441441441</v>
      </c>
      <c r="P564">
        <v>3356855.8558558561</v>
      </c>
      <c r="Q564">
        <v>204774.774774775</v>
      </c>
      <c r="R564">
        <v>262882.88288288302</v>
      </c>
      <c r="S564">
        <v>1806</v>
      </c>
      <c r="T564">
        <v>1750</v>
      </c>
    </row>
    <row r="565" spans="1:20" x14ac:dyDescent="0.35">
      <c r="A565" s="7" t="s">
        <v>653</v>
      </c>
      <c r="B565" s="12" t="s">
        <v>96</v>
      </c>
      <c r="C565">
        <v>97126894.189564109</v>
      </c>
      <c r="D565">
        <v>93520830.654440001</v>
      </c>
      <c r="F565">
        <v>94594.594594594993</v>
      </c>
      <c r="G565">
        <v>12</v>
      </c>
      <c r="H565">
        <v>35</v>
      </c>
      <c r="K565">
        <v>18</v>
      </c>
      <c r="L565">
        <v>41</v>
      </c>
      <c r="M565">
        <v>4551351.3513513496</v>
      </c>
      <c r="N565">
        <v>1405405.4054054071</v>
      </c>
      <c r="O565">
        <v>12515936.936936935</v>
      </c>
      <c r="P565">
        <v>11815504.504504504</v>
      </c>
      <c r="Q565">
        <v>5010630.6306306291</v>
      </c>
      <c r="R565">
        <v>864414.41441441595</v>
      </c>
      <c r="S565">
        <v>8830</v>
      </c>
      <c r="T565">
        <v>8662</v>
      </c>
    </row>
    <row r="566" spans="1:20" x14ac:dyDescent="0.35">
      <c r="A566" s="7" t="s">
        <v>654</v>
      </c>
      <c r="B566" s="12" t="s">
        <v>66</v>
      </c>
      <c r="C566">
        <v>58214012.673876986</v>
      </c>
      <c r="D566">
        <v>62184503.750754274</v>
      </c>
      <c r="E566">
        <v>469369.369369369</v>
      </c>
      <c r="F566">
        <v>872072.07207207195</v>
      </c>
      <c r="G566">
        <v>19</v>
      </c>
      <c r="H566">
        <v>24</v>
      </c>
      <c r="K566">
        <v>21</v>
      </c>
      <c r="L566">
        <v>53</v>
      </c>
      <c r="M566">
        <v>6898468.4684684686</v>
      </c>
      <c r="N566">
        <v>9342792.7927927934</v>
      </c>
      <c r="O566">
        <v>36767612.612612605</v>
      </c>
      <c r="P566">
        <v>39385243.24324324</v>
      </c>
      <c r="Q566">
        <v>6940630.6306306319</v>
      </c>
      <c r="R566">
        <v>11059279.27927928</v>
      </c>
      <c r="S566">
        <v>5473</v>
      </c>
      <c r="T566">
        <v>5390</v>
      </c>
    </row>
    <row r="567" spans="1:20" x14ac:dyDescent="0.35">
      <c r="A567" s="7" t="s">
        <v>655</v>
      </c>
      <c r="B567" s="12" t="s">
        <v>68</v>
      </c>
      <c r="C567">
        <v>97643976.684255347</v>
      </c>
      <c r="D567">
        <v>80663803.956366658</v>
      </c>
      <c r="E567">
        <v>98918.918918918993</v>
      </c>
      <c r="F567">
        <v>428828.82882882899</v>
      </c>
      <c r="G567">
        <v>13</v>
      </c>
      <c r="H567">
        <v>7</v>
      </c>
      <c r="K567">
        <v>17</v>
      </c>
      <c r="L567">
        <v>9</v>
      </c>
      <c r="M567">
        <v>7103063.0630630609</v>
      </c>
      <c r="N567">
        <v>3985135.1351351351</v>
      </c>
      <c r="O567">
        <v>13855103.603603601</v>
      </c>
      <c r="P567">
        <v>10649090.09009009</v>
      </c>
      <c r="Q567">
        <v>5328648.6486486495</v>
      </c>
      <c r="R567">
        <v>3015405.4054054068</v>
      </c>
      <c r="S567">
        <v>6814</v>
      </c>
      <c r="T567">
        <v>6661</v>
      </c>
    </row>
    <row r="568" spans="1:20" x14ac:dyDescent="0.35">
      <c r="A568" s="7" t="s">
        <v>14</v>
      </c>
      <c r="B568" s="12" t="s">
        <v>158</v>
      </c>
      <c r="C568">
        <v>41267034.088648565</v>
      </c>
      <c r="D568">
        <v>38821836.344176389</v>
      </c>
      <c r="E568">
        <v>1801.801801802</v>
      </c>
      <c r="F568">
        <v>414414.41441441502</v>
      </c>
      <c r="G568">
        <v>5</v>
      </c>
      <c r="H568">
        <v>3</v>
      </c>
      <c r="K568">
        <v>5</v>
      </c>
      <c r="L568">
        <v>4</v>
      </c>
      <c r="M568">
        <v>3245045.0450450461</v>
      </c>
      <c r="N568">
        <v>8759459.4594594594</v>
      </c>
      <c r="O568">
        <v>13368099.0990991</v>
      </c>
      <c r="P568">
        <v>13880801.801801803</v>
      </c>
      <c r="Q568">
        <v>2538198.1981981979</v>
      </c>
      <c r="R568">
        <v>11417117.117117116</v>
      </c>
      <c r="S568">
        <v>3943</v>
      </c>
      <c r="T568">
        <v>4078</v>
      </c>
    </row>
    <row r="569" spans="1:20" x14ac:dyDescent="0.35">
      <c r="A569" s="7" t="s">
        <v>656</v>
      </c>
      <c r="B569" s="12" t="s">
        <v>304</v>
      </c>
      <c r="C569">
        <v>33877073.237903193</v>
      </c>
      <c r="D569">
        <v>46585832.93225731</v>
      </c>
      <c r="E569">
        <v>10810.810810810999</v>
      </c>
      <c r="F569">
        <v>433333.33333333302</v>
      </c>
      <c r="G569">
        <v>19</v>
      </c>
      <c r="H569">
        <v>8</v>
      </c>
      <c r="K569">
        <v>19</v>
      </c>
      <c r="L569">
        <v>9</v>
      </c>
      <c r="M569">
        <v>7812612.6126126125</v>
      </c>
      <c r="N569">
        <v>10423423.423423424</v>
      </c>
      <c r="O569">
        <v>12330126.126126125</v>
      </c>
      <c r="P569">
        <v>10819513.513513513</v>
      </c>
      <c r="Q569">
        <v>7228918.9189189188</v>
      </c>
      <c r="R569">
        <v>6067927.927927928</v>
      </c>
      <c r="S569">
        <v>3250</v>
      </c>
      <c r="T569">
        <v>3107</v>
      </c>
    </row>
    <row r="570" spans="1:20" x14ac:dyDescent="0.35">
      <c r="A570" s="7" t="s">
        <v>657</v>
      </c>
      <c r="B570" s="12" t="s">
        <v>48</v>
      </c>
      <c r="C570">
        <v>63153753.447682127</v>
      </c>
      <c r="D570">
        <v>53798853.870590553</v>
      </c>
      <c r="E570">
        <v>136936.93693693701</v>
      </c>
      <c r="F570">
        <v>581081.081081082</v>
      </c>
      <c r="G570">
        <v>1</v>
      </c>
      <c r="H570">
        <v>6</v>
      </c>
      <c r="K570">
        <v>1</v>
      </c>
      <c r="L570">
        <v>14</v>
      </c>
      <c r="M570">
        <v>4164324.3243243261</v>
      </c>
      <c r="N570">
        <v>11872792.792792792</v>
      </c>
      <c r="O570">
        <v>18373774.774774775</v>
      </c>
      <c r="P570">
        <v>15816117.117117118</v>
      </c>
      <c r="Q570">
        <v>4597117.117117119</v>
      </c>
      <c r="R570">
        <v>10486216.216216216</v>
      </c>
      <c r="S570">
        <v>3247</v>
      </c>
      <c r="T570">
        <v>3093</v>
      </c>
    </row>
    <row r="571" spans="1:20" x14ac:dyDescent="0.35">
      <c r="A571" s="7" t="s">
        <v>658</v>
      </c>
      <c r="B571" s="12" t="s">
        <v>54</v>
      </c>
      <c r="C571">
        <v>18881657.545119159</v>
      </c>
      <c r="D571">
        <v>18502483.983906157</v>
      </c>
      <c r="E571">
        <v>190990.99099099101</v>
      </c>
      <c r="F571">
        <v>33333.333333333998</v>
      </c>
      <c r="G571">
        <v>1</v>
      </c>
      <c r="K571">
        <v>1</v>
      </c>
      <c r="M571">
        <v>3886486.4864864862</v>
      </c>
      <c r="N571">
        <v>1551351.3513513519</v>
      </c>
      <c r="O571">
        <v>3830990.9909909908</v>
      </c>
      <c r="P571">
        <v>4205639.6396396393</v>
      </c>
      <c r="Q571">
        <v>2502612.612612613</v>
      </c>
      <c r="R571">
        <v>1195405.4054054059</v>
      </c>
      <c r="S571">
        <v>1603</v>
      </c>
      <c r="T571">
        <v>1511</v>
      </c>
    </row>
    <row r="572" spans="1:20" x14ac:dyDescent="0.35">
      <c r="A572" s="7" t="s">
        <v>659</v>
      </c>
      <c r="B572" s="12" t="s">
        <v>50</v>
      </c>
      <c r="C572">
        <v>84711227.634173751</v>
      </c>
      <c r="D572">
        <v>79608740.999432579</v>
      </c>
      <c r="E572">
        <v>246576.576576577</v>
      </c>
      <c r="F572">
        <v>88288.288288288997</v>
      </c>
      <c r="G572">
        <v>8</v>
      </c>
      <c r="H572">
        <v>9</v>
      </c>
      <c r="K572">
        <v>10</v>
      </c>
      <c r="L572">
        <v>17</v>
      </c>
      <c r="M572">
        <v>24369909.909909908</v>
      </c>
      <c r="N572">
        <v>17157117.117117111</v>
      </c>
      <c r="O572">
        <v>40442252.252252258</v>
      </c>
      <c r="P572">
        <v>37599531.531531528</v>
      </c>
      <c r="Q572">
        <v>23324774.774774775</v>
      </c>
      <c r="R572">
        <v>14240270.270270268</v>
      </c>
      <c r="S572">
        <v>5946</v>
      </c>
      <c r="T572">
        <v>5643</v>
      </c>
    </row>
    <row r="573" spans="1:20" x14ac:dyDescent="0.35">
      <c r="A573" s="7" t="s">
        <v>660</v>
      </c>
      <c r="B573" s="12" t="s">
        <v>83</v>
      </c>
      <c r="C573">
        <v>95345793.232798874</v>
      </c>
      <c r="D573">
        <v>99533430.628296465</v>
      </c>
      <c r="E573">
        <v>321711.71171171201</v>
      </c>
      <c r="F573">
        <v>818918.91891892103</v>
      </c>
      <c r="G573">
        <v>18</v>
      </c>
      <c r="H573">
        <v>24</v>
      </c>
      <c r="I573">
        <v>2</v>
      </c>
      <c r="K573">
        <v>27</v>
      </c>
      <c r="L573">
        <v>31</v>
      </c>
      <c r="M573">
        <v>8442432.4324324299</v>
      </c>
      <c r="N573">
        <v>33225675.675675675</v>
      </c>
      <c r="O573">
        <v>21360216.216216218</v>
      </c>
      <c r="P573">
        <v>26496270.270270273</v>
      </c>
      <c r="Q573">
        <v>6412612.6126126088</v>
      </c>
      <c r="R573">
        <v>8685945.9459459465</v>
      </c>
      <c r="S573">
        <v>8499</v>
      </c>
      <c r="T573">
        <v>8826</v>
      </c>
    </row>
    <row r="574" spans="1:20" x14ac:dyDescent="0.35">
      <c r="A574" s="14" t="s">
        <v>677</v>
      </c>
      <c r="B574" s="15"/>
      <c r="C574" s="16">
        <v>40153713895.621635</v>
      </c>
      <c r="D574" s="16">
        <v>38575779599.806999</v>
      </c>
      <c r="E574" s="16">
        <v>6502331295.4955006</v>
      </c>
      <c r="F574" s="16">
        <v>4247491559.4594607</v>
      </c>
      <c r="G574" s="16">
        <v>8785</v>
      </c>
      <c r="H574" s="16">
        <v>9286</v>
      </c>
      <c r="I574" s="16">
        <v>84</v>
      </c>
      <c r="J574" s="16"/>
      <c r="K574" s="16">
        <v>12137</v>
      </c>
      <c r="L574" s="16">
        <v>15079</v>
      </c>
      <c r="M574" s="16">
        <v>7666294559.4594593</v>
      </c>
      <c r="N574" s="16">
        <v>6241563141.4414463</v>
      </c>
      <c r="O574" s="16">
        <v>10443902275.675674</v>
      </c>
      <c r="P574" s="16">
        <v>10632147763.963968</v>
      </c>
      <c r="Q574" s="16">
        <v>6156623830.6306314</v>
      </c>
      <c r="R574" s="16">
        <v>5391210214.4144135</v>
      </c>
      <c r="S574" s="16">
        <v>3710814</v>
      </c>
      <c r="T574" s="16">
        <v>3726702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2026-08-01T16:49:51Z</dcterms:created>
  <dcterms:modified xsi:type="dcterms:W3CDTF">2026-09-07T21:31:29Z</dcterms:modified>
</cp:coreProperties>
</file>