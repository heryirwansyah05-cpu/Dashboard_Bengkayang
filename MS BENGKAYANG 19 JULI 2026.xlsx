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<sst xmlns="http://schemas.openxmlformats.org/spreadsheetml/2006/main" count="1236" uniqueCount="672">
  <si>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</si>
  <si>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</si>
  <si>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</si>
  <si>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</si>
  <si>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</si>
  <si>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</si>
  <si>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</si>
  <si>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</si>
  <si>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</si>
  <si>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</si>
  <si>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</si>
  <si>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</si>
  <si>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</si>
  <si>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</si>
  <si>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</si>
  <si>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</si>
  <si>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</si>
  <si>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</si>
  <si>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</si>
  <si>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</si>
  <si>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</si>
  <si>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</si>
  <si>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</si>
  <si>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</si>
  <si>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</si>
  <si>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</si>
  <si>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</si>
  <si>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</si>
  <si>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</si>
  <si>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</si>
  <si>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</si>
  <si>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</si>
  <si>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</si>
  <si>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</si>
  <si>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</si>
  <si>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</si>
  <si>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</si>
  <si>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</si>
  <si>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</si>
  <si>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</si>
  <si>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</si>
  <si>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</si>
  <si>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</si>
  <si>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</si>
  <si>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</si>
  <si>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</si>
  <si>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</si>
  <si>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</si>
  <si>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</si>
  <si>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</si>
  <si>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</si>
  <si>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</si>
  <si>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</si>
  <si>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</si>
  <si>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</si>
  <si>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</si>
  <si>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</si>
  <si>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</si>
  <si>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</si>
  <si>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</si>
  <si>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</si>
  <si>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</si>
  <si>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</si>
  <si>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</si>
  <si>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</si>
  <si>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</si>
  <si>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</si>
  <si>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</si>
  <si>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</si>
  <si>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</si>
  <si>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</si>
  <si>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</si>
  <si>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</si>
  <si>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</si>
  <si>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</si>
  <si>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</si>
  <si>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</si>
  <si>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</si>
  <si>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</si>
  <si>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</si>
  <si>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</si>
  <si>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</si>
  <si>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</si>
  <si>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</si>
  <si>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</si>
  <si>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</si>
  <si>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</si>
  <si>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</si>
  <si>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</si>
  <si>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</si>
  <si>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</si>
  <si>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</si>
  <si>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</si>
  <si>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</si>
  <si>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</si>
  <si>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</si>
  <si>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</si>
  <si>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</si>
  <si>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</si>
  <si>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</si>
  <si>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</si>
  <si>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</si>
  <si>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</si>
  <si>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</si>
  <si>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</si>
  <si>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</si>
  <si>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</si>
  <si>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</si>
  <si>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</si>
  <si>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</si>
  <si>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</si>
  <si>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</si>
  <si>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</si>
  <si>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</si>
  <si>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</si>
  <si>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</si>
  <si>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</si>
  <si>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</si>
  <si>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</si>
  <si>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</si>
  <si>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</si>
  <si>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</si>
  <si>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</si>
  <si>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</si>
  <si>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</si>
  <si>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</si>
  <si>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</si>
  <si>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</si>
  <si>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</si>
  <si>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</si>
  <si>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</si>
  <si>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</si>
  <si>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</si>
  <si>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</si>
  <si>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</si>
  <si>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</si>
  <si>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</si>
  <si>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</si>
  <si>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</si>
  <si>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</si>
  <si>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</si>
  <si>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</si>
  <si>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</si>
  <si>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</si>
  <si>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</si>
  <si>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</si>
  <si>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</si>
  <si>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</si>
  <si>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</si>
  <si>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</si>
  <si>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</si>
  <si>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</si>
  <si>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</si>
  <si>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</si>
  <si>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</si>
  <si>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</si>
  <si>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</si>
  <si>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</si>
  <si>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</si>
  <si>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</si>
  <si>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</si>
  <si>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</si>
  <si>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</si>
  <si>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</si>
  <si>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</si>
  <si>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</si>
  <si>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</si>
  <si>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</si>
  <si>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</si>
  <si>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</si>
  <si>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</si>
  <si>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</si>
  <si>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</si>
  <si>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</si>
  <si>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</si>
  <si>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</si>
  <si>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</si>
  <si>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</si>
  <si>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</si>
  <si>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</si>
  <si>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</si>
  <si>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</si>
  <si>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</si>
  <si>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</si>
  <si>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</si>
  <si>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</si>
  <si>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</si>
  <si>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</si>
  <si>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</si>
  <si>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</si>
  <si>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</si>
  <si>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</si>
  <si>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</si>
  <si>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</si>
  <si>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</si>
  <si>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</si>
  <si>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</si>
  <si>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</si>
  <si>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</si>
  <si>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</si>
  <si>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</si>
  <si>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</si>
  <si>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</si>
  <si>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</si>
  <si>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</si>
  <si>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</si>
  <si>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</si>
  <si>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</si>
  <si>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</si>
  <si>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</si>
  <si>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</si>
  <si>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</si>
  <si>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</si>
  <si>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</si>
  <si>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</si>
  <si>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</si>
  <si>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</si>
  <si>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</si>
  <si>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</si>
  <si>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</si>
  <si>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</si>
  <si>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</si>
  <si>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</si>
  <si>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</si>
  <si>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</si>
  <si>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</si>
  <si>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</si>
  <si>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</si>
  <si>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</si>
  <si>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</si>
  <si>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</si>
  <si>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</si>
  <si>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</si>
  <si>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</si>
  <si>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</si>
  <si>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</si>
  <si>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</si>
  <si>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</si>
  <si>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</si>
  <si>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</si>
  <si>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</si>
  <si>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</si>
  <si>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</si>
  <si>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</si>
  <si>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</si>
  <si>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</si>
  <si>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</si>
  <si>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</si>
  <si>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</si>
  <si>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</si>
  <si>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</si>
  <si>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</si>
  <si>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</si>
  <si>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</si>
  <si>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</si>
  <si>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</si>
  <si>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</si>
  <si>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</si>
  <si>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</si>
  <si>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</si>
  <si>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</si>
  <si>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</si>
  <si>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</si>
  <si>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</si>
  <si>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</si>
  <si>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</si>
  <si>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</si>
  <si>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</si>
  <si>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</si>
  <si>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</si>
  <si>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</si>
  <si>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</si>
  <si>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</si>
  <si>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</si>
  <si>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</si>
  <si>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</si>
  <si>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</si>
  <si>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</si>
  <si>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</si>
  <si>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</si>
  <si>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</si>
  <si>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</si>
  <si>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</si>
  <si>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</si>
  <si>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</si>
  <si>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</si>
  <si>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</si>
  <si>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</si>
  <si>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</si>
  <si>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</si>
  <si>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</si>
  <si>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</si>
  <si>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</si>
  <si>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</si>
  <si>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</si>
  <si>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</si>
  <si>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</si>
  <si>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</si>
  <si>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</si>
  <si>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</si>
  <si>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</si>
  <si>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</si>
  <si>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</si>
  <si>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</si>
  <si>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</si>
  <si>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</si>
  <si>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</si>
  <si>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</si>
  <si>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</si>
  <si>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</si>
  <si>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</si>
  <si>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</si>
  <si>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</si>
  <si>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</si>
  <si>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</si>
  <si>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</si>
  <si>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</si>
  <si>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</si>
  <si>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</si>
  <si>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</si>
  <si>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</si>
  <si>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</si>
  <si>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</si>
  <si>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</si>
  <si>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</si>
  <si>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</si>
  <si>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</si>
  <si>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</si>
  <si>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</si>
  <si>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</si>
  <si>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</si>
  <si>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</si>
  <si>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</si>
  <si>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</si>
  <si>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</si>
  <si>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</si>
  <si>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</si>
  <si>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</si>
  <si>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</si>
  <si>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</si>
  <si>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</si>
  <si>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</si>
  <si>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</si>
  <si>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</si>
  <si>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</si>
  <si>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</si>
  <si>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</si>
  <si>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</si>
  <si>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</si>
  <si>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</si>
  <si>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</si>
  <si>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</si>
  <si>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</si>
  <si>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</si>
  <si>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</si>
  <si>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</si>
  <si>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</si>
  <si>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</si>
  <si>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</si>
  <si>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</si>
  <si>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</si>
  <si>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</si>
  <si>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</si>
  <si>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</si>
  <si>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</si>
  <si>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</si>
  <si>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</si>
  <si>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</si>
  <si>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</si>
  <si>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</si>
  <si>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</si>
  <si>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</si>
  <si>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</si>
  <si>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</si>
  <si>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</si>
  <si>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</si>
  <si>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</si>
  <si>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</si>
  <si>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</si>
  <si>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</si>
  <si>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</si>
  <si>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</si>
  <si>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</si>
  <si>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</si>
  <si>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</si>
  <si>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</si>
  <si>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</si>
  <si>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</si>
  <si>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</si>
  <si>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</si>
  <si>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</si>
  <si>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</si>
  <si>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</si>
  <si>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</si>
  <si>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</si>
  <si>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</si>
  <si>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</si>
  <si>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</si>
  <si>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</si>
  <si>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</si>
  <si>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</si>
  <si>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</si>
  <si>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</si>
  <si>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</si>
  <si>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</si>
  <si>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</si>
  <si>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</si>
  <si>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</si>
  <si>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</si>
  <si>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</si>
  <si>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</si>
  <si>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</si>
  <si>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</si>
  <si>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</si>
  <si>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</si>
  <si>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</si>
  <si>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</si>
  <si>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</si>
  <si>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</si>
  <si>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</si>
  <si>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</si>
  <si>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</si>
  <si>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</si>
  <si>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</si>
  <si>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</si>
  <si>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</si>
  <si>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</si>
  <si>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</si>
  <si>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</si>
  <si>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</si>
  <si>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</si>
  <si>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</si>
  <si>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</si>
  <si>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</si>
  <si>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</si>
  <si>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</si>
  <si>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</si>
  <si>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</si>
  <si>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</si>
  <si>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</si>
  <si>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</si>
  <si>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</si>
  <si>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</si>
  <si>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</si>
  <si>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</si>
  <si>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</si>
  <si>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</si>
  <si>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</si>
  <si>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</si>
  <si>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</si>
  <si>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</si>
  <si>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</si>
  <si>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</si>
  <si>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</si>
  <si>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</si>
  <si>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</si>
  <si>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</si>
  <si>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</si>
  <si>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</si>
  <si>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</si>
  <si>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</si>
  <si>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</si>
  <si>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</si>
  <si>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</si>
  <si>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</si>
  <si>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</si>
  <si>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</si>
  <si>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</si>
  <si>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</si>
  <si>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</si>
  <si>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</si>
  <si>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</si>
  <si>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</si>
  <si>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</si>
  <si>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</si>
  <si>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</si>
  <si>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</si>
  <si>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</si>
  <si>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</si>
  <si>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</si>
  <si>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</si>
  <si>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</si>
  <si>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</si>
  <si>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</si>
  <si>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</si>
  <si>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</si>
  <si>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</si>
  <si>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</si>
  <si>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</si>
  <si>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</si>
  <si>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</si>
  <si>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</si>
  <si>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</si>
  <si>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</si>
  <si>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</si>
  <si>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</si>
  <si>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</si>
  <si>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</si>
  <si>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</si>
  <si>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</si>
  <si>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</si>
  <si>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</si>
  <si>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</si>
  <si>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</si>
  <si>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</si>
  <si>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</si>
  <si>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</si>
  <si>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</si>
  <si>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</si>
  <si>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</si>
  <si>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</si>
  <si>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</si>
  <si>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</si>
  <si>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</si>
  <si>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</si>
  <si>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</si>
  <si>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</si>
  <si>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</si>
  <si>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</si>
  <si>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</si>
  <si>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</si>
  <si>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</si>
  <si>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</si>
  <si>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</si>
  <si>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</si>
  <si>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</si>
  <si>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</si>
  <si>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</si>
  <si>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</si>
  <si>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</si>
  <si>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</si>
  <si>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</si>
  <si>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</si>
  <si>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</si>
  <si>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</si>
  <si>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</si>
  <si>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</si>
  <si>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</si>
  <si>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</si>
  <si>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</si>
  <si>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</si>
  <si>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</si>
  <si>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</si>
  <si>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</si>
  <si>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</si>
  <si>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</si>
  <si>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</si>
  <si>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</si>
  <si>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</si>
  <si>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</si>
  <si>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</si>
  <si>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</si>
  <si>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</si>
  <si>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</si>
  <si>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</si>
  <si>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</si>
  <si>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</si>
  <si>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</si>
  <si>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</si>
  <si>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</si>
  <si>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</si>
  <si>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</si>
  <si>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</si>
  <si>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</si>
  <si>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</si>
  <si>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</si>
  <si>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</si>
  <si>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</si>
  <si>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</si>
  <si>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</si>
  <si>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</si>
  <si>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</si>
  <si>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</si>
  <si>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</si>
  <si>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</si>
  <si>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</si>
  <si>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</si>
  <si>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</si>
  <si>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</si>
  <si>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</si>
  <si>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</si>
  <si>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</si>
  <si>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</si>
  <si>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</si>
  <si>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</si>
  <si>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</si>
  <si>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</si>
  <si>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</si>
  <si>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</si>
  <si>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</si>
  <si>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</si>
  <si>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</si>
  <si>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</si>
  <si>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</si>
  <si>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</si>
  <si>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</si>
  <si>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</si>
  <si>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</si>
  <si>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</si>
  <si>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</si>
  <si>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</si>
  <si>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</si>
  <si>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</si>
  <si>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</si>
  <si>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</si>
  <si>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</si>
  <si>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</si>
  <si>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</si>
  <si>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</si>
  <si>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</si>
  <si>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</si>
  <si>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</si>
  <si>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</si>
  <si>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</si>
  <si>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</si>
  <si>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</si>
  <si>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</si>
  <si>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</si>
  <si>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</si>
  <si>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</si>
  <si>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</si>
  <si>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</si>
  <si>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</si>
  <si>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</si>
  <si>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</si>
  <si>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</si>
  <si>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</si>
  <si>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</si>
  <si>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</si>
  <si>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</si>
  <si>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</si>
  <si>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</si>
  <si>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</si>
  <si>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</si>
  <si>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</si>
  <si>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</si>
  <si>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</si>
  <si>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</si>
  <si>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</si>
  <si>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</si>
  <si>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</si>
  <si>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</si>
  <si>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</si>
  <si>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</si>
  <si>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</si>
  <si>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</si>
  <si>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</si>
  <si>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</si>
  <si>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</si>
  <si>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</si>
  <si>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</si>
  <si>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</si>
  <si>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</si>
  <si>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</si>
  <si>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</si>
  <si>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</si>
  <si>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</si>
  <si>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</si>
  <si>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</si>
  <si>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</si>
  <si>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</si>
  <si>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</si>
  <si>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</si>
  <si>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</si>
  <si>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TANJUNG PALAS BARAT|BULUNGAN</t>
  </si>
  <si>
    <t>BUKIT SANTUAI|KOTAWARINGIN TIMUR</t>
  </si>
  <si>
    <t>PESO HILIR|BULUNGAN</t>
  </si>
  <si>
    <t>SADANIANG|MEMPAWAH</t>
  </si>
  <si>
    <t>DELANG|LAMANDAU</t>
  </si>
  <si>
    <t>SAYAN|MELAWI</t>
  </si>
  <si>
    <t>SEBANGAU KUALA|PULANG PISAU</t>
  </si>
  <si>
    <t>SIMPANG DUA|KETAPANG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</si>
</sst>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400037414.35242772</v>
      </c>
      <c r="D6" s="4">
        <f>IFERROR(VLOOKUP($A:$A,MASTER!$A:$T,4,0),0)</f>
        <v>398831637.01589161</v>
      </c>
      <c r="E6" s="9">
        <f>IFERROR(C6/D6-1,0)</f>
        <v>3.0232740450528706E-3</v>
      </c>
      <c r="F6" s="4">
        <f>IFERROR(VLOOKUP(A:A,MASTER!A:E,5,0),0)</f>
        <v>2813513.5135135162</v>
      </c>
      <c r="G6" s="4">
        <f>IFERROR(VLOOKUP(A:A,MASTER!A:F,6,0),0)</f>
        <v>5540540.5405405406</v>
      </c>
      <c r="H6" s="9">
        <f>IFERROR(F6/G6-1,0)</f>
        <v>-0.49219512195121906</v>
      </c>
      <c r="I6" s="4">
        <f>IFERROR(VLOOKUP(A:A,MASTER!A:M,13,0),0)</f>
        <v>47388918.918918923</v>
      </c>
      <c r="J6" s="4">
        <f>IFERROR(VLOOKUP($A:$A,MASTER!$A:$T,14,0),0)</f>
        <v>69507432.432432428</v>
      </c>
      <c r="K6" s="9">
        <f>IFERROR(I6/J6-1,0)</f>
        <v>-0.31821796230230082</v>
      </c>
      <c r="L6" s="4">
        <f>IFERROR(VLOOKUP($A:$A,MASTER!$A:$T,15,0),0)</f>
        <v>191561288.2882883</v>
      </c>
      <c r="M6" s="4">
        <f>IFERROR(VLOOKUP($A:$A,MASTER!$A:$T,16,0),0)</f>
        <v>190318558.55855855</v>
      </c>
      <c r="N6" s="9">
        <f>IFERROR(L6/M6-1,0)</f>
        <v>6.5297348778909914E-3</v>
      </c>
      <c r="O6" s="4">
        <f>IFERROR(VLOOKUP($A:$A,MASTER!$A:$T,17,0),0)</f>
        <v>44491261.261261262</v>
      </c>
      <c r="P6" s="4">
        <f>IFERROR(VLOOKUP($A:$A,MASTER!$A:$T,18,0),0)</f>
        <v>66958423.423423424</v>
      </c>
      <c r="Q6" s="9">
        <f>IFERROR(O6/P6-1,0)</f>
        <v>-0.33553899589431924</v>
      </c>
      <c r="R6" s="4">
        <f>IFERROR(VLOOKUP($A:$A,MASTER!$A:$T,19,0),0)</f>
        <v>9436</v>
      </c>
      <c r="S6" s="4">
        <f>IFERROR(VLOOKUP($A:$A,MASTER!$A:$T,20,0),0)</f>
        <v>8025</v>
      </c>
      <c r="T6" s="9">
        <f>IFERROR(R6/S6-1,0)</f>
        <v>0.17582554517133953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38775078.161200292</v>
      </c>
      <c r="D7" s="4">
        <f>IFERROR(VLOOKUP($A:$A,MASTER!$A:$T,4,0),0)</f>
        <v>21702984.627443183</v>
      </c>
      <c r="E7" s="9">
        <f t="shared" ref="E7:E22" si="0">IFERROR(C7/D7-1,0)</f>
        <v>0.78662422827179435</v>
      </c>
      <c r="F7" s="4">
        <f>IFERROR(VLOOKUP(A:A,MASTER!A:E,5,0),0)</f>
        <v>306106197.2972973</v>
      </c>
      <c r="G7" s="4">
        <f>IFERROR(VLOOKUP(A:A,MASTER!A:F,6,0),0)</f>
        <v>324576446.84684682</v>
      </c>
      <c r="H7" s="9">
        <f t="shared" ref="H7:H22" si="1">IFERROR(F7/G7-1,0)</f>
        <v>-5.6905698885368672E-2</v>
      </c>
      <c r="I7" s="4">
        <f>IFERROR(VLOOKUP(A:A,MASTER!A:M,13,0),0)</f>
        <v>6662162.1621621633</v>
      </c>
      <c r="J7" s="4">
        <f>IFERROR(VLOOKUP($A:$A,MASTER!$A:$T,14,0),0)</f>
        <v>3256756.7567567569</v>
      </c>
      <c r="K7" s="9">
        <f t="shared" ref="K7:K22" si="2">IFERROR(I7/J7-1,0)</f>
        <v>1.0456431535269712</v>
      </c>
      <c r="L7" s="4">
        <f>IFERROR(VLOOKUP($A:$A,MASTER!$A:$T,15,0),0)</f>
        <v>21924441.441441439</v>
      </c>
      <c r="M7" s="4">
        <f>IFERROR(VLOOKUP($A:$A,MASTER!$A:$T,16,0),0)</f>
        <v>13277792.792792792</v>
      </c>
      <c r="N7" s="9">
        <f t="shared" ref="N7:N22" si="3">IFERROR(L7/M7-1,0)</f>
        <v>0.6512112957013505</v>
      </c>
      <c r="O7" s="4">
        <f>IFERROR(VLOOKUP($A:$A,MASTER!$A:$T,17,0),0)</f>
        <v>6763063.0630630637</v>
      </c>
      <c r="P7" s="4">
        <f>IFERROR(VLOOKUP($A:$A,MASTER!$A:$T,18,0),0)</f>
        <v>3175225.2252252251</v>
      </c>
      <c r="Q7" s="9">
        <f t="shared" ref="Q7:Q22" si="4">IFERROR(O7/P7-1,0)</f>
        <v>1.1299475102851471</v>
      </c>
      <c r="R7" s="4">
        <f>IFERROR(VLOOKUP($A:$A,MASTER!$A:$T,19,0),0)</f>
        <v>1273</v>
      </c>
      <c r="S7" s="4">
        <f>IFERROR(VLOOKUP($A:$A,MASTER!$A:$T,20,0),0)</f>
        <v>1091</v>
      </c>
      <c r="T7" s="9">
        <f t="shared" ref="T7:T22" si="5">IFERROR(R7/S7-1,0)</f>
        <v>0.16681943171402391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300274856.29779375</v>
      </c>
      <c r="D8" s="4">
        <f>IFERROR(VLOOKUP($A:$A,MASTER!$A:$T,4,0),0)</f>
        <v>268795090.81363374</v>
      </c>
      <c r="E8" s="9">
        <f t="shared" si="0"/>
        <v>0.11711436168298994</v>
      </c>
      <c r="F8" s="4">
        <f>IFERROR(VLOOKUP(A:A,MASTER!A:E,5,0),0)</f>
        <v>4426126.1261261282</v>
      </c>
      <c r="G8" s="4">
        <f>IFERROR(VLOOKUP(A:A,MASTER!A:F,6,0),0)</f>
        <v>1772072.0720720729</v>
      </c>
      <c r="H8" s="9">
        <f t="shared" si="1"/>
        <v>1.497712252160651</v>
      </c>
      <c r="I8" s="4">
        <f>IFERROR(VLOOKUP(A:A,MASTER!A:M,13,0),0)</f>
        <v>61963963.963963971</v>
      </c>
      <c r="J8" s="4">
        <f>IFERROR(VLOOKUP($A:$A,MASTER!$A:$T,14,0),0)</f>
        <v>84705855.855855852</v>
      </c>
      <c r="K8" s="9">
        <f t="shared" si="2"/>
        <v>-0.26848075215238731</v>
      </c>
      <c r="L8" s="4">
        <f>IFERROR(VLOOKUP($A:$A,MASTER!$A:$T,15,0),0)</f>
        <v>84267099.0990991</v>
      </c>
      <c r="M8" s="4">
        <f>IFERROR(VLOOKUP($A:$A,MASTER!$A:$T,16,0),0)</f>
        <v>77431162.162162155</v>
      </c>
      <c r="N8" s="9">
        <f t="shared" si="3"/>
        <v>8.8284054456274408E-2</v>
      </c>
      <c r="O8" s="4">
        <f>IFERROR(VLOOKUP($A:$A,MASTER!$A:$T,17,0),0)</f>
        <v>57044324.324324317</v>
      </c>
      <c r="P8" s="4">
        <f>IFERROR(VLOOKUP($A:$A,MASTER!$A:$T,18,0),0)</f>
        <v>80687747.747747749</v>
      </c>
      <c r="Q8" s="9">
        <f t="shared" si="4"/>
        <v>-0.29302371281126005</v>
      </c>
      <c r="R8" s="4">
        <f>IFERROR(VLOOKUP($A:$A,MASTER!$A:$T,19,0),0)</f>
        <v>3727</v>
      </c>
      <c r="S8" s="4">
        <f>IFERROR(VLOOKUP($A:$A,MASTER!$A:$T,20,0),0)</f>
        <v>3501</v>
      </c>
      <c r="T8" s="9">
        <f t="shared" si="5"/>
        <v>6.4552984861468099E-2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176811291.23507863</v>
      </c>
      <c r="D9" s="4">
        <f>IFERROR(VLOOKUP($A:$A,MASTER!$A:$T,4,0),0)</f>
        <v>171589231.78193882</v>
      </c>
      <c r="E9" s="9">
        <f t="shared" si="0"/>
        <v>3.0433491652763989E-2</v>
      </c>
      <c r="F9" s="4">
        <f>IFERROR(VLOOKUP(A:A,MASTER!A:E,5,0),0)</f>
        <v>2844144.1441441458</v>
      </c>
      <c r="G9" s="4">
        <f>IFERROR(VLOOKUP(A:A,MASTER!A:F,6,0),0)</f>
        <v>5953153.1531531531</v>
      </c>
      <c r="H9" s="9">
        <f t="shared" si="1"/>
        <v>-0.52224576271186418</v>
      </c>
      <c r="I9" s="4">
        <f>IFERROR(VLOOKUP(A:A,MASTER!A:M,13,0),0)</f>
        <v>28870270.270270273</v>
      </c>
      <c r="J9" s="4">
        <f>IFERROR(VLOOKUP($A:$A,MASTER!$A:$T,14,0),0)</f>
        <v>66405855.855855852</v>
      </c>
      <c r="K9" s="9">
        <f t="shared" si="2"/>
        <v>-0.56524511433242197</v>
      </c>
      <c r="L9" s="4">
        <f>IFERROR(VLOOKUP($A:$A,MASTER!$A:$T,15,0),0)</f>
        <v>62582684.684684686</v>
      </c>
      <c r="M9" s="4">
        <f>IFERROR(VLOOKUP($A:$A,MASTER!$A:$T,16,0),0)</f>
        <v>63949567.567567565</v>
      </c>
      <c r="N9" s="9">
        <f t="shared" si="3"/>
        <v>-2.1374388207373918E-2</v>
      </c>
      <c r="O9" s="4">
        <f>IFERROR(VLOOKUP($A:$A,MASTER!$A:$T,17,0),0)</f>
        <v>36985855.855855852</v>
      </c>
      <c r="P9" s="4">
        <f>IFERROR(VLOOKUP($A:$A,MASTER!$A:$T,18,0),0)</f>
        <v>54863693.693693697</v>
      </c>
      <c r="Q9" s="9">
        <f t="shared" si="4"/>
        <v>-0.32585917269169962</v>
      </c>
      <c r="R9" s="4">
        <f>IFERROR(VLOOKUP($A:$A,MASTER!$A:$T,19,0),0)</f>
        <v>3725</v>
      </c>
      <c r="S9" s="4">
        <f>IFERROR(VLOOKUP($A:$A,MASTER!$A:$T,20,0),0)</f>
        <v>3607</v>
      </c>
      <c r="T9" s="9">
        <f t="shared" si="5"/>
        <v>3.2714166897698904E-2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188045409.73338524</v>
      </c>
      <c r="D11" s="4">
        <f>IFERROR(VLOOKUP($A:$A,MASTER!$A:$T,4,0),0)</f>
        <v>191846016.04570207</v>
      </c>
      <c r="E11" s="9">
        <f t="shared" si="0"/>
        <v>-1.9810712730210955E-2</v>
      </c>
      <c r="F11" s="4">
        <f>IFERROR(VLOOKUP(A:A,MASTER!A:E,5,0),0)</f>
        <v>1052252.252252253</v>
      </c>
      <c r="G11" s="4">
        <f>IFERROR(VLOOKUP(A:A,MASTER!A:F,6,0),0)</f>
        <v>128828.82882883</v>
      </c>
      <c r="H11" s="9">
        <f t="shared" si="1"/>
        <v>7.1678321678320991</v>
      </c>
      <c r="I11" s="4">
        <f>IFERROR(VLOOKUP(A:A,MASTER!A:M,13,0),0)</f>
        <v>14059459.459459459</v>
      </c>
      <c r="J11" s="4">
        <f>IFERROR(VLOOKUP($A:$A,MASTER!$A:$T,14,0),0)</f>
        <v>17077477.477477476</v>
      </c>
      <c r="K11" s="9">
        <f t="shared" si="2"/>
        <v>-0.17672504747837092</v>
      </c>
      <c r="L11" s="4">
        <f>IFERROR(VLOOKUP($A:$A,MASTER!$A:$T,15,0),0)</f>
        <v>80724450.45045045</v>
      </c>
      <c r="M11" s="4">
        <f>IFERROR(VLOOKUP($A:$A,MASTER!$A:$T,16,0),0)</f>
        <v>80955234.234234244</v>
      </c>
      <c r="N11" s="9">
        <f t="shared" si="3"/>
        <v>-2.8507580265415555E-3</v>
      </c>
      <c r="O11" s="4">
        <f>IFERROR(VLOOKUP($A:$A,MASTER!$A:$T,17,0),0)</f>
        <v>12748648.648648648</v>
      </c>
      <c r="P11" s="4">
        <f>IFERROR(VLOOKUP($A:$A,MASTER!$A:$T,18,0),0)</f>
        <v>15664324.324324325</v>
      </c>
      <c r="Q11" s="9">
        <f t="shared" si="4"/>
        <v>-0.18613478725973986</v>
      </c>
      <c r="R11" s="4">
        <f>IFERROR(VLOOKUP($A:$A,MASTER!$A:$T,19,0),0)</f>
        <v>3075</v>
      </c>
      <c r="S11" s="4">
        <f>IFERROR(VLOOKUP($A:$A,MASTER!$A:$T,20,0),0)</f>
        <v>3036</v>
      </c>
      <c r="T11" s="9">
        <f t="shared" si="5"/>
        <v>1.2845849802371578E-2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683176456.83425498</v>
      </c>
      <c r="D12" s="4">
        <f>IFERROR(VLOOKUP($A:$A,MASTER!$A:$T,4,0),0)</f>
        <v>651107651.06040466</v>
      </c>
      <c r="E12" s="9">
        <f t="shared" si="0"/>
        <v>4.9252693808193637E-2</v>
      </c>
      <c r="F12" s="4">
        <f>IFERROR(VLOOKUP(A:A,MASTER!A:E,5,0),0)</f>
        <v>6695970.2702702796</v>
      </c>
      <c r="G12" s="4">
        <f>IFERROR(VLOOKUP(A:A,MASTER!A:F,6,0),0)</f>
        <v>36488211.711711712</v>
      </c>
      <c r="H12" s="9">
        <f t="shared" si="1"/>
        <v>-0.81648949191661657</v>
      </c>
      <c r="I12" s="4">
        <f>IFERROR(VLOOKUP(A:A,MASTER!A:M,13,0),0)</f>
        <v>233688859.45945945</v>
      </c>
      <c r="J12" s="4">
        <f>IFERROR(VLOOKUP($A:$A,MASTER!$A:$T,14,0),0)</f>
        <v>475609112.61261261</v>
      </c>
      <c r="K12" s="9">
        <f t="shared" si="2"/>
        <v>-0.50865352815516618</v>
      </c>
      <c r="L12" s="4">
        <f>IFERROR(VLOOKUP($A:$A,MASTER!$A:$T,15,0),0)</f>
        <v>464566423.42342341</v>
      </c>
      <c r="M12" s="4">
        <f>IFERROR(VLOOKUP($A:$A,MASTER!$A:$T,16,0),0)</f>
        <v>453270747.74774778</v>
      </c>
      <c r="N12" s="9">
        <f t="shared" si="3"/>
        <v>2.4920372055339035E-2</v>
      </c>
      <c r="O12" s="4">
        <f>IFERROR(VLOOKUP($A:$A,MASTER!$A:$T,17,0),0)</f>
        <v>207490450.45045045</v>
      </c>
      <c r="P12" s="4">
        <f>IFERROR(VLOOKUP($A:$A,MASTER!$A:$T,18,0),0)</f>
        <v>436130900.9009009</v>
      </c>
      <c r="Q12" s="9">
        <f t="shared" si="4"/>
        <v>-0.5242473073523467</v>
      </c>
      <c r="R12" s="4">
        <f>IFERROR(VLOOKUP($A:$A,MASTER!$A:$T,19,0),0)</f>
        <v>13365</v>
      </c>
      <c r="S12" s="4">
        <f>IFERROR(VLOOKUP($A:$A,MASTER!$A:$T,20,0),0)</f>
        <v>13084</v>
      </c>
      <c r="T12" s="9">
        <f t="shared" si="5"/>
        <v>2.1476612656679883E-2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161765858.88640329</v>
      </c>
      <c r="D13" s="4">
        <f>IFERROR(VLOOKUP($A:$A,MASTER!$A:$T,4,0),0)</f>
        <v>157579564.75184932</v>
      </c>
      <c r="E13" s="9">
        <f t="shared" si="0"/>
        <v>2.6566224758561852E-2</v>
      </c>
      <c r="F13" s="4">
        <f>IFERROR(VLOOKUP(A:A,MASTER!A:E,5,0),0)</f>
        <v>91133333.333333343</v>
      </c>
      <c r="G13" s="4">
        <f>IFERROR(VLOOKUP(A:A,MASTER!A:F,6,0),0)</f>
        <v>85631531.531531543</v>
      </c>
      <c r="H13" s="9">
        <f t="shared" si="1"/>
        <v>6.4249718572134906E-2</v>
      </c>
      <c r="I13" s="4">
        <f>IFERROR(VLOOKUP(A:A,MASTER!A:M,13,0),0)</f>
        <v>31283558.558558561</v>
      </c>
      <c r="J13" s="4">
        <f>IFERROR(VLOOKUP($A:$A,MASTER!$A:$T,14,0),0)</f>
        <v>52601126.126126125</v>
      </c>
      <c r="K13" s="9">
        <f t="shared" si="2"/>
        <v>-0.40526827346723804</v>
      </c>
      <c r="L13" s="4">
        <f>IFERROR(VLOOKUP($A:$A,MASTER!$A:$T,15,0),0)</f>
        <v>113127711.7117117</v>
      </c>
      <c r="M13" s="4">
        <f>IFERROR(VLOOKUP($A:$A,MASTER!$A:$T,16,0),0)</f>
        <v>106000495.49549548</v>
      </c>
      <c r="N13" s="9">
        <f t="shared" si="3"/>
        <v>6.7237574531140654E-2</v>
      </c>
      <c r="O13" s="4">
        <f>IFERROR(VLOOKUP($A:$A,MASTER!$A:$T,17,0),0)</f>
        <v>29786756.756756756</v>
      </c>
      <c r="P13" s="4">
        <f>IFERROR(VLOOKUP($A:$A,MASTER!$A:$T,18,0),0)</f>
        <v>51367477.477477483</v>
      </c>
      <c r="Q13" s="9">
        <f t="shared" si="4"/>
        <v>-0.4201242066088019</v>
      </c>
      <c r="R13" s="4">
        <f>IFERROR(VLOOKUP($A:$A,MASTER!$A:$T,19,0),0)</f>
        <v>4983</v>
      </c>
      <c r="S13" s="4">
        <f>IFERROR(VLOOKUP($A:$A,MASTER!$A:$T,20,0),0)</f>
        <v>4850</v>
      </c>
      <c r="T13" s="9">
        <f t="shared" si="5"/>
        <v>2.742268041237117E-2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223118991.49458289</v>
      </c>
      <c r="D14" s="4">
        <f>IFERROR(VLOOKUP($A:$A,MASTER!$A:$T,4,0),0)</f>
        <v>226888876.02199861</v>
      </c>
      <c r="E14" s="9">
        <f t="shared" si="0"/>
        <v>-1.6615554687001044E-2</v>
      </c>
      <c r="F14" s="4">
        <f>IFERROR(VLOOKUP(A:A,MASTER!A:E,5,0),0)</f>
        <v>4509009.0090090111</v>
      </c>
      <c r="G14" s="4">
        <f>IFERROR(VLOOKUP(A:A,MASTER!A:F,6,0),0)</f>
        <v>4663063.0630630665</v>
      </c>
      <c r="H14" s="9">
        <f t="shared" si="1"/>
        <v>-3.3037094281298529E-2</v>
      </c>
      <c r="I14" s="4">
        <f>IFERROR(VLOOKUP(A:A,MASTER!A:M,13,0),0)</f>
        <v>42172072.072072074</v>
      </c>
      <c r="J14" s="4">
        <f>IFERROR(VLOOKUP($A:$A,MASTER!$A:$T,14,0),0)</f>
        <v>44959459.459459461</v>
      </c>
      <c r="K14" s="9">
        <f t="shared" si="2"/>
        <v>-6.19977958120429E-2</v>
      </c>
      <c r="L14" s="4">
        <f>IFERROR(VLOOKUP($A:$A,MASTER!$A:$T,15,0),0)</f>
        <v>66104567.567567565</v>
      </c>
      <c r="M14" s="4">
        <f>IFERROR(VLOOKUP($A:$A,MASTER!$A:$T,16,0),0)</f>
        <v>68925558.558558553</v>
      </c>
      <c r="N14" s="9">
        <f t="shared" si="3"/>
        <v>-4.0928083137611426E-2</v>
      </c>
      <c r="O14" s="4">
        <f>IFERROR(VLOOKUP($A:$A,MASTER!$A:$T,17,0),0)</f>
        <v>39080180.180180177</v>
      </c>
      <c r="P14" s="4">
        <f>IFERROR(VLOOKUP($A:$A,MASTER!$A:$T,18,0),0)</f>
        <v>40458738.738738738</v>
      </c>
      <c r="Q14" s="9">
        <f t="shared" si="4"/>
        <v>-3.4073196583328191E-2</v>
      </c>
      <c r="R14" s="4">
        <f>IFERROR(VLOOKUP($A:$A,MASTER!$A:$T,19,0),0)</f>
        <v>3681</v>
      </c>
      <c r="S14" s="4">
        <f>IFERROR(VLOOKUP($A:$A,MASTER!$A:$T,20,0),0)</f>
        <v>3459</v>
      </c>
      <c r="T14" s="9">
        <f t="shared" si="5"/>
        <v>6.4180398959236884E-2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435247118.6704005</v>
      </c>
      <c r="D15" s="4">
        <f>IFERROR(VLOOKUP($A:$A,MASTER!$A:$T,4,0),0)</f>
        <v>415539927.57064188</v>
      </c>
      <c r="E15" s="9">
        <f t="shared" si="0"/>
        <v>4.7425505450155336E-2</v>
      </c>
      <c r="F15" s="4">
        <f>IFERROR(VLOOKUP(A:A,MASTER!A:E,5,0),0)</f>
        <v>11759102.70270271</v>
      </c>
      <c r="G15" s="4">
        <f>IFERROR(VLOOKUP(A:A,MASTER!A:F,6,0),0)</f>
        <v>8794307.2072072085</v>
      </c>
      <c r="H15" s="9">
        <f t="shared" si="1"/>
        <v>0.3371266690644783</v>
      </c>
      <c r="I15" s="4">
        <f>IFERROR(VLOOKUP(A:A,MASTER!A:M,13,0),0)</f>
        <v>609924636.03603613</v>
      </c>
      <c r="J15" s="4">
        <f>IFERROR(VLOOKUP($A:$A,MASTER!$A:$T,14,0),0)</f>
        <v>573253451.35135138</v>
      </c>
      <c r="K15" s="9">
        <f t="shared" si="2"/>
        <v>6.3970281553889397E-2</v>
      </c>
      <c r="L15" s="4">
        <f>IFERROR(VLOOKUP($A:$A,MASTER!$A:$T,15,0),0)</f>
        <v>158818477.47747746</v>
      </c>
      <c r="M15" s="4">
        <f>IFERROR(VLOOKUP($A:$A,MASTER!$A:$T,16,0),0)</f>
        <v>151608007.2072072</v>
      </c>
      <c r="N15" s="9">
        <f t="shared" si="3"/>
        <v>4.7559956779957391E-2</v>
      </c>
      <c r="O15" s="4">
        <f>IFERROR(VLOOKUP($A:$A,MASTER!$A:$T,17,0),0)</f>
        <v>539278288.28828824</v>
      </c>
      <c r="P15" s="4">
        <f>IFERROR(VLOOKUP($A:$A,MASTER!$A:$T,18,0),0)</f>
        <v>527795270.27027029</v>
      </c>
      <c r="Q15" s="9">
        <f t="shared" si="4"/>
        <v>2.1756576204515321E-2</v>
      </c>
      <c r="R15" s="4">
        <f>IFERROR(VLOOKUP($A:$A,MASTER!$A:$T,19,0),0)</f>
        <v>7812</v>
      </c>
      <c r="S15" s="4">
        <f>IFERROR(VLOOKUP($A:$A,MASTER!$A:$T,20,0),0)</f>
        <v>6974</v>
      </c>
      <c r="T15" s="9">
        <f t="shared" si="5"/>
        <v>0.12016059650129041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182580869.33783436</v>
      </c>
      <c r="D17" s="4">
        <f>IFERROR(VLOOKUP($A:$A,MASTER!$A:$T,4,0),0)</f>
        <v>181575571.38182777</v>
      </c>
      <c r="E17" s="9">
        <f t="shared" si="0"/>
        <v>5.5365264630922173E-3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109413439.63963963</v>
      </c>
      <c r="M17" s="4">
        <f>IFERROR(VLOOKUP($A:$A,MASTER!$A:$T,16,0),0)</f>
        <v>107678072.07207207</v>
      </c>
      <c r="N17" s="9">
        <f t="shared" si="3"/>
        <v>1.6116257787435417E-2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3829</v>
      </c>
      <c r="S17" s="4">
        <f>IFERROR(VLOOKUP($A:$A,MASTER!$A:$T,20,0),0)</f>
        <v>3547</v>
      </c>
      <c r="T17" s="9">
        <f t="shared" si="5"/>
        <v>7.9503806033267566E-2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159477345.79558405</v>
      </c>
      <c r="D18" s="4">
        <f>IFERROR(VLOOKUP($A:$A,MASTER!$A:$T,4,0),0)</f>
        <v>148088357.1719732</v>
      </c>
      <c r="E18" s="9">
        <f t="shared" si="0"/>
        <v>7.6906711919188631E-2</v>
      </c>
      <c r="F18" s="4">
        <f>IFERROR(VLOOKUP(A:A,MASTER!A:E,5,0),0)</f>
        <v>586486.48648648802</v>
      </c>
      <c r="G18" s="4">
        <f>IFERROR(VLOOKUP(A:A,MASTER!A:F,6,0),0)</f>
        <v>561261.26126126095</v>
      </c>
      <c r="H18" s="9">
        <f t="shared" si="1"/>
        <v>4.494382022472232E-2</v>
      </c>
      <c r="I18" s="4">
        <f>IFERROR(VLOOKUP(A:A,MASTER!A:M,13,0),0)</f>
        <v>14505405.405405408</v>
      </c>
      <c r="J18" s="4">
        <f>IFERROR(VLOOKUP($A:$A,MASTER!$A:$T,14,0),0)</f>
        <v>13444144.144144144</v>
      </c>
      <c r="K18" s="9">
        <f t="shared" si="2"/>
        <v>7.8938551229645659E-2</v>
      </c>
      <c r="L18" s="4">
        <f>IFERROR(VLOOKUP($A:$A,MASTER!$A:$T,15,0),0)</f>
        <v>54219083.333333336</v>
      </c>
      <c r="M18" s="4">
        <f>IFERROR(VLOOKUP($A:$A,MASTER!$A:$T,16,0),0)</f>
        <v>57124675.675675675</v>
      </c>
      <c r="N18" s="9">
        <f t="shared" si="3"/>
        <v>-5.0864049694370084E-2</v>
      </c>
      <c r="O18" s="4">
        <f>IFERROR(VLOOKUP($A:$A,MASTER!$A:$T,17,0),0)</f>
        <v>15268198.198198197</v>
      </c>
      <c r="P18" s="4">
        <f>IFERROR(VLOOKUP($A:$A,MASTER!$A:$T,18,0),0)</f>
        <v>12799729.729729731</v>
      </c>
      <c r="Q18" s="9">
        <f t="shared" si="4"/>
        <v>0.19285317116774703</v>
      </c>
      <c r="R18" s="4">
        <f>IFERROR(VLOOKUP($A:$A,MASTER!$A:$T,19,0),0)</f>
        <v>5057</v>
      </c>
      <c r="S18" s="4">
        <f>IFERROR(VLOOKUP($A:$A,MASTER!$A:$T,20,0),0)</f>
        <v>3965</v>
      </c>
      <c r="T18" s="9">
        <f t="shared" si="5"/>
        <v>0.27540983606557368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107617539.1178644</v>
      </c>
      <c r="D19" s="4">
        <f>IFERROR(VLOOKUP($A:$A,MASTER!$A:$T,4,0),0)</f>
        <v>96380957.919355616</v>
      </c>
      <c r="E19" s="9">
        <f t="shared" si="0"/>
        <v>0.11658507490567493</v>
      </c>
      <c r="F19" s="4">
        <f>IFERROR(VLOOKUP(A:A,MASTER!A:E,5,0),0)</f>
        <v>5263963.963963964</v>
      </c>
      <c r="G19" s="4">
        <f>IFERROR(VLOOKUP(A:A,MASTER!A:F,6,0),0)</f>
        <v>481081.081081082</v>
      </c>
      <c r="H19" s="9">
        <f t="shared" si="1"/>
        <v>9.9419475655430496</v>
      </c>
      <c r="I19" s="4">
        <f>IFERROR(VLOOKUP(A:A,MASTER!A:M,13,0),0)</f>
        <v>21570270.270270273</v>
      </c>
      <c r="J19" s="4">
        <f>IFERROR(VLOOKUP($A:$A,MASTER!$A:$T,14,0),0)</f>
        <v>6967567.5675675683</v>
      </c>
      <c r="K19" s="9">
        <f t="shared" si="2"/>
        <v>2.0958107059736228</v>
      </c>
      <c r="L19" s="4">
        <f>IFERROR(VLOOKUP($A:$A,MASTER!$A:$T,15,0),0)</f>
        <v>43217045.045045048</v>
      </c>
      <c r="M19" s="4">
        <f>IFERROR(VLOOKUP($A:$A,MASTER!$A:$T,16,0),0)</f>
        <v>42099108.108108111</v>
      </c>
      <c r="N19" s="9">
        <f t="shared" si="3"/>
        <v>2.6554884109804444E-2</v>
      </c>
      <c r="O19" s="4">
        <f>IFERROR(VLOOKUP($A:$A,MASTER!$A:$T,17,0),0)</f>
        <v>23661441.441441439</v>
      </c>
      <c r="P19" s="4">
        <f>IFERROR(VLOOKUP($A:$A,MASTER!$A:$T,18,0),0)</f>
        <v>8332792.7927927943</v>
      </c>
      <c r="Q19" s="9">
        <f t="shared" si="4"/>
        <v>1.8395571604644618</v>
      </c>
      <c r="R19" s="4">
        <f>IFERROR(VLOOKUP($A:$A,MASTER!$A:$T,19,0),0)</f>
        <v>4172</v>
      </c>
      <c r="S19" s="4">
        <f>IFERROR(VLOOKUP($A:$A,MASTER!$A:$T,20,0),0)</f>
        <v>2767</v>
      </c>
      <c r="T19" s="9">
        <f t="shared" si="5"/>
        <v>0.50777014817491861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365380186.54503834</v>
      </c>
      <c r="D21" s="4">
        <f>IFERROR(VLOOKUP($A:$A,MASTER!$A:$T,4,0),0)</f>
        <v>344020053.83285367</v>
      </c>
      <c r="E21" s="9">
        <f t="shared" si="0"/>
        <v>6.2089789459084166E-2</v>
      </c>
      <c r="F21" s="4">
        <f>IFERROR(VLOOKUP(A:A,MASTER!A:E,5,0),0)</f>
        <v>4001801.80180181</v>
      </c>
      <c r="G21" s="4">
        <f>IFERROR(VLOOKUP(A:A,MASTER!A:F,6,0),0)</f>
        <v>3383783.783783786</v>
      </c>
      <c r="H21" s="9">
        <f t="shared" si="1"/>
        <v>0.18264110756123708</v>
      </c>
      <c r="I21" s="4">
        <f>IFERROR(VLOOKUP(A:A,MASTER!A:M,13,0),0)</f>
        <v>86510855.855855852</v>
      </c>
      <c r="J21" s="4">
        <f>IFERROR(VLOOKUP($A:$A,MASTER!$A:$T,14,0),0)</f>
        <v>76416666.666666672</v>
      </c>
      <c r="K21" s="9">
        <f t="shared" si="2"/>
        <v>0.13209407881163604</v>
      </c>
      <c r="L21" s="4">
        <f>IFERROR(VLOOKUP($A:$A,MASTER!$A:$T,15,0),0)</f>
        <v>211275045.04504505</v>
      </c>
      <c r="M21" s="4">
        <f>IFERROR(VLOOKUP($A:$A,MASTER!$A:$T,16,0),0)</f>
        <v>207980180.18018019</v>
      </c>
      <c r="N21" s="9">
        <f t="shared" si="3"/>
        <v>1.5842206031413175E-2</v>
      </c>
      <c r="O21" s="4">
        <f>IFERROR(VLOOKUP($A:$A,MASTER!$A:$T,17,0),0)</f>
        <v>81144953.153153151</v>
      </c>
      <c r="P21" s="4">
        <f>IFERROR(VLOOKUP($A:$A,MASTER!$A:$T,18,0),0)</f>
        <v>81364504.504504517</v>
      </c>
      <c r="Q21" s="9">
        <f t="shared" si="4"/>
        <v>-2.6983677057753619E-3</v>
      </c>
      <c r="R21" s="4">
        <f>IFERROR(VLOOKUP($A:$A,MASTER!$A:$T,19,0),0)</f>
        <v>8300</v>
      </c>
      <c r="S21" s="4">
        <f>IFERROR(VLOOKUP($A:$A,MASTER!$A:$T,20,0),0)</f>
        <v>7211</v>
      </c>
      <c r="T21" s="9">
        <f t="shared" si="5"/>
        <v>0.15101927610594923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185916662.90386638</v>
      </c>
      <c r="D22" s="4">
        <f>IFERROR(VLOOKUP($A:$A,MASTER!$A:$T,4,0),0)</f>
        <v>188928926.18829301</v>
      </c>
      <c r="E22" s="9">
        <f t="shared" si="0"/>
        <v>-1.5943896708672911E-2</v>
      </c>
      <c r="F22" s="4">
        <f>IFERROR(VLOOKUP(A:A,MASTER!A:E,5,0),0)</f>
        <v>910290845.04504502</v>
      </c>
      <c r="G22" s="4">
        <f>IFERROR(VLOOKUP(A:A,MASTER!A:F,6,0),0)</f>
        <v>942912761.26126134</v>
      </c>
      <c r="H22" s="9">
        <f t="shared" si="1"/>
        <v>-3.4596961199868104E-2</v>
      </c>
      <c r="I22" s="4">
        <f>IFERROR(VLOOKUP(A:A,MASTER!A:M,13,0),0)</f>
        <v>119771846.84684685</v>
      </c>
      <c r="J22" s="4">
        <f>IFERROR(VLOOKUP($A:$A,MASTER!$A:$T,14,0),0)</f>
        <v>123584909.9099099</v>
      </c>
      <c r="K22" s="9">
        <f t="shared" si="2"/>
        <v>-3.0853791663097652E-2</v>
      </c>
      <c r="L22" s="4">
        <f>IFERROR(VLOOKUP($A:$A,MASTER!$A:$T,15,0),0)</f>
        <v>62805585.585585587</v>
      </c>
      <c r="M22" s="4">
        <f>IFERROR(VLOOKUP($A:$A,MASTER!$A:$T,16,0),0)</f>
        <v>66761873.873873875</v>
      </c>
      <c r="N22" s="9">
        <f t="shared" si="3"/>
        <v>-5.9259695073306085E-2</v>
      </c>
      <c r="O22" s="4">
        <f>IFERROR(VLOOKUP($A:$A,MASTER!$A:$T,17,0),0)</f>
        <v>40113513.513513513</v>
      </c>
      <c r="P22" s="4">
        <f>IFERROR(VLOOKUP($A:$A,MASTER!$A:$T,18,0),0)</f>
        <v>26373963.963963963</v>
      </c>
      <c r="Q22" s="9">
        <f t="shared" si="4"/>
        <v>0.52095125208795201</v>
      </c>
      <c r="R22" s="4">
        <f>IFERROR(VLOOKUP($A:$A,MASTER!$A:$T,19,0),0)</f>
        <v>4172</v>
      </c>
      <c r="S22" s="4">
        <f>IFERROR(VLOOKUP($A:$A,MASTER!$A:$T,20,0),0)</f>
        <v>4101</v>
      </c>
      <c r="T22" s="9">
        <f t="shared" si="5"/>
        <v>1.7312850524262346E-2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:T568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578939643.08737326</v>
      </c>
      <c r="D4">
        <v>625577082.55739725</v>
      </c>
      <c r="E4">
        <v>2815090.0900900918</v>
      </c>
      <c r="F4">
        <v>2972072.0720720729</v>
      </c>
      <c r="G4">
        <v>63</v>
      </c>
      <c r="H4">
        <v>26</v>
      </c>
      <c r="K4">
        <v>128</v>
      </c>
      <c r="L4">
        <v>42</v>
      </c>
      <c r="M4">
        <v>50161081.081081077</v>
      </c>
      <c r="N4">
        <v>29346396.396396395</v>
      </c>
      <c r="O4">
        <v>73493980.180180177</v>
      </c>
      <c r="P4">
        <v>89143637.837837845</v>
      </c>
      <c r="Q4">
        <v>47526576.576576576</v>
      </c>
      <c r="R4">
        <v>31753423.423423424</v>
      </c>
      <c r="S4">
        <v>8461</v>
      </c>
      <c r="T4">
        <v>8377</v>
      </c>
    </row>
    <row r="5" spans="1:20" x14ac:dyDescent="0.35">
      <c r="A5" s="7" t="s">
        <v>50</v>
      </c>
      <c r="B5" s="12" t="s">
        <v>51</v>
      </c>
      <c r="C5">
        <v>864858258.68683088</v>
      </c>
      <c r="D5">
        <v>899491952.32850456</v>
      </c>
      <c r="E5">
        <v>14009009.00900902</v>
      </c>
      <c r="F5">
        <v>11619615.315315325</v>
      </c>
      <c r="G5">
        <v>522</v>
      </c>
      <c r="H5">
        <v>551</v>
      </c>
      <c r="I5">
        <v>2</v>
      </c>
      <c r="K5">
        <v>817</v>
      </c>
      <c r="L5">
        <v>710</v>
      </c>
      <c r="M5">
        <v>239501081.08108109</v>
      </c>
      <c r="N5">
        <v>285648603.6036036</v>
      </c>
      <c r="O5">
        <v>279650968.46846849</v>
      </c>
      <c r="P5">
        <v>289484252.25225222</v>
      </c>
      <c r="Q5">
        <v>230635495.4954955</v>
      </c>
      <c r="R5">
        <v>277580090.0900901</v>
      </c>
      <c r="S5">
        <v>21563</v>
      </c>
      <c r="T5">
        <v>20700</v>
      </c>
    </row>
    <row r="6" spans="1:20" x14ac:dyDescent="0.35">
      <c r="A6" s="7" t="s">
        <v>52</v>
      </c>
      <c r="B6" s="12" t="s">
        <v>53</v>
      </c>
      <c r="C6">
        <v>219199491.88673681</v>
      </c>
      <c r="D6">
        <v>228474921.5758951</v>
      </c>
      <c r="E6">
        <v>5028828.8288288303</v>
      </c>
      <c r="F6">
        <v>4656306.3063063081</v>
      </c>
      <c r="G6">
        <v>111</v>
      </c>
      <c r="H6">
        <v>147</v>
      </c>
      <c r="K6">
        <v>140</v>
      </c>
      <c r="L6">
        <v>166</v>
      </c>
      <c r="M6">
        <v>68004054.054054052</v>
      </c>
      <c r="N6">
        <v>37529279.279279277</v>
      </c>
      <c r="O6">
        <v>74092738.738738731</v>
      </c>
      <c r="P6">
        <v>77070711.711711705</v>
      </c>
      <c r="Q6">
        <v>56485225.225225233</v>
      </c>
      <c r="R6">
        <v>34881261.261261262</v>
      </c>
      <c r="S6">
        <v>4802</v>
      </c>
      <c r="T6">
        <v>5278</v>
      </c>
    </row>
    <row r="7" spans="1:20" x14ac:dyDescent="0.35">
      <c r="A7" s="7" t="s">
        <v>54</v>
      </c>
      <c r="B7" s="12" t="s">
        <v>55</v>
      </c>
      <c r="C7">
        <v>118511265.69510256</v>
      </c>
      <c r="D7">
        <v>110159807.41728067</v>
      </c>
      <c r="E7">
        <v>2445945.9459459502</v>
      </c>
      <c r="F7">
        <v>2403603.6036036061</v>
      </c>
      <c r="G7">
        <v>27</v>
      </c>
      <c r="H7">
        <v>60</v>
      </c>
      <c r="K7">
        <v>72</v>
      </c>
      <c r="L7">
        <v>74</v>
      </c>
      <c r="M7">
        <v>11994324.324324328</v>
      </c>
      <c r="N7">
        <v>17700270.270270269</v>
      </c>
      <c r="O7">
        <v>37821371.621621624</v>
      </c>
      <c r="P7">
        <v>36077081.081081077</v>
      </c>
      <c r="Q7">
        <v>13623063.063063063</v>
      </c>
      <c r="R7">
        <v>16697477.477477476</v>
      </c>
      <c r="S7">
        <v>4428</v>
      </c>
      <c r="T7">
        <v>4245</v>
      </c>
    </row>
    <row r="8" spans="1:20" x14ac:dyDescent="0.35">
      <c r="A8" s="7" t="s">
        <v>56</v>
      </c>
      <c r="B8" s="12" t="s">
        <v>55</v>
      </c>
      <c r="C8">
        <v>194852139.15486509</v>
      </c>
      <c r="D8">
        <v>202947905.54611957</v>
      </c>
      <c r="E8">
        <v>3836936.9369369382</v>
      </c>
      <c r="F8">
        <v>4354504.5045045055</v>
      </c>
      <c r="G8">
        <v>99</v>
      </c>
      <c r="H8">
        <v>136</v>
      </c>
      <c r="K8">
        <v>518</v>
      </c>
      <c r="L8">
        <v>405</v>
      </c>
      <c r="M8">
        <v>80465045.045045033</v>
      </c>
      <c r="N8">
        <v>141568108.1081081</v>
      </c>
      <c r="O8">
        <v>56866432.432432435</v>
      </c>
      <c r="P8">
        <v>63074953.153153151</v>
      </c>
      <c r="Q8">
        <v>60075315.315315321</v>
      </c>
      <c r="R8">
        <v>66644774.774774775</v>
      </c>
      <c r="S8">
        <v>5473</v>
      </c>
      <c r="T8">
        <v>4643</v>
      </c>
    </row>
    <row r="9" spans="1:20" x14ac:dyDescent="0.35">
      <c r="A9" s="7" t="s">
        <v>57</v>
      </c>
      <c r="B9" s="12" t="s">
        <v>55</v>
      </c>
      <c r="C9">
        <v>95666696.030674502</v>
      </c>
      <c r="D9">
        <v>100781183.40574567</v>
      </c>
      <c r="E9">
        <v>1563063.0630630639</v>
      </c>
      <c r="F9">
        <v>2981081.0810810812</v>
      </c>
      <c r="G9">
        <v>25</v>
      </c>
      <c r="H9">
        <v>58</v>
      </c>
      <c r="K9">
        <v>27</v>
      </c>
      <c r="L9">
        <v>88</v>
      </c>
      <c r="M9">
        <v>10591531.531531531</v>
      </c>
      <c r="N9">
        <v>17079819.819819819</v>
      </c>
      <c r="O9">
        <v>28044477.477477476</v>
      </c>
      <c r="P9">
        <v>32762459.459459461</v>
      </c>
      <c r="Q9">
        <v>8899819.8198198192</v>
      </c>
      <c r="R9">
        <v>14882342.342342341</v>
      </c>
      <c r="S9">
        <v>2553</v>
      </c>
      <c r="T9">
        <v>1973</v>
      </c>
    </row>
    <row r="10" spans="1:20" x14ac:dyDescent="0.35">
      <c r="A10" s="7" t="s">
        <v>58</v>
      </c>
      <c r="B10" s="12" t="s">
        <v>59</v>
      </c>
      <c r="C10">
        <v>255413564.68988281</v>
      </c>
      <c r="D10">
        <v>252577712.29618549</v>
      </c>
      <c r="E10">
        <v>1081981.9819819829</v>
      </c>
      <c r="F10">
        <v>319819.81981982099</v>
      </c>
      <c r="G10">
        <v>84</v>
      </c>
      <c r="H10">
        <v>66</v>
      </c>
      <c r="I10">
        <v>1</v>
      </c>
      <c r="K10">
        <v>91</v>
      </c>
      <c r="L10">
        <v>79</v>
      </c>
      <c r="M10">
        <v>4514414.4144144142</v>
      </c>
      <c r="N10">
        <v>6986486.4864864862</v>
      </c>
      <c r="O10">
        <v>47938007.20720721</v>
      </c>
      <c r="P10">
        <v>51389585.585585587</v>
      </c>
      <c r="Q10">
        <v>4038648.6486486499</v>
      </c>
      <c r="R10">
        <v>5030000.0000000009</v>
      </c>
      <c r="S10">
        <v>5743</v>
      </c>
      <c r="T10">
        <v>5509</v>
      </c>
    </row>
    <row r="11" spans="1:20" x14ac:dyDescent="0.35">
      <c r="A11" s="7" t="s">
        <v>60</v>
      </c>
      <c r="B11" s="12" t="s">
        <v>61</v>
      </c>
      <c r="C11">
        <v>110334376.6585152</v>
      </c>
      <c r="D11">
        <v>114532615.81196415</v>
      </c>
      <c r="E11">
        <v>1088288.2882882911</v>
      </c>
      <c r="F11">
        <v>1156306.306306306</v>
      </c>
      <c r="G11">
        <v>41</v>
      </c>
      <c r="H11">
        <v>37</v>
      </c>
      <c r="I11">
        <v>1</v>
      </c>
      <c r="K11">
        <v>71</v>
      </c>
      <c r="L11">
        <v>81</v>
      </c>
      <c r="M11">
        <v>16998198.198198199</v>
      </c>
      <c r="N11">
        <v>21390540.540540542</v>
      </c>
      <c r="O11">
        <v>51167756.75675676</v>
      </c>
      <c r="P11">
        <v>55002270.270270273</v>
      </c>
      <c r="Q11">
        <v>11431441.441441445</v>
      </c>
      <c r="R11">
        <v>14411891.891891891</v>
      </c>
      <c r="S11">
        <v>3184</v>
      </c>
      <c r="T11">
        <v>3040</v>
      </c>
    </row>
    <row r="12" spans="1:20" x14ac:dyDescent="0.35">
      <c r="A12" s="7" t="s">
        <v>62</v>
      </c>
      <c r="B12" s="12" t="s">
        <v>63</v>
      </c>
      <c r="C12">
        <v>503826078.29403961</v>
      </c>
      <c r="D12">
        <v>512662770.86229646</v>
      </c>
      <c r="E12">
        <v>5159009.0090090176</v>
      </c>
      <c r="F12">
        <v>4721621.6216216302</v>
      </c>
      <c r="G12">
        <v>67</v>
      </c>
      <c r="H12">
        <v>32</v>
      </c>
      <c r="K12">
        <v>70</v>
      </c>
      <c r="L12">
        <v>61</v>
      </c>
      <c r="M12">
        <v>70220900.9009009</v>
      </c>
      <c r="N12">
        <v>72830990.990990996</v>
      </c>
      <c r="O12">
        <v>53062124.324324317</v>
      </c>
      <c r="P12">
        <v>63063601.801801801</v>
      </c>
      <c r="Q12">
        <v>67984504.504504502</v>
      </c>
      <c r="R12">
        <v>64088198.198198192</v>
      </c>
      <c r="S12">
        <v>8891</v>
      </c>
      <c r="T12">
        <v>8508</v>
      </c>
    </row>
    <row r="13" spans="1:20" x14ac:dyDescent="0.35">
      <c r="A13" s="7" t="s">
        <v>64</v>
      </c>
      <c r="B13" s="12" t="s">
        <v>51</v>
      </c>
      <c r="C13">
        <v>266681136.87880716</v>
      </c>
      <c r="D13">
        <v>265287673.10512441</v>
      </c>
      <c r="E13">
        <v>1022679720.7207208</v>
      </c>
      <c r="F13">
        <v>712398802.70270276</v>
      </c>
      <c r="G13">
        <v>81</v>
      </c>
      <c r="H13">
        <v>80</v>
      </c>
      <c r="K13">
        <v>119</v>
      </c>
      <c r="L13">
        <v>87</v>
      </c>
      <c r="M13">
        <v>170505585.58558559</v>
      </c>
      <c r="N13">
        <v>159071693.6936937</v>
      </c>
      <c r="O13">
        <v>103909603.6036036</v>
      </c>
      <c r="P13">
        <v>105786927.92792794</v>
      </c>
      <c r="Q13">
        <v>82252522.522522524</v>
      </c>
      <c r="R13">
        <v>53382792.79279279</v>
      </c>
      <c r="S13">
        <v>5469</v>
      </c>
      <c r="T13">
        <v>5719</v>
      </c>
    </row>
    <row r="14" spans="1:20" x14ac:dyDescent="0.35">
      <c r="A14" s="7" t="s">
        <v>65</v>
      </c>
      <c r="B14" s="12" t="s">
        <v>51</v>
      </c>
      <c r="C14">
        <v>273417682.90895665</v>
      </c>
      <c r="D14">
        <v>270297288.10319173</v>
      </c>
      <c r="E14">
        <v>3538738.7387387399</v>
      </c>
      <c r="F14">
        <v>3864864.8648648672</v>
      </c>
      <c r="G14">
        <v>63</v>
      </c>
      <c r="H14">
        <v>39</v>
      </c>
      <c r="K14">
        <v>79</v>
      </c>
      <c r="L14">
        <v>48</v>
      </c>
      <c r="M14">
        <v>31100270.270270269</v>
      </c>
      <c r="N14">
        <v>45759279.279279277</v>
      </c>
      <c r="O14">
        <v>104409738.73873873</v>
      </c>
      <c r="P14">
        <v>105102018.01801802</v>
      </c>
      <c r="Q14">
        <v>29933873.873873871</v>
      </c>
      <c r="R14">
        <v>34553693.693693697</v>
      </c>
      <c r="S14">
        <v>5699</v>
      </c>
      <c r="T14">
        <v>5476</v>
      </c>
    </row>
    <row r="15" spans="1:20" x14ac:dyDescent="0.35">
      <c r="A15" s="7" t="s">
        <v>66</v>
      </c>
      <c r="B15" s="12" t="s">
        <v>67</v>
      </c>
      <c r="C15">
        <v>278251698.94917136</v>
      </c>
      <c r="D15">
        <v>272786786.41939515</v>
      </c>
      <c r="E15">
        <v>6757657.6576576605</v>
      </c>
      <c r="F15">
        <v>13237837.837837839</v>
      </c>
      <c r="G15">
        <v>57</v>
      </c>
      <c r="H15">
        <v>75</v>
      </c>
      <c r="K15">
        <v>66</v>
      </c>
      <c r="L15">
        <v>88</v>
      </c>
      <c r="M15">
        <v>148697567.56756759</v>
      </c>
      <c r="N15">
        <v>193591891.8918919</v>
      </c>
      <c r="O15">
        <v>141216828.82882884</v>
      </c>
      <c r="P15">
        <v>138022081.08108109</v>
      </c>
      <c r="Q15">
        <v>128119099.0990991</v>
      </c>
      <c r="R15">
        <v>174891621.62162164</v>
      </c>
      <c r="S15">
        <v>7265</v>
      </c>
      <c r="T15">
        <v>5492</v>
      </c>
    </row>
    <row r="16" spans="1:20" x14ac:dyDescent="0.35">
      <c r="A16" s="7" t="s">
        <v>68</v>
      </c>
      <c r="B16" s="12" t="s">
        <v>69</v>
      </c>
      <c r="C16">
        <v>161332170.57353354</v>
      </c>
      <c r="D16">
        <v>162516673.85830882</v>
      </c>
      <c r="E16">
        <v>140825067.56756756</v>
      </c>
      <c r="F16">
        <v>129597253.15315315</v>
      </c>
      <c r="G16">
        <v>54</v>
      </c>
      <c r="H16">
        <v>34</v>
      </c>
      <c r="K16">
        <v>57</v>
      </c>
      <c r="L16">
        <v>38</v>
      </c>
      <c r="M16">
        <v>30800540.540540539</v>
      </c>
      <c r="N16">
        <v>53675405.40540541</v>
      </c>
      <c r="O16">
        <v>43849009.009009011</v>
      </c>
      <c r="P16">
        <v>48620216.216216214</v>
      </c>
      <c r="Q16">
        <v>20821261.261261258</v>
      </c>
      <c r="R16">
        <v>21042972.97297297</v>
      </c>
      <c r="S16">
        <v>3245</v>
      </c>
      <c r="T16">
        <v>3093</v>
      </c>
    </row>
    <row r="17" spans="1:20" x14ac:dyDescent="0.35">
      <c r="A17" s="7" t="s">
        <v>70</v>
      </c>
      <c r="B17" s="12" t="s">
        <v>71</v>
      </c>
      <c r="C17">
        <v>12638931.553797476</v>
      </c>
      <c r="D17">
        <v>12553001.78316352</v>
      </c>
      <c r="E17">
        <v>116216.216216217</v>
      </c>
      <c r="F17">
        <v>531531.53153153195</v>
      </c>
      <c r="G17">
        <v>4</v>
      </c>
      <c r="H17">
        <v>3</v>
      </c>
      <c r="K17">
        <v>4</v>
      </c>
      <c r="L17">
        <v>3</v>
      </c>
      <c r="M17">
        <v>404504.50450450502</v>
      </c>
      <c r="N17">
        <v>2117117.1171171172</v>
      </c>
      <c r="O17">
        <v>3717626.1261261259</v>
      </c>
      <c r="P17">
        <v>3927558.558558559</v>
      </c>
      <c r="Q17">
        <v>404054.05405405402</v>
      </c>
      <c r="R17">
        <v>1709909.9099099101</v>
      </c>
      <c r="S17">
        <v>375</v>
      </c>
      <c r="T17">
        <v>349</v>
      </c>
    </row>
    <row r="18" spans="1:20" x14ac:dyDescent="0.35">
      <c r="A18" s="7" t="s">
        <v>72</v>
      </c>
      <c r="B18" s="12" t="s">
        <v>73</v>
      </c>
      <c r="C18">
        <v>2158046949.5840063</v>
      </c>
      <c r="D18">
        <v>2223894344.1738448</v>
      </c>
      <c r="E18">
        <v>525958109.009009</v>
      </c>
      <c r="F18">
        <v>794659566.66666675</v>
      </c>
      <c r="G18">
        <v>661</v>
      </c>
      <c r="H18">
        <v>841</v>
      </c>
      <c r="I18">
        <v>17</v>
      </c>
      <c r="K18">
        <v>1041</v>
      </c>
      <c r="L18">
        <v>1303</v>
      </c>
      <c r="M18">
        <v>242040998.1981982</v>
      </c>
      <c r="N18">
        <v>291436036.03603601</v>
      </c>
      <c r="O18">
        <v>443857081.08108109</v>
      </c>
      <c r="P18">
        <v>561144705.4054054</v>
      </c>
      <c r="Q18">
        <v>205824547.74774775</v>
      </c>
      <c r="R18">
        <v>239294187.38738739</v>
      </c>
      <c r="S18">
        <v>47210</v>
      </c>
      <c r="T18">
        <v>47471</v>
      </c>
    </row>
    <row r="19" spans="1:20" x14ac:dyDescent="0.35">
      <c r="A19" s="7" t="s">
        <v>74</v>
      </c>
      <c r="B19" s="12" t="s">
        <v>73</v>
      </c>
      <c r="C19">
        <v>204112022.51872745</v>
      </c>
      <c r="D19">
        <v>211155242.04531366</v>
      </c>
      <c r="E19">
        <v>41290990.990990989</v>
      </c>
      <c r="F19">
        <v>64772342.342342347</v>
      </c>
      <c r="G19">
        <v>45</v>
      </c>
      <c r="H19">
        <v>39</v>
      </c>
      <c r="I19">
        <v>1</v>
      </c>
      <c r="K19">
        <v>48</v>
      </c>
      <c r="L19">
        <v>44</v>
      </c>
      <c r="M19">
        <v>8692792.7927927934</v>
      </c>
      <c r="N19">
        <v>11153603.603603603</v>
      </c>
      <c r="O19">
        <v>29879207.207207207</v>
      </c>
      <c r="P19">
        <v>32012342.342342343</v>
      </c>
      <c r="Q19">
        <v>5666486.4864864871</v>
      </c>
      <c r="R19">
        <v>4698738.738738738</v>
      </c>
      <c r="S19">
        <v>3267</v>
      </c>
      <c r="T19">
        <v>3684</v>
      </c>
    </row>
    <row r="20" spans="1:20" x14ac:dyDescent="0.35">
      <c r="A20" s="7" t="s">
        <v>75</v>
      </c>
      <c r="B20" s="12" t="s">
        <v>71</v>
      </c>
      <c r="C20">
        <v>222178351.46887189</v>
      </c>
      <c r="D20">
        <v>222003824.08820775</v>
      </c>
      <c r="E20">
        <v>5780180.1801801836</v>
      </c>
      <c r="F20">
        <v>10819369.369369363</v>
      </c>
      <c r="G20">
        <v>65</v>
      </c>
      <c r="H20">
        <v>49</v>
      </c>
      <c r="I20">
        <v>1</v>
      </c>
      <c r="K20">
        <v>82</v>
      </c>
      <c r="L20">
        <v>86</v>
      </c>
      <c r="M20">
        <v>51283783.783783786</v>
      </c>
      <c r="N20">
        <v>266531981.98198199</v>
      </c>
      <c r="O20">
        <v>80586099.0990991</v>
      </c>
      <c r="P20">
        <v>81479252.252252251</v>
      </c>
      <c r="Q20">
        <v>47167207.20720721</v>
      </c>
      <c r="R20">
        <v>258187747.74774775</v>
      </c>
      <c r="S20">
        <v>4953</v>
      </c>
      <c r="T20">
        <v>4034</v>
      </c>
    </row>
    <row r="21" spans="1:20" x14ac:dyDescent="0.35">
      <c r="A21" s="7" t="s">
        <v>76</v>
      </c>
      <c r="B21" s="12" t="s">
        <v>77</v>
      </c>
      <c r="C21">
        <v>63153030.429371677</v>
      </c>
      <c r="D21">
        <v>66942712.173236117</v>
      </c>
      <c r="E21">
        <v>584684.68468468497</v>
      </c>
      <c r="F21">
        <v>449549.54954954999</v>
      </c>
      <c r="G21">
        <v>20</v>
      </c>
      <c r="H21">
        <v>32</v>
      </c>
      <c r="K21">
        <v>21</v>
      </c>
      <c r="L21">
        <v>34</v>
      </c>
      <c r="M21">
        <v>8553513.5135135148</v>
      </c>
      <c r="N21">
        <v>9955855.8558558561</v>
      </c>
      <c r="O21">
        <v>16100819.819819819</v>
      </c>
      <c r="P21">
        <v>19404531.531531531</v>
      </c>
      <c r="Q21">
        <v>5770360.3603603607</v>
      </c>
      <c r="R21">
        <v>8080810.8108108109</v>
      </c>
      <c r="S21">
        <v>2621</v>
      </c>
      <c r="T21">
        <v>1503</v>
      </c>
    </row>
    <row r="22" spans="1:20" x14ac:dyDescent="0.35">
      <c r="A22" s="7" t="s">
        <v>78</v>
      </c>
      <c r="B22" s="12" t="s">
        <v>79</v>
      </c>
      <c r="C22">
        <v>137903174.90417352</v>
      </c>
      <c r="D22">
        <v>144513322.34999344</v>
      </c>
      <c r="E22">
        <v>2166666.666666666</v>
      </c>
      <c r="F22">
        <v>2715765.7657657671</v>
      </c>
      <c r="G22">
        <v>25</v>
      </c>
      <c r="H22">
        <v>53</v>
      </c>
      <c r="I22">
        <v>1</v>
      </c>
      <c r="K22">
        <v>27</v>
      </c>
      <c r="L22">
        <v>84</v>
      </c>
      <c r="M22">
        <v>16103603.603603603</v>
      </c>
      <c r="N22">
        <v>26459009.009009007</v>
      </c>
      <c r="O22">
        <v>45120459.459459454</v>
      </c>
      <c r="P22">
        <v>47112538.738738738</v>
      </c>
      <c r="Q22">
        <v>16862882.882882878</v>
      </c>
      <c r="R22">
        <v>24021351.351351351</v>
      </c>
      <c r="S22">
        <v>2698</v>
      </c>
      <c r="T22">
        <v>2478</v>
      </c>
    </row>
    <row r="23" spans="1:20" x14ac:dyDescent="0.35">
      <c r="A23" s="7" t="s">
        <v>80</v>
      </c>
      <c r="B23" s="12" t="s">
        <v>81</v>
      </c>
      <c r="C23">
        <v>1280369540.3607786</v>
      </c>
      <c r="D23">
        <v>1410370942.7934825</v>
      </c>
      <c r="E23">
        <v>92813513.51351352</v>
      </c>
      <c r="F23">
        <v>106631711.71171173</v>
      </c>
      <c r="G23">
        <v>868</v>
      </c>
      <c r="H23">
        <v>870</v>
      </c>
      <c r="I23">
        <v>6</v>
      </c>
      <c r="K23">
        <v>977</v>
      </c>
      <c r="L23">
        <v>1201</v>
      </c>
      <c r="M23">
        <v>186840090.09009007</v>
      </c>
      <c r="N23">
        <v>175295765.76576576</v>
      </c>
      <c r="O23">
        <v>336368655.4054054</v>
      </c>
      <c r="P23">
        <v>434892771.17117119</v>
      </c>
      <c r="Q23">
        <v>169903873.87387389</v>
      </c>
      <c r="R23">
        <v>151247927.92792794</v>
      </c>
      <c r="S23">
        <v>29037</v>
      </c>
      <c r="T23">
        <v>23414</v>
      </c>
    </row>
    <row r="24" spans="1:20" x14ac:dyDescent="0.35">
      <c r="A24" s="7" t="s">
        <v>82</v>
      </c>
      <c r="B24" s="12" t="s">
        <v>55</v>
      </c>
      <c r="C24">
        <v>39950736.202744126</v>
      </c>
      <c r="D24">
        <v>36938712.594899207</v>
      </c>
      <c r="E24">
        <v>445045.04504504701</v>
      </c>
      <c r="F24">
        <v>315315.31531531602</v>
      </c>
      <c r="G24">
        <v>10</v>
      </c>
      <c r="H24">
        <v>9</v>
      </c>
      <c r="K24">
        <v>16</v>
      </c>
      <c r="L24">
        <v>9</v>
      </c>
      <c r="M24">
        <v>3132252.2522522518</v>
      </c>
      <c r="N24">
        <v>3523423.4234234239</v>
      </c>
      <c r="O24">
        <v>9348090.0900900923</v>
      </c>
      <c r="P24">
        <v>10075747.747747747</v>
      </c>
      <c r="Q24">
        <v>2655135.1351351351</v>
      </c>
      <c r="R24">
        <v>2933153.1531531531</v>
      </c>
      <c r="S24">
        <v>1528</v>
      </c>
      <c r="T24">
        <v>1383</v>
      </c>
    </row>
    <row r="25" spans="1:20" x14ac:dyDescent="0.35">
      <c r="A25" s="7" t="s">
        <v>83</v>
      </c>
      <c r="B25" s="12" t="s">
        <v>84</v>
      </c>
      <c r="C25">
        <v>919163039.17822909</v>
      </c>
      <c r="D25">
        <v>910305400.58730245</v>
      </c>
      <c r="E25">
        <v>10420045.045045046</v>
      </c>
      <c r="F25">
        <v>14782882.882882887</v>
      </c>
      <c r="G25">
        <v>180</v>
      </c>
      <c r="H25">
        <v>146</v>
      </c>
      <c r="I25">
        <v>2</v>
      </c>
      <c r="K25">
        <v>219</v>
      </c>
      <c r="L25">
        <v>202</v>
      </c>
      <c r="M25">
        <v>188946396.39639643</v>
      </c>
      <c r="N25">
        <v>192617567.56756756</v>
      </c>
      <c r="O25">
        <v>273343228.37837839</v>
      </c>
      <c r="P25">
        <v>283592479.27927929</v>
      </c>
      <c r="Q25">
        <v>139001891.8918919</v>
      </c>
      <c r="R25">
        <v>153166486.48648649</v>
      </c>
      <c r="S25">
        <v>15132</v>
      </c>
      <c r="T25">
        <v>15036</v>
      </c>
    </row>
    <row r="26" spans="1:20" x14ac:dyDescent="0.35">
      <c r="A26" s="7" t="s">
        <v>85</v>
      </c>
      <c r="B26" s="12" t="s">
        <v>86</v>
      </c>
      <c r="C26">
        <v>85055109.307681456</v>
      </c>
      <c r="D26">
        <v>82558703.045886055</v>
      </c>
      <c r="E26">
        <v>1725000.0000000009</v>
      </c>
      <c r="F26">
        <v>3091891.8918918939</v>
      </c>
      <c r="G26">
        <v>47</v>
      </c>
      <c r="H26">
        <v>134</v>
      </c>
      <c r="K26">
        <v>56</v>
      </c>
      <c r="L26">
        <v>151</v>
      </c>
      <c r="M26">
        <v>206314864.86486486</v>
      </c>
      <c r="N26">
        <v>138132882.88288289</v>
      </c>
      <c r="O26">
        <v>30238315.315315317</v>
      </c>
      <c r="P26">
        <v>39322288.288288288</v>
      </c>
      <c r="Q26">
        <v>182639729.72972974</v>
      </c>
      <c r="R26">
        <v>109550987.38738739</v>
      </c>
      <c r="S26">
        <v>2198</v>
      </c>
      <c r="T26">
        <v>2155</v>
      </c>
    </row>
    <row r="27" spans="1:20" x14ac:dyDescent="0.35">
      <c r="A27" s="7" t="s">
        <v>87</v>
      </c>
      <c r="B27" s="12" t="s">
        <v>88</v>
      </c>
      <c r="C27">
        <v>3276095.1111226552</v>
      </c>
      <c r="D27">
        <v>4083222.3328893511</v>
      </c>
      <c r="G27">
        <v>2</v>
      </c>
      <c r="K27">
        <v>3</v>
      </c>
      <c r="O27">
        <v>1537441.4414414419</v>
      </c>
      <c r="P27">
        <v>2166396.3963963962</v>
      </c>
      <c r="S27">
        <v>179</v>
      </c>
      <c r="T27">
        <v>151</v>
      </c>
    </row>
    <row r="28" spans="1:20" x14ac:dyDescent="0.35">
      <c r="A28" s="7" t="s">
        <v>89</v>
      </c>
      <c r="B28" s="12" t="s">
        <v>90</v>
      </c>
      <c r="C28">
        <v>187474336.28768948</v>
      </c>
      <c r="D28">
        <v>200388376.13670596</v>
      </c>
      <c r="E28">
        <v>3234234.234234238</v>
      </c>
      <c r="F28">
        <v>3148648.6486486532</v>
      </c>
      <c r="G28">
        <v>28</v>
      </c>
      <c r="H28">
        <v>34</v>
      </c>
      <c r="K28">
        <v>30</v>
      </c>
      <c r="L28">
        <v>45</v>
      </c>
      <c r="M28">
        <v>27301801.801801801</v>
      </c>
      <c r="N28">
        <v>33852432.432432435</v>
      </c>
      <c r="O28">
        <v>67146855.855855852</v>
      </c>
      <c r="P28">
        <v>71827234.234234229</v>
      </c>
      <c r="Q28">
        <v>26835585.585585583</v>
      </c>
      <c r="R28">
        <v>36299189.189189196</v>
      </c>
      <c r="S28">
        <v>3507</v>
      </c>
      <c r="T28">
        <v>3173</v>
      </c>
    </row>
    <row r="29" spans="1:20" x14ac:dyDescent="0.35">
      <c r="A29" s="7" t="s">
        <v>91</v>
      </c>
      <c r="B29" s="12" t="s">
        <v>61</v>
      </c>
      <c r="C29">
        <v>67105146.501984119</v>
      </c>
      <c r="D29">
        <v>68964971.403949425</v>
      </c>
      <c r="E29">
        <v>122522.522522524</v>
      </c>
      <c r="F29">
        <v>1177477.4774774781</v>
      </c>
      <c r="G29">
        <v>17</v>
      </c>
      <c r="H29">
        <v>44</v>
      </c>
      <c r="K29">
        <v>150</v>
      </c>
      <c r="L29">
        <v>157</v>
      </c>
      <c r="M29">
        <v>4600000</v>
      </c>
      <c r="N29">
        <v>8348648.6486486476</v>
      </c>
      <c r="O29">
        <v>39583009.009009011</v>
      </c>
      <c r="P29">
        <v>41146981.981981985</v>
      </c>
      <c r="Q29">
        <v>3996216.2162162159</v>
      </c>
      <c r="R29">
        <v>8564774.7747747749</v>
      </c>
      <c r="S29">
        <v>1516</v>
      </c>
      <c r="T29">
        <v>1684</v>
      </c>
    </row>
    <row r="30" spans="1:20" x14ac:dyDescent="0.35">
      <c r="A30" s="7" t="s">
        <v>92</v>
      </c>
      <c r="B30" s="12" t="s">
        <v>93</v>
      </c>
      <c r="C30">
        <v>55850967.352637261</v>
      </c>
      <c r="D30">
        <v>51434699.933506787</v>
      </c>
      <c r="E30">
        <v>135916147.74774775</v>
      </c>
      <c r="F30">
        <v>108661809.9099099</v>
      </c>
      <c r="G30">
        <v>12</v>
      </c>
      <c r="H30">
        <v>6</v>
      </c>
      <c r="K30">
        <v>15</v>
      </c>
      <c r="L30">
        <v>7</v>
      </c>
      <c r="M30">
        <v>25544684.684684683</v>
      </c>
      <c r="N30">
        <v>25576486.486486487</v>
      </c>
      <c r="O30">
        <v>17841900.9009009</v>
      </c>
      <c r="P30">
        <v>18618693.693693697</v>
      </c>
      <c r="Q30">
        <v>16602342.342342343</v>
      </c>
      <c r="R30">
        <v>19377117.117117114</v>
      </c>
      <c r="S30">
        <v>1104</v>
      </c>
      <c r="T30">
        <v>1043</v>
      </c>
    </row>
    <row r="31" spans="1:20" x14ac:dyDescent="0.35">
      <c r="A31" s="7" t="s">
        <v>94</v>
      </c>
      <c r="B31" s="12" t="s">
        <v>95</v>
      </c>
      <c r="C31">
        <v>239449324.05241755</v>
      </c>
      <c r="D31">
        <v>255326697.57172444</v>
      </c>
      <c r="E31">
        <v>479729.72972973099</v>
      </c>
      <c r="F31">
        <v>243243.24324324401</v>
      </c>
      <c r="G31">
        <v>40</v>
      </c>
      <c r="H31">
        <v>20</v>
      </c>
      <c r="K31">
        <v>48</v>
      </c>
      <c r="L31">
        <v>24</v>
      </c>
      <c r="M31">
        <v>32515765.765765768</v>
      </c>
      <c r="N31">
        <v>34144144.14414414</v>
      </c>
      <c r="O31">
        <v>35308899.0990991</v>
      </c>
      <c r="P31">
        <v>44405327.027027026</v>
      </c>
      <c r="Q31">
        <v>26645135.135135137</v>
      </c>
      <c r="R31">
        <v>31927927.927927922</v>
      </c>
      <c r="S31">
        <v>4599</v>
      </c>
      <c r="T31">
        <v>4419</v>
      </c>
    </row>
    <row r="32" spans="1:20" x14ac:dyDescent="0.35">
      <c r="A32" s="7" t="s">
        <v>96</v>
      </c>
      <c r="B32" s="12" t="s">
        <v>97</v>
      </c>
      <c r="C32">
        <v>255185950.32602516</v>
      </c>
      <c r="D32">
        <v>262548283.6652784</v>
      </c>
      <c r="E32">
        <v>1681981.9819819811</v>
      </c>
      <c r="F32">
        <v>3047297.2972972989</v>
      </c>
      <c r="G32">
        <v>60</v>
      </c>
      <c r="H32">
        <v>98</v>
      </c>
      <c r="I32">
        <v>4</v>
      </c>
      <c r="K32">
        <v>66</v>
      </c>
      <c r="L32">
        <v>106</v>
      </c>
      <c r="M32">
        <v>54216216.216216214</v>
      </c>
      <c r="N32">
        <v>48927027.027027026</v>
      </c>
      <c r="O32">
        <v>128740954.95495497</v>
      </c>
      <c r="P32">
        <v>132742783.78378378</v>
      </c>
      <c r="Q32">
        <v>47966486.486486487</v>
      </c>
      <c r="R32">
        <v>46942612.612612605</v>
      </c>
      <c r="S32">
        <v>6458</v>
      </c>
      <c r="T32">
        <v>6102</v>
      </c>
    </row>
    <row r="33" spans="1:20" x14ac:dyDescent="0.35">
      <c r="A33" s="7" t="s">
        <v>98</v>
      </c>
      <c r="B33" s="12" t="s">
        <v>99</v>
      </c>
      <c r="C33">
        <v>883990823.18506289</v>
      </c>
      <c r="D33">
        <v>877416048.64409137</v>
      </c>
      <c r="E33">
        <v>9927927.9279279299</v>
      </c>
      <c r="F33">
        <v>10669369.369369373</v>
      </c>
      <c r="G33">
        <v>356</v>
      </c>
      <c r="H33">
        <v>223</v>
      </c>
      <c r="K33">
        <v>458</v>
      </c>
      <c r="L33">
        <v>260</v>
      </c>
      <c r="M33">
        <v>172677027.02702704</v>
      </c>
      <c r="N33">
        <v>227945900.9009009</v>
      </c>
      <c r="O33">
        <v>230999786.93693691</v>
      </c>
      <c r="P33">
        <v>245688387.38738739</v>
      </c>
      <c r="Q33">
        <v>118504954.95495494</v>
      </c>
      <c r="R33">
        <v>174221846.84684685</v>
      </c>
      <c r="S33">
        <v>24321</v>
      </c>
      <c r="T33">
        <v>22308</v>
      </c>
    </row>
    <row r="34" spans="1:20" x14ac:dyDescent="0.35">
      <c r="A34" s="7" t="s">
        <v>100</v>
      </c>
      <c r="B34" s="12" t="s">
        <v>99</v>
      </c>
      <c r="C34">
        <v>1433735026.6213329</v>
      </c>
      <c r="D34">
        <v>1436897886.4957128</v>
      </c>
      <c r="E34">
        <v>5810401.8018018063</v>
      </c>
      <c r="F34">
        <v>7503655.8558558589</v>
      </c>
      <c r="G34">
        <v>430</v>
      </c>
      <c r="H34">
        <v>452</v>
      </c>
      <c r="I34">
        <v>9</v>
      </c>
      <c r="K34">
        <v>727</v>
      </c>
      <c r="L34">
        <v>594</v>
      </c>
      <c r="M34">
        <v>80846846.846846849</v>
      </c>
      <c r="N34">
        <v>282074819.81981981</v>
      </c>
      <c r="O34">
        <v>276612050</v>
      </c>
      <c r="P34">
        <v>293409872.07207209</v>
      </c>
      <c r="Q34">
        <v>77590540.540540546</v>
      </c>
      <c r="R34">
        <v>96452657.657657668</v>
      </c>
      <c r="S34">
        <v>33697</v>
      </c>
      <c r="T34">
        <v>28591</v>
      </c>
    </row>
    <row r="35" spans="1:20" x14ac:dyDescent="0.35">
      <c r="A35" s="7" t="s">
        <v>101</v>
      </c>
      <c r="B35" s="12" t="s">
        <v>99</v>
      </c>
      <c r="C35">
        <v>1829270413.9044609</v>
      </c>
      <c r="D35">
        <v>1983612704.9022949</v>
      </c>
      <c r="E35">
        <v>15620720.720720729</v>
      </c>
      <c r="F35">
        <v>16744677.47747748</v>
      </c>
      <c r="G35">
        <v>392</v>
      </c>
      <c r="H35">
        <v>535</v>
      </c>
      <c r="I35">
        <v>10</v>
      </c>
      <c r="K35">
        <v>1028</v>
      </c>
      <c r="L35">
        <v>685</v>
      </c>
      <c r="M35">
        <v>733540675.67567563</v>
      </c>
      <c r="N35">
        <v>264325983.78378376</v>
      </c>
      <c r="O35">
        <v>875595722.97297287</v>
      </c>
      <c r="P35">
        <v>885412358.55855858</v>
      </c>
      <c r="Q35">
        <v>178079594.5945946</v>
      </c>
      <c r="R35">
        <v>162779414.41441441</v>
      </c>
      <c r="S35">
        <v>38751</v>
      </c>
      <c r="T35">
        <v>34484</v>
      </c>
    </row>
    <row r="36" spans="1:20" x14ac:dyDescent="0.35">
      <c r="A36" s="7" t="s">
        <v>102</v>
      </c>
      <c r="B36" s="12" t="s">
        <v>99</v>
      </c>
      <c r="C36">
        <v>822774865.16578424</v>
      </c>
      <c r="D36">
        <v>830347721.14512002</v>
      </c>
      <c r="E36">
        <v>4435135.1351351328</v>
      </c>
      <c r="F36">
        <v>5373423.4234234253</v>
      </c>
      <c r="G36">
        <v>239</v>
      </c>
      <c r="H36">
        <v>183</v>
      </c>
      <c r="I36">
        <v>3</v>
      </c>
      <c r="K36">
        <v>283</v>
      </c>
      <c r="L36">
        <v>236</v>
      </c>
      <c r="M36">
        <v>64255855.855855852</v>
      </c>
      <c r="N36">
        <v>72895662.162162155</v>
      </c>
      <c r="O36">
        <v>182621180.18018019</v>
      </c>
      <c r="P36">
        <v>186997054.05405405</v>
      </c>
      <c r="Q36">
        <v>59665675.675675683</v>
      </c>
      <c r="R36">
        <v>69581801.801801801</v>
      </c>
      <c r="S36">
        <v>24892</v>
      </c>
      <c r="T36">
        <v>21604</v>
      </c>
    </row>
    <row r="37" spans="1:20" x14ac:dyDescent="0.35">
      <c r="A37" s="7" t="s">
        <v>103</v>
      </c>
      <c r="B37" s="12" t="s">
        <v>99</v>
      </c>
      <c r="C37">
        <v>930839920.71140134</v>
      </c>
      <c r="D37">
        <v>955247612.20788074</v>
      </c>
      <c r="E37">
        <v>189301801.8018018</v>
      </c>
      <c r="F37">
        <v>214122972.97297296</v>
      </c>
      <c r="G37">
        <v>208</v>
      </c>
      <c r="H37">
        <v>78</v>
      </c>
      <c r="I37">
        <v>1</v>
      </c>
      <c r="K37">
        <v>262</v>
      </c>
      <c r="L37">
        <v>139</v>
      </c>
      <c r="M37">
        <v>182311036.03603604</v>
      </c>
      <c r="N37">
        <v>223752072.07207206</v>
      </c>
      <c r="O37">
        <v>273262004.5045045</v>
      </c>
      <c r="P37">
        <v>277476324.32432431</v>
      </c>
      <c r="Q37">
        <v>178904414.41441441</v>
      </c>
      <c r="R37">
        <v>178077927.92792794</v>
      </c>
      <c r="S37">
        <v>28988</v>
      </c>
      <c r="T37">
        <v>25361</v>
      </c>
    </row>
    <row r="38" spans="1:20" x14ac:dyDescent="0.35">
      <c r="A38" s="7" t="s">
        <v>104</v>
      </c>
      <c r="B38" s="12" t="s">
        <v>99</v>
      </c>
      <c r="C38">
        <v>2395506075.0292525</v>
      </c>
      <c r="D38">
        <v>2391056275.1263299</v>
      </c>
      <c r="E38">
        <v>948537852.25225234</v>
      </c>
      <c r="F38">
        <v>1890803600</v>
      </c>
      <c r="G38">
        <v>692</v>
      </c>
      <c r="H38">
        <v>433</v>
      </c>
      <c r="I38">
        <v>8</v>
      </c>
      <c r="K38">
        <v>1059</v>
      </c>
      <c r="L38">
        <v>523</v>
      </c>
      <c r="M38">
        <v>258711559.45945945</v>
      </c>
      <c r="N38">
        <v>1184990540.5405405</v>
      </c>
      <c r="O38">
        <v>512099899.0990991</v>
      </c>
      <c r="P38">
        <v>525984927.92792791</v>
      </c>
      <c r="Q38">
        <v>232934954.95495495</v>
      </c>
      <c r="R38">
        <v>831844864.86486495</v>
      </c>
      <c r="S38">
        <v>61931</v>
      </c>
      <c r="T38">
        <v>54741</v>
      </c>
    </row>
    <row r="39" spans="1:20" x14ac:dyDescent="0.35">
      <c r="A39" s="7" t="s">
        <v>105</v>
      </c>
      <c r="B39" s="12" t="s">
        <v>106</v>
      </c>
      <c r="C39">
        <v>166508202.13585222</v>
      </c>
      <c r="D39">
        <v>158240590.64196032</v>
      </c>
      <c r="E39">
        <v>1254954.9549549541</v>
      </c>
      <c r="F39">
        <v>165765.765765766</v>
      </c>
      <c r="G39">
        <v>36</v>
      </c>
      <c r="H39">
        <v>14</v>
      </c>
      <c r="K39">
        <v>39</v>
      </c>
      <c r="L39">
        <v>16</v>
      </c>
      <c r="M39">
        <v>1705405.405405405</v>
      </c>
      <c r="N39">
        <v>165765.765765766</v>
      </c>
      <c r="O39">
        <v>36263720.720720723</v>
      </c>
      <c r="P39">
        <v>38672243.24324324</v>
      </c>
      <c r="Q39">
        <v>1101261.2612612611</v>
      </c>
      <c r="R39">
        <v>283783.78378378402</v>
      </c>
      <c r="S39">
        <v>2561</v>
      </c>
      <c r="T39">
        <v>2593</v>
      </c>
    </row>
    <row r="40" spans="1:20" x14ac:dyDescent="0.35">
      <c r="A40" s="7" t="s">
        <v>107</v>
      </c>
      <c r="B40" s="12" t="s">
        <v>55</v>
      </c>
      <c r="C40">
        <v>57094732.127589345</v>
      </c>
      <c r="D40">
        <v>54414370.541408919</v>
      </c>
      <c r="E40">
        <v>48648.648648649003</v>
      </c>
      <c r="F40">
        <v>724324.32432432496</v>
      </c>
      <c r="G40">
        <v>31</v>
      </c>
      <c r="H40">
        <v>59</v>
      </c>
      <c r="I40">
        <v>9</v>
      </c>
      <c r="K40">
        <v>37</v>
      </c>
      <c r="L40">
        <v>70</v>
      </c>
      <c r="M40">
        <v>1791171.1711711721</v>
      </c>
      <c r="N40">
        <v>3938738.7387387389</v>
      </c>
      <c r="O40">
        <v>14777405.405405406</v>
      </c>
      <c r="P40">
        <v>14706099.0990991</v>
      </c>
      <c r="Q40">
        <v>1820720.7207207209</v>
      </c>
      <c r="R40">
        <v>3097207.2072072071</v>
      </c>
      <c r="S40">
        <v>1646</v>
      </c>
      <c r="T40">
        <v>1305</v>
      </c>
    </row>
    <row r="41" spans="1:20" x14ac:dyDescent="0.35">
      <c r="A41" s="7" t="s">
        <v>108</v>
      </c>
      <c r="B41" s="12" t="s">
        <v>109</v>
      </c>
      <c r="C41">
        <v>462087352.88546908</v>
      </c>
      <c r="D41">
        <v>483118910.52668172</v>
      </c>
      <c r="E41">
        <v>5168468.4684684742</v>
      </c>
      <c r="F41">
        <v>7572522.522522524</v>
      </c>
      <c r="G41">
        <v>126</v>
      </c>
      <c r="H41">
        <v>101</v>
      </c>
      <c r="I41">
        <v>1</v>
      </c>
      <c r="K41">
        <v>158</v>
      </c>
      <c r="L41">
        <v>120</v>
      </c>
      <c r="M41">
        <v>69179459.459459454</v>
      </c>
      <c r="N41">
        <v>70069819.819819823</v>
      </c>
      <c r="O41">
        <v>102630279.27927928</v>
      </c>
      <c r="P41">
        <v>104530972.97297297</v>
      </c>
      <c r="Q41">
        <v>59164774.774774775</v>
      </c>
      <c r="R41">
        <v>59652342.342342347</v>
      </c>
      <c r="S41">
        <v>11338</v>
      </c>
      <c r="T41">
        <v>9612</v>
      </c>
    </row>
    <row r="42" spans="1:20" x14ac:dyDescent="0.35">
      <c r="A42" s="7" t="s">
        <v>110</v>
      </c>
      <c r="B42" s="12" t="s">
        <v>109</v>
      </c>
      <c r="C42">
        <v>655382906.57003939</v>
      </c>
      <c r="D42">
        <v>671162327.63893044</v>
      </c>
      <c r="E42">
        <v>6213590.0900900951</v>
      </c>
      <c r="F42">
        <v>15267873.87387388</v>
      </c>
      <c r="G42">
        <v>219</v>
      </c>
      <c r="H42">
        <v>174</v>
      </c>
      <c r="K42">
        <v>326</v>
      </c>
      <c r="L42">
        <v>350</v>
      </c>
      <c r="M42">
        <v>47653053.153153151</v>
      </c>
      <c r="N42">
        <v>333992198.1981982</v>
      </c>
      <c r="O42">
        <v>187122801.8018018</v>
      </c>
      <c r="P42">
        <v>185053675.67567569</v>
      </c>
      <c r="Q42">
        <v>169237567.56756756</v>
      </c>
      <c r="R42">
        <v>232785135.13513514</v>
      </c>
      <c r="S42">
        <v>16529</v>
      </c>
      <c r="T42">
        <v>15956</v>
      </c>
    </row>
    <row r="43" spans="1:20" x14ac:dyDescent="0.35">
      <c r="A43" s="7" t="s">
        <v>111</v>
      </c>
      <c r="B43" s="12" t="s">
        <v>112</v>
      </c>
      <c r="C43">
        <v>750133725.17597711</v>
      </c>
      <c r="D43">
        <v>780402226.75897884</v>
      </c>
      <c r="E43">
        <v>92066666.666666672</v>
      </c>
      <c r="F43">
        <v>935033783.78378379</v>
      </c>
      <c r="G43">
        <v>238</v>
      </c>
      <c r="H43">
        <v>229</v>
      </c>
      <c r="K43">
        <v>493</v>
      </c>
      <c r="L43">
        <v>408</v>
      </c>
      <c r="M43">
        <v>73796600.9009009</v>
      </c>
      <c r="N43">
        <v>76438468.468468457</v>
      </c>
      <c r="O43">
        <v>264379378.37837836</v>
      </c>
      <c r="P43">
        <v>282766495.4954955</v>
      </c>
      <c r="Q43">
        <v>65829052.252252251</v>
      </c>
      <c r="R43">
        <v>69947747.747747749</v>
      </c>
      <c r="S43">
        <v>23035</v>
      </c>
      <c r="T43">
        <v>20867</v>
      </c>
    </row>
    <row r="44" spans="1:20" x14ac:dyDescent="0.35">
      <c r="A44" s="7" t="s">
        <v>113</v>
      </c>
      <c r="B44" s="12" t="s">
        <v>112</v>
      </c>
      <c r="C44">
        <v>971709474.5493238</v>
      </c>
      <c r="D44">
        <v>990206116.92964208</v>
      </c>
      <c r="E44">
        <v>12762162.162162168</v>
      </c>
      <c r="F44">
        <v>50803820.720720723</v>
      </c>
      <c r="G44">
        <v>373</v>
      </c>
      <c r="H44">
        <v>245</v>
      </c>
      <c r="I44">
        <v>1</v>
      </c>
      <c r="K44">
        <v>624</v>
      </c>
      <c r="L44">
        <v>360</v>
      </c>
      <c r="M44">
        <v>76608210.810810819</v>
      </c>
      <c r="N44">
        <v>132810397.2972973</v>
      </c>
      <c r="O44">
        <v>363651624.32432437</v>
      </c>
      <c r="P44">
        <v>367869612.61261261</v>
      </c>
      <c r="Q44">
        <v>77504324.324324325</v>
      </c>
      <c r="R44">
        <v>170001214.41441444</v>
      </c>
      <c r="S44">
        <v>32331</v>
      </c>
      <c r="T44">
        <v>26647</v>
      </c>
    </row>
    <row r="45" spans="1:20" x14ac:dyDescent="0.35">
      <c r="A45" s="7" t="s">
        <v>114</v>
      </c>
      <c r="B45" s="12" t="s">
        <v>112</v>
      </c>
      <c r="C45">
        <v>1092866287.9656622</v>
      </c>
      <c r="D45">
        <v>676056174.24200141</v>
      </c>
      <c r="E45">
        <v>7276351.351351358</v>
      </c>
      <c r="F45">
        <v>17189649.549549554</v>
      </c>
      <c r="G45">
        <v>340</v>
      </c>
      <c r="H45">
        <v>239</v>
      </c>
      <c r="K45">
        <v>565</v>
      </c>
      <c r="L45">
        <v>486</v>
      </c>
      <c r="M45">
        <v>494291186.48648643</v>
      </c>
      <c r="N45">
        <v>660065415.31531537</v>
      </c>
      <c r="O45">
        <v>646563007.2072072</v>
      </c>
      <c r="P45">
        <v>222437855.85585588</v>
      </c>
      <c r="Q45">
        <v>39665718.918918915</v>
      </c>
      <c r="R45">
        <v>61245495.495495498</v>
      </c>
      <c r="S45">
        <v>16778</v>
      </c>
      <c r="T45">
        <v>15304</v>
      </c>
    </row>
    <row r="46" spans="1:20" x14ac:dyDescent="0.35">
      <c r="A46" s="7" t="s">
        <v>115</v>
      </c>
      <c r="B46" s="12" t="s">
        <v>112</v>
      </c>
      <c r="C46">
        <v>776662498.67645788</v>
      </c>
      <c r="D46">
        <v>1384103854.955497</v>
      </c>
      <c r="E46">
        <v>9270945.9459459577</v>
      </c>
      <c r="F46">
        <v>13342792.792792801</v>
      </c>
      <c r="G46">
        <v>430</v>
      </c>
      <c r="H46">
        <v>217</v>
      </c>
      <c r="I46">
        <v>11</v>
      </c>
      <c r="K46">
        <v>993</v>
      </c>
      <c r="L46">
        <v>378</v>
      </c>
      <c r="M46">
        <v>79009009.009009004</v>
      </c>
      <c r="N46">
        <v>89819729.729729727</v>
      </c>
      <c r="O46">
        <v>232013792.7927928</v>
      </c>
      <c r="P46">
        <v>826638765.76576579</v>
      </c>
      <c r="Q46">
        <v>71574594.594594598</v>
      </c>
      <c r="R46">
        <v>80402162.162162155</v>
      </c>
      <c r="S46">
        <v>23018</v>
      </c>
      <c r="T46">
        <v>20848</v>
      </c>
    </row>
    <row r="47" spans="1:20" x14ac:dyDescent="0.35">
      <c r="A47" s="7" t="s">
        <v>116</v>
      </c>
      <c r="B47" s="12" t="s">
        <v>112</v>
      </c>
      <c r="C47">
        <v>949521343.92401886</v>
      </c>
      <c r="D47">
        <v>932801231.49090827</v>
      </c>
      <c r="E47">
        <v>1679275506.3063064</v>
      </c>
      <c r="F47">
        <v>1885658392.7927928</v>
      </c>
      <c r="G47">
        <v>410</v>
      </c>
      <c r="H47">
        <v>353</v>
      </c>
      <c r="K47">
        <v>659</v>
      </c>
      <c r="L47">
        <v>609</v>
      </c>
      <c r="M47">
        <v>802664603.6036036</v>
      </c>
      <c r="N47">
        <v>321862505.4054054</v>
      </c>
      <c r="O47">
        <v>285086899.54954952</v>
      </c>
      <c r="P47">
        <v>263107000</v>
      </c>
      <c r="Q47">
        <v>161615221.62162164</v>
      </c>
      <c r="R47">
        <v>204145495.4954955</v>
      </c>
      <c r="S47">
        <v>28860</v>
      </c>
      <c r="T47">
        <v>20402</v>
      </c>
    </row>
    <row r="48" spans="1:20" x14ac:dyDescent="0.35">
      <c r="A48" s="7" t="s">
        <v>117</v>
      </c>
      <c r="B48" s="12" t="s">
        <v>55</v>
      </c>
      <c r="C48">
        <v>52837666.036695525</v>
      </c>
      <c r="D48">
        <v>51183340.162889749</v>
      </c>
      <c r="E48">
        <v>1134909.9099099089</v>
      </c>
      <c r="F48">
        <v>1664864.8648648651</v>
      </c>
      <c r="G48">
        <v>10</v>
      </c>
      <c r="H48">
        <v>8</v>
      </c>
      <c r="K48">
        <v>10</v>
      </c>
      <c r="L48">
        <v>10</v>
      </c>
      <c r="M48">
        <v>4878828.8288288284</v>
      </c>
      <c r="N48">
        <v>8583783.7837837823</v>
      </c>
      <c r="O48">
        <v>13244612.612612613</v>
      </c>
      <c r="P48">
        <v>12921360.36036036</v>
      </c>
      <c r="Q48">
        <v>4321261.2612612601</v>
      </c>
      <c r="R48">
        <v>7461981.9819819843</v>
      </c>
      <c r="S48">
        <v>1100</v>
      </c>
      <c r="T48">
        <v>1039</v>
      </c>
    </row>
    <row r="49" spans="1:20" x14ac:dyDescent="0.35">
      <c r="A49" s="7" t="s">
        <v>119</v>
      </c>
      <c r="B49" s="12" t="s">
        <v>79</v>
      </c>
      <c r="C49">
        <v>446209812.82423162</v>
      </c>
      <c r="D49">
        <v>483783700.53395283</v>
      </c>
      <c r="E49">
        <v>272208581.98198199</v>
      </c>
      <c r="F49">
        <v>934407165.76576579</v>
      </c>
      <c r="G49">
        <v>156</v>
      </c>
      <c r="H49">
        <v>217</v>
      </c>
      <c r="I49">
        <v>7</v>
      </c>
      <c r="K49">
        <v>193</v>
      </c>
      <c r="L49">
        <v>277</v>
      </c>
      <c r="M49">
        <v>98759009.009009004</v>
      </c>
      <c r="N49">
        <v>117316666.66666667</v>
      </c>
      <c r="O49">
        <v>179548991.44144145</v>
      </c>
      <c r="P49">
        <v>193936702.7027027</v>
      </c>
      <c r="Q49">
        <v>94921531.531531513</v>
      </c>
      <c r="R49">
        <v>111400540.54054055</v>
      </c>
      <c r="S49">
        <v>12264</v>
      </c>
      <c r="T49">
        <v>11546</v>
      </c>
    </row>
    <row r="50" spans="1:20" x14ac:dyDescent="0.35">
      <c r="A50" s="7" t="s">
        <v>120</v>
      </c>
      <c r="B50" s="12" t="s">
        <v>51</v>
      </c>
      <c r="C50">
        <v>141920680.86858678</v>
      </c>
      <c r="D50">
        <v>139716943.58132917</v>
      </c>
      <c r="E50">
        <v>4116216.2162162168</v>
      </c>
      <c r="F50">
        <v>1976576.5765765801</v>
      </c>
      <c r="G50">
        <v>45</v>
      </c>
      <c r="H50">
        <v>22</v>
      </c>
      <c r="K50">
        <v>48</v>
      </c>
      <c r="L50">
        <v>25</v>
      </c>
      <c r="M50">
        <v>73168648.648648635</v>
      </c>
      <c r="N50">
        <v>19967567.567567565</v>
      </c>
      <c r="O50">
        <v>51867207.20720721</v>
      </c>
      <c r="P50">
        <v>54316648.648648649</v>
      </c>
      <c r="Q50">
        <v>68120540.540540546</v>
      </c>
      <c r="R50">
        <v>21437207.207207207</v>
      </c>
      <c r="S50">
        <v>2516</v>
      </c>
      <c r="T50">
        <v>2429</v>
      </c>
    </row>
    <row r="51" spans="1:20" x14ac:dyDescent="0.35">
      <c r="A51" s="7" t="s">
        <v>121</v>
      </c>
      <c r="B51" s="12" t="s">
        <v>122</v>
      </c>
      <c r="C51">
        <v>480355183.30512303</v>
      </c>
      <c r="D51">
        <v>446382875.00242352</v>
      </c>
      <c r="E51">
        <v>3554279.2792792819</v>
      </c>
      <c r="F51">
        <v>2507207.2072072141</v>
      </c>
      <c r="G51">
        <v>182</v>
      </c>
      <c r="H51">
        <v>187</v>
      </c>
      <c r="K51">
        <v>198</v>
      </c>
      <c r="L51">
        <v>313</v>
      </c>
      <c r="M51">
        <v>19715315.315315317</v>
      </c>
      <c r="N51">
        <v>17363963.963963967</v>
      </c>
      <c r="O51">
        <v>39730810.810810804</v>
      </c>
      <c r="P51">
        <v>42547135.135135137</v>
      </c>
      <c r="Q51">
        <v>17016666.666666664</v>
      </c>
      <c r="R51">
        <v>16944414.414414413</v>
      </c>
      <c r="S51">
        <v>8104</v>
      </c>
      <c r="T51">
        <v>7938</v>
      </c>
    </row>
    <row r="52" spans="1:20" x14ac:dyDescent="0.35">
      <c r="A52" s="7" t="s">
        <v>123</v>
      </c>
      <c r="B52" s="12" t="s">
        <v>124</v>
      </c>
      <c r="C52">
        <v>251970038.98635656</v>
      </c>
      <c r="D52">
        <v>257946871.92216349</v>
      </c>
      <c r="E52">
        <v>158196531.53153151</v>
      </c>
      <c r="F52">
        <v>380635135.13513511</v>
      </c>
      <c r="G52">
        <v>35</v>
      </c>
      <c r="H52">
        <v>22</v>
      </c>
      <c r="K52">
        <v>43</v>
      </c>
      <c r="L52">
        <v>27</v>
      </c>
      <c r="M52">
        <v>46874189.189189196</v>
      </c>
      <c r="N52">
        <v>56429279.279279277</v>
      </c>
      <c r="O52">
        <v>114427819.81981982</v>
      </c>
      <c r="P52">
        <v>116977066.66666667</v>
      </c>
      <c r="Q52">
        <v>44634504.504504502</v>
      </c>
      <c r="R52">
        <v>53447967.567567565</v>
      </c>
      <c r="S52">
        <v>5091</v>
      </c>
      <c r="T52">
        <v>5363</v>
      </c>
    </row>
    <row r="53" spans="1:20" x14ac:dyDescent="0.35">
      <c r="A53" s="7" t="s">
        <v>125</v>
      </c>
      <c r="B53" s="12" t="s">
        <v>126</v>
      </c>
      <c r="C53">
        <v>331746791.30699909</v>
      </c>
      <c r="D53">
        <v>357856294.87942791</v>
      </c>
      <c r="E53">
        <v>3017117.1171171218</v>
      </c>
      <c r="F53">
        <v>2438738.7387387431</v>
      </c>
      <c r="G53">
        <v>69</v>
      </c>
      <c r="H53">
        <v>63</v>
      </c>
      <c r="K53">
        <v>123</v>
      </c>
      <c r="L53">
        <v>72</v>
      </c>
      <c r="M53">
        <v>92782432.432432428</v>
      </c>
      <c r="N53">
        <v>66085225.225225225</v>
      </c>
      <c r="O53">
        <v>103577706.3063063</v>
      </c>
      <c r="P53">
        <v>112114309.9099099</v>
      </c>
      <c r="Q53">
        <v>104104414.41441442</v>
      </c>
      <c r="R53">
        <v>69834864.864864871</v>
      </c>
      <c r="S53">
        <v>6536</v>
      </c>
      <c r="T53">
        <v>6197</v>
      </c>
    </row>
    <row r="54" spans="1:20" x14ac:dyDescent="0.35">
      <c r="A54" s="7" t="s">
        <v>127</v>
      </c>
      <c r="B54" s="12" t="s">
        <v>79</v>
      </c>
      <c r="C54">
        <v>216207490.54622945</v>
      </c>
      <c r="D54">
        <v>210909497.06649396</v>
      </c>
      <c r="E54">
        <v>4418918.9189189216</v>
      </c>
      <c r="F54">
        <v>5464864.8648648653</v>
      </c>
      <c r="G54">
        <v>67</v>
      </c>
      <c r="H54">
        <v>46</v>
      </c>
      <c r="I54">
        <v>1</v>
      </c>
      <c r="K54">
        <v>76</v>
      </c>
      <c r="L54">
        <v>49</v>
      </c>
      <c r="M54">
        <v>40738738.738738738</v>
      </c>
      <c r="N54">
        <v>43583783.783783786</v>
      </c>
      <c r="O54">
        <v>89344063.063063055</v>
      </c>
      <c r="P54">
        <v>87793423.423423424</v>
      </c>
      <c r="Q54">
        <v>36621441.441441439</v>
      </c>
      <c r="R54">
        <v>41139369.369369365</v>
      </c>
      <c r="S54">
        <v>5111</v>
      </c>
      <c r="T54">
        <v>5031</v>
      </c>
    </row>
    <row r="55" spans="1:20" x14ac:dyDescent="0.35">
      <c r="A55" s="7" t="s">
        <v>128</v>
      </c>
      <c r="B55" s="12" t="s">
        <v>79</v>
      </c>
      <c r="C55">
        <v>36068295.355099536</v>
      </c>
      <c r="D55">
        <v>35939247.781645358</v>
      </c>
      <c r="E55">
        <v>708108.108108107</v>
      </c>
      <c r="F55">
        <v>685585.58558558696</v>
      </c>
      <c r="G55">
        <v>14</v>
      </c>
      <c r="H55">
        <v>9</v>
      </c>
      <c r="K55">
        <v>18</v>
      </c>
      <c r="L55">
        <v>11</v>
      </c>
      <c r="M55">
        <v>12014414.414414413</v>
      </c>
      <c r="N55">
        <v>16090990.990990993</v>
      </c>
      <c r="O55">
        <v>21082387.387387387</v>
      </c>
      <c r="P55">
        <v>19773450.450450446</v>
      </c>
      <c r="Q55">
        <v>13112432.432432432</v>
      </c>
      <c r="R55">
        <v>10903333.333333332</v>
      </c>
      <c r="S55">
        <v>1325</v>
      </c>
      <c r="T55">
        <v>1317</v>
      </c>
    </row>
    <row r="56" spans="1:20" x14ac:dyDescent="0.35">
      <c r="A56" s="7" t="s">
        <v>129</v>
      </c>
      <c r="B56" s="12" t="s">
        <v>79</v>
      </c>
      <c r="C56">
        <v>207664224.09014958</v>
      </c>
      <c r="D56">
        <v>209563616.83981377</v>
      </c>
      <c r="E56">
        <v>2440540.5405405439</v>
      </c>
      <c r="F56">
        <v>3444594.5945946001</v>
      </c>
      <c r="G56">
        <v>146</v>
      </c>
      <c r="H56">
        <v>64</v>
      </c>
      <c r="K56">
        <v>180</v>
      </c>
      <c r="L56">
        <v>88</v>
      </c>
      <c r="M56">
        <v>26629729.729729731</v>
      </c>
      <c r="N56">
        <v>37949099.099099107</v>
      </c>
      <c r="O56">
        <v>80778430.630630627</v>
      </c>
      <c r="P56">
        <v>85731045.045045033</v>
      </c>
      <c r="Q56">
        <v>26694414.414414413</v>
      </c>
      <c r="R56">
        <v>37563783.783783786</v>
      </c>
      <c r="S56">
        <v>6002</v>
      </c>
      <c r="T56">
        <v>5945</v>
      </c>
    </row>
    <row r="57" spans="1:20" x14ac:dyDescent="0.35">
      <c r="A57" s="7" t="s">
        <v>130</v>
      </c>
      <c r="B57" s="12" t="s">
        <v>86</v>
      </c>
      <c r="C57">
        <v>61060483.829764806</v>
      </c>
      <c r="D57">
        <v>63969704.420735344</v>
      </c>
      <c r="E57">
        <v>385565290.990991</v>
      </c>
      <c r="F57">
        <v>443247618.01801807</v>
      </c>
      <c r="G57">
        <v>13</v>
      </c>
      <c r="H57">
        <v>49</v>
      </c>
      <c r="K57">
        <v>15</v>
      </c>
      <c r="L57">
        <v>53</v>
      </c>
      <c r="M57">
        <v>109528558.55855855</v>
      </c>
      <c r="N57">
        <v>94259009.009009004</v>
      </c>
      <c r="O57">
        <v>28974486.486486487</v>
      </c>
      <c r="P57">
        <v>36842747.747747742</v>
      </c>
      <c r="Q57">
        <v>66118468.468468465</v>
      </c>
      <c r="R57">
        <v>66513513.513513513</v>
      </c>
      <c r="S57">
        <v>1284</v>
      </c>
      <c r="T57">
        <v>1168</v>
      </c>
    </row>
    <row r="58" spans="1:20" x14ac:dyDescent="0.35">
      <c r="A58" s="7" t="s">
        <v>131</v>
      </c>
      <c r="B58" s="12" t="s">
        <v>90</v>
      </c>
      <c r="C58">
        <v>567331236.41459787</v>
      </c>
      <c r="D58">
        <v>569398989.21638572</v>
      </c>
      <c r="E58">
        <v>4310360.3603603663</v>
      </c>
      <c r="F58">
        <v>7552252.2522522621</v>
      </c>
      <c r="G58">
        <v>73</v>
      </c>
      <c r="H58">
        <v>76</v>
      </c>
      <c r="K58">
        <v>101</v>
      </c>
      <c r="L58">
        <v>86</v>
      </c>
      <c r="M58">
        <v>37908558.558558561</v>
      </c>
      <c r="N58">
        <v>55313243.243243247</v>
      </c>
      <c r="O58">
        <v>178403466.66666666</v>
      </c>
      <c r="P58">
        <v>183397387.38738739</v>
      </c>
      <c r="Q58">
        <v>36358421.621621616</v>
      </c>
      <c r="R58">
        <v>55094504.504504502</v>
      </c>
      <c r="S58">
        <v>11503</v>
      </c>
      <c r="T58">
        <v>9547</v>
      </c>
    </row>
    <row r="59" spans="1:20" x14ac:dyDescent="0.35">
      <c r="A59" s="7" t="s">
        <v>132</v>
      </c>
      <c r="B59" s="12" t="s">
        <v>133</v>
      </c>
      <c r="C59">
        <v>312337210.89073288</v>
      </c>
      <c r="D59">
        <v>302897584.04928511</v>
      </c>
      <c r="E59">
        <v>46068197.297297299</v>
      </c>
      <c r="F59">
        <v>70790683.783783793</v>
      </c>
      <c r="G59">
        <v>181</v>
      </c>
      <c r="H59">
        <v>121</v>
      </c>
      <c r="K59">
        <v>190</v>
      </c>
      <c r="L59">
        <v>132</v>
      </c>
      <c r="M59">
        <v>39152252.252252258</v>
      </c>
      <c r="N59">
        <v>63269369.369369365</v>
      </c>
      <c r="O59">
        <v>98442385.135135129</v>
      </c>
      <c r="P59">
        <v>102158693.6936937</v>
      </c>
      <c r="Q59">
        <v>30675225.225225229</v>
      </c>
      <c r="R59">
        <v>50422972.972972974</v>
      </c>
      <c r="S59">
        <v>7387</v>
      </c>
      <c r="T59">
        <v>7231</v>
      </c>
    </row>
    <row r="60" spans="1:20" x14ac:dyDescent="0.35">
      <c r="A60" s="7" t="s">
        <v>134</v>
      </c>
      <c r="B60" s="12" t="s">
        <v>135</v>
      </c>
      <c r="C60">
        <v>33820373.236665122</v>
      </c>
      <c r="D60">
        <v>51539247.570470057</v>
      </c>
      <c r="G60">
        <v>2</v>
      </c>
      <c r="H60">
        <v>4</v>
      </c>
      <c r="K60">
        <v>2</v>
      </c>
      <c r="L60">
        <v>6</v>
      </c>
      <c r="O60">
        <v>6039133.333333333</v>
      </c>
      <c r="P60">
        <v>8603207.2072072066</v>
      </c>
      <c r="S60">
        <v>2161</v>
      </c>
      <c r="T60">
        <v>2259</v>
      </c>
    </row>
    <row r="61" spans="1:20" x14ac:dyDescent="0.35">
      <c r="A61" s="7" t="s">
        <v>136</v>
      </c>
      <c r="B61" s="12" t="s">
        <v>137</v>
      </c>
      <c r="C61">
        <v>257494861.45095804</v>
      </c>
      <c r="D61">
        <v>258692895.63529667</v>
      </c>
      <c r="E61">
        <v>13714414.414414415</v>
      </c>
      <c r="F61">
        <v>42162162.16216217</v>
      </c>
      <c r="G61">
        <v>71</v>
      </c>
      <c r="H61">
        <v>56</v>
      </c>
      <c r="I61">
        <v>3</v>
      </c>
      <c r="K61">
        <v>77</v>
      </c>
      <c r="L61">
        <v>58</v>
      </c>
      <c r="M61">
        <v>21016216.216216218</v>
      </c>
      <c r="N61">
        <v>26182882.882882886</v>
      </c>
      <c r="O61">
        <v>40289747.747747742</v>
      </c>
      <c r="P61">
        <v>45023863.063063063</v>
      </c>
      <c r="Q61">
        <v>18890270.270270269</v>
      </c>
      <c r="R61">
        <v>21794054.054054055</v>
      </c>
      <c r="S61">
        <v>3695</v>
      </c>
      <c r="T61">
        <v>3575</v>
      </c>
    </row>
    <row r="62" spans="1:20" x14ac:dyDescent="0.35">
      <c r="A62" s="7" t="s">
        <v>138</v>
      </c>
      <c r="B62" s="12" t="s">
        <v>90</v>
      </c>
      <c r="C62">
        <v>279048767.43169421</v>
      </c>
      <c r="D62">
        <v>287429887.96939129</v>
      </c>
      <c r="E62">
        <v>3090765.7657657731</v>
      </c>
      <c r="F62">
        <v>5171171.1711711762</v>
      </c>
      <c r="G62">
        <v>58</v>
      </c>
      <c r="H62">
        <v>34</v>
      </c>
      <c r="I62">
        <v>9</v>
      </c>
      <c r="K62">
        <v>225</v>
      </c>
      <c r="L62">
        <v>49</v>
      </c>
      <c r="M62">
        <v>43486756.756756753</v>
      </c>
      <c r="N62">
        <v>61140180.180180177</v>
      </c>
      <c r="O62">
        <v>100270232.43243243</v>
      </c>
      <c r="P62">
        <v>107850090.0900901</v>
      </c>
      <c r="Q62">
        <v>33501981.981981985</v>
      </c>
      <c r="R62">
        <v>60656396.396396399</v>
      </c>
      <c r="S62">
        <v>4900</v>
      </c>
      <c r="T62">
        <v>5440</v>
      </c>
    </row>
    <row r="63" spans="1:20" x14ac:dyDescent="0.35">
      <c r="A63" s="7" t="s">
        <v>139</v>
      </c>
      <c r="B63" s="12" t="s">
        <v>79</v>
      </c>
      <c r="C63">
        <v>202050772.71591642</v>
      </c>
      <c r="D63">
        <v>202526286.02843255</v>
      </c>
      <c r="E63">
        <v>94345945.945945948</v>
      </c>
      <c r="F63">
        <v>218733333.33333334</v>
      </c>
      <c r="G63">
        <v>81</v>
      </c>
      <c r="H63">
        <v>72</v>
      </c>
      <c r="I63">
        <v>2</v>
      </c>
      <c r="K63">
        <v>98</v>
      </c>
      <c r="L63">
        <v>82</v>
      </c>
      <c r="M63">
        <v>27919819.819819815</v>
      </c>
      <c r="N63">
        <v>39093693.693693697</v>
      </c>
      <c r="O63">
        <v>88119822.072072059</v>
      </c>
      <c r="P63">
        <v>88577243.243243247</v>
      </c>
      <c r="Q63">
        <v>26547027.027027026</v>
      </c>
      <c r="R63">
        <v>32050810.810810816</v>
      </c>
      <c r="S63">
        <v>5340</v>
      </c>
      <c r="T63">
        <v>5112</v>
      </c>
    </row>
    <row r="64" spans="1:20" x14ac:dyDescent="0.35">
      <c r="A64" s="7" t="s">
        <v>140</v>
      </c>
      <c r="B64" s="12" t="s">
        <v>141</v>
      </c>
      <c r="C64">
        <v>278307177.35393924</v>
      </c>
      <c r="D64">
        <v>306418168.63232011</v>
      </c>
      <c r="E64">
        <v>3143243.243243244</v>
      </c>
      <c r="F64">
        <v>3140540.540540542</v>
      </c>
      <c r="G64">
        <v>24</v>
      </c>
      <c r="H64">
        <v>26</v>
      </c>
      <c r="K64">
        <v>25</v>
      </c>
      <c r="L64">
        <v>33</v>
      </c>
      <c r="M64">
        <v>32009729.729729727</v>
      </c>
      <c r="N64">
        <v>29722522.52252252</v>
      </c>
      <c r="O64">
        <v>50487513.513513513</v>
      </c>
      <c r="P64">
        <v>56006636.036036029</v>
      </c>
      <c r="Q64">
        <v>24347567.567567568</v>
      </c>
      <c r="R64">
        <v>24605765.765765764</v>
      </c>
      <c r="S64">
        <v>4767</v>
      </c>
      <c r="T64">
        <v>4778</v>
      </c>
    </row>
    <row r="65" spans="1:20" x14ac:dyDescent="0.35">
      <c r="A65" s="7" t="s">
        <v>142</v>
      </c>
      <c r="B65" s="12" t="s">
        <v>63</v>
      </c>
      <c r="C65">
        <v>185762727.0425913</v>
      </c>
      <c r="D65">
        <v>193600269.25557369</v>
      </c>
      <c r="E65">
        <v>201554839.63963965</v>
      </c>
      <c r="F65">
        <v>93704050.45045045</v>
      </c>
      <c r="G65">
        <v>92</v>
      </c>
      <c r="H65">
        <v>27</v>
      </c>
      <c r="I65">
        <v>4</v>
      </c>
      <c r="K65">
        <v>109</v>
      </c>
      <c r="L65">
        <v>42</v>
      </c>
      <c r="M65">
        <v>113839677.47747748</v>
      </c>
      <c r="N65">
        <v>234310010.8108108</v>
      </c>
      <c r="O65">
        <v>41376864.864864863</v>
      </c>
      <c r="P65">
        <v>45184261.261261262</v>
      </c>
      <c r="Q65">
        <v>105858738.73873873</v>
      </c>
      <c r="R65">
        <v>219321081.08108109</v>
      </c>
      <c r="S65">
        <v>3986</v>
      </c>
      <c r="T65">
        <v>4171</v>
      </c>
    </row>
    <row r="66" spans="1:20" x14ac:dyDescent="0.35">
      <c r="A66" s="7" t="s">
        <v>143</v>
      </c>
      <c r="B66" s="12" t="s">
        <v>144</v>
      </c>
      <c r="C66">
        <v>1832309.7052501589</v>
      </c>
      <c r="D66">
        <v>2096663.0395951399</v>
      </c>
      <c r="G66">
        <v>1</v>
      </c>
      <c r="K66">
        <v>1</v>
      </c>
      <c r="O66">
        <v>164504.50450450499</v>
      </c>
      <c r="P66">
        <v>267612.61261261301</v>
      </c>
      <c r="S66">
        <v>139</v>
      </c>
      <c r="T66">
        <v>145</v>
      </c>
    </row>
    <row r="67" spans="1:20" x14ac:dyDescent="0.35">
      <c r="A67" s="7" t="s">
        <v>145</v>
      </c>
      <c r="B67" s="12" t="s">
        <v>141</v>
      </c>
      <c r="C67">
        <v>396771743.03365719</v>
      </c>
      <c r="D67">
        <v>398574507.97733253</v>
      </c>
      <c r="E67">
        <v>2488738.7387387408</v>
      </c>
      <c r="F67">
        <v>3233333.3333333358</v>
      </c>
      <c r="G67">
        <v>89</v>
      </c>
      <c r="H67">
        <v>42</v>
      </c>
      <c r="K67">
        <v>110</v>
      </c>
      <c r="L67">
        <v>53</v>
      </c>
      <c r="M67">
        <v>46027387.387387387</v>
      </c>
      <c r="N67">
        <v>53857927.927927926</v>
      </c>
      <c r="O67">
        <v>74426558.558558553</v>
      </c>
      <c r="P67">
        <v>81271468.468468457</v>
      </c>
      <c r="Q67">
        <v>42815945.945945941</v>
      </c>
      <c r="R67">
        <v>51978018.018018015</v>
      </c>
      <c r="S67">
        <v>7679</v>
      </c>
      <c r="T67">
        <v>7677</v>
      </c>
    </row>
    <row r="68" spans="1:20" x14ac:dyDescent="0.35">
      <c r="A68" s="7" t="s">
        <v>146</v>
      </c>
      <c r="B68" s="12" t="s">
        <v>79</v>
      </c>
      <c r="C68">
        <v>282862098.50274026</v>
      </c>
      <c r="D68">
        <v>285195207.57742804</v>
      </c>
      <c r="E68">
        <v>2972972.9729729719</v>
      </c>
      <c r="F68">
        <v>4067567.5675675729</v>
      </c>
      <c r="G68">
        <v>85</v>
      </c>
      <c r="H68">
        <v>70</v>
      </c>
      <c r="K68">
        <v>97</v>
      </c>
      <c r="L68">
        <v>81</v>
      </c>
      <c r="M68">
        <v>26527027.02702703</v>
      </c>
      <c r="N68">
        <v>32301801.801801801</v>
      </c>
      <c r="O68">
        <v>80926630.630630627</v>
      </c>
      <c r="P68">
        <v>83040601.801801801</v>
      </c>
      <c r="Q68">
        <v>28485765.765765764</v>
      </c>
      <c r="R68">
        <v>30714504.504504509</v>
      </c>
      <c r="S68">
        <v>6381</v>
      </c>
      <c r="T68">
        <v>6355</v>
      </c>
    </row>
    <row r="69" spans="1:20" x14ac:dyDescent="0.35">
      <c r="A69" s="7" t="s">
        <v>147</v>
      </c>
      <c r="B69" s="12" t="s">
        <v>148</v>
      </c>
      <c r="C69">
        <v>186304804.39285821</v>
      </c>
      <c r="D69">
        <v>182517146.49028692</v>
      </c>
      <c r="E69">
        <v>89495045.045045033</v>
      </c>
      <c r="F69">
        <v>84063963.963963971</v>
      </c>
      <c r="G69">
        <v>35</v>
      </c>
      <c r="H69">
        <v>27</v>
      </c>
      <c r="K69">
        <v>39</v>
      </c>
      <c r="L69">
        <v>30</v>
      </c>
      <c r="M69">
        <v>59527110.810810804</v>
      </c>
      <c r="N69">
        <v>75339639.639639646</v>
      </c>
      <c r="O69">
        <v>60241387.387387395</v>
      </c>
      <c r="P69">
        <v>59651313.513513513</v>
      </c>
      <c r="Q69">
        <v>46735585.585585587</v>
      </c>
      <c r="R69">
        <v>67667657.657657653</v>
      </c>
      <c r="S69">
        <v>3864</v>
      </c>
      <c r="T69">
        <v>3669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22.077324659999999</v>
      </c>
      <c r="S70">
        <v>3</v>
      </c>
      <c r="T70">
        <v>494</v>
      </c>
    </row>
    <row r="71" spans="1:20" x14ac:dyDescent="0.35">
      <c r="A71" s="7" t="s">
        <v>150</v>
      </c>
      <c r="B71" s="12" t="s">
        <v>51</v>
      </c>
      <c r="C71">
        <v>164499262.69443682</v>
      </c>
      <c r="D71">
        <v>164912934.10571542</v>
      </c>
      <c r="E71">
        <v>721621.62162162201</v>
      </c>
      <c r="F71">
        <v>999099.09909910196</v>
      </c>
      <c r="G71">
        <v>43</v>
      </c>
      <c r="H71">
        <v>22</v>
      </c>
      <c r="K71">
        <v>45</v>
      </c>
      <c r="L71">
        <v>25</v>
      </c>
      <c r="M71">
        <v>9788738.7387387399</v>
      </c>
      <c r="N71">
        <v>15787747.747747747</v>
      </c>
      <c r="O71">
        <v>73667747.747747749</v>
      </c>
      <c r="P71">
        <v>75635675.675675675</v>
      </c>
      <c r="Q71">
        <v>10008198.198198197</v>
      </c>
      <c r="R71">
        <v>13695315.315315315</v>
      </c>
      <c r="S71">
        <v>3615</v>
      </c>
      <c r="T71">
        <v>3489</v>
      </c>
    </row>
    <row r="72" spans="1:20" x14ac:dyDescent="0.35">
      <c r="A72" s="7" t="s">
        <v>151</v>
      </c>
      <c r="B72" s="12" t="s">
        <v>152</v>
      </c>
      <c r="C72">
        <v>49955299.422501683</v>
      </c>
      <c r="D72">
        <v>47565415.897776179</v>
      </c>
      <c r="E72">
        <v>612283440.54054058</v>
      </c>
      <c r="F72">
        <v>494470204.5045045</v>
      </c>
      <c r="G72">
        <v>6</v>
      </c>
      <c r="H72">
        <v>3</v>
      </c>
      <c r="K72">
        <v>7</v>
      </c>
      <c r="L72">
        <v>3</v>
      </c>
      <c r="M72">
        <v>98850000</v>
      </c>
      <c r="N72">
        <v>67911711.711711705</v>
      </c>
      <c r="O72">
        <v>13972603.603603603</v>
      </c>
      <c r="P72">
        <v>13317423.423423424</v>
      </c>
      <c r="Q72">
        <v>23067747.747747749</v>
      </c>
      <c r="R72">
        <v>32147117.117117114</v>
      </c>
      <c r="S72">
        <v>784</v>
      </c>
      <c r="T72">
        <v>832</v>
      </c>
    </row>
    <row r="73" spans="1:20" x14ac:dyDescent="0.35">
      <c r="A73" s="7" t="s">
        <v>153</v>
      </c>
      <c r="B73" s="12" t="s">
        <v>152</v>
      </c>
      <c r="C73">
        <v>490618012.9577114</v>
      </c>
      <c r="D73">
        <v>479086785.25490278</v>
      </c>
      <c r="E73">
        <v>8202027.0270270268</v>
      </c>
      <c r="F73">
        <v>4685616.2162162261</v>
      </c>
      <c r="G73">
        <v>231</v>
      </c>
      <c r="H73">
        <v>143</v>
      </c>
      <c r="I73">
        <v>2</v>
      </c>
      <c r="K73">
        <v>240</v>
      </c>
      <c r="L73">
        <v>157</v>
      </c>
      <c r="M73">
        <v>335739261.26126122</v>
      </c>
      <c r="N73">
        <v>349091922.52252251</v>
      </c>
      <c r="O73">
        <v>175113279.27927926</v>
      </c>
      <c r="P73">
        <v>175987540.54054055</v>
      </c>
      <c r="Q73">
        <v>279746836.03603601</v>
      </c>
      <c r="R73">
        <v>279429953.15315318</v>
      </c>
      <c r="S73">
        <v>8233</v>
      </c>
      <c r="T73">
        <v>8270</v>
      </c>
    </row>
    <row r="74" spans="1:20" x14ac:dyDescent="0.35">
      <c r="A74" s="7" t="s">
        <v>154</v>
      </c>
      <c r="B74" s="12" t="s">
        <v>155</v>
      </c>
      <c r="C74">
        <v>423757654.59621286</v>
      </c>
      <c r="D74">
        <v>403159589.1103301</v>
      </c>
      <c r="E74">
        <v>597972.972972975</v>
      </c>
      <c r="F74">
        <v>1604504.504504509</v>
      </c>
      <c r="G74">
        <v>62</v>
      </c>
      <c r="H74">
        <v>28</v>
      </c>
      <c r="K74">
        <v>69</v>
      </c>
      <c r="L74">
        <v>42</v>
      </c>
      <c r="M74">
        <v>57941441.441441439</v>
      </c>
      <c r="N74">
        <v>65511711.711711712</v>
      </c>
      <c r="O74">
        <v>175960810.8108108</v>
      </c>
      <c r="P74">
        <v>180417243.24324322</v>
      </c>
      <c r="Q74">
        <v>50968738.738738738</v>
      </c>
      <c r="R74">
        <v>65658468.468468465</v>
      </c>
      <c r="S74">
        <v>7262</v>
      </c>
      <c r="T74">
        <v>7149</v>
      </c>
    </row>
    <row r="75" spans="1:20" x14ac:dyDescent="0.35">
      <c r="A75" s="7" t="s">
        <v>156</v>
      </c>
      <c r="B75" s="12" t="s">
        <v>155</v>
      </c>
      <c r="C75">
        <v>42843645.661649056</v>
      </c>
      <c r="D75">
        <v>48226801.853088155</v>
      </c>
      <c r="E75">
        <v>219096476.57657659</v>
      </c>
      <c r="F75">
        <v>183858424.32432431</v>
      </c>
      <c r="G75">
        <v>11</v>
      </c>
      <c r="H75">
        <v>7</v>
      </c>
      <c r="K75">
        <v>12</v>
      </c>
      <c r="L75">
        <v>8</v>
      </c>
      <c r="M75">
        <v>30027927.927927926</v>
      </c>
      <c r="N75">
        <v>33204954.954954956</v>
      </c>
      <c r="O75">
        <v>11059540.540540541</v>
      </c>
      <c r="P75">
        <v>15097549.549549548</v>
      </c>
      <c r="Q75">
        <v>4018828.8288288289</v>
      </c>
      <c r="R75">
        <v>16233153.153153157</v>
      </c>
      <c r="S75">
        <v>813</v>
      </c>
      <c r="T75">
        <v>1914</v>
      </c>
    </row>
    <row r="76" spans="1:20" x14ac:dyDescent="0.35">
      <c r="A76" s="7" t="s">
        <v>157</v>
      </c>
      <c r="B76" s="12" t="s">
        <v>155</v>
      </c>
      <c r="C76">
        <v>476910473.55217338</v>
      </c>
      <c r="D76">
        <v>463334725.16213942</v>
      </c>
      <c r="E76">
        <v>4744369.3693693727</v>
      </c>
      <c r="F76">
        <v>9351351.3513513599</v>
      </c>
      <c r="G76">
        <v>38</v>
      </c>
      <c r="H76">
        <v>30</v>
      </c>
      <c r="K76">
        <v>129</v>
      </c>
      <c r="L76">
        <v>33</v>
      </c>
      <c r="M76">
        <v>89400450.45045045</v>
      </c>
      <c r="N76">
        <v>132137477.47747748</v>
      </c>
      <c r="O76">
        <v>185781702.7027027</v>
      </c>
      <c r="P76">
        <v>195618864.86486486</v>
      </c>
      <c r="Q76">
        <v>100201891.89189188</v>
      </c>
      <c r="R76">
        <v>113902072.07207207</v>
      </c>
      <c r="S76">
        <v>8577</v>
      </c>
      <c r="T76">
        <v>7801</v>
      </c>
    </row>
    <row r="77" spans="1:20" x14ac:dyDescent="0.35">
      <c r="A77" s="7" t="s">
        <v>158</v>
      </c>
      <c r="B77" s="12" t="s">
        <v>135</v>
      </c>
      <c r="C77">
        <v>221319144.43428594</v>
      </c>
      <c r="D77">
        <v>212223684.36908796</v>
      </c>
      <c r="E77">
        <v>1062162.1621621649</v>
      </c>
      <c r="F77">
        <v>2420720.7207207219</v>
      </c>
      <c r="G77">
        <v>40</v>
      </c>
      <c r="H77">
        <v>33</v>
      </c>
      <c r="K77">
        <v>46</v>
      </c>
      <c r="L77">
        <v>50</v>
      </c>
      <c r="M77">
        <v>25332440.540540539</v>
      </c>
      <c r="N77">
        <v>24817117.117117114</v>
      </c>
      <c r="O77">
        <v>22123747.747747749</v>
      </c>
      <c r="P77">
        <v>22439738.738738742</v>
      </c>
      <c r="Q77">
        <v>11446576.576576577</v>
      </c>
      <c r="R77">
        <v>15769909.909909911</v>
      </c>
      <c r="S77">
        <v>4779</v>
      </c>
      <c r="T77">
        <v>4537</v>
      </c>
    </row>
    <row r="78" spans="1:20" x14ac:dyDescent="0.35">
      <c r="A78" s="7" t="s">
        <v>1</v>
      </c>
      <c r="B78" s="12" t="s">
        <v>159</v>
      </c>
      <c r="C78">
        <v>400037414.35242772</v>
      </c>
      <c r="D78">
        <v>398831637.01589161</v>
      </c>
      <c r="E78">
        <v>2813513.5135135162</v>
      </c>
      <c r="F78">
        <v>5540540.5405405406</v>
      </c>
      <c r="G78">
        <v>131</v>
      </c>
      <c r="H78">
        <v>67</v>
      </c>
      <c r="I78">
        <v>1</v>
      </c>
      <c r="K78">
        <v>254</v>
      </c>
      <c r="L78">
        <v>213</v>
      </c>
      <c r="M78">
        <v>47388918.918918923</v>
      </c>
      <c r="N78">
        <v>69507432.432432428</v>
      </c>
      <c r="O78">
        <v>191561288.2882883</v>
      </c>
      <c r="P78">
        <v>190318558.55855855</v>
      </c>
      <c r="Q78">
        <v>44491261.261261262</v>
      </c>
      <c r="R78">
        <v>66958423.423423424</v>
      </c>
      <c r="S78">
        <v>9436</v>
      </c>
      <c r="T78">
        <v>8025</v>
      </c>
    </row>
    <row r="79" spans="1:20" x14ac:dyDescent="0.35">
      <c r="A79" s="7" t="s">
        <v>160</v>
      </c>
      <c r="B79" s="12" t="s">
        <v>122</v>
      </c>
      <c r="C79">
        <v>14840793.301908528</v>
      </c>
      <c r="D79">
        <v>12362744.431561168</v>
      </c>
      <c r="G79">
        <v>7</v>
      </c>
      <c r="H79">
        <v>9</v>
      </c>
      <c r="K79">
        <v>8</v>
      </c>
      <c r="L79">
        <v>10</v>
      </c>
      <c r="O79">
        <v>1327747.7477477479</v>
      </c>
      <c r="P79">
        <v>1696936.936936937</v>
      </c>
      <c r="Q79">
        <v>29729.729729729999</v>
      </c>
      <c r="R79">
        <v>74324.324324323999</v>
      </c>
      <c r="S79">
        <v>493</v>
      </c>
      <c r="T79">
        <v>496</v>
      </c>
    </row>
    <row r="80" spans="1:20" x14ac:dyDescent="0.35">
      <c r="A80" s="7" t="s">
        <v>161</v>
      </c>
      <c r="B80" s="12" t="s">
        <v>162</v>
      </c>
      <c r="C80">
        <v>212783587.22575045</v>
      </c>
      <c r="D80">
        <v>222630976.80155945</v>
      </c>
      <c r="E80">
        <v>6011711.7117117187</v>
      </c>
      <c r="F80">
        <v>4253153.1531531578</v>
      </c>
      <c r="G80">
        <v>127</v>
      </c>
      <c r="H80">
        <v>291</v>
      </c>
      <c r="K80">
        <v>204</v>
      </c>
      <c r="L80">
        <v>485</v>
      </c>
      <c r="M80">
        <v>66105251.351351351</v>
      </c>
      <c r="N80">
        <v>73065270.270270273</v>
      </c>
      <c r="O80">
        <v>93596414.414414421</v>
      </c>
      <c r="P80">
        <v>100473558.55855855</v>
      </c>
      <c r="Q80">
        <v>65108648.648648657</v>
      </c>
      <c r="R80">
        <v>72332117.117117122</v>
      </c>
      <c r="S80">
        <v>10565</v>
      </c>
      <c r="T80">
        <v>5967</v>
      </c>
    </row>
    <row r="81" spans="1:20" x14ac:dyDescent="0.35">
      <c r="A81" s="7" t="s">
        <v>163</v>
      </c>
      <c r="B81" s="12" t="s">
        <v>77</v>
      </c>
      <c r="C81">
        <v>93827385.625420108</v>
      </c>
      <c r="D81">
        <v>97460615.327804551</v>
      </c>
      <c r="E81">
        <v>74489189.189189181</v>
      </c>
      <c r="F81">
        <v>67851351.351351351</v>
      </c>
      <c r="G81">
        <v>41</v>
      </c>
      <c r="H81">
        <v>15</v>
      </c>
      <c r="K81">
        <v>44</v>
      </c>
      <c r="L81">
        <v>15</v>
      </c>
      <c r="M81">
        <v>1932882.8828828831</v>
      </c>
      <c r="N81">
        <v>2628828.8288288279</v>
      </c>
      <c r="O81">
        <v>5224315.3153153164</v>
      </c>
      <c r="P81">
        <v>5184036.036036036</v>
      </c>
      <c r="Q81">
        <v>1354324.324324324</v>
      </c>
      <c r="R81">
        <v>1384774.774774774</v>
      </c>
      <c r="S81">
        <v>973</v>
      </c>
      <c r="T81">
        <v>941</v>
      </c>
    </row>
    <row r="82" spans="1:20" x14ac:dyDescent="0.35">
      <c r="A82" s="7" t="s">
        <v>164</v>
      </c>
      <c r="B82" s="12" t="s">
        <v>53</v>
      </c>
      <c r="C82">
        <v>73338126.915014625</v>
      </c>
      <c r="D82">
        <v>68873602.010916144</v>
      </c>
      <c r="E82">
        <v>1116216.216216217</v>
      </c>
      <c r="F82">
        <v>1371171.171171173</v>
      </c>
      <c r="G82">
        <v>23</v>
      </c>
      <c r="H82">
        <v>5</v>
      </c>
      <c r="K82">
        <v>25</v>
      </c>
      <c r="L82">
        <v>7</v>
      </c>
      <c r="M82">
        <v>1368468.4684684691</v>
      </c>
      <c r="N82">
        <v>3219459.4594594599</v>
      </c>
      <c r="O82">
        <v>35842432.432432435</v>
      </c>
      <c r="P82">
        <v>32124666.666666668</v>
      </c>
      <c r="Q82">
        <v>1533333.333333334</v>
      </c>
      <c r="R82">
        <v>2991081.0810810812</v>
      </c>
      <c r="S82">
        <v>1746</v>
      </c>
      <c r="T82">
        <v>1155</v>
      </c>
    </row>
    <row r="83" spans="1:20" x14ac:dyDescent="0.35">
      <c r="A83" s="7" t="s">
        <v>165</v>
      </c>
      <c r="B83" s="12" t="s">
        <v>88</v>
      </c>
      <c r="C83">
        <v>38530139.469539851</v>
      </c>
      <c r="D83">
        <v>51450989.265101671</v>
      </c>
      <c r="E83">
        <v>145945.945945946</v>
      </c>
      <c r="F83">
        <v>65765.765765766002</v>
      </c>
      <c r="G83">
        <v>11</v>
      </c>
      <c r="H83">
        <v>16</v>
      </c>
      <c r="K83">
        <v>13</v>
      </c>
      <c r="L83">
        <v>17</v>
      </c>
      <c r="M83">
        <v>1536936.9369369361</v>
      </c>
      <c r="N83">
        <v>1881081.0810810821</v>
      </c>
      <c r="O83">
        <v>3759954.9549549548</v>
      </c>
      <c r="P83">
        <v>8023603.6036036042</v>
      </c>
      <c r="Q83">
        <v>1411801.8018018019</v>
      </c>
      <c r="R83">
        <v>1941621.621621622</v>
      </c>
      <c r="S83">
        <v>1176</v>
      </c>
      <c r="T83">
        <v>1222</v>
      </c>
    </row>
    <row r="84" spans="1:20" x14ac:dyDescent="0.35">
      <c r="A84" s="7" t="s">
        <v>166</v>
      </c>
      <c r="B84" s="12" t="s">
        <v>144</v>
      </c>
      <c r="C84">
        <v>12703088.095376248</v>
      </c>
      <c r="D84">
        <v>12376004.795086041</v>
      </c>
      <c r="E84">
        <v>36977477.477477483</v>
      </c>
      <c r="F84">
        <v>24531531.531531531</v>
      </c>
      <c r="G84">
        <v>10</v>
      </c>
      <c r="K84">
        <v>10</v>
      </c>
      <c r="M84">
        <v>2554054.054054054</v>
      </c>
      <c r="N84">
        <v>1747747.7477477479</v>
      </c>
      <c r="O84">
        <v>1479567.567567568</v>
      </c>
      <c r="P84">
        <v>1411252.2522522521</v>
      </c>
      <c r="Q84">
        <v>756936.93693693704</v>
      </c>
      <c r="R84">
        <v>962972.97297297302</v>
      </c>
      <c r="S84">
        <v>354</v>
      </c>
      <c r="T84">
        <v>335</v>
      </c>
    </row>
    <row r="85" spans="1:20" x14ac:dyDescent="0.35">
      <c r="A85" s="7" t="s">
        <v>167</v>
      </c>
      <c r="B85" s="12" t="s">
        <v>168</v>
      </c>
      <c r="C85">
        <v>51316247.470997088</v>
      </c>
      <c r="D85">
        <v>47723966.213634305</v>
      </c>
      <c r="E85">
        <v>723423.42342342401</v>
      </c>
      <c r="F85">
        <v>1230630.6306306301</v>
      </c>
      <c r="G85">
        <v>14</v>
      </c>
      <c r="H85">
        <v>8</v>
      </c>
      <c r="K85">
        <v>14</v>
      </c>
      <c r="L85">
        <v>11</v>
      </c>
      <c r="M85">
        <v>4559009.0090090092</v>
      </c>
      <c r="N85">
        <v>6845945.9459459456</v>
      </c>
      <c r="O85">
        <v>25202709.909909911</v>
      </c>
      <c r="P85">
        <v>25380675.675675675</v>
      </c>
      <c r="Q85">
        <v>4551261.2612612592</v>
      </c>
      <c r="R85">
        <v>4237927.927927928</v>
      </c>
      <c r="S85">
        <v>1395</v>
      </c>
      <c r="T85">
        <v>1352</v>
      </c>
    </row>
    <row r="86" spans="1:20" x14ac:dyDescent="0.35">
      <c r="A86" s="7" t="s">
        <v>169</v>
      </c>
      <c r="B86" s="12" t="s">
        <v>170</v>
      </c>
      <c r="C86">
        <v>241986944.7936992</v>
      </c>
      <c r="D86">
        <v>253487227.9802275</v>
      </c>
      <c r="E86">
        <v>1525225.225225227</v>
      </c>
      <c r="F86">
        <v>3930630.6306306329</v>
      </c>
      <c r="G86">
        <v>32</v>
      </c>
      <c r="H86">
        <v>33</v>
      </c>
      <c r="K86">
        <v>37</v>
      </c>
      <c r="L86">
        <v>42</v>
      </c>
      <c r="M86">
        <v>37939889.189189181</v>
      </c>
      <c r="N86">
        <v>55125225.225225225</v>
      </c>
      <c r="O86">
        <v>74795578.828828827</v>
      </c>
      <c r="P86">
        <v>82277819.819819823</v>
      </c>
      <c r="Q86">
        <v>36185765.765765756</v>
      </c>
      <c r="R86">
        <v>51012432.432432435</v>
      </c>
      <c r="S86">
        <v>7297</v>
      </c>
      <c r="T86">
        <v>6623</v>
      </c>
    </row>
    <row r="87" spans="1:20" x14ac:dyDescent="0.35">
      <c r="A87" s="7" t="s">
        <v>171</v>
      </c>
      <c r="B87" s="12" t="s">
        <v>55</v>
      </c>
      <c r="C87">
        <v>35456766.394478969</v>
      </c>
      <c r="D87">
        <v>42709735.745494634</v>
      </c>
      <c r="E87">
        <v>381081.08108108101</v>
      </c>
      <c r="F87">
        <v>118918.918918918</v>
      </c>
      <c r="G87">
        <v>3</v>
      </c>
      <c r="H87">
        <v>4</v>
      </c>
      <c r="K87">
        <v>3</v>
      </c>
      <c r="L87">
        <v>5</v>
      </c>
      <c r="M87">
        <v>2680630.630630631</v>
      </c>
      <c r="N87">
        <v>5848648.6486486495</v>
      </c>
      <c r="O87">
        <v>5761486.4864864871</v>
      </c>
      <c r="P87">
        <v>6798423.4234234244</v>
      </c>
      <c r="Q87">
        <v>3706486.4864864862</v>
      </c>
      <c r="R87">
        <v>5385045.0450450452</v>
      </c>
      <c r="S87">
        <v>706</v>
      </c>
      <c r="T87">
        <v>651</v>
      </c>
    </row>
    <row r="88" spans="1:20" x14ac:dyDescent="0.35">
      <c r="A88" s="7" t="s">
        <v>172</v>
      </c>
      <c r="B88" s="12" t="s">
        <v>61</v>
      </c>
      <c r="C88">
        <v>747905675.97020531</v>
      </c>
      <c r="D88">
        <v>737174939.97262275</v>
      </c>
      <c r="E88">
        <v>8550450.4504504539</v>
      </c>
      <c r="F88">
        <v>6319819.8198198266</v>
      </c>
      <c r="G88">
        <v>198</v>
      </c>
      <c r="H88">
        <v>50</v>
      </c>
      <c r="K88">
        <v>224</v>
      </c>
      <c r="L88">
        <v>66</v>
      </c>
      <c r="M88">
        <v>35267567.567567565</v>
      </c>
      <c r="N88">
        <v>43112612.612612613</v>
      </c>
      <c r="O88">
        <v>276581108.1081081</v>
      </c>
      <c r="P88">
        <v>270790863.06306309</v>
      </c>
      <c r="Q88">
        <v>35352432.432432443</v>
      </c>
      <c r="R88">
        <v>37408558.558558561</v>
      </c>
      <c r="S88">
        <v>13410</v>
      </c>
      <c r="T88">
        <v>12130</v>
      </c>
    </row>
    <row r="89" spans="1:20" x14ac:dyDescent="0.35">
      <c r="A89" s="7" t="s">
        <v>173</v>
      </c>
      <c r="B89" s="12" t="s">
        <v>122</v>
      </c>
      <c r="C89">
        <v>308761906.14527768</v>
      </c>
      <c r="D89">
        <v>288192678.24293649</v>
      </c>
      <c r="E89">
        <v>7554954.9549549548</v>
      </c>
      <c r="F89">
        <v>18085585.58558559</v>
      </c>
      <c r="G89">
        <v>136</v>
      </c>
      <c r="H89">
        <v>109</v>
      </c>
      <c r="K89">
        <v>147</v>
      </c>
      <c r="L89">
        <v>123</v>
      </c>
      <c r="M89">
        <v>20543243.24324324</v>
      </c>
      <c r="N89">
        <v>21509009.009009011</v>
      </c>
      <c r="O89">
        <v>42283862.612612605</v>
      </c>
      <c r="P89">
        <v>48022756.75675676</v>
      </c>
      <c r="Q89">
        <v>14706126.126126124</v>
      </c>
      <c r="R89">
        <v>14466756.756756756</v>
      </c>
      <c r="S89">
        <v>5775</v>
      </c>
      <c r="T89">
        <v>5648</v>
      </c>
    </row>
    <row r="90" spans="1:20" x14ac:dyDescent="0.35">
      <c r="A90" s="7" t="s">
        <v>174</v>
      </c>
      <c r="B90" s="12" t="s">
        <v>175</v>
      </c>
      <c r="C90">
        <v>219604961.6378457</v>
      </c>
      <c r="D90">
        <v>230598847.22546372</v>
      </c>
      <c r="E90">
        <v>140106377.47747746</v>
      </c>
      <c r="F90">
        <v>139340462.16216218</v>
      </c>
      <c r="G90">
        <v>47</v>
      </c>
      <c r="H90">
        <v>38</v>
      </c>
      <c r="K90">
        <v>62</v>
      </c>
      <c r="L90">
        <v>57</v>
      </c>
      <c r="M90">
        <v>56921171.171171166</v>
      </c>
      <c r="N90">
        <v>42657790.090090089</v>
      </c>
      <c r="O90">
        <v>28661639.639639638</v>
      </c>
      <c r="P90">
        <v>30013036.036036037</v>
      </c>
      <c r="Q90">
        <v>32776036.036036041</v>
      </c>
      <c r="R90">
        <v>32835045.045045048</v>
      </c>
      <c r="S90">
        <v>5068</v>
      </c>
      <c r="T90">
        <v>4676</v>
      </c>
    </row>
    <row r="91" spans="1:20" x14ac:dyDescent="0.35">
      <c r="A91" s="7" t="s">
        <v>176</v>
      </c>
      <c r="B91" s="12" t="s">
        <v>175</v>
      </c>
      <c r="C91">
        <v>344665872.20434463</v>
      </c>
      <c r="D91">
        <v>357356191.46906358</v>
      </c>
      <c r="E91">
        <v>2558333.3333333372</v>
      </c>
      <c r="F91">
        <v>3960360.3603603682</v>
      </c>
      <c r="G91">
        <v>131</v>
      </c>
      <c r="H91">
        <v>168</v>
      </c>
      <c r="I91">
        <v>1</v>
      </c>
      <c r="K91">
        <v>158</v>
      </c>
      <c r="L91">
        <v>208</v>
      </c>
      <c r="M91">
        <v>45316216.216216214</v>
      </c>
      <c r="N91">
        <v>50495945.945945948</v>
      </c>
      <c r="O91">
        <v>57375666.666666664</v>
      </c>
      <c r="P91">
        <v>58890171.171171166</v>
      </c>
      <c r="Q91">
        <v>39898738.738738738</v>
      </c>
      <c r="R91">
        <v>40780540.540540546</v>
      </c>
      <c r="S91">
        <v>10924</v>
      </c>
      <c r="T91">
        <v>8687</v>
      </c>
    </row>
    <row r="92" spans="1:20" x14ac:dyDescent="0.35">
      <c r="A92" s="7" t="s">
        <v>177</v>
      </c>
      <c r="B92" s="12" t="s">
        <v>175</v>
      </c>
      <c r="C92">
        <v>470324682.26662678</v>
      </c>
      <c r="D92">
        <v>475477870.39635313</v>
      </c>
      <c r="E92">
        <v>1877702.7027027081</v>
      </c>
      <c r="F92">
        <v>2771171.17117118</v>
      </c>
      <c r="G92">
        <v>222</v>
      </c>
      <c r="H92">
        <v>230</v>
      </c>
      <c r="K92">
        <v>266</v>
      </c>
      <c r="L92">
        <v>298</v>
      </c>
      <c r="M92">
        <v>46700000</v>
      </c>
      <c r="N92">
        <v>56816673.873873882</v>
      </c>
      <c r="O92">
        <v>71701518.018018022</v>
      </c>
      <c r="P92">
        <v>76317618.018018022</v>
      </c>
      <c r="Q92">
        <v>38294414.414414413</v>
      </c>
      <c r="R92">
        <v>49104774.774774782</v>
      </c>
      <c r="S92">
        <v>15469</v>
      </c>
      <c r="T92">
        <v>12077</v>
      </c>
    </row>
    <row r="93" spans="1:20" x14ac:dyDescent="0.35">
      <c r="A93" s="7" t="s">
        <v>178</v>
      </c>
      <c r="B93" s="12" t="s">
        <v>179</v>
      </c>
      <c r="C93">
        <v>161358052.91531971</v>
      </c>
      <c r="D93">
        <v>145498515.99774918</v>
      </c>
      <c r="E93">
        <v>499099.099099099</v>
      </c>
      <c r="F93">
        <v>2122522.522522524</v>
      </c>
      <c r="G93">
        <v>31</v>
      </c>
      <c r="H93">
        <v>23</v>
      </c>
      <c r="K93">
        <v>37</v>
      </c>
      <c r="L93">
        <v>85</v>
      </c>
      <c r="M93">
        <v>9615540.5405405406</v>
      </c>
      <c r="N93">
        <v>11045495.495495496</v>
      </c>
      <c r="O93">
        <v>65002061.261261262</v>
      </c>
      <c r="P93">
        <v>58588693.693693697</v>
      </c>
      <c r="Q93">
        <v>9192837.8378378358</v>
      </c>
      <c r="R93">
        <v>8849639.6396396402</v>
      </c>
      <c r="S93">
        <v>3621</v>
      </c>
      <c r="T93">
        <v>3524</v>
      </c>
    </row>
    <row r="94" spans="1:20" x14ac:dyDescent="0.35">
      <c r="A94" s="7" t="s">
        <v>180</v>
      </c>
      <c r="B94" s="12" t="s">
        <v>168</v>
      </c>
      <c r="C94">
        <v>186338257.0919193</v>
      </c>
      <c r="D94">
        <v>208547078.06197029</v>
      </c>
      <c r="E94">
        <v>2315090.0900900899</v>
      </c>
      <c r="F94">
        <v>7041891.8918918921</v>
      </c>
      <c r="G94">
        <v>26</v>
      </c>
      <c r="H94">
        <v>20</v>
      </c>
      <c r="K94">
        <v>34</v>
      </c>
      <c r="L94">
        <v>22</v>
      </c>
      <c r="M94">
        <v>5534234.2342342352</v>
      </c>
      <c r="N94">
        <v>21943243.243243244</v>
      </c>
      <c r="O94">
        <v>47258972.972972974</v>
      </c>
      <c r="P94">
        <v>67349819.819819823</v>
      </c>
      <c r="Q94">
        <v>2926576.5765765798</v>
      </c>
      <c r="R94">
        <v>15382072.072072074</v>
      </c>
      <c r="S94">
        <v>4533</v>
      </c>
      <c r="T94">
        <v>7784</v>
      </c>
    </row>
    <row r="95" spans="1:20" x14ac:dyDescent="0.35">
      <c r="A95" s="7" t="s">
        <v>181</v>
      </c>
      <c r="B95" s="12" t="s">
        <v>182</v>
      </c>
      <c r="C95">
        <v>151431345.03244492</v>
      </c>
      <c r="D95">
        <v>158980623.23415959</v>
      </c>
      <c r="E95">
        <v>357657.65765765798</v>
      </c>
      <c r="F95">
        <v>2327027.0270270291</v>
      </c>
      <c r="G95">
        <v>20</v>
      </c>
      <c r="H95">
        <v>30</v>
      </c>
      <c r="K95">
        <v>24</v>
      </c>
      <c r="L95">
        <v>32</v>
      </c>
      <c r="M95">
        <v>7767387.3873873837</v>
      </c>
      <c r="N95">
        <v>29752702.702702705</v>
      </c>
      <c r="O95">
        <v>38347164.414414413</v>
      </c>
      <c r="P95">
        <v>38928963.963963971</v>
      </c>
      <c r="Q95">
        <v>10103423.423423421</v>
      </c>
      <c r="R95">
        <v>28765135.135135133</v>
      </c>
      <c r="S95">
        <v>3041</v>
      </c>
      <c r="T95">
        <v>3100</v>
      </c>
    </row>
    <row r="96" spans="1:20" x14ac:dyDescent="0.35">
      <c r="A96" s="7" t="s">
        <v>665</v>
      </c>
      <c r="B96" s="12" t="s">
        <v>69</v>
      </c>
      <c r="T96">
        <v>1</v>
      </c>
    </row>
    <row r="97" spans="1:20" x14ac:dyDescent="0.35">
      <c r="A97" s="7" t="s">
        <v>183</v>
      </c>
      <c r="B97" s="12" t="s">
        <v>95</v>
      </c>
      <c r="C97">
        <v>147397562.62373564</v>
      </c>
      <c r="D97">
        <v>156626379.98652336</v>
      </c>
      <c r="E97">
        <v>54054.054054054002</v>
      </c>
      <c r="F97">
        <v>90090.090090090001</v>
      </c>
      <c r="G97">
        <v>43</v>
      </c>
      <c r="H97">
        <v>41</v>
      </c>
      <c r="K97">
        <v>53</v>
      </c>
      <c r="L97">
        <v>51</v>
      </c>
      <c r="M97">
        <v>4477477.4774774769</v>
      </c>
      <c r="N97">
        <v>1891891.8918918921</v>
      </c>
      <c r="O97">
        <v>15638009.009009007</v>
      </c>
      <c r="P97">
        <v>23856477.477477476</v>
      </c>
      <c r="Q97">
        <v>1633963.963963964</v>
      </c>
      <c r="R97">
        <v>700900.90090090095</v>
      </c>
      <c r="S97">
        <v>3714</v>
      </c>
      <c r="T97">
        <v>3712</v>
      </c>
    </row>
    <row r="98" spans="1:20" x14ac:dyDescent="0.35">
      <c r="A98" s="7" t="s">
        <v>184</v>
      </c>
      <c r="B98" s="12" t="s">
        <v>95</v>
      </c>
      <c r="C98">
        <v>903043063.47559547</v>
      </c>
      <c r="D98">
        <v>972502521.31105101</v>
      </c>
      <c r="E98">
        <v>1066515849.5495496</v>
      </c>
      <c r="F98">
        <v>206687108.10810813</v>
      </c>
      <c r="G98">
        <v>179</v>
      </c>
      <c r="H98">
        <v>259</v>
      </c>
      <c r="K98">
        <v>218</v>
      </c>
      <c r="L98">
        <v>324</v>
      </c>
      <c r="M98">
        <v>61131081.081081077</v>
      </c>
      <c r="N98">
        <v>65901891.891891889</v>
      </c>
      <c r="O98">
        <v>111647113.06306307</v>
      </c>
      <c r="P98">
        <v>143766513.51351351</v>
      </c>
      <c r="Q98">
        <v>51961891.891891897</v>
      </c>
      <c r="R98">
        <v>50417567.567567565</v>
      </c>
      <c r="S98">
        <v>16239</v>
      </c>
      <c r="T98">
        <v>17888</v>
      </c>
    </row>
    <row r="99" spans="1:20" x14ac:dyDescent="0.35">
      <c r="A99" s="7" t="s">
        <v>185</v>
      </c>
      <c r="B99" s="12" t="s">
        <v>90</v>
      </c>
      <c r="C99">
        <v>81919826.280246735</v>
      </c>
      <c r="D99">
        <v>72507996.347508326</v>
      </c>
      <c r="E99">
        <v>785360.36036036105</v>
      </c>
      <c r="F99">
        <v>2008108.108108107</v>
      </c>
      <c r="G99">
        <v>18</v>
      </c>
      <c r="H99">
        <v>9</v>
      </c>
      <c r="K99">
        <v>18</v>
      </c>
      <c r="L99">
        <v>9</v>
      </c>
      <c r="M99">
        <v>3446306.3063063058</v>
      </c>
      <c r="N99">
        <v>5643243.2432432426</v>
      </c>
      <c r="O99">
        <v>27819711.711711712</v>
      </c>
      <c r="P99">
        <v>28145072.072072074</v>
      </c>
      <c r="Q99">
        <v>3542072.0720720729</v>
      </c>
      <c r="R99">
        <v>5168828.8288288293</v>
      </c>
      <c r="S99">
        <v>1669</v>
      </c>
      <c r="T99">
        <v>2280</v>
      </c>
    </row>
    <row r="100" spans="1:20" x14ac:dyDescent="0.35">
      <c r="A100" s="7" t="s">
        <v>186</v>
      </c>
      <c r="B100" s="12" t="s">
        <v>61</v>
      </c>
      <c r="C100">
        <v>49269811.021584317</v>
      </c>
      <c r="D100">
        <v>53124916.199717961</v>
      </c>
      <c r="E100">
        <v>259459.45945946101</v>
      </c>
      <c r="F100">
        <v>1069369.3693693699</v>
      </c>
      <c r="G100">
        <v>11</v>
      </c>
      <c r="H100">
        <v>7</v>
      </c>
      <c r="K100">
        <v>11</v>
      </c>
      <c r="L100">
        <v>8</v>
      </c>
      <c r="M100">
        <v>1250450.450450452</v>
      </c>
      <c r="N100">
        <v>2754054.0540540549</v>
      </c>
      <c r="O100">
        <v>17136912.162162162</v>
      </c>
      <c r="P100">
        <v>18515036.036036037</v>
      </c>
      <c r="Q100">
        <v>953603.60360360402</v>
      </c>
      <c r="R100">
        <v>3563693.6936936928</v>
      </c>
      <c r="S100">
        <v>883</v>
      </c>
      <c r="T100">
        <v>492</v>
      </c>
    </row>
    <row r="101" spans="1:20" x14ac:dyDescent="0.35">
      <c r="A101" s="7" t="s">
        <v>187</v>
      </c>
      <c r="B101" s="12" t="s">
        <v>168</v>
      </c>
      <c r="C101">
        <v>122632384.22146949</v>
      </c>
      <c r="D101">
        <v>117511775.75993191</v>
      </c>
      <c r="E101">
        <v>1630405.4054054059</v>
      </c>
      <c r="F101">
        <v>3855855.8558558552</v>
      </c>
      <c r="G101">
        <v>5</v>
      </c>
      <c r="H101">
        <v>6</v>
      </c>
      <c r="K101">
        <v>5</v>
      </c>
      <c r="L101">
        <v>10</v>
      </c>
      <c r="M101">
        <v>1968468.4684684691</v>
      </c>
      <c r="N101">
        <v>8034234.2342342343</v>
      </c>
      <c r="O101">
        <v>32666108.108108107</v>
      </c>
      <c r="P101">
        <v>35294142.342342347</v>
      </c>
      <c r="Q101">
        <v>268828.82882882899</v>
      </c>
      <c r="R101">
        <v>6965225.2252252251</v>
      </c>
      <c r="S101">
        <v>2903</v>
      </c>
      <c r="T101">
        <v>2777</v>
      </c>
    </row>
    <row r="102" spans="1:20" x14ac:dyDescent="0.35">
      <c r="A102" s="7" t="s">
        <v>188</v>
      </c>
      <c r="B102" s="12" t="s">
        <v>168</v>
      </c>
      <c r="C102">
        <v>322819970.40424269</v>
      </c>
      <c r="D102">
        <v>349511553.0064742</v>
      </c>
      <c r="E102">
        <v>1312612.6126126151</v>
      </c>
      <c r="F102">
        <v>3765765.7657657629</v>
      </c>
      <c r="G102">
        <v>36</v>
      </c>
      <c r="H102">
        <v>14</v>
      </c>
      <c r="K102">
        <v>37</v>
      </c>
      <c r="L102">
        <v>16</v>
      </c>
      <c r="M102">
        <v>13520301.801801804</v>
      </c>
      <c r="N102">
        <v>23300000</v>
      </c>
      <c r="O102">
        <v>66482531.531531528</v>
      </c>
      <c r="P102">
        <v>83641854.054054052</v>
      </c>
      <c r="Q102">
        <v>10073693.693693696</v>
      </c>
      <c r="R102">
        <v>19466846.846846849</v>
      </c>
      <c r="S102">
        <v>6098</v>
      </c>
      <c r="T102">
        <v>5438</v>
      </c>
    </row>
    <row r="103" spans="1:20" x14ac:dyDescent="0.35">
      <c r="A103" s="7" t="s">
        <v>189</v>
      </c>
      <c r="B103" s="12" t="s">
        <v>190</v>
      </c>
      <c r="C103">
        <v>142584161.50230396</v>
      </c>
      <c r="D103">
        <v>148641205.10220468</v>
      </c>
      <c r="E103">
        <v>270270.27027027</v>
      </c>
      <c r="F103">
        <v>270270.27027027</v>
      </c>
      <c r="G103">
        <v>19</v>
      </c>
      <c r="H103">
        <v>34</v>
      </c>
      <c r="I103">
        <v>1</v>
      </c>
      <c r="K103">
        <v>19</v>
      </c>
      <c r="L103">
        <v>36</v>
      </c>
      <c r="M103">
        <v>2072072.072072072</v>
      </c>
      <c r="N103">
        <v>2657657.6576576582</v>
      </c>
      <c r="O103">
        <v>10198099.0990991</v>
      </c>
      <c r="P103">
        <v>12689738.73873874</v>
      </c>
      <c r="Q103">
        <v>1810810.8108108109</v>
      </c>
      <c r="R103">
        <v>1991261.2612612611</v>
      </c>
      <c r="S103">
        <v>1724</v>
      </c>
      <c r="T103">
        <v>1723</v>
      </c>
    </row>
    <row r="104" spans="1:20" x14ac:dyDescent="0.35">
      <c r="A104" s="7" t="s">
        <v>191</v>
      </c>
      <c r="B104" s="12" t="s">
        <v>135</v>
      </c>
      <c r="C104">
        <v>34075848.86919219</v>
      </c>
      <c r="D104">
        <v>31403141.856524408</v>
      </c>
      <c r="E104">
        <v>13513.513513514001</v>
      </c>
      <c r="G104">
        <v>20</v>
      </c>
      <c r="H104">
        <v>30</v>
      </c>
      <c r="K104">
        <v>21</v>
      </c>
      <c r="L104">
        <v>33</v>
      </c>
      <c r="M104">
        <v>58558.558558559002</v>
      </c>
      <c r="O104">
        <v>2378063.0630630632</v>
      </c>
      <c r="P104">
        <v>2784990.9909909908</v>
      </c>
      <c r="Q104">
        <v>200900.900900901</v>
      </c>
      <c r="S104">
        <v>952</v>
      </c>
      <c r="T104">
        <v>932</v>
      </c>
    </row>
    <row r="105" spans="1:20" x14ac:dyDescent="0.35">
      <c r="A105" s="7" t="s">
        <v>192</v>
      </c>
      <c r="B105" s="12" t="s">
        <v>61</v>
      </c>
      <c r="C105">
        <v>204859344.34067634</v>
      </c>
      <c r="D105">
        <v>208656749.73224288</v>
      </c>
      <c r="E105">
        <v>3081756.756756756</v>
      </c>
      <c r="F105">
        <v>2895495.4954954959</v>
      </c>
      <c r="G105">
        <v>19</v>
      </c>
      <c r="H105">
        <v>47</v>
      </c>
      <c r="K105">
        <v>28</v>
      </c>
      <c r="L105">
        <v>95</v>
      </c>
      <c r="M105">
        <v>18253153.153153151</v>
      </c>
      <c r="N105">
        <v>25104504.504504506</v>
      </c>
      <c r="O105">
        <v>68431702.702702701</v>
      </c>
      <c r="P105">
        <v>71751378.378378376</v>
      </c>
      <c r="Q105">
        <v>16816936.936936937</v>
      </c>
      <c r="R105">
        <v>24881801.801801801</v>
      </c>
      <c r="S105">
        <v>4037</v>
      </c>
      <c r="T105">
        <v>4941</v>
      </c>
    </row>
    <row r="106" spans="1:20" x14ac:dyDescent="0.35">
      <c r="A106" s="7" t="s">
        <v>193</v>
      </c>
      <c r="B106" s="12" t="s">
        <v>61</v>
      </c>
      <c r="C106">
        <v>355223121.30982053</v>
      </c>
      <c r="D106">
        <v>366045392.72364992</v>
      </c>
      <c r="E106">
        <v>3161261.2612612601</v>
      </c>
      <c r="F106">
        <v>3625675.6756756771</v>
      </c>
      <c r="G106">
        <v>30</v>
      </c>
      <c r="H106">
        <v>38</v>
      </c>
      <c r="I106">
        <v>2</v>
      </c>
      <c r="K106">
        <v>35</v>
      </c>
      <c r="L106">
        <v>56</v>
      </c>
      <c r="M106">
        <v>19530630.630630627</v>
      </c>
      <c r="N106">
        <v>31959009.009009007</v>
      </c>
      <c r="O106">
        <v>84684594.594594598</v>
      </c>
      <c r="P106">
        <v>87201953.153153151</v>
      </c>
      <c r="Q106">
        <v>18946126.126126129</v>
      </c>
      <c r="R106">
        <v>30797520.72072072</v>
      </c>
      <c r="S106">
        <v>6431</v>
      </c>
      <c r="T106">
        <v>5673</v>
      </c>
    </row>
    <row r="107" spans="1:20" x14ac:dyDescent="0.35">
      <c r="A107" s="7" t="s">
        <v>2</v>
      </c>
      <c r="B107" s="12" t="s">
        <v>194</v>
      </c>
      <c r="C107">
        <v>38775078.161200292</v>
      </c>
      <c r="D107">
        <v>21702984.627443183</v>
      </c>
      <c r="E107">
        <v>306106197.2972973</v>
      </c>
      <c r="F107">
        <v>324576446.84684682</v>
      </c>
      <c r="G107">
        <v>4</v>
      </c>
      <c r="K107">
        <v>4</v>
      </c>
      <c r="M107">
        <v>6662162.1621621633</v>
      </c>
      <c r="N107">
        <v>3256756.7567567569</v>
      </c>
      <c r="O107">
        <v>21924441.441441439</v>
      </c>
      <c r="P107">
        <v>13277792.792792792</v>
      </c>
      <c r="Q107">
        <v>6763063.0630630637</v>
      </c>
      <c r="R107">
        <v>3175225.2252252251</v>
      </c>
      <c r="S107">
        <v>1273</v>
      </c>
      <c r="T107">
        <v>1091</v>
      </c>
    </row>
    <row r="108" spans="1:20" x14ac:dyDescent="0.35">
      <c r="A108" s="7" t="s">
        <v>195</v>
      </c>
      <c r="B108" s="12" t="s">
        <v>196</v>
      </c>
      <c r="C108">
        <v>1236736347.7859955</v>
      </c>
      <c r="D108">
        <v>1278788154.4736342</v>
      </c>
      <c r="E108">
        <v>72530405.405405402</v>
      </c>
      <c r="F108">
        <v>40447747.747747749</v>
      </c>
      <c r="G108">
        <v>298</v>
      </c>
      <c r="H108">
        <v>130</v>
      </c>
      <c r="I108">
        <v>2</v>
      </c>
      <c r="K108">
        <v>320</v>
      </c>
      <c r="L108">
        <v>182</v>
      </c>
      <c r="M108">
        <v>56474594.59459459</v>
      </c>
      <c r="N108">
        <v>57295495.495495498</v>
      </c>
      <c r="O108">
        <v>240268648.64864865</v>
      </c>
      <c r="P108">
        <v>256403765.76576576</v>
      </c>
      <c r="Q108">
        <v>56816486.486486487</v>
      </c>
      <c r="R108">
        <v>54137387.387387387</v>
      </c>
      <c r="S108">
        <v>18051</v>
      </c>
      <c r="T108">
        <v>19275</v>
      </c>
    </row>
    <row r="109" spans="1:20" x14ac:dyDescent="0.35">
      <c r="A109" s="7" t="s">
        <v>197</v>
      </c>
      <c r="B109" s="12" t="s">
        <v>81</v>
      </c>
      <c r="C109">
        <v>380334018.46335053</v>
      </c>
      <c r="D109">
        <v>370489921.44562221</v>
      </c>
      <c r="E109">
        <v>1933333.3333333349</v>
      </c>
      <c r="F109">
        <v>3227927.927927928</v>
      </c>
      <c r="G109">
        <v>92</v>
      </c>
      <c r="H109">
        <v>58</v>
      </c>
      <c r="K109">
        <v>101</v>
      </c>
      <c r="L109">
        <v>77</v>
      </c>
      <c r="M109">
        <v>47515315.315315314</v>
      </c>
      <c r="N109">
        <v>58625675.675675675</v>
      </c>
      <c r="O109">
        <v>104087216.21621622</v>
      </c>
      <c r="P109">
        <v>101880693.6936937</v>
      </c>
      <c r="Q109">
        <v>49104324.324324325</v>
      </c>
      <c r="R109">
        <v>58489279.279279277</v>
      </c>
      <c r="S109">
        <v>7081</v>
      </c>
      <c r="T109">
        <v>6621</v>
      </c>
    </row>
    <row r="110" spans="1:20" x14ac:dyDescent="0.35">
      <c r="A110" s="7" t="s">
        <v>198</v>
      </c>
      <c r="B110" s="12" t="s">
        <v>109</v>
      </c>
      <c r="C110">
        <v>302712326.37739956</v>
      </c>
      <c r="D110">
        <v>306694758.42735207</v>
      </c>
      <c r="E110">
        <v>98165765.765765756</v>
      </c>
      <c r="F110">
        <v>629917117.11711717</v>
      </c>
      <c r="G110">
        <v>105</v>
      </c>
      <c r="H110">
        <v>69</v>
      </c>
      <c r="I110">
        <v>1</v>
      </c>
      <c r="K110">
        <v>118</v>
      </c>
      <c r="L110">
        <v>101</v>
      </c>
      <c r="M110">
        <v>23209009.009009004</v>
      </c>
      <c r="N110">
        <v>37230630.630630635</v>
      </c>
      <c r="O110">
        <v>93524684.684684694</v>
      </c>
      <c r="P110">
        <v>94114495.495495483</v>
      </c>
      <c r="Q110">
        <v>16850900.9009009</v>
      </c>
      <c r="R110">
        <v>23285495.495495494</v>
      </c>
      <c r="S110">
        <v>7699</v>
      </c>
      <c r="T110">
        <v>7811</v>
      </c>
    </row>
    <row r="111" spans="1:20" x14ac:dyDescent="0.35">
      <c r="A111" s="7" t="s">
        <v>199</v>
      </c>
      <c r="B111" s="12" t="s">
        <v>93</v>
      </c>
      <c r="C111">
        <v>162804850.20966646</v>
      </c>
      <c r="D111">
        <v>167703736.11543959</v>
      </c>
      <c r="E111">
        <v>5395495.4954954945</v>
      </c>
      <c r="F111">
        <v>4195495.4954954954</v>
      </c>
      <c r="G111">
        <v>150</v>
      </c>
      <c r="H111">
        <v>29</v>
      </c>
      <c r="K111">
        <v>193</v>
      </c>
      <c r="L111">
        <v>30</v>
      </c>
      <c r="M111">
        <v>50180090.090090089</v>
      </c>
      <c r="N111">
        <v>29234684.684684683</v>
      </c>
      <c r="O111">
        <v>45018414.414414413</v>
      </c>
      <c r="P111">
        <v>43254513.513513513</v>
      </c>
      <c r="Q111">
        <v>48746846.846846849</v>
      </c>
      <c r="R111">
        <v>28210450.450450446</v>
      </c>
      <c r="S111">
        <v>2882</v>
      </c>
      <c r="T111">
        <v>4131</v>
      </c>
    </row>
    <row r="112" spans="1:20" x14ac:dyDescent="0.35">
      <c r="A112" s="7" t="s">
        <v>200</v>
      </c>
      <c r="B112" s="12" t="s">
        <v>124</v>
      </c>
      <c r="C112">
        <v>151444656.90792304</v>
      </c>
      <c r="D112">
        <v>126188190.6397128</v>
      </c>
      <c r="E112">
        <v>554054.05405405303</v>
      </c>
      <c r="F112">
        <v>1629729.7297297299</v>
      </c>
      <c r="G112">
        <v>45</v>
      </c>
      <c r="H112">
        <v>21</v>
      </c>
      <c r="K112">
        <v>51</v>
      </c>
      <c r="L112">
        <v>24</v>
      </c>
      <c r="M112">
        <v>4328468.4684684686</v>
      </c>
      <c r="N112">
        <v>9194414.4144144133</v>
      </c>
      <c r="O112">
        <v>28094774.774774775</v>
      </c>
      <c r="P112">
        <v>29285252.252252251</v>
      </c>
      <c r="Q112">
        <v>5654324.3243243247</v>
      </c>
      <c r="R112">
        <v>6915855.8558558552</v>
      </c>
      <c r="S112">
        <v>2465</v>
      </c>
      <c r="T112">
        <v>1130</v>
      </c>
    </row>
    <row r="113" spans="1:20" x14ac:dyDescent="0.35">
      <c r="A113" s="7" t="s">
        <v>201</v>
      </c>
      <c r="B113" s="12" t="s">
        <v>61</v>
      </c>
      <c r="C113">
        <v>110167132.39457801</v>
      </c>
      <c r="D113">
        <v>113139229.40012874</v>
      </c>
      <c r="E113">
        <v>1602702.7027027039</v>
      </c>
      <c r="F113">
        <v>1327027.02702703</v>
      </c>
      <c r="G113">
        <v>27</v>
      </c>
      <c r="H113">
        <v>7</v>
      </c>
      <c r="I113">
        <v>1</v>
      </c>
      <c r="K113">
        <v>31</v>
      </c>
      <c r="L113">
        <v>17</v>
      </c>
      <c r="M113">
        <v>13440540.540540544</v>
      </c>
      <c r="N113">
        <v>16858558.558558561</v>
      </c>
      <c r="O113">
        <v>20370689.189189188</v>
      </c>
      <c r="P113">
        <v>21327918.918918919</v>
      </c>
      <c r="Q113">
        <v>7863423.4234234234</v>
      </c>
      <c r="R113">
        <v>7764774.7747747768</v>
      </c>
      <c r="S113">
        <v>3929</v>
      </c>
      <c r="T113">
        <v>3750</v>
      </c>
    </row>
    <row r="114" spans="1:20" x14ac:dyDescent="0.35">
      <c r="A114" s="7" t="s">
        <v>202</v>
      </c>
      <c r="B114" s="12" t="s">
        <v>61</v>
      </c>
      <c r="C114">
        <v>36722447.447360151</v>
      </c>
      <c r="D114">
        <v>36514522.341075875</v>
      </c>
      <c r="E114">
        <v>226126.126126127</v>
      </c>
      <c r="F114">
        <v>494594.59459459601</v>
      </c>
      <c r="G114">
        <v>15</v>
      </c>
      <c r="H114">
        <v>7</v>
      </c>
      <c r="K114">
        <v>16</v>
      </c>
      <c r="L114">
        <v>9</v>
      </c>
      <c r="M114">
        <v>2298198.1981981979</v>
      </c>
      <c r="N114">
        <v>2701801.8018018021</v>
      </c>
      <c r="O114">
        <v>6677909.9099099096</v>
      </c>
      <c r="P114">
        <v>7791450.4504504511</v>
      </c>
      <c r="Q114">
        <v>568288.28828828805</v>
      </c>
      <c r="R114">
        <v>1489549.5495495501</v>
      </c>
      <c r="S114">
        <v>1316</v>
      </c>
      <c r="T114">
        <v>1155</v>
      </c>
    </row>
    <row r="115" spans="1:20" x14ac:dyDescent="0.35">
      <c r="A115" s="7" t="s">
        <v>203</v>
      </c>
      <c r="B115" s="12" t="s">
        <v>122</v>
      </c>
      <c r="C115">
        <v>70332252.675882801</v>
      </c>
      <c r="D115">
        <v>64137191.358506173</v>
      </c>
      <c r="E115">
        <v>576576.57657657703</v>
      </c>
      <c r="F115">
        <v>819819.81981982198</v>
      </c>
      <c r="G115">
        <v>38</v>
      </c>
      <c r="H115">
        <v>23</v>
      </c>
      <c r="K115">
        <v>44</v>
      </c>
      <c r="L115">
        <v>25</v>
      </c>
      <c r="M115">
        <v>1932432.4324324329</v>
      </c>
      <c r="N115">
        <v>1225225.225225227</v>
      </c>
      <c r="O115">
        <v>6655207.2072072076</v>
      </c>
      <c r="P115">
        <v>6489495.4954954954</v>
      </c>
      <c r="Q115">
        <v>1427477.4774774781</v>
      </c>
      <c r="R115">
        <v>472972.97297297302</v>
      </c>
      <c r="S115">
        <v>1470</v>
      </c>
      <c r="T115">
        <v>1367</v>
      </c>
    </row>
    <row r="116" spans="1:20" x14ac:dyDescent="0.35">
      <c r="A116" s="7" t="s">
        <v>204</v>
      </c>
      <c r="B116" s="12" t="s">
        <v>55</v>
      </c>
      <c r="C116">
        <v>112735672.1681464</v>
      </c>
      <c r="D116">
        <v>118354180.65256116</v>
      </c>
      <c r="E116">
        <v>1112612.6126126139</v>
      </c>
      <c r="F116">
        <v>1526576.576576578</v>
      </c>
      <c r="G116">
        <v>26</v>
      </c>
      <c r="H116">
        <v>18</v>
      </c>
      <c r="K116">
        <v>28</v>
      </c>
      <c r="L116">
        <v>19</v>
      </c>
      <c r="M116">
        <v>6144144.144144143</v>
      </c>
      <c r="N116">
        <v>7630180.1801801808</v>
      </c>
      <c r="O116">
        <v>29359531.531531531</v>
      </c>
      <c r="P116">
        <v>31033315.315315317</v>
      </c>
      <c r="Q116">
        <v>6554684.6846846836</v>
      </c>
      <c r="R116">
        <v>7806666.666666666</v>
      </c>
      <c r="S116">
        <v>4225</v>
      </c>
      <c r="T116">
        <v>3906</v>
      </c>
    </row>
    <row r="117" spans="1:20" x14ac:dyDescent="0.35">
      <c r="A117" s="7" t="s">
        <v>205</v>
      </c>
      <c r="B117" s="12" t="s">
        <v>137</v>
      </c>
      <c r="C117">
        <v>406047608.76885533</v>
      </c>
      <c r="D117">
        <v>393253455.75414687</v>
      </c>
      <c r="E117">
        <v>967567.56756756897</v>
      </c>
      <c r="F117">
        <v>1089189.189189197</v>
      </c>
      <c r="G117">
        <v>57</v>
      </c>
      <c r="H117">
        <v>62</v>
      </c>
      <c r="K117">
        <v>65</v>
      </c>
      <c r="L117">
        <v>65</v>
      </c>
      <c r="M117">
        <v>35985585.585585587</v>
      </c>
      <c r="N117">
        <v>35336936.936936937</v>
      </c>
      <c r="O117">
        <v>71567581.081081077</v>
      </c>
      <c r="P117">
        <v>75771135.135135129</v>
      </c>
      <c r="Q117">
        <v>29010000</v>
      </c>
      <c r="R117">
        <v>31803783.783783782</v>
      </c>
      <c r="S117">
        <v>5896</v>
      </c>
      <c r="T117">
        <v>5476</v>
      </c>
    </row>
    <row r="118" spans="1:20" x14ac:dyDescent="0.35">
      <c r="A118" s="7" t="s">
        <v>206</v>
      </c>
      <c r="B118" s="12" t="s">
        <v>137</v>
      </c>
      <c r="C118">
        <v>203408255.03667462</v>
      </c>
      <c r="D118">
        <v>194389765.00859678</v>
      </c>
      <c r="E118">
        <v>658558.55855855905</v>
      </c>
      <c r="F118">
        <v>65765.765765767006</v>
      </c>
      <c r="G118">
        <v>38</v>
      </c>
      <c r="H118">
        <v>29</v>
      </c>
      <c r="K118">
        <v>43</v>
      </c>
      <c r="L118">
        <v>31</v>
      </c>
      <c r="M118">
        <v>6856756.7567567565</v>
      </c>
      <c r="N118">
        <v>7327027.0270270258</v>
      </c>
      <c r="O118">
        <v>38988394.59459459</v>
      </c>
      <c r="P118">
        <v>44536387.387387387</v>
      </c>
      <c r="Q118">
        <v>3784054.054054054</v>
      </c>
      <c r="R118">
        <v>3954594.5945945941</v>
      </c>
      <c r="S118">
        <v>3206</v>
      </c>
      <c r="T118">
        <v>3261</v>
      </c>
    </row>
    <row r="119" spans="1:20" x14ac:dyDescent="0.35">
      <c r="A119" s="7" t="s">
        <v>207</v>
      </c>
      <c r="B119" s="12" t="s">
        <v>170</v>
      </c>
      <c r="C119">
        <v>474889373.09647918</v>
      </c>
      <c r="D119">
        <v>494150988.45614398</v>
      </c>
      <c r="E119">
        <v>1534234.2342342341</v>
      </c>
      <c r="F119">
        <v>26246131.531531535</v>
      </c>
      <c r="G119">
        <v>19</v>
      </c>
      <c r="H119">
        <v>22</v>
      </c>
      <c r="K119">
        <v>21</v>
      </c>
      <c r="L119">
        <v>27</v>
      </c>
      <c r="M119">
        <v>2470452094.594595</v>
      </c>
      <c r="N119">
        <v>920359572.07207203</v>
      </c>
      <c r="O119">
        <v>224806846.84684685</v>
      </c>
      <c r="P119">
        <v>242738225.22522521</v>
      </c>
      <c r="Q119">
        <v>702758108.10810816</v>
      </c>
      <c r="R119">
        <v>256253477.47747746</v>
      </c>
      <c r="S119">
        <v>7788</v>
      </c>
      <c r="T119">
        <v>7851</v>
      </c>
    </row>
    <row r="120" spans="1:20" x14ac:dyDescent="0.35">
      <c r="A120" s="7" t="s">
        <v>668</v>
      </c>
      <c r="B120" s="12" t="s">
        <v>95</v>
      </c>
      <c r="E120">
        <v>56734234.234234229</v>
      </c>
      <c r="F120">
        <v>28175675.675675675</v>
      </c>
      <c r="M120">
        <v>9195945.9459459465</v>
      </c>
      <c r="N120">
        <v>4658108.1081081079</v>
      </c>
    </row>
    <row r="121" spans="1:20" x14ac:dyDescent="0.35">
      <c r="A121" s="7" t="s">
        <v>208</v>
      </c>
      <c r="B121" s="12" t="s">
        <v>162</v>
      </c>
      <c r="C121">
        <v>528161695.82189345</v>
      </c>
      <c r="D121">
        <v>539199387.69014561</v>
      </c>
      <c r="E121">
        <v>135103454.05405405</v>
      </c>
      <c r="F121">
        <v>169156061.26126128</v>
      </c>
      <c r="G121">
        <v>329</v>
      </c>
      <c r="H121">
        <v>132</v>
      </c>
      <c r="K121">
        <v>480</v>
      </c>
      <c r="L121">
        <v>384</v>
      </c>
      <c r="M121">
        <v>80450891.891891882</v>
      </c>
      <c r="N121">
        <v>95671045.945945933</v>
      </c>
      <c r="O121">
        <v>153322851.35135135</v>
      </c>
      <c r="P121">
        <v>174795981.98198199</v>
      </c>
      <c r="Q121">
        <v>66325081.081081077</v>
      </c>
      <c r="R121">
        <v>69184363.963963956</v>
      </c>
      <c r="S121">
        <v>23195</v>
      </c>
      <c r="T121">
        <v>12376</v>
      </c>
    </row>
    <row r="122" spans="1:20" x14ac:dyDescent="0.35">
      <c r="A122" s="7" t="s">
        <v>209</v>
      </c>
      <c r="B122" s="12" t="s">
        <v>77</v>
      </c>
      <c r="C122">
        <v>15823956.231372656</v>
      </c>
      <c r="D122">
        <v>17317674.229431357</v>
      </c>
      <c r="H122">
        <v>3</v>
      </c>
      <c r="L122">
        <v>3</v>
      </c>
      <c r="O122">
        <v>1098108.1081081079</v>
      </c>
      <c r="P122">
        <v>1369819.8198198201</v>
      </c>
      <c r="S122">
        <v>534</v>
      </c>
      <c r="T122">
        <v>733</v>
      </c>
    </row>
    <row r="123" spans="1:20" x14ac:dyDescent="0.35">
      <c r="A123" s="7" t="s">
        <v>210</v>
      </c>
      <c r="B123" s="12" t="s">
        <v>77</v>
      </c>
      <c r="C123">
        <v>234264041.25257197</v>
      </c>
      <c r="D123">
        <v>233047004.76887968</v>
      </c>
      <c r="E123">
        <v>148767420.72072074</v>
      </c>
      <c r="F123">
        <v>155704100.9009009</v>
      </c>
      <c r="G123">
        <v>130</v>
      </c>
      <c r="H123">
        <v>137</v>
      </c>
      <c r="I123">
        <v>4</v>
      </c>
      <c r="K123">
        <v>245</v>
      </c>
      <c r="L123">
        <v>205</v>
      </c>
      <c r="M123">
        <v>26618198.198198196</v>
      </c>
      <c r="N123">
        <v>27525683.783783779</v>
      </c>
      <c r="O123">
        <v>36678702.702702701</v>
      </c>
      <c r="P123">
        <v>39836360.360360362</v>
      </c>
      <c r="Q123">
        <v>24663063.063063059</v>
      </c>
      <c r="R123">
        <v>24837117.117117114</v>
      </c>
      <c r="S123">
        <v>4806</v>
      </c>
      <c r="T123">
        <v>4398</v>
      </c>
    </row>
    <row r="124" spans="1:20" x14ac:dyDescent="0.35">
      <c r="A124" s="7" t="s">
        <v>211</v>
      </c>
      <c r="B124" s="12" t="s">
        <v>77</v>
      </c>
      <c r="C124">
        <v>292729025.22769278</v>
      </c>
      <c r="D124">
        <v>321431758.52360177</v>
      </c>
      <c r="E124">
        <v>4372972.9729729779</v>
      </c>
      <c r="F124">
        <v>7290990.9909909954</v>
      </c>
      <c r="G124">
        <v>164</v>
      </c>
      <c r="H124">
        <v>313</v>
      </c>
      <c r="I124">
        <v>1</v>
      </c>
      <c r="K124">
        <v>238</v>
      </c>
      <c r="L124">
        <v>360</v>
      </c>
      <c r="M124">
        <v>99434144.144144148</v>
      </c>
      <c r="N124">
        <v>120467837.83783785</v>
      </c>
      <c r="O124">
        <v>90308971.171171173</v>
      </c>
      <c r="P124">
        <v>110453396.3963964</v>
      </c>
      <c r="Q124">
        <v>73695538.738738731</v>
      </c>
      <c r="R124">
        <v>94875405.405405402</v>
      </c>
      <c r="S124">
        <v>6915</v>
      </c>
      <c r="T124">
        <v>7077</v>
      </c>
    </row>
    <row r="125" spans="1:20" x14ac:dyDescent="0.35">
      <c r="A125" s="7" t="s">
        <v>212</v>
      </c>
      <c r="B125" s="12" t="s">
        <v>77</v>
      </c>
      <c r="C125">
        <v>214649473.53178352</v>
      </c>
      <c r="D125">
        <v>208746656.05579391</v>
      </c>
      <c r="E125">
        <v>2902477.477477483</v>
      </c>
      <c r="F125">
        <v>3051351.3513513538</v>
      </c>
      <c r="G125">
        <v>91</v>
      </c>
      <c r="H125">
        <v>146</v>
      </c>
      <c r="K125">
        <v>107</v>
      </c>
      <c r="L125">
        <v>154</v>
      </c>
      <c r="M125">
        <v>17767027.02702703</v>
      </c>
      <c r="N125">
        <v>30190999.099099103</v>
      </c>
      <c r="O125">
        <v>33337218.468468469</v>
      </c>
      <c r="P125">
        <v>34717504.504504502</v>
      </c>
      <c r="Q125">
        <v>16705135.135135137</v>
      </c>
      <c r="R125">
        <v>27128648.648648649</v>
      </c>
      <c r="S125">
        <v>4166</v>
      </c>
      <c r="T125">
        <v>3963</v>
      </c>
    </row>
    <row r="126" spans="1:20" x14ac:dyDescent="0.35">
      <c r="A126" s="7" t="s">
        <v>213</v>
      </c>
      <c r="B126" s="12" t="s">
        <v>77</v>
      </c>
      <c r="C126">
        <v>78436194.652507335</v>
      </c>
      <c r="D126">
        <v>89887012.155305296</v>
      </c>
      <c r="E126">
        <v>52252.252252252001</v>
      </c>
      <c r="F126">
        <v>119819.81981982</v>
      </c>
      <c r="G126">
        <v>15</v>
      </c>
      <c r="H126">
        <v>11</v>
      </c>
      <c r="K126">
        <v>17</v>
      </c>
      <c r="L126">
        <v>12</v>
      </c>
      <c r="M126">
        <v>1527207.207207205</v>
      </c>
      <c r="N126">
        <v>4511711.7117117113</v>
      </c>
      <c r="O126">
        <v>12356000</v>
      </c>
      <c r="P126">
        <v>14499270.270270271</v>
      </c>
      <c r="Q126">
        <v>1986396.396396396</v>
      </c>
      <c r="R126">
        <v>3794774.7747747758</v>
      </c>
      <c r="S126">
        <v>1877</v>
      </c>
      <c r="T126">
        <v>2226</v>
      </c>
    </row>
    <row r="127" spans="1:20" x14ac:dyDescent="0.35">
      <c r="A127" s="7" t="s">
        <v>214</v>
      </c>
      <c r="B127" s="12" t="s">
        <v>215</v>
      </c>
      <c r="C127">
        <v>111407982.80603045</v>
      </c>
      <c r="D127">
        <v>113716342.26491216</v>
      </c>
      <c r="E127">
        <v>780180.18018018</v>
      </c>
      <c r="F127">
        <v>1232882.882882884</v>
      </c>
      <c r="G127">
        <v>34</v>
      </c>
      <c r="H127">
        <v>14</v>
      </c>
      <c r="I127">
        <v>1</v>
      </c>
      <c r="K127">
        <v>35</v>
      </c>
      <c r="L127">
        <v>14</v>
      </c>
      <c r="M127">
        <v>13473441.441441445</v>
      </c>
      <c r="N127">
        <v>27009459.459459461</v>
      </c>
      <c r="O127">
        <v>50685396.396396399</v>
      </c>
      <c r="P127">
        <v>56218585.585585587</v>
      </c>
      <c r="Q127">
        <v>11674594.594594594</v>
      </c>
      <c r="R127">
        <v>25643063.063063063</v>
      </c>
      <c r="S127">
        <v>2416</v>
      </c>
      <c r="T127">
        <v>2257</v>
      </c>
    </row>
    <row r="128" spans="1:20" x14ac:dyDescent="0.35">
      <c r="A128" s="7" t="s">
        <v>216</v>
      </c>
      <c r="B128" s="12" t="s">
        <v>168</v>
      </c>
      <c r="C128">
        <v>121511117.51720184</v>
      </c>
      <c r="D128">
        <v>116812406.79044886</v>
      </c>
      <c r="E128">
        <v>1833333.333333333</v>
      </c>
      <c r="F128">
        <v>1351351.3513513501</v>
      </c>
      <c r="G128">
        <v>7</v>
      </c>
      <c r="H128">
        <v>1</v>
      </c>
      <c r="K128">
        <v>7</v>
      </c>
      <c r="L128">
        <v>1</v>
      </c>
      <c r="M128">
        <v>2462162.1621621619</v>
      </c>
      <c r="N128">
        <v>4054054.054054053</v>
      </c>
      <c r="O128">
        <v>21142342.342342343</v>
      </c>
      <c r="P128">
        <v>32350855.855855856</v>
      </c>
      <c r="Q128">
        <v>240090.09009009099</v>
      </c>
      <c r="R128">
        <v>2796846.8468468459</v>
      </c>
      <c r="S128">
        <v>1879</v>
      </c>
      <c r="T128">
        <v>1825</v>
      </c>
    </row>
    <row r="129" spans="1:20" x14ac:dyDescent="0.35">
      <c r="A129" s="7" t="s">
        <v>217</v>
      </c>
      <c r="B129" s="12" t="s">
        <v>86</v>
      </c>
      <c r="C129">
        <v>28350993.494822655</v>
      </c>
      <c r="D129">
        <v>31124060.292590473</v>
      </c>
      <c r="E129">
        <v>603603.60360360402</v>
      </c>
      <c r="F129">
        <v>1571171.1711711721</v>
      </c>
      <c r="G129">
        <v>10</v>
      </c>
      <c r="H129">
        <v>3</v>
      </c>
      <c r="K129">
        <v>12</v>
      </c>
      <c r="L129">
        <v>3</v>
      </c>
      <c r="M129">
        <v>51058108.108108103</v>
      </c>
      <c r="N129">
        <v>38722522.522522517</v>
      </c>
      <c r="O129">
        <v>8938180.1801801808</v>
      </c>
      <c r="P129">
        <v>10782457.657657657</v>
      </c>
      <c r="Q129">
        <v>43608198.198198199</v>
      </c>
      <c r="R129">
        <v>34224234.234234229</v>
      </c>
      <c r="S129">
        <v>669</v>
      </c>
      <c r="T129">
        <v>630</v>
      </c>
    </row>
    <row r="130" spans="1:20" x14ac:dyDescent="0.35">
      <c r="A130" s="7" t="s">
        <v>218</v>
      </c>
      <c r="B130" s="12" t="s">
        <v>86</v>
      </c>
      <c r="C130">
        <v>108568807.95231518</v>
      </c>
      <c r="D130">
        <v>112252413.21181221</v>
      </c>
      <c r="E130">
        <v>421621.62162162201</v>
      </c>
      <c r="F130">
        <v>720720.72072072001</v>
      </c>
      <c r="G130">
        <v>39</v>
      </c>
      <c r="H130">
        <v>16</v>
      </c>
      <c r="K130">
        <v>41</v>
      </c>
      <c r="L130">
        <v>21</v>
      </c>
      <c r="M130">
        <v>27659189.189189192</v>
      </c>
      <c r="N130">
        <v>29952710.810810808</v>
      </c>
      <c r="O130">
        <v>21061252.252252251</v>
      </c>
      <c r="P130">
        <v>23910864.864864863</v>
      </c>
      <c r="Q130">
        <v>27190360.360360362</v>
      </c>
      <c r="R130">
        <v>22002072.072072074</v>
      </c>
      <c r="S130">
        <v>2424</v>
      </c>
      <c r="T130">
        <v>2484</v>
      </c>
    </row>
    <row r="131" spans="1:20" x14ac:dyDescent="0.35">
      <c r="A131" s="7" t="s">
        <v>219</v>
      </c>
      <c r="B131" s="12" t="s">
        <v>148</v>
      </c>
      <c r="C131">
        <v>105830707.50964759</v>
      </c>
      <c r="D131">
        <v>98118476.134247825</v>
      </c>
      <c r="E131">
        <v>7689189.1891891882</v>
      </c>
      <c r="F131">
        <v>7507207.2072072076</v>
      </c>
      <c r="G131">
        <v>69</v>
      </c>
      <c r="H131">
        <v>20</v>
      </c>
      <c r="K131">
        <v>79</v>
      </c>
      <c r="L131">
        <v>28</v>
      </c>
      <c r="M131">
        <v>61519845.945945941</v>
      </c>
      <c r="N131">
        <v>84811858.558558553</v>
      </c>
      <c r="O131">
        <v>33786261.261261262</v>
      </c>
      <c r="P131">
        <v>29527567.567567568</v>
      </c>
      <c r="Q131">
        <v>60472072.072072074</v>
      </c>
      <c r="R131">
        <v>79684054.054054052</v>
      </c>
      <c r="S131">
        <v>2888</v>
      </c>
      <c r="T131">
        <v>2482</v>
      </c>
    </row>
    <row r="132" spans="1:20" x14ac:dyDescent="0.35">
      <c r="A132" s="7" t="s">
        <v>220</v>
      </c>
      <c r="B132" s="12" t="s">
        <v>221</v>
      </c>
      <c r="C132">
        <v>209889103.29978564</v>
      </c>
      <c r="D132">
        <v>203039097.60614854</v>
      </c>
      <c r="E132">
        <v>555799984.68468463</v>
      </c>
      <c r="F132">
        <v>375820005.4054054</v>
      </c>
      <c r="G132">
        <v>67</v>
      </c>
      <c r="H132">
        <v>89</v>
      </c>
      <c r="K132">
        <v>75</v>
      </c>
      <c r="L132">
        <v>118</v>
      </c>
      <c r="M132">
        <v>206005050.45045045</v>
      </c>
      <c r="N132">
        <v>384772151.35135138</v>
      </c>
      <c r="O132">
        <v>53819191.441441439</v>
      </c>
      <c r="P132">
        <v>57991990.990990989</v>
      </c>
      <c r="Q132">
        <v>295594774.77477479</v>
      </c>
      <c r="R132">
        <v>329954234.23423421</v>
      </c>
      <c r="S132">
        <v>6667</v>
      </c>
      <c r="T132">
        <v>6429</v>
      </c>
    </row>
    <row r="133" spans="1:20" x14ac:dyDescent="0.35">
      <c r="A133" s="7" t="s">
        <v>222</v>
      </c>
      <c r="B133" s="12" t="s">
        <v>53</v>
      </c>
      <c r="C133">
        <v>490149093.87702787</v>
      </c>
      <c r="D133">
        <v>517248744.27141434</v>
      </c>
      <c r="E133">
        <v>4920720.7207207233</v>
      </c>
      <c r="F133">
        <v>8860810.8108108174</v>
      </c>
      <c r="G133">
        <v>99</v>
      </c>
      <c r="H133">
        <v>109</v>
      </c>
      <c r="K133">
        <v>132</v>
      </c>
      <c r="L133">
        <v>164</v>
      </c>
      <c r="M133">
        <v>39830630.630630635</v>
      </c>
      <c r="N133">
        <v>57255855.855855867</v>
      </c>
      <c r="O133">
        <v>159031531.53153151</v>
      </c>
      <c r="P133">
        <v>167818171.17117116</v>
      </c>
      <c r="Q133">
        <v>50284054.054054059</v>
      </c>
      <c r="R133">
        <v>48373423.423423417</v>
      </c>
      <c r="S133">
        <v>12450</v>
      </c>
      <c r="T133">
        <v>11082</v>
      </c>
    </row>
    <row r="134" spans="1:20" x14ac:dyDescent="0.35">
      <c r="A134" s="7" t="s">
        <v>223</v>
      </c>
      <c r="B134" s="12" t="s">
        <v>77</v>
      </c>
      <c r="C134">
        <v>378903466.44102055</v>
      </c>
      <c r="D134">
        <v>393117190.61609709</v>
      </c>
      <c r="E134">
        <v>1129729.7297297369</v>
      </c>
      <c r="F134">
        <v>1584684.684684692</v>
      </c>
      <c r="G134">
        <v>96</v>
      </c>
      <c r="H134">
        <v>98</v>
      </c>
      <c r="K134">
        <v>102</v>
      </c>
      <c r="L134">
        <v>102</v>
      </c>
      <c r="M134">
        <v>27830450.45045045</v>
      </c>
      <c r="N134">
        <v>37423423.423423424</v>
      </c>
      <c r="O134">
        <v>73272128.828828827</v>
      </c>
      <c r="P134">
        <v>83793981.981981978</v>
      </c>
      <c r="Q134">
        <v>21699549.54954955</v>
      </c>
      <c r="R134">
        <v>31578108.108108107</v>
      </c>
      <c r="S134">
        <v>7014</v>
      </c>
      <c r="T134">
        <v>7206</v>
      </c>
    </row>
    <row r="135" spans="1:20" x14ac:dyDescent="0.35">
      <c r="A135" s="7" t="s">
        <v>224</v>
      </c>
      <c r="B135" s="12" t="s">
        <v>225</v>
      </c>
      <c r="C135">
        <v>33457163.860096153</v>
      </c>
      <c r="D135">
        <v>33417410.127418641</v>
      </c>
      <c r="E135">
        <v>5405.4054054050002</v>
      </c>
      <c r="F135">
        <v>13513.513513514001</v>
      </c>
      <c r="G135">
        <v>3</v>
      </c>
      <c r="H135">
        <v>2</v>
      </c>
      <c r="K135">
        <v>3</v>
      </c>
      <c r="L135">
        <v>2</v>
      </c>
      <c r="M135">
        <v>5405.4054054050002</v>
      </c>
      <c r="N135">
        <v>413513.51351351402</v>
      </c>
      <c r="O135">
        <v>8556378.3783783782</v>
      </c>
      <c r="P135">
        <v>8338180.1801801799</v>
      </c>
      <c r="Q135">
        <v>837567.56756756804</v>
      </c>
      <c r="R135">
        <v>933063.06306306296</v>
      </c>
      <c r="S135">
        <v>784</v>
      </c>
      <c r="T135">
        <v>805</v>
      </c>
    </row>
    <row r="136" spans="1:20" x14ac:dyDescent="0.35">
      <c r="A136" s="7" t="s">
        <v>226</v>
      </c>
      <c r="B136" s="12" t="s">
        <v>144</v>
      </c>
      <c r="C136">
        <v>309378693.34333134</v>
      </c>
      <c r="D136">
        <v>323564857.34021991</v>
      </c>
      <c r="E136">
        <v>3664864.8648648681</v>
      </c>
      <c r="F136">
        <v>1558558.558558566</v>
      </c>
      <c r="G136">
        <v>95</v>
      </c>
      <c r="H136">
        <v>26</v>
      </c>
      <c r="K136">
        <v>103</v>
      </c>
      <c r="L136">
        <v>35</v>
      </c>
      <c r="M136">
        <v>20398198.198198199</v>
      </c>
      <c r="N136">
        <v>21243243.243243244</v>
      </c>
      <c r="O136">
        <v>39688014.864864863</v>
      </c>
      <c r="P136">
        <v>47158702.702702701</v>
      </c>
      <c r="Q136">
        <v>12438198.198198197</v>
      </c>
      <c r="R136">
        <v>14826036.036036037</v>
      </c>
      <c r="S136">
        <v>5894</v>
      </c>
      <c r="T136">
        <v>5912</v>
      </c>
    </row>
    <row r="137" spans="1:20" x14ac:dyDescent="0.35">
      <c r="A137" s="7" t="s">
        <v>227</v>
      </c>
      <c r="B137" s="12" t="s">
        <v>225</v>
      </c>
      <c r="C137">
        <v>35890622.138872236</v>
      </c>
      <c r="D137">
        <v>35837501.502105065</v>
      </c>
      <c r="E137">
        <v>121621.62162162201</v>
      </c>
      <c r="F137">
        <v>117117.117117117</v>
      </c>
      <c r="G137">
        <v>13</v>
      </c>
      <c r="H137">
        <v>9</v>
      </c>
      <c r="K137">
        <v>15</v>
      </c>
      <c r="L137">
        <v>9</v>
      </c>
      <c r="M137">
        <v>4954054.0540540544</v>
      </c>
      <c r="N137">
        <v>10424774.774774777</v>
      </c>
      <c r="O137">
        <v>9798545.0450450443</v>
      </c>
      <c r="P137">
        <v>8141423.4234234234</v>
      </c>
      <c r="Q137">
        <v>4334144.1441441439</v>
      </c>
      <c r="R137">
        <v>8807657.6576576587</v>
      </c>
      <c r="S137">
        <v>764</v>
      </c>
      <c r="T137">
        <v>799</v>
      </c>
    </row>
    <row r="138" spans="1:20" x14ac:dyDescent="0.35">
      <c r="A138" s="7" t="s">
        <v>228</v>
      </c>
      <c r="B138" s="12" t="s">
        <v>79</v>
      </c>
      <c r="C138">
        <v>292336703.11944628</v>
      </c>
      <c r="D138">
        <v>310650892.50579596</v>
      </c>
      <c r="E138">
        <v>3316216.2162162168</v>
      </c>
      <c r="F138">
        <v>2763063.063063066</v>
      </c>
      <c r="G138">
        <v>59</v>
      </c>
      <c r="H138">
        <v>28</v>
      </c>
      <c r="K138">
        <v>67</v>
      </c>
      <c r="L138">
        <v>36</v>
      </c>
      <c r="M138">
        <v>27543603.603603605</v>
      </c>
      <c r="N138">
        <v>29293963.963963963</v>
      </c>
      <c r="O138">
        <v>117921927.92792794</v>
      </c>
      <c r="P138">
        <v>126760207.2072072</v>
      </c>
      <c r="Q138">
        <v>25393963.963963963</v>
      </c>
      <c r="R138">
        <v>25180673.873873871</v>
      </c>
      <c r="S138">
        <v>4957</v>
      </c>
      <c r="T138">
        <v>4976</v>
      </c>
    </row>
    <row r="139" spans="1:20" x14ac:dyDescent="0.35">
      <c r="A139" s="7" t="s">
        <v>229</v>
      </c>
      <c r="B139" s="12" t="s">
        <v>137</v>
      </c>
      <c r="C139">
        <v>386829826.90695226</v>
      </c>
      <c r="D139">
        <v>409862934.67950821</v>
      </c>
      <c r="E139">
        <v>2903153.1531531569</v>
      </c>
      <c r="F139">
        <v>2759459.459459465</v>
      </c>
      <c r="G139">
        <v>99</v>
      </c>
      <c r="H139">
        <v>68</v>
      </c>
      <c r="I139">
        <v>1</v>
      </c>
      <c r="K139">
        <v>114</v>
      </c>
      <c r="L139">
        <v>80</v>
      </c>
      <c r="M139">
        <v>45233333.333333328</v>
      </c>
      <c r="N139">
        <v>62198198.198198199</v>
      </c>
      <c r="O139">
        <v>90862009.009009004</v>
      </c>
      <c r="P139">
        <v>99177645.045045033</v>
      </c>
      <c r="Q139">
        <v>36940180.180180177</v>
      </c>
      <c r="R139">
        <v>56096396.396396391</v>
      </c>
      <c r="S139">
        <v>7534</v>
      </c>
      <c r="T139">
        <v>7275</v>
      </c>
    </row>
    <row r="140" spans="1:20" x14ac:dyDescent="0.35">
      <c r="A140" s="7" t="s">
        <v>230</v>
      </c>
      <c r="B140" s="12" t="s">
        <v>79</v>
      </c>
      <c r="C140">
        <v>109966063.08601767</v>
      </c>
      <c r="D140">
        <v>120975754.00001876</v>
      </c>
      <c r="E140">
        <v>4036486.4864864862</v>
      </c>
      <c r="F140">
        <v>5287837.8378378376</v>
      </c>
      <c r="G140">
        <v>45</v>
      </c>
      <c r="H140">
        <v>31</v>
      </c>
      <c r="I140">
        <v>2</v>
      </c>
      <c r="K140">
        <v>48</v>
      </c>
      <c r="L140">
        <v>40</v>
      </c>
      <c r="M140">
        <v>23048648.648648649</v>
      </c>
      <c r="N140">
        <v>28197747.747747749</v>
      </c>
      <c r="O140">
        <v>53698809.009009011</v>
      </c>
      <c r="P140">
        <v>58937016.216216214</v>
      </c>
      <c r="Q140">
        <v>23619142.342342343</v>
      </c>
      <c r="R140">
        <v>23996439.639639638</v>
      </c>
      <c r="S140">
        <v>2481</v>
      </c>
      <c r="T140">
        <v>2647</v>
      </c>
    </row>
    <row r="141" spans="1:20" x14ac:dyDescent="0.35">
      <c r="A141" s="7" t="s">
        <v>231</v>
      </c>
      <c r="B141" s="12" t="s">
        <v>55</v>
      </c>
      <c r="C141">
        <v>318344290.39258683</v>
      </c>
      <c r="D141">
        <v>323886587.18127829</v>
      </c>
      <c r="E141">
        <v>982882.88288288296</v>
      </c>
      <c r="F141">
        <v>616216.21621621598</v>
      </c>
      <c r="G141">
        <v>32</v>
      </c>
      <c r="H141">
        <v>48</v>
      </c>
      <c r="K141">
        <v>34</v>
      </c>
      <c r="L141">
        <v>57</v>
      </c>
      <c r="M141">
        <v>22565765.765765768</v>
      </c>
      <c r="N141">
        <v>19823423.423423424</v>
      </c>
      <c r="O141">
        <v>78905590.990990996</v>
      </c>
      <c r="P141">
        <v>82499801.801801801</v>
      </c>
      <c r="Q141">
        <v>25701621.621621624</v>
      </c>
      <c r="R141">
        <v>12524234.234234236</v>
      </c>
      <c r="S141">
        <v>6954</v>
      </c>
      <c r="T141">
        <v>6971</v>
      </c>
    </row>
    <row r="142" spans="1:20" x14ac:dyDescent="0.35">
      <c r="A142" s="7" t="s">
        <v>232</v>
      </c>
      <c r="B142" s="12" t="s">
        <v>79</v>
      </c>
      <c r="C142">
        <v>122131021.57356048</v>
      </c>
      <c r="D142">
        <v>124683972.73077723</v>
      </c>
      <c r="E142">
        <v>3041441.4414414428</v>
      </c>
      <c r="F142">
        <v>6413513.5135135176</v>
      </c>
      <c r="G142">
        <v>59</v>
      </c>
      <c r="H142">
        <v>43</v>
      </c>
      <c r="I142">
        <v>1</v>
      </c>
      <c r="K142">
        <v>74</v>
      </c>
      <c r="L142">
        <v>56</v>
      </c>
      <c r="M142">
        <v>28921621.62162162</v>
      </c>
      <c r="N142">
        <v>37562162.162162162</v>
      </c>
      <c r="O142">
        <v>58375144.144144148</v>
      </c>
      <c r="P142">
        <v>58556783.783783786</v>
      </c>
      <c r="Q142">
        <v>29628738.738738734</v>
      </c>
      <c r="R142">
        <v>36139639.639639638</v>
      </c>
      <c r="S142">
        <v>4109</v>
      </c>
      <c r="T142">
        <v>4054</v>
      </c>
    </row>
    <row r="143" spans="1:20" x14ac:dyDescent="0.35">
      <c r="A143" s="7" t="s">
        <v>233</v>
      </c>
      <c r="B143" s="12" t="s">
        <v>61</v>
      </c>
      <c r="C143">
        <v>110557127.03668694</v>
      </c>
      <c r="D143">
        <v>110610579.34235153</v>
      </c>
      <c r="G143">
        <v>34</v>
      </c>
      <c r="H143">
        <v>2</v>
      </c>
      <c r="K143">
        <v>36</v>
      </c>
      <c r="L143">
        <v>4</v>
      </c>
      <c r="O143">
        <v>46530270.270270273</v>
      </c>
      <c r="P143">
        <v>47220297.297297299</v>
      </c>
      <c r="S143">
        <v>2107</v>
      </c>
      <c r="T143">
        <v>1959</v>
      </c>
    </row>
    <row r="144" spans="1:20" x14ac:dyDescent="0.35">
      <c r="A144" s="7" t="s">
        <v>234</v>
      </c>
      <c r="B144" s="12" t="s">
        <v>55</v>
      </c>
      <c r="C144">
        <v>53582992.633053117</v>
      </c>
      <c r="D144">
        <v>52248732.059959412</v>
      </c>
      <c r="E144">
        <v>98198.198198198996</v>
      </c>
      <c r="F144">
        <v>1842342.342342342</v>
      </c>
      <c r="G144">
        <v>39</v>
      </c>
      <c r="H144">
        <v>6</v>
      </c>
      <c r="K144">
        <v>61</v>
      </c>
      <c r="L144">
        <v>6</v>
      </c>
      <c r="M144">
        <v>2336306.3063063058</v>
      </c>
      <c r="N144">
        <v>6118378.3783783792</v>
      </c>
      <c r="O144">
        <v>11807918.918918921</v>
      </c>
      <c r="P144">
        <v>12730909.90990991</v>
      </c>
      <c r="Q144">
        <v>2508198.1981981979</v>
      </c>
      <c r="R144">
        <v>4935585.5855855849</v>
      </c>
      <c r="S144">
        <v>2260</v>
      </c>
      <c r="T144">
        <v>1031</v>
      </c>
    </row>
    <row r="145" spans="1:20" x14ac:dyDescent="0.35">
      <c r="A145" s="7" t="s">
        <v>235</v>
      </c>
      <c r="B145" s="12" t="s">
        <v>168</v>
      </c>
      <c r="C145">
        <v>247289847.90175331</v>
      </c>
      <c r="D145">
        <v>237953039.14295003</v>
      </c>
      <c r="E145">
        <v>391891.89189189201</v>
      </c>
      <c r="F145">
        <v>2053153.153153151</v>
      </c>
      <c r="G145">
        <v>15</v>
      </c>
      <c r="H145">
        <v>20</v>
      </c>
      <c r="K145">
        <v>18</v>
      </c>
      <c r="L145">
        <v>26</v>
      </c>
      <c r="M145">
        <v>26552600.900900904</v>
      </c>
      <c r="N145">
        <v>41730630.630630635</v>
      </c>
      <c r="O145">
        <v>68880518.018018022</v>
      </c>
      <c r="P145">
        <v>83156423.423423424</v>
      </c>
      <c r="Q145">
        <v>12641891.891891891</v>
      </c>
      <c r="R145">
        <v>22134954.954954952</v>
      </c>
      <c r="S145">
        <v>5107</v>
      </c>
      <c r="T145">
        <v>5208</v>
      </c>
    </row>
    <row r="146" spans="1:20" x14ac:dyDescent="0.35">
      <c r="A146" s="7" t="s">
        <v>236</v>
      </c>
      <c r="B146" s="12" t="s">
        <v>237</v>
      </c>
      <c r="C146">
        <v>186.29900494899999</v>
      </c>
      <c r="D146">
        <v>1098.7034319300001</v>
      </c>
      <c r="O146">
        <v>4504.5045045050001</v>
      </c>
      <c r="T146">
        <v>40</v>
      </c>
    </row>
    <row r="147" spans="1:20" x14ac:dyDescent="0.35">
      <c r="A147" s="7" t="s">
        <v>238</v>
      </c>
      <c r="B147" s="12" t="s">
        <v>106</v>
      </c>
      <c r="C147">
        <v>145631797.65016502</v>
      </c>
      <c r="D147">
        <v>146953061.92602453</v>
      </c>
      <c r="E147">
        <v>854954.95495495398</v>
      </c>
      <c r="F147">
        <v>443243.24324324599</v>
      </c>
      <c r="G147">
        <v>21</v>
      </c>
      <c r="H147">
        <v>17</v>
      </c>
      <c r="K147">
        <v>22</v>
      </c>
      <c r="L147">
        <v>20</v>
      </c>
      <c r="M147">
        <v>21854414.414414417</v>
      </c>
      <c r="N147">
        <v>20728828.828828827</v>
      </c>
      <c r="O147">
        <v>42882009.009009011</v>
      </c>
      <c r="P147">
        <v>46866126.126126125</v>
      </c>
      <c r="Q147">
        <v>22746846.846846849</v>
      </c>
      <c r="R147">
        <v>18090450.45045045</v>
      </c>
      <c r="S147">
        <v>2023</v>
      </c>
      <c r="T147">
        <v>1910</v>
      </c>
    </row>
    <row r="148" spans="1:20" x14ac:dyDescent="0.35">
      <c r="A148" s="7" t="s">
        <v>3</v>
      </c>
      <c r="B148" s="12" t="s">
        <v>159</v>
      </c>
      <c r="C148">
        <v>300274856.29779375</v>
      </c>
      <c r="D148">
        <v>268795090.81363374</v>
      </c>
      <c r="E148">
        <v>4426126.1261261282</v>
      </c>
      <c r="F148">
        <v>1772072.0720720729</v>
      </c>
      <c r="G148">
        <v>49</v>
      </c>
      <c r="H148">
        <v>49</v>
      </c>
      <c r="K148">
        <v>53</v>
      </c>
      <c r="L148">
        <v>53</v>
      </c>
      <c r="M148">
        <v>61963963.963963971</v>
      </c>
      <c r="N148">
        <v>84705855.855855852</v>
      </c>
      <c r="O148">
        <v>84267099.0990991</v>
      </c>
      <c r="P148">
        <v>77431162.162162155</v>
      </c>
      <c r="Q148">
        <v>57044324.324324317</v>
      </c>
      <c r="R148">
        <v>80687747.747747749</v>
      </c>
      <c r="S148">
        <v>3727</v>
      </c>
      <c r="T148">
        <v>3501</v>
      </c>
    </row>
    <row r="149" spans="1:20" x14ac:dyDescent="0.35">
      <c r="A149" s="7" t="s">
        <v>239</v>
      </c>
      <c r="B149" s="12" t="s">
        <v>179</v>
      </c>
      <c r="C149">
        <v>231005534.93381241</v>
      </c>
      <c r="D149">
        <v>245655899.9293634</v>
      </c>
      <c r="E149">
        <v>525225.22522522602</v>
      </c>
      <c r="F149">
        <v>5062162.1621621633</v>
      </c>
      <c r="G149">
        <v>45</v>
      </c>
      <c r="H149">
        <v>49</v>
      </c>
      <c r="K149">
        <v>56</v>
      </c>
      <c r="L149">
        <v>61</v>
      </c>
      <c r="M149">
        <v>32845045.045045044</v>
      </c>
      <c r="N149">
        <v>41804504.504504502</v>
      </c>
      <c r="O149">
        <v>73595207.207207203</v>
      </c>
      <c r="P149">
        <v>80298855.855855852</v>
      </c>
      <c r="Q149">
        <v>27888558.558558561</v>
      </c>
      <c r="R149">
        <v>38581621.621621624</v>
      </c>
      <c r="S149">
        <v>5277</v>
      </c>
      <c r="T149">
        <v>5147</v>
      </c>
    </row>
    <row r="150" spans="1:20" x14ac:dyDescent="0.35">
      <c r="A150" s="7" t="s">
        <v>240</v>
      </c>
      <c r="B150" s="12" t="s">
        <v>55</v>
      </c>
      <c r="C150">
        <v>165095422.07055092</v>
      </c>
      <c r="D150">
        <v>175140828.88418472</v>
      </c>
      <c r="E150">
        <v>3576576.576576577</v>
      </c>
      <c r="F150">
        <v>1662162.1621621631</v>
      </c>
      <c r="G150">
        <v>27</v>
      </c>
      <c r="H150">
        <v>50</v>
      </c>
      <c r="K150">
        <v>30</v>
      </c>
      <c r="L150">
        <v>70</v>
      </c>
      <c r="M150">
        <v>22189549.54954955</v>
      </c>
      <c r="N150">
        <v>23101711.711711712</v>
      </c>
      <c r="O150">
        <v>46406509.909909911</v>
      </c>
      <c r="P150">
        <v>52560102.702702701</v>
      </c>
      <c r="Q150">
        <v>19463780.180180181</v>
      </c>
      <c r="R150">
        <v>22707027.027027026</v>
      </c>
      <c r="S150">
        <v>3525</v>
      </c>
      <c r="T150">
        <v>3495</v>
      </c>
    </row>
    <row r="151" spans="1:20" x14ac:dyDescent="0.35">
      <c r="A151" s="7" t="s">
        <v>241</v>
      </c>
      <c r="B151" s="12" t="s">
        <v>242</v>
      </c>
      <c r="C151">
        <v>142418893.59090587</v>
      </c>
      <c r="D151">
        <v>136575940.61286348</v>
      </c>
      <c r="E151">
        <v>997297.29729729902</v>
      </c>
      <c r="F151">
        <v>1720270.270270271</v>
      </c>
      <c r="G151">
        <v>61</v>
      </c>
      <c r="H151">
        <v>43</v>
      </c>
      <c r="K151">
        <v>66</v>
      </c>
      <c r="L151">
        <v>48</v>
      </c>
      <c r="M151">
        <v>28568648.648648653</v>
      </c>
      <c r="N151">
        <v>21300630.630630627</v>
      </c>
      <c r="O151">
        <v>33393061.261261266</v>
      </c>
      <c r="P151">
        <v>36395702.702702701</v>
      </c>
      <c r="Q151">
        <v>17488288.288288292</v>
      </c>
      <c r="R151">
        <v>18299189.189189188</v>
      </c>
      <c r="S151">
        <v>2914</v>
      </c>
      <c r="T151">
        <v>5380</v>
      </c>
    </row>
    <row r="152" spans="1:20" x14ac:dyDescent="0.35">
      <c r="A152" s="7" t="s">
        <v>243</v>
      </c>
      <c r="B152" s="12" t="s">
        <v>242</v>
      </c>
      <c r="C152">
        <v>372018580.29228002</v>
      </c>
      <c r="D152">
        <v>327992993.15741289</v>
      </c>
      <c r="E152">
        <v>4093693.6936936961</v>
      </c>
      <c r="F152">
        <v>7606756.7567567592</v>
      </c>
      <c r="G152">
        <v>146</v>
      </c>
      <c r="H152">
        <v>120</v>
      </c>
      <c r="K152">
        <v>165</v>
      </c>
      <c r="L152">
        <v>135</v>
      </c>
      <c r="M152">
        <v>95906846.846846849</v>
      </c>
      <c r="N152">
        <v>117076216.21621622</v>
      </c>
      <c r="O152">
        <v>110034378.37837839</v>
      </c>
      <c r="P152">
        <v>107198162.16216215</v>
      </c>
      <c r="Q152">
        <v>87552972.972972974</v>
      </c>
      <c r="R152">
        <v>108328828.82882883</v>
      </c>
      <c r="S152">
        <v>7527</v>
      </c>
      <c r="T152">
        <v>6916</v>
      </c>
    </row>
    <row r="153" spans="1:20" x14ac:dyDescent="0.35">
      <c r="A153" s="7" t="s">
        <v>244</v>
      </c>
      <c r="B153" s="12" t="s">
        <v>51</v>
      </c>
      <c r="C153">
        <v>64849795.8921469</v>
      </c>
      <c r="D153">
        <v>59242091.912084155</v>
      </c>
      <c r="E153">
        <v>2869369.3693693699</v>
      </c>
      <c r="F153">
        <v>2277477.4774774788</v>
      </c>
      <c r="G153">
        <v>13</v>
      </c>
      <c r="H153">
        <v>9</v>
      </c>
      <c r="K153">
        <v>13</v>
      </c>
      <c r="L153">
        <v>10</v>
      </c>
      <c r="M153">
        <v>12853513.513513517</v>
      </c>
      <c r="N153">
        <v>5546171.1711711697</v>
      </c>
      <c r="O153">
        <v>21182801.801801801</v>
      </c>
      <c r="P153">
        <v>20837450.450450446</v>
      </c>
      <c r="Q153">
        <v>11331351.351351352</v>
      </c>
      <c r="R153">
        <v>4336351.3513513533</v>
      </c>
      <c r="S153">
        <v>1221</v>
      </c>
      <c r="T153">
        <v>1028</v>
      </c>
    </row>
    <row r="154" spans="1:20" x14ac:dyDescent="0.35">
      <c r="A154" s="7" t="s">
        <v>245</v>
      </c>
      <c r="B154" s="12" t="s">
        <v>182</v>
      </c>
      <c r="C154">
        <v>2004557400.0638864</v>
      </c>
      <c r="D154">
        <v>1923277951.384021</v>
      </c>
      <c r="E154">
        <v>227274540.54054055</v>
      </c>
      <c r="F154">
        <v>192069806.3063063</v>
      </c>
      <c r="G154">
        <v>858</v>
      </c>
      <c r="H154">
        <v>783</v>
      </c>
      <c r="I154">
        <v>15</v>
      </c>
      <c r="K154">
        <v>1351</v>
      </c>
      <c r="L154">
        <v>991</v>
      </c>
      <c r="M154">
        <v>284031981.98198199</v>
      </c>
      <c r="N154">
        <v>513902042.34234232</v>
      </c>
      <c r="O154">
        <v>441183498.1981982</v>
      </c>
      <c r="P154">
        <v>448285295.4954955</v>
      </c>
      <c r="Q154">
        <v>277345945.94594598</v>
      </c>
      <c r="R154">
        <v>501099864.86486483</v>
      </c>
      <c r="S154">
        <v>50997</v>
      </c>
      <c r="T154">
        <v>40880</v>
      </c>
    </row>
    <row r="155" spans="1:20" x14ac:dyDescent="0.35">
      <c r="A155" s="7" t="s">
        <v>246</v>
      </c>
      <c r="B155" s="12" t="s">
        <v>49</v>
      </c>
      <c r="C155">
        <v>87481418.574605465</v>
      </c>
      <c r="D155">
        <v>90563852.500926375</v>
      </c>
      <c r="E155">
        <v>170698336.03603604</v>
      </c>
      <c r="F155">
        <v>102666035.13513513</v>
      </c>
      <c r="G155">
        <v>5</v>
      </c>
      <c r="H155">
        <v>6</v>
      </c>
      <c r="K155">
        <v>9</v>
      </c>
      <c r="L155">
        <v>7</v>
      </c>
      <c r="M155">
        <v>34270321.621621624</v>
      </c>
      <c r="N155">
        <v>24957847.747747749</v>
      </c>
      <c r="O155">
        <v>20696189.189189188</v>
      </c>
      <c r="P155">
        <v>24856684.684684683</v>
      </c>
      <c r="Q155">
        <v>22524144.144144144</v>
      </c>
      <c r="R155">
        <v>8699549.5495495498</v>
      </c>
      <c r="S155">
        <v>2002</v>
      </c>
      <c r="T155">
        <v>1806</v>
      </c>
    </row>
    <row r="156" spans="1:20" x14ac:dyDescent="0.35">
      <c r="A156" s="7" t="s">
        <v>247</v>
      </c>
      <c r="B156" s="12" t="s">
        <v>95</v>
      </c>
      <c r="C156">
        <v>26021534.703879748</v>
      </c>
      <c r="D156">
        <v>22650499.056021333</v>
      </c>
      <c r="G156">
        <v>4</v>
      </c>
      <c r="K156">
        <v>5</v>
      </c>
      <c r="O156">
        <v>5206279.2792792786</v>
      </c>
      <c r="P156">
        <v>4611603.6036036042</v>
      </c>
      <c r="S156">
        <v>710</v>
      </c>
      <c r="T156">
        <v>684</v>
      </c>
    </row>
    <row r="157" spans="1:20" x14ac:dyDescent="0.35">
      <c r="A157" s="7" t="s">
        <v>248</v>
      </c>
      <c r="B157" s="12" t="s">
        <v>118</v>
      </c>
      <c r="C157">
        <v>82622375.431975469</v>
      </c>
      <c r="D157">
        <v>76373360.731018737</v>
      </c>
      <c r="E157">
        <v>1688095.4954954961</v>
      </c>
      <c r="F157">
        <v>2423353.1531531541</v>
      </c>
      <c r="G157">
        <v>11</v>
      </c>
      <c r="H157">
        <v>16</v>
      </c>
      <c r="K157">
        <v>13</v>
      </c>
      <c r="L157">
        <v>20</v>
      </c>
      <c r="M157">
        <v>10306486.486486487</v>
      </c>
      <c r="N157">
        <v>107596346.84684685</v>
      </c>
      <c r="O157">
        <v>39652270.270270273</v>
      </c>
      <c r="P157">
        <v>39686468.468468465</v>
      </c>
      <c r="Q157">
        <v>12001531.531531531</v>
      </c>
      <c r="R157">
        <v>11424054.054054052</v>
      </c>
      <c r="S157">
        <v>1788</v>
      </c>
      <c r="T157">
        <v>1728</v>
      </c>
    </row>
    <row r="158" spans="1:20" x14ac:dyDescent="0.35">
      <c r="A158" s="7" t="s">
        <v>249</v>
      </c>
      <c r="B158" s="12" t="s">
        <v>122</v>
      </c>
      <c r="C158">
        <v>135103628.49057671</v>
      </c>
      <c r="D158">
        <v>121526606.09840783</v>
      </c>
      <c r="E158">
        <v>850450.450450451</v>
      </c>
      <c r="F158">
        <v>247747.747747752</v>
      </c>
      <c r="G158">
        <v>82</v>
      </c>
      <c r="H158">
        <v>75</v>
      </c>
      <c r="K158">
        <v>89</v>
      </c>
      <c r="L158">
        <v>81</v>
      </c>
      <c r="M158">
        <v>6761261.2612612611</v>
      </c>
      <c r="N158">
        <v>7886036.0360360378</v>
      </c>
      <c r="O158">
        <v>15942396.396396397</v>
      </c>
      <c r="P158">
        <v>13725144.144144144</v>
      </c>
      <c r="Q158">
        <v>4828198.1981981974</v>
      </c>
      <c r="R158">
        <v>5418468.4684684658</v>
      </c>
      <c r="S158">
        <v>2434</v>
      </c>
      <c r="T158">
        <v>2330</v>
      </c>
    </row>
    <row r="159" spans="1:20" x14ac:dyDescent="0.35">
      <c r="A159" s="7" t="s">
        <v>250</v>
      </c>
      <c r="B159" s="12" t="s">
        <v>77</v>
      </c>
      <c r="C159">
        <v>57927128.312933274</v>
      </c>
      <c r="D159">
        <v>55895868.685885467</v>
      </c>
      <c r="G159">
        <v>5</v>
      </c>
      <c r="K159">
        <v>6</v>
      </c>
      <c r="O159">
        <v>5751081.0810810812</v>
      </c>
      <c r="P159">
        <v>6668900.9009009013</v>
      </c>
      <c r="S159">
        <v>1673</v>
      </c>
      <c r="T159">
        <v>1770</v>
      </c>
    </row>
    <row r="160" spans="1:20" x14ac:dyDescent="0.35">
      <c r="A160" s="7" t="s">
        <v>251</v>
      </c>
      <c r="B160" s="12" t="s">
        <v>168</v>
      </c>
      <c r="C160">
        <v>189120782.46471304</v>
      </c>
      <c r="D160">
        <v>192860924.36957407</v>
      </c>
      <c r="F160">
        <v>900900.90090090001</v>
      </c>
      <c r="G160">
        <v>14</v>
      </c>
      <c r="H160">
        <v>8</v>
      </c>
      <c r="K160">
        <v>14</v>
      </c>
      <c r="L160">
        <v>10</v>
      </c>
      <c r="M160">
        <v>3909909.9099099059</v>
      </c>
      <c r="N160">
        <v>9091441.4414414391</v>
      </c>
      <c r="O160">
        <v>35733243.243243247</v>
      </c>
      <c r="P160">
        <v>49900270.270270273</v>
      </c>
      <c r="Q160">
        <v>2901081.0810810779</v>
      </c>
      <c r="R160">
        <v>5387747.7477477482</v>
      </c>
      <c r="S160">
        <v>3608</v>
      </c>
      <c r="T160">
        <v>3688</v>
      </c>
    </row>
    <row r="161" spans="1:20" x14ac:dyDescent="0.35">
      <c r="A161" s="7" t="s">
        <v>252</v>
      </c>
      <c r="B161" s="12" t="s">
        <v>90</v>
      </c>
      <c r="C161">
        <v>555924442.60577154</v>
      </c>
      <c r="D161">
        <v>573992280.03682983</v>
      </c>
      <c r="E161">
        <v>3469819.8198198238</v>
      </c>
      <c r="F161">
        <v>4744144.1441441542</v>
      </c>
      <c r="G161">
        <v>102</v>
      </c>
      <c r="H161">
        <v>46</v>
      </c>
      <c r="I161">
        <v>1</v>
      </c>
      <c r="K161">
        <v>112</v>
      </c>
      <c r="L161">
        <v>64</v>
      </c>
      <c r="M161">
        <v>43425855.855855852</v>
      </c>
      <c r="N161">
        <v>50112612.612612613</v>
      </c>
      <c r="O161">
        <v>137471756.75675675</v>
      </c>
      <c r="P161">
        <v>152217135.13513514</v>
      </c>
      <c r="Q161">
        <v>41284234.234234229</v>
      </c>
      <c r="R161">
        <v>48445585.585585587</v>
      </c>
      <c r="S161">
        <v>10248</v>
      </c>
      <c r="T161">
        <v>9665</v>
      </c>
    </row>
    <row r="162" spans="1:20" x14ac:dyDescent="0.35">
      <c r="A162" s="7" t="s">
        <v>253</v>
      </c>
      <c r="B162" s="12" t="s">
        <v>79</v>
      </c>
      <c r="C162">
        <v>163933842.86108816</v>
      </c>
      <c r="D162">
        <v>167701156.91698298</v>
      </c>
      <c r="E162">
        <v>2656756.7567567602</v>
      </c>
      <c r="F162">
        <v>1754054.0540540591</v>
      </c>
      <c r="G162">
        <v>26</v>
      </c>
      <c r="H162">
        <v>12</v>
      </c>
      <c r="K162">
        <v>28</v>
      </c>
      <c r="L162">
        <v>13</v>
      </c>
      <c r="M162">
        <v>34176216.216216214</v>
      </c>
      <c r="N162">
        <v>29894234.234234236</v>
      </c>
      <c r="O162">
        <v>46815630.630630635</v>
      </c>
      <c r="P162">
        <v>48048270.270270273</v>
      </c>
      <c r="Q162">
        <v>31034774.774774775</v>
      </c>
      <c r="R162">
        <v>27691261.261261266</v>
      </c>
      <c r="S162">
        <v>3837</v>
      </c>
      <c r="T162">
        <v>2797</v>
      </c>
    </row>
    <row r="163" spans="1:20" x14ac:dyDescent="0.35">
      <c r="A163" s="7" t="s">
        <v>254</v>
      </c>
      <c r="B163" s="12" t="s">
        <v>106</v>
      </c>
      <c r="C163">
        <v>321817698.62622732</v>
      </c>
      <c r="D163">
        <v>335963607.86487097</v>
      </c>
      <c r="E163">
        <v>171963094.5945946</v>
      </c>
      <c r="F163">
        <v>142344259.45945948</v>
      </c>
      <c r="G163">
        <v>139</v>
      </c>
      <c r="H163">
        <v>82</v>
      </c>
      <c r="I163">
        <v>1</v>
      </c>
      <c r="K163">
        <v>188</v>
      </c>
      <c r="L163">
        <v>102</v>
      </c>
      <c r="M163">
        <v>47288468.468468472</v>
      </c>
      <c r="N163">
        <v>162341126.12612614</v>
      </c>
      <c r="O163">
        <v>93803405.405405402</v>
      </c>
      <c r="P163">
        <v>100904693.6936937</v>
      </c>
      <c r="Q163">
        <v>47211261.261261255</v>
      </c>
      <c r="R163">
        <v>161105810.8108108</v>
      </c>
      <c r="S163">
        <v>5482</v>
      </c>
      <c r="T163">
        <v>5337</v>
      </c>
    </row>
    <row r="164" spans="1:20" x14ac:dyDescent="0.35">
      <c r="A164" s="7" t="s">
        <v>255</v>
      </c>
      <c r="B164" s="12" t="s">
        <v>106</v>
      </c>
      <c r="C164">
        <v>212955916.31669858</v>
      </c>
      <c r="D164">
        <v>198309791.83965451</v>
      </c>
      <c r="E164">
        <v>2209909.9099099119</v>
      </c>
      <c r="F164">
        <v>1680180.1801801811</v>
      </c>
      <c r="G164">
        <v>26</v>
      </c>
      <c r="H164">
        <v>34</v>
      </c>
      <c r="I164">
        <v>1</v>
      </c>
      <c r="K164">
        <v>31</v>
      </c>
      <c r="L164">
        <v>36</v>
      </c>
      <c r="M164">
        <v>15680540.540540541</v>
      </c>
      <c r="N164">
        <v>24016666.666666664</v>
      </c>
      <c r="O164">
        <v>66156063.063063063</v>
      </c>
      <c r="P164">
        <v>67780252.252252251</v>
      </c>
      <c r="Q164">
        <v>14758018.018018017</v>
      </c>
      <c r="R164">
        <v>20739909.909909911</v>
      </c>
      <c r="S164">
        <v>3992</v>
      </c>
      <c r="T164">
        <v>3660</v>
      </c>
    </row>
    <row r="165" spans="1:20" x14ac:dyDescent="0.35">
      <c r="A165" s="7" t="s">
        <v>256</v>
      </c>
      <c r="B165" s="12" t="s">
        <v>106</v>
      </c>
      <c r="C165">
        <v>176371135.96724209</v>
      </c>
      <c r="D165">
        <v>191782810.52749243</v>
      </c>
      <c r="E165">
        <v>132432.43243243301</v>
      </c>
      <c r="F165">
        <v>69369.369369370004</v>
      </c>
      <c r="G165">
        <v>32</v>
      </c>
      <c r="H165">
        <v>24</v>
      </c>
      <c r="I165">
        <v>4</v>
      </c>
      <c r="K165">
        <v>33</v>
      </c>
      <c r="L165">
        <v>27</v>
      </c>
      <c r="M165">
        <v>2384684.684684685</v>
      </c>
      <c r="N165">
        <v>2096396.3963963969</v>
      </c>
      <c r="O165">
        <v>37814025.225225225</v>
      </c>
      <c r="P165">
        <v>45333126.126126125</v>
      </c>
      <c r="Q165">
        <v>2338918.9189189188</v>
      </c>
      <c r="R165">
        <v>1904774.7747747749</v>
      </c>
      <c r="S165">
        <v>2298</v>
      </c>
      <c r="T165">
        <v>2136</v>
      </c>
    </row>
    <row r="166" spans="1:20" x14ac:dyDescent="0.35">
      <c r="A166" s="7" t="s">
        <v>257</v>
      </c>
      <c r="B166" s="12" t="s">
        <v>135</v>
      </c>
      <c r="C166">
        <v>272707237.77015537</v>
      </c>
      <c r="D166">
        <v>293174877.25153095</v>
      </c>
      <c r="E166">
        <v>909909.90990991099</v>
      </c>
      <c r="F166">
        <v>711711.71171171195</v>
      </c>
      <c r="G166">
        <v>22</v>
      </c>
      <c r="H166">
        <v>14</v>
      </c>
      <c r="K166">
        <v>23</v>
      </c>
      <c r="L166">
        <v>18</v>
      </c>
      <c r="M166">
        <v>3531531.5315315318</v>
      </c>
      <c r="N166">
        <v>6612612.6126126125</v>
      </c>
      <c r="O166">
        <v>18871558.558558561</v>
      </c>
      <c r="P166">
        <v>29466585.585585583</v>
      </c>
      <c r="Q166">
        <v>4350090.0900900904</v>
      </c>
      <c r="R166">
        <v>5304234.2342342343</v>
      </c>
      <c r="S166">
        <v>4176</v>
      </c>
      <c r="T166">
        <v>4168</v>
      </c>
    </row>
    <row r="167" spans="1:20" x14ac:dyDescent="0.35">
      <c r="A167" s="7" t="s">
        <v>258</v>
      </c>
      <c r="B167" s="12" t="s">
        <v>168</v>
      </c>
      <c r="C167">
        <v>96115741.937387601</v>
      </c>
      <c r="D167">
        <v>109690779.45404382</v>
      </c>
      <c r="E167">
        <v>1184684.684684685</v>
      </c>
      <c r="F167">
        <v>874774.77477477503</v>
      </c>
      <c r="G167">
        <v>25</v>
      </c>
      <c r="H167">
        <v>5</v>
      </c>
      <c r="K167">
        <v>27</v>
      </c>
      <c r="L167">
        <v>7</v>
      </c>
      <c r="M167">
        <v>4388981.0810810812</v>
      </c>
      <c r="N167">
        <v>7893693.6936936956</v>
      </c>
      <c r="O167">
        <v>32263345.045045044</v>
      </c>
      <c r="P167">
        <v>42124198.198198199</v>
      </c>
      <c r="Q167">
        <v>4841261.2612612611</v>
      </c>
      <c r="R167">
        <v>7969369.3693693699</v>
      </c>
      <c r="S167">
        <v>2589</v>
      </c>
      <c r="T167">
        <v>2453</v>
      </c>
    </row>
    <row r="168" spans="1:20" x14ac:dyDescent="0.35">
      <c r="A168" s="7" t="s">
        <v>259</v>
      </c>
      <c r="B168" s="12" t="s">
        <v>61</v>
      </c>
      <c r="C168">
        <v>37757819.215955578</v>
      </c>
      <c r="D168">
        <v>38874797.829101361</v>
      </c>
      <c r="E168">
        <v>293693.69369369402</v>
      </c>
      <c r="F168">
        <v>1260360.36036036</v>
      </c>
      <c r="G168">
        <v>17</v>
      </c>
      <c r="H168">
        <v>12</v>
      </c>
      <c r="I168">
        <v>3</v>
      </c>
      <c r="K168">
        <v>23</v>
      </c>
      <c r="L168">
        <v>22</v>
      </c>
      <c r="M168">
        <v>7581981.9819819815</v>
      </c>
      <c r="N168">
        <v>13242342.342342341</v>
      </c>
      <c r="O168">
        <v>13438180.180180181</v>
      </c>
      <c r="P168">
        <v>14299054.054054054</v>
      </c>
      <c r="Q168">
        <v>7529639.6396396393</v>
      </c>
      <c r="R168">
        <v>9599459.4594594594</v>
      </c>
      <c r="S168">
        <v>707</v>
      </c>
      <c r="T168">
        <v>650</v>
      </c>
    </row>
    <row r="169" spans="1:20" x14ac:dyDescent="0.35">
      <c r="A169" s="7" t="s">
        <v>260</v>
      </c>
      <c r="B169" s="12" t="s">
        <v>261</v>
      </c>
      <c r="C169">
        <v>22875906.265230011</v>
      </c>
      <c r="D169">
        <v>24143118.757691048</v>
      </c>
      <c r="E169">
        <v>13513.513513514001</v>
      </c>
      <c r="F169">
        <v>1090090.0900900899</v>
      </c>
      <c r="G169">
        <v>7</v>
      </c>
      <c r="H169">
        <v>1</v>
      </c>
      <c r="K169">
        <v>11</v>
      </c>
      <c r="L169">
        <v>1</v>
      </c>
      <c r="M169">
        <v>4101351.351351351</v>
      </c>
      <c r="N169">
        <v>2891891.8918918921</v>
      </c>
      <c r="O169">
        <v>4126918.9189189188</v>
      </c>
      <c r="P169">
        <v>5847324.3243243247</v>
      </c>
      <c r="Q169">
        <v>1835855.8558558561</v>
      </c>
      <c r="R169">
        <v>1537927.927927928</v>
      </c>
      <c r="S169">
        <v>567</v>
      </c>
      <c r="T169">
        <v>555</v>
      </c>
    </row>
    <row r="170" spans="1:20" x14ac:dyDescent="0.35">
      <c r="A170" s="7" t="s">
        <v>262</v>
      </c>
      <c r="B170" s="12" t="s">
        <v>61</v>
      </c>
      <c r="C170">
        <v>356177684.41938418</v>
      </c>
      <c r="D170">
        <v>355721320.43618941</v>
      </c>
      <c r="E170">
        <v>236061463.96396396</v>
      </c>
      <c r="F170">
        <v>793895593.69369364</v>
      </c>
      <c r="G170">
        <v>238</v>
      </c>
      <c r="H170">
        <v>219</v>
      </c>
      <c r="I170">
        <v>3</v>
      </c>
      <c r="K170">
        <v>399</v>
      </c>
      <c r="L170">
        <v>345</v>
      </c>
      <c r="M170">
        <v>72491891.891891882</v>
      </c>
      <c r="N170">
        <v>101041936.03603603</v>
      </c>
      <c r="O170">
        <v>131388650.9009009</v>
      </c>
      <c r="P170">
        <v>130777063.06306306</v>
      </c>
      <c r="Q170">
        <v>77080360.360360369</v>
      </c>
      <c r="R170">
        <v>92370180.180180177</v>
      </c>
      <c r="S170">
        <v>7046</v>
      </c>
      <c r="T170">
        <v>6073</v>
      </c>
    </row>
    <row r="171" spans="1:20" x14ac:dyDescent="0.35">
      <c r="A171" s="7" t="s">
        <v>263</v>
      </c>
      <c r="B171" s="12" t="s">
        <v>124</v>
      </c>
      <c r="C171">
        <v>275081694.60764211</v>
      </c>
      <c r="D171">
        <v>259753449.05657125</v>
      </c>
      <c r="E171">
        <v>426126.12612612703</v>
      </c>
      <c r="F171">
        <v>836936.93693693902</v>
      </c>
      <c r="G171">
        <v>79</v>
      </c>
      <c r="H171">
        <v>71</v>
      </c>
      <c r="I171">
        <v>1</v>
      </c>
      <c r="K171">
        <v>98</v>
      </c>
      <c r="L171">
        <v>91</v>
      </c>
      <c r="M171">
        <v>18919639.639639638</v>
      </c>
      <c r="N171">
        <v>22415765.765765768</v>
      </c>
      <c r="O171">
        <v>108832090.0900901</v>
      </c>
      <c r="P171">
        <v>105321790.990991</v>
      </c>
      <c r="Q171">
        <v>16872432.432432432</v>
      </c>
      <c r="R171">
        <v>20771711.711711712</v>
      </c>
      <c r="S171">
        <v>5538</v>
      </c>
      <c r="T171">
        <v>5011</v>
      </c>
    </row>
    <row r="172" spans="1:20" x14ac:dyDescent="0.35">
      <c r="A172" s="7" t="s">
        <v>264</v>
      </c>
      <c r="B172" s="12" t="s">
        <v>124</v>
      </c>
      <c r="C172">
        <v>117010337.97569697</v>
      </c>
      <c r="D172">
        <v>121623966.98384538</v>
      </c>
      <c r="E172">
        <v>2524549.5495495521</v>
      </c>
      <c r="F172">
        <v>3321621.6216216269</v>
      </c>
      <c r="G172">
        <v>69</v>
      </c>
      <c r="H172">
        <v>74</v>
      </c>
      <c r="I172">
        <v>2</v>
      </c>
      <c r="K172">
        <v>267</v>
      </c>
      <c r="L172">
        <v>169</v>
      </c>
      <c r="M172">
        <v>59955405.40540541</v>
      </c>
      <c r="N172">
        <v>30825405.40540541</v>
      </c>
      <c r="O172">
        <v>49037423.423423424</v>
      </c>
      <c r="P172">
        <v>53274387.387387395</v>
      </c>
      <c r="Q172">
        <v>59489369.369369365</v>
      </c>
      <c r="R172">
        <v>28019369.369369369</v>
      </c>
      <c r="S172">
        <v>2825</v>
      </c>
      <c r="T172">
        <v>3194</v>
      </c>
    </row>
    <row r="173" spans="1:20" x14ac:dyDescent="0.35">
      <c r="A173" s="7" t="s">
        <v>265</v>
      </c>
      <c r="B173" s="12" t="s">
        <v>126</v>
      </c>
      <c r="C173">
        <v>297030045.73526067</v>
      </c>
      <c r="D173">
        <v>303487053.86426014</v>
      </c>
      <c r="E173">
        <v>3192342.3423423418</v>
      </c>
      <c r="F173">
        <v>3174324.324324328</v>
      </c>
      <c r="G173">
        <v>84</v>
      </c>
      <c r="H173">
        <v>43</v>
      </c>
      <c r="K173">
        <v>84</v>
      </c>
      <c r="L173">
        <v>46</v>
      </c>
      <c r="M173">
        <v>27606306.306306306</v>
      </c>
      <c r="N173">
        <v>30425675.675675672</v>
      </c>
      <c r="O173">
        <v>107754095.49549548</v>
      </c>
      <c r="P173">
        <v>108186135.13513513</v>
      </c>
      <c r="Q173">
        <v>25675268.468468469</v>
      </c>
      <c r="R173">
        <v>25476216.216216218</v>
      </c>
      <c r="S173">
        <v>4463</v>
      </c>
      <c r="T173">
        <v>4512</v>
      </c>
    </row>
    <row r="174" spans="1:20" x14ac:dyDescent="0.35">
      <c r="A174" s="7" t="s">
        <v>266</v>
      </c>
      <c r="B174" s="12" t="s">
        <v>124</v>
      </c>
      <c r="C174">
        <v>282861177.81420124</v>
      </c>
      <c r="D174">
        <v>277848273.53766787</v>
      </c>
      <c r="E174">
        <v>1894594.594594595</v>
      </c>
      <c r="F174">
        <v>2144594.5945945992</v>
      </c>
      <c r="G174">
        <v>42</v>
      </c>
      <c r="H174">
        <v>44</v>
      </c>
      <c r="I174">
        <v>1</v>
      </c>
      <c r="K174">
        <v>48</v>
      </c>
      <c r="L174">
        <v>50</v>
      </c>
      <c r="M174">
        <v>33277027.02702703</v>
      </c>
      <c r="N174">
        <v>36781171.171171166</v>
      </c>
      <c r="O174">
        <v>99859706.306306303</v>
      </c>
      <c r="P174">
        <v>106216286.48648648</v>
      </c>
      <c r="Q174">
        <v>33403603.603603601</v>
      </c>
      <c r="R174">
        <v>36169189.189189196</v>
      </c>
      <c r="S174">
        <v>4964</v>
      </c>
      <c r="T174">
        <v>1407</v>
      </c>
    </row>
    <row r="175" spans="1:20" x14ac:dyDescent="0.35">
      <c r="A175" s="7" t="s">
        <v>267</v>
      </c>
      <c r="B175" s="12" t="s">
        <v>124</v>
      </c>
      <c r="C175">
        <v>294574452.8818363</v>
      </c>
      <c r="D175">
        <v>300881534.56354243</v>
      </c>
      <c r="E175">
        <v>2865315.3153153169</v>
      </c>
      <c r="F175">
        <v>2947297.2972973022</v>
      </c>
      <c r="G175">
        <v>63</v>
      </c>
      <c r="H175">
        <v>70</v>
      </c>
      <c r="K175">
        <v>68</v>
      </c>
      <c r="L175">
        <v>79</v>
      </c>
      <c r="M175">
        <v>44213423.423423424</v>
      </c>
      <c r="N175">
        <v>39907207.20720721</v>
      </c>
      <c r="O175">
        <v>120439304.50450452</v>
      </c>
      <c r="P175">
        <v>120267178.37837839</v>
      </c>
      <c r="Q175">
        <v>43033243.24324324</v>
      </c>
      <c r="R175">
        <v>37412162.162162162</v>
      </c>
      <c r="S175">
        <v>5749</v>
      </c>
      <c r="T175">
        <v>5550</v>
      </c>
    </row>
    <row r="176" spans="1:20" x14ac:dyDescent="0.35">
      <c r="A176" s="7" t="s">
        <v>268</v>
      </c>
      <c r="B176" s="12" t="s">
        <v>179</v>
      </c>
      <c r="C176">
        <v>1498991341.9787848</v>
      </c>
      <c r="D176">
        <v>1493239886.8281991</v>
      </c>
      <c r="E176">
        <v>989117116.21621621</v>
      </c>
      <c r="F176">
        <v>853440553.15315318</v>
      </c>
      <c r="G176">
        <v>724</v>
      </c>
      <c r="H176">
        <v>521</v>
      </c>
      <c r="I176">
        <v>1</v>
      </c>
      <c r="K176">
        <v>1173</v>
      </c>
      <c r="L176">
        <v>1160</v>
      </c>
      <c r="M176">
        <v>211601735.13513514</v>
      </c>
      <c r="N176">
        <v>450826351.35135138</v>
      </c>
      <c r="O176">
        <v>453684363.06306303</v>
      </c>
      <c r="P176">
        <v>484215491.8918919</v>
      </c>
      <c r="Q176">
        <v>193812342.34234235</v>
      </c>
      <c r="R176">
        <v>227740045.04504505</v>
      </c>
      <c r="S176">
        <v>34602</v>
      </c>
      <c r="T176">
        <v>32722</v>
      </c>
    </row>
    <row r="177" spans="1:20" x14ac:dyDescent="0.35">
      <c r="A177" s="7" t="s">
        <v>269</v>
      </c>
      <c r="B177" s="12" t="s">
        <v>63</v>
      </c>
      <c r="C177">
        <v>243790191.21570027</v>
      </c>
      <c r="D177">
        <v>253486889.62018433</v>
      </c>
      <c r="E177">
        <v>5573873.8738738773</v>
      </c>
      <c r="F177">
        <v>7496036.0360360378</v>
      </c>
      <c r="G177">
        <v>52</v>
      </c>
      <c r="H177">
        <v>178</v>
      </c>
      <c r="K177">
        <v>58</v>
      </c>
      <c r="L177">
        <v>249</v>
      </c>
      <c r="M177">
        <v>76806036.036036029</v>
      </c>
      <c r="N177">
        <v>84332252.252252251</v>
      </c>
      <c r="O177">
        <v>80808108.108108118</v>
      </c>
      <c r="P177">
        <v>92779682.882882878</v>
      </c>
      <c r="Q177">
        <v>67918468.468468457</v>
      </c>
      <c r="R177">
        <v>68754414.414414421</v>
      </c>
      <c r="S177">
        <v>4782</v>
      </c>
      <c r="T177">
        <v>4928</v>
      </c>
    </row>
    <row r="178" spans="1:20" x14ac:dyDescent="0.35">
      <c r="A178" s="7" t="s">
        <v>270</v>
      </c>
      <c r="B178" s="12" t="s">
        <v>71</v>
      </c>
      <c r="C178">
        <v>314410364.09497058</v>
      </c>
      <c r="D178">
        <v>304534764.74282551</v>
      </c>
      <c r="E178">
        <v>155811964.86486486</v>
      </c>
      <c r="F178">
        <v>204800939.63963965</v>
      </c>
      <c r="G178">
        <v>111</v>
      </c>
      <c r="H178">
        <v>133</v>
      </c>
      <c r="K178">
        <v>389</v>
      </c>
      <c r="L178">
        <v>197</v>
      </c>
      <c r="M178">
        <v>92040550.450450465</v>
      </c>
      <c r="N178">
        <v>135228281.98198199</v>
      </c>
      <c r="O178">
        <v>148106648.64864865</v>
      </c>
      <c r="P178">
        <v>148247774.77477479</v>
      </c>
      <c r="Q178">
        <v>22903333.333333336</v>
      </c>
      <c r="R178">
        <v>51244504.504504502</v>
      </c>
      <c r="S178">
        <v>7257</v>
      </c>
      <c r="T178">
        <v>6905</v>
      </c>
    </row>
    <row r="179" spans="1:20" x14ac:dyDescent="0.35">
      <c r="A179" s="7" t="s">
        <v>271</v>
      </c>
      <c r="B179" s="12" t="s">
        <v>135</v>
      </c>
      <c r="C179">
        <v>4800782.471387662</v>
      </c>
      <c r="D179">
        <v>4783599.123225037</v>
      </c>
      <c r="L179">
        <v>1</v>
      </c>
      <c r="O179">
        <v>257297.29729729699</v>
      </c>
      <c r="P179">
        <v>335225.22522522497</v>
      </c>
      <c r="S179">
        <v>246</v>
      </c>
      <c r="T179">
        <v>260</v>
      </c>
    </row>
    <row r="180" spans="1:20" x14ac:dyDescent="0.35">
      <c r="A180" s="7" t="s">
        <v>272</v>
      </c>
      <c r="B180" s="12" t="s">
        <v>77</v>
      </c>
      <c r="C180">
        <v>146078364.55598542</v>
      </c>
      <c r="D180">
        <v>139189017.65000102</v>
      </c>
      <c r="E180">
        <v>76576.576576577005</v>
      </c>
      <c r="F180">
        <v>515315.31531531498</v>
      </c>
      <c r="G180">
        <v>18</v>
      </c>
      <c r="H180">
        <v>19</v>
      </c>
      <c r="K180">
        <v>20</v>
      </c>
      <c r="L180">
        <v>20</v>
      </c>
      <c r="M180">
        <v>166666.66666666701</v>
      </c>
      <c r="N180">
        <v>731531.53153153101</v>
      </c>
      <c r="O180">
        <v>8807518.0180180185</v>
      </c>
      <c r="P180">
        <v>10251054.054054054</v>
      </c>
      <c r="Q180">
        <v>271171.17117117101</v>
      </c>
      <c r="R180">
        <v>646846.84684684698</v>
      </c>
      <c r="S180">
        <v>2452</v>
      </c>
      <c r="T180">
        <v>2353</v>
      </c>
    </row>
    <row r="181" spans="1:20" x14ac:dyDescent="0.35">
      <c r="A181" s="7" t="s">
        <v>273</v>
      </c>
      <c r="B181" s="12" t="s">
        <v>77</v>
      </c>
      <c r="C181">
        <v>50626234.783317097</v>
      </c>
      <c r="D181">
        <v>58428997.487251185</v>
      </c>
      <c r="E181">
        <v>150450.450450451</v>
      </c>
      <c r="F181">
        <v>313513.51351351303</v>
      </c>
      <c r="G181">
        <v>5</v>
      </c>
      <c r="H181">
        <v>16</v>
      </c>
      <c r="K181">
        <v>6</v>
      </c>
      <c r="L181">
        <v>16</v>
      </c>
      <c r="M181">
        <v>12775855.855855856</v>
      </c>
      <c r="N181">
        <v>13659459.459459459</v>
      </c>
      <c r="O181">
        <v>12779288.288288288</v>
      </c>
      <c r="P181">
        <v>16879187.387387387</v>
      </c>
      <c r="Q181">
        <v>9236486.4864864834</v>
      </c>
      <c r="R181">
        <v>12015765.765765766</v>
      </c>
      <c r="S181">
        <v>760</v>
      </c>
      <c r="T181">
        <v>811</v>
      </c>
    </row>
    <row r="182" spans="1:20" x14ac:dyDescent="0.35">
      <c r="A182" s="7" t="s">
        <v>274</v>
      </c>
      <c r="B182" s="12" t="s">
        <v>261</v>
      </c>
      <c r="C182">
        <v>1054683183.6915212</v>
      </c>
      <c r="D182">
        <v>1096875428.5315588</v>
      </c>
      <c r="E182">
        <v>13440540.540540539</v>
      </c>
      <c r="F182">
        <v>14189189.189189199</v>
      </c>
      <c r="G182">
        <v>301</v>
      </c>
      <c r="H182">
        <v>459</v>
      </c>
      <c r="K182">
        <v>392</v>
      </c>
      <c r="L182">
        <v>642</v>
      </c>
      <c r="M182">
        <v>215281081.08108109</v>
      </c>
      <c r="N182">
        <v>264309189.1891892</v>
      </c>
      <c r="O182">
        <v>322460572.07207209</v>
      </c>
      <c r="P182">
        <v>368375809.009009</v>
      </c>
      <c r="Q182">
        <v>194565675.67567569</v>
      </c>
      <c r="R182">
        <v>239396576.57657659</v>
      </c>
      <c r="S182">
        <v>19842</v>
      </c>
      <c r="T182">
        <v>17777</v>
      </c>
    </row>
    <row r="183" spans="1:20" x14ac:dyDescent="0.35">
      <c r="A183" s="7" t="s">
        <v>275</v>
      </c>
      <c r="B183" s="12" t="s">
        <v>261</v>
      </c>
      <c r="C183">
        <v>234546492.26646224</v>
      </c>
      <c r="D183">
        <v>225615245.18851021</v>
      </c>
      <c r="E183">
        <v>1405630.6306306331</v>
      </c>
      <c r="F183">
        <v>566666.66666667105</v>
      </c>
      <c r="G183">
        <v>13</v>
      </c>
      <c r="H183">
        <v>35</v>
      </c>
      <c r="K183">
        <v>17</v>
      </c>
      <c r="L183">
        <v>36</v>
      </c>
      <c r="M183">
        <v>17404954.954954956</v>
      </c>
      <c r="N183">
        <v>20956756.75675676</v>
      </c>
      <c r="O183">
        <v>48004306.306306303</v>
      </c>
      <c r="P183">
        <v>52738828.828828834</v>
      </c>
      <c r="Q183">
        <v>14261441.441441439</v>
      </c>
      <c r="R183">
        <v>18495718.918918919</v>
      </c>
      <c r="S183">
        <v>3857</v>
      </c>
      <c r="T183">
        <v>3719</v>
      </c>
    </row>
    <row r="184" spans="1:20" x14ac:dyDescent="0.35">
      <c r="A184" s="7" t="s">
        <v>276</v>
      </c>
      <c r="B184" s="12" t="s">
        <v>261</v>
      </c>
      <c r="C184">
        <v>260931787.78850839</v>
      </c>
      <c r="D184">
        <v>299816489.27075315</v>
      </c>
      <c r="E184">
        <v>6121261.261261262</v>
      </c>
      <c r="F184">
        <v>8192751.3513513552</v>
      </c>
      <c r="G184">
        <v>33</v>
      </c>
      <c r="H184">
        <v>47</v>
      </c>
      <c r="K184">
        <v>35</v>
      </c>
      <c r="L184">
        <v>52</v>
      </c>
      <c r="M184">
        <v>49642342.342342347</v>
      </c>
      <c r="N184">
        <v>28354769.369369373</v>
      </c>
      <c r="O184">
        <v>59236504.504504502</v>
      </c>
      <c r="P184">
        <v>80790736.936936945</v>
      </c>
      <c r="Q184">
        <v>49307207.20720721</v>
      </c>
      <c r="R184">
        <v>28728468.468468469</v>
      </c>
      <c r="S184">
        <v>6249</v>
      </c>
      <c r="T184">
        <v>5871</v>
      </c>
    </row>
    <row r="185" spans="1:20" x14ac:dyDescent="0.35">
      <c r="A185" s="7" t="s">
        <v>277</v>
      </c>
      <c r="B185" s="12" t="s">
        <v>135</v>
      </c>
      <c r="C185">
        <v>329169891.07370031</v>
      </c>
      <c r="D185">
        <v>352006722.54422599</v>
      </c>
      <c r="E185">
        <v>267872609.90990993</v>
      </c>
      <c r="F185">
        <v>316196993.6936937</v>
      </c>
      <c r="G185">
        <v>62</v>
      </c>
      <c r="H185">
        <v>31</v>
      </c>
      <c r="K185">
        <v>70</v>
      </c>
      <c r="L185">
        <v>33</v>
      </c>
      <c r="M185">
        <v>64621621.621621624</v>
      </c>
      <c r="N185">
        <v>57855600.9009009</v>
      </c>
      <c r="O185">
        <v>29224103.603603605</v>
      </c>
      <c r="P185">
        <v>35972232.432432435</v>
      </c>
      <c r="Q185">
        <v>7794774.774774773</v>
      </c>
      <c r="R185">
        <v>8544594.5945945941</v>
      </c>
      <c r="S185">
        <v>5458</v>
      </c>
      <c r="T185">
        <v>5393</v>
      </c>
    </row>
    <row r="186" spans="1:20" x14ac:dyDescent="0.35">
      <c r="A186" s="7" t="s">
        <v>278</v>
      </c>
      <c r="B186" s="12" t="s">
        <v>170</v>
      </c>
      <c r="C186">
        <v>189810927.28753185</v>
      </c>
      <c r="D186">
        <v>182773407.32753539</v>
      </c>
      <c r="E186">
        <v>1494594.594594595</v>
      </c>
      <c r="F186">
        <v>2706306.3063063091</v>
      </c>
      <c r="G186">
        <v>32</v>
      </c>
      <c r="H186">
        <v>13</v>
      </c>
      <c r="K186">
        <v>37</v>
      </c>
      <c r="L186">
        <v>14</v>
      </c>
      <c r="M186">
        <v>15046396.396396397</v>
      </c>
      <c r="N186">
        <v>12994594.594594596</v>
      </c>
      <c r="O186">
        <v>86475574.324324325</v>
      </c>
      <c r="P186">
        <v>83483682.882882878</v>
      </c>
      <c r="Q186">
        <v>11858828.828828828</v>
      </c>
      <c r="R186">
        <v>10980000</v>
      </c>
      <c r="S186">
        <v>11447</v>
      </c>
      <c r="T186">
        <v>3343</v>
      </c>
    </row>
    <row r="187" spans="1:20" x14ac:dyDescent="0.35">
      <c r="A187" s="7" t="s">
        <v>279</v>
      </c>
      <c r="B187" s="12" t="s">
        <v>170</v>
      </c>
      <c r="C187">
        <v>113266055.1979838</v>
      </c>
      <c r="D187">
        <v>103678022.51677309</v>
      </c>
      <c r="E187">
        <v>57657.657657657997</v>
      </c>
      <c r="F187">
        <v>7207.2072072069996</v>
      </c>
      <c r="G187">
        <v>19</v>
      </c>
      <c r="H187">
        <v>44</v>
      </c>
      <c r="K187">
        <v>20</v>
      </c>
      <c r="L187">
        <v>45</v>
      </c>
      <c r="M187">
        <v>7748310.8108108109</v>
      </c>
      <c r="N187">
        <v>6854054.0540540554</v>
      </c>
      <c r="O187">
        <v>50191968.468468472</v>
      </c>
      <c r="P187">
        <v>53655729.729729727</v>
      </c>
      <c r="Q187">
        <v>6709459.4594594603</v>
      </c>
      <c r="R187">
        <v>5447927.927927928</v>
      </c>
      <c r="S187">
        <v>2034</v>
      </c>
      <c r="T187">
        <v>1976</v>
      </c>
    </row>
    <row r="188" spans="1:20" x14ac:dyDescent="0.35">
      <c r="A188" s="7" t="s">
        <v>280</v>
      </c>
      <c r="B188" s="12" t="s">
        <v>88</v>
      </c>
      <c r="C188">
        <v>2680858.9742712332</v>
      </c>
      <c r="D188">
        <v>2915522.16746407</v>
      </c>
      <c r="E188">
        <v>92856209.009009004</v>
      </c>
      <c r="F188">
        <v>82993612.612612605</v>
      </c>
      <c r="G188">
        <v>6</v>
      </c>
      <c r="H188">
        <v>1</v>
      </c>
      <c r="K188">
        <v>7</v>
      </c>
      <c r="L188">
        <v>1</v>
      </c>
      <c r="N188">
        <v>2702702.702702703</v>
      </c>
      <c r="O188">
        <v>1046945.945945946</v>
      </c>
      <c r="P188">
        <v>1157657.657657658</v>
      </c>
      <c r="S188">
        <v>196</v>
      </c>
      <c r="T188">
        <v>159</v>
      </c>
    </row>
    <row r="189" spans="1:20" x14ac:dyDescent="0.35">
      <c r="A189" s="7" t="s">
        <v>281</v>
      </c>
      <c r="B189" s="12" t="s">
        <v>170</v>
      </c>
      <c r="C189">
        <v>187585992.47325504</v>
      </c>
      <c r="D189">
        <v>217124365.75154966</v>
      </c>
      <c r="E189">
        <v>851351.35135135194</v>
      </c>
      <c r="F189">
        <v>1955405.405405405</v>
      </c>
      <c r="G189">
        <v>27</v>
      </c>
      <c r="H189">
        <v>89</v>
      </c>
      <c r="K189">
        <v>29</v>
      </c>
      <c r="L189">
        <v>102</v>
      </c>
      <c r="M189">
        <v>21007027.027027026</v>
      </c>
      <c r="N189">
        <v>23898468.468468469</v>
      </c>
      <c r="O189">
        <v>76184648.648648649</v>
      </c>
      <c r="P189">
        <v>92207594.594594598</v>
      </c>
      <c r="Q189">
        <v>20699819.819819819</v>
      </c>
      <c r="R189">
        <v>21379909.909909911</v>
      </c>
      <c r="S189">
        <v>4400</v>
      </c>
      <c r="T189">
        <v>4499</v>
      </c>
    </row>
    <row r="190" spans="1:20" x14ac:dyDescent="0.35">
      <c r="A190" s="7" t="s">
        <v>282</v>
      </c>
      <c r="B190" s="12" t="s">
        <v>55</v>
      </c>
      <c r="C190">
        <v>143327015.27892852</v>
      </c>
      <c r="D190">
        <v>147416255.65018889</v>
      </c>
      <c r="E190">
        <v>2476576.5765765789</v>
      </c>
      <c r="F190">
        <v>2185585.5855855909</v>
      </c>
      <c r="G190">
        <v>56</v>
      </c>
      <c r="H190">
        <v>64</v>
      </c>
      <c r="K190">
        <v>65</v>
      </c>
      <c r="L190">
        <v>72</v>
      </c>
      <c r="M190">
        <v>16934234.234234232</v>
      </c>
      <c r="N190">
        <v>23661261.261261266</v>
      </c>
      <c r="O190">
        <v>30999846.846846849</v>
      </c>
      <c r="P190">
        <v>34748619.819819823</v>
      </c>
      <c r="Q190">
        <v>15772792.792792792</v>
      </c>
      <c r="R190">
        <v>20089772.972972974</v>
      </c>
      <c r="S190">
        <v>4005</v>
      </c>
      <c r="T190">
        <v>4538</v>
      </c>
    </row>
    <row r="191" spans="1:20" x14ac:dyDescent="0.35">
      <c r="A191" s="7" t="s">
        <v>283</v>
      </c>
      <c r="B191" s="12" t="s">
        <v>284</v>
      </c>
      <c r="C191">
        <v>201627891.72426161</v>
      </c>
      <c r="D191">
        <v>232314891.47272718</v>
      </c>
      <c r="E191">
        <v>346846.84684684803</v>
      </c>
      <c r="F191">
        <v>923423.42342342495</v>
      </c>
      <c r="G191">
        <v>85</v>
      </c>
      <c r="H191">
        <v>50</v>
      </c>
      <c r="K191">
        <v>101</v>
      </c>
      <c r="L191">
        <v>55</v>
      </c>
      <c r="M191">
        <v>9005585.5855855867</v>
      </c>
      <c r="N191">
        <v>8112612.6126126153</v>
      </c>
      <c r="O191">
        <v>31443729.729729727</v>
      </c>
      <c r="P191">
        <v>35550882.882882886</v>
      </c>
      <c r="Q191">
        <v>9508558.5585585609</v>
      </c>
      <c r="R191">
        <v>6808558.558558559</v>
      </c>
      <c r="S191">
        <v>3329</v>
      </c>
      <c r="T191">
        <v>3868</v>
      </c>
    </row>
    <row r="192" spans="1:20" x14ac:dyDescent="0.35">
      <c r="A192" s="7" t="s">
        <v>285</v>
      </c>
      <c r="B192" s="12" t="s">
        <v>284</v>
      </c>
      <c r="C192">
        <v>406113188.44280851</v>
      </c>
      <c r="D192">
        <v>409965754.3238408</v>
      </c>
      <c r="E192">
        <v>3075225.2252252288</v>
      </c>
      <c r="F192">
        <v>5452252.2522522528</v>
      </c>
      <c r="G192">
        <v>74</v>
      </c>
      <c r="H192">
        <v>253</v>
      </c>
      <c r="K192">
        <v>110</v>
      </c>
      <c r="L192">
        <v>368</v>
      </c>
      <c r="M192">
        <v>48975495.495495498</v>
      </c>
      <c r="N192">
        <v>58620900.9009009</v>
      </c>
      <c r="O192">
        <v>86050144.144144148</v>
      </c>
      <c r="P192">
        <v>91318387.387387395</v>
      </c>
      <c r="Q192">
        <v>44070270.270270273</v>
      </c>
      <c r="R192">
        <v>49190090.090090089</v>
      </c>
      <c r="S192">
        <v>8153</v>
      </c>
      <c r="T192">
        <v>8081</v>
      </c>
    </row>
    <row r="193" spans="1:20" x14ac:dyDescent="0.35">
      <c r="A193" s="7" t="s">
        <v>286</v>
      </c>
      <c r="B193" s="12" t="s">
        <v>284</v>
      </c>
      <c r="C193">
        <v>213146818.49307105</v>
      </c>
      <c r="D193">
        <v>226832404.92942926</v>
      </c>
      <c r="E193">
        <v>1787297.297297298</v>
      </c>
      <c r="F193">
        <v>2454054.0540540549</v>
      </c>
      <c r="G193">
        <v>31</v>
      </c>
      <c r="H193">
        <v>51</v>
      </c>
      <c r="K193">
        <v>47</v>
      </c>
      <c r="L193">
        <v>89</v>
      </c>
      <c r="M193">
        <v>58370270.270270273</v>
      </c>
      <c r="N193">
        <v>66007567.567567565</v>
      </c>
      <c r="O193">
        <v>66318099.0990991</v>
      </c>
      <c r="P193">
        <v>71704477.477477476</v>
      </c>
      <c r="Q193">
        <v>50500990.990990989</v>
      </c>
      <c r="R193">
        <v>57092342.342342347</v>
      </c>
      <c r="S193">
        <v>4660</v>
      </c>
      <c r="T193">
        <v>4826</v>
      </c>
    </row>
    <row r="194" spans="1:20" x14ac:dyDescent="0.35">
      <c r="A194" s="7" t="s">
        <v>287</v>
      </c>
      <c r="B194" s="12" t="s">
        <v>284</v>
      </c>
      <c r="C194">
        <v>160467318.20886099</v>
      </c>
      <c r="D194">
        <v>169493321.10503301</v>
      </c>
      <c r="E194">
        <v>627927.92792793002</v>
      </c>
      <c r="F194">
        <v>791891.89189189195</v>
      </c>
      <c r="G194">
        <v>13</v>
      </c>
      <c r="H194">
        <v>8</v>
      </c>
      <c r="K194">
        <v>15</v>
      </c>
      <c r="L194">
        <v>9</v>
      </c>
      <c r="M194">
        <v>32445225.225225229</v>
      </c>
      <c r="N194">
        <v>13046846.846846849</v>
      </c>
      <c r="O194">
        <v>30197648.648648649</v>
      </c>
      <c r="P194">
        <v>33659864.864864863</v>
      </c>
      <c r="Q194">
        <v>32079729.729729727</v>
      </c>
      <c r="R194">
        <v>10977837.837837838</v>
      </c>
      <c r="S194">
        <v>2477</v>
      </c>
      <c r="T194">
        <v>2517</v>
      </c>
    </row>
    <row r="195" spans="1:20" x14ac:dyDescent="0.35">
      <c r="A195" s="7" t="s">
        <v>288</v>
      </c>
      <c r="B195" s="12" t="s">
        <v>284</v>
      </c>
      <c r="C195">
        <v>80437417.937466025</v>
      </c>
      <c r="D195">
        <v>83773686.079042688</v>
      </c>
      <c r="E195">
        <v>456756.75675675902</v>
      </c>
      <c r="F195">
        <v>1281081.0810810809</v>
      </c>
      <c r="H195">
        <v>1</v>
      </c>
      <c r="K195">
        <v>1</v>
      </c>
      <c r="L195">
        <v>1</v>
      </c>
      <c r="M195">
        <v>12672972.972972972</v>
      </c>
      <c r="N195">
        <v>12672072.072072072</v>
      </c>
      <c r="O195">
        <v>14387270.270270271</v>
      </c>
      <c r="P195">
        <v>17512891.891891893</v>
      </c>
      <c r="Q195">
        <v>12419459.459459459</v>
      </c>
      <c r="R195">
        <v>9886216.2162162159</v>
      </c>
      <c r="S195">
        <v>1382</v>
      </c>
      <c r="T195">
        <v>1506</v>
      </c>
    </row>
    <row r="196" spans="1:20" x14ac:dyDescent="0.35">
      <c r="A196" s="7" t="s">
        <v>289</v>
      </c>
      <c r="B196" s="12" t="s">
        <v>284</v>
      </c>
      <c r="C196">
        <v>12872401.539832879</v>
      </c>
      <c r="D196">
        <v>12534347.085809752</v>
      </c>
      <c r="E196">
        <v>349051722.52252251</v>
      </c>
      <c r="F196">
        <v>190104129.72972974</v>
      </c>
      <c r="M196">
        <v>46126102.702702701</v>
      </c>
      <c r="N196">
        <v>29224228.828828827</v>
      </c>
      <c r="O196">
        <v>1983252.2522522521</v>
      </c>
      <c r="P196">
        <v>2638144.1441441439</v>
      </c>
      <c r="Q196">
        <v>19450450.45045045</v>
      </c>
      <c r="R196">
        <v>6527027.0270270268</v>
      </c>
      <c r="S196">
        <v>296</v>
      </c>
      <c r="T196">
        <v>269</v>
      </c>
    </row>
    <row r="197" spans="1:20" x14ac:dyDescent="0.35">
      <c r="A197" s="7" t="s">
        <v>290</v>
      </c>
      <c r="B197" s="12" t="s">
        <v>291</v>
      </c>
      <c r="C197">
        <v>159488402.73996487</v>
      </c>
      <c r="D197">
        <v>167635482.82843769</v>
      </c>
      <c r="E197">
        <v>133333.33333333401</v>
      </c>
      <c r="F197">
        <v>153153.15315315401</v>
      </c>
      <c r="G197">
        <v>42</v>
      </c>
      <c r="H197">
        <v>23</v>
      </c>
      <c r="K197">
        <v>46</v>
      </c>
      <c r="L197">
        <v>25</v>
      </c>
      <c r="M197">
        <v>639639.63963963999</v>
      </c>
      <c r="N197">
        <v>2333333.333333334</v>
      </c>
      <c r="O197">
        <v>14959722.522522522</v>
      </c>
      <c r="P197">
        <v>19190390.990990993</v>
      </c>
      <c r="Q197">
        <v>967297.29729729798</v>
      </c>
      <c r="R197">
        <v>1521621.621621622</v>
      </c>
      <c r="S197">
        <v>4299</v>
      </c>
      <c r="T197">
        <v>4529</v>
      </c>
    </row>
    <row r="198" spans="1:20" x14ac:dyDescent="0.35">
      <c r="A198" s="7" t="s">
        <v>292</v>
      </c>
      <c r="B198" s="12" t="s">
        <v>148</v>
      </c>
      <c r="C198">
        <v>385555271.24695659</v>
      </c>
      <c r="D198">
        <v>349962986.06305355</v>
      </c>
      <c r="E198">
        <v>5452432.4324324355</v>
      </c>
      <c r="F198">
        <v>5163343.2432432473</v>
      </c>
      <c r="G198">
        <v>93</v>
      </c>
      <c r="H198">
        <v>124</v>
      </c>
      <c r="I198">
        <v>1</v>
      </c>
      <c r="K198">
        <v>201</v>
      </c>
      <c r="L198">
        <v>151</v>
      </c>
      <c r="M198">
        <v>142450326.12612614</v>
      </c>
      <c r="N198">
        <v>151361409.90990993</v>
      </c>
      <c r="O198">
        <v>152630108.1081081</v>
      </c>
      <c r="P198">
        <v>141492783.78378376</v>
      </c>
      <c r="Q198">
        <v>133153333.33333333</v>
      </c>
      <c r="R198">
        <v>144600720.72072074</v>
      </c>
      <c r="S198">
        <v>8243</v>
      </c>
      <c r="T198">
        <v>7377</v>
      </c>
    </row>
    <row r="199" spans="1:20" x14ac:dyDescent="0.35">
      <c r="A199" s="7" t="s">
        <v>293</v>
      </c>
      <c r="B199" s="12" t="s">
        <v>294</v>
      </c>
      <c r="C199">
        <v>186601527.95445943</v>
      </c>
      <c r="D199">
        <v>193712599.25737077</v>
      </c>
      <c r="E199">
        <v>128502636.93693694</v>
      </c>
      <c r="F199">
        <v>123383099.0990991</v>
      </c>
      <c r="G199">
        <v>20</v>
      </c>
      <c r="H199">
        <v>9</v>
      </c>
      <c r="K199">
        <v>24</v>
      </c>
      <c r="L199">
        <v>14</v>
      </c>
      <c r="M199">
        <v>51563153.153153151</v>
      </c>
      <c r="N199">
        <v>56045135.135135137</v>
      </c>
      <c r="O199">
        <v>25990522.52252252</v>
      </c>
      <c r="P199">
        <v>27293450.45045045</v>
      </c>
      <c r="Q199">
        <v>43773513.51351352</v>
      </c>
      <c r="R199">
        <v>43762252.252252251</v>
      </c>
      <c r="S199">
        <v>5752</v>
      </c>
      <c r="T199">
        <v>3399</v>
      </c>
    </row>
    <row r="200" spans="1:20" x14ac:dyDescent="0.35">
      <c r="A200" s="7" t="s">
        <v>295</v>
      </c>
      <c r="B200" s="12" t="s">
        <v>291</v>
      </c>
      <c r="C200">
        <v>41295118.777546652</v>
      </c>
      <c r="D200">
        <v>46408226.641339451</v>
      </c>
      <c r="E200">
        <v>977477.47747747705</v>
      </c>
      <c r="F200">
        <v>923423.42342342401</v>
      </c>
      <c r="G200">
        <v>9</v>
      </c>
      <c r="H200">
        <v>8</v>
      </c>
      <c r="K200">
        <v>9</v>
      </c>
      <c r="L200">
        <v>9</v>
      </c>
      <c r="M200">
        <v>2825225.2252252251</v>
      </c>
      <c r="N200">
        <v>1891891.8918918921</v>
      </c>
      <c r="O200">
        <v>5870268.4684684686</v>
      </c>
      <c r="P200">
        <v>5644162.1621621624</v>
      </c>
      <c r="Q200">
        <v>2387297.297297297</v>
      </c>
      <c r="R200">
        <v>2133693.6936936942</v>
      </c>
      <c r="S200">
        <v>1307</v>
      </c>
      <c r="T200">
        <v>1203</v>
      </c>
    </row>
    <row r="201" spans="1:20" x14ac:dyDescent="0.35">
      <c r="A201" s="7" t="s">
        <v>296</v>
      </c>
      <c r="B201" s="12" t="s">
        <v>53</v>
      </c>
      <c r="C201">
        <v>532467065.03556019</v>
      </c>
      <c r="D201">
        <v>541379485.65904379</v>
      </c>
      <c r="E201">
        <v>6858558.5585585628</v>
      </c>
      <c r="F201">
        <v>9911909.9099099152</v>
      </c>
      <c r="G201">
        <v>147</v>
      </c>
      <c r="H201">
        <v>218</v>
      </c>
      <c r="K201">
        <v>225</v>
      </c>
      <c r="L201">
        <v>358</v>
      </c>
      <c r="M201">
        <v>296534954.95495492</v>
      </c>
      <c r="N201">
        <v>96076954.954954967</v>
      </c>
      <c r="O201">
        <v>145365827.02702704</v>
      </c>
      <c r="P201">
        <v>150042747.74774775</v>
      </c>
      <c r="Q201">
        <v>303588108.1081081</v>
      </c>
      <c r="R201">
        <v>98307927.927927941</v>
      </c>
      <c r="S201">
        <v>14486</v>
      </c>
      <c r="T201">
        <v>11774</v>
      </c>
    </row>
    <row r="202" spans="1:20" x14ac:dyDescent="0.35">
      <c r="A202" s="7" t="s">
        <v>297</v>
      </c>
      <c r="B202" s="12" t="s">
        <v>170</v>
      </c>
      <c r="C202">
        <v>146018899.12550384</v>
      </c>
      <c r="D202">
        <v>181681408.42682472</v>
      </c>
      <c r="E202">
        <v>86486.486486487003</v>
      </c>
      <c r="F202">
        <v>93693.693693694004</v>
      </c>
      <c r="G202">
        <v>20</v>
      </c>
      <c r="H202">
        <v>16</v>
      </c>
      <c r="K202">
        <v>24</v>
      </c>
      <c r="L202">
        <v>18</v>
      </c>
      <c r="M202">
        <v>10636036.036036037</v>
      </c>
      <c r="N202">
        <v>7363963.963963965</v>
      </c>
      <c r="O202">
        <v>32128099.0990991</v>
      </c>
      <c r="P202">
        <v>47024306.306306303</v>
      </c>
      <c r="Q202">
        <v>9684324.3243243247</v>
      </c>
      <c r="R202">
        <v>9305405.405405404</v>
      </c>
      <c r="S202">
        <v>2436</v>
      </c>
      <c r="T202">
        <v>4691</v>
      </c>
    </row>
    <row r="203" spans="1:20" x14ac:dyDescent="0.35">
      <c r="A203" s="7" t="s">
        <v>298</v>
      </c>
      <c r="B203" s="12" t="s">
        <v>170</v>
      </c>
      <c r="C203">
        <v>203908114.86386904</v>
      </c>
      <c r="D203">
        <v>165407004.64497408</v>
      </c>
      <c r="E203">
        <v>707774.77477477503</v>
      </c>
      <c r="F203">
        <v>116216.216216217</v>
      </c>
      <c r="G203">
        <v>26</v>
      </c>
      <c r="H203">
        <v>21</v>
      </c>
      <c r="K203">
        <v>29</v>
      </c>
      <c r="L203">
        <v>24</v>
      </c>
      <c r="M203">
        <v>1841362567.5675676</v>
      </c>
      <c r="N203">
        <v>1830764864.8648648</v>
      </c>
      <c r="O203">
        <v>72180099.0990991</v>
      </c>
      <c r="P203">
        <v>68067765.765765771</v>
      </c>
      <c r="Q203">
        <v>1828523326.1261261</v>
      </c>
      <c r="R203">
        <v>1821480075.6756756</v>
      </c>
      <c r="S203">
        <v>2722</v>
      </c>
      <c r="T203">
        <v>2739</v>
      </c>
    </row>
    <row r="204" spans="1:20" x14ac:dyDescent="0.35">
      <c r="A204" s="7" t="s">
        <v>299</v>
      </c>
      <c r="B204" s="12" t="s">
        <v>90</v>
      </c>
      <c r="C204">
        <v>610144158.63806832</v>
      </c>
      <c r="D204">
        <v>630008015.35227823</v>
      </c>
      <c r="E204">
        <v>8661127.0270270333</v>
      </c>
      <c r="F204">
        <v>4967567.5675675739</v>
      </c>
      <c r="G204">
        <v>114</v>
      </c>
      <c r="H204">
        <v>66</v>
      </c>
      <c r="I204">
        <v>2</v>
      </c>
      <c r="K204">
        <v>217</v>
      </c>
      <c r="L204">
        <v>82</v>
      </c>
      <c r="M204">
        <v>42915979.279279277</v>
      </c>
      <c r="N204">
        <v>589149234.23423421</v>
      </c>
      <c r="O204">
        <v>119884243.24324325</v>
      </c>
      <c r="P204">
        <v>133415261.26126127</v>
      </c>
      <c r="Q204">
        <v>40711711.711711712</v>
      </c>
      <c r="R204">
        <v>474220585.58558559</v>
      </c>
      <c r="S204">
        <v>11026</v>
      </c>
      <c r="T204">
        <v>11399</v>
      </c>
    </row>
    <row r="205" spans="1:20" x14ac:dyDescent="0.35">
      <c r="A205" s="7" t="s">
        <v>300</v>
      </c>
      <c r="B205" s="12" t="s">
        <v>135</v>
      </c>
      <c r="C205">
        <v>338477639.47943413</v>
      </c>
      <c r="D205">
        <v>373546886.82238048</v>
      </c>
      <c r="E205">
        <v>2968468.468468471</v>
      </c>
      <c r="F205">
        <v>3183783.7837837888</v>
      </c>
      <c r="G205">
        <v>78</v>
      </c>
      <c r="H205">
        <v>78</v>
      </c>
      <c r="K205">
        <v>99</v>
      </c>
      <c r="L205">
        <v>112</v>
      </c>
      <c r="M205">
        <v>25099099.0990991</v>
      </c>
      <c r="N205">
        <v>42330630.630630635</v>
      </c>
      <c r="O205">
        <v>41541018.018018015</v>
      </c>
      <c r="P205">
        <v>53902637.837837838</v>
      </c>
      <c r="Q205">
        <v>21307927.927927926</v>
      </c>
      <c r="R205">
        <v>34983513.51351352</v>
      </c>
      <c r="S205">
        <v>6967</v>
      </c>
      <c r="T205">
        <v>7072</v>
      </c>
    </row>
    <row r="206" spans="1:20" x14ac:dyDescent="0.35">
      <c r="A206" s="7" t="s">
        <v>301</v>
      </c>
      <c r="B206" s="12" t="s">
        <v>291</v>
      </c>
      <c r="C206">
        <v>229749422.92858884</v>
      </c>
      <c r="D206">
        <v>231861960.72535875</v>
      </c>
      <c r="E206">
        <v>2863063.0630630651</v>
      </c>
      <c r="F206">
        <v>3025225.2252252311</v>
      </c>
      <c r="G206">
        <v>68</v>
      </c>
      <c r="H206">
        <v>71</v>
      </c>
      <c r="K206">
        <v>79</v>
      </c>
      <c r="L206">
        <v>81</v>
      </c>
      <c r="M206">
        <v>16585592.792792795</v>
      </c>
      <c r="N206">
        <v>22259459.459459458</v>
      </c>
      <c r="O206">
        <v>32698002.702702705</v>
      </c>
      <c r="P206">
        <v>36528297.297297299</v>
      </c>
      <c r="Q206">
        <v>15949009.009009007</v>
      </c>
      <c r="R206">
        <v>26377657.657657657</v>
      </c>
      <c r="S206">
        <v>4530</v>
      </c>
      <c r="T206">
        <v>4394</v>
      </c>
    </row>
    <row r="207" spans="1:20" x14ac:dyDescent="0.35">
      <c r="A207" s="7" t="s">
        <v>302</v>
      </c>
      <c r="B207" s="12" t="s">
        <v>81</v>
      </c>
      <c r="C207">
        <v>339163783.98874182</v>
      </c>
      <c r="D207">
        <v>341205548.8273136</v>
      </c>
      <c r="E207">
        <v>4497972.9729729732</v>
      </c>
      <c r="F207">
        <v>6321621.6216216264</v>
      </c>
      <c r="G207">
        <v>57</v>
      </c>
      <c r="H207">
        <v>32</v>
      </c>
      <c r="I207">
        <v>5</v>
      </c>
      <c r="K207">
        <v>62</v>
      </c>
      <c r="L207">
        <v>47</v>
      </c>
      <c r="M207">
        <v>53243243.24324324</v>
      </c>
      <c r="N207">
        <v>40959466.666666664</v>
      </c>
      <c r="O207">
        <v>70727619.819819823</v>
      </c>
      <c r="P207">
        <v>77990387.387387395</v>
      </c>
      <c r="Q207">
        <v>49631351.351351351</v>
      </c>
      <c r="R207">
        <v>35847207.20720721</v>
      </c>
      <c r="S207">
        <v>6139</v>
      </c>
      <c r="T207">
        <v>6327</v>
      </c>
    </row>
    <row r="208" spans="1:20" x14ac:dyDescent="0.35">
      <c r="A208" s="7" t="s">
        <v>303</v>
      </c>
      <c r="B208" s="12" t="s">
        <v>73</v>
      </c>
      <c r="C208">
        <v>511012318.26462764</v>
      </c>
      <c r="D208">
        <v>545618554.19073808</v>
      </c>
      <c r="E208">
        <v>1436036.036036039</v>
      </c>
      <c r="F208">
        <v>1025225.225225232</v>
      </c>
      <c r="G208">
        <v>116</v>
      </c>
      <c r="H208">
        <v>66</v>
      </c>
      <c r="I208">
        <v>2</v>
      </c>
      <c r="K208">
        <v>126</v>
      </c>
      <c r="L208">
        <v>78</v>
      </c>
      <c r="M208">
        <v>28231531.531531531</v>
      </c>
      <c r="N208">
        <v>46754954.954954952</v>
      </c>
      <c r="O208">
        <v>75644846.846846849</v>
      </c>
      <c r="P208">
        <v>87034295.495495483</v>
      </c>
      <c r="Q208">
        <v>26308018.018018015</v>
      </c>
      <c r="R208">
        <v>30133243.24324324</v>
      </c>
      <c r="S208">
        <v>9303</v>
      </c>
      <c r="T208">
        <v>9123</v>
      </c>
    </row>
    <row r="209" spans="1:20" x14ac:dyDescent="0.35">
      <c r="A209" s="7" t="s">
        <v>304</v>
      </c>
      <c r="B209" s="12" t="s">
        <v>305</v>
      </c>
      <c r="C209">
        <v>1786078.7148510341</v>
      </c>
      <c r="D209">
        <v>2124107.4970151158</v>
      </c>
      <c r="O209">
        <v>701891.89189189195</v>
      </c>
      <c r="P209">
        <v>543549.54954955005</v>
      </c>
      <c r="S209">
        <v>66</v>
      </c>
      <c r="T209">
        <v>66</v>
      </c>
    </row>
    <row r="210" spans="1:20" x14ac:dyDescent="0.35">
      <c r="A210" s="7" t="s">
        <v>306</v>
      </c>
      <c r="B210" s="12" t="s">
        <v>118</v>
      </c>
      <c r="C210">
        <v>67049615.997820027</v>
      </c>
      <c r="D210">
        <v>68169875.013154551</v>
      </c>
      <c r="E210">
        <v>308108.10810810601</v>
      </c>
      <c r="F210">
        <v>909009.00900900899</v>
      </c>
      <c r="G210">
        <v>23</v>
      </c>
      <c r="H210">
        <v>12</v>
      </c>
      <c r="K210">
        <v>39</v>
      </c>
      <c r="L210">
        <v>61</v>
      </c>
      <c r="M210">
        <v>3283243.243243244</v>
      </c>
      <c r="N210">
        <v>98486036.036036029</v>
      </c>
      <c r="O210">
        <v>29553873.873873871</v>
      </c>
      <c r="P210">
        <v>27817738.738738734</v>
      </c>
      <c r="Q210">
        <v>3187747.7477477472</v>
      </c>
      <c r="R210">
        <v>3733603.6036036019</v>
      </c>
      <c r="S210">
        <v>1830</v>
      </c>
      <c r="T210">
        <v>1763</v>
      </c>
    </row>
    <row r="211" spans="1:20" x14ac:dyDescent="0.35">
      <c r="A211" s="7" t="s">
        <v>307</v>
      </c>
      <c r="B211" s="12" t="s">
        <v>308</v>
      </c>
      <c r="C211">
        <v>86907588.147539452</v>
      </c>
      <c r="D211">
        <v>82413764.718858406</v>
      </c>
      <c r="E211">
        <v>271171.17117117101</v>
      </c>
      <c r="F211">
        <v>494594.59459459397</v>
      </c>
      <c r="G211">
        <v>39</v>
      </c>
      <c r="H211">
        <v>32</v>
      </c>
      <c r="K211">
        <v>46</v>
      </c>
      <c r="L211">
        <v>40</v>
      </c>
      <c r="M211">
        <v>1239639.6396396391</v>
      </c>
      <c r="N211">
        <v>1832252.2522522521</v>
      </c>
      <c r="O211">
        <v>46981207.20720721</v>
      </c>
      <c r="P211">
        <v>43122594.59459459</v>
      </c>
      <c r="Q211">
        <v>1253963.963963964</v>
      </c>
      <c r="R211">
        <v>1555225.225225226</v>
      </c>
      <c r="S211">
        <v>5511</v>
      </c>
      <c r="T211">
        <v>4391</v>
      </c>
    </row>
    <row r="212" spans="1:20" x14ac:dyDescent="0.35">
      <c r="A212" s="7" t="s">
        <v>309</v>
      </c>
      <c r="B212" s="12" t="s">
        <v>141</v>
      </c>
      <c r="C212">
        <v>542609562.60266852</v>
      </c>
      <c r="D212">
        <v>568179517.33404326</v>
      </c>
      <c r="E212">
        <v>2680630.630630638</v>
      </c>
      <c r="F212">
        <v>4295495.495495501</v>
      </c>
      <c r="G212">
        <v>79</v>
      </c>
      <c r="H212">
        <v>53</v>
      </c>
      <c r="I212">
        <v>5</v>
      </c>
      <c r="K212">
        <v>96</v>
      </c>
      <c r="L212">
        <v>63</v>
      </c>
      <c r="M212">
        <v>100072522.52252252</v>
      </c>
      <c r="N212">
        <v>105072702.7027027</v>
      </c>
      <c r="O212">
        <v>121038031.53153154</v>
      </c>
      <c r="P212">
        <v>132157007.20720722</v>
      </c>
      <c r="Q212">
        <v>56385225.225225225</v>
      </c>
      <c r="R212">
        <v>60392702.702702701</v>
      </c>
      <c r="S212">
        <v>8264</v>
      </c>
      <c r="T212">
        <v>8491</v>
      </c>
    </row>
    <row r="213" spans="1:20" x14ac:dyDescent="0.35">
      <c r="A213" s="7" t="s">
        <v>310</v>
      </c>
      <c r="B213" s="12" t="s">
        <v>133</v>
      </c>
      <c r="C213">
        <v>540784421.95392299</v>
      </c>
      <c r="D213">
        <v>521040995.20668977</v>
      </c>
      <c r="E213">
        <v>23784684.684684686</v>
      </c>
      <c r="F213">
        <v>9108108.1081081089</v>
      </c>
      <c r="G213">
        <v>138</v>
      </c>
      <c r="H213">
        <v>102</v>
      </c>
      <c r="K213">
        <v>154</v>
      </c>
      <c r="L213">
        <v>117</v>
      </c>
      <c r="M213">
        <v>25628378.37837838</v>
      </c>
      <c r="N213">
        <v>23556531.531531528</v>
      </c>
      <c r="O213">
        <v>144719594.5945946</v>
      </c>
      <c r="P213">
        <v>154484837.83783782</v>
      </c>
      <c r="Q213">
        <v>17409369.369369373</v>
      </c>
      <c r="R213">
        <v>16252207.207207208</v>
      </c>
      <c r="S213">
        <v>12971</v>
      </c>
      <c r="T213">
        <v>12737</v>
      </c>
    </row>
    <row r="214" spans="1:20" x14ac:dyDescent="0.35">
      <c r="A214" s="7" t="s">
        <v>311</v>
      </c>
      <c r="B214" s="12" t="s">
        <v>73</v>
      </c>
      <c r="C214">
        <v>871666580.24650586</v>
      </c>
      <c r="D214">
        <v>988194387.59475064</v>
      </c>
      <c r="E214">
        <v>6598423.4234234309</v>
      </c>
      <c r="F214">
        <v>5624324.3243243387</v>
      </c>
      <c r="G214">
        <v>203</v>
      </c>
      <c r="H214">
        <v>106</v>
      </c>
      <c r="I214">
        <v>3</v>
      </c>
      <c r="K214">
        <v>232</v>
      </c>
      <c r="L214">
        <v>117</v>
      </c>
      <c r="M214">
        <v>131258558.55855855</v>
      </c>
      <c r="N214">
        <v>150136936.93693691</v>
      </c>
      <c r="O214">
        <v>221599379.27927929</v>
      </c>
      <c r="P214">
        <v>323349239.63963962</v>
      </c>
      <c r="Q214">
        <v>112157430.63063064</v>
      </c>
      <c r="R214">
        <v>128945585.58558558</v>
      </c>
      <c r="S214">
        <v>17858</v>
      </c>
      <c r="T214">
        <v>16699</v>
      </c>
    </row>
    <row r="215" spans="1:20" x14ac:dyDescent="0.35">
      <c r="A215" s="7" t="s">
        <v>312</v>
      </c>
      <c r="B215" s="12" t="s">
        <v>63</v>
      </c>
      <c r="C215">
        <v>153573703.53078616</v>
      </c>
      <c r="D215">
        <v>152543086.2281768</v>
      </c>
      <c r="E215">
        <v>1693693.6936936961</v>
      </c>
      <c r="F215">
        <v>1897297.297297297</v>
      </c>
      <c r="G215">
        <v>18</v>
      </c>
      <c r="H215">
        <v>13</v>
      </c>
      <c r="K215">
        <v>19</v>
      </c>
      <c r="L215">
        <v>15</v>
      </c>
      <c r="M215">
        <v>31944324.324324325</v>
      </c>
      <c r="N215">
        <v>32574774.774774775</v>
      </c>
      <c r="O215">
        <v>42238990.990990989</v>
      </c>
      <c r="P215">
        <v>43544846.846846849</v>
      </c>
      <c r="Q215">
        <v>27311891.891891893</v>
      </c>
      <c r="R215">
        <v>29992522.522522524</v>
      </c>
      <c r="S215">
        <v>2278</v>
      </c>
      <c r="T215">
        <v>3047</v>
      </c>
    </row>
    <row r="216" spans="1:20" x14ac:dyDescent="0.35">
      <c r="A216" s="7" t="s">
        <v>313</v>
      </c>
      <c r="B216" s="12" t="s">
        <v>90</v>
      </c>
      <c r="C216">
        <v>52651788.655897781</v>
      </c>
      <c r="D216">
        <v>55661558.971222401</v>
      </c>
      <c r="E216">
        <v>863963.96396396204</v>
      </c>
      <c r="F216">
        <v>3101801.8018018049</v>
      </c>
      <c r="G216">
        <v>12</v>
      </c>
      <c r="H216">
        <v>10</v>
      </c>
      <c r="I216">
        <v>1</v>
      </c>
      <c r="K216">
        <v>16</v>
      </c>
      <c r="L216">
        <v>11</v>
      </c>
      <c r="M216">
        <v>6172612.6126126125</v>
      </c>
      <c r="N216">
        <v>13015675.675675675</v>
      </c>
      <c r="O216">
        <v>18037594.594594598</v>
      </c>
      <c r="P216">
        <v>19724594.59459459</v>
      </c>
      <c r="Q216">
        <v>6159459.4594594613</v>
      </c>
      <c r="R216">
        <v>11310990.990990993</v>
      </c>
      <c r="S216">
        <v>1214</v>
      </c>
      <c r="T216">
        <v>1455</v>
      </c>
    </row>
    <row r="217" spans="1:20" x14ac:dyDescent="0.35">
      <c r="A217" s="7" t="s">
        <v>314</v>
      </c>
      <c r="B217" s="12" t="s">
        <v>93</v>
      </c>
      <c r="C217">
        <v>23322911.034579143</v>
      </c>
      <c r="D217">
        <v>19580406.772621967</v>
      </c>
      <c r="E217">
        <v>61675675.675675683</v>
      </c>
      <c r="F217">
        <v>10927927.927927928</v>
      </c>
      <c r="G217">
        <v>4</v>
      </c>
      <c r="H217">
        <v>5</v>
      </c>
      <c r="K217">
        <v>5</v>
      </c>
      <c r="L217">
        <v>5</v>
      </c>
      <c r="M217">
        <v>1808558.5585585581</v>
      </c>
      <c r="N217">
        <v>2234242.3423423418</v>
      </c>
      <c r="O217">
        <v>1665675.675675676</v>
      </c>
      <c r="P217">
        <v>2158684.684684685</v>
      </c>
      <c r="Q217">
        <v>1361261.2612612611</v>
      </c>
      <c r="R217">
        <v>2153153.1531531531</v>
      </c>
      <c r="S217">
        <v>532</v>
      </c>
      <c r="T217">
        <v>904</v>
      </c>
    </row>
    <row r="218" spans="1:20" x14ac:dyDescent="0.35">
      <c r="A218" s="7" t="s">
        <v>315</v>
      </c>
      <c r="B218" s="12" t="s">
        <v>316</v>
      </c>
      <c r="C218">
        <v>178620519.27709502</v>
      </c>
      <c r="D218">
        <v>175375873.35181499</v>
      </c>
      <c r="E218">
        <v>782432.43243243196</v>
      </c>
      <c r="F218">
        <v>3136936.9369369401</v>
      </c>
      <c r="G218">
        <v>37</v>
      </c>
      <c r="H218">
        <v>36</v>
      </c>
      <c r="K218">
        <v>40</v>
      </c>
      <c r="L218">
        <v>43</v>
      </c>
      <c r="M218">
        <v>21994594.59459459</v>
      </c>
      <c r="N218">
        <v>39107207.20720721</v>
      </c>
      <c r="O218">
        <v>27393637.837837838</v>
      </c>
      <c r="P218">
        <v>30240243.243243244</v>
      </c>
      <c r="Q218">
        <v>21418288.288288288</v>
      </c>
      <c r="R218">
        <v>29077837.837837841</v>
      </c>
      <c r="S218">
        <v>3552</v>
      </c>
      <c r="T218">
        <v>3406</v>
      </c>
    </row>
    <row r="219" spans="1:20" x14ac:dyDescent="0.35">
      <c r="A219" s="7" t="s">
        <v>317</v>
      </c>
      <c r="B219" s="12" t="s">
        <v>63</v>
      </c>
      <c r="C219">
        <v>301641055.45920998</v>
      </c>
      <c r="D219">
        <v>321901640.78681403</v>
      </c>
      <c r="E219">
        <v>6052252.2522522584</v>
      </c>
      <c r="F219">
        <v>5818918.9189189253</v>
      </c>
      <c r="G219">
        <v>149</v>
      </c>
      <c r="H219">
        <v>84</v>
      </c>
      <c r="K219">
        <v>201</v>
      </c>
      <c r="L219">
        <v>172</v>
      </c>
      <c r="M219">
        <v>51179459.459459454</v>
      </c>
      <c r="N219">
        <v>63765484.684684686</v>
      </c>
      <c r="O219">
        <v>105893000</v>
      </c>
      <c r="P219">
        <v>117422981.98198198</v>
      </c>
      <c r="Q219">
        <v>48783243.24324324</v>
      </c>
      <c r="R219">
        <v>51271891.891891889</v>
      </c>
      <c r="S219">
        <v>8817</v>
      </c>
      <c r="T219">
        <v>9058</v>
      </c>
    </row>
    <row r="220" spans="1:20" x14ac:dyDescent="0.35">
      <c r="A220" s="7" t="s">
        <v>318</v>
      </c>
      <c r="B220" s="12" t="s">
        <v>63</v>
      </c>
      <c r="C220">
        <v>279472505.19477451</v>
      </c>
      <c r="D220">
        <v>309295387.96056217</v>
      </c>
      <c r="E220">
        <v>2222522.5225225249</v>
      </c>
      <c r="F220">
        <v>4101801.8018018049</v>
      </c>
      <c r="G220">
        <v>46</v>
      </c>
      <c r="H220">
        <v>12</v>
      </c>
      <c r="K220">
        <v>50</v>
      </c>
      <c r="L220">
        <v>23</v>
      </c>
      <c r="M220">
        <v>38948468.468468472</v>
      </c>
      <c r="N220">
        <v>54544864.864864863</v>
      </c>
      <c r="O220">
        <v>98941144.144144148</v>
      </c>
      <c r="P220">
        <v>110322765.76576576</v>
      </c>
      <c r="Q220">
        <v>38868738.738738738</v>
      </c>
      <c r="R220">
        <v>48714864.864864863</v>
      </c>
      <c r="S220">
        <v>5601</v>
      </c>
      <c r="T220">
        <v>5383</v>
      </c>
    </row>
    <row r="221" spans="1:20" x14ac:dyDescent="0.35">
      <c r="A221" s="7" t="s">
        <v>319</v>
      </c>
      <c r="B221" s="12" t="s">
        <v>79</v>
      </c>
      <c r="C221">
        <v>293101235.87060225</v>
      </c>
      <c r="D221">
        <v>296430979.43914449</v>
      </c>
      <c r="E221">
        <v>5572072.0720720747</v>
      </c>
      <c r="F221">
        <v>7334234.2342342371</v>
      </c>
      <c r="G221">
        <v>119</v>
      </c>
      <c r="H221">
        <v>100</v>
      </c>
      <c r="I221">
        <v>2</v>
      </c>
      <c r="K221">
        <v>157</v>
      </c>
      <c r="L221">
        <v>115</v>
      </c>
      <c r="M221">
        <v>75170720.720720723</v>
      </c>
      <c r="N221">
        <v>84782882.882882878</v>
      </c>
      <c r="O221">
        <v>128136202.7027027</v>
      </c>
      <c r="P221">
        <v>129645763.96396397</v>
      </c>
      <c r="Q221">
        <v>75455945.945945948</v>
      </c>
      <c r="R221">
        <v>78660540.540540546</v>
      </c>
      <c r="S221">
        <v>8908</v>
      </c>
      <c r="T221">
        <v>8678</v>
      </c>
    </row>
    <row r="222" spans="1:20" x14ac:dyDescent="0.35">
      <c r="A222" s="7" t="s">
        <v>320</v>
      </c>
      <c r="B222" s="12" t="s">
        <v>79</v>
      </c>
      <c r="C222">
        <v>176466628.60737735</v>
      </c>
      <c r="D222">
        <v>175032227.21192122</v>
      </c>
      <c r="E222">
        <v>3544144.1441441448</v>
      </c>
      <c r="F222">
        <v>3987387.3873873889</v>
      </c>
      <c r="G222">
        <v>82</v>
      </c>
      <c r="H222">
        <v>66</v>
      </c>
      <c r="K222">
        <v>123</v>
      </c>
      <c r="L222">
        <v>115</v>
      </c>
      <c r="M222">
        <v>15940540.540540541</v>
      </c>
      <c r="N222">
        <v>19572972.97297297</v>
      </c>
      <c r="O222">
        <v>66872720.720720723</v>
      </c>
      <c r="P222">
        <v>70493252.252252251</v>
      </c>
      <c r="Q222">
        <v>15098558.558558563</v>
      </c>
      <c r="R222">
        <v>18203783.783783782</v>
      </c>
      <c r="S222">
        <v>5738</v>
      </c>
      <c r="T222">
        <v>5543</v>
      </c>
    </row>
    <row r="223" spans="1:20" x14ac:dyDescent="0.35">
      <c r="A223" s="7" t="s">
        <v>321</v>
      </c>
      <c r="B223" s="12" t="s">
        <v>122</v>
      </c>
      <c r="C223">
        <v>1343932.9773206159</v>
      </c>
      <c r="D223">
        <v>1077604.948647659</v>
      </c>
      <c r="H223">
        <v>2</v>
      </c>
      <c r="L223">
        <v>2</v>
      </c>
      <c r="O223">
        <v>120360.36036036001</v>
      </c>
      <c r="P223">
        <v>353108.10810810799</v>
      </c>
      <c r="S223">
        <v>59</v>
      </c>
      <c r="T223">
        <v>117</v>
      </c>
    </row>
    <row r="224" spans="1:20" x14ac:dyDescent="0.35">
      <c r="A224" s="7" t="s">
        <v>322</v>
      </c>
      <c r="B224" s="12" t="s">
        <v>225</v>
      </c>
      <c r="C224">
        <v>201671366.0253956</v>
      </c>
      <c r="D224">
        <v>209340204.57289535</v>
      </c>
      <c r="E224">
        <v>69369.369369370004</v>
      </c>
      <c r="F224">
        <v>28828.828828828999</v>
      </c>
      <c r="G224">
        <v>42</v>
      </c>
      <c r="H224">
        <v>30</v>
      </c>
      <c r="I224">
        <v>2</v>
      </c>
      <c r="K224">
        <v>47</v>
      </c>
      <c r="L224">
        <v>31</v>
      </c>
      <c r="M224">
        <v>9117297.2972973008</v>
      </c>
      <c r="N224">
        <v>11005405.405405406</v>
      </c>
      <c r="O224">
        <v>82291421.621621609</v>
      </c>
      <c r="P224">
        <v>89090765.765765756</v>
      </c>
      <c r="Q224">
        <v>9660630.6306306329</v>
      </c>
      <c r="R224">
        <v>11041081.081081081</v>
      </c>
      <c r="S224">
        <v>4253</v>
      </c>
      <c r="T224">
        <v>3965</v>
      </c>
    </row>
    <row r="225" spans="1:20" x14ac:dyDescent="0.35">
      <c r="A225" s="7" t="s">
        <v>323</v>
      </c>
      <c r="B225" s="12" t="s">
        <v>225</v>
      </c>
      <c r="C225">
        <v>143388509.89677924</v>
      </c>
      <c r="D225">
        <v>157708478.15913299</v>
      </c>
      <c r="E225">
        <v>57657.657657657997</v>
      </c>
      <c r="F225">
        <v>67117.117117119007</v>
      </c>
      <c r="G225">
        <v>10</v>
      </c>
      <c r="H225">
        <v>28</v>
      </c>
      <c r="K225">
        <v>10</v>
      </c>
      <c r="L225">
        <v>45</v>
      </c>
      <c r="M225">
        <v>16116396.396396397</v>
      </c>
      <c r="N225">
        <v>16972522.52252252</v>
      </c>
      <c r="O225">
        <v>43695680.180180177</v>
      </c>
      <c r="P225">
        <v>48252117.117117122</v>
      </c>
      <c r="Q225">
        <v>11255855.855855856</v>
      </c>
      <c r="R225">
        <v>12970630.630630633</v>
      </c>
      <c r="S225">
        <v>2195</v>
      </c>
      <c r="T225">
        <v>1994</v>
      </c>
    </row>
    <row r="226" spans="1:20" x14ac:dyDescent="0.35">
      <c r="A226" s="7" t="s">
        <v>324</v>
      </c>
      <c r="B226" s="12" t="s">
        <v>79</v>
      </c>
      <c r="C226">
        <v>220727736.65247568</v>
      </c>
      <c r="D226">
        <v>215969054.05486158</v>
      </c>
      <c r="E226">
        <v>1154954.9549549581</v>
      </c>
      <c r="F226">
        <v>2250450.4504504558</v>
      </c>
      <c r="G226">
        <v>90</v>
      </c>
      <c r="H226">
        <v>106</v>
      </c>
      <c r="I226">
        <v>2</v>
      </c>
      <c r="K226">
        <v>117</v>
      </c>
      <c r="L226">
        <v>137</v>
      </c>
      <c r="M226">
        <v>22290090.090090089</v>
      </c>
      <c r="N226">
        <v>28305405.40540541</v>
      </c>
      <c r="O226">
        <v>66188846.846846849</v>
      </c>
      <c r="P226">
        <v>65963828.828828834</v>
      </c>
      <c r="Q226">
        <v>22254144.144144144</v>
      </c>
      <c r="R226">
        <v>25309729.729729731</v>
      </c>
      <c r="S226">
        <v>4781</v>
      </c>
      <c r="T226">
        <v>4718</v>
      </c>
    </row>
    <row r="227" spans="1:20" x14ac:dyDescent="0.35">
      <c r="A227" s="7" t="s">
        <v>325</v>
      </c>
      <c r="B227" s="12" t="s">
        <v>109</v>
      </c>
      <c r="C227">
        <v>1454726497.7167382</v>
      </c>
      <c r="D227">
        <v>1489586355.2520175</v>
      </c>
      <c r="E227">
        <v>1824844620.7207205</v>
      </c>
      <c r="F227">
        <v>1341196323.4234235</v>
      </c>
      <c r="G227">
        <v>393</v>
      </c>
      <c r="H227">
        <v>443</v>
      </c>
      <c r="I227">
        <v>4</v>
      </c>
      <c r="K227">
        <v>541</v>
      </c>
      <c r="L227">
        <v>625</v>
      </c>
      <c r="M227">
        <v>573535585.58558559</v>
      </c>
      <c r="N227">
        <v>155033783.78378376</v>
      </c>
      <c r="O227">
        <v>712747117.11711705</v>
      </c>
      <c r="P227">
        <v>721965508.10810816</v>
      </c>
      <c r="Q227">
        <v>123765405.4054054</v>
      </c>
      <c r="R227">
        <v>138696756.75675678</v>
      </c>
      <c r="S227">
        <v>26617</v>
      </c>
      <c r="T227">
        <v>22463</v>
      </c>
    </row>
    <row r="228" spans="1:20" x14ac:dyDescent="0.35">
      <c r="A228" s="7" t="s">
        <v>326</v>
      </c>
      <c r="B228" s="12" t="s">
        <v>225</v>
      </c>
      <c r="C228">
        <v>204179776.39741635</v>
      </c>
      <c r="D228">
        <v>226646913.82821456</v>
      </c>
      <c r="E228">
        <v>122295135.13513513</v>
      </c>
      <c r="F228">
        <v>157509009.00900903</v>
      </c>
      <c r="G228">
        <v>33</v>
      </c>
      <c r="H228">
        <v>42</v>
      </c>
      <c r="K228">
        <v>35</v>
      </c>
      <c r="L228">
        <v>56</v>
      </c>
      <c r="M228">
        <v>21687927.927927926</v>
      </c>
      <c r="N228">
        <v>23247747.747747749</v>
      </c>
      <c r="O228">
        <v>43522279.279279277</v>
      </c>
      <c r="P228">
        <v>53480747.747747742</v>
      </c>
      <c r="Q228">
        <v>17679639.639639638</v>
      </c>
      <c r="R228">
        <v>19415315.315315314</v>
      </c>
      <c r="S228">
        <v>4327</v>
      </c>
      <c r="T228">
        <v>6433</v>
      </c>
    </row>
    <row r="229" spans="1:20" x14ac:dyDescent="0.35">
      <c r="A229" s="7" t="s">
        <v>4</v>
      </c>
      <c r="B229" s="12" t="s">
        <v>159</v>
      </c>
      <c r="C229">
        <v>176811291.23507863</v>
      </c>
      <c r="D229">
        <v>171589231.78193882</v>
      </c>
      <c r="E229">
        <v>2844144.1441441458</v>
      </c>
      <c r="F229">
        <v>5953153.1531531531</v>
      </c>
      <c r="G229">
        <v>15</v>
      </c>
      <c r="H229">
        <v>30</v>
      </c>
      <c r="I229">
        <v>1</v>
      </c>
      <c r="K229">
        <v>18</v>
      </c>
      <c r="L229">
        <v>40</v>
      </c>
      <c r="M229">
        <v>28870270.270270273</v>
      </c>
      <c r="N229">
        <v>66405855.855855852</v>
      </c>
      <c r="O229">
        <v>62582684.684684686</v>
      </c>
      <c r="P229">
        <v>63949567.567567565</v>
      </c>
      <c r="Q229">
        <v>36985855.855855852</v>
      </c>
      <c r="R229">
        <v>54863693.693693697</v>
      </c>
      <c r="S229">
        <v>3725</v>
      </c>
      <c r="T229">
        <v>3607</v>
      </c>
    </row>
    <row r="230" spans="1:20" x14ac:dyDescent="0.35">
      <c r="A230" s="7" t="s">
        <v>327</v>
      </c>
      <c r="B230" s="12" t="s">
        <v>109</v>
      </c>
      <c r="C230">
        <v>826142080.52848184</v>
      </c>
      <c r="D230">
        <v>840010175.86173725</v>
      </c>
      <c r="E230">
        <v>10984615.315315319</v>
      </c>
      <c r="F230">
        <v>71965917.117117122</v>
      </c>
      <c r="G230">
        <v>274</v>
      </c>
      <c r="H230">
        <v>294</v>
      </c>
      <c r="I230">
        <v>1</v>
      </c>
      <c r="K230">
        <v>463</v>
      </c>
      <c r="L230">
        <v>504</v>
      </c>
      <c r="M230">
        <v>568898219.81981981</v>
      </c>
      <c r="N230">
        <v>365327600.9009009</v>
      </c>
      <c r="O230">
        <v>257357092.34234235</v>
      </c>
      <c r="P230">
        <v>258446000</v>
      </c>
      <c r="Q230">
        <v>109591531.53153154</v>
      </c>
      <c r="R230">
        <v>308223783.78378379</v>
      </c>
      <c r="S230">
        <v>21266</v>
      </c>
      <c r="T230">
        <v>20076</v>
      </c>
    </row>
    <row r="231" spans="1:20" x14ac:dyDescent="0.35">
      <c r="A231" s="7" t="s">
        <v>328</v>
      </c>
      <c r="B231" s="12" t="s">
        <v>79</v>
      </c>
      <c r="C231">
        <v>87399080.837508857</v>
      </c>
      <c r="D231">
        <v>84997151.84055312</v>
      </c>
      <c r="E231">
        <v>561261.26126126305</v>
      </c>
      <c r="F231">
        <v>829729.72972973005</v>
      </c>
      <c r="G231">
        <v>27</v>
      </c>
      <c r="H231">
        <v>30</v>
      </c>
      <c r="K231">
        <v>30</v>
      </c>
      <c r="L231">
        <v>31</v>
      </c>
      <c r="M231">
        <v>8128828.8288288284</v>
      </c>
      <c r="N231">
        <v>8938738.7387387399</v>
      </c>
      <c r="O231">
        <v>28078738.738738742</v>
      </c>
      <c r="P231">
        <v>29818963.963963963</v>
      </c>
      <c r="Q231">
        <v>7535765.7657657657</v>
      </c>
      <c r="R231">
        <v>9120990.9909909926</v>
      </c>
      <c r="S231">
        <v>2178</v>
      </c>
      <c r="T231">
        <v>1803</v>
      </c>
    </row>
    <row r="232" spans="1:20" x14ac:dyDescent="0.35">
      <c r="A232" s="7" t="s">
        <v>329</v>
      </c>
      <c r="B232" s="12" t="s">
        <v>122</v>
      </c>
      <c r="C232">
        <v>223135536.59697708</v>
      </c>
      <c r="D232">
        <v>213391237.41604802</v>
      </c>
      <c r="E232">
        <v>1043018.018018018</v>
      </c>
      <c r="F232">
        <v>702702.70270270796</v>
      </c>
      <c r="G232">
        <v>69</v>
      </c>
      <c r="H232">
        <v>80</v>
      </c>
      <c r="I232">
        <v>9</v>
      </c>
      <c r="K232">
        <v>77</v>
      </c>
      <c r="L232">
        <v>85</v>
      </c>
      <c r="M232">
        <v>20663063.063063063</v>
      </c>
      <c r="N232">
        <v>15387387.387387387</v>
      </c>
      <c r="O232">
        <v>35282726.126126125</v>
      </c>
      <c r="P232">
        <v>39031099.0990991</v>
      </c>
      <c r="Q232">
        <v>15111261.26126126</v>
      </c>
      <c r="R232">
        <v>13299279.279279277</v>
      </c>
      <c r="S232">
        <v>19910</v>
      </c>
      <c r="T232">
        <v>3564</v>
      </c>
    </row>
    <row r="233" spans="1:20" x14ac:dyDescent="0.35">
      <c r="A233" s="7" t="s">
        <v>330</v>
      </c>
      <c r="B233" s="12" t="s">
        <v>331</v>
      </c>
      <c r="C233">
        <v>540524096.80620766</v>
      </c>
      <c r="D233">
        <v>522191375.84791911</v>
      </c>
      <c r="E233">
        <v>9065990.9909909926</v>
      </c>
      <c r="F233">
        <v>4083333.3333333428</v>
      </c>
      <c r="G233">
        <v>208</v>
      </c>
      <c r="H233">
        <v>243</v>
      </c>
      <c r="I233">
        <v>25</v>
      </c>
      <c r="K233">
        <v>301</v>
      </c>
      <c r="L233">
        <v>309</v>
      </c>
      <c r="M233">
        <v>86289189.189189181</v>
      </c>
      <c r="N233">
        <v>97863153.153153151</v>
      </c>
      <c r="O233">
        <v>126769092.34234233</v>
      </c>
      <c r="P233">
        <v>121298818.01801802</v>
      </c>
      <c r="Q233">
        <v>78866936.93693693</v>
      </c>
      <c r="R233">
        <v>104041171.17117117</v>
      </c>
      <c r="S233">
        <v>15559</v>
      </c>
      <c r="T233">
        <v>13734</v>
      </c>
    </row>
    <row r="234" spans="1:20" x14ac:dyDescent="0.35">
      <c r="A234" s="7" t="s">
        <v>332</v>
      </c>
      <c r="B234" s="12" t="s">
        <v>291</v>
      </c>
      <c r="C234">
        <v>794708456.49798954</v>
      </c>
      <c r="D234">
        <v>800037571.48279274</v>
      </c>
      <c r="E234">
        <v>175088073.87387389</v>
      </c>
      <c r="F234">
        <v>171539163.96396396</v>
      </c>
      <c r="G234">
        <v>313</v>
      </c>
      <c r="H234">
        <v>310</v>
      </c>
      <c r="K234">
        <v>396</v>
      </c>
      <c r="L234">
        <v>349</v>
      </c>
      <c r="M234">
        <v>110582471.17117117</v>
      </c>
      <c r="N234">
        <v>108567526.12612613</v>
      </c>
      <c r="O234">
        <v>145149700.9009009</v>
      </c>
      <c r="P234">
        <v>150453736.93693691</v>
      </c>
      <c r="Q234">
        <v>74683063.063063055</v>
      </c>
      <c r="R234">
        <v>87030180.180180177</v>
      </c>
      <c r="S234">
        <v>17875</v>
      </c>
      <c r="T234">
        <v>17075</v>
      </c>
    </row>
    <row r="235" spans="1:20" x14ac:dyDescent="0.35">
      <c r="A235" s="7" t="s">
        <v>333</v>
      </c>
      <c r="B235" s="12" t="s">
        <v>291</v>
      </c>
      <c r="C235">
        <v>605972181.37572491</v>
      </c>
      <c r="D235">
        <v>622636653.86446691</v>
      </c>
      <c r="E235">
        <v>6345945.9459459558</v>
      </c>
      <c r="F235">
        <v>5367567.5675675739</v>
      </c>
      <c r="G235">
        <v>163</v>
      </c>
      <c r="H235">
        <v>207</v>
      </c>
      <c r="I235">
        <v>2</v>
      </c>
      <c r="K235">
        <v>196</v>
      </c>
      <c r="L235">
        <v>342</v>
      </c>
      <c r="M235">
        <v>83648648.648648649</v>
      </c>
      <c r="N235">
        <v>91013963.963963971</v>
      </c>
      <c r="O235">
        <v>162077369.36936939</v>
      </c>
      <c r="P235">
        <v>172099214.41441441</v>
      </c>
      <c r="Q235">
        <v>84478828.828828827</v>
      </c>
      <c r="R235">
        <v>143178828.82882884</v>
      </c>
      <c r="S235">
        <v>15780</v>
      </c>
      <c r="T235">
        <v>14972</v>
      </c>
    </row>
    <row r="236" spans="1:20" x14ac:dyDescent="0.35">
      <c r="A236" s="7" t="s">
        <v>334</v>
      </c>
      <c r="B236" s="12" t="s">
        <v>61</v>
      </c>
      <c r="C236">
        <v>82847410.777863339</v>
      </c>
      <c r="D236">
        <v>84011313.537871152</v>
      </c>
      <c r="E236">
        <v>2365765.765765768</v>
      </c>
      <c r="F236">
        <v>1890990.990990991</v>
      </c>
      <c r="G236">
        <v>83</v>
      </c>
      <c r="H236">
        <v>38</v>
      </c>
      <c r="I236">
        <v>2</v>
      </c>
      <c r="K236">
        <v>120</v>
      </c>
      <c r="L236">
        <v>56</v>
      </c>
      <c r="M236">
        <v>34109909.909909911</v>
      </c>
      <c r="N236">
        <v>7431531.5315315332</v>
      </c>
      <c r="O236">
        <v>29497639.639639638</v>
      </c>
      <c r="P236">
        <v>28810333.333333332</v>
      </c>
      <c r="Q236">
        <v>31359009.009009007</v>
      </c>
      <c r="R236">
        <v>5782612.6126126116</v>
      </c>
      <c r="S236">
        <v>2099</v>
      </c>
      <c r="T236">
        <v>1956</v>
      </c>
    </row>
    <row r="237" spans="1:20" x14ac:dyDescent="0.35">
      <c r="A237" s="7" t="s">
        <v>335</v>
      </c>
      <c r="B237" s="12" t="s">
        <v>61</v>
      </c>
      <c r="C237">
        <v>16339872.130833978</v>
      </c>
      <c r="D237">
        <v>18543902.392405823</v>
      </c>
      <c r="E237">
        <v>243243.24324324299</v>
      </c>
      <c r="F237">
        <v>490090.09009009099</v>
      </c>
      <c r="G237">
        <v>5</v>
      </c>
      <c r="H237">
        <v>10</v>
      </c>
      <c r="K237">
        <v>6</v>
      </c>
      <c r="L237">
        <v>12</v>
      </c>
      <c r="M237">
        <v>631981.98198198201</v>
      </c>
      <c r="N237">
        <v>938738.73873873998</v>
      </c>
      <c r="O237">
        <v>8980180.1801801808</v>
      </c>
      <c r="P237">
        <v>9634126.1261261255</v>
      </c>
      <c r="Q237">
        <v>850720.72072072094</v>
      </c>
      <c r="R237">
        <v>999459.45945945894</v>
      </c>
      <c r="S237">
        <v>942</v>
      </c>
      <c r="T237">
        <v>918</v>
      </c>
    </row>
    <row r="238" spans="1:20" x14ac:dyDescent="0.35">
      <c r="A238" s="7" t="s">
        <v>336</v>
      </c>
      <c r="B238" s="12" t="s">
        <v>122</v>
      </c>
      <c r="C238">
        <v>1772124.8714193311</v>
      </c>
      <c r="D238">
        <v>2218081.336287728</v>
      </c>
      <c r="L238">
        <v>1</v>
      </c>
      <c r="O238">
        <v>97747.747747747999</v>
      </c>
      <c r="P238">
        <v>510585.58558558603</v>
      </c>
      <c r="S238">
        <v>158</v>
      </c>
      <c r="T238">
        <v>166</v>
      </c>
    </row>
    <row r="239" spans="1:20" x14ac:dyDescent="0.35">
      <c r="A239" s="7" t="s">
        <v>337</v>
      </c>
      <c r="B239" s="12" t="s">
        <v>122</v>
      </c>
      <c r="C239">
        <v>2924868.2039069892</v>
      </c>
      <c r="D239">
        <v>3063171.9600396729</v>
      </c>
      <c r="G239">
        <v>2</v>
      </c>
      <c r="H239">
        <v>1</v>
      </c>
      <c r="K239">
        <v>2</v>
      </c>
      <c r="L239">
        <v>2</v>
      </c>
      <c r="O239">
        <v>567612.61261261301</v>
      </c>
      <c r="P239">
        <v>1109594.594594595</v>
      </c>
      <c r="S239">
        <v>98</v>
      </c>
      <c r="T239">
        <v>104</v>
      </c>
    </row>
    <row r="240" spans="1:20" x14ac:dyDescent="0.35">
      <c r="A240" s="7" t="s">
        <v>338</v>
      </c>
      <c r="B240" s="12" t="s">
        <v>122</v>
      </c>
      <c r="C240">
        <v>2344258.4223755081</v>
      </c>
      <c r="D240">
        <v>2512760.9176106998</v>
      </c>
      <c r="F240">
        <v>1696454.054054054</v>
      </c>
      <c r="G240">
        <v>1</v>
      </c>
      <c r="K240">
        <v>1</v>
      </c>
      <c r="M240">
        <v>3448218.9189189188</v>
      </c>
      <c r="O240">
        <v>18918.918918919</v>
      </c>
      <c r="P240">
        <v>325450.45045045001</v>
      </c>
      <c r="S240">
        <v>142</v>
      </c>
      <c r="T240">
        <v>127</v>
      </c>
    </row>
    <row r="241" spans="1:20" x14ac:dyDescent="0.35">
      <c r="A241" s="7" t="s">
        <v>339</v>
      </c>
      <c r="B241" s="12" t="s">
        <v>141</v>
      </c>
      <c r="C241">
        <v>909695123.26467812</v>
      </c>
      <c r="D241">
        <v>924207115.5114249</v>
      </c>
      <c r="E241">
        <v>4144144.144144149</v>
      </c>
      <c r="F241">
        <v>4245945.9459459521</v>
      </c>
      <c r="G241">
        <v>297</v>
      </c>
      <c r="H241">
        <v>141</v>
      </c>
      <c r="I241">
        <v>1</v>
      </c>
      <c r="K241">
        <v>337</v>
      </c>
      <c r="L241">
        <v>212</v>
      </c>
      <c r="M241">
        <v>89296216.216216221</v>
      </c>
      <c r="N241">
        <v>99129017.117117122</v>
      </c>
      <c r="O241">
        <v>183176854.05405405</v>
      </c>
      <c r="P241">
        <v>209834616.21621624</v>
      </c>
      <c r="Q241">
        <v>80205135.135135129</v>
      </c>
      <c r="R241">
        <v>86988738.738738731</v>
      </c>
      <c r="S241">
        <v>16323</v>
      </c>
      <c r="T241">
        <v>16220</v>
      </c>
    </row>
    <row r="242" spans="1:20" x14ac:dyDescent="0.35">
      <c r="A242" s="7" t="s">
        <v>340</v>
      </c>
      <c r="B242" s="12" t="s">
        <v>122</v>
      </c>
      <c r="C242">
        <v>137981479.71491852</v>
      </c>
      <c r="D242">
        <v>137036989.16872519</v>
      </c>
      <c r="G242">
        <v>46</v>
      </c>
      <c r="H242">
        <v>49</v>
      </c>
      <c r="K242">
        <v>47</v>
      </c>
      <c r="L242">
        <v>56</v>
      </c>
      <c r="O242">
        <v>9056036.0360360369</v>
      </c>
      <c r="P242">
        <v>10093944.144144144</v>
      </c>
      <c r="S242">
        <v>2464</v>
      </c>
      <c r="T242">
        <v>2427</v>
      </c>
    </row>
    <row r="243" spans="1:20" x14ac:dyDescent="0.35">
      <c r="A243" s="7" t="s">
        <v>341</v>
      </c>
      <c r="B243" s="12" t="s">
        <v>141</v>
      </c>
      <c r="C243">
        <v>481156427.44771618</v>
      </c>
      <c r="D243">
        <v>505834599.37253857</v>
      </c>
      <c r="E243">
        <v>2779729.729729732</v>
      </c>
      <c r="F243">
        <v>2460360.3603603649</v>
      </c>
      <c r="G243">
        <v>92</v>
      </c>
      <c r="H243">
        <v>59</v>
      </c>
      <c r="I243">
        <v>4</v>
      </c>
      <c r="K243">
        <v>124</v>
      </c>
      <c r="L243">
        <v>81</v>
      </c>
      <c r="M243">
        <v>83515495.495495498</v>
      </c>
      <c r="N243">
        <v>92560765.765765756</v>
      </c>
      <c r="O243">
        <v>144145640.09009007</v>
      </c>
      <c r="P243">
        <v>154050036.03603604</v>
      </c>
      <c r="Q243">
        <v>78608018.018018022</v>
      </c>
      <c r="R243">
        <v>79829414.414414421</v>
      </c>
      <c r="S243">
        <v>8962</v>
      </c>
      <c r="T243">
        <v>9197</v>
      </c>
    </row>
    <row r="244" spans="1:20" x14ac:dyDescent="0.35">
      <c r="A244" s="7" t="s">
        <v>342</v>
      </c>
      <c r="B244" s="12" t="s">
        <v>135</v>
      </c>
      <c r="C244">
        <v>53952265.059744097</v>
      </c>
      <c r="D244">
        <v>48950301.463607661</v>
      </c>
      <c r="E244">
        <v>54054.054054054002</v>
      </c>
      <c r="F244">
        <v>27027.027027028002</v>
      </c>
      <c r="G244">
        <v>13</v>
      </c>
      <c r="H244">
        <v>10</v>
      </c>
      <c r="I244">
        <v>1</v>
      </c>
      <c r="K244">
        <v>13</v>
      </c>
      <c r="L244">
        <v>12</v>
      </c>
      <c r="M244">
        <v>1765765.7657657659</v>
      </c>
      <c r="N244">
        <v>1558558.5585585581</v>
      </c>
      <c r="O244">
        <v>5246855.8558558561</v>
      </c>
      <c r="P244">
        <v>5840459.4594594594</v>
      </c>
      <c r="Q244">
        <v>1333243.2432432431</v>
      </c>
      <c r="R244">
        <v>967747.74774774804</v>
      </c>
      <c r="S244">
        <v>1309</v>
      </c>
      <c r="T244">
        <v>1268</v>
      </c>
    </row>
    <row r="245" spans="1:20" x14ac:dyDescent="0.35">
      <c r="A245" s="7" t="s">
        <v>343</v>
      </c>
      <c r="B245" s="12" t="s">
        <v>122</v>
      </c>
      <c r="C245">
        <v>2263576.140901641</v>
      </c>
      <c r="D245">
        <v>3213101.2449188288</v>
      </c>
      <c r="G245">
        <v>10</v>
      </c>
      <c r="H245">
        <v>3</v>
      </c>
      <c r="K245">
        <v>13</v>
      </c>
      <c r="L245">
        <v>4</v>
      </c>
      <c r="O245">
        <v>986216.21621621598</v>
      </c>
      <c r="P245">
        <v>2185675.6756756762</v>
      </c>
      <c r="S245">
        <v>392</v>
      </c>
      <c r="T245">
        <v>365</v>
      </c>
    </row>
    <row r="246" spans="1:20" x14ac:dyDescent="0.35">
      <c r="A246" s="7" t="s">
        <v>5</v>
      </c>
      <c r="B246" s="12" t="s">
        <v>159</v>
      </c>
      <c r="C246">
        <v>188045409.73338524</v>
      </c>
      <c r="D246">
        <v>191846016.04570207</v>
      </c>
      <c r="E246">
        <v>1052252.252252253</v>
      </c>
      <c r="F246">
        <v>128828.82882883</v>
      </c>
      <c r="G246">
        <v>34</v>
      </c>
      <c r="H246">
        <v>21</v>
      </c>
      <c r="I246">
        <v>1</v>
      </c>
      <c r="K246">
        <v>34</v>
      </c>
      <c r="L246">
        <v>25</v>
      </c>
      <c r="M246">
        <v>14059459.459459459</v>
      </c>
      <c r="N246">
        <v>17077477.477477476</v>
      </c>
      <c r="O246">
        <v>80724450.45045045</v>
      </c>
      <c r="P246">
        <v>80955234.234234244</v>
      </c>
      <c r="Q246">
        <v>12748648.648648648</v>
      </c>
      <c r="R246">
        <v>15664324.324324325</v>
      </c>
      <c r="S246">
        <v>3075</v>
      </c>
      <c r="T246">
        <v>3036</v>
      </c>
    </row>
    <row r="247" spans="1:20" x14ac:dyDescent="0.35">
      <c r="A247" s="7" t="s">
        <v>344</v>
      </c>
      <c r="B247" s="12" t="s">
        <v>305</v>
      </c>
      <c r="C247">
        <v>19035617.122321833</v>
      </c>
      <c r="D247">
        <v>30477709.568887401</v>
      </c>
      <c r="E247">
        <v>900900.90090090095</v>
      </c>
      <c r="F247">
        <v>360360.36036036001</v>
      </c>
      <c r="G247">
        <v>14</v>
      </c>
      <c r="H247">
        <v>48</v>
      </c>
      <c r="K247">
        <v>17</v>
      </c>
      <c r="L247">
        <v>60</v>
      </c>
      <c r="M247">
        <v>1351351.351351351</v>
      </c>
      <c r="N247">
        <v>360360.36036036001</v>
      </c>
      <c r="O247">
        <v>3158297.297297297</v>
      </c>
      <c r="P247">
        <v>6118818.0180180185</v>
      </c>
      <c r="Q247">
        <v>294954.95495495503</v>
      </c>
      <c r="R247">
        <v>395495.49549549498</v>
      </c>
      <c r="S247">
        <v>542</v>
      </c>
      <c r="T247">
        <v>866</v>
      </c>
    </row>
    <row r="248" spans="1:20" x14ac:dyDescent="0.35">
      <c r="A248" s="7" t="s">
        <v>345</v>
      </c>
      <c r="B248" s="12" t="s">
        <v>106</v>
      </c>
      <c r="C248">
        <v>379460176.39730507</v>
      </c>
      <c r="D248">
        <v>394408205.06541979</v>
      </c>
      <c r="E248">
        <v>2487837.837837839</v>
      </c>
      <c r="F248">
        <v>1815315.3153153169</v>
      </c>
      <c r="G248">
        <v>84</v>
      </c>
      <c r="H248">
        <v>99</v>
      </c>
      <c r="K248">
        <v>93</v>
      </c>
      <c r="L248">
        <v>107</v>
      </c>
      <c r="M248">
        <v>57706486.486486487</v>
      </c>
      <c r="N248">
        <v>85924099.0990991</v>
      </c>
      <c r="O248">
        <v>93613855.855855852</v>
      </c>
      <c r="P248">
        <v>102281432.43243243</v>
      </c>
      <c r="Q248">
        <v>50430900.900900893</v>
      </c>
      <c r="R248">
        <v>82764369.369369358</v>
      </c>
      <c r="S248">
        <v>5842</v>
      </c>
      <c r="T248">
        <v>5988</v>
      </c>
    </row>
    <row r="249" spans="1:20" x14ac:dyDescent="0.35">
      <c r="A249" s="7" t="s">
        <v>346</v>
      </c>
      <c r="B249" s="12" t="s">
        <v>88</v>
      </c>
      <c r="C249">
        <v>111524697.45907712</v>
      </c>
      <c r="D249">
        <v>113111139.87566203</v>
      </c>
      <c r="E249">
        <v>905405.40540540405</v>
      </c>
      <c r="F249">
        <v>734234.23423423502</v>
      </c>
      <c r="G249">
        <v>51</v>
      </c>
      <c r="H249">
        <v>53</v>
      </c>
      <c r="K249">
        <v>55</v>
      </c>
      <c r="L249">
        <v>60</v>
      </c>
      <c r="M249">
        <v>32260360.360360362</v>
      </c>
      <c r="N249">
        <v>31103603.603603605</v>
      </c>
      <c r="O249">
        <v>29912361.261261266</v>
      </c>
      <c r="P249">
        <v>34754124.324324325</v>
      </c>
      <c r="Q249">
        <v>23772518.918918919</v>
      </c>
      <c r="R249">
        <v>20216486.486486483</v>
      </c>
      <c r="S249">
        <v>2501</v>
      </c>
      <c r="T249">
        <v>2390</v>
      </c>
    </row>
    <row r="250" spans="1:20" x14ac:dyDescent="0.35">
      <c r="A250" s="7" t="s">
        <v>347</v>
      </c>
      <c r="B250" s="12" t="s">
        <v>88</v>
      </c>
      <c r="C250">
        <v>322132912.94071561</v>
      </c>
      <c r="D250">
        <v>299350242.29395831</v>
      </c>
      <c r="E250">
        <v>7066666.6666666698</v>
      </c>
      <c r="F250">
        <v>24747747.747747753</v>
      </c>
      <c r="G250">
        <v>187</v>
      </c>
      <c r="H250">
        <v>189</v>
      </c>
      <c r="I250">
        <v>4</v>
      </c>
      <c r="K250">
        <v>227</v>
      </c>
      <c r="L250">
        <v>239</v>
      </c>
      <c r="M250">
        <v>29035135.135135137</v>
      </c>
      <c r="N250">
        <v>32090090.090090089</v>
      </c>
      <c r="O250">
        <v>52416619.819819823</v>
      </c>
      <c r="P250">
        <v>58484000</v>
      </c>
      <c r="Q250">
        <v>22265315.315315317</v>
      </c>
      <c r="R250">
        <v>26949369.369369369</v>
      </c>
      <c r="S250">
        <v>6656</v>
      </c>
      <c r="T250">
        <v>6231</v>
      </c>
    </row>
    <row r="251" spans="1:20" x14ac:dyDescent="0.35">
      <c r="A251" s="7" t="s">
        <v>348</v>
      </c>
      <c r="B251" s="12" t="s">
        <v>88</v>
      </c>
      <c r="C251">
        <v>9476109.9176177029</v>
      </c>
      <c r="D251">
        <v>9786736.5700877961</v>
      </c>
      <c r="G251">
        <v>17</v>
      </c>
      <c r="H251">
        <v>7</v>
      </c>
      <c r="K251">
        <v>18</v>
      </c>
      <c r="L251">
        <v>8</v>
      </c>
      <c r="O251">
        <v>4006792.7927927929</v>
      </c>
      <c r="P251">
        <v>5338693.6936936937</v>
      </c>
      <c r="S251">
        <v>808</v>
      </c>
      <c r="T251">
        <v>869</v>
      </c>
    </row>
    <row r="252" spans="1:20" x14ac:dyDescent="0.35">
      <c r="A252" s="7" t="s">
        <v>349</v>
      </c>
      <c r="B252" s="12" t="s">
        <v>88</v>
      </c>
      <c r="C252">
        <v>4300223.22401122</v>
      </c>
      <c r="D252">
        <v>3504543.3464516168</v>
      </c>
      <c r="G252">
        <v>3</v>
      </c>
      <c r="K252">
        <v>3</v>
      </c>
      <c r="O252">
        <v>1612792.792792792</v>
      </c>
      <c r="P252">
        <v>1198153.1531531529</v>
      </c>
      <c r="S252">
        <v>192</v>
      </c>
      <c r="T252">
        <v>176</v>
      </c>
    </row>
    <row r="253" spans="1:20" x14ac:dyDescent="0.35">
      <c r="A253" s="7" t="s">
        <v>350</v>
      </c>
      <c r="B253" s="12" t="s">
        <v>88</v>
      </c>
      <c r="C253">
        <v>3557400.2957689082</v>
      </c>
      <c r="D253">
        <v>1877108.3127977119</v>
      </c>
      <c r="G253">
        <v>6</v>
      </c>
      <c r="H253">
        <v>5</v>
      </c>
      <c r="K253">
        <v>10</v>
      </c>
      <c r="L253">
        <v>9</v>
      </c>
      <c r="O253">
        <v>2048207.2072072071</v>
      </c>
      <c r="P253">
        <v>1206126.1261261259</v>
      </c>
      <c r="S253">
        <v>617</v>
      </c>
      <c r="T253">
        <v>447</v>
      </c>
    </row>
    <row r="254" spans="1:20" x14ac:dyDescent="0.35">
      <c r="A254" s="7" t="s">
        <v>351</v>
      </c>
      <c r="B254" s="12" t="s">
        <v>88</v>
      </c>
      <c r="C254">
        <v>103952702.99172297</v>
      </c>
      <c r="D254">
        <v>105439638.80947341</v>
      </c>
      <c r="E254">
        <v>173873.87387387501</v>
      </c>
      <c r="F254">
        <v>678378.37837838102</v>
      </c>
      <c r="G254">
        <v>81</v>
      </c>
      <c r="H254">
        <v>51</v>
      </c>
      <c r="I254">
        <v>1</v>
      </c>
      <c r="K254">
        <v>87</v>
      </c>
      <c r="L254">
        <v>60</v>
      </c>
      <c r="M254">
        <v>7988288.2882882878</v>
      </c>
      <c r="N254">
        <v>13191891.891891891</v>
      </c>
      <c r="O254">
        <v>19528490.990990993</v>
      </c>
      <c r="P254">
        <v>25245171.171171173</v>
      </c>
      <c r="Q254">
        <v>5979009.0090090083</v>
      </c>
      <c r="R254">
        <v>10487657.657657659</v>
      </c>
      <c r="S254">
        <v>2115</v>
      </c>
      <c r="T254">
        <v>2150</v>
      </c>
    </row>
    <row r="255" spans="1:20" x14ac:dyDescent="0.35">
      <c r="A255" s="7" t="s">
        <v>352</v>
      </c>
      <c r="B255" s="12" t="s">
        <v>51</v>
      </c>
      <c r="C255">
        <v>276744534.92248005</v>
      </c>
      <c r="D255">
        <v>259644914.86888322</v>
      </c>
      <c r="E255">
        <v>3284684.6846846868</v>
      </c>
      <c r="F255">
        <v>2711711.711711715</v>
      </c>
      <c r="G255">
        <v>63</v>
      </c>
      <c r="H255">
        <v>112</v>
      </c>
      <c r="K255">
        <v>70</v>
      </c>
      <c r="L255">
        <v>146</v>
      </c>
      <c r="M255">
        <v>45604864.864864863</v>
      </c>
      <c r="N255">
        <v>48093828.828828827</v>
      </c>
      <c r="O255">
        <v>108990301.8018018</v>
      </c>
      <c r="P255">
        <v>107894378.37837839</v>
      </c>
      <c r="Q255">
        <v>41942522.522522517</v>
      </c>
      <c r="R255">
        <v>45036891.891891889</v>
      </c>
      <c r="S255">
        <v>5452</v>
      </c>
      <c r="T255">
        <v>4090</v>
      </c>
    </row>
    <row r="256" spans="1:20" x14ac:dyDescent="0.35">
      <c r="A256" s="7" t="s">
        <v>353</v>
      </c>
      <c r="B256" s="12" t="s">
        <v>124</v>
      </c>
      <c r="C256">
        <v>1664547.226799238</v>
      </c>
      <c r="D256">
        <v>2855145.7871562578</v>
      </c>
      <c r="G256">
        <v>1</v>
      </c>
      <c r="H256">
        <v>1</v>
      </c>
      <c r="K256">
        <v>1</v>
      </c>
      <c r="L256">
        <v>1</v>
      </c>
      <c r="O256">
        <v>574414.41441441397</v>
      </c>
      <c r="P256">
        <v>832513.51351351303</v>
      </c>
      <c r="S256">
        <v>100</v>
      </c>
      <c r="T256">
        <v>145</v>
      </c>
    </row>
    <row r="257" spans="1:20" x14ac:dyDescent="0.35">
      <c r="A257" s="7" t="s">
        <v>354</v>
      </c>
      <c r="B257" s="12" t="s">
        <v>355</v>
      </c>
      <c r="C257">
        <v>483780263.59350532</v>
      </c>
      <c r="D257">
        <v>506815710.37502998</v>
      </c>
      <c r="E257">
        <v>10374774.774774777</v>
      </c>
      <c r="F257">
        <v>14024388.288288292</v>
      </c>
      <c r="G257">
        <v>390</v>
      </c>
      <c r="H257">
        <v>449</v>
      </c>
      <c r="I257">
        <v>1</v>
      </c>
      <c r="K257">
        <v>472</v>
      </c>
      <c r="L257">
        <v>465</v>
      </c>
      <c r="M257">
        <v>274720270.27027029</v>
      </c>
      <c r="N257">
        <v>250076640.54054055</v>
      </c>
      <c r="O257">
        <v>288955621.62162161</v>
      </c>
      <c r="P257">
        <v>303656135.13513511</v>
      </c>
      <c r="Q257">
        <v>293232072.07207209</v>
      </c>
      <c r="R257">
        <v>247427297.29729727</v>
      </c>
      <c r="S257">
        <v>9695</v>
      </c>
      <c r="T257">
        <v>11275</v>
      </c>
    </row>
    <row r="258" spans="1:20" x14ac:dyDescent="0.35">
      <c r="A258" s="7" t="s">
        <v>356</v>
      </c>
      <c r="B258" s="12" t="s">
        <v>49</v>
      </c>
      <c r="C258">
        <v>332707318.37981057</v>
      </c>
      <c r="D258">
        <v>374483483.34451509</v>
      </c>
      <c r="E258">
        <v>931531.53153153195</v>
      </c>
      <c r="F258">
        <v>396396.39639639901</v>
      </c>
      <c r="G258">
        <v>32</v>
      </c>
      <c r="H258">
        <v>10</v>
      </c>
      <c r="K258">
        <v>33</v>
      </c>
      <c r="L258">
        <v>13</v>
      </c>
      <c r="M258">
        <v>1677477.4774774769</v>
      </c>
      <c r="N258">
        <v>542342.34234234504</v>
      </c>
      <c r="O258">
        <v>25751963.963963963</v>
      </c>
      <c r="P258">
        <v>30452603.603603605</v>
      </c>
      <c r="Q258">
        <v>1887297.2972972961</v>
      </c>
      <c r="R258">
        <v>838558.55855856102</v>
      </c>
      <c r="S258">
        <v>5525</v>
      </c>
      <c r="T258">
        <v>5788</v>
      </c>
    </row>
    <row r="259" spans="1:20" x14ac:dyDescent="0.35">
      <c r="A259" s="7" t="s">
        <v>357</v>
      </c>
      <c r="B259" s="12" t="s">
        <v>124</v>
      </c>
      <c r="C259">
        <v>365123404.75292903</v>
      </c>
      <c r="D259">
        <v>365456217.07920539</v>
      </c>
      <c r="E259">
        <v>180180.18018018099</v>
      </c>
      <c r="F259">
        <v>719819.81981982104</v>
      </c>
      <c r="G259">
        <v>78</v>
      </c>
      <c r="H259">
        <v>63</v>
      </c>
      <c r="K259">
        <v>80</v>
      </c>
      <c r="L259">
        <v>68</v>
      </c>
      <c r="M259">
        <v>10772342.342342339</v>
      </c>
      <c r="N259">
        <v>13843423.423423423</v>
      </c>
      <c r="O259">
        <v>77207360.360360369</v>
      </c>
      <c r="P259">
        <v>88031270.270270273</v>
      </c>
      <c r="Q259">
        <v>8986666.6666666642</v>
      </c>
      <c r="R259">
        <v>13354234.234234234</v>
      </c>
      <c r="S259">
        <v>6187</v>
      </c>
      <c r="T259">
        <v>6465</v>
      </c>
    </row>
    <row r="260" spans="1:20" x14ac:dyDescent="0.35">
      <c r="A260" s="7" t="s">
        <v>358</v>
      </c>
      <c r="B260" s="12" t="s">
        <v>63</v>
      </c>
      <c r="C260">
        <v>197972912.35553175</v>
      </c>
      <c r="D260">
        <v>205415560.09133413</v>
      </c>
      <c r="E260">
        <v>2335135.1351351361</v>
      </c>
      <c r="F260">
        <v>1518918.918918923</v>
      </c>
      <c r="G260">
        <v>35</v>
      </c>
      <c r="H260">
        <v>7</v>
      </c>
      <c r="K260">
        <v>39</v>
      </c>
      <c r="L260">
        <v>8</v>
      </c>
      <c r="M260">
        <v>31872252.252252255</v>
      </c>
      <c r="N260">
        <v>44427477.477477483</v>
      </c>
      <c r="O260">
        <v>55559837.837837838</v>
      </c>
      <c r="P260">
        <v>64720306.306306303</v>
      </c>
      <c r="Q260">
        <v>33414144.144144144</v>
      </c>
      <c r="R260">
        <v>25069459.459459461</v>
      </c>
      <c r="S260">
        <v>3841</v>
      </c>
      <c r="T260">
        <v>3736</v>
      </c>
    </row>
    <row r="261" spans="1:20" x14ac:dyDescent="0.35">
      <c r="A261" s="7" t="s">
        <v>359</v>
      </c>
      <c r="B261" s="12" t="s">
        <v>316</v>
      </c>
      <c r="C261">
        <v>5701798.7172259921</v>
      </c>
      <c r="D261">
        <v>13305201.595914405</v>
      </c>
      <c r="E261">
        <v>183845206.3063063</v>
      </c>
      <c r="F261">
        <v>211211396.3963964</v>
      </c>
      <c r="G261">
        <v>10</v>
      </c>
      <c r="H261">
        <v>15</v>
      </c>
      <c r="K261">
        <v>11</v>
      </c>
      <c r="L261">
        <v>15</v>
      </c>
      <c r="M261">
        <v>1519144.1441441439</v>
      </c>
      <c r="N261">
        <v>14423873.873873875</v>
      </c>
      <c r="O261">
        <v>2316846.8468468469</v>
      </c>
      <c r="P261">
        <v>6875855.8558558561</v>
      </c>
      <c r="S261">
        <v>1</v>
      </c>
      <c r="T261">
        <v>581</v>
      </c>
    </row>
    <row r="262" spans="1:20" x14ac:dyDescent="0.35">
      <c r="A262" s="7" t="s">
        <v>360</v>
      </c>
      <c r="B262" s="12" t="s">
        <v>316</v>
      </c>
      <c r="C262">
        <v>199520498.80794731</v>
      </c>
      <c r="D262">
        <v>165594702.59083831</v>
      </c>
      <c r="E262">
        <v>1341441.4414414419</v>
      </c>
      <c r="F262">
        <v>397297.29729730001</v>
      </c>
      <c r="G262">
        <v>46</v>
      </c>
      <c r="H262">
        <v>24</v>
      </c>
      <c r="K262">
        <v>53</v>
      </c>
      <c r="L262">
        <v>28</v>
      </c>
      <c r="M262">
        <v>38303963.963963963</v>
      </c>
      <c r="N262">
        <v>49969819.819819823</v>
      </c>
      <c r="O262">
        <v>72909306.306306303</v>
      </c>
      <c r="P262">
        <v>68071459.459459454</v>
      </c>
      <c r="Q262">
        <v>40446576.576576576</v>
      </c>
      <c r="R262">
        <v>45829009.009009011</v>
      </c>
      <c r="S262">
        <v>3170</v>
      </c>
      <c r="T262">
        <v>3102</v>
      </c>
    </row>
    <row r="263" spans="1:20" x14ac:dyDescent="0.35">
      <c r="A263" s="7" t="s">
        <v>361</v>
      </c>
      <c r="B263" s="12" t="s">
        <v>93</v>
      </c>
      <c r="C263">
        <v>364776610.71400559</v>
      </c>
      <c r="D263">
        <v>366839418.92314732</v>
      </c>
      <c r="E263">
        <v>7348648.6486486495</v>
      </c>
      <c r="F263">
        <v>5149099.0990991024</v>
      </c>
      <c r="G263">
        <v>79</v>
      </c>
      <c r="H263">
        <v>73</v>
      </c>
      <c r="I263">
        <v>2</v>
      </c>
      <c r="K263">
        <v>88</v>
      </c>
      <c r="L263">
        <v>113</v>
      </c>
      <c r="M263">
        <v>88321801.801801801</v>
      </c>
      <c r="N263">
        <v>67996396.396396399</v>
      </c>
      <c r="O263">
        <v>108652529.72972973</v>
      </c>
      <c r="P263">
        <v>108534135.13513513</v>
      </c>
      <c r="Q263">
        <v>83166529.729729727</v>
      </c>
      <c r="R263">
        <v>64493693.693693697</v>
      </c>
      <c r="S263">
        <v>6859</v>
      </c>
      <c r="T263">
        <v>7567</v>
      </c>
    </row>
    <row r="264" spans="1:20" x14ac:dyDescent="0.35">
      <c r="A264" s="7" t="s">
        <v>362</v>
      </c>
      <c r="B264" s="12" t="s">
        <v>59</v>
      </c>
      <c r="C264">
        <v>713573139.21264148</v>
      </c>
      <c r="D264">
        <v>743784255.63195813</v>
      </c>
      <c r="E264">
        <v>1575675.6756756781</v>
      </c>
      <c r="F264">
        <v>3094594.5945945992</v>
      </c>
      <c r="G264">
        <v>119</v>
      </c>
      <c r="H264">
        <v>234</v>
      </c>
      <c r="K264">
        <v>128</v>
      </c>
      <c r="L264">
        <v>257</v>
      </c>
      <c r="M264">
        <v>30590090.090090092</v>
      </c>
      <c r="N264">
        <v>75207207.207207203</v>
      </c>
      <c r="O264">
        <v>112855306.3063063</v>
      </c>
      <c r="P264">
        <v>135647387.38738739</v>
      </c>
      <c r="Q264">
        <v>29479099.0990991</v>
      </c>
      <c r="R264">
        <v>61092972.972972967</v>
      </c>
      <c r="S264">
        <v>14818</v>
      </c>
      <c r="T264">
        <v>14499</v>
      </c>
    </row>
    <row r="265" spans="1:20" x14ac:dyDescent="0.35">
      <c r="A265" s="7" t="s">
        <v>363</v>
      </c>
      <c r="B265" s="12" t="s">
        <v>49</v>
      </c>
      <c r="C265">
        <v>253913063.05978701</v>
      </c>
      <c r="D265">
        <v>269232052.22921771</v>
      </c>
      <c r="E265">
        <v>466666.66666666599</v>
      </c>
      <c r="F265">
        <v>1212612.6126126139</v>
      </c>
      <c r="G265">
        <v>8</v>
      </c>
      <c r="H265">
        <v>8</v>
      </c>
      <c r="K265">
        <v>9</v>
      </c>
      <c r="L265">
        <v>10</v>
      </c>
      <c r="M265">
        <v>32596756.756756756</v>
      </c>
      <c r="N265">
        <v>14326126.126126127</v>
      </c>
      <c r="O265">
        <v>41504486.486486487</v>
      </c>
      <c r="P265">
        <v>50009639.639639638</v>
      </c>
      <c r="Q265">
        <v>29771621.62162162</v>
      </c>
      <c r="R265">
        <v>16233153.153153157</v>
      </c>
      <c r="S265">
        <v>3885</v>
      </c>
      <c r="T265">
        <v>4082</v>
      </c>
    </row>
    <row r="266" spans="1:20" x14ac:dyDescent="0.35">
      <c r="A266" s="7" t="s">
        <v>364</v>
      </c>
      <c r="B266" s="12" t="s">
        <v>53</v>
      </c>
      <c r="C266">
        <v>107427022.67856629</v>
      </c>
      <c r="D266">
        <v>106020162.71321042</v>
      </c>
      <c r="E266">
        <v>285585.58558558603</v>
      </c>
      <c r="F266">
        <v>974774.774774777</v>
      </c>
      <c r="G266">
        <v>64</v>
      </c>
      <c r="H266">
        <v>19</v>
      </c>
      <c r="K266">
        <v>68</v>
      </c>
      <c r="L266">
        <v>25</v>
      </c>
      <c r="M266">
        <v>2321621.6216216199</v>
      </c>
      <c r="N266">
        <v>5783783.7837837832</v>
      </c>
      <c r="O266">
        <v>52375135.135135137</v>
      </c>
      <c r="P266">
        <v>50747331.531531528</v>
      </c>
      <c r="Q266">
        <v>2492072.072072071</v>
      </c>
      <c r="R266">
        <v>5686306.3063063044</v>
      </c>
      <c r="S266">
        <v>2910</v>
      </c>
      <c r="T266">
        <v>2546</v>
      </c>
    </row>
    <row r="267" spans="1:20" x14ac:dyDescent="0.35">
      <c r="A267" s="7" t="s">
        <v>365</v>
      </c>
      <c r="B267" s="12" t="s">
        <v>53</v>
      </c>
      <c r="C267">
        <v>82570228.16267851</v>
      </c>
      <c r="D267">
        <v>82706109.21679686</v>
      </c>
      <c r="E267">
        <v>2721621.621621625</v>
      </c>
      <c r="F267">
        <v>2604954.9549549562</v>
      </c>
      <c r="G267">
        <v>95</v>
      </c>
      <c r="H267">
        <v>46</v>
      </c>
      <c r="I267">
        <v>1</v>
      </c>
      <c r="K267">
        <v>224</v>
      </c>
      <c r="L267">
        <v>133</v>
      </c>
      <c r="M267">
        <v>7667567.5675675683</v>
      </c>
      <c r="N267">
        <v>16001351.351351352</v>
      </c>
      <c r="O267">
        <v>45672954.954954959</v>
      </c>
      <c r="P267">
        <v>46104387.387387395</v>
      </c>
      <c r="Q267">
        <v>12620720.72072072</v>
      </c>
      <c r="R267">
        <v>13763243.243243242</v>
      </c>
      <c r="S267">
        <v>2598</v>
      </c>
      <c r="T267">
        <v>2328</v>
      </c>
    </row>
    <row r="268" spans="1:20" x14ac:dyDescent="0.35">
      <c r="A268" s="7" t="s">
        <v>366</v>
      </c>
      <c r="B268" s="12" t="s">
        <v>53</v>
      </c>
      <c r="C268">
        <v>935527738.56379426</v>
      </c>
      <c r="D268">
        <v>933233228.09628296</v>
      </c>
      <c r="E268">
        <v>334850732.43243247</v>
      </c>
      <c r="F268">
        <v>359468245.04504508</v>
      </c>
      <c r="G268">
        <v>310</v>
      </c>
      <c r="H268">
        <v>471</v>
      </c>
      <c r="I268">
        <v>3</v>
      </c>
      <c r="K268">
        <v>484</v>
      </c>
      <c r="L268">
        <v>855</v>
      </c>
      <c r="M268">
        <v>53415322.522522531</v>
      </c>
      <c r="N268">
        <v>551909549.54954958</v>
      </c>
      <c r="O268">
        <v>344621350.45045042</v>
      </c>
      <c r="P268">
        <v>350926387.38738739</v>
      </c>
      <c r="Q268">
        <v>73820090.090090096</v>
      </c>
      <c r="R268">
        <v>89783153.153153151</v>
      </c>
      <c r="S268">
        <v>25755</v>
      </c>
      <c r="T268">
        <v>21028</v>
      </c>
    </row>
    <row r="269" spans="1:20" x14ac:dyDescent="0.35">
      <c r="A269" s="7" t="s">
        <v>367</v>
      </c>
      <c r="B269" s="12" t="s">
        <v>294</v>
      </c>
      <c r="C269">
        <v>541807004.56775928</v>
      </c>
      <c r="D269">
        <v>549383967.32774973</v>
      </c>
      <c r="E269">
        <v>3636936.936936934</v>
      </c>
      <c r="F269">
        <v>8314414.4144144133</v>
      </c>
      <c r="G269">
        <v>148</v>
      </c>
      <c r="H269">
        <v>76</v>
      </c>
      <c r="K269">
        <v>185</v>
      </c>
      <c r="L269">
        <v>289</v>
      </c>
      <c r="M269">
        <v>56568918.91891893</v>
      </c>
      <c r="N269">
        <v>86914594.594594598</v>
      </c>
      <c r="O269">
        <v>176899426.12612611</v>
      </c>
      <c r="P269">
        <v>179240464.86486486</v>
      </c>
      <c r="Q269">
        <v>60053243.243243247</v>
      </c>
      <c r="R269">
        <v>84045045.045045033</v>
      </c>
      <c r="S269">
        <v>14584</v>
      </c>
      <c r="T269">
        <v>10785</v>
      </c>
    </row>
    <row r="270" spans="1:20" x14ac:dyDescent="0.35">
      <c r="A270" s="7" t="s">
        <v>368</v>
      </c>
      <c r="B270" s="12" t="s">
        <v>369</v>
      </c>
      <c r="C270">
        <v>228233561.4098818</v>
      </c>
      <c r="D270">
        <v>225540097.42947653</v>
      </c>
      <c r="E270">
        <v>125203021.62162164</v>
      </c>
      <c r="F270">
        <v>142106905.4054054</v>
      </c>
      <c r="G270">
        <v>51</v>
      </c>
      <c r="H270">
        <v>32</v>
      </c>
      <c r="K270">
        <v>66</v>
      </c>
      <c r="L270">
        <v>36</v>
      </c>
      <c r="M270">
        <v>66421801.801801801</v>
      </c>
      <c r="N270">
        <v>92916756.756756753</v>
      </c>
      <c r="O270">
        <v>96985576.576576576</v>
      </c>
      <c r="P270">
        <v>98159655.855855852</v>
      </c>
      <c r="Q270">
        <v>65626756.756756753</v>
      </c>
      <c r="R270">
        <v>83692432.432432428</v>
      </c>
      <c r="S270">
        <v>4834</v>
      </c>
      <c r="T270">
        <v>3943</v>
      </c>
    </row>
    <row r="271" spans="1:20" x14ac:dyDescent="0.35">
      <c r="A271" s="7" t="s">
        <v>370</v>
      </c>
      <c r="B271" s="12" t="s">
        <v>71</v>
      </c>
      <c r="C271">
        <v>66530574.630420431</v>
      </c>
      <c r="D271">
        <v>68226475.355955824</v>
      </c>
      <c r="E271">
        <v>2105405.4054054078</v>
      </c>
      <c r="F271">
        <v>1876126.1261261271</v>
      </c>
      <c r="G271">
        <v>43</v>
      </c>
      <c r="H271">
        <v>29</v>
      </c>
      <c r="K271">
        <v>51</v>
      </c>
      <c r="L271">
        <v>48</v>
      </c>
      <c r="M271">
        <v>14038738.738738736</v>
      </c>
      <c r="N271">
        <v>15794144.144144144</v>
      </c>
      <c r="O271">
        <v>22304603.603603605</v>
      </c>
      <c r="P271">
        <v>22298531.531531531</v>
      </c>
      <c r="Q271">
        <v>13475045.045045048</v>
      </c>
      <c r="R271">
        <v>13750360.36036036</v>
      </c>
      <c r="S271">
        <v>1248</v>
      </c>
      <c r="T271">
        <v>900</v>
      </c>
    </row>
    <row r="272" spans="1:20" x14ac:dyDescent="0.35">
      <c r="A272" s="7" t="s">
        <v>371</v>
      </c>
      <c r="B272" s="12" t="s">
        <v>51</v>
      </c>
      <c r="C272">
        <v>139024656.1661413</v>
      </c>
      <c r="D272">
        <v>122128386.91026372</v>
      </c>
      <c r="E272">
        <v>1200000.0000000021</v>
      </c>
      <c r="F272">
        <v>1608108.1081081079</v>
      </c>
      <c r="G272">
        <v>32</v>
      </c>
      <c r="H272">
        <v>21</v>
      </c>
      <c r="K272">
        <v>35</v>
      </c>
      <c r="L272">
        <v>23</v>
      </c>
      <c r="M272">
        <v>10564054.054054052</v>
      </c>
      <c r="N272">
        <v>12849189.18918919</v>
      </c>
      <c r="O272">
        <v>63584279.279279277</v>
      </c>
      <c r="P272">
        <v>54482216.216216214</v>
      </c>
      <c r="Q272">
        <v>10307927.927927928</v>
      </c>
      <c r="R272">
        <v>11007117.117117116</v>
      </c>
      <c r="S272">
        <v>2815</v>
      </c>
      <c r="T272">
        <v>2642</v>
      </c>
    </row>
    <row r="273" spans="1:20" x14ac:dyDescent="0.35">
      <c r="A273" s="7" t="s">
        <v>372</v>
      </c>
      <c r="B273" s="12" t="s">
        <v>122</v>
      </c>
      <c r="C273">
        <v>136946399.54485607</v>
      </c>
      <c r="D273">
        <v>125736834.49152787</v>
      </c>
      <c r="E273">
        <v>74708208.108108118</v>
      </c>
      <c r="F273">
        <v>56003881.081081085</v>
      </c>
      <c r="G273">
        <v>56</v>
      </c>
      <c r="H273">
        <v>69</v>
      </c>
      <c r="K273">
        <v>67</v>
      </c>
      <c r="L273">
        <v>78</v>
      </c>
      <c r="M273">
        <v>20544700</v>
      </c>
      <c r="N273">
        <v>4696396.3963963976</v>
      </c>
      <c r="O273">
        <v>13959225.225225223</v>
      </c>
      <c r="P273">
        <v>14745702.702702705</v>
      </c>
      <c r="Q273">
        <v>4786576.5765765756</v>
      </c>
      <c r="R273">
        <v>3823333.333333333</v>
      </c>
      <c r="S273">
        <v>2882</v>
      </c>
      <c r="T273">
        <v>2772</v>
      </c>
    </row>
    <row r="274" spans="1:20" x14ac:dyDescent="0.35">
      <c r="A274" s="7" t="s">
        <v>373</v>
      </c>
      <c r="B274" s="12" t="s">
        <v>374</v>
      </c>
      <c r="C274">
        <v>311767366.73692816</v>
      </c>
      <c r="D274">
        <v>314944229.80054855</v>
      </c>
      <c r="E274">
        <v>50136578.378378384</v>
      </c>
      <c r="F274">
        <v>87611628.828828827</v>
      </c>
      <c r="G274">
        <v>46</v>
      </c>
      <c r="H274">
        <v>27</v>
      </c>
      <c r="K274">
        <v>48</v>
      </c>
      <c r="L274">
        <v>33</v>
      </c>
      <c r="M274">
        <v>64402522.522522517</v>
      </c>
      <c r="N274">
        <v>97885090.090090096</v>
      </c>
      <c r="O274">
        <v>118981513.51351352</v>
      </c>
      <c r="P274">
        <v>127648256.75675675</v>
      </c>
      <c r="Q274">
        <v>55968018.018018015</v>
      </c>
      <c r="R274">
        <v>65794729.729729727</v>
      </c>
      <c r="S274">
        <v>10757</v>
      </c>
      <c r="T274">
        <v>10061</v>
      </c>
    </row>
    <row r="275" spans="1:20" x14ac:dyDescent="0.35">
      <c r="A275" s="7" t="s">
        <v>375</v>
      </c>
      <c r="B275" s="12" t="s">
        <v>67</v>
      </c>
      <c r="C275">
        <v>232252861.59306529</v>
      </c>
      <c r="D275">
        <v>245999238.11309126</v>
      </c>
      <c r="E275">
        <v>9805405.4054054078</v>
      </c>
      <c r="F275">
        <v>12392342.342342349</v>
      </c>
      <c r="G275">
        <v>86</v>
      </c>
      <c r="H275">
        <v>47</v>
      </c>
      <c r="K275">
        <v>103</v>
      </c>
      <c r="L275">
        <v>54</v>
      </c>
      <c r="M275">
        <v>186674324.32432431</v>
      </c>
      <c r="N275">
        <v>331451126.12612617</v>
      </c>
      <c r="O275">
        <v>85613072.072072059</v>
      </c>
      <c r="P275">
        <v>94117729.729729727</v>
      </c>
      <c r="Q275">
        <v>154898738.73873875</v>
      </c>
      <c r="R275">
        <v>193585720.72072071</v>
      </c>
      <c r="S275">
        <v>9685</v>
      </c>
      <c r="T275">
        <v>7137</v>
      </c>
    </row>
    <row r="276" spans="1:20" x14ac:dyDescent="0.35">
      <c r="A276" s="7" t="s">
        <v>376</v>
      </c>
      <c r="B276" s="12" t="s">
        <v>355</v>
      </c>
      <c r="C276">
        <v>346981892.27450264</v>
      </c>
      <c r="D276">
        <v>353003520.64996231</v>
      </c>
      <c r="E276">
        <v>386343468.46846849</v>
      </c>
      <c r="F276">
        <v>406179577.47747749</v>
      </c>
      <c r="G276">
        <v>420</v>
      </c>
      <c r="H276">
        <v>392</v>
      </c>
      <c r="K276">
        <v>435</v>
      </c>
      <c r="L276">
        <v>410</v>
      </c>
      <c r="M276">
        <v>94255090.090090096</v>
      </c>
      <c r="N276">
        <v>112237027.02702703</v>
      </c>
      <c r="O276">
        <v>214132135.13513514</v>
      </c>
      <c r="P276">
        <v>207048900.9009009</v>
      </c>
      <c r="Q276">
        <v>82652162.162162155</v>
      </c>
      <c r="R276">
        <v>71708378.378378376</v>
      </c>
      <c r="S276">
        <v>7350</v>
      </c>
      <c r="T276">
        <v>6792</v>
      </c>
    </row>
    <row r="277" spans="1:20" x14ac:dyDescent="0.35">
      <c r="A277" s="7" t="s">
        <v>377</v>
      </c>
      <c r="B277" s="12" t="s">
        <v>67</v>
      </c>
      <c r="C277">
        <v>134355965.08322114</v>
      </c>
      <c r="D277">
        <v>137692399.1117869</v>
      </c>
      <c r="E277">
        <v>1214414.4144144149</v>
      </c>
      <c r="F277">
        <v>3000450.4504504511</v>
      </c>
      <c r="G277">
        <v>58</v>
      </c>
      <c r="H277">
        <v>23</v>
      </c>
      <c r="K277">
        <v>63</v>
      </c>
      <c r="L277">
        <v>30</v>
      </c>
      <c r="M277">
        <v>11320000</v>
      </c>
      <c r="N277">
        <v>90146621.621621609</v>
      </c>
      <c r="O277">
        <v>63541166.666666664</v>
      </c>
      <c r="P277">
        <v>62760126.126126125</v>
      </c>
      <c r="Q277">
        <v>15924054.054054052</v>
      </c>
      <c r="R277">
        <v>91502747.747747749</v>
      </c>
      <c r="S277">
        <v>6152</v>
      </c>
      <c r="T277">
        <v>5040</v>
      </c>
    </row>
    <row r="278" spans="1:20" x14ac:dyDescent="0.35">
      <c r="A278" s="7" t="s">
        <v>378</v>
      </c>
      <c r="B278" s="12" t="s">
        <v>261</v>
      </c>
      <c r="C278">
        <v>110742261.54688902</v>
      </c>
      <c r="D278">
        <v>111430040.58693294</v>
      </c>
      <c r="E278">
        <v>13513.513513514001</v>
      </c>
      <c r="F278">
        <v>567567.56756756804</v>
      </c>
      <c r="G278">
        <v>10</v>
      </c>
      <c r="H278">
        <v>25</v>
      </c>
      <c r="K278">
        <v>10</v>
      </c>
      <c r="L278">
        <v>32</v>
      </c>
      <c r="M278">
        <v>6454954.9549549539</v>
      </c>
      <c r="N278">
        <v>8152252.2522522518</v>
      </c>
      <c r="O278">
        <v>18723486.486486487</v>
      </c>
      <c r="P278">
        <v>25060689.189189188</v>
      </c>
      <c r="Q278">
        <v>3082072.072072072</v>
      </c>
      <c r="R278">
        <v>5403783.7837837841</v>
      </c>
      <c r="S278">
        <v>1599</v>
      </c>
      <c r="T278">
        <v>1716</v>
      </c>
    </row>
    <row r="279" spans="1:20" x14ac:dyDescent="0.35">
      <c r="A279" s="7" t="s">
        <v>379</v>
      </c>
      <c r="B279" s="12" t="s">
        <v>355</v>
      </c>
      <c r="C279">
        <v>292066369.90420604</v>
      </c>
      <c r="D279">
        <v>282267937.76331592</v>
      </c>
      <c r="E279">
        <v>4862162.1621621624</v>
      </c>
      <c r="F279">
        <v>7040990.9909909926</v>
      </c>
      <c r="G279">
        <v>56</v>
      </c>
      <c r="H279">
        <v>108</v>
      </c>
      <c r="K279">
        <v>60</v>
      </c>
      <c r="L279">
        <v>119</v>
      </c>
      <c r="M279">
        <v>54315225.225225233</v>
      </c>
      <c r="N279">
        <v>71452702.702702701</v>
      </c>
      <c r="O279">
        <v>162079329.72972974</v>
      </c>
      <c r="P279">
        <v>156878486.48648649</v>
      </c>
      <c r="Q279">
        <v>53550900.9009009</v>
      </c>
      <c r="R279">
        <v>56604234.234234244</v>
      </c>
      <c r="S279">
        <v>4903</v>
      </c>
      <c r="T279">
        <v>4850</v>
      </c>
    </row>
    <row r="280" spans="1:20" x14ac:dyDescent="0.35">
      <c r="A280" s="7" t="s">
        <v>380</v>
      </c>
      <c r="B280" s="12" t="s">
        <v>88</v>
      </c>
      <c r="C280">
        <v>7599938.6803416871</v>
      </c>
      <c r="D280">
        <v>7455278.8787403703</v>
      </c>
      <c r="G280">
        <v>1</v>
      </c>
      <c r="H280">
        <v>3</v>
      </c>
      <c r="K280">
        <v>2</v>
      </c>
      <c r="L280">
        <v>4</v>
      </c>
      <c r="O280">
        <v>422432.43243243301</v>
      </c>
      <c r="P280">
        <v>1405855.8558558561</v>
      </c>
      <c r="S280">
        <v>141</v>
      </c>
      <c r="T280">
        <v>207</v>
      </c>
    </row>
    <row r="281" spans="1:20" x14ac:dyDescent="0.35">
      <c r="A281" s="7" t="s">
        <v>381</v>
      </c>
      <c r="B281" s="12" t="s">
        <v>88</v>
      </c>
      <c r="C281">
        <v>11098468.786350964</v>
      </c>
      <c r="D281">
        <v>9682621.6503363438</v>
      </c>
      <c r="G281">
        <v>21</v>
      </c>
      <c r="H281">
        <v>29</v>
      </c>
      <c r="K281">
        <v>23</v>
      </c>
      <c r="L281">
        <v>33</v>
      </c>
      <c r="O281">
        <v>1385414.414414414</v>
      </c>
      <c r="P281">
        <v>1881576.576576577</v>
      </c>
      <c r="S281">
        <v>231</v>
      </c>
      <c r="T281">
        <v>334</v>
      </c>
    </row>
    <row r="282" spans="1:20" x14ac:dyDescent="0.35">
      <c r="A282" s="7" t="s">
        <v>382</v>
      </c>
      <c r="B282" s="12" t="s">
        <v>81</v>
      </c>
      <c r="C282">
        <v>1950881605.2867172</v>
      </c>
      <c r="D282">
        <v>1986651221.9659944</v>
      </c>
      <c r="E282">
        <v>1039699600.9009008</v>
      </c>
      <c r="F282">
        <v>899784941.44144142</v>
      </c>
      <c r="G282">
        <v>724</v>
      </c>
      <c r="H282">
        <v>492</v>
      </c>
      <c r="I282">
        <v>8</v>
      </c>
      <c r="K282">
        <v>858</v>
      </c>
      <c r="L282">
        <v>778</v>
      </c>
      <c r="M282">
        <v>319954504.5045045</v>
      </c>
      <c r="N282">
        <v>565669572.07207203</v>
      </c>
      <c r="O282">
        <v>508153527.47747749</v>
      </c>
      <c r="P282">
        <v>563912564.86486483</v>
      </c>
      <c r="Q282">
        <v>289883963.96396399</v>
      </c>
      <c r="R282">
        <v>264531801.8018018</v>
      </c>
      <c r="S282">
        <v>40491</v>
      </c>
      <c r="T282">
        <v>38792</v>
      </c>
    </row>
    <row r="283" spans="1:20" x14ac:dyDescent="0.35">
      <c r="A283" s="7" t="s">
        <v>383</v>
      </c>
      <c r="B283" s="12" t="s">
        <v>81</v>
      </c>
      <c r="C283">
        <v>535118046.0705629</v>
      </c>
      <c r="D283">
        <v>520997548.07821226</v>
      </c>
      <c r="E283">
        <v>6585810.8108108146</v>
      </c>
      <c r="F283">
        <v>5481081.0810810877</v>
      </c>
      <c r="G283">
        <v>162</v>
      </c>
      <c r="H283">
        <v>185</v>
      </c>
      <c r="I283">
        <v>1</v>
      </c>
      <c r="K283">
        <v>199</v>
      </c>
      <c r="L283">
        <v>304</v>
      </c>
      <c r="M283">
        <v>108083783.78378378</v>
      </c>
      <c r="N283">
        <v>126904504.50450452</v>
      </c>
      <c r="O283">
        <v>221682951.8018018</v>
      </c>
      <c r="P283">
        <v>226550278.37837836</v>
      </c>
      <c r="Q283">
        <v>93261571.171171173</v>
      </c>
      <c r="R283">
        <v>113290133.33333333</v>
      </c>
      <c r="S283">
        <v>11184</v>
      </c>
      <c r="T283">
        <v>11678</v>
      </c>
    </row>
    <row r="284" spans="1:20" x14ac:dyDescent="0.35">
      <c r="A284" s="7" t="s">
        <v>384</v>
      </c>
      <c r="B284" s="12" t="s">
        <v>81</v>
      </c>
      <c r="C284">
        <v>672579884.15924048</v>
      </c>
      <c r="D284">
        <v>697793342.27541316</v>
      </c>
      <c r="E284">
        <v>749168.46846847096</v>
      </c>
      <c r="F284">
        <v>1862162.1621621619</v>
      </c>
      <c r="G284">
        <v>94</v>
      </c>
      <c r="H284">
        <v>51</v>
      </c>
      <c r="I284">
        <v>2</v>
      </c>
      <c r="K284">
        <v>108</v>
      </c>
      <c r="L284">
        <v>63</v>
      </c>
      <c r="M284">
        <v>54823022.522522531</v>
      </c>
      <c r="N284">
        <v>40959459.459459454</v>
      </c>
      <c r="O284">
        <v>137176936.93693694</v>
      </c>
      <c r="P284">
        <v>151980142.34234235</v>
      </c>
      <c r="Q284">
        <v>55031081.081081077</v>
      </c>
      <c r="R284">
        <v>45453873.873873875</v>
      </c>
      <c r="S284">
        <v>9703</v>
      </c>
      <c r="T284">
        <v>9480</v>
      </c>
    </row>
    <row r="285" spans="1:20" x14ac:dyDescent="0.35">
      <c r="A285" s="7" t="s">
        <v>385</v>
      </c>
      <c r="B285" s="12" t="s">
        <v>69</v>
      </c>
      <c r="C285">
        <v>291472750.57013386</v>
      </c>
      <c r="D285">
        <v>283852970.1141029</v>
      </c>
      <c r="E285">
        <v>1336036.0360360381</v>
      </c>
      <c r="F285">
        <v>1664864.86486487</v>
      </c>
      <c r="G285">
        <v>59</v>
      </c>
      <c r="H285">
        <v>36</v>
      </c>
      <c r="K285">
        <v>63</v>
      </c>
      <c r="L285">
        <v>45</v>
      </c>
      <c r="M285">
        <v>11590540.540540541</v>
      </c>
      <c r="N285">
        <v>13920720.720720721</v>
      </c>
      <c r="O285">
        <v>41488261.261261262</v>
      </c>
      <c r="P285">
        <v>42003877.477477483</v>
      </c>
      <c r="Q285">
        <v>10601711.711711712</v>
      </c>
      <c r="R285">
        <v>12701981.981981983</v>
      </c>
      <c r="S285">
        <v>4879</v>
      </c>
      <c r="T285">
        <v>5058</v>
      </c>
    </row>
    <row r="286" spans="1:20" x14ac:dyDescent="0.35">
      <c r="A286" s="7" t="s">
        <v>386</v>
      </c>
      <c r="B286" s="12" t="s">
        <v>168</v>
      </c>
      <c r="C286">
        <v>98727308.77728422</v>
      </c>
      <c r="D286">
        <v>116555153.18818413</v>
      </c>
      <c r="E286">
        <v>1709909.9099099119</v>
      </c>
      <c r="F286">
        <v>4229729.7297297269</v>
      </c>
      <c r="G286">
        <v>34</v>
      </c>
      <c r="H286">
        <v>19</v>
      </c>
      <c r="K286">
        <v>43</v>
      </c>
      <c r="L286">
        <v>24</v>
      </c>
      <c r="M286">
        <v>23327092.792792793</v>
      </c>
      <c r="N286">
        <v>23483783.783783782</v>
      </c>
      <c r="O286">
        <v>41465288.288288288</v>
      </c>
      <c r="P286">
        <v>53726439.639639638</v>
      </c>
      <c r="Q286">
        <v>21755315.315315317</v>
      </c>
      <c r="R286">
        <v>25245495.495495491</v>
      </c>
      <c r="S286">
        <v>2462</v>
      </c>
      <c r="T286">
        <v>2446</v>
      </c>
    </row>
    <row r="287" spans="1:20" x14ac:dyDescent="0.35">
      <c r="A287" s="7" t="s">
        <v>387</v>
      </c>
      <c r="B287" s="12" t="s">
        <v>95</v>
      </c>
      <c r="C287">
        <v>581308664.68688726</v>
      </c>
      <c r="D287">
        <v>600586480.96903694</v>
      </c>
      <c r="E287">
        <v>743243.24324324401</v>
      </c>
      <c r="F287">
        <v>1612612.6126126139</v>
      </c>
      <c r="G287">
        <v>129</v>
      </c>
      <c r="H287">
        <v>132</v>
      </c>
      <c r="I287">
        <v>1</v>
      </c>
      <c r="K287">
        <v>140</v>
      </c>
      <c r="L287">
        <v>150</v>
      </c>
      <c r="M287">
        <v>21626126.126126129</v>
      </c>
      <c r="N287">
        <v>24180180.180180181</v>
      </c>
      <c r="O287">
        <v>68404054.054054052</v>
      </c>
      <c r="P287">
        <v>89359603.603603601</v>
      </c>
      <c r="Q287">
        <v>16833513.513513513</v>
      </c>
      <c r="R287">
        <v>15305225.225225223</v>
      </c>
      <c r="S287">
        <v>8188</v>
      </c>
      <c r="T287">
        <v>8693</v>
      </c>
    </row>
    <row r="288" spans="1:20" x14ac:dyDescent="0.35">
      <c r="A288" s="7" t="s">
        <v>388</v>
      </c>
      <c r="B288" s="12" t="s">
        <v>215</v>
      </c>
      <c r="C288">
        <v>107600047.72393879</v>
      </c>
      <c r="D288">
        <v>112730111.21475169</v>
      </c>
      <c r="E288">
        <v>1395495.4954954961</v>
      </c>
      <c r="F288">
        <v>1224324.324324325</v>
      </c>
      <c r="G288">
        <v>40</v>
      </c>
      <c r="H288">
        <v>5</v>
      </c>
      <c r="K288">
        <v>44</v>
      </c>
      <c r="L288">
        <v>6</v>
      </c>
      <c r="M288">
        <v>3197297.297297298</v>
      </c>
      <c r="N288">
        <v>4316216.2162162168</v>
      </c>
      <c r="O288">
        <v>51577189.189189196</v>
      </c>
      <c r="P288">
        <v>52915342.342342347</v>
      </c>
      <c r="Q288">
        <v>2376666.666666667</v>
      </c>
      <c r="R288">
        <v>3511981.981981982</v>
      </c>
      <c r="S288">
        <v>2420</v>
      </c>
      <c r="T288">
        <v>2501</v>
      </c>
    </row>
    <row r="289" spans="1:20" x14ac:dyDescent="0.35">
      <c r="A289" s="7" t="s">
        <v>389</v>
      </c>
      <c r="B289" s="12" t="s">
        <v>118</v>
      </c>
      <c r="C289">
        <v>43107560.236231402</v>
      </c>
      <c r="D289">
        <v>41125840.209262617</v>
      </c>
      <c r="E289">
        <v>578378.37837837695</v>
      </c>
      <c r="F289">
        <v>411711.711711713</v>
      </c>
      <c r="G289">
        <v>28</v>
      </c>
      <c r="H289">
        <v>26</v>
      </c>
      <c r="K289">
        <v>35</v>
      </c>
      <c r="L289">
        <v>33</v>
      </c>
      <c r="M289">
        <v>9812727.927927928</v>
      </c>
      <c r="N289">
        <v>8591833.3333333321</v>
      </c>
      <c r="O289">
        <v>20160909.909909911</v>
      </c>
      <c r="P289">
        <v>18545603.603603605</v>
      </c>
      <c r="Q289">
        <v>7751441.4414414419</v>
      </c>
      <c r="R289">
        <v>8494594.5945945941</v>
      </c>
      <c r="S289">
        <v>1950</v>
      </c>
      <c r="T289">
        <v>1778</v>
      </c>
    </row>
    <row r="290" spans="1:20" x14ac:dyDescent="0.35">
      <c r="A290" s="7" t="s">
        <v>390</v>
      </c>
      <c r="B290" s="12" t="s">
        <v>316</v>
      </c>
      <c r="C290">
        <v>187301108.15047246</v>
      </c>
      <c r="D290">
        <v>183538172.90434292</v>
      </c>
      <c r="E290">
        <v>651351.35135135101</v>
      </c>
      <c r="F290">
        <v>31531.531531533001</v>
      </c>
      <c r="G290">
        <v>18</v>
      </c>
      <c r="H290">
        <v>11</v>
      </c>
      <c r="I290">
        <v>2</v>
      </c>
      <c r="K290">
        <v>18</v>
      </c>
      <c r="L290">
        <v>12</v>
      </c>
      <c r="M290">
        <v>7678378.3783783782</v>
      </c>
      <c r="N290">
        <v>9952252.2522522528</v>
      </c>
      <c r="O290">
        <v>38662081.081081077</v>
      </c>
      <c r="P290">
        <v>38521828.828828834</v>
      </c>
      <c r="Q290">
        <v>7844954.9549549548</v>
      </c>
      <c r="R290">
        <v>9066126.1261261236</v>
      </c>
      <c r="S290">
        <v>2595</v>
      </c>
      <c r="T290">
        <v>2883</v>
      </c>
    </row>
    <row r="291" spans="1:20" x14ac:dyDescent="0.35">
      <c r="A291" s="7" t="s">
        <v>391</v>
      </c>
      <c r="B291" s="12" t="s">
        <v>225</v>
      </c>
      <c r="C291">
        <v>79661191.770557031</v>
      </c>
      <c r="D291">
        <v>75789421.944816038</v>
      </c>
      <c r="G291">
        <v>8</v>
      </c>
      <c r="H291">
        <v>5</v>
      </c>
      <c r="K291">
        <v>9</v>
      </c>
      <c r="L291">
        <v>5</v>
      </c>
      <c r="O291">
        <v>15427117.117117116</v>
      </c>
      <c r="P291">
        <v>14491063.063063065</v>
      </c>
      <c r="S291">
        <v>1572</v>
      </c>
      <c r="T291">
        <v>2818</v>
      </c>
    </row>
    <row r="292" spans="1:20" x14ac:dyDescent="0.35">
      <c r="A292" s="7" t="s">
        <v>6</v>
      </c>
      <c r="B292" s="12" t="s">
        <v>194</v>
      </c>
      <c r="C292">
        <v>683176456.83425498</v>
      </c>
      <c r="D292">
        <v>651107651.06040466</v>
      </c>
      <c r="E292">
        <v>6695970.2702702796</v>
      </c>
      <c r="F292">
        <v>36488211.711711712</v>
      </c>
      <c r="G292">
        <v>426</v>
      </c>
      <c r="H292">
        <v>537</v>
      </c>
      <c r="K292">
        <v>879</v>
      </c>
      <c r="L292">
        <v>1297</v>
      </c>
      <c r="M292">
        <v>233688859.45945945</v>
      </c>
      <c r="N292">
        <v>475609112.61261261</v>
      </c>
      <c r="O292">
        <v>464566423.42342341</v>
      </c>
      <c r="P292">
        <v>453270747.74774778</v>
      </c>
      <c r="Q292">
        <v>207490450.45045045</v>
      </c>
      <c r="R292">
        <v>436130900.9009009</v>
      </c>
      <c r="S292">
        <v>13365</v>
      </c>
      <c r="T292">
        <v>13084</v>
      </c>
    </row>
    <row r="293" spans="1:20" x14ac:dyDescent="0.35">
      <c r="A293" s="7" t="s">
        <v>392</v>
      </c>
      <c r="B293" s="12" t="s">
        <v>122</v>
      </c>
      <c r="C293">
        <v>30141568.052109968</v>
      </c>
      <c r="D293">
        <v>28635122.014650993</v>
      </c>
      <c r="G293">
        <v>10</v>
      </c>
      <c r="H293">
        <v>19</v>
      </c>
      <c r="K293">
        <v>11</v>
      </c>
      <c r="L293">
        <v>23</v>
      </c>
      <c r="O293">
        <v>1506081.0810810809</v>
      </c>
      <c r="P293">
        <v>2109558.558558559</v>
      </c>
      <c r="S293">
        <v>535</v>
      </c>
      <c r="T293">
        <v>559</v>
      </c>
    </row>
    <row r="294" spans="1:20" x14ac:dyDescent="0.35">
      <c r="A294" s="7" t="s">
        <v>393</v>
      </c>
      <c r="B294" s="12" t="s">
        <v>135</v>
      </c>
      <c r="C294">
        <v>89776006.433498293</v>
      </c>
      <c r="D294">
        <v>96608859.239966303</v>
      </c>
      <c r="E294">
        <v>67567.567567567996</v>
      </c>
      <c r="F294">
        <v>555855.85585585597</v>
      </c>
      <c r="G294">
        <v>24</v>
      </c>
      <c r="H294">
        <v>16</v>
      </c>
      <c r="K294">
        <v>29</v>
      </c>
      <c r="L294">
        <v>20</v>
      </c>
      <c r="M294">
        <v>6121621.6216216208</v>
      </c>
      <c r="N294">
        <v>9666216.2162162159</v>
      </c>
      <c r="O294">
        <v>17938998.198198196</v>
      </c>
      <c r="P294">
        <v>27129162.162162162</v>
      </c>
      <c r="Q294">
        <v>1930720.7207207209</v>
      </c>
      <c r="R294">
        <v>3373063.0630630641</v>
      </c>
      <c r="S294">
        <v>3579</v>
      </c>
      <c r="T294">
        <v>3682</v>
      </c>
    </row>
    <row r="295" spans="1:20" x14ac:dyDescent="0.35">
      <c r="A295" s="7" t="s">
        <v>394</v>
      </c>
      <c r="B295" s="12" t="s">
        <v>59</v>
      </c>
      <c r="C295">
        <v>441023307.92806017</v>
      </c>
      <c r="D295">
        <v>465669348.48432231</v>
      </c>
      <c r="E295">
        <v>12438513.513513517</v>
      </c>
      <c r="F295">
        <v>7372072.0720720766</v>
      </c>
      <c r="G295">
        <v>123</v>
      </c>
      <c r="H295">
        <v>131</v>
      </c>
      <c r="K295">
        <v>139</v>
      </c>
      <c r="L295">
        <v>145</v>
      </c>
      <c r="M295">
        <v>43982882.882882878</v>
      </c>
      <c r="N295">
        <v>85795495.495495498</v>
      </c>
      <c r="O295">
        <v>70776072.072072074</v>
      </c>
      <c r="P295">
        <v>83169387.387387395</v>
      </c>
      <c r="Q295">
        <v>42806936.936936937</v>
      </c>
      <c r="R295">
        <v>75365315.315315306</v>
      </c>
      <c r="S295">
        <v>9224</v>
      </c>
      <c r="T295">
        <v>9258</v>
      </c>
    </row>
    <row r="296" spans="1:20" x14ac:dyDescent="0.35">
      <c r="A296" s="7" t="s">
        <v>395</v>
      </c>
      <c r="B296" s="12" t="s">
        <v>135</v>
      </c>
      <c r="C296">
        <v>152662467.85458374</v>
      </c>
      <c r="D296">
        <v>162849731.15937766</v>
      </c>
      <c r="E296">
        <v>27576576.576576576</v>
      </c>
      <c r="F296">
        <v>22547747.747747749</v>
      </c>
      <c r="G296">
        <v>26</v>
      </c>
      <c r="H296">
        <v>19</v>
      </c>
      <c r="K296">
        <v>29</v>
      </c>
      <c r="L296">
        <v>22</v>
      </c>
      <c r="M296">
        <v>23671171.171171173</v>
      </c>
      <c r="N296">
        <v>24197297.297297295</v>
      </c>
      <c r="O296">
        <v>28146594.59459459</v>
      </c>
      <c r="P296">
        <v>34837630.630630635</v>
      </c>
      <c r="Q296">
        <v>15299729.729729729</v>
      </c>
      <c r="R296">
        <v>14869819.819819819</v>
      </c>
      <c r="S296">
        <v>3993</v>
      </c>
      <c r="T296">
        <v>3940</v>
      </c>
    </row>
    <row r="297" spans="1:20" x14ac:dyDescent="0.35">
      <c r="A297" s="7" t="s">
        <v>396</v>
      </c>
      <c r="B297" s="12" t="s">
        <v>55</v>
      </c>
      <c r="C297">
        <v>64172973.118722841</v>
      </c>
      <c r="D297">
        <v>62107135.631073691</v>
      </c>
      <c r="E297">
        <v>55855.855855856003</v>
      </c>
      <c r="F297">
        <v>558558.558558558</v>
      </c>
      <c r="G297">
        <v>18</v>
      </c>
      <c r="H297">
        <v>15</v>
      </c>
      <c r="K297">
        <v>19</v>
      </c>
      <c r="L297">
        <v>16</v>
      </c>
      <c r="M297">
        <v>3145945.945945946</v>
      </c>
      <c r="N297">
        <v>4567567.5675675683</v>
      </c>
      <c r="O297">
        <v>10630927.927927928</v>
      </c>
      <c r="P297">
        <v>10986828.828828828</v>
      </c>
      <c r="Q297">
        <v>3290990.9909909908</v>
      </c>
      <c r="R297">
        <v>3397927.927927929</v>
      </c>
      <c r="S297">
        <v>1598</v>
      </c>
      <c r="T297">
        <v>714</v>
      </c>
    </row>
    <row r="298" spans="1:20" x14ac:dyDescent="0.35">
      <c r="A298" s="7" t="s">
        <v>397</v>
      </c>
      <c r="B298" s="12" t="s">
        <v>398</v>
      </c>
      <c r="C298">
        <v>453522569.04802781</v>
      </c>
      <c r="D298">
        <v>448825598.60515857</v>
      </c>
      <c r="E298">
        <v>3708108.1081081061</v>
      </c>
      <c r="F298">
        <v>5674324.3243243247</v>
      </c>
      <c r="G298">
        <v>210</v>
      </c>
      <c r="H298">
        <v>225</v>
      </c>
      <c r="I298">
        <v>1</v>
      </c>
      <c r="K298">
        <v>368</v>
      </c>
      <c r="L298">
        <v>294</v>
      </c>
      <c r="M298">
        <v>50918018.018018015</v>
      </c>
      <c r="N298">
        <v>52711711.711711712</v>
      </c>
      <c r="O298">
        <v>90141329.729729727</v>
      </c>
      <c r="P298">
        <v>96945288.288288295</v>
      </c>
      <c r="Q298">
        <v>47601261.261261262</v>
      </c>
      <c r="R298">
        <v>46893063.063063063</v>
      </c>
      <c r="S298">
        <v>16907</v>
      </c>
      <c r="T298">
        <v>9704</v>
      </c>
    </row>
    <row r="299" spans="1:20" x14ac:dyDescent="0.35">
      <c r="A299" s="7" t="s">
        <v>399</v>
      </c>
      <c r="B299" s="12" t="s">
        <v>400</v>
      </c>
      <c r="C299">
        <v>491983518.63838953</v>
      </c>
      <c r="D299">
        <v>494860208.91752267</v>
      </c>
      <c r="E299">
        <v>158495874.77477479</v>
      </c>
      <c r="F299">
        <v>152460298.1981982</v>
      </c>
      <c r="G299">
        <v>104</v>
      </c>
      <c r="H299">
        <v>98</v>
      </c>
      <c r="K299">
        <v>114</v>
      </c>
      <c r="L299">
        <v>116</v>
      </c>
      <c r="M299">
        <v>60907432.432432435</v>
      </c>
      <c r="N299">
        <v>109834655.85585585</v>
      </c>
      <c r="O299">
        <v>90271099.0990991</v>
      </c>
      <c r="P299">
        <v>100440000</v>
      </c>
      <c r="Q299">
        <v>48280000</v>
      </c>
      <c r="R299">
        <v>51609369.369369365</v>
      </c>
      <c r="S299">
        <v>12057</v>
      </c>
      <c r="T299">
        <v>11702</v>
      </c>
    </row>
    <row r="300" spans="1:20" x14ac:dyDescent="0.35">
      <c r="A300" s="7" t="s">
        <v>401</v>
      </c>
      <c r="B300" s="12" t="s">
        <v>141</v>
      </c>
      <c r="C300">
        <v>159200542.87430277</v>
      </c>
      <c r="D300">
        <v>162492005.29239568</v>
      </c>
      <c r="E300">
        <v>112536036.03603603</v>
      </c>
      <c r="F300">
        <v>104559639.63963965</v>
      </c>
      <c r="G300">
        <v>46</v>
      </c>
      <c r="H300">
        <v>28</v>
      </c>
      <c r="K300">
        <v>48</v>
      </c>
      <c r="L300">
        <v>34</v>
      </c>
      <c r="M300">
        <v>35457387.387387387</v>
      </c>
      <c r="N300">
        <v>34882432.432432435</v>
      </c>
      <c r="O300">
        <v>50516909.909909911</v>
      </c>
      <c r="P300">
        <v>53709936.936936937</v>
      </c>
      <c r="Q300">
        <v>33296666.666666664</v>
      </c>
      <c r="R300">
        <v>33577207.20720721</v>
      </c>
      <c r="S300">
        <v>3554</v>
      </c>
      <c r="T300">
        <v>3131</v>
      </c>
    </row>
    <row r="301" spans="1:20" x14ac:dyDescent="0.35">
      <c r="A301" s="7" t="s">
        <v>402</v>
      </c>
      <c r="B301" s="12" t="s">
        <v>122</v>
      </c>
      <c r="C301">
        <v>43761376.610776804</v>
      </c>
      <c r="D301">
        <v>38399045.453409731</v>
      </c>
      <c r="E301">
        <v>414414.41441441502</v>
      </c>
      <c r="F301">
        <v>121621.62162162201</v>
      </c>
      <c r="G301">
        <v>16</v>
      </c>
      <c r="H301">
        <v>29</v>
      </c>
      <c r="K301">
        <v>22</v>
      </c>
      <c r="L301">
        <v>38</v>
      </c>
      <c r="M301">
        <v>2216216.2162162168</v>
      </c>
      <c r="N301">
        <v>1923423.4234234239</v>
      </c>
      <c r="O301">
        <v>4155056.3063063058</v>
      </c>
      <c r="P301">
        <v>5678801.8018018017</v>
      </c>
      <c r="Q301">
        <v>985495.49549549504</v>
      </c>
      <c r="R301">
        <v>1647387.387387387</v>
      </c>
      <c r="S301">
        <v>1096</v>
      </c>
      <c r="T301">
        <v>1093</v>
      </c>
    </row>
    <row r="302" spans="1:20" x14ac:dyDescent="0.35">
      <c r="A302" s="7" t="s">
        <v>403</v>
      </c>
      <c r="B302" s="12" t="s">
        <v>291</v>
      </c>
      <c r="C302">
        <v>68178771.681140855</v>
      </c>
      <c r="D302">
        <v>68328279.508457825</v>
      </c>
      <c r="E302">
        <v>19132882.882882886</v>
      </c>
      <c r="F302">
        <v>18121621.621621624</v>
      </c>
      <c r="G302">
        <v>16</v>
      </c>
      <c r="H302">
        <v>9</v>
      </c>
      <c r="K302">
        <v>18</v>
      </c>
      <c r="L302">
        <v>14</v>
      </c>
      <c r="M302">
        <v>3507207.207207208</v>
      </c>
      <c r="N302">
        <v>4216216.2162162159</v>
      </c>
      <c r="O302">
        <v>9326072.072072072</v>
      </c>
      <c r="P302">
        <v>9972666.6666666679</v>
      </c>
      <c r="Q302">
        <v>3741531.53153153</v>
      </c>
      <c r="R302">
        <v>2510450.4504504511</v>
      </c>
      <c r="S302">
        <v>1930</v>
      </c>
      <c r="T302">
        <v>1599</v>
      </c>
    </row>
    <row r="303" spans="1:20" x14ac:dyDescent="0.35">
      <c r="A303" s="7" t="s">
        <v>404</v>
      </c>
      <c r="B303" s="12" t="s">
        <v>122</v>
      </c>
      <c r="C303">
        <v>76687118.116210341</v>
      </c>
      <c r="D303">
        <v>69773025.797325253</v>
      </c>
      <c r="E303">
        <v>57432.432432431997</v>
      </c>
      <c r="F303">
        <v>9009.0090090100002</v>
      </c>
      <c r="G303">
        <v>12</v>
      </c>
      <c r="H303">
        <v>10</v>
      </c>
      <c r="K303">
        <v>13</v>
      </c>
      <c r="L303">
        <v>11</v>
      </c>
      <c r="M303">
        <v>60360.360360359999</v>
      </c>
      <c r="N303">
        <v>144144.14414414499</v>
      </c>
      <c r="O303">
        <v>5852063.0630630627</v>
      </c>
      <c r="P303">
        <v>7632657.6576576577</v>
      </c>
      <c r="Q303">
        <v>13513.513513514001</v>
      </c>
      <c r="R303">
        <v>162162.16216216201</v>
      </c>
      <c r="S303">
        <v>1083</v>
      </c>
      <c r="T303">
        <v>1022</v>
      </c>
    </row>
    <row r="304" spans="1:20" x14ac:dyDescent="0.35">
      <c r="A304" s="7" t="s">
        <v>405</v>
      </c>
      <c r="B304" s="12" t="s">
        <v>369</v>
      </c>
      <c r="C304">
        <v>167968267.18918735</v>
      </c>
      <c r="D304">
        <v>177390945.37749821</v>
      </c>
      <c r="E304">
        <v>2312162.162162161</v>
      </c>
      <c r="F304">
        <v>1963963.963963968</v>
      </c>
      <c r="G304">
        <v>103</v>
      </c>
      <c r="H304">
        <v>10</v>
      </c>
      <c r="K304">
        <v>125</v>
      </c>
      <c r="L304">
        <v>34</v>
      </c>
      <c r="M304">
        <v>32036486.486486487</v>
      </c>
      <c r="N304">
        <v>43722252.252252258</v>
      </c>
      <c r="O304">
        <v>61120022.522522517</v>
      </c>
      <c r="P304">
        <v>60202059.459459454</v>
      </c>
      <c r="Q304">
        <v>29427387.387387387</v>
      </c>
      <c r="R304">
        <v>39281621.621621624</v>
      </c>
      <c r="S304">
        <v>5621</v>
      </c>
      <c r="T304">
        <v>4196</v>
      </c>
    </row>
    <row r="305" spans="1:20" x14ac:dyDescent="0.35">
      <c r="A305" s="7" t="s">
        <v>406</v>
      </c>
      <c r="B305" s="12" t="s">
        <v>141</v>
      </c>
      <c r="C305">
        <v>82568684.665721744</v>
      </c>
      <c r="D305">
        <v>84742524.676891699</v>
      </c>
      <c r="E305">
        <v>255630.63063063001</v>
      </c>
      <c r="F305">
        <v>79279.279279280003</v>
      </c>
      <c r="G305">
        <v>18</v>
      </c>
      <c r="H305">
        <v>7</v>
      </c>
      <c r="K305">
        <v>19</v>
      </c>
      <c r="L305">
        <v>7</v>
      </c>
      <c r="M305">
        <v>12286846.846846849</v>
      </c>
      <c r="N305">
        <v>17480360.360360362</v>
      </c>
      <c r="O305">
        <v>22366160.360360362</v>
      </c>
      <c r="P305">
        <v>26683909.909909908</v>
      </c>
      <c r="Q305">
        <v>11279729.729729731</v>
      </c>
      <c r="R305">
        <v>16144414.414414413</v>
      </c>
      <c r="S305">
        <v>1434</v>
      </c>
      <c r="T305">
        <v>1438</v>
      </c>
    </row>
    <row r="306" spans="1:20" x14ac:dyDescent="0.35">
      <c r="A306" s="7" t="s">
        <v>407</v>
      </c>
      <c r="B306" s="12" t="s">
        <v>55</v>
      </c>
      <c r="C306">
        <v>114282229.17584658</v>
      </c>
      <c r="D306">
        <v>115904862.5424066</v>
      </c>
      <c r="E306">
        <v>60273333.333333336</v>
      </c>
      <c r="F306">
        <v>306261261.26126122</v>
      </c>
      <c r="G306">
        <v>76</v>
      </c>
      <c r="H306">
        <v>77</v>
      </c>
      <c r="I306">
        <v>1</v>
      </c>
      <c r="K306">
        <v>155</v>
      </c>
      <c r="L306">
        <v>112</v>
      </c>
      <c r="M306">
        <v>11301261.261261262</v>
      </c>
      <c r="N306">
        <v>15348288.28828829</v>
      </c>
      <c r="O306">
        <v>26452648.648648649</v>
      </c>
      <c r="P306">
        <v>27974873.873873871</v>
      </c>
      <c r="Q306">
        <v>11392252.252252251</v>
      </c>
      <c r="R306">
        <v>12142882.882882882</v>
      </c>
      <c r="S306">
        <v>2247</v>
      </c>
      <c r="T306">
        <v>2205</v>
      </c>
    </row>
    <row r="307" spans="1:20" x14ac:dyDescent="0.35">
      <c r="A307" s="7" t="s">
        <v>408</v>
      </c>
      <c r="B307" s="12" t="s">
        <v>135</v>
      </c>
      <c r="C307">
        <v>51381334.869476832</v>
      </c>
      <c r="D307">
        <v>56276805.406442352</v>
      </c>
      <c r="E307">
        <v>27027.027027027001</v>
      </c>
      <c r="F307">
        <v>239639.639639639</v>
      </c>
      <c r="G307">
        <v>6</v>
      </c>
      <c r="H307">
        <v>1</v>
      </c>
      <c r="K307">
        <v>6</v>
      </c>
      <c r="L307">
        <v>2</v>
      </c>
      <c r="M307">
        <v>1594594.5945945941</v>
      </c>
      <c r="N307">
        <v>3572972.9729729728</v>
      </c>
      <c r="O307">
        <v>4735738.7387387389</v>
      </c>
      <c r="P307">
        <v>6727513.5135135129</v>
      </c>
      <c r="Q307">
        <v>1379639.6396396391</v>
      </c>
      <c r="R307">
        <v>3358558.558558559</v>
      </c>
      <c r="S307">
        <v>951</v>
      </c>
      <c r="T307">
        <v>945</v>
      </c>
    </row>
    <row r="308" spans="1:20" x14ac:dyDescent="0.35">
      <c r="A308" s="7" t="s">
        <v>409</v>
      </c>
      <c r="B308" s="12" t="s">
        <v>291</v>
      </c>
      <c r="C308">
        <v>28356596.964521673</v>
      </c>
      <c r="D308">
        <v>29195997.557600189</v>
      </c>
      <c r="E308">
        <v>361261.261261262</v>
      </c>
      <c r="F308">
        <v>297297.29729729699</v>
      </c>
      <c r="G308">
        <v>9</v>
      </c>
      <c r="H308">
        <v>12</v>
      </c>
      <c r="K308">
        <v>11</v>
      </c>
      <c r="L308">
        <v>16</v>
      </c>
      <c r="M308">
        <v>5255855.8558558561</v>
      </c>
      <c r="N308">
        <v>4418918.9189189179</v>
      </c>
      <c r="O308">
        <v>5622972.9729729732</v>
      </c>
      <c r="P308">
        <v>6843216.2162162159</v>
      </c>
      <c r="Q308">
        <v>3236306.3063063072</v>
      </c>
      <c r="R308">
        <v>2238648.648648649</v>
      </c>
      <c r="S308">
        <v>842</v>
      </c>
      <c r="T308">
        <v>939</v>
      </c>
    </row>
    <row r="309" spans="1:20" x14ac:dyDescent="0.35">
      <c r="A309" s="7" t="s">
        <v>410</v>
      </c>
      <c r="B309" s="12" t="s">
        <v>179</v>
      </c>
      <c r="C309">
        <v>515531465.64966363</v>
      </c>
      <c r="D309">
        <v>493251605.60771006</v>
      </c>
      <c r="E309">
        <v>2923423.4234234262</v>
      </c>
      <c r="F309">
        <v>5206306.3063063081</v>
      </c>
      <c r="G309">
        <v>119</v>
      </c>
      <c r="H309">
        <v>134</v>
      </c>
      <c r="K309">
        <v>278</v>
      </c>
      <c r="L309">
        <v>174</v>
      </c>
      <c r="M309">
        <v>54806387.387387395</v>
      </c>
      <c r="N309">
        <v>63966216.216216214</v>
      </c>
      <c r="O309">
        <v>178021139.63963965</v>
      </c>
      <c r="P309">
        <v>186553088.2882883</v>
      </c>
      <c r="Q309">
        <v>50134144.144144148</v>
      </c>
      <c r="R309">
        <v>60267477.477477469</v>
      </c>
      <c r="S309">
        <v>10481</v>
      </c>
      <c r="T309">
        <v>9272</v>
      </c>
    </row>
    <row r="310" spans="1:20" x14ac:dyDescent="0.35">
      <c r="A310" s="7" t="s">
        <v>411</v>
      </c>
      <c r="B310" s="12" t="s">
        <v>55</v>
      </c>
      <c r="C310">
        <v>937972787.6730727</v>
      </c>
      <c r="D310">
        <v>924898553.16215897</v>
      </c>
      <c r="E310">
        <v>118233824.32432432</v>
      </c>
      <c r="F310">
        <v>228465623.42342341</v>
      </c>
      <c r="G310">
        <v>310</v>
      </c>
      <c r="H310">
        <v>302</v>
      </c>
      <c r="K310">
        <v>398</v>
      </c>
      <c r="L310">
        <v>597</v>
      </c>
      <c r="M310">
        <v>69916666.666666672</v>
      </c>
      <c r="N310">
        <v>99651531.531531543</v>
      </c>
      <c r="O310">
        <v>193456027.02702704</v>
      </c>
      <c r="P310">
        <v>202788836.03603604</v>
      </c>
      <c r="Q310">
        <v>65322882.882882878</v>
      </c>
      <c r="R310">
        <v>85109682.882882893</v>
      </c>
      <c r="S310">
        <v>19630</v>
      </c>
      <c r="T310">
        <v>20153</v>
      </c>
    </row>
    <row r="311" spans="1:20" x14ac:dyDescent="0.35">
      <c r="A311" s="7" t="s">
        <v>412</v>
      </c>
      <c r="B311" s="12" t="s">
        <v>225</v>
      </c>
      <c r="C311">
        <v>475038953.77590954</v>
      </c>
      <c r="D311">
        <v>551598655.28860414</v>
      </c>
      <c r="E311">
        <v>1943243.243243248</v>
      </c>
      <c r="F311">
        <v>3838738.7387387408</v>
      </c>
      <c r="G311">
        <v>178</v>
      </c>
      <c r="H311">
        <v>141</v>
      </c>
      <c r="K311">
        <v>201</v>
      </c>
      <c r="L311">
        <v>165</v>
      </c>
      <c r="M311">
        <v>62143423.423423424</v>
      </c>
      <c r="N311">
        <v>93508738.738738731</v>
      </c>
      <c r="O311">
        <v>136082041.44144145</v>
      </c>
      <c r="P311">
        <v>172993277.47747746</v>
      </c>
      <c r="Q311">
        <v>65806529.729729734</v>
      </c>
      <c r="R311">
        <v>80240450.45045045</v>
      </c>
      <c r="S311">
        <v>13847</v>
      </c>
      <c r="T311">
        <v>12669</v>
      </c>
    </row>
    <row r="312" spans="1:20" x14ac:dyDescent="0.35">
      <c r="A312" s="7" t="s">
        <v>413</v>
      </c>
      <c r="B312" s="12" t="s">
        <v>414</v>
      </c>
      <c r="C312">
        <v>188610416.0485898</v>
      </c>
      <c r="D312">
        <v>184382837.69661382</v>
      </c>
      <c r="E312">
        <v>571621.62162162503</v>
      </c>
      <c r="F312">
        <v>1245045.0450450489</v>
      </c>
      <c r="G312">
        <v>14</v>
      </c>
      <c r="H312">
        <v>8</v>
      </c>
      <c r="K312">
        <v>16</v>
      </c>
      <c r="L312">
        <v>23</v>
      </c>
      <c r="M312">
        <v>3590090.0900900932</v>
      </c>
      <c r="N312">
        <v>143315765.76576576</v>
      </c>
      <c r="O312">
        <v>76437819.819819823</v>
      </c>
      <c r="P312">
        <v>82143864.864864871</v>
      </c>
      <c r="Q312">
        <v>3878018.018018018</v>
      </c>
      <c r="R312">
        <v>4995945.9459459456</v>
      </c>
      <c r="S312">
        <v>3961</v>
      </c>
      <c r="T312">
        <v>3920</v>
      </c>
    </row>
    <row r="313" spans="1:20" x14ac:dyDescent="0.35">
      <c r="A313" s="7" t="s">
        <v>415</v>
      </c>
      <c r="B313" s="12" t="s">
        <v>215</v>
      </c>
      <c r="C313">
        <v>1218111419.3476374</v>
      </c>
      <c r="D313">
        <v>1122586520.1562085</v>
      </c>
      <c r="E313">
        <v>613166880.18018019</v>
      </c>
      <c r="F313">
        <v>487023635.13513517</v>
      </c>
      <c r="G313">
        <v>1026</v>
      </c>
      <c r="H313">
        <v>586</v>
      </c>
      <c r="I313">
        <v>3</v>
      </c>
      <c r="K313">
        <v>1105</v>
      </c>
      <c r="L313">
        <v>846</v>
      </c>
      <c r="M313">
        <v>177797612.61261261</v>
      </c>
      <c r="N313">
        <v>164420990.99099097</v>
      </c>
      <c r="O313">
        <v>546035565.76576579</v>
      </c>
      <c r="P313">
        <v>512183045.04504508</v>
      </c>
      <c r="Q313">
        <v>160830540.54054055</v>
      </c>
      <c r="R313">
        <v>158595585.58558556</v>
      </c>
      <c r="S313">
        <v>25404</v>
      </c>
      <c r="T313">
        <v>23750</v>
      </c>
    </row>
    <row r="314" spans="1:20" x14ac:dyDescent="0.35">
      <c r="A314" s="7" t="s">
        <v>416</v>
      </c>
      <c r="B314" s="12" t="s">
        <v>414</v>
      </c>
      <c r="C314">
        <v>105052243.07492191</v>
      </c>
      <c r="D314">
        <v>101382824.58061154</v>
      </c>
      <c r="E314">
        <v>749099.09909909999</v>
      </c>
      <c r="F314">
        <v>1783783.783783786</v>
      </c>
      <c r="G314">
        <v>28</v>
      </c>
      <c r="H314">
        <v>18</v>
      </c>
      <c r="K314">
        <v>34</v>
      </c>
      <c r="L314">
        <v>19</v>
      </c>
      <c r="M314">
        <v>18372290.090090089</v>
      </c>
      <c r="N314">
        <v>17912162.162162162</v>
      </c>
      <c r="O314">
        <v>38962074.324324325</v>
      </c>
      <c r="P314">
        <v>40731990.990990989</v>
      </c>
      <c r="Q314">
        <v>14353513.513513513</v>
      </c>
      <c r="R314">
        <v>15259729.729729729</v>
      </c>
      <c r="S314">
        <v>2962</v>
      </c>
      <c r="T314">
        <v>2883</v>
      </c>
    </row>
    <row r="315" spans="1:20" x14ac:dyDescent="0.35">
      <c r="A315" s="7" t="s">
        <v>417</v>
      </c>
      <c r="B315" s="12" t="s">
        <v>237</v>
      </c>
      <c r="C315">
        <v>759865987.61170375</v>
      </c>
      <c r="D315">
        <v>749669292.79058802</v>
      </c>
      <c r="E315">
        <v>3316216.2162162191</v>
      </c>
      <c r="F315">
        <v>3428828.8288288312</v>
      </c>
      <c r="G315">
        <v>152</v>
      </c>
      <c r="H315">
        <v>195</v>
      </c>
      <c r="I315">
        <v>5</v>
      </c>
      <c r="K315">
        <v>220</v>
      </c>
      <c r="L315">
        <v>313</v>
      </c>
      <c r="M315">
        <v>105580360.36036035</v>
      </c>
      <c r="N315">
        <v>79672072.072072059</v>
      </c>
      <c r="O315">
        <v>177961036.03603604</v>
      </c>
      <c r="P315">
        <v>193988295.4954955</v>
      </c>
      <c r="Q315">
        <v>101063513.51351352</v>
      </c>
      <c r="R315">
        <v>68577207.207207203</v>
      </c>
      <c r="S315">
        <v>11088</v>
      </c>
      <c r="T315">
        <v>10659</v>
      </c>
    </row>
    <row r="316" spans="1:20" x14ac:dyDescent="0.35">
      <c r="A316" s="7" t="s">
        <v>418</v>
      </c>
      <c r="B316" s="12" t="s">
        <v>118</v>
      </c>
      <c r="C316">
        <v>734034690.68899941</v>
      </c>
      <c r="D316">
        <v>740291497.87627256</v>
      </c>
      <c r="E316">
        <v>646891004.50450444</v>
      </c>
      <c r="F316">
        <v>557277898.1981982</v>
      </c>
      <c r="G316">
        <v>568</v>
      </c>
      <c r="H316">
        <v>534</v>
      </c>
      <c r="I316">
        <v>2</v>
      </c>
      <c r="K316">
        <v>981</v>
      </c>
      <c r="L316">
        <v>1599</v>
      </c>
      <c r="M316">
        <v>177403234.23423424</v>
      </c>
      <c r="N316">
        <v>415355903.6036036</v>
      </c>
      <c r="O316">
        <v>337214254.95495492</v>
      </c>
      <c r="P316">
        <v>378391846.84684682</v>
      </c>
      <c r="Q316">
        <v>175564594.5945946</v>
      </c>
      <c r="R316">
        <v>210972477.47747746</v>
      </c>
      <c r="S316">
        <v>19213</v>
      </c>
      <c r="T316">
        <v>17600</v>
      </c>
    </row>
    <row r="317" spans="1:20" x14ac:dyDescent="0.35">
      <c r="A317" s="7" t="s">
        <v>419</v>
      </c>
      <c r="B317" s="12" t="s">
        <v>148</v>
      </c>
      <c r="C317">
        <v>17685156.354917012</v>
      </c>
      <c r="D317">
        <v>19248410.178030346</v>
      </c>
      <c r="G317">
        <v>3</v>
      </c>
      <c r="H317">
        <v>4</v>
      </c>
      <c r="K317">
        <v>3</v>
      </c>
      <c r="L317">
        <v>4</v>
      </c>
      <c r="O317">
        <v>6165576.5765765756</v>
      </c>
      <c r="P317">
        <v>6344945.9459459456</v>
      </c>
      <c r="S317">
        <v>478</v>
      </c>
      <c r="T317">
        <v>485</v>
      </c>
    </row>
    <row r="318" spans="1:20" x14ac:dyDescent="0.35">
      <c r="A318" s="7" t="s">
        <v>420</v>
      </c>
      <c r="B318" s="12" t="s">
        <v>305</v>
      </c>
      <c r="C318">
        <v>159869412.78431502</v>
      </c>
      <c r="D318">
        <v>146553977.40289152</v>
      </c>
      <c r="E318">
        <v>4436261.261261262</v>
      </c>
      <c r="F318">
        <v>3204504.5045045102</v>
      </c>
      <c r="G318">
        <v>96</v>
      </c>
      <c r="H318">
        <v>64</v>
      </c>
      <c r="K318">
        <v>105</v>
      </c>
      <c r="L318">
        <v>84</v>
      </c>
      <c r="M318">
        <v>29737837.837837841</v>
      </c>
      <c r="N318">
        <v>38427927.927927926</v>
      </c>
      <c r="O318">
        <v>36126669.369369365</v>
      </c>
      <c r="P318">
        <v>33564954.954954952</v>
      </c>
      <c r="Q318">
        <v>26424504.504504506</v>
      </c>
      <c r="R318">
        <v>35030090.090090089</v>
      </c>
      <c r="S318">
        <v>3409</v>
      </c>
      <c r="T318">
        <v>2307</v>
      </c>
    </row>
    <row r="319" spans="1:20" x14ac:dyDescent="0.35">
      <c r="A319" s="7" t="s">
        <v>421</v>
      </c>
      <c r="B319" s="12" t="s">
        <v>305</v>
      </c>
      <c r="C319">
        <v>180328653.18578461</v>
      </c>
      <c r="D319">
        <v>178080600.50065151</v>
      </c>
      <c r="E319">
        <v>123439237.83783785</v>
      </c>
      <c r="F319">
        <v>149833166.66666669</v>
      </c>
      <c r="G319">
        <v>122</v>
      </c>
      <c r="H319">
        <v>284</v>
      </c>
      <c r="K319">
        <v>198</v>
      </c>
      <c r="L319">
        <v>632</v>
      </c>
      <c r="M319">
        <v>35513063.063063055</v>
      </c>
      <c r="N319">
        <v>62218018.018018022</v>
      </c>
      <c r="O319">
        <v>57859052.252252258</v>
      </c>
      <c r="P319">
        <v>60885300.900900893</v>
      </c>
      <c r="Q319">
        <v>26356486.486486487</v>
      </c>
      <c r="R319">
        <v>36928511.711711705</v>
      </c>
      <c r="S319">
        <v>5516</v>
      </c>
      <c r="T319">
        <v>3060</v>
      </c>
    </row>
    <row r="320" spans="1:20" x14ac:dyDescent="0.35">
      <c r="A320" s="7" t="s">
        <v>422</v>
      </c>
      <c r="B320" s="12" t="s">
        <v>122</v>
      </c>
      <c r="C320">
        <v>7681651.9648460876</v>
      </c>
      <c r="D320">
        <v>8296473.807881563</v>
      </c>
      <c r="E320">
        <v>42342.342342342999</v>
      </c>
      <c r="F320">
        <v>40540.540540540998</v>
      </c>
      <c r="G320">
        <v>4</v>
      </c>
      <c r="H320">
        <v>4</v>
      </c>
      <c r="K320">
        <v>4</v>
      </c>
      <c r="L320">
        <v>4</v>
      </c>
      <c r="M320">
        <v>42342.342342342999</v>
      </c>
      <c r="N320">
        <v>220720.720720721</v>
      </c>
      <c r="O320">
        <v>827288.28828828805</v>
      </c>
      <c r="P320">
        <v>806351.35135135101</v>
      </c>
      <c r="Q320">
        <v>169369.369369369</v>
      </c>
      <c r="R320">
        <v>262612.61261261202</v>
      </c>
      <c r="S320">
        <v>324</v>
      </c>
      <c r="T320">
        <v>400</v>
      </c>
    </row>
    <row r="321" spans="1:20" x14ac:dyDescent="0.35">
      <c r="A321" s="7" t="s">
        <v>423</v>
      </c>
      <c r="B321" s="12" t="s">
        <v>61</v>
      </c>
      <c r="C321">
        <v>94148461.244782537</v>
      </c>
      <c r="D321">
        <v>89792064.428182259</v>
      </c>
      <c r="E321">
        <v>1126126.1261261271</v>
      </c>
      <c r="F321">
        <v>1227927.927927928</v>
      </c>
      <c r="G321">
        <v>40</v>
      </c>
      <c r="H321">
        <v>43</v>
      </c>
      <c r="I321">
        <v>5</v>
      </c>
      <c r="K321">
        <v>45</v>
      </c>
      <c r="L321">
        <v>59</v>
      </c>
      <c r="M321">
        <v>22082882.882882886</v>
      </c>
      <c r="N321">
        <v>19571171.17117117</v>
      </c>
      <c r="O321">
        <v>33504153.153153151</v>
      </c>
      <c r="P321">
        <v>34188432.432432435</v>
      </c>
      <c r="Q321">
        <v>22807567.567567568</v>
      </c>
      <c r="R321">
        <v>20971801.801801801</v>
      </c>
      <c r="S321">
        <v>2279</v>
      </c>
      <c r="T321">
        <v>2006</v>
      </c>
    </row>
    <row r="322" spans="1:20" x14ac:dyDescent="0.35">
      <c r="A322" s="7" t="s">
        <v>424</v>
      </c>
      <c r="B322" s="12" t="s">
        <v>182</v>
      </c>
      <c r="C322">
        <v>926234401.17634773</v>
      </c>
      <c r="D322">
        <v>956244100.83566332</v>
      </c>
      <c r="E322">
        <v>11045945.945945952</v>
      </c>
      <c r="F322">
        <v>12153153.153153161</v>
      </c>
      <c r="G322">
        <v>355</v>
      </c>
      <c r="H322">
        <v>341</v>
      </c>
      <c r="I322">
        <v>4</v>
      </c>
      <c r="K322">
        <v>499</v>
      </c>
      <c r="L322">
        <v>421</v>
      </c>
      <c r="M322">
        <v>158906936.93693691</v>
      </c>
      <c r="N322">
        <v>228046801.8018018</v>
      </c>
      <c r="O322">
        <v>269486861.26126122</v>
      </c>
      <c r="P322">
        <v>285955504.5045045</v>
      </c>
      <c r="Q322">
        <v>153498828.82882884</v>
      </c>
      <c r="R322">
        <v>224222522.52252254</v>
      </c>
      <c r="S322">
        <v>26855</v>
      </c>
      <c r="T322">
        <v>22838</v>
      </c>
    </row>
    <row r="323" spans="1:20" x14ac:dyDescent="0.35">
      <c r="A323" s="7" t="s">
        <v>425</v>
      </c>
      <c r="B323" s="12" t="s">
        <v>77</v>
      </c>
      <c r="C323">
        <v>29698659.006530039</v>
      </c>
      <c r="D323">
        <v>27610968.500681169</v>
      </c>
      <c r="E323">
        <v>54054.054054054999</v>
      </c>
      <c r="F323">
        <v>157657.65765765801</v>
      </c>
      <c r="G323">
        <v>6</v>
      </c>
      <c r="H323">
        <v>3</v>
      </c>
      <c r="K323">
        <v>7</v>
      </c>
      <c r="L323">
        <v>5</v>
      </c>
      <c r="M323">
        <v>1972972.972972973</v>
      </c>
      <c r="N323">
        <v>3130630.630630631</v>
      </c>
      <c r="O323">
        <v>2686414.4144144142</v>
      </c>
      <c r="P323">
        <v>4505306.3063063063</v>
      </c>
      <c r="Q323">
        <v>2212072.072072071</v>
      </c>
      <c r="R323">
        <v>2337657.6576576568</v>
      </c>
      <c r="S323">
        <v>980</v>
      </c>
      <c r="T323">
        <v>692</v>
      </c>
    </row>
    <row r="324" spans="1:20" x14ac:dyDescent="0.35">
      <c r="A324" s="7" t="s">
        <v>426</v>
      </c>
      <c r="B324" s="12" t="s">
        <v>77</v>
      </c>
      <c r="C324">
        <v>106824917.39240029</v>
      </c>
      <c r="D324">
        <v>108971840.41582672</v>
      </c>
      <c r="E324">
        <v>145045.04504504599</v>
      </c>
      <c r="F324">
        <v>1006306.306306307</v>
      </c>
      <c r="G324">
        <v>23</v>
      </c>
      <c r="H324">
        <v>24</v>
      </c>
      <c r="K324">
        <v>24</v>
      </c>
      <c r="L324">
        <v>27</v>
      </c>
      <c r="M324">
        <v>12410900.9009009</v>
      </c>
      <c r="N324">
        <v>23124504.504504506</v>
      </c>
      <c r="O324">
        <v>23599297.297297295</v>
      </c>
      <c r="P324">
        <v>25302513.513513513</v>
      </c>
      <c r="Q324">
        <v>9386216.216216214</v>
      </c>
      <c r="R324">
        <v>18326846.846846849</v>
      </c>
      <c r="S324">
        <v>1503</v>
      </c>
      <c r="T324">
        <v>1488</v>
      </c>
    </row>
    <row r="325" spans="1:20" x14ac:dyDescent="0.35">
      <c r="A325" s="7" t="s">
        <v>427</v>
      </c>
      <c r="B325" s="12" t="s">
        <v>331</v>
      </c>
      <c r="C325">
        <v>563211778.56116998</v>
      </c>
      <c r="D325">
        <v>509322833.61562848</v>
      </c>
      <c r="E325">
        <v>4290765.7657657694</v>
      </c>
      <c r="F325">
        <v>2143693.6936936998</v>
      </c>
      <c r="G325">
        <v>187</v>
      </c>
      <c r="H325">
        <v>200</v>
      </c>
      <c r="K325">
        <v>208</v>
      </c>
      <c r="L325">
        <v>236</v>
      </c>
      <c r="M325">
        <v>31729189.189189192</v>
      </c>
      <c r="N325">
        <v>74633333.333333328</v>
      </c>
      <c r="O325">
        <v>151344326.57657659</v>
      </c>
      <c r="P325">
        <v>97240216.216216221</v>
      </c>
      <c r="Q325">
        <v>27905855.855855856</v>
      </c>
      <c r="R325">
        <v>71923153.153153151</v>
      </c>
      <c r="S325">
        <v>14640</v>
      </c>
      <c r="T325">
        <v>11744</v>
      </c>
    </row>
    <row r="326" spans="1:20" x14ac:dyDescent="0.35">
      <c r="A326" s="7" t="s">
        <v>428</v>
      </c>
      <c r="B326" s="12" t="s">
        <v>242</v>
      </c>
      <c r="C326">
        <v>143639591.91573101</v>
      </c>
      <c r="D326">
        <v>134152688.84989104</v>
      </c>
      <c r="E326">
        <v>319371191.8918919</v>
      </c>
      <c r="F326">
        <v>161497538.73873875</v>
      </c>
      <c r="G326">
        <v>50</v>
      </c>
      <c r="H326">
        <v>44</v>
      </c>
      <c r="K326">
        <v>60</v>
      </c>
      <c r="L326">
        <v>51</v>
      </c>
      <c r="M326">
        <v>31152702.702702701</v>
      </c>
      <c r="N326">
        <v>30327477.477477476</v>
      </c>
      <c r="O326">
        <v>55467153.153153151</v>
      </c>
      <c r="P326">
        <v>55122423.423423424</v>
      </c>
      <c r="Q326">
        <v>17527297.297297291</v>
      </c>
      <c r="R326">
        <v>22551351.351351351</v>
      </c>
      <c r="S326">
        <v>5403</v>
      </c>
      <c r="T326">
        <v>5610</v>
      </c>
    </row>
    <row r="327" spans="1:20" x14ac:dyDescent="0.35">
      <c r="A327" s="7" t="s">
        <v>429</v>
      </c>
      <c r="B327" s="12" t="s">
        <v>284</v>
      </c>
      <c r="C327">
        <v>60325719.036539979</v>
      </c>
      <c r="D327">
        <v>74194601.663510546</v>
      </c>
      <c r="E327">
        <v>596396.39639639796</v>
      </c>
      <c r="F327">
        <v>1981081.0810810821</v>
      </c>
      <c r="G327">
        <v>10</v>
      </c>
      <c r="H327">
        <v>64</v>
      </c>
      <c r="K327">
        <v>38</v>
      </c>
      <c r="L327">
        <v>98</v>
      </c>
      <c r="M327">
        <v>25401441.441441439</v>
      </c>
      <c r="N327">
        <v>17764864.864864863</v>
      </c>
      <c r="O327">
        <v>11359126.126126125</v>
      </c>
      <c r="P327">
        <v>18664234.234234232</v>
      </c>
      <c r="Q327">
        <v>26940270.270270273</v>
      </c>
      <c r="R327">
        <v>14794864.864864863</v>
      </c>
      <c r="S327">
        <v>1227</v>
      </c>
      <c r="T327">
        <v>1373</v>
      </c>
    </row>
    <row r="328" spans="1:20" x14ac:dyDescent="0.35">
      <c r="A328" s="7" t="s">
        <v>430</v>
      </c>
      <c r="B328" s="12" t="s">
        <v>284</v>
      </c>
      <c r="C328">
        <v>18976079.418790784</v>
      </c>
      <c r="D328">
        <v>18546141.999430247</v>
      </c>
      <c r="E328">
        <v>207207.20720720699</v>
      </c>
      <c r="F328">
        <v>512612.61261261202</v>
      </c>
      <c r="H328">
        <v>1</v>
      </c>
      <c r="L328">
        <v>2</v>
      </c>
      <c r="M328">
        <v>3090090.090090089</v>
      </c>
      <c r="N328">
        <v>5179279.2792792805</v>
      </c>
      <c r="O328">
        <v>1347783.7837837839</v>
      </c>
      <c r="P328">
        <v>2041234.234234235</v>
      </c>
      <c r="Q328">
        <v>2885855.8558558552</v>
      </c>
      <c r="R328">
        <v>4580990.9909909908</v>
      </c>
      <c r="S328">
        <v>517</v>
      </c>
      <c r="T328">
        <v>461</v>
      </c>
    </row>
    <row r="329" spans="1:20" x14ac:dyDescent="0.35">
      <c r="A329" s="7" t="s">
        <v>431</v>
      </c>
      <c r="B329" s="12" t="s">
        <v>284</v>
      </c>
      <c r="C329">
        <v>40500080.110997051</v>
      </c>
      <c r="D329">
        <v>43920300.049360029</v>
      </c>
      <c r="E329">
        <v>198198.19819819799</v>
      </c>
      <c r="F329">
        <v>590090.09009009099</v>
      </c>
      <c r="G329">
        <v>5</v>
      </c>
      <c r="H329">
        <v>2</v>
      </c>
      <c r="K329">
        <v>5</v>
      </c>
      <c r="L329">
        <v>4</v>
      </c>
      <c r="M329">
        <v>288288.28828828799</v>
      </c>
      <c r="N329">
        <v>590090.09009009099</v>
      </c>
      <c r="O329">
        <v>3516126.1261261259</v>
      </c>
      <c r="P329">
        <v>3968324.3243243238</v>
      </c>
      <c r="Q329">
        <v>173423.423423423</v>
      </c>
      <c r="R329">
        <v>340720.720720721</v>
      </c>
      <c r="S329">
        <v>886</v>
      </c>
      <c r="T329">
        <v>677</v>
      </c>
    </row>
    <row r="330" spans="1:20" x14ac:dyDescent="0.35">
      <c r="A330" s="7" t="s">
        <v>432</v>
      </c>
      <c r="B330" s="12" t="s">
        <v>79</v>
      </c>
      <c r="C330">
        <v>240837933.18127173</v>
      </c>
      <c r="D330">
        <v>242892434.34783176</v>
      </c>
      <c r="E330">
        <v>3187387.3873873912</v>
      </c>
      <c r="F330">
        <v>6205405.4054054078</v>
      </c>
      <c r="G330">
        <v>201</v>
      </c>
      <c r="H330">
        <v>151</v>
      </c>
      <c r="K330">
        <v>283</v>
      </c>
      <c r="L330">
        <v>219</v>
      </c>
      <c r="M330">
        <v>23435135.135135137</v>
      </c>
      <c r="N330">
        <v>35935135.135135137</v>
      </c>
      <c r="O330">
        <v>106821612.61261261</v>
      </c>
      <c r="P330">
        <v>106176522.52252252</v>
      </c>
      <c r="Q330">
        <v>24395585.585585583</v>
      </c>
      <c r="R330">
        <v>28956936.936936937</v>
      </c>
      <c r="S330">
        <v>6784</v>
      </c>
      <c r="T330">
        <v>6596</v>
      </c>
    </row>
    <row r="331" spans="1:20" x14ac:dyDescent="0.35">
      <c r="A331" s="7" t="s">
        <v>433</v>
      </c>
      <c r="B331" s="12" t="s">
        <v>106</v>
      </c>
      <c r="C331">
        <v>217865667.2330794</v>
      </c>
      <c r="D331">
        <v>204069645.2234827</v>
      </c>
      <c r="E331">
        <v>746846.84684684698</v>
      </c>
      <c r="F331">
        <v>1120720.7207207221</v>
      </c>
      <c r="G331">
        <v>22</v>
      </c>
      <c r="H331">
        <v>44</v>
      </c>
      <c r="I331">
        <v>1</v>
      </c>
      <c r="K331">
        <v>25</v>
      </c>
      <c r="L331">
        <v>49</v>
      </c>
      <c r="M331">
        <v>26257792.792792793</v>
      </c>
      <c r="N331">
        <v>37186936.936936937</v>
      </c>
      <c r="O331">
        <v>51913171.171171166</v>
      </c>
      <c r="P331">
        <v>56947594.59459459</v>
      </c>
      <c r="Q331">
        <v>27279324.324324325</v>
      </c>
      <c r="R331">
        <v>37499279.279279277</v>
      </c>
      <c r="S331">
        <v>3769</v>
      </c>
      <c r="T331">
        <v>3598</v>
      </c>
    </row>
    <row r="332" spans="1:20" x14ac:dyDescent="0.35">
      <c r="A332" s="7" t="s">
        <v>434</v>
      </c>
      <c r="B332" s="12" t="s">
        <v>73</v>
      </c>
      <c r="C332">
        <v>1160341084.3271375</v>
      </c>
      <c r="D332">
        <v>1154171284.7212582</v>
      </c>
      <c r="E332">
        <v>7204054.0540540693</v>
      </c>
      <c r="F332">
        <v>6527027.0270270444</v>
      </c>
      <c r="G332">
        <v>315</v>
      </c>
      <c r="H332">
        <v>280</v>
      </c>
      <c r="I332">
        <v>3</v>
      </c>
      <c r="K332">
        <v>420</v>
      </c>
      <c r="L332">
        <v>336</v>
      </c>
      <c r="M332">
        <v>173343693.6936937</v>
      </c>
      <c r="N332">
        <v>187886936.93693691</v>
      </c>
      <c r="O332">
        <v>243987231.98198199</v>
      </c>
      <c r="P332">
        <v>267590936.93693691</v>
      </c>
      <c r="Q332">
        <v>130894054.05405405</v>
      </c>
      <c r="R332">
        <v>137788288.2882883</v>
      </c>
      <c r="S332">
        <v>18607</v>
      </c>
      <c r="T332">
        <v>19026</v>
      </c>
    </row>
    <row r="333" spans="1:20" x14ac:dyDescent="0.35">
      <c r="A333" s="7" t="s">
        <v>435</v>
      </c>
      <c r="B333" s="12" t="s">
        <v>73</v>
      </c>
      <c r="C333">
        <v>793048966.92035615</v>
      </c>
      <c r="D333">
        <v>823597147.36977267</v>
      </c>
      <c r="E333">
        <v>4665090.0900900979</v>
      </c>
      <c r="F333">
        <v>6080180.1801801929</v>
      </c>
      <c r="G333">
        <v>177</v>
      </c>
      <c r="H333">
        <v>130</v>
      </c>
      <c r="I333">
        <v>1</v>
      </c>
      <c r="K333">
        <v>193</v>
      </c>
      <c r="L333">
        <v>143</v>
      </c>
      <c r="M333">
        <v>91346846.846846849</v>
      </c>
      <c r="N333">
        <v>106098198.19819821</v>
      </c>
      <c r="O333">
        <v>149428963.96396396</v>
      </c>
      <c r="P333">
        <v>175772666.66666666</v>
      </c>
      <c r="Q333">
        <v>64147027.027027026</v>
      </c>
      <c r="R333">
        <v>70402792.792792797</v>
      </c>
      <c r="S333">
        <v>13701</v>
      </c>
      <c r="T333">
        <v>13863</v>
      </c>
    </row>
    <row r="334" spans="1:20" x14ac:dyDescent="0.35">
      <c r="A334" s="7" t="s">
        <v>436</v>
      </c>
      <c r="B334" s="12" t="s">
        <v>95</v>
      </c>
      <c r="C334">
        <v>55822728.494409099</v>
      </c>
      <c r="D334">
        <v>58722092.852488101</v>
      </c>
      <c r="E334">
        <v>13513.513513514001</v>
      </c>
      <c r="G334">
        <v>3</v>
      </c>
      <c r="H334">
        <v>6</v>
      </c>
      <c r="K334">
        <v>3</v>
      </c>
      <c r="L334">
        <v>8</v>
      </c>
      <c r="M334">
        <v>554054.05405405397</v>
      </c>
      <c r="N334">
        <v>450450.45045045001</v>
      </c>
      <c r="O334">
        <v>13847495.495495496</v>
      </c>
      <c r="P334">
        <v>16203612.612612613</v>
      </c>
      <c r="Q334">
        <v>427567.56756756798</v>
      </c>
      <c r="R334">
        <v>308558.55855855899</v>
      </c>
      <c r="S334">
        <v>897</v>
      </c>
      <c r="T334">
        <v>848</v>
      </c>
    </row>
    <row r="335" spans="1:20" x14ac:dyDescent="0.35">
      <c r="A335" s="7" t="s">
        <v>437</v>
      </c>
      <c r="B335" s="12" t="s">
        <v>90</v>
      </c>
      <c r="C335">
        <v>291454343.23188937</v>
      </c>
      <c r="D335">
        <v>308277100.55347127</v>
      </c>
      <c r="E335">
        <v>3866666.666666674</v>
      </c>
      <c r="F335">
        <v>6876576.5765765812</v>
      </c>
      <c r="G335">
        <v>82</v>
      </c>
      <c r="H335">
        <v>52</v>
      </c>
      <c r="K335">
        <v>92</v>
      </c>
      <c r="L335">
        <v>62</v>
      </c>
      <c r="M335">
        <v>40986306.306306303</v>
      </c>
      <c r="N335">
        <v>49143513.513513513</v>
      </c>
      <c r="O335">
        <v>133286301.80180179</v>
      </c>
      <c r="P335">
        <v>143593405.4054054</v>
      </c>
      <c r="Q335">
        <v>38786396.396396399</v>
      </c>
      <c r="R335">
        <v>50986126.126126125</v>
      </c>
      <c r="S335">
        <v>5585</v>
      </c>
      <c r="T335">
        <v>5504</v>
      </c>
    </row>
    <row r="336" spans="1:20" x14ac:dyDescent="0.35">
      <c r="A336" s="7" t="s">
        <v>438</v>
      </c>
      <c r="B336" s="12" t="s">
        <v>71</v>
      </c>
      <c r="C336">
        <v>9151885.3266780842</v>
      </c>
      <c r="D336">
        <v>8575777.3572604973</v>
      </c>
      <c r="G336">
        <v>6</v>
      </c>
      <c r="H336">
        <v>5</v>
      </c>
      <c r="K336">
        <v>7</v>
      </c>
      <c r="L336">
        <v>5</v>
      </c>
      <c r="O336">
        <v>6227198.1981981983</v>
      </c>
      <c r="P336">
        <v>5851837.8378378376</v>
      </c>
      <c r="S336">
        <v>4860</v>
      </c>
      <c r="T336">
        <v>2264</v>
      </c>
    </row>
    <row r="337" spans="1:20" x14ac:dyDescent="0.35">
      <c r="A337" s="7" t="s">
        <v>439</v>
      </c>
      <c r="B337" s="12" t="s">
        <v>196</v>
      </c>
      <c r="C337">
        <v>1382713747.0613344</v>
      </c>
      <c r="D337">
        <v>1386291545.9288468</v>
      </c>
      <c r="E337">
        <v>182448969.36936939</v>
      </c>
      <c r="F337">
        <v>287445922.52252251</v>
      </c>
      <c r="G337">
        <v>368</v>
      </c>
      <c r="H337">
        <v>218</v>
      </c>
      <c r="K337">
        <v>440</v>
      </c>
      <c r="L337">
        <v>296</v>
      </c>
      <c r="M337">
        <v>135534324.32432434</v>
      </c>
      <c r="N337">
        <v>131021171.17117117</v>
      </c>
      <c r="O337">
        <v>238138234.23423424</v>
      </c>
      <c r="P337">
        <v>246442664.86486486</v>
      </c>
      <c r="Q337">
        <v>112441621.62162164</v>
      </c>
      <c r="R337">
        <v>107300180.18018018</v>
      </c>
      <c r="S337">
        <v>20741</v>
      </c>
      <c r="T337">
        <v>20604</v>
      </c>
    </row>
    <row r="338" spans="1:20" x14ac:dyDescent="0.35">
      <c r="A338" s="7" t="s">
        <v>440</v>
      </c>
      <c r="B338" s="12" t="s">
        <v>179</v>
      </c>
      <c r="C338">
        <v>695330413.71681654</v>
      </c>
      <c r="D338">
        <v>682728507.27142406</v>
      </c>
      <c r="E338">
        <v>9559459.4594594613</v>
      </c>
      <c r="F338">
        <v>87563963.963963971</v>
      </c>
      <c r="G338">
        <v>183</v>
      </c>
      <c r="H338">
        <v>89</v>
      </c>
      <c r="I338">
        <v>1</v>
      </c>
      <c r="K338">
        <v>251</v>
      </c>
      <c r="L338">
        <v>116</v>
      </c>
      <c r="M338">
        <v>121492918.01801802</v>
      </c>
      <c r="N338">
        <v>129046846.84684685</v>
      </c>
      <c r="O338">
        <v>280017518.01801801</v>
      </c>
      <c r="P338">
        <v>291167909.9099099</v>
      </c>
      <c r="Q338">
        <v>106653918.91891891</v>
      </c>
      <c r="R338">
        <v>109900450.45045045</v>
      </c>
      <c r="S338">
        <v>14917</v>
      </c>
      <c r="T338">
        <v>14850</v>
      </c>
    </row>
    <row r="339" spans="1:20" x14ac:dyDescent="0.35">
      <c r="A339" s="7" t="s">
        <v>441</v>
      </c>
      <c r="B339" s="12" t="s">
        <v>79</v>
      </c>
      <c r="C339">
        <v>294914894.35808486</v>
      </c>
      <c r="D339">
        <v>293031533.89555281</v>
      </c>
      <c r="E339">
        <v>3738738.7387387399</v>
      </c>
      <c r="F339">
        <v>5890540.5405405452</v>
      </c>
      <c r="G339">
        <v>54</v>
      </c>
      <c r="H339">
        <v>132</v>
      </c>
      <c r="I339">
        <v>2</v>
      </c>
      <c r="K339">
        <v>123</v>
      </c>
      <c r="L339">
        <v>200</v>
      </c>
      <c r="M339">
        <v>28855855.855855856</v>
      </c>
      <c r="N339">
        <v>39597747.747747742</v>
      </c>
      <c r="O339">
        <v>60212243.243243247</v>
      </c>
      <c r="P339">
        <v>66228900.9009009</v>
      </c>
      <c r="Q339">
        <v>29164684.684684683</v>
      </c>
      <c r="R339">
        <v>34289009.009009011</v>
      </c>
      <c r="S339">
        <v>5015</v>
      </c>
      <c r="T339">
        <v>4781</v>
      </c>
    </row>
    <row r="340" spans="1:20" x14ac:dyDescent="0.35">
      <c r="A340" s="7" t="s">
        <v>442</v>
      </c>
      <c r="B340" s="12" t="s">
        <v>79</v>
      </c>
      <c r="C340">
        <v>124659227.53781715</v>
      </c>
      <c r="D340">
        <v>131954056.72398463</v>
      </c>
      <c r="E340">
        <v>2147747.747747751</v>
      </c>
      <c r="F340">
        <v>2011711.711711715</v>
      </c>
      <c r="G340">
        <v>33</v>
      </c>
      <c r="H340">
        <v>28</v>
      </c>
      <c r="I340">
        <v>2</v>
      </c>
      <c r="K340">
        <v>43</v>
      </c>
      <c r="L340">
        <v>30</v>
      </c>
      <c r="M340">
        <v>26933963.963963959</v>
      </c>
      <c r="N340">
        <v>24658378.378378376</v>
      </c>
      <c r="O340">
        <v>26960900.9009009</v>
      </c>
      <c r="P340">
        <v>27918243.243243244</v>
      </c>
      <c r="Q340">
        <v>24948378.378378376</v>
      </c>
      <c r="R340">
        <v>21815135.135135133</v>
      </c>
      <c r="S340">
        <v>2435</v>
      </c>
      <c r="T340">
        <v>2317</v>
      </c>
    </row>
    <row r="341" spans="1:20" x14ac:dyDescent="0.35">
      <c r="A341" s="7" t="s">
        <v>443</v>
      </c>
      <c r="B341" s="12" t="s">
        <v>124</v>
      </c>
      <c r="C341">
        <v>1860879.902311773</v>
      </c>
      <c r="D341">
        <v>1251467.2176592229</v>
      </c>
      <c r="O341">
        <v>721531.53153153195</v>
      </c>
      <c r="P341">
        <v>561747.74774774804</v>
      </c>
      <c r="S341">
        <v>1</v>
      </c>
      <c r="T341">
        <v>364</v>
      </c>
    </row>
    <row r="342" spans="1:20" x14ac:dyDescent="0.35">
      <c r="A342" s="7" t="s">
        <v>444</v>
      </c>
      <c r="B342" s="12" t="s">
        <v>141</v>
      </c>
      <c r="C342">
        <v>300404066.88240778</v>
      </c>
      <c r="D342">
        <v>303837845.53388441</v>
      </c>
      <c r="E342">
        <v>3229279.27927928</v>
      </c>
      <c r="F342">
        <v>4890990.9909909954</v>
      </c>
      <c r="G342">
        <v>50</v>
      </c>
      <c r="H342">
        <v>73</v>
      </c>
      <c r="I342">
        <v>10</v>
      </c>
      <c r="K342">
        <v>99</v>
      </c>
      <c r="L342">
        <v>86</v>
      </c>
      <c r="M342">
        <v>35798558.558558561</v>
      </c>
      <c r="N342">
        <v>43981351.351351351</v>
      </c>
      <c r="O342">
        <v>82089864.864864871</v>
      </c>
      <c r="P342">
        <v>86863090.090090096</v>
      </c>
      <c r="Q342">
        <v>29205405.40540541</v>
      </c>
      <c r="R342">
        <v>36778108.108108111</v>
      </c>
      <c r="S342">
        <v>5877</v>
      </c>
      <c r="T342">
        <v>5567</v>
      </c>
    </row>
    <row r="343" spans="1:20" x14ac:dyDescent="0.35">
      <c r="A343" s="7" t="s">
        <v>445</v>
      </c>
      <c r="B343" s="12" t="s">
        <v>77</v>
      </c>
      <c r="C343">
        <v>33516013.739043087</v>
      </c>
      <c r="D343">
        <v>31388689.046378683</v>
      </c>
      <c r="E343">
        <v>281081.08108108101</v>
      </c>
      <c r="F343">
        <v>139639.63963963999</v>
      </c>
      <c r="G343">
        <v>5</v>
      </c>
      <c r="H343">
        <v>2</v>
      </c>
      <c r="K343">
        <v>6</v>
      </c>
      <c r="L343">
        <v>2</v>
      </c>
      <c r="M343">
        <v>5285585.5855855858</v>
      </c>
      <c r="N343">
        <v>9458558.5585585572</v>
      </c>
      <c r="O343">
        <v>7340423.4234234234</v>
      </c>
      <c r="P343">
        <v>7803072.072072072</v>
      </c>
      <c r="Q343">
        <v>4939369.369369369</v>
      </c>
      <c r="R343">
        <v>7490720.7207207214</v>
      </c>
      <c r="S343">
        <v>7934</v>
      </c>
      <c r="T343">
        <v>542</v>
      </c>
    </row>
    <row r="344" spans="1:20" x14ac:dyDescent="0.35">
      <c r="A344" s="7" t="s">
        <v>446</v>
      </c>
      <c r="B344" s="12" t="s">
        <v>90</v>
      </c>
      <c r="C344">
        <v>925492615.92586744</v>
      </c>
      <c r="D344">
        <v>918670742.29759359</v>
      </c>
      <c r="E344">
        <v>414045025.22522521</v>
      </c>
      <c r="F344">
        <v>751839695.49549556</v>
      </c>
      <c r="G344">
        <v>438</v>
      </c>
      <c r="H344">
        <v>308</v>
      </c>
      <c r="I344">
        <v>6</v>
      </c>
      <c r="K344">
        <v>1232</v>
      </c>
      <c r="L344">
        <v>568</v>
      </c>
      <c r="M344">
        <v>290644594.5945946</v>
      </c>
      <c r="N344">
        <v>138611171.17117116</v>
      </c>
      <c r="O344">
        <v>307389863.06306303</v>
      </c>
      <c r="P344">
        <v>307154810.8108108</v>
      </c>
      <c r="Q344">
        <v>193082432.43243241</v>
      </c>
      <c r="R344">
        <v>134433693.6936937</v>
      </c>
      <c r="S344">
        <v>18641</v>
      </c>
      <c r="T344">
        <v>15972</v>
      </c>
    </row>
    <row r="345" spans="1:20" x14ac:dyDescent="0.35">
      <c r="A345" s="7" t="s">
        <v>447</v>
      </c>
      <c r="B345" s="12" t="s">
        <v>49</v>
      </c>
      <c r="C345">
        <v>91736269.060483426</v>
      </c>
      <c r="D345">
        <v>90599853.932894588</v>
      </c>
      <c r="E345">
        <v>2136036.036036036</v>
      </c>
      <c r="F345">
        <v>1023423.423423424</v>
      </c>
      <c r="G345">
        <v>8</v>
      </c>
      <c r="H345">
        <v>3</v>
      </c>
      <c r="K345">
        <v>10</v>
      </c>
      <c r="L345">
        <v>5</v>
      </c>
      <c r="M345">
        <v>21831711.711711712</v>
      </c>
      <c r="N345">
        <v>16217117.117117118</v>
      </c>
      <c r="O345">
        <v>31624171.171171173</v>
      </c>
      <c r="P345">
        <v>33858909.909909911</v>
      </c>
      <c r="Q345">
        <v>21966216.216216218</v>
      </c>
      <c r="R345">
        <v>16645405.405405404</v>
      </c>
      <c r="S345">
        <v>1158</v>
      </c>
      <c r="T345">
        <v>1109</v>
      </c>
    </row>
    <row r="346" spans="1:20" x14ac:dyDescent="0.35">
      <c r="A346" s="7" t="s">
        <v>448</v>
      </c>
      <c r="B346" s="12" t="s">
        <v>449</v>
      </c>
      <c r="C346">
        <v>185318348.9843134</v>
      </c>
      <c r="D346">
        <v>194992559.50647411</v>
      </c>
      <c r="E346">
        <v>3857657.6576576582</v>
      </c>
      <c r="F346">
        <v>6982432.4324324308</v>
      </c>
      <c r="G346">
        <v>93</v>
      </c>
      <c r="H346">
        <v>395</v>
      </c>
      <c r="K346">
        <v>107</v>
      </c>
      <c r="L346">
        <v>420</v>
      </c>
      <c r="M346">
        <v>15179099.0990991</v>
      </c>
      <c r="N346">
        <v>102466891.89189188</v>
      </c>
      <c r="O346">
        <v>74634639.639639646</v>
      </c>
      <c r="P346">
        <v>80674936.93693693</v>
      </c>
      <c r="Q346">
        <v>16583153.153153157</v>
      </c>
      <c r="R346">
        <v>100268423.42342342</v>
      </c>
      <c r="S346">
        <v>9031</v>
      </c>
      <c r="T346">
        <v>5671</v>
      </c>
    </row>
    <row r="347" spans="1:20" x14ac:dyDescent="0.35">
      <c r="A347" s="7" t="s">
        <v>450</v>
      </c>
      <c r="B347" s="12" t="s">
        <v>77</v>
      </c>
      <c r="C347">
        <v>43641412.272958271</v>
      </c>
      <c r="D347">
        <v>48155336.256769791</v>
      </c>
      <c r="E347">
        <v>586486.48648648802</v>
      </c>
      <c r="F347">
        <v>468468.46846847102</v>
      </c>
      <c r="G347">
        <v>27</v>
      </c>
      <c r="H347">
        <v>23</v>
      </c>
      <c r="I347">
        <v>1</v>
      </c>
      <c r="K347">
        <v>29</v>
      </c>
      <c r="L347">
        <v>29</v>
      </c>
      <c r="M347">
        <v>12891261.26126126</v>
      </c>
      <c r="N347">
        <v>15203603.603603603</v>
      </c>
      <c r="O347">
        <v>16105899.0990991</v>
      </c>
      <c r="P347">
        <v>16733090.09009009</v>
      </c>
      <c r="Q347">
        <v>9687117.1171171162</v>
      </c>
      <c r="R347">
        <v>11031801.801801803</v>
      </c>
      <c r="S347">
        <v>1922</v>
      </c>
      <c r="T347">
        <v>1826</v>
      </c>
    </row>
    <row r="348" spans="1:20" x14ac:dyDescent="0.35">
      <c r="A348" s="7" t="s">
        <v>451</v>
      </c>
      <c r="B348" s="12" t="s">
        <v>84</v>
      </c>
      <c r="C348">
        <v>1646676437.7431321</v>
      </c>
      <c r="D348">
        <v>1690978650.1157911</v>
      </c>
      <c r="E348">
        <v>636558040.54054058</v>
      </c>
      <c r="F348">
        <v>760258505.4054054</v>
      </c>
      <c r="G348">
        <v>627</v>
      </c>
      <c r="H348">
        <v>369</v>
      </c>
      <c r="I348">
        <v>3</v>
      </c>
      <c r="K348">
        <v>772</v>
      </c>
      <c r="L348">
        <v>617</v>
      </c>
      <c r="M348">
        <v>219290900.9009009</v>
      </c>
      <c r="N348">
        <v>266857837.83783782</v>
      </c>
      <c r="O348">
        <v>357123542.7927928</v>
      </c>
      <c r="P348">
        <v>394775025.22522521</v>
      </c>
      <c r="Q348">
        <v>193141846.84684685</v>
      </c>
      <c r="R348">
        <v>236822747.74774775</v>
      </c>
      <c r="S348">
        <v>33676</v>
      </c>
      <c r="T348">
        <v>32321</v>
      </c>
    </row>
    <row r="349" spans="1:20" x14ac:dyDescent="0.35">
      <c r="A349" s="7" t="s">
        <v>452</v>
      </c>
      <c r="B349" s="12" t="s">
        <v>71</v>
      </c>
      <c r="C349">
        <v>109631500.83887604</v>
      </c>
      <c r="D349">
        <v>105794831.23025467</v>
      </c>
      <c r="E349">
        <v>500000</v>
      </c>
      <c r="F349">
        <v>2050450.4504504499</v>
      </c>
      <c r="G349">
        <v>23</v>
      </c>
      <c r="H349">
        <v>12</v>
      </c>
      <c r="K349">
        <v>26</v>
      </c>
      <c r="L349">
        <v>16</v>
      </c>
      <c r="M349">
        <v>2883783.7837837841</v>
      </c>
      <c r="N349">
        <v>191873873.87387389</v>
      </c>
      <c r="O349">
        <v>68113324.324324325</v>
      </c>
      <c r="P349">
        <v>61581225.225225225</v>
      </c>
      <c r="Q349">
        <v>2957927.927927928</v>
      </c>
      <c r="R349">
        <v>189511891.8918919</v>
      </c>
      <c r="S349">
        <v>2872</v>
      </c>
      <c r="T349">
        <v>2388</v>
      </c>
    </row>
    <row r="350" spans="1:20" x14ac:dyDescent="0.35">
      <c r="A350" s="7" t="s">
        <v>453</v>
      </c>
      <c r="B350" s="12" t="s">
        <v>168</v>
      </c>
      <c r="C350">
        <v>130236296.07107195</v>
      </c>
      <c r="D350">
        <v>135036933.39713836</v>
      </c>
      <c r="E350">
        <v>3198198.1981981979</v>
      </c>
      <c r="F350">
        <v>4033333.3333333321</v>
      </c>
      <c r="G350">
        <v>3</v>
      </c>
      <c r="H350">
        <v>22</v>
      </c>
      <c r="K350">
        <v>3</v>
      </c>
      <c r="L350">
        <v>27</v>
      </c>
      <c r="M350">
        <v>6996846.8468468469</v>
      </c>
      <c r="N350">
        <v>9510810.81081081</v>
      </c>
      <c r="O350">
        <v>25137846.846846849</v>
      </c>
      <c r="P350">
        <v>33545612.612612613</v>
      </c>
      <c r="Q350">
        <v>6468198.1981981983</v>
      </c>
      <c r="R350">
        <v>7675855.8558558542</v>
      </c>
      <c r="S350">
        <v>2687</v>
      </c>
      <c r="T350">
        <v>2938</v>
      </c>
    </row>
    <row r="351" spans="1:20" x14ac:dyDescent="0.35">
      <c r="A351" s="7" t="s">
        <v>454</v>
      </c>
      <c r="B351" s="12" t="s">
        <v>122</v>
      </c>
      <c r="C351">
        <v>5208815.9380897321</v>
      </c>
      <c r="D351">
        <v>6043865.380898308</v>
      </c>
      <c r="E351">
        <v>34234.234234233998</v>
      </c>
      <c r="F351">
        <v>9009.0090090100002</v>
      </c>
      <c r="G351">
        <v>2</v>
      </c>
      <c r="K351">
        <v>2</v>
      </c>
      <c r="M351">
        <v>36036.036036035999</v>
      </c>
      <c r="N351">
        <v>99099.0990991</v>
      </c>
      <c r="O351">
        <v>519234.23423423403</v>
      </c>
      <c r="P351">
        <v>450936.93693693698</v>
      </c>
      <c r="R351">
        <v>90090.090090090001</v>
      </c>
      <c r="S351">
        <v>128</v>
      </c>
      <c r="T351">
        <v>118</v>
      </c>
    </row>
    <row r="352" spans="1:20" x14ac:dyDescent="0.35">
      <c r="A352" s="7" t="s">
        <v>455</v>
      </c>
      <c r="B352" s="12" t="s">
        <v>225</v>
      </c>
      <c r="C352">
        <v>44137261.039922595</v>
      </c>
      <c r="D352">
        <v>46334604.791313134</v>
      </c>
      <c r="F352">
        <v>13513.513513514001</v>
      </c>
      <c r="G352">
        <v>1</v>
      </c>
      <c r="K352">
        <v>2</v>
      </c>
      <c r="N352">
        <v>914414.41441441397</v>
      </c>
      <c r="O352">
        <v>8425576.5765765756</v>
      </c>
      <c r="P352">
        <v>13194099.0990991</v>
      </c>
      <c r="Q352">
        <v>194864.864864865</v>
      </c>
      <c r="R352">
        <v>258738.73873873899</v>
      </c>
      <c r="S352">
        <v>1359</v>
      </c>
      <c r="T352">
        <v>1276</v>
      </c>
    </row>
    <row r="353" spans="1:20" x14ac:dyDescent="0.35">
      <c r="A353" s="7" t="s">
        <v>456</v>
      </c>
      <c r="B353" s="12" t="s">
        <v>95</v>
      </c>
      <c r="C353">
        <v>68293949.152443647</v>
      </c>
      <c r="D353">
        <v>84566480.908572167</v>
      </c>
      <c r="E353">
        <v>572072.072072073</v>
      </c>
      <c r="F353">
        <v>1693693.6936936961</v>
      </c>
      <c r="G353">
        <v>20</v>
      </c>
      <c r="H353">
        <v>31</v>
      </c>
      <c r="K353">
        <v>21</v>
      </c>
      <c r="L353">
        <v>34</v>
      </c>
      <c r="M353">
        <v>29934684.684684686</v>
      </c>
      <c r="N353">
        <v>17459459.459459458</v>
      </c>
      <c r="O353">
        <v>15856950.45045045</v>
      </c>
      <c r="P353">
        <v>22121689.189189192</v>
      </c>
      <c r="Q353">
        <v>28050720.72072072</v>
      </c>
      <c r="R353">
        <v>16186666.666666666</v>
      </c>
      <c r="S353">
        <v>2048</v>
      </c>
      <c r="T353">
        <v>2204</v>
      </c>
    </row>
    <row r="354" spans="1:20" x14ac:dyDescent="0.35">
      <c r="A354" s="7" t="s">
        <v>666</v>
      </c>
      <c r="B354" s="12" t="s">
        <v>190</v>
      </c>
      <c r="E354">
        <v>3603603.6036036038</v>
      </c>
      <c r="F354">
        <v>39074813.513513513</v>
      </c>
      <c r="M354">
        <v>34684.684684685002</v>
      </c>
      <c r="N354">
        <v>6216216.2162162159</v>
      </c>
    </row>
    <row r="355" spans="1:20" x14ac:dyDescent="0.35">
      <c r="A355" s="7" t="s">
        <v>457</v>
      </c>
      <c r="B355" s="12" t="s">
        <v>61</v>
      </c>
      <c r="C355">
        <v>9599616.9591823481</v>
      </c>
      <c r="D355">
        <v>11794735.65388662</v>
      </c>
      <c r="E355">
        <v>181081.08108108101</v>
      </c>
      <c r="F355">
        <v>46846.846846847002</v>
      </c>
      <c r="G355">
        <v>5</v>
      </c>
      <c r="H355">
        <v>4</v>
      </c>
      <c r="K355">
        <v>6</v>
      </c>
      <c r="L355">
        <v>5</v>
      </c>
      <c r="M355">
        <v>1217117.1171171181</v>
      </c>
      <c r="N355">
        <v>947747.74774774804</v>
      </c>
      <c r="O355">
        <v>4290666.666666666</v>
      </c>
      <c r="P355">
        <v>6088486.4864864862</v>
      </c>
      <c r="Q355">
        <v>753063.06306306296</v>
      </c>
      <c r="R355">
        <v>979189.189189189</v>
      </c>
      <c r="S355">
        <v>605</v>
      </c>
      <c r="T355">
        <v>600</v>
      </c>
    </row>
    <row r="356" spans="1:20" x14ac:dyDescent="0.35">
      <c r="A356" s="7" t="s">
        <v>458</v>
      </c>
      <c r="B356" s="12" t="s">
        <v>215</v>
      </c>
      <c r="C356">
        <v>182156566.07923013</v>
      </c>
      <c r="D356">
        <v>176619820.32104561</v>
      </c>
      <c r="E356">
        <v>428828.82882882899</v>
      </c>
      <c r="G356">
        <v>27</v>
      </c>
      <c r="H356">
        <v>11</v>
      </c>
      <c r="K356">
        <v>28</v>
      </c>
      <c r="L356">
        <v>13</v>
      </c>
      <c r="M356">
        <v>969369.369369369</v>
      </c>
      <c r="N356">
        <v>360360.36036036001</v>
      </c>
      <c r="O356">
        <v>93232621.621621609</v>
      </c>
      <c r="P356">
        <v>93799459.459459454</v>
      </c>
      <c r="Q356">
        <v>1759909.9099099101</v>
      </c>
      <c r="R356">
        <v>427117.11711711698</v>
      </c>
      <c r="S356">
        <v>3356</v>
      </c>
      <c r="T356">
        <v>2979</v>
      </c>
    </row>
    <row r="357" spans="1:20" x14ac:dyDescent="0.35">
      <c r="A357" s="7" t="s">
        <v>459</v>
      </c>
      <c r="B357" s="12" t="s">
        <v>460</v>
      </c>
      <c r="C357">
        <v>711657740.31519449</v>
      </c>
      <c r="D357">
        <v>747075739.73840368</v>
      </c>
      <c r="E357">
        <v>17440540.540540557</v>
      </c>
      <c r="F357">
        <v>23890990.990991</v>
      </c>
      <c r="G357">
        <v>378</v>
      </c>
      <c r="H357">
        <v>326</v>
      </c>
      <c r="I357">
        <v>1</v>
      </c>
      <c r="K357">
        <v>491</v>
      </c>
      <c r="L357">
        <v>460</v>
      </c>
      <c r="M357">
        <v>255158333.33333334</v>
      </c>
      <c r="N357">
        <v>263630720.72072074</v>
      </c>
      <c r="O357">
        <v>253450371.62162164</v>
      </c>
      <c r="P357">
        <v>280651572.97297299</v>
      </c>
      <c r="Q357">
        <v>178429324.32432431</v>
      </c>
      <c r="R357">
        <v>206649819.81981981</v>
      </c>
      <c r="S357">
        <v>31931</v>
      </c>
      <c r="T357">
        <v>24750</v>
      </c>
    </row>
    <row r="358" spans="1:20" x14ac:dyDescent="0.35">
      <c r="A358" s="7" t="s">
        <v>461</v>
      </c>
      <c r="B358" s="12" t="s">
        <v>460</v>
      </c>
      <c r="C358">
        <v>2406370566.5162148</v>
      </c>
      <c r="D358">
        <v>2469204159.9156203</v>
      </c>
      <c r="E358">
        <v>16347747.747747753</v>
      </c>
      <c r="F358">
        <v>21699549.549549557</v>
      </c>
      <c r="G358">
        <v>505</v>
      </c>
      <c r="H358">
        <v>546</v>
      </c>
      <c r="I358">
        <v>3</v>
      </c>
      <c r="K358">
        <v>599</v>
      </c>
      <c r="L358">
        <v>778</v>
      </c>
      <c r="M358">
        <v>122273108.1081081</v>
      </c>
      <c r="N358">
        <v>215763333.33333331</v>
      </c>
      <c r="O358">
        <v>1546010004.9549551</v>
      </c>
      <c r="P358">
        <v>1596476702.7027025</v>
      </c>
      <c r="Q358">
        <v>114509504.5045045</v>
      </c>
      <c r="R358">
        <v>162649279.27927926</v>
      </c>
      <c r="S358">
        <v>42656</v>
      </c>
      <c r="T358">
        <v>30949</v>
      </c>
    </row>
    <row r="359" spans="1:20" x14ac:dyDescent="0.35">
      <c r="A359" s="7" t="s">
        <v>462</v>
      </c>
      <c r="B359" s="12" t="s">
        <v>460</v>
      </c>
      <c r="C359">
        <v>1125675799.6453249</v>
      </c>
      <c r="D359">
        <v>1123656068.5964565</v>
      </c>
      <c r="E359">
        <v>27574262.16216217</v>
      </c>
      <c r="F359">
        <v>36578977.477477483</v>
      </c>
      <c r="G359">
        <v>347</v>
      </c>
      <c r="H359">
        <v>472</v>
      </c>
      <c r="I359">
        <v>6</v>
      </c>
      <c r="K359">
        <v>444</v>
      </c>
      <c r="L359">
        <v>680</v>
      </c>
      <c r="M359">
        <v>897246118.91891897</v>
      </c>
      <c r="N359">
        <v>1100096590.09009</v>
      </c>
      <c r="O359">
        <v>312457121.62162161</v>
      </c>
      <c r="P359">
        <v>333529484.68468469</v>
      </c>
      <c r="Q359">
        <v>892548243.24324322</v>
      </c>
      <c r="R359">
        <v>213077162.16216218</v>
      </c>
      <c r="S359">
        <v>34286</v>
      </c>
      <c r="T359">
        <v>23923</v>
      </c>
    </row>
    <row r="360" spans="1:20" x14ac:dyDescent="0.35">
      <c r="A360" s="7" t="s">
        <v>463</v>
      </c>
      <c r="B360" s="12" t="s">
        <v>460</v>
      </c>
      <c r="C360">
        <v>820649858.25407326</v>
      </c>
      <c r="D360">
        <v>742593372.66050982</v>
      </c>
      <c r="E360">
        <v>391795495.4954955</v>
      </c>
      <c r="F360">
        <v>507320720.72072071</v>
      </c>
      <c r="G360">
        <v>299</v>
      </c>
      <c r="H360">
        <v>155</v>
      </c>
      <c r="I360">
        <v>2</v>
      </c>
      <c r="K360">
        <v>358</v>
      </c>
      <c r="L360">
        <v>191</v>
      </c>
      <c r="M360">
        <v>149299459.45945945</v>
      </c>
      <c r="N360">
        <v>167468855.85585585</v>
      </c>
      <c r="O360">
        <v>186093135.13513514</v>
      </c>
      <c r="P360">
        <v>186497466.66666666</v>
      </c>
      <c r="Q360">
        <v>84035045.045045033</v>
      </c>
      <c r="R360">
        <v>99935045.045045033</v>
      </c>
      <c r="S360">
        <v>26143</v>
      </c>
      <c r="T360">
        <v>17578</v>
      </c>
    </row>
    <row r="361" spans="1:20" x14ac:dyDescent="0.35">
      <c r="A361" s="7" t="s">
        <v>464</v>
      </c>
      <c r="B361" s="12" t="s">
        <v>460</v>
      </c>
      <c r="C361">
        <v>785350553.6036458</v>
      </c>
      <c r="D361">
        <v>820892483.22955203</v>
      </c>
      <c r="E361">
        <v>14336261.261261266</v>
      </c>
      <c r="F361">
        <v>13205855.85585586</v>
      </c>
      <c r="G361">
        <v>768</v>
      </c>
      <c r="H361">
        <v>567</v>
      </c>
      <c r="I361">
        <v>1</v>
      </c>
      <c r="K361">
        <v>877</v>
      </c>
      <c r="L361">
        <v>1204</v>
      </c>
      <c r="M361">
        <v>174353963.96396396</v>
      </c>
      <c r="N361">
        <v>309605135.13513511</v>
      </c>
      <c r="O361">
        <v>318929619.36936933</v>
      </c>
      <c r="P361">
        <v>336380000</v>
      </c>
      <c r="Q361">
        <v>195174414.41441441</v>
      </c>
      <c r="R361">
        <v>248726531.53153151</v>
      </c>
      <c r="S361">
        <v>31543</v>
      </c>
      <c r="T361">
        <v>26463</v>
      </c>
    </row>
    <row r="362" spans="1:20" x14ac:dyDescent="0.35">
      <c r="A362" s="7" t="s">
        <v>465</v>
      </c>
      <c r="B362" s="12" t="s">
        <v>460</v>
      </c>
      <c r="C362">
        <v>913991312.37903297</v>
      </c>
      <c r="D362">
        <v>893356157.84700596</v>
      </c>
      <c r="E362">
        <v>1970312590.9909911</v>
      </c>
      <c r="F362">
        <v>1394946607.2072072</v>
      </c>
      <c r="G362">
        <v>334</v>
      </c>
      <c r="H362">
        <v>220</v>
      </c>
      <c r="K362">
        <v>381</v>
      </c>
      <c r="L362">
        <v>292</v>
      </c>
      <c r="M362">
        <v>129148900</v>
      </c>
      <c r="N362">
        <v>210435135.13513514</v>
      </c>
      <c r="O362">
        <v>393802482.43243247</v>
      </c>
      <c r="P362">
        <v>406085387.38738739</v>
      </c>
      <c r="Q362">
        <v>126759009.009009</v>
      </c>
      <c r="R362">
        <v>205284774.77477479</v>
      </c>
      <c r="S362">
        <v>36486</v>
      </c>
      <c r="T362">
        <v>30401</v>
      </c>
    </row>
    <row r="363" spans="1:20" x14ac:dyDescent="0.35">
      <c r="A363" s="7" t="s">
        <v>466</v>
      </c>
      <c r="B363" s="12" t="s">
        <v>55</v>
      </c>
      <c r="C363">
        <v>59704056.113535918</v>
      </c>
      <c r="D363">
        <v>59570471.905483529</v>
      </c>
      <c r="E363">
        <v>872972.97297297302</v>
      </c>
      <c r="F363">
        <v>619819.81981982104</v>
      </c>
      <c r="G363">
        <v>15</v>
      </c>
      <c r="H363">
        <v>11</v>
      </c>
      <c r="K363">
        <v>16</v>
      </c>
      <c r="L363">
        <v>52</v>
      </c>
      <c r="M363">
        <v>6848468.4684684686</v>
      </c>
      <c r="N363">
        <v>6282522.5225225231</v>
      </c>
      <c r="O363">
        <v>12601162.162162162</v>
      </c>
      <c r="P363">
        <v>13088441.441441443</v>
      </c>
      <c r="Q363">
        <v>6126396.3963963948</v>
      </c>
      <c r="R363">
        <v>6122792.7927927924</v>
      </c>
      <c r="S363">
        <v>1291</v>
      </c>
      <c r="T363">
        <v>1959</v>
      </c>
    </row>
    <row r="364" spans="1:20" x14ac:dyDescent="0.35">
      <c r="A364" s="7" t="s">
        <v>467</v>
      </c>
      <c r="B364" s="12" t="s">
        <v>88</v>
      </c>
      <c r="C364">
        <v>2251921.6474910211</v>
      </c>
      <c r="D364">
        <v>2637856.7646727958</v>
      </c>
      <c r="H364">
        <v>1</v>
      </c>
      <c r="L364">
        <v>1</v>
      </c>
      <c r="O364">
        <v>351351.35135135101</v>
      </c>
      <c r="P364">
        <v>1116666.666666667</v>
      </c>
      <c r="S364">
        <v>96</v>
      </c>
      <c r="T364">
        <v>88</v>
      </c>
    </row>
    <row r="365" spans="1:20" x14ac:dyDescent="0.35">
      <c r="A365" s="7" t="s">
        <v>468</v>
      </c>
      <c r="B365" s="12" t="s">
        <v>144</v>
      </c>
      <c r="C365">
        <v>281672609.50741512</v>
      </c>
      <c r="D365">
        <v>310228417.73359412</v>
      </c>
      <c r="E365">
        <v>266666.66666666802</v>
      </c>
      <c r="F365">
        <v>328828.82882882998</v>
      </c>
      <c r="G365">
        <v>56</v>
      </c>
      <c r="H365">
        <v>10</v>
      </c>
      <c r="K365">
        <v>58</v>
      </c>
      <c r="L365">
        <v>11</v>
      </c>
      <c r="M365">
        <v>17645045.045045044</v>
      </c>
      <c r="N365">
        <v>18211711.711711712</v>
      </c>
      <c r="O365">
        <v>44431888.288288288</v>
      </c>
      <c r="P365">
        <v>57904277.477477483</v>
      </c>
      <c r="Q365">
        <v>13102432.432432432</v>
      </c>
      <c r="R365">
        <v>14263646.846846849</v>
      </c>
      <c r="S365">
        <v>5125</v>
      </c>
      <c r="T365">
        <v>5202</v>
      </c>
    </row>
    <row r="366" spans="1:20" x14ac:dyDescent="0.35">
      <c r="A366" s="7" t="s">
        <v>469</v>
      </c>
      <c r="B366" s="12" t="s">
        <v>81</v>
      </c>
      <c r="C366">
        <v>244235403.85032302</v>
      </c>
      <c r="D366">
        <v>238998569.32919601</v>
      </c>
      <c r="E366">
        <v>85135.135135138</v>
      </c>
      <c r="F366">
        <v>1138738.738738741</v>
      </c>
      <c r="G366">
        <v>40</v>
      </c>
      <c r="H366">
        <v>29</v>
      </c>
      <c r="K366">
        <v>45</v>
      </c>
      <c r="L366">
        <v>31</v>
      </c>
      <c r="M366">
        <v>6056306.3063063063</v>
      </c>
      <c r="N366">
        <v>8165765.7657657657</v>
      </c>
      <c r="O366">
        <v>92389063.06306307</v>
      </c>
      <c r="P366">
        <v>91543785.585585579</v>
      </c>
      <c r="Q366">
        <v>5537207.2072072066</v>
      </c>
      <c r="R366">
        <v>6161351.3513513505</v>
      </c>
      <c r="S366">
        <v>5184</v>
      </c>
      <c r="T366">
        <v>4677</v>
      </c>
    </row>
    <row r="367" spans="1:20" x14ac:dyDescent="0.35">
      <c r="A367" s="7" t="s">
        <v>470</v>
      </c>
      <c r="B367" s="12" t="s">
        <v>471</v>
      </c>
      <c r="C367">
        <v>292343815.16303885</v>
      </c>
      <c r="D367">
        <v>288912091.68229496</v>
      </c>
      <c r="E367">
        <v>2145945.945945946</v>
      </c>
      <c r="F367">
        <v>2060360.360360363</v>
      </c>
      <c r="G367">
        <v>33</v>
      </c>
      <c r="H367">
        <v>37</v>
      </c>
      <c r="K367">
        <v>34</v>
      </c>
      <c r="L367">
        <v>50</v>
      </c>
      <c r="M367">
        <v>25082432.432432432</v>
      </c>
      <c r="N367">
        <v>16636936.936936939</v>
      </c>
      <c r="O367">
        <v>91504845.045045033</v>
      </c>
      <c r="P367">
        <v>96949933.333333328</v>
      </c>
      <c r="Q367">
        <v>25586709.909909911</v>
      </c>
      <c r="R367">
        <v>33061243.243243244</v>
      </c>
      <c r="S367">
        <v>5435</v>
      </c>
      <c r="T367">
        <v>5429</v>
      </c>
    </row>
    <row r="368" spans="1:20" x14ac:dyDescent="0.35">
      <c r="A368" s="7" t="s">
        <v>472</v>
      </c>
      <c r="B368" s="12" t="s">
        <v>471</v>
      </c>
      <c r="C368">
        <v>24420648.807395775</v>
      </c>
      <c r="D368">
        <v>25097389.796642233</v>
      </c>
      <c r="E368">
        <v>207207.20720720699</v>
      </c>
      <c r="F368">
        <v>117117.117117117</v>
      </c>
      <c r="G368">
        <v>1</v>
      </c>
      <c r="H368">
        <v>1</v>
      </c>
      <c r="K368">
        <v>3</v>
      </c>
      <c r="L368">
        <v>1</v>
      </c>
      <c r="M368">
        <v>3036036.036036036</v>
      </c>
      <c r="N368">
        <v>117117.117117117</v>
      </c>
      <c r="O368">
        <v>2174639.6396396402</v>
      </c>
      <c r="P368">
        <v>3215117.1171171172</v>
      </c>
      <c r="Q368">
        <v>2895135.1351351351</v>
      </c>
      <c r="R368">
        <v>218918.91891891899</v>
      </c>
      <c r="S368">
        <v>602</v>
      </c>
      <c r="T368">
        <v>634</v>
      </c>
    </row>
    <row r="369" spans="1:20" x14ac:dyDescent="0.35">
      <c r="A369" s="7" t="s">
        <v>473</v>
      </c>
      <c r="B369" s="12" t="s">
        <v>471</v>
      </c>
      <c r="C369">
        <v>3011536.7940170509</v>
      </c>
      <c r="D369">
        <v>3068025.7703059921</v>
      </c>
      <c r="E369">
        <v>375675.67567567597</v>
      </c>
      <c r="F369">
        <v>229729.72972973</v>
      </c>
      <c r="M369">
        <v>2925225.225225226</v>
      </c>
      <c r="N369">
        <v>680180.18018018105</v>
      </c>
      <c r="O369">
        <v>676891.89189189195</v>
      </c>
      <c r="P369">
        <v>717342.34234234202</v>
      </c>
      <c r="Q369">
        <v>2703603.6036036038</v>
      </c>
      <c r="R369">
        <v>4247207.2072072066</v>
      </c>
      <c r="S369">
        <v>524</v>
      </c>
      <c r="T369">
        <v>492</v>
      </c>
    </row>
    <row r="370" spans="1:20" x14ac:dyDescent="0.35">
      <c r="A370" s="7" t="s">
        <v>474</v>
      </c>
      <c r="B370" s="12" t="s">
        <v>471</v>
      </c>
      <c r="C370">
        <v>103112208.34111151</v>
      </c>
      <c r="D370">
        <v>100431061.48888454</v>
      </c>
      <c r="E370">
        <v>290368024.32432437</v>
      </c>
      <c r="F370">
        <v>171837180.18018019</v>
      </c>
      <c r="G370">
        <v>14</v>
      </c>
      <c r="H370">
        <v>25</v>
      </c>
      <c r="K370">
        <v>14</v>
      </c>
      <c r="L370">
        <v>42</v>
      </c>
      <c r="M370">
        <v>54398794.59459459</v>
      </c>
      <c r="N370">
        <v>28139015.315315317</v>
      </c>
      <c r="O370">
        <v>14313414.414414415</v>
      </c>
      <c r="P370">
        <v>18045754.954954956</v>
      </c>
      <c r="Q370">
        <v>21955135.135135137</v>
      </c>
      <c r="R370">
        <v>19386126.126126129</v>
      </c>
      <c r="S370">
        <v>2410</v>
      </c>
      <c r="T370">
        <v>2413</v>
      </c>
    </row>
    <row r="371" spans="1:20" x14ac:dyDescent="0.35">
      <c r="A371" s="7" t="s">
        <v>475</v>
      </c>
      <c r="B371" s="12" t="s">
        <v>471</v>
      </c>
      <c r="C371">
        <v>145083043.4476237</v>
      </c>
      <c r="D371">
        <v>143478700.27104717</v>
      </c>
      <c r="E371">
        <v>1087387.3873873891</v>
      </c>
      <c r="F371">
        <v>1453153.1531531559</v>
      </c>
      <c r="G371">
        <v>30</v>
      </c>
      <c r="H371">
        <v>15</v>
      </c>
      <c r="K371">
        <v>31</v>
      </c>
      <c r="L371">
        <v>18</v>
      </c>
      <c r="M371">
        <v>12228918.918918919</v>
      </c>
      <c r="N371">
        <v>5204864.8648648672</v>
      </c>
      <c r="O371">
        <v>31528261.261261258</v>
      </c>
      <c r="P371">
        <v>34842261.261261262</v>
      </c>
      <c r="Q371">
        <v>12519459.459459459</v>
      </c>
      <c r="R371">
        <v>12113333.333333332</v>
      </c>
      <c r="S371">
        <v>2373</v>
      </c>
      <c r="T371">
        <v>2395</v>
      </c>
    </row>
    <row r="372" spans="1:20" x14ac:dyDescent="0.35">
      <c r="A372" s="7" t="s">
        <v>476</v>
      </c>
      <c r="B372" s="12" t="s">
        <v>471</v>
      </c>
      <c r="C372">
        <v>53502468.984677292</v>
      </c>
      <c r="D372">
        <v>53617018.646306261</v>
      </c>
      <c r="E372">
        <v>348648.64864864998</v>
      </c>
      <c r="F372">
        <v>467567.56756757002</v>
      </c>
      <c r="G372">
        <v>6</v>
      </c>
      <c r="H372">
        <v>5</v>
      </c>
      <c r="K372">
        <v>6</v>
      </c>
      <c r="L372">
        <v>6</v>
      </c>
      <c r="M372">
        <v>7627927.927927928</v>
      </c>
      <c r="N372">
        <v>3418018.0180180189</v>
      </c>
      <c r="O372">
        <v>11221457.657657657</v>
      </c>
      <c r="P372">
        <v>13757162.162162162</v>
      </c>
      <c r="Q372">
        <v>6528198.1981981983</v>
      </c>
      <c r="R372">
        <v>7623783.7837837851</v>
      </c>
      <c r="S372">
        <v>1361</v>
      </c>
      <c r="T372">
        <v>1435</v>
      </c>
    </row>
    <row r="373" spans="1:20" x14ac:dyDescent="0.35">
      <c r="A373" s="7" t="s">
        <v>477</v>
      </c>
      <c r="B373" s="12" t="s">
        <v>471</v>
      </c>
      <c r="C373">
        <v>550623408.93832171</v>
      </c>
      <c r="D373">
        <v>572564154.42599416</v>
      </c>
      <c r="E373">
        <v>10855855.85585586</v>
      </c>
      <c r="F373">
        <v>11464864.864864876</v>
      </c>
      <c r="G373">
        <v>207</v>
      </c>
      <c r="H373">
        <v>405</v>
      </c>
      <c r="K373">
        <v>388</v>
      </c>
      <c r="L373">
        <v>466</v>
      </c>
      <c r="M373">
        <v>189883153.15315315</v>
      </c>
      <c r="N373">
        <v>137636756.75675675</v>
      </c>
      <c r="O373">
        <v>144967935.13513514</v>
      </c>
      <c r="P373">
        <v>160652073.87387389</v>
      </c>
      <c r="Q373">
        <v>186899729.72972974</v>
      </c>
      <c r="R373">
        <v>138090763.96396396</v>
      </c>
      <c r="S373">
        <v>17207</v>
      </c>
      <c r="T373">
        <v>16654</v>
      </c>
    </row>
    <row r="374" spans="1:20" x14ac:dyDescent="0.35">
      <c r="A374" s="7" t="s">
        <v>478</v>
      </c>
      <c r="B374" s="12" t="s">
        <v>261</v>
      </c>
      <c r="C374">
        <v>655709456.40446723</v>
      </c>
      <c r="D374">
        <v>647089265.84854996</v>
      </c>
      <c r="E374">
        <v>3648873.8738738741</v>
      </c>
      <c r="F374">
        <v>5585585.5855855886</v>
      </c>
      <c r="G374">
        <v>138</v>
      </c>
      <c r="H374">
        <v>81</v>
      </c>
      <c r="I374">
        <v>1</v>
      </c>
      <c r="K374">
        <v>145</v>
      </c>
      <c r="L374">
        <v>88</v>
      </c>
      <c r="M374">
        <v>82460360.360360354</v>
      </c>
      <c r="N374">
        <v>97194594.594594598</v>
      </c>
      <c r="O374">
        <v>174254797.2972973</v>
      </c>
      <c r="P374">
        <v>185578720.72072071</v>
      </c>
      <c r="Q374">
        <v>80417567.567567572</v>
      </c>
      <c r="R374">
        <v>95482702.702702701</v>
      </c>
      <c r="S374">
        <v>11125</v>
      </c>
      <c r="T374">
        <v>10935</v>
      </c>
    </row>
    <row r="375" spans="1:20" x14ac:dyDescent="0.35">
      <c r="A375" s="7" t="s">
        <v>479</v>
      </c>
      <c r="B375" s="12" t="s">
        <v>480</v>
      </c>
      <c r="C375">
        <v>47516550.490399003</v>
      </c>
      <c r="D375">
        <v>46956631.692597918</v>
      </c>
      <c r="E375">
        <v>681081.081081082</v>
      </c>
      <c r="F375">
        <v>685585.58558558603</v>
      </c>
      <c r="G375">
        <v>14</v>
      </c>
      <c r="H375">
        <v>14</v>
      </c>
      <c r="K375">
        <v>14</v>
      </c>
      <c r="L375">
        <v>15</v>
      </c>
      <c r="M375">
        <v>16464414.414414415</v>
      </c>
      <c r="N375">
        <v>16258198.198198197</v>
      </c>
      <c r="O375">
        <v>11452072.072072072</v>
      </c>
      <c r="P375">
        <v>12851250.450450452</v>
      </c>
      <c r="Q375">
        <v>16370270.270270269</v>
      </c>
      <c r="R375">
        <v>16560360.36036036</v>
      </c>
      <c r="S375">
        <v>1133</v>
      </c>
      <c r="T375">
        <v>815</v>
      </c>
    </row>
    <row r="376" spans="1:20" x14ac:dyDescent="0.35">
      <c r="A376" s="7" t="s">
        <v>481</v>
      </c>
      <c r="B376" s="12" t="s">
        <v>124</v>
      </c>
      <c r="C376">
        <v>350724364.65621978</v>
      </c>
      <c r="D376">
        <v>340133730.31355608</v>
      </c>
      <c r="E376">
        <v>4000000.0000000019</v>
      </c>
      <c r="F376">
        <v>2353153.1531531559</v>
      </c>
      <c r="G376">
        <v>72</v>
      </c>
      <c r="H376">
        <v>51</v>
      </c>
      <c r="K376">
        <v>78</v>
      </c>
      <c r="L376">
        <v>55</v>
      </c>
      <c r="M376">
        <v>28913513.513513517</v>
      </c>
      <c r="N376">
        <v>26926486.486486487</v>
      </c>
      <c r="O376">
        <v>132103310.81081082</v>
      </c>
      <c r="P376">
        <v>139045385.58558559</v>
      </c>
      <c r="Q376">
        <v>26307207.207207207</v>
      </c>
      <c r="R376">
        <v>23996936.936936941</v>
      </c>
      <c r="S376">
        <v>5899</v>
      </c>
      <c r="T376">
        <v>7029</v>
      </c>
    </row>
    <row r="377" spans="1:20" x14ac:dyDescent="0.35">
      <c r="A377" s="7" t="s">
        <v>482</v>
      </c>
      <c r="B377" s="12" t="s">
        <v>471</v>
      </c>
      <c r="C377">
        <v>27717254.291387189</v>
      </c>
      <c r="D377">
        <v>28357052.045158699</v>
      </c>
      <c r="E377">
        <v>94594.594594594993</v>
      </c>
      <c r="F377">
        <v>327027.02702702698</v>
      </c>
      <c r="G377">
        <v>3</v>
      </c>
      <c r="H377">
        <v>3</v>
      </c>
      <c r="K377">
        <v>4</v>
      </c>
      <c r="L377">
        <v>3</v>
      </c>
      <c r="M377">
        <v>1445945.945945946</v>
      </c>
      <c r="N377">
        <v>790990.99099099101</v>
      </c>
      <c r="O377">
        <v>3733369.369369369</v>
      </c>
      <c r="P377">
        <v>4015621.6216216218</v>
      </c>
      <c r="Q377">
        <v>873873.87387387303</v>
      </c>
      <c r="R377">
        <v>1151351.351351351</v>
      </c>
      <c r="S377">
        <v>626</v>
      </c>
      <c r="T377">
        <v>579</v>
      </c>
    </row>
    <row r="378" spans="1:20" x14ac:dyDescent="0.35">
      <c r="A378" s="7" t="s">
        <v>483</v>
      </c>
      <c r="B378" s="12" t="s">
        <v>168</v>
      </c>
      <c r="C378">
        <v>285865710.65579522</v>
      </c>
      <c r="D378">
        <v>301191928.00566876</v>
      </c>
      <c r="E378">
        <v>8347747.74774775</v>
      </c>
      <c r="F378">
        <v>66212612.612612605</v>
      </c>
      <c r="G378">
        <v>210</v>
      </c>
      <c r="H378">
        <v>57</v>
      </c>
      <c r="I378">
        <v>1</v>
      </c>
      <c r="K378">
        <v>279</v>
      </c>
      <c r="L378">
        <v>112</v>
      </c>
      <c r="M378">
        <v>23614451.351351347</v>
      </c>
      <c r="N378">
        <v>41841666.666666664</v>
      </c>
      <c r="O378">
        <v>119604495.49549548</v>
      </c>
      <c r="P378">
        <v>133117963.96396397</v>
      </c>
      <c r="Q378">
        <v>22394954.954954952</v>
      </c>
      <c r="R378">
        <v>37578153.153153151</v>
      </c>
      <c r="S378">
        <v>8825</v>
      </c>
      <c r="T378">
        <v>8976</v>
      </c>
    </row>
    <row r="379" spans="1:20" x14ac:dyDescent="0.35">
      <c r="A379" s="7" t="s">
        <v>484</v>
      </c>
      <c r="B379" s="12" t="s">
        <v>168</v>
      </c>
      <c r="C379">
        <v>328290754.71674877</v>
      </c>
      <c r="D379">
        <v>342579051.30191976</v>
      </c>
      <c r="E379">
        <v>477606629.72972971</v>
      </c>
      <c r="F379">
        <v>539473798.1981982</v>
      </c>
      <c r="G379">
        <v>430</v>
      </c>
      <c r="H379">
        <v>235</v>
      </c>
      <c r="I379">
        <v>1</v>
      </c>
      <c r="K379">
        <v>963</v>
      </c>
      <c r="L379">
        <v>656</v>
      </c>
      <c r="M379">
        <v>53733559.459459461</v>
      </c>
      <c r="N379">
        <v>94368018.018018022</v>
      </c>
      <c r="O379">
        <v>127222867.56756757</v>
      </c>
      <c r="P379">
        <v>149066762.16216218</v>
      </c>
      <c r="Q379">
        <v>49211754.954954952</v>
      </c>
      <c r="R379">
        <v>80642745.945945948</v>
      </c>
      <c r="S379">
        <v>9932</v>
      </c>
      <c r="T379">
        <v>10537</v>
      </c>
    </row>
    <row r="380" spans="1:20" x14ac:dyDescent="0.35">
      <c r="A380" s="7" t="s">
        <v>485</v>
      </c>
      <c r="B380" s="12" t="s">
        <v>51</v>
      </c>
      <c r="C380">
        <v>195257146.48680925</v>
      </c>
      <c r="D380">
        <v>198351891.30540273</v>
      </c>
      <c r="E380">
        <v>3100900.9009009022</v>
      </c>
      <c r="F380">
        <v>3117117.11711712</v>
      </c>
      <c r="G380">
        <v>54</v>
      </c>
      <c r="H380">
        <v>35</v>
      </c>
      <c r="K380">
        <v>56</v>
      </c>
      <c r="L380">
        <v>38</v>
      </c>
      <c r="M380">
        <v>35443153.153153151</v>
      </c>
      <c r="N380">
        <v>38688738.738738738</v>
      </c>
      <c r="O380">
        <v>88081277.477477476</v>
      </c>
      <c r="P380">
        <v>90969576.576576576</v>
      </c>
      <c r="Q380">
        <v>35045585.585585587</v>
      </c>
      <c r="R380">
        <v>34998378.378378376</v>
      </c>
      <c r="S380">
        <v>3795</v>
      </c>
      <c r="T380">
        <v>4236</v>
      </c>
    </row>
    <row r="381" spans="1:20" x14ac:dyDescent="0.35">
      <c r="A381" s="7" t="s">
        <v>486</v>
      </c>
      <c r="B381" s="12" t="s">
        <v>135</v>
      </c>
      <c r="C381">
        <v>260243253.6391975</v>
      </c>
      <c r="D381">
        <v>259638775.70295873</v>
      </c>
      <c r="E381">
        <v>2345945.945945946</v>
      </c>
      <c r="F381">
        <v>1735135.135135137</v>
      </c>
      <c r="G381">
        <v>42</v>
      </c>
      <c r="H381">
        <v>52</v>
      </c>
      <c r="K381">
        <v>43</v>
      </c>
      <c r="L381">
        <v>60</v>
      </c>
      <c r="M381">
        <v>41300000</v>
      </c>
      <c r="N381">
        <v>41844144.144144148</v>
      </c>
      <c r="O381">
        <v>50562214.414414413</v>
      </c>
      <c r="P381">
        <v>57514648.648648649</v>
      </c>
      <c r="Q381">
        <v>27602612.612612613</v>
      </c>
      <c r="R381">
        <v>32817657.657657657</v>
      </c>
      <c r="S381">
        <v>4615</v>
      </c>
      <c r="T381">
        <v>4782</v>
      </c>
    </row>
    <row r="382" spans="1:20" x14ac:dyDescent="0.35">
      <c r="A382" s="7" t="s">
        <v>487</v>
      </c>
      <c r="B382" s="12" t="s">
        <v>77</v>
      </c>
      <c r="C382">
        <v>55678936.070218533</v>
      </c>
      <c r="D382">
        <v>71036274.43161118</v>
      </c>
      <c r="E382">
        <v>1220720.7207207209</v>
      </c>
      <c r="F382">
        <v>950450.450450451</v>
      </c>
      <c r="G382">
        <v>17</v>
      </c>
      <c r="H382">
        <v>22</v>
      </c>
      <c r="K382">
        <v>18</v>
      </c>
      <c r="L382">
        <v>25</v>
      </c>
      <c r="M382">
        <v>13296486.486486487</v>
      </c>
      <c r="N382">
        <v>13125225.225225223</v>
      </c>
      <c r="O382">
        <v>21916194.594594598</v>
      </c>
      <c r="P382">
        <v>25933574.774774775</v>
      </c>
      <c r="Q382">
        <v>11629185.585585587</v>
      </c>
      <c r="R382">
        <v>13438151.351351352</v>
      </c>
      <c r="S382">
        <v>1988</v>
      </c>
      <c r="T382">
        <v>1439</v>
      </c>
    </row>
    <row r="383" spans="1:20" x14ac:dyDescent="0.35">
      <c r="A383" s="7" t="s">
        <v>488</v>
      </c>
      <c r="B383" s="12" t="s">
        <v>308</v>
      </c>
      <c r="C383">
        <v>450298616.79859143</v>
      </c>
      <c r="D383">
        <v>448604454.34343135</v>
      </c>
      <c r="E383">
        <v>409560360.36036038</v>
      </c>
      <c r="F383">
        <v>725747117.11711705</v>
      </c>
      <c r="G383">
        <v>111</v>
      </c>
      <c r="H383">
        <v>130</v>
      </c>
      <c r="K383">
        <v>121</v>
      </c>
      <c r="L383">
        <v>155</v>
      </c>
      <c r="M383">
        <v>109870135.13513513</v>
      </c>
      <c r="N383">
        <v>124184144.14414415</v>
      </c>
      <c r="O383">
        <v>191454306.3063063</v>
      </c>
      <c r="P383">
        <v>197348180.18018019</v>
      </c>
      <c r="Q383">
        <v>99628558.558558553</v>
      </c>
      <c r="R383">
        <v>111690765.76576576</v>
      </c>
      <c r="S383">
        <v>12825</v>
      </c>
      <c r="T383">
        <v>11606</v>
      </c>
    </row>
    <row r="384" spans="1:20" x14ac:dyDescent="0.35">
      <c r="A384" s="7" t="s">
        <v>489</v>
      </c>
      <c r="B384" s="12" t="s">
        <v>316</v>
      </c>
      <c r="C384">
        <v>101850327.14004023</v>
      </c>
      <c r="D384">
        <v>99985270.278426304</v>
      </c>
      <c r="E384">
        <v>1367567.5675675671</v>
      </c>
      <c r="F384">
        <v>957657.65765766299</v>
      </c>
      <c r="G384">
        <v>8</v>
      </c>
      <c r="H384">
        <v>6</v>
      </c>
      <c r="K384">
        <v>9</v>
      </c>
      <c r="L384">
        <v>6</v>
      </c>
      <c r="M384">
        <v>49019729.729729727</v>
      </c>
      <c r="N384">
        <v>61147477.477477483</v>
      </c>
      <c r="O384">
        <v>44136657.657657653</v>
      </c>
      <c r="P384">
        <v>40661000</v>
      </c>
      <c r="Q384">
        <v>41329099.0990991</v>
      </c>
      <c r="R384">
        <v>60893783.783783786</v>
      </c>
      <c r="S384">
        <v>1636</v>
      </c>
      <c r="T384">
        <v>1731</v>
      </c>
    </row>
    <row r="385" spans="1:20" x14ac:dyDescent="0.35">
      <c r="A385" s="7" t="s">
        <v>490</v>
      </c>
      <c r="B385" s="12" t="s">
        <v>182</v>
      </c>
      <c r="C385">
        <v>236084209.23758104</v>
      </c>
      <c r="D385">
        <v>244127836.55719119</v>
      </c>
      <c r="E385">
        <v>66891441.441441439</v>
      </c>
      <c r="F385">
        <v>190779279.27927926</v>
      </c>
      <c r="G385">
        <v>120</v>
      </c>
      <c r="H385">
        <v>87</v>
      </c>
      <c r="I385">
        <v>1</v>
      </c>
      <c r="K385">
        <v>160</v>
      </c>
      <c r="L385">
        <v>110</v>
      </c>
      <c r="M385">
        <v>28203558.558558561</v>
      </c>
      <c r="N385">
        <v>38855495.495495498</v>
      </c>
      <c r="O385">
        <v>69881243.243243247</v>
      </c>
      <c r="P385">
        <v>78205493.693693697</v>
      </c>
      <c r="Q385">
        <v>23990270.270270269</v>
      </c>
      <c r="R385">
        <v>33816486.486486487</v>
      </c>
      <c r="S385">
        <v>7224</v>
      </c>
      <c r="T385">
        <v>5340</v>
      </c>
    </row>
    <row r="386" spans="1:20" x14ac:dyDescent="0.35">
      <c r="A386" s="7" t="s">
        <v>667</v>
      </c>
      <c r="B386" s="12" t="s">
        <v>67</v>
      </c>
      <c r="E386">
        <v>272174774.77477479</v>
      </c>
      <c r="F386">
        <v>478423423.42342341</v>
      </c>
      <c r="M386">
        <v>17360585.585585583</v>
      </c>
      <c r="N386">
        <v>19407297.297297295</v>
      </c>
    </row>
    <row r="387" spans="1:20" x14ac:dyDescent="0.35">
      <c r="A387" s="7" t="s">
        <v>491</v>
      </c>
      <c r="B387" s="12" t="s">
        <v>221</v>
      </c>
      <c r="C387">
        <v>137980350.85950217</v>
      </c>
      <c r="D387">
        <v>138135752.22960287</v>
      </c>
      <c r="E387">
        <v>101801.80180180199</v>
      </c>
      <c r="G387">
        <v>48</v>
      </c>
      <c r="H387">
        <v>45</v>
      </c>
      <c r="K387">
        <v>53</v>
      </c>
      <c r="L387">
        <v>73</v>
      </c>
      <c r="M387">
        <v>2945405.405405405</v>
      </c>
      <c r="N387">
        <v>1650450.450450452</v>
      </c>
      <c r="O387">
        <v>34343754.954954959</v>
      </c>
      <c r="P387">
        <v>37235423.423423424</v>
      </c>
      <c r="Q387">
        <v>1697027.027027027</v>
      </c>
      <c r="R387">
        <v>850000.00000000105</v>
      </c>
      <c r="S387">
        <v>4166</v>
      </c>
      <c r="T387">
        <v>3973</v>
      </c>
    </row>
    <row r="388" spans="1:20" x14ac:dyDescent="0.35">
      <c r="A388" s="7" t="s">
        <v>492</v>
      </c>
      <c r="B388" s="12" t="s">
        <v>221</v>
      </c>
      <c r="C388">
        <v>46981035.559712201</v>
      </c>
      <c r="D388">
        <v>32861578.809737448</v>
      </c>
      <c r="E388">
        <v>465765.76576576597</v>
      </c>
      <c r="F388">
        <v>76576.576576577005</v>
      </c>
      <c r="G388">
        <v>24</v>
      </c>
      <c r="H388">
        <v>10</v>
      </c>
      <c r="I388">
        <v>1</v>
      </c>
      <c r="K388">
        <v>27</v>
      </c>
      <c r="L388">
        <v>12</v>
      </c>
      <c r="M388">
        <v>15679729.729729732</v>
      </c>
      <c r="N388">
        <v>11418918.918918921</v>
      </c>
      <c r="O388">
        <v>13715666.666666666</v>
      </c>
      <c r="P388">
        <v>12523682.882882882</v>
      </c>
      <c r="Q388">
        <v>15420810.810810812</v>
      </c>
      <c r="R388">
        <v>11403153.153153153</v>
      </c>
      <c r="S388">
        <v>1238</v>
      </c>
      <c r="T388">
        <v>1229</v>
      </c>
    </row>
    <row r="389" spans="1:20" x14ac:dyDescent="0.35">
      <c r="A389" s="7" t="s">
        <v>493</v>
      </c>
      <c r="B389" s="12" t="s">
        <v>61</v>
      </c>
      <c r="C389">
        <v>156700621.11989036</v>
      </c>
      <c r="D389">
        <v>164464378.52570111</v>
      </c>
      <c r="E389">
        <v>2854954.9549549608</v>
      </c>
      <c r="F389">
        <v>3154054.0540540572</v>
      </c>
      <c r="G389">
        <v>39</v>
      </c>
      <c r="H389">
        <v>18</v>
      </c>
      <c r="K389">
        <v>85</v>
      </c>
      <c r="L389">
        <v>25</v>
      </c>
      <c r="M389">
        <v>34985315.315315314</v>
      </c>
      <c r="N389">
        <v>34908558.558558561</v>
      </c>
      <c r="O389">
        <v>70274324.324324325</v>
      </c>
      <c r="P389">
        <v>75948603.603603601</v>
      </c>
      <c r="Q389">
        <v>30920990.990990989</v>
      </c>
      <c r="R389">
        <v>31408738.738738734</v>
      </c>
      <c r="S389">
        <v>3797</v>
      </c>
      <c r="T389">
        <v>3249</v>
      </c>
    </row>
    <row r="390" spans="1:20" x14ac:dyDescent="0.35">
      <c r="A390" s="7" t="s">
        <v>494</v>
      </c>
      <c r="B390" s="12" t="s">
        <v>449</v>
      </c>
      <c r="C390">
        <v>190898422.31356353</v>
      </c>
      <c r="D390">
        <v>183988258.29454875</v>
      </c>
      <c r="E390">
        <v>319913513.51351357</v>
      </c>
      <c r="F390">
        <v>155236936.93693691</v>
      </c>
      <c r="G390">
        <v>115</v>
      </c>
      <c r="H390">
        <v>86</v>
      </c>
      <c r="K390">
        <v>200</v>
      </c>
      <c r="L390">
        <v>154</v>
      </c>
      <c r="M390">
        <v>16476351.351351351</v>
      </c>
      <c r="N390">
        <v>38344819.819819815</v>
      </c>
      <c r="O390">
        <v>68537927.927927926</v>
      </c>
      <c r="P390">
        <v>73036594.594594598</v>
      </c>
      <c r="Q390">
        <v>14232072.072072074</v>
      </c>
      <c r="R390">
        <v>36870630.630630635</v>
      </c>
      <c r="S390">
        <v>5312</v>
      </c>
      <c r="T390">
        <v>4997</v>
      </c>
    </row>
    <row r="391" spans="1:20" x14ac:dyDescent="0.35">
      <c r="A391" s="7" t="s">
        <v>7</v>
      </c>
      <c r="B391" s="12" t="s">
        <v>194</v>
      </c>
      <c r="C391">
        <v>161765858.88640329</v>
      </c>
      <c r="D391">
        <v>157579564.75184932</v>
      </c>
      <c r="E391">
        <v>91133333.333333343</v>
      </c>
      <c r="F391">
        <v>85631531.531531543</v>
      </c>
      <c r="G391">
        <v>41</v>
      </c>
      <c r="H391">
        <v>48</v>
      </c>
      <c r="K391">
        <v>50</v>
      </c>
      <c r="L391">
        <v>55</v>
      </c>
      <c r="M391">
        <v>31283558.558558561</v>
      </c>
      <c r="N391">
        <v>52601126.126126125</v>
      </c>
      <c r="O391">
        <v>113127711.7117117</v>
      </c>
      <c r="P391">
        <v>106000495.49549548</v>
      </c>
      <c r="Q391">
        <v>29786756.756756756</v>
      </c>
      <c r="R391">
        <v>51367477.477477483</v>
      </c>
      <c r="S391">
        <v>4983</v>
      </c>
      <c r="T391">
        <v>4850</v>
      </c>
    </row>
    <row r="392" spans="1:20" x14ac:dyDescent="0.35">
      <c r="A392" s="7" t="s">
        <v>495</v>
      </c>
      <c r="B392" s="12" t="s">
        <v>331</v>
      </c>
      <c r="C392">
        <v>184148004.67563945</v>
      </c>
      <c r="D392">
        <v>184306330.33770835</v>
      </c>
      <c r="E392">
        <v>312612.61261261301</v>
      </c>
      <c r="F392">
        <v>208108.10810811</v>
      </c>
      <c r="G392">
        <v>87</v>
      </c>
      <c r="H392">
        <v>87</v>
      </c>
      <c r="K392">
        <v>155</v>
      </c>
      <c r="L392">
        <v>108</v>
      </c>
      <c r="M392">
        <v>8660000.0000000019</v>
      </c>
      <c r="N392">
        <v>9948648.6486486476</v>
      </c>
      <c r="O392">
        <v>45737828.828828834</v>
      </c>
      <c r="P392">
        <v>48226900.9009009</v>
      </c>
      <c r="Q392">
        <v>8395495.4954954963</v>
      </c>
      <c r="R392">
        <v>9243783.7837837841</v>
      </c>
      <c r="S392">
        <v>6975</v>
      </c>
      <c r="T392">
        <v>7567</v>
      </c>
    </row>
    <row r="393" spans="1:20" x14ac:dyDescent="0.35">
      <c r="A393" s="7" t="s">
        <v>496</v>
      </c>
      <c r="B393" s="12" t="s">
        <v>331</v>
      </c>
      <c r="C393">
        <v>311706480.00360006</v>
      </c>
      <c r="D393">
        <v>316901214.78733051</v>
      </c>
      <c r="E393">
        <v>2191666.6666666679</v>
      </c>
      <c r="F393">
        <v>650450.45045045298</v>
      </c>
      <c r="G393">
        <v>132</v>
      </c>
      <c r="H393">
        <v>108</v>
      </c>
      <c r="K393">
        <v>147</v>
      </c>
      <c r="L393">
        <v>132</v>
      </c>
      <c r="M393">
        <v>11353333.333333336</v>
      </c>
      <c r="N393">
        <v>15844684.684684686</v>
      </c>
      <c r="O393">
        <v>72035635.135135129</v>
      </c>
      <c r="P393">
        <v>77491441.441441447</v>
      </c>
      <c r="Q393">
        <v>10947117.117117116</v>
      </c>
      <c r="R393">
        <v>18353513.513513517</v>
      </c>
      <c r="S393">
        <v>8088</v>
      </c>
      <c r="T393">
        <v>7089</v>
      </c>
    </row>
    <row r="394" spans="1:20" x14ac:dyDescent="0.35">
      <c r="A394" s="7" t="s">
        <v>497</v>
      </c>
      <c r="B394" s="12" t="s">
        <v>331</v>
      </c>
      <c r="C394">
        <v>313623021.321091</v>
      </c>
      <c r="D394">
        <v>290107746.91304421</v>
      </c>
      <c r="E394">
        <v>4275450.4504504502</v>
      </c>
      <c r="F394">
        <v>2806306.3063063109</v>
      </c>
      <c r="G394">
        <v>147</v>
      </c>
      <c r="H394">
        <v>153</v>
      </c>
      <c r="K394">
        <v>199</v>
      </c>
      <c r="L394">
        <v>200</v>
      </c>
      <c r="M394">
        <v>35600720.720720723</v>
      </c>
      <c r="N394">
        <v>37485225.225225225</v>
      </c>
      <c r="O394">
        <v>70315783.783783779</v>
      </c>
      <c r="P394">
        <v>71169558.558558553</v>
      </c>
      <c r="Q394">
        <v>36448108.108108111</v>
      </c>
      <c r="R394">
        <v>38235405.40540541</v>
      </c>
      <c r="S394">
        <v>10045</v>
      </c>
      <c r="T394">
        <v>8307</v>
      </c>
    </row>
    <row r="395" spans="1:20" x14ac:dyDescent="0.35">
      <c r="A395" s="7" t="s">
        <v>498</v>
      </c>
      <c r="B395" s="12" t="s">
        <v>331</v>
      </c>
      <c r="C395">
        <v>1276730087.7192073</v>
      </c>
      <c r="D395">
        <v>1146206393.3100727</v>
      </c>
      <c r="E395">
        <v>1105030919.8198197</v>
      </c>
      <c r="F395">
        <v>15727690.090090103</v>
      </c>
      <c r="G395">
        <v>698</v>
      </c>
      <c r="H395">
        <v>576</v>
      </c>
      <c r="K395">
        <v>1410</v>
      </c>
      <c r="L395">
        <v>688</v>
      </c>
      <c r="M395">
        <v>436380690.990991</v>
      </c>
      <c r="N395">
        <v>425772284.68468469</v>
      </c>
      <c r="O395">
        <v>300772963.96396399</v>
      </c>
      <c r="P395">
        <v>247909054.05405405</v>
      </c>
      <c r="Q395">
        <v>197615405.4054054</v>
      </c>
      <c r="R395">
        <v>349936126.12612617</v>
      </c>
      <c r="S395">
        <v>31017</v>
      </c>
      <c r="T395">
        <v>26536</v>
      </c>
    </row>
    <row r="396" spans="1:20" x14ac:dyDescent="0.35">
      <c r="A396" s="7" t="s">
        <v>499</v>
      </c>
      <c r="B396" s="12" t="s">
        <v>331</v>
      </c>
      <c r="C396">
        <v>980234880.87113857</v>
      </c>
      <c r="D396">
        <v>936316696.49417305</v>
      </c>
      <c r="E396">
        <v>9365765.7657657713</v>
      </c>
      <c r="F396">
        <v>420985315.31531531</v>
      </c>
      <c r="G396">
        <v>357</v>
      </c>
      <c r="H396">
        <v>355</v>
      </c>
      <c r="I396">
        <v>1</v>
      </c>
      <c r="K396">
        <v>484</v>
      </c>
      <c r="L396">
        <v>449</v>
      </c>
      <c r="M396">
        <v>217836261.26126128</v>
      </c>
      <c r="N396">
        <v>119019414.41441442</v>
      </c>
      <c r="O396">
        <v>253913731.98198199</v>
      </c>
      <c r="P396">
        <v>251364380.18018019</v>
      </c>
      <c r="Q396">
        <v>209155945.94594595</v>
      </c>
      <c r="R396">
        <v>122437207.2072072</v>
      </c>
      <c r="S396">
        <v>28122</v>
      </c>
      <c r="T396">
        <v>25911</v>
      </c>
    </row>
    <row r="397" spans="1:20" x14ac:dyDescent="0.35">
      <c r="A397" s="7" t="s">
        <v>500</v>
      </c>
      <c r="B397" s="12" t="s">
        <v>144</v>
      </c>
      <c r="C397">
        <v>413193556.94241047</v>
      </c>
      <c r="D397">
        <v>417933184.99714673</v>
      </c>
      <c r="E397">
        <v>2316441.4414414419</v>
      </c>
      <c r="F397">
        <v>959459.45945946395</v>
      </c>
      <c r="G397">
        <v>119</v>
      </c>
      <c r="H397">
        <v>66</v>
      </c>
      <c r="K397">
        <v>132</v>
      </c>
      <c r="L397">
        <v>86</v>
      </c>
      <c r="M397">
        <v>37767567.567567565</v>
      </c>
      <c r="N397">
        <v>35529729.729729734</v>
      </c>
      <c r="O397">
        <v>63602520.720720723</v>
      </c>
      <c r="P397">
        <v>76633774.77477479</v>
      </c>
      <c r="Q397">
        <v>25231801.801801801</v>
      </c>
      <c r="R397">
        <v>26368108.108108107</v>
      </c>
      <c r="S397">
        <v>8353</v>
      </c>
      <c r="T397">
        <v>9324</v>
      </c>
    </row>
    <row r="398" spans="1:20" x14ac:dyDescent="0.35">
      <c r="A398" s="7" t="s">
        <v>501</v>
      </c>
      <c r="B398" s="12" t="s">
        <v>221</v>
      </c>
      <c r="C398">
        <v>485999251.25817984</v>
      </c>
      <c r="D398">
        <v>506322745.71537578</v>
      </c>
      <c r="E398">
        <v>4974099.0990991034</v>
      </c>
      <c r="F398">
        <v>12799099.099099103</v>
      </c>
      <c r="G398">
        <v>215</v>
      </c>
      <c r="H398">
        <v>255</v>
      </c>
      <c r="I398">
        <v>2</v>
      </c>
      <c r="K398">
        <v>268</v>
      </c>
      <c r="L398">
        <v>355</v>
      </c>
      <c r="M398">
        <v>173440810.8108108</v>
      </c>
      <c r="N398">
        <v>322670090.0900901</v>
      </c>
      <c r="O398">
        <v>149749184.68468466</v>
      </c>
      <c r="P398">
        <v>158809162.16216218</v>
      </c>
      <c r="Q398">
        <v>175181981.98198199</v>
      </c>
      <c r="R398">
        <v>305870000</v>
      </c>
      <c r="S398">
        <v>15788</v>
      </c>
      <c r="T398">
        <v>11829</v>
      </c>
    </row>
    <row r="399" spans="1:20" x14ac:dyDescent="0.35">
      <c r="A399" s="7" t="s">
        <v>502</v>
      </c>
      <c r="B399" s="12" t="s">
        <v>398</v>
      </c>
      <c r="C399">
        <v>1365457870.6605282</v>
      </c>
      <c r="D399">
        <v>1392536499.3405232</v>
      </c>
      <c r="E399">
        <v>177493216.21621624</v>
      </c>
      <c r="F399">
        <v>275927515.31531531</v>
      </c>
      <c r="G399">
        <v>426</v>
      </c>
      <c r="H399">
        <v>331</v>
      </c>
      <c r="K399">
        <v>535</v>
      </c>
      <c r="L399">
        <v>420</v>
      </c>
      <c r="M399">
        <v>161337612.61261261</v>
      </c>
      <c r="N399">
        <v>176365855.85585585</v>
      </c>
      <c r="O399">
        <v>291655502.7027027</v>
      </c>
      <c r="P399">
        <v>313573084.68468469</v>
      </c>
      <c r="Q399">
        <v>146448693.6936937</v>
      </c>
      <c r="R399">
        <v>163644594.5945946</v>
      </c>
      <c r="S399">
        <v>27832</v>
      </c>
      <c r="T399">
        <v>26913</v>
      </c>
    </row>
    <row r="400" spans="1:20" x14ac:dyDescent="0.35">
      <c r="A400" s="7" t="s">
        <v>503</v>
      </c>
      <c r="B400" s="12" t="s">
        <v>71</v>
      </c>
      <c r="C400">
        <v>21036586.338776045</v>
      </c>
      <c r="D400">
        <v>21762800.913630798</v>
      </c>
      <c r="E400">
        <v>240540.540540541</v>
      </c>
      <c r="F400">
        <v>1246396.3963963969</v>
      </c>
      <c r="G400">
        <v>10</v>
      </c>
      <c r="H400">
        <v>7</v>
      </c>
      <c r="K400">
        <v>10</v>
      </c>
      <c r="L400">
        <v>9</v>
      </c>
      <c r="M400">
        <v>970270.27027027099</v>
      </c>
      <c r="N400">
        <v>4381531.5315315332</v>
      </c>
      <c r="O400">
        <v>14945036.036036037</v>
      </c>
      <c r="P400">
        <v>16727027.027027028</v>
      </c>
      <c r="Q400">
        <v>777297.29729729705</v>
      </c>
      <c r="R400">
        <v>3186396.3963963971</v>
      </c>
      <c r="S400">
        <v>725</v>
      </c>
      <c r="T400">
        <v>702</v>
      </c>
    </row>
    <row r="401" spans="1:20" x14ac:dyDescent="0.35">
      <c r="A401" s="7" t="s">
        <v>504</v>
      </c>
      <c r="B401" s="12" t="s">
        <v>331</v>
      </c>
      <c r="C401">
        <v>576257316.37731791</v>
      </c>
      <c r="D401">
        <v>570004610.27609849</v>
      </c>
      <c r="E401">
        <v>4957432.4324324327</v>
      </c>
      <c r="F401">
        <v>4373873.873873882</v>
      </c>
      <c r="G401">
        <v>208</v>
      </c>
      <c r="H401">
        <v>192</v>
      </c>
      <c r="K401">
        <v>264</v>
      </c>
      <c r="L401">
        <v>222</v>
      </c>
      <c r="M401">
        <v>65107927.927927919</v>
      </c>
      <c r="N401">
        <v>74722882.882882878</v>
      </c>
      <c r="O401">
        <v>172899281.53153151</v>
      </c>
      <c r="P401">
        <v>152106439.63963965</v>
      </c>
      <c r="Q401">
        <v>64945585.585585587</v>
      </c>
      <c r="R401">
        <v>78195315.315315306</v>
      </c>
      <c r="S401">
        <v>16956</v>
      </c>
      <c r="T401">
        <v>16226</v>
      </c>
    </row>
    <row r="402" spans="1:20" x14ac:dyDescent="0.35">
      <c r="A402" s="7" t="s">
        <v>505</v>
      </c>
      <c r="B402" s="12" t="s">
        <v>284</v>
      </c>
      <c r="C402">
        <v>175497972.2007007</v>
      </c>
      <c r="D402">
        <v>181765068.25377068</v>
      </c>
      <c r="E402">
        <v>296396.39639639598</v>
      </c>
      <c r="F402">
        <v>1769369.3693693699</v>
      </c>
      <c r="G402">
        <v>31</v>
      </c>
      <c r="H402">
        <v>11</v>
      </c>
      <c r="K402">
        <v>33</v>
      </c>
      <c r="L402">
        <v>18</v>
      </c>
      <c r="M402">
        <v>14548648.648648648</v>
      </c>
      <c r="N402">
        <v>15363963.963963963</v>
      </c>
      <c r="O402">
        <v>30781153.153153151</v>
      </c>
      <c r="P402">
        <v>35563207.20720721</v>
      </c>
      <c r="Q402">
        <v>12874144.144144144</v>
      </c>
      <c r="R402">
        <v>13895225.225225225</v>
      </c>
      <c r="S402">
        <v>3248</v>
      </c>
      <c r="T402">
        <v>2016</v>
      </c>
    </row>
    <row r="403" spans="1:20" x14ac:dyDescent="0.35">
      <c r="A403" s="7" t="s">
        <v>506</v>
      </c>
      <c r="B403" s="12" t="s">
        <v>261</v>
      </c>
      <c r="C403">
        <v>107893224.74454552</v>
      </c>
      <c r="D403">
        <v>122268110.23659852</v>
      </c>
      <c r="E403">
        <v>440835377.47747749</v>
      </c>
      <c r="F403">
        <v>477511325.22522521</v>
      </c>
      <c r="G403">
        <v>5</v>
      </c>
      <c r="H403">
        <v>12</v>
      </c>
      <c r="K403">
        <v>6</v>
      </c>
      <c r="L403">
        <v>16</v>
      </c>
      <c r="M403">
        <v>59026126.126126125</v>
      </c>
      <c r="N403">
        <v>35966666.666666672</v>
      </c>
      <c r="O403">
        <v>24118045.045045044</v>
      </c>
      <c r="P403">
        <v>34062908.108108111</v>
      </c>
      <c r="Q403">
        <v>1402702.7027027039</v>
      </c>
      <c r="R403">
        <v>3392792.792792792</v>
      </c>
      <c r="S403">
        <v>2142</v>
      </c>
      <c r="T403">
        <v>2262</v>
      </c>
    </row>
    <row r="404" spans="1:20" x14ac:dyDescent="0.35">
      <c r="A404" s="7" t="s">
        <v>507</v>
      </c>
      <c r="B404" s="12" t="s">
        <v>237</v>
      </c>
      <c r="C404">
        <v>266718129.10017011</v>
      </c>
      <c r="D404">
        <v>259963780.71808594</v>
      </c>
      <c r="E404">
        <v>1373423.423423423</v>
      </c>
      <c r="F404">
        <v>3014414.4144144249</v>
      </c>
      <c r="G404">
        <v>34</v>
      </c>
      <c r="H404">
        <v>108</v>
      </c>
      <c r="I404">
        <v>1</v>
      </c>
      <c r="K404">
        <v>139</v>
      </c>
      <c r="L404">
        <v>159</v>
      </c>
      <c r="M404">
        <v>56347162.162162162</v>
      </c>
      <c r="N404">
        <v>52067792.79279279</v>
      </c>
      <c r="O404">
        <v>60183018.018018015</v>
      </c>
      <c r="P404">
        <v>63078351.351351351</v>
      </c>
      <c r="Q404">
        <v>54628963.963963963</v>
      </c>
      <c r="R404">
        <v>47269414.414414413</v>
      </c>
      <c r="S404">
        <v>4770</v>
      </c>
      <c r="T404">
        <v>4527</v>
      </c>
    </row>
    <row r="405" spans="1:20" x14ac:dyDescent="0.35">
      <c r="A405" s="7" t="s">
        <v>508</v>
      </c>
      <c r="B405" s="12" t="s">
        <v>135</v>
      </c>
      <c r="C405">
        <v>30558998.367161307</v>
      </c>
      <c r="D405">
        <v>45342755.056489751</v>
      </c>
      <c r="G405">
        <v>2</v>
      </c>
      <c r="H405">
        <v>1</v>
      </c>
      <c r="K405">
        <v>2</v>
      </c>
      <c r="L405">
        <v>1</v>
      </c>
      <c r="O405">
        <v>5272198.1981981983</v>
      </c>
      <c r="P405">
        <v>8003810.8108108109</v>
      </c>
      <c r="S405">
        <v>1227</v>
      </c>
      <c r="T405">
        <v>1202</v>
      </c>
    </row>
    <row r="406" spans="1:20" x14ac:dyDescent="0.35">
      <c r="A406" s="7" t="s">
        <v>509</v>
      </c>
      <c r="B406" s="12" t="s">
        <v>398</v>
      </c>
      <c r="C406">
        <v>277915296.01581782</v>
      </c>
      <c r="D406">
        <v>284997142.57568049</v>
      </c>
      <c r="E406">
        <v>86278378.378378391</v>
      </c>
      <c r="F406">
        <v>57446846.846846849</v>
      </c>
      <c r="G406">
        <v>48</v>
      </c>
      <c r="H406">
        <v>55</v>
      </c>
      <c r="K406">
        <v>77</v>
      </c>
      <c r="L406">
        <v>67</v>
      </c>
      <c r="M406">
        <v>33868018.018018015</v>
      </c>
      <c r="N406">
        <v>34747747.747747749</v>
      </c>
      <c r="O406">
        <v>42734603.603603609</v>
      </c>
      <c r="P406">
        <v>44338990.990990989</v>
      </c>
      <c r="Q406">
        <v>30890090.090090089</v>
      </c>
      <c r="R406">
        <v>27132072.072072074</v>
      </c>
      <c r="S406">
        <v>4531</v>
      </c>
      <c r="T406">
        <v>4452</v>
      </c>
    </row>
    <row r="407" spans="1:20" x14ac:dyDescent="0.35">
      <c r="A407" s="7" t="s">
        <v>510</v>
      </c>
      <c r="B407" s="12" t="s">
        <v>135</v>
      </c>
      <c r="C407">
        <v>307793753.66172856</v>
      </c>
      <c r="D407">
        <v>327515689.96785438</v>
      </c>
      <c r="E407">
        <v>1703603.6036036061</v>
      </c>
      <c r="F407">
        <v>2093693.6936936949</v>
      </c>
      <c r="G407">
        <v>68</v>
      </c>
      <c r="H407">
        <v>69</v>
      </c>
      <c r="K407">
        <v>75</v>
      </c>
      <c r="L407">
        <v>77</v>
      </c>
      <c r="M407">
        <v>29888288.288288288</v>
      </c>
      <c r="N407">
        <v>35463063.063063063</v>
      </c>
      <c r="O407">
        <v>49892304.054054059</v>
      </c>
      <c r="P407">
        <v>56943009.009009011</v>
      </c>
      <c r="Q407">
        <v>24154054.054054052</v>
      </c>
      <c r="R407">
        <v>27815315.315315314</v>
      </c>
      <c r="S407">
        <v>5800</v>
      </c>
      <c r="T407">
        <v>5538</v>
      </c>
    </row>
    <row r="408" spans="1:20" x14ac:dyDescent="0.35">
      <c r="A408" s="7" t="s">
        <v>511</v>
      </c>
      <c r="B408" s="12" t="s">
        <v>135</v>
      </c>
      <c r="C408">
        <v>846218895.97907639</v>
      </c>
      <c r="D408">
        <v>876983897.43902874</v>
      </c>
      <c r="E408">
        <v>5325225.2252252325</v>
      </c>
      <c r="F408">
        <v>8048648.6486486522</v>
      </c>
      <c r="G408">
        <v>156</v>
      </c>
      <c r="H408">
        <v>167</v>
      </c>
      <c r="K408">
        <v>203</v>
      </c>
      <c r="L408">
        <v>266</v>
      </c>
      <c r="M408">
        <v>65918018.018018015</v>
      </c>
      <c r="N408">
        <v>83696396.396396399</v>
      </c>
      <c r="O408">
        <v>89599675.675675675</v>
      </c>
      <c r="P408">
        <v>102637693.6936937</v>
      </c>
      <c r="Q408">
        <v>62943333.333333328</v>
      </c>
      <c r="R408">
        <v>76050000</v>
      </c>
      <c r="S408">
        <v>17718</v>
      </c>
      <c r="T408">
        <v>17505</v>
      </c>
    </row>
    <row r="409" spans="1:20" x14ac:dyDescent="0.35">
      <c r="A409" s="7" t="s">
        <v>8</v>
      </c>
      <c r="B409" s="12" t="s">
        <v>159</v>
      </c>
      <c r="C409">
        <v>223118991.49458289</v>
      </c>
      <c r="D409">
        <v>226888876.02199861</v>
      </c>
      <c r="E409">
        <v>4509009.0090090111</v>
      </c>
      <c r="F409">
        <v>4663063.0630630665</v>
      </c>
      <c r="G409">
        <v>20</v>
      </c>
      <c r="H409">
        <v>47</v>
      </c>
      <c r="K409">
        <v>22</v>
      </c>
      <c r="L409">
        <v>50</v>
      </c>
      <c r="M409">
        <v>42172072.072072074</v>
      </c>
      <c r="N409">
        <v>44959459.459459461</v>
      </c>
      <c r="O409">
        <v>66104567.567567565</v>
      </c>
      <c r="P409">
        <v>68925558.558558553</v>
      </c>
      <c r="Q409">
        <v>39080180.180180177</v>
      </c>
      <c r="R409">
        <v>40458738.738738738</v>
      </c>
      <c r="S409">
        <v>3681</v>
      </c>
      <c r="T409">
        <v>3459</v>
      </c>
    </row>
    <row r="410" spans="1:20" x14ac:dyDescent="0.35">
      <c r="A410" s="7" t="s">
        <v>512</v>
      </c>
      <c r="B410" s="12" t="s">
        <v>135</v>
      </c>
      <c r="C410">
        <v>163977251.27611309</v>
      </c>
      <c r="D410">
        <v>188122842.07527328</v>
      </c>
      <c r="E410">
        <v>743243.24324324296</v>
      </c>
      <c r="F410">
        <v>450450.450450451</v>
      </c>
      <c r="G410">
        <v>12</v>
      </c>
      <c r="H410">
        <v>1</v>
      </c>
      <c r="K410">
        <v>14</v>
      </c>
      <c r="L410">
        <v>2</v>
      </c>
      <c r="M410">
        <v>6148648.6486486495</v>
      </c>
      <c r="N410">
        <v>13963963.963963963</v>
      </c>
      <c r="O410">
        <v>22386279.27927928</v>
      </c>
      <c r="P410">
        <v>28120108.108108107</v>
      </c>
      <c r="Q410">
        <v>4704414.4144144161</v>
      </c>
      <c r="R410">
        <v>5902342.3423423432</v>
      </c>
      <c r="S410">
        <v>4016</v>
      </c>
      <c r="T410">
        <v>4030</v>
      </c>
    </row>
    <row r="411" spans="1:20" x14ac:dyDescent="0.35">
      <c r="A411" s="7" t="s">
        <v>513</v>
      </c>
      <c r="B411" s="12" t="s">
        <v>63</v>
      </c>
      <c r="C411">
        <v>710104864.52999151</v>
      </c>
      <c r="D411">
        <v>694562320.93529356</v>
      </c>
      <c r="E411">
        <v>4770270.270270275</v>
      </c>
      <c r="F411">
        <v>4849549.5495495526</v>
      </c>
      <c r="G411">
        <v>163</v>
      </c>
      <c r="H411">
        <v>99</v>
      </c>
      <c r="K411">
        <v>229</v>
      </c>
      <c r="L411">
        <v>172</v>
      </c>
      <c r="M411">
        <v>107765135.13513513</v>
      </c>
      <c r="N411">
        <v>52466126.126126125</v>
      </c>
      <c r="O411">
        <v>147642757.65765765</v>
      </c>
      <c r="P411">
        <v>155824751.35135135</v>
      </c>
      <c r="Q411">
        <v>105858108.10810812</v>
      </c>
      <c r="R411">
        <v>55334727.927927926</v>
      </c>
      <c r="S411">
        <v>14912</v>
      </c>
      <c r="T411">
        <v>15152</v>
      </c>
    </row>
    <row r="412" spans="1:20" x14ac:dyDescent="0.35">
      <c r="A412" s="7" t="s">
        <v>669</v>
      </c>
      <c r="B412" s="12" t="s">
        <v>215</v>
      </c>
      <c r="E412">
        <v>2477477.4774774769</v>
      </c>
      <c r="F412">
        <v>88153153.153153151</v>
      </c>
      <c r="M412">
        <v>1695495.4954954949</v>
      </c>
      <c r="N412">
        <v>39639.639639640001</v>
      </c>
    </row>
    <row r="413" spans="1:20" x14ac:dyDescent="0.35">
      <c r="A413" s="7" t="s">
        <v>670</v>
      </c>
      <c r="B413" s="12" t="s">
        <v>106</v>
      </c>
      <c r="E413">
        <v>5405405.405405405</v>
      </c>
      <c r="F413">
        <v>119504504.50450452</v>
      </c>
      <c r="M413">
        <v>5986486.4864864862</v>
      </c>
      <c r="N413">
        <v>243243.24324324299</v>
      </c>
    </row>
    <row r="414" spans="1:20" x14ac:dyDescent="0.35">
      <c r="A414" s="7" t="s">
        <v>514</v>
      </c>
      <c r="B414" s="12" t="s">
        <v>118</v>
      </c>
      <c r="C414">
        <v>74093160.108051494</v>
      </c>
      <c r="D414">
        <v>64469156.295695513</v>
      </c>
      <c r="E414">
        <v>4917117.1171171172</v>
      </c>
      <c r="F414">
        <v>92733513.51351352</v>
      </c>
      <c r="G414">
        <v>32</v>
      </c>
      <c r="H414">
        <v>30</v>
      </c>
      <c r="K414">
        <v>32</v>
      </c>
      <c r="L414">
        <v>34</v>
      </c>
      <c r="M414">
        <v>6414234.2342342343</v>
      </c>
      <c r="N414">
        <v>7365090.0900900923</v>
      </c>
      <c r="O414">
        <v>31664207.207207207</v>
      </c>
      <c r="P414">
        <v>29221243.243243244</v>
      </c>
      <c r="Q414">
        <v>3060000.0000000009</v>
      </c>
      <c r="R414">
        <v>5145450.4504504502</v>
      </c>
      <c r="S414">
        <v>2066</v>
      </c>
      <c r="T414">
        <v>1952</v>
      </c>
    </row>
    <row r="415" spans="1:20" x14ac:dyDescent="0.35">
      <c r="A415" s="7" t="s">
        <v>515</v>
      </c>
      <c r="B415" s="12" t="s">
        <v>305</v>
      </c>
      <c r="C415">
        <v>132917033.26289669</v>
      </c>
      <c r="D415">
        <v>127460476.49377181</v>
      </c>
      <c r="E415">
        <v>1641441.441441441</v>
      </c>
      <c r="F415">
        <v>720720.72072072199</v>
      </c>
      <c r="G415">
        <v>74</v>
      </c>
      <c r="H415">
        <v>76</v>
      </c>
      <c r="I415">
        <v>2</v>
      </c>
      <c r="K415">
        <v>76</v>
      </c>
      <c r="L415">
        <v>83</v>
      </c>
      <c r="M415">
        <v>11952702.702702701</v>
      </c>
      <c r="N415">
        <v>6030630.630630631</v>
      </c>
      <c r="O415">
        <v>13656036.036036037</v>
      </c>
      <c r="P415">
        <v>15008846.846846849</v>
      </c>
      <c r="Q415">
        <v>10666756.756756756</v>
      </c>
      <c r="R415">
        <v>5635945.9459459474</v>
      </c>
      <c r="S415">
        <v>1716</v>
      </c>
      <c r="T415">
        <v>1449</v>
      </c>
    </row>
    <row r="416" spans="1:20" x14ac:dyDescent="0.35">
      <c r="A416" s="7" t="s">
        <v>516</v>
      </c>
      <c r="B416" s="12" t="s">
        <v>305</v>
      </c>
      <c r="C416">
        <v>36467649.456286557</v>
      </c>
      <c r="D416">
        <v>43005287.330916472</v>
      </c>
      <c r="E416">
        <v>262162.16216216201</v>
      </c>
      <c r="F416">
        <v>391891.89189189498</v>
      </c>
      <c r="G416">
        <v>9</v>
      </c>
      <c r="H416">
        <v>10</v>
      </c>
      <c r="K416">
        <v>9</v>
      </c>
      <c r="L416">
        <v>10</v>
      </c>
      <c r="M416">
        <v>4313513.5135135129</v>
      </c>
      <c r="N416">
        <v>6797297.2972972989</v>
      </c>
      <c r="O416">
        <v>5479783.7837837832</v>
      </c>
      <c r="P416">
        <v>7065666.666666667</v>
      </c>
      <c r="Q416">
        <v>3302522.5225225212</v>
      </c>
      <c r="R416">
        <v>5094054.0540540516</v>
      </c>
      <c r="S416">
        <v>712</v>
      </c>
      <c r="T416">
        <v>596</v>
      </c>
    </row>
    <row r="417" spans="1:20" x14ac:dyDescent="0.35">
      <c r="A417" s="7" t="s">
        <v>517</v>
      </c>
      <c r="B417" s="12" t="s">
        <v>305</v>
      </c>
      <c r="C417">
        <v>78455691.334237725</v>
      </c>
      <c r="D417">
        <v>80493605.448009685</v>
      </c>
      <c r="E417">
        <v>754954.95495495305</v>
      </c>
      <c r="F417">
        <v>252252.25225225501</v>
      </c>
      <c r="G417">
        <v>37</v>
      </c>
      <c r="H417">
        <v>22</v>
      </c>
      <c r="K417">
        <v>42</v>
      </c>
      <c r="L417">
        <v>38</v>
      </c>
      <c r="M417">
        <v>4110810.81081081</v>
      </c>
      <c r="N417">
        <v>6387387.3873873884</v>
      </c>
      <c r="O417">
        <v>12015144.144144144</v>
      </c>
      <c r="P417">
        <v>12043171.171171172</v>
      </c>
      <c r="Q417">
        <v>3799009.0090090078</v>
      </c>
      <c r="R417">
        <v>6021081.0810810812</v>
      </c>
      <c r="S417">
        <v>1394</v>
      </c>
      <c r="T417">
        <v>1100</v>
      </c>
    </row>
    <row r="418" spans="1:20" x14ac:dyDescent="0.35">
      <c r="A418" s="7" t="s">
        <v>518</v>
      </c>
      <c r="B418" s="12" t="s">
        <v>305</v>
      </c>
      <c r="C418">
        <v>61468936.610824667</v>
      </c>
      <c r="D418">
        <v>60766226.985226832</v>
      </c>
      <c r="E418">
        <v>94594.594594594993</v>
      </c>
      <c r="F418">
        <v>63063.063063064001</v>
      </c>
      <c r="G418">
        <v>24</v>
      </c>
      <c r="H418">
        <v>22</v>
      </c>
      <c r="K418">
        <v>24</v>
      </c>
      <c r="L418">
        <v>23</v>
      </c>
      <c r="M418">
        <v>1445945.945945946</v>
      </c>
      <c r="N418">
        <v>2220720.72072072</v>
      </c>
      <c r="O418">
        <v>8129360.3603603598</v>
      </c>
      <c r="P418">
        <v>9303099.0990990996</v>
      </c>
      <c r="Q418">
        <v>1197207.2072072059</v>
      </c>
      <c r="R418">
        <v>1240090.090090089</v>
      </c>
      <c r="S418">
        <v>999</v>
      </c>
      <c r="T418">
        <v>718</v>
      </c>
    </row>
    <row r="419" spans="1:20" x14ac:dyDescent="0.35">
      <c r="A419" s="7" t="s">
        <v>519</v>
      </c>
      <c r="B419" s="12" t="s">
        <v>449</v>
      </c>
      <c r="C419">
        <v>63422552.516488872</v>
      </c>
      <c r="D419">
        <v>61959535.732020482</v>
      </c>
      <c r="E419">
        <v>347747.74774774798</v>
      </c>
      <c r="F419">
        <v>1545945.945945947</v>
      </c>
      <c r="G419">
        <v>14</v>
      </c>
      <c r="H419">
        <v>30</v>
      </c>
      <c r="K419">
        <v>16</v>
      </c>
      <c r="L419">
        <v>36</v>
      </c>
      <c r="M419">
        <v>4161711.7117117122</v>
      </c>
      <c r="N419">
        <v>66510180.180180177</v>
      </c>
      <c r="O419">
        <v>21698686.936936937</v>
      </c>
      <c r="P419">
        <v>21458747.747747749</v>
      </c>
      <c r="Q419">
        <v>4552342.3423423423</v>
      </c>
      <c r="R419">
        <v>67018648.648648649</v>
      </c>
      <c r="S419">
        <v>4012</v>
      </c>
      <c r="T419">
        <v>1783</v>
      </c>
    </row>
    <row r="420" spans="1:20" x14ac:dyDescent="0.35">
      <c r="A420" s="7" t="s">
        <v>520</v>
      </c>
      <c r="B420" s="12" t="s">
        <v>86</v>
      </c>
      <c r="C420">
        <v>196711298.90459469</v>
      </c>
      <c r="D420">
        <v>200599452.78454143</v>
      </c>
      <c r="E420">
        <v>1450450.4504504511</v>
      </c>
      <c r="F420">
        <v>2846846.8468468492</v>
      </c>
      <c r="G420">
        <v>28</v>
      </c>
      <c r="H420">
        <v>14</v>
      </c>
      <c r="K420">
        <v>33</v>
      </c>
      <c r="L420">
        <v>20</v>
      </c>
      <c r="M420">
        <v>38595945.945945941</v>
      </c>
      <c r="N420">
        <v>77373783.783783779</v>
      </c>
      <c r="O420">
        <v>49017036.036036029</v>
      </c>
      <c r="P420">
        <v>56705666.666666664</v>
      </c>
      <c r="Q420">
        <v>33628962.162162162</v>
      </c>
      <c r="R420">
        <v>65389729.729729727</v>
      </c>
      <c r="S420">
        <v>4289</v>
      </c>
      <c r="T420">
        <v>4045</v>
      </c>
    </row>
    <row r="421" spans="1:20" x14ac:dyDescent="0.35">
      <c r="A421" s="7" t="s">
        <v>521</v>
      </c>
      <c r="B421" s="12" t="s">
        <v>305</v>
      </c>
      <c r="C421">
        <v>100418444.10192488</v>
      </c>
      <c r="D421">
        <v>100646725.02328466</v>
      </c>
      <c r="E421">
        <v>44144.144144143997</v>
      </c>
      <c r="F421">
        <v>4504.5045045050001</v>
      </c>
      <c r="G421">
        <v>12</v>
      </c>
      <c r="H421">
        <v>13</v>
      </c>
      <c r="K421">
        <v>12</v>
      </c>
      <c r="L421">
        <v>15</v>
      </c>
      <c r="M421">
        <v>5756756.7567567565</v>
      </c>
      <c r="N421">
        <v>5031531.5315315323</v>
      </c>
      <c r="O421">
        <v>16733572.072072072</v>
      </c>
      <c r="P421">
        <v>18491072.072072074</v>
      </c>
      <c r="Q421">
        <v>3226846.8468468469</v>
      </c>
      <c r="R421">
        <v>4056846.8468468459</v>
      </c>
      <c r="S421">
        <v>1357</v>
      </c>
      <c r="T421">
        <v>1365</v>
      </c>
    </row>
    <row r="422" spans="1:20" x14ac:dyDescent="0.35">
      <c r="A422" s="7" t="s">
        <v>522</v>
      </c>
      <c r="B422" s="12" t="s">
        <v>400</v>
      </c>
      <c r="C422">
        <v>689101642.6615057</v>
      </c>
      <c r="D422">
        <v>694205442.17594659</v>
      </c>
      <c r="E422">
        <v>10756756.756756762</v>
      </c>
      <c r="F422">
        <v>9363063.0630630683</v>
      </c>
      <c r="G422">
        <v>153</v>
      </c>
      <c r="H422">
        <v>171</v>
      </c>
      <c r="I422">
        <v>1</v>
      </c>
      <c r="K422">
        <v>449</v>
      </c>
      <c r="L422">
        <v>520</v>
      </c>
      <c r="M422">
        <v>119174324.32432432</v>
      </c>
      <c r="N422">
        <v>147237387.38738739</v>
      </c>
      <c r="O422">
        <v>175016234.23423424</v>
      </c>
      <c r="P422">
        <v>183086891.8918919</v>
      </c>
      <c r="Q422">
        <v>108746036.03603603</v>
      </c>
      <c r="R422">
        <v>134994367.56756756</v>
      </c>
      <c r="S422">
        <v>14762</v>
      </c>
      <c r="T422">
        <v>13740</v>
      </c>
    </row>
    <row r="423" spans="1:20" x14ac:dyDescent="0.35">
      <c r="A423" s="7" t="s">
        <v>523</v>
      </c>
      <c r="B423" s="12" t="s">
        <v>144</v>
      </c>
      <c r="C423">
        <v>193503891.43085638</v>
      </c>
      <c r="D423">
        <v>204674185.4771542</v>
      </c>
      <c r="E423">
        <v>303603.60360360402</v>
      </c>
      <c r="F423">
        <v>364864.86486486503</v>
      </c>
      <c r="G423">
        <v>55</v>
      </c>
      <c r="H423">
        <v>15</v>
      </c>
      <c r="K423">
        <v>56</v>
      </c>
      <c r="L423">
        <v>17</v>
      </c>
      <c r="M423">
        <v>12015315.315315315</v>
      </c>
      <c r="N423">
        <v>9824324.3243243247</v>
      </c>
      <c r="O423">
        <v>25192207.207207207</v>
      </c>
      <c r="P423">
        <v>26001185.585585583</v>
      </c>
      <c r="Q423">
        <v>11245765.765765766</v>
      </c>
      <c r="R423">
        <v>9541171.1711711716</v>
      </c>
      <c r="S423">
        <v>3039</v>
      </c>
      <c r="T423">
        <v>3019</v>
      </c>
    </row>
    <row r="424" spans="1:20" x14ac:dyDescent="0.35">
      <c r="A424" s="7" t="s">
        <v>524</v>
      </c>
      <c r="B424" s="12" t="s">
        <v>67</v>
      </c>
      <c r="C424">
        <v>135812661.27808735</v>
      </c>
      <c r="D424">
        <v>125974618.83435015</v>
      </c>
      <c r="E424">
        <v>3081081.081081083</v>
      </c>
      <c r="F424">
        <v>3245945.945945946</v>
      </c>
      <c r="G424">
        <v>32</v>
      </c>
      <c r="H424">
        <v>33</v>
      </c>
      <c r="K424">
        <v>37</v>
      </c>
      <c r="L424">
        <v>36</v>
      </c>
      <c r="M424">
        <v>61049009.009009011</v>
      </c>
      <c r="N424">
        <v>55413288.288288288</v>
      </c>
      <c r="O424">
        <v>65082567.567567565</v>
      </c>
      <c r="P424">
        <v>63863621.621621624</v>
      </c>
      <c r="Q424">
        <v>50595045.045045048</v>
      </c>
      <c r="R424">
        <v>47144369.369369365</v>
      </c>
      <c r="S424">
        <v>4575</v>
      </c>
      <c r="T424">
        <v>3742</v>
      </c>
    </row>
    <row r="425" spans="1:20" x14ac:dyDescent="0.35">
      <c r="A425" s="7" t="s">
        <v>525</v>
      </c>
      <c r="B425" s="12" t="s">
        <v>221</v>
      </c>
      <c r="C425">
        <v>175005509.36765051</v>
      </c>
      <c r="D425">
        <v>174948451.35839862</v>
      </c>
      <c r="E425">
        <v>693693.69369369303</v>
      </c>
      <c r="F425">
        <v>373873.87387387501</v>
      </c>
      <c r="G425">
        <v>62</v>
      </c>
      <c r="H425">
        <v>55</v>
      </c>
      <c r="K425">
        <v>69</v>
      </c>
      <c r="L425">
        <v>60</v>
      </c>
      <c r="M425">
        <v>11963963.963963963</v>
      </c>
      <c r="N425">
        <v>11882657.657657659</v>
      </c>
      <c r="O425">
        <v>43698963.963963971</v>
      </c>
      <c r="P425">
        <v>47118421.621621624</v>
      </c>
      <c r="Q425">
        <v>9070990.9909909889</v>
      </c>
      <c r="R425">
        <v>6987972.9729729732</v>
      </c>
      <c r="S425">
        <v>4520</v>
      </c>
      <c r="T425">
        <v>4437</v>
      </c>
    </row>
    <row r="426" spans="1:20" x14ac:dyDescent="0.35">
      <c r="A426" s="7" t="s">
        <v>526</v>
      </c>
      <c r="B426" s="12" t="s">
        <v>414</v>
      </c>
      <c r="C426">
        <v>1933359706.3524499</v>
      </c>
      <c r="D426">
        <v>1951517948.6631272</v>
      </c>
      <c r="E426">
        <v>559077353.15315318</v>
      </c>
      <c r="F426">
        <v>659945548.64864874</v>
      </c>
      <c r="G426">
        <v>333</v>
      </c>
      <c r="H426">
        <v>719</v>
      </c>
      <c r="I426">
        <v>1</v>
      </c>
      <c r="K426">
        <v>778</v>
      </c>
      <c r="L426">
        <v>1155</v>
      </c>
      <c r="M426">
        <v>157463459.45945945</v>
      </c>
      <c r="N426">
        <v>395894504.5045045</v>
      </c>
      <c r="O426">
        <v>567433923.42342341</v>
      </c>
      <c r="P426">
        <v>624973939.63963974</v>
      </c>
      <c r="Q426">
        <v>164802612.61261261</v>
      </c>
      <c r="R426">
        <v>201677837.83783785</v>
      </c>
      <c r="S426">
        <v>32667</v>
      </c>
      <c r="T426">
        <v>38092</v>
      </c>
    </row>
    <row r="427" spans="1:20" x14ac:dyDescent="0.35">
      <c r="A427" s="7" t="s">
        <v>527</v>
      </c>
      <c r="B427" s="12" t="s">
        <v>414</v>
      </c>
      <c r="C427">
        <v>215650143.77024195</v>
      </c>
      <c r="D427">
        <v>221837413.21517</v>
      </c>
      <c r="E427">
        <v>5809234.2342342352</v>
      </c>
      <c r="F427">
        <v>42603603.603603609</v>
      </c>
      <c r="G427">
        <v>36</v>
      </c>
      <c r="H427">
        <v>24</v>
      </c>
      <c r="K427">
        <v>38</v>
      </c>
      <c r="L427">
        <v>33</v>
      </c>
      <c r="M427">
        <v>16377345.045045046</v>
      </c>
      <c r="N427">
        <v>16356531.531531531</v>
      </c>
      <c r="O427">
        <v>67347729.729729727</v>
      </c>
      <c r="P427">
        <v>72051779.279279277</v>
      </c>
      <c r="Q427">
        <v>10577387.387387386</v>
      </c>
      <c r="R427">
        <v>11209369.369369367</v>
      </c>
      <c r="S427">
        <v>4653</v>
      </c>
      <c r="T427">
        <v>4258</v>
      </c>
    </row>
    <row r="428" spans="1:20" x14ac:dyDescent="0.35">
      <c r="A428" s="7" t="s">
        <v>663</v>
      </c>
      <c r="B428" s="12" t="s">
        <v>190</v>
      </c>
      <c r="C428">
        <v>882811.38133364497</v>
      </c>
      <c r="G428">
        <v>1</v>
      </c>
      <c r="K428">
        <v>1</v>
      </c>
      <c r="O428">
        <v>649594.59459459502</v>
      </c>
      <c r="S428">
        <v>121</v>
      </c>
    </row>
    <row r="429" spans="1:20" x14ac:dyDescent="0.35">
      <c r="A429" s="7" t="s">
        <v>528</v>
      </c>
      <c r="B429" s="12" t="s">
        <v>148</v>
      </c>
      <c r="C429">
        <v>448912768.89676911</v>
      </c>
      <c r="D429">
        <v>426167319.31192911</v>
      </c>
      <c r="E429">
        <v>322666264.86486489</v>
      </c>
      <c r="F429">
        <v>419165987.38738739</v>
      </c>
      <c r="G429">
        <v>138</v>
      </c>
      <c r="H429">
        <v>159</v>
      </c>
      <c r="K429">
        <v>224</v>
      </c>
      <c r="L429">
        <v>197</v>
      </c>
      <c r="M429">
        <v>111287159.45945945</v>
      </c>
      <c r="N429">
        <v>132220013.51351352</v>
      </c>
      <c r="O429">
        <v>161185457.65765765</v>
      </c>
      <c r="P429">
        <v>163816178.37837836</v>
      </c>
      <c r="Q429">
        <v>109309729.72972973</v>
      </c>
      <c r="R429">
        <v>108148108.10810812</v>
      </c>
      <c r="S429">
        <v>10203</v>
      </c>
      <c r="T429">
        <v>9898</v>
      </c>
    </row>
    <row r="430" spans="1:20" x14ac:dyDescent="0.35">
      <c r="A430" s="7" t="s">
        <v>529</v>
      </c>
      <c r="B430" s="12" t="s">
        <v>122</v>
      </c>
      <c r="C430">
        <v>50061065.188202746</v>
      </c>
      <c r="D430">
        <v>43423635.827940881</v>
      </c>
      <c r="E430">
        <v>461261.26126126101</v>
      </c>
      <c r="F430">
        <v>384684.68468468601</v>
      </c>
      <c r="G430">
        <v>24</v>
      </c>
      <c r="H430">
        <v>27</v>
      </c>
      <c r="K430">
        <v>28</v>
      </c>
      <c r="L430">
        <v>30</v>
      </c>
      <c r="M430">
        <v>5321621.6216216218</v>
      </c>
      <c r="N430">
        <v>3763063.0630630641</v>
      </c>
      <c r="O430">
        <v>6512040.5405405397</v>
      </c>
      <c r="P430">
        <v>5929297.297297297</v>
      </c>
      <c r="Q430">
        <v>4538738.738738738</v>
      </c>
      <c r="R430">
        <v>3710900.9009008999</v>
      </c>
      <c r="S430">
        <v>1011</v>
      </c>
      <c r="T430">
        <v>927</v>
      </c>
    </row>
    <row r="431" spans="1:20" x14ac:dyDescent="0.35">
      <c r="A431" s="7" t="s">
        <v>530</v>
      </c>
      <c r="B431" s="12" t="s">
        <v>449</v>
      </c>
      <c r="C431">
        <v>90944772.550324842</v>
      </c>
      <c r="D431">
        <v>117887917.46171395</v>
      </c>
      <c r="E431">
        <v>499099.09909909999</v>
      </c>
      <c r="F431">
        <v>2200900.9009008999</v>
      </c>
      <c r="G431">
        <v>85</v>
      </c>
      <c r="H431">
        <v>23</v>
      </c>
      <c r="K431">
        <v>148</v>
      </c>
      <c r="L431">
        <v>27</v>
      </c>
      <c r="M431">
        <v>4743243.2432432435</v>
      </c>
      <c r="N431">
        <v>18656306.306306306</v>
      </c>
      <c r="O431">
        <v>44040605.855855852</v>
      </c>
      <c r="P431">
        <v>57141315.315315314</v>
      </c>
      <c r="Q431">
        <v>4544774.774774773</v>
      </c>
      <c r="R431">
        <v>15687387.387387387</v>
      </c>
      <c r="S431">
        <v>2210</v>
      </c>
      <c r="T431">
        <v>2191</v>
      </c>
    </row>
    <row r="432" spans="1:20" x14ac:dyDescent="0.35">
      <c r="A432" s="7" t="s">
        <v>531</v>
      </c>
      <c r="B432" s="12" t="s">
        <v>449</v>
      </c>
      <c r="C432">
        <v>210916461.87367642</v>
      </c>
      <c r="D432">
        <v>214320525.30599475</v>
      </c>
      <c r="E432">
        <v>1321621.6216216229</v>
      </c>
      <c r="F432">
        <v>5461261.2612612629</v>
      </c>
      <c r="G432">
        <v>123</v>
      </c>
      <c r="H432">
        <v>221</v>
      </c>
      <c r="K432">
        <v>137</v>
      </c>
      <c r="L432">
        <v>233</v>
      </c>
      <c r="M432">
        <v>8791441.4414414428</v>
      </c>
      <c r="N432">
        <v>35569594.594594598</v>
      </c>
      <c r="O432">
        <v>101158891.89189188</v>
      </c>
      <c r="P432">
        <v>103786122.52252252</v>
      </c>
      <c r="Q432">
        <v>9789909.9099099096</v>
      </c>
      <c r="R432">
        <v>34146171.171171173</v>
      </c>
      <c r="S432">
        <v>6507</v>
      </c>
      <c r="T432">
        <v>5177</v>
      </c>
    </row>
    <row r="433" spans="1:20" x14ac:dyDescent="0.35">
      <c r="A433" s="7" t="s">
        <v>532</v>
      </c>
      <c r="B433" s="12" t="s">
        <v>124</v>
      </c>
      <c r="C433">
        <v>555429770.5145551</v>
      </c>
      <c r="D433">
        <v>564354006.37448776</v>
      </c>
      <c r="E433">
        <v>275541066.66666669</v>
      </c>
      <c r="F433">
        <v>420868469.36936933</v>
      </c>
      <c r="G433">
        <v>337</v>
      </c>
      <c r="H433">
        <v>434</v>
      </c>
      <c r="I433">
        <v>7</v>
      </c>
      <c r="K433">
        <v>733</v>
      </c>
      <c r="L433">
        <v>770</v>
      </c>
      <c r="M433">
        <v>224278288.2882883</v>
      </c>
      <c r="N433">
        <v>160772792.7927928</v>
      </c>
      <c r="O433">
        <v>196975092.7927928</v>
      </c>
      <c r="P433">
        <v>204838390.09009007</v>
      </c>
      <c r="Q433">
        <v>222461351.35135135</v>
      </c>
      <c r="R433">
        <v>156790450.45045045</v>
      </c>
      <c r="S433">
        <v>14828</v>
      </c>
      <c r="T433">
        <v>11122</v>
      </c>
    </row>
    <row r="434" spans="1:20" x14ac:dyDescent="0.35">
      <c r="A434" s="7" t="s">
        <v>533</v>
      </c>
      <c r="B434" s="12" t="s">
        <v>86</v>
      </c>
      <c r="C434">
        <v>160432148.85024801</v>
      </c>
      <c r="D434">
        <v>185024371.37913689</v>
      </c>
      <c r="E434">
        <v>689189.18918919098</v>
      </c>
      <c r="F434">
        <v>3735135.1351351351</v>
      </c>
      <c r="G434">
        <v>17</v>
      </c>
      <c r="H434">
        <v>23</v>
      </c>
      <c r="K434">
        <v>20</v>
      </c>
      <c r="L434">
        <v>46</v>
      </c>
      <c r="M434">
        <v>22825765.765765764</v>
      </c>
      <c r="N434">
        <v>65935585.585585587</v>
      </c>
      <c r="O434">
        <v>35023828.828828834</v>
      </c>
      <c r="P434">
        <v>48568027.027027026</v>
      </c>
      <c r="Q434">
        <v>18091441.441441443</v>
      </c>
      <c r="R434">
        <v>53381981.981981985</v>
      </c>
      <c r="S434">
        <v>3616</v>
      </c>
      <c r="T434">
        <v>3961</v>
      </c>
    </row>
    <row r="435" spans="1:20" x14ac:dyDescent="0.35">
      <c r="A435" s="7" t="s">
        <v>9</v>
      </c>
      <c r="B435" s="12" t="s">
        <v>159</v>
      </c>
      <c r="C435">
        <v>435247118.6704005</v>
      </c>
      <c r="D435">
        <v>415539927.57064188</v>
      </c>
      <c r="E435">
        <v>11759102.70270271</v>
      </c>
      <c r="F435">
        <v>8794307.2072072085</v>
      </c>
      <c r="G435">
        <v>66</v>
      </c>
      <c r="H435">
        <v>106</v>
      </c>
      <c r="K435">
        <v>70</v>
      </c>
      <c r="L435">
        <v>127</v>
      </c>
      <c r="M435">
        <v>609924636.03603613</v>
      </c>
      <c r="N435">
        <v>573253451.35135138</v>
      </c>
      <c r="O435">
        <v>158818477.47747746</v>
      </c>
      <c r="P435">
        <v>151608007.2072072</v>
      </c>
      <c r="Q435">
        <v>539278288.28828824</v>
      </c>
      <c r="R435">
        <v>527795270.27027029</v>
      </c>
      <c r="S435">
        <v>7812</v>
      </c>
      <c r="T435">
        <v>6974</v>
      </c>
    </row>
    <row r="436" spans="1:20" x14ac:dyDescent="0.35">
      <c r="A436" s="7" t="s">
        <v>534</v>
      </c>
      <c r="B436" s="12" t="s">
        <v>95</v>
      </c>
      <c r="C436">
        <v>416613862.43716609</v>
      </c>
      <c r="D436">
        <v>434097218.12671399</v>
      </c>
      <c r="E436">
        <v>1372072.0720720771</v>
      </c>
      <c r="F436">
        <v>1784684.6846846859</v>
      </c>
      <c r="G436">
        <v>84</v>
      </c>
      <c r="H436">
        <v>100</v>
      </c>
      <c r="K436">
        <v>92</v>
      </c>
      <c r="L436">
        <v>110</v>
      </c>
      <c r="M436">
        <v>36900000</v>
      </c>
      <c r="N436">
        <v>48212612.612612605</v>
      </c>
      <c r="O436">
        <v>55915171.171171173</v>
      </c>
      <c r="P436">
        <v>66402266.666666664</v>
      </c>
      <c r="Q436">
        <v>24179729.729729727</v>
      </c>
      <c r="R436">
        <v>28535675.675675675</v>
      </c>
      <c r="S436">
        <v>6516</v>
      </c>
      <c r="T436">
        <v>4822</v>
      </c>
    </row>
    <row r="437" spans="1:20" x14ac:dyDescent="0.35">
      <c r="A437" s="7" t="s">
        <v>535</v>
      </c>
      <c r="B437" s="12" t="s">
        <v>305</v>
      </c>
      <c r="C437">
        <v>11241389.355541952</v>
      </c>
      <c r="D437">
        <v>15687820.011078672</v>
      </c>
      <c r="G437">
        <v>4</v>
      </c>
      <c r="H437">
        <v>7</v>
      </c>
      <c r="K437">
        <v>4</v>
      </c>
      <c r="L437">
        <v>7</v>
      </c>
      <c r="O437">
        <v>2034954.954954955</v>
      </c>
      <c r="P437">
        <v>1997657.657657658</v>
      </c>
      <c r="S437">
        <v>421</v>
      </c>
      <c r="T437">
        <v>424</v>
      </c>
    </row>
    <row r="438" spans="1:20" x14ac:dyDescent="0.35">
      <c r="A438" s="7" t="s">
        <v>536</v>
      </c>
      <c r="B438" s="12" t="s">
        <v>305</v>
      </c>
      <c r="C438">
        <v>170363504.65581179</v>
      </c>
      <c r="D438">
        <v>164950687.31169426</v>
      </c>
      <c r="E438">
        <v>737837.83783783799</v>
      </c>
      <c r="F438">
        <v>1626126.1261261271</v>
      </c>
      <c r="G438">
        <v>16</v>
      </c>
      <c r="H438">
        <v>32</v>
      </c>
      <c r="K438">
        <v>23</v>
      </c>
      <c r="L438">
        <v>34</v>
      </c>
      <c r="M438">
        <v>13316216.216216216</v>
      </c>
      <c r="N438">
        <v>14337837.837837839</v>
      </c>
      <c r="O438">
        <v>15407747.747747747</v>
      </c>
      <c r="P438">
        <v>14064180.180180181</v>
      </c>
      <c r="Q438">
        <v>5600810.8108108109</v>
      </c>
      <c r="R438">
        <v>8423333.3333333302</v>
      </c>
      <c r="S438">
        <v>2807</v>
      </c>
      <c r="T438">
        <v>2729</v>
      </c>
    </row>
    <row r="439" spans="1:20" x14ac:dyDescent="0.35">
      <c r="A439" s="7" t="s">
        <v>537</v>
      </c>
      <c r="B439" s="12" t="s">
        <v>86</v>
      </c>
      <c r="C439">
        <v>150838472.43353704</v>
      </c>
      <c r="D439">
        <v>159687840.01294506</v>
      </c>
      <c r="E439">
        <v>136889189.1891892</v>
      </c>
      <c r="F439">
        <v>165514414.41441441</v>
      </c>
      <c r="G439">
        <v>65</v>
      </c>
      <c r="H439">
        <v>95</v>
      </c>
      <c r="I439">
        <v>1</v>
      </c>
      <c r="K439">
        <v>75</v>
      </c>
      <c r="L439">
        <v>219</v>
      </c>
      <c r="M439">
        <v>60531441.441441439</v>
      </c>
      <c r="N439">
        <v>84712432.432432428</v>
      </c>
      <c r="O439">
        <v>68226747.747747749</v>
      </c>
      <c r="P439">
        <v>75275963.963963971</v>
      </c>
      <c r="Q439">
        <v>43853243.24324324</v>
      </c>
      <c r="R439">
        <v>73136036.036036029</v>
      </c>
      <c r="S439">
        <v>2898</v>
      </c>
      <c r="T439">
        <v>3061</v>
      </c>
    </row>
    <row r="440" spans="1:20" x14ac:dyDescent="0.35">
      <c r="A440" s="7" t="s">
        <v>538</v>
      </c>
      <c r="B440" s="12" t="s">
        <v>449</v>
      </c>
      <c r="C440">
        <v>209139510.62406427</v>
      </c>
      <c r="D440">
        <v>197918914.17688218</v>
      </c>
      <c r="E440">
        <v>1922522.5225225249</v>
      </c>
      <c r="F440">
        <v>1258108.1081081091</v>
      </c>
      <c r="G440">
        <v>102</v>
      </c>
      <c r="H440">
        <v>64</v>
      </c>
      <c r="I440">
        <v>2</v>
      </c>
      <c r="K440">
        <v>122</v>
      </c>
      <c r="L440">
        <v>79</v>
      </c>
      <c r="M440">
        <v>15565945.945945945</v>
      </c>
      <c r="N440">
        <v>30964189.189189192</v>
      </c>
      <c r="O440">
        <v>59014106.306306303</v>
      </c>
      <c r="P440">
        <v>61076720.720720723</v>
      </c>
      <c r="Q440">
        <v>16440180.180180177</v>
      </c>
      <c r="R440">
        <v>24845900.9009009</v>
      </c>
      <c r="S440">
        <v>5945</v>
      </c>
      <c r="T440">
        <v>5278</v>
      </c>
    </row>
    <row r="441" spans="1:20" x14ac:dyDescent="0.35">
      <c r="A441" s="7" t="s">
        <v>539</v>
      </c>
      <c r="B441" s="12" t="s">
        <v>118</v>
      </c>
      <c r="C441">
        <v>479284230.49789035</v>
      </c>
      <c r="D441">
        <v>451794399.66198069</v>
      </c>
      <c r="E441">
        <v>10111711.711711714</v>
      </c>
      <c r="F441">
        <v>10093243.243243247</v>
      </c>
      <c r="G441">
        <v>149</v>
      </c>
      <c r="H441">
        <v>152</v>
      </c>
      <c r="K441">
        <v>197</v>
      </c>
      <c r="L441">
        <v>215</v>
      </c>
      <c r="M441">
        <v>102373602.7027027</v>
      </c>
      <c r="N441">
        <v>102869696.3963964</v>
      </c>
      <c r="O441">
        <v>274241000</v>
      </c>
      <c r="P441">
        <v>256917684.68468466</v>
      </c>
      <c r="Q441">
        <v>94369009.009009004</v>
      </c>
      <c r="R441">
        <v>89961306.306306303</v>
      </c>
      <c r="S441">
        <v>11768</v>
      </c>
      <c r="T441">
        <v>11147</v>
      </c>
    </row>
    <row r="442" spans="1:20" x14ac:dyDescent="0.35">
      <c r="A442" s="7" t="s">
        <v>540</v>
      </c>
      <c r="B442" s="12" t="s">
        <v>84</v>
      </c>
      <c r="C442">
        <v>1473391368.5102024</v>
      </c>
      <c r="D442">
        <v>1443630324.3745232</v>
      </c>
      <c r="E442">
        <v>7428906.3063063081</v>
      </c>
      <c r="F442">
        <v>9170270.2702702731</v>
      </c>
      <c r="G442">
        <v>296</v>
      </c>
      <c r="H442">
        <v>200</v>
      </c>
      <c r="I442">
        <v>1</v>
      </c>
      <c r="K442">
        <v>331</v>
      </c>
      <c r="L442">
        <v>261</v>
      </c>
      <c r="M442">
        <v>92121252.252252251</v>
      </c>
      <c r="N442">
        <v>106353153.15315315</v>
      </c>
      <c r="O442">
        <v>160996075.22522521</v>
      </c>
      <c r="P442">
        <v>170416511.7117117</v>
      </c>
      <c r="Q442">
        <v>81517520.720720723</v>
      </c>
      <c r="R442">
        <v>87423827.027027026</v>
      </c>
      <c r="S442">
        <v>22215</v>
      </c>
      <c r="T442">
        <v>21601</v>
      </c>
    </row>
    <row r="443" spans="1:20" x14ac:dyDescent="0.35">
      <c r="A443" s="7" t="s">
        <v>541</v>
      </c>
      <c r="B443" s="12" t="s">
        <v>316</v>
      </c>
      <c r="C443">
        <v>180726294.60299838</v>
      </c>
      <c r="D443">
        <v>174435686.46762198</v>
      </c>
      <c r="E443">
        <v>2428153.1531531522</v>
      </c>
      <c r="F443">
        <v>2631531.5315315351</v>
      </c>
      <c r="G443">
        <v>28</v>
      </c>
      <c r="H443">
        <v>17</v>
      </c>
      <c r="K443">
        <v>31</v>
      </c>
      <c r="L443">
        <v>17</v>
      </c>
      <c r="M443">
        <v>13286936.936936935</v>
      </c>
      <c r="N443">
        <v>27704504.504504506</v>
      </c>
      <c r="O443">
        <v>34512072.072072074</v>
      </c>
      <c r="P443">
        <v>35597360.360360362</v>
      </c>
      <c r="Q443">
        <v>10925135.135135133</v>
      </c>
      <c r="R443">
        <v>23365585.585585583</v>
      </c>
      <c r="S443">
        <v>2536</v>
      </c>
      <c r="T443">
        <v>2598</v>
      </c>
    </row>
    <row r="444" spans="1:20" x14ac:dyDescent="0.35">
      <c r="A444" s="7" t="s">
        <v>542</v>
      </c>
      <c r="B444" s="12" t="s">
        <v>170</v>
      </c>
      <c r="C444">
        <v>1248609023.1028976</v>
      </c>
      <c r="D444">
        <v>1288094911.3800275</v>
      </c>
      <c r="E444">
        <v>2981981.9819819829</v>
      </c>
      <c r="F444">
        <v>6469369.3693693709</v>
      </c>
      <c r="G444">
        <v>126</v>
      </c>
      <c r="H444">
        <v>208</v>
      </c>
      <c r="I444">
        <v>1</v>
      </c>
      <c r="K444">
        <v>141</v>
      </c>
      <c r="L444">
        <v>280</v>
      </c>
      <c r="M444">
        <v>76413400.9009009</v>
      </c>
      <c r="N444">
        <v>81706755.855855852</v>
      </c>
      <c r="O444">
        <v>461467628.37837839</v>
      </c>
      <c r="P444">
        <v>501038162.16216218</v>
      </c>
      <c r="Q444">
        <v>74421171.171171173</v>
      </c>
      <c r="R444">
        <v>77202972.972972974</v>
      </c>
      <c r="S444">
        <v>22089</v>
      </c>
      <c r="T444">
        <v>21226</v>
      </c>
    </row>
    <row r="445" spans="1:20" x14ac:dyDescent="0.35">
      <c r="A445" s="7" t="s">
        <v>543</v>
      </c>
      <c r="B445" s="12" t="s">
        <v>480</v>
      </c>
      <c r="C445">
        <v>388676733.08665025</v>
      </c>
      <c r="D445">
        <v>382409515.47827023</v>
      </c>
      <c r="E445">
        <v>1153153.153153152</v>
      </c>
      <c r="F445">
        <v>1204504.5045045039</v>
      </c>
      <c r="G445">
        <v>41</v>
      </c>
      <c r="H445">
        <v>31</v>
      </c>
      <c r="K445">
        <v>44</v>
      </c>
      <c r="L445">
        <v>38</v>
      </c>
      <c r="M445">
        <v>3351351.3513513491</v>
      </c>
      <c r="N445">
        <v>2438738.7387387478</v>
      </c>
      <c r="O445">
        <v>50042261.261261262</v>
      </c>
      <c r="P445">
        <v>69611828.828828827</v>
      </c>
      <c r="Q445">
        <v>2488018.0180180161</v>
      </c>
      <c r="R445">
        <v>2237477.4774774848</v>
      </c>
      <c r="S445">
        <v>5559</v>
      </c>
      <c r="T445">
        <v>5417</v>
      </c>
    </row>
    <row r="446" spans="1:20" x14ac:dyDescent="0.35">
      <c r="A446" s="7" t="s">
        <v>544</v>
      </c>
      <c r="B446" s="12" t="s">
        <v>81</v>
      </c>
      <c r="C446">
        <v>94537957.219629377</v>
      </c>
      <c r="D446">
        <v>103287469.93934086</v>
      </c>
      <c r="E446">
        <v>675225.22522522404</v>
      </c>
      <c r="F446">
        <v>1387387.387387387</v>
      </c>
      <c r="G446">
        <v>30</v>
      </c>
      <c r="H446">
        <v>5</v>
      </c>
      <c r="K446">
        <v>33</v>
      </c>
      <c r="L446">
        <v>12</v>
      </c>
      <c r="M446">
        <v>27156306.306306303</v>
      </c>
      <c r="N446">
        <v>12215315.315315315</v>
      </c>
      <c r="O446">
        <v>35143378.378378376</v>
      </c>
      <c r="P446">
        <v>37578756.75675676</v>
      </c>
      <c r="Q446">
        <v>25510360.360360362</v>
      </c>
      <c r="R446">
        <v>11418558.558558557</v>
      </c>
      <c r="S446">
        <v>2635</v>
      </c>
      <c r="T446">
        <v>2524</v>
      </c>
    </row>
    <row r="447" spans="1:20" x14ac:dyDescent="0.35">
      <c r="A447" s="7" t="s">
        <v>545</v>
      </c>
      <c r="B447" s="12" t="s">
        <v>170</v>
      </c>
      <c r="C447">
        <v>100624239.75926837</v>
      </c>
      <c r="D447">
        <v>136961680.23919049</v>
      </c>
      <c r="E447">
        <v>277477.47747747699</v>
      </c>
      <c r="F447">
        <v>460360.36036036001</v>
      </c>
      <c r="G447">
        <v>14</v>
      </c>
      <c r="H447">
        <v>4</v>
      </c>
      <c r="K447">
        <v>15</v>
      </c>
      <c r="L447">
        <v>4</v>
      </c>
      <c r="M447">
        <v>1178378.378378378</v>
      </c>
      <c r="N447">
        <v>460360.36036036001</v>
      </c>
      <c r="O447">
        <v>42415754.954954952</v>
      </c>
      <c r="P447">
        <v>50080378.378378376</v>
      </c>
      <c r="Q447">
        <v>792432.43243243196</v>
      </c>
      <c r="R447">
        <v>1041801.801801802</v>
      </c>
      <c r="S447">
        <v>2477</v>
      </c>
      <c r="T447">
        <v>2486</v>
      </c>
    </row>
    <row r="448" spans="1:20" x14ac:dyDescent="0.35">
      <c r="A448" s="7" t="s">
        <v>546</v>
      </c>
      <c r="B448" s="12" t="s">
        <v>225</v>
      </c>
      <c r="C448">
        <v>9827.3572880310003</v>
      </c>
      <c r="D448">
        <v>42313.454668708</v>
      </c>
      <c r="P448">
        <v>6081.0810810809999</v>
      </c>
    </row>
    <row r="449" spans="1:20" x14ac:dyDescent="0.35">
      <c r="A449" s="7" t="s">
        <v>547</v>
      </c>
      <c r="B449" s="12" t="s">
        <v>137</v>
      </c>
      <c r="C449">
        <v>245676180.93637547</v>
      </c>
      <c r="D449">
        <v>257799527.09957364</v>
      </c>
      <c r="E449">
        <v>901801.80180180504</v>
      </c>
      <c r="F449">
        <v>1836036.036036036</v>
      </c>
      <c r="G449">
        <v>77</v>
      </c>
      <c r="H449">
        <v>46</v>
      </c>
      <c r="K449">
        <v>83</v>
      </c>
      <c r="L449">
        <v>52</v>
      </c>
      <c r="M449">
        <v>53661261.261261262</v>
      </c>
      <c r="N449">
        <v>60358558.558558561</v>
      </c>
      <c r="O449">
        <v>80999926.126126125</v>
      </c>
      <c r="P449">
        <v>102820664.86486487</v>
      </c>
      <c r="Q449">
        <v>43920270.270270273</v>
      </c>
      <c r="R449">
        <v>45982612.612612605</v>
      </c>
      <c r="S449">
        <v>4421</v>
      </c>
      <c r="T449">
        <v>4803</v>
      </c>
    </row>
    <row r="450" spans="1:20" x14ac:dyDescent="0.35">
      <c r="A450" s="7" t="s">
        <v>548</v>
      </c>
      <c r="B450" s="12" t="s">
        <v>137</v>
      </c>
      <c r="C450">
        <v>464266808.59031326</v>
      </c>
      <c r="D450">
        <v>461885829.11447322</v>
      </c>
      <c r="E450">
        <v>254860545.04504505</v>
      </c>
      <c r="F450">
        <v>411635109.9099099</v>
      </c>
      <c r="G450">
        <v>213</v>
      </c>
      <c r="H450">
        <v>187</v>
      </c>
      <c r="I450">
        <v>7</v>
      </c>
      <c r="K450">
        <v>247</v>
      </c>
      <c r="L450">
        <v>248</v>
      </c>
      <c r="M450">
        <v>118111711.7117117</v>
      </c>
      <c r="N450">
        <v>113296396.3963964</v>
      </c>
      <c r="O450">
        <v>153939372.07207206</v>
      </c>
      <c r="P450">
        <v>160622403.6036036</v>
      </c>
      <c r="Q450">
        <v>98125351.351351351</v>
      </c>
      <c r="R450">
        <v>94626936.936936945</v>
      </c>
      <c r="S450">
        <v>12483</v>
      </c>
      <c r="T450">
        <v>12502</v>
      </c>
    </row>
    <row r="451" spans="1:20" x14ac:dyDescent="0.35">
      <c r="A451" s="7" t="s">
        <v>549</v>
      </c>
      <c r="B451" s="12" t="s">
        <v>137</v>
      </c>
      <c r="C451">
        <v>520149330.74636275</v>
      </c>
      <c r="D451">
        <v>538435448.34429479</v>
      </c>
      <c r="E451">
        <v>3793693.6936936951</v>
      </c>
      <c r="F451">
        <v>2060360.3603603609</v>
      </c>
      <c r="G451">
        <v>74</v>
      </c>
      <c r="H451">
        <v>109</v>
      </c>
      <c r="I451">
        <v>2</v>
      </c>
      <c r="K451">
        <v>81</v>
      </c>
      <c r="L451">
        <v>116</v>
      </c>
      <c r="M451">
        <v>19208108.108108107</v>
      </c>
      <c r="N451">
        <v>22916216.216216218</v>
      </c>
      <c r="O451">
        <v>84296917.117117122</v>
      </c>
      <c r="P451">
        <v>93325495.495495483</v>
      </c>
      <c r="Q451">
        <v>18728468.468468469</v>
      </c>
      <c r="R451">
        <v>19227207.207207203</v>
      </c>
      <c r="S451">
        <v>8615</v>
      </c>
      <c r="T451">
        <v>9086</v>
      </c>
    </row>
    <row r="452" spans="1:20" x14ac:dyDescent="0.35">
      <c r="A452" s="7" t="s">
        <v>550</v>
      </c>
      <c r="B452" s="12" t="s">
        <v>137</v>
      </c>
      <c r="C452">
        <v>217253972.96147996</v>
      </c>
      <c r="D452">
        <v>207530674.40288168</v>
      </c>
      <c r="E452">
        <v>591891.891891893</v>
      </c>
      <c r="F452">
        <v>1181081.0810810809</v>
      </c>
      <c r="G452">
        <v>40</v>
      </c>
      <c r="H452">
        <v>52</v>
      </c>
      <c r="I452">
        <v>1</v>
      </c>
      <c r="K452">
        <v>43</v>
      </c>
      <c r="L452">
        <v>55</v>
      </c>
      <c r="M452">
        <v>15357657.657657657</v>
      </c>
      <c r="N452">
        <v>20491891.891891893</v>
      </c>
      <c r="O452">
        <v>36330513.513513513</v>
      </c>
      <c r="P452">
        <v>40885513.513513513</v>
      </c>
      <c r="Q452">
        <v>13885495.495495496</v>
      </c>
      <c r="R452">
        <v>15939279.27927928</v>
      </c>
      <c r="S452">
        <v>3881</v>
      </c>
      <c r="T452">
        <v>3544</v>
      </c>
    </row>
    <row r="453" spans="1:20" x14ac:dyDescent="0.35">
      <c r="A453" s="7" t="s">
        <v>551</v>
      </c>
      <c r="B453" s="12" t="s">
        <v>88</v>
      </c>
      <c r="C453">
        <v>88846576.879498586</v>
      </c>
      <c r="D453">
        <v>89153553.671735242</v>
      </c>
      <c r="E453">
        <v>142342.34234234199</v>
      </c>
      <c r="F453">
        <v>27027.027027028002</v>
      </c>
      <c r="G453">
        <v>37</v>
      </c>
      <c r="H453">
        <v>28</v>
      </c>
      <c r="K453">
        <v>39</v>
      </c>
      <c r="L453">
        <v>31</v>
      </c>
      <c r="M453">
        <v>6670270.2702702703</v>
      </c>
      <c r="N453">
        <v>6243243.2432432426</v>
      </c>
      <c r="O453">
        <v>13912981.981981982</v>
      </c>
      <c r="P453">
        <v>15870378.378378378</v>
      </c>
      <c r="Q453">
        <v>5363423.4234234234</v>
      </c>
      <c r="R453">
        <v>3720450.4504504502</v>
      </c>
      <c r="S453">
        <v>1417</v>
      </c>
      <c r="T453">
        <v>1307</v>
      </c>
    </row>
    <row r="454" spans="1:20" x14ac:dyDescent="0.35">
      <c r="A454" s="7" t="s">
        <v>552</v>
      </c>
      <c r="B454" s="12" t="s">
        <v>88</v>
      </c>
      <c r="C454">
        <v>135717352.2712183</v>
      </c>
      <c r="D454">
        <v>138821472.78850272</v>
      </c>
      <c r="E454">
        <v>500000.00000000099</v>
      </c>
      <c r="F454">
        <v>463963.963963966</v>
      </c>
      <c r="G454">
        <v>78</v>
      </c>
      <c r="H454">
        <v>54</v>
      </c>
      <c r="K454">
        <v>90</v>
      </c>
      <c r="L454">
        <v>58</v>
      </c>
      <c r="M454">
        <v>11865765.765765764</v>
      </c>
      <c r="N454">
        <v>12990990.990990993</v>
      </c>
      <c r="O454">
        <v>20368772.97297297</v>
      </c>
      <c r="P454">
        <v>20491603.603603605</v>
      </c>
      <c r="Q454">
        <v>8314054.0540540544</v>
      </c>
      <c r="R454">
        <v>8934324.3243243247</v>
      </c>
      <c r="S454">
        <v>2645</v>
      </c>
      <c r="T454">
        <v>2623</v>
      </c>
    </row>
    <row r="455" spans="1:20" x14ac:dyDescent="0.35">
      <c r="A455" s="7" t="s">
        <v>553</v>
      </c>
      <c r="B455" s="12" t="s">
        <v>67</v>
      </c>
      <c r="C455">
        <v>273451799.8136794</v>
      </c>
      <c r="D455">
        <v>277602341.22161967</v>
      </c>
      <c r="E455">
        <v>8977477.4774774779</v>
      </c>
      <c r="F455">
        <v>13767117.11711712</v>
      </c>
      <c r="G455">
        <v>85</v>
      </c>
      <c r="H455">
        <v>79</v>
      </c>
      <c r="I455">
        <v>1</v>
      </c>
      <c r="K455">
        <v>101</v>
      </c>
      <c r="L455">
        <v>107</v>
      </c>
      <c r="M455">
        <v>201604324.32432431</v>
      </c>
      <c r="N455">
        <v>260744639.63963965</v>
      </c>
      <c r="O455">
        <v>116972092.34234233</v>
      </c>
      <c r="P455">
        <v>117090531.53153154</v>
      </c>
      <c r="Q455">
        <v>168551531.53153151</v>
      </c>
      <c r="R455">
        <v>144968198.1981982</v>
      </c>
      <c r="S455">
        <v>12236</v>
      </c>
      <c r="T455">
        <v>9679</v>
      </c>
    </row>
    <row r="456" spans="1:20" x14ac:dyDescent="0.35">
      <c r="A456" s="7" t="s">
        <v>554</v>
      </c>
      <c r="B456" s="12" t="s">
        <v>555</v>
      </c>
      <c r="C456">
        <v>545540711.47364068</v>
      </c>
      <c r="D456">
        <v>536480204.99676305</v>
      </c>
      <c r="E456">
        <v>7308558.5585585618</v>
      </c>
      <c r="F456">
        <v>8757657.6576576605</v>
      </c>
      <c r="G456">
        <v>100</v>
      </c>
      <c r="H456">
        <v>66</v>
      </c>
      <c r="I456">
        <v>2</v>
      </c>
      <c r="K456">
        <v>125</v>
      </c>
      <c r="L456">
        <v>78</v>
      </c>
      <c r="M456">
        <v>182896396.3963964</v>
      </c>
      <c r="N456">
        <v>156224774.77477479</v>
      </c>
      <c r="O456">
        <v>148603576.57657659</v>
      </c>
      <c r="P456">
        <v>170351765.76576576</v>
      </c>
      <c r="Q456">
        <v>175142702.7027027</v>
      </c>
      <c r="R456">
        <v>146850270.27027026</v>
      </c>
      <c r="S456">
        <v>9427</v>
      </c>
      <c r="T456">
        <v>9117</v>
      </c>
    </row>
    <row r="457" spans="1:20" x14ac:dyDescent="0.35">
      <c r="A457" s="7" t="s">
        <v>556</v>
      </c>
      <c r="B457" s="12" t="s">
        <v>555</v>
      </c>
      <c r="C457">
        <v>84273567.535491332</v>
      </c>
      <c r="D457">
        <v>82887914.839803725</v>
      </c>
      <c r="E457">
        <v>170013740.54054055</v>
      </c>
      <c r="F457">
        <v>175173586.48648649</v>
      </c>
      <c r="G457">
        <v>33</v>
      </c>
      <c r="H457">
        <v>27</v>
      </c>
      <c r="K457">
        <v>34</v>
      </c>
      <c r="L457">
        <v>33</v>
      </c>
      <c r="M457">
        <v>25177477.47747748</v>
      </c>
      <c r="N457">
        <v>25248648.648648649</v>
      </c>
      <c r="O457">
        <v>30122468.468468469</v>
      </c>
      <c r="P457">
        <v>34206117.117117114</v>
      </c>
      <c r="Q457">
        <v>11331171.171171172</v>
      </c>
      <c r="R457">
        <v>6486126.1261261273</v>
      </c>
      <c r="S457">
        <v>1590</v>
      </c>
      <c r="T457">
        <v>1519</v>
      </c>
    </row>
    <row r="458" spans="1:20" x14ac:dyDescent="0.35">
      <c r="A458" s="7" t="s">
        <v>557</v>
      </c>
      <c r="B458" s="12" t="s">
        <v>122</v>
      </c>
      <c r="C458">
        <v>61680052.220111497</v>
      </c>
      <c r="D458">
        <v>62666228.149725981</v>
      </c>
      <c r="E458">
        <v>180180.18018018</v>
      </c>
      <c r="F458">
        <v>157657.65765765801</v>
      </c>
      <c r="G458">
        <v>31</v>
      </c>
      <c r="H458">
        <v>31</v>
      </c>
      <c r="K458">
        <v>34</v>
      </c>
      <c r="L458">
        <v>32</v>
      </c>
      <c r="M458">
        <v>180180.18018018</v>
      </c>
      <c r="N458">
        <v>157657.65765765801</v>
      </c>
      <c r="O458">
        <v>5601657.6576576577</v>
      </c>
      <c r="P458">
        <v>8272252.2522522518</v>
      </c>
      <c r="Q458">
        <v>132162.16216216201</v>
      </c>
      <c r="R458">
        <v>198198.19819819799</v>
      </c>
      <c r="S458">
        <v>1398</v>
      </c>
      <c r="T458">
        <v>1372</v>
      </c>
    </row>
    <row r="459" spans="1:20" x14ac:dyDescent="0.35">
      <c r="A459" s="7" t="s">
        <v>671</v>
      </c>
      <c r="B459" s="12" t="s">
        <v>237</v>
      </c>
      <c r="E459">
        <v>47938010.810810804</v>
      </c>
      <c r="F459">
        <v>59531933.333333336</v>
      </c>
      <c r="M459">
        <v>22949549.549549554</v>
      </c>
      <c r="N459">
        <v>11846846.846846849</v>
      </c>
    </row>
    <row r="460" spans="1:20" x14ac:dyDescent="0.35">
      <c r="A460" s="7" t="s">
        <v>558</v>
      </c>
      <c r="B460" s="12" t="s">
        <v>71</v>
      </c>
      <c r="C460">
        <v>497655459.52345616</v>
      </c>
      <c r="D460">
        <v>495158215.32935625</v>
      </c>
      <c r="E460">
        <v>5052252.2522522612</v>
      </c>
      <c r="F460">
        <v>12874774.774774777</v>
      </c>
      <c r="G460">
        <v>109</v>
      </c>
      <c r="H460">
        <v>80</v>
      </c>
      <c r="K460">
        <v>134</v>
      </c>
      <c r="L460">
        <v>99</v>
      </c>
      <c r="M460">
        <v>64236936.936936937</v>
      </c>
      <c r="N460">
        <v>157543243.24324322</v>
      </c>
      <c r="O460">
        <v>210651558.55855855</v>
      </c>
      <c r="P460">
        <v>209741918.91891891</v>
      </c>
      <c r="Q460">
        <v>61378918.918918923</v>
      </c>
      <c r="R460">
        <v>127342612.61261261</v>
      </c>
      <c r="S460">
        <v>10182</v>
      </c>
      <c r="T460">
        <v>11921</v>
      </c>
    </row>
    <row r="461" spans="1:20" x14ac:dyDescent="0.35">
      <c r="A461" s="7" t="s">
        <v>559</v>
      </c>
      <c r="B461" s="12" t="s">
        <v>63</v>
      </c>
      <c r="C461">
        <v>900817775.58268297</v>
      </c>
      <c r="D461">
        <v>897879743.23573887</v>
      </c>
      <c r="E461">
        <v>14237837.837837843</v>
      </c>
      <c r="F461">
        <v>19916216.216216221</v>
      </c>
      <c r="G461">
        <v>356</v>
      </c>
      <c r="H461">
        <v>428</v>
      </c>
      <c r="K461">
        <v>532</v>
      </c>
      <c r="L461">
        <v>782</v>
      </c>
      <c r="M461">
        <v>134447387.38738739</v>
      </c>
      <c r="N461">
        <v>262572972.97297296</v>
      </c>
      <c r="O461">
        <v>209042972.97297296</v>
      </c>
      <c r="P461">
        <v>238139810.8108108</v>
      </c>
      <c r="Q461">
        <v>129050180.18018018</v>
      </c>
      <c r="R461">
        <v>199049232.43243241</v>
      </c>
      <c r="S461">
        <v>18215</v>
      </c>
      <c r="T461">
        <v>18077</v>
      </c>
    </row>
    <row r="462" spans="1:20" x14ac:dyDescent="0.35">
      <c r="A462" s="7" t="s">
        <v>560</v>
      </c>
      <c r="B462" s="12" t="s">
        <v>480</v>
      </c>
      <c r="C462">
        <v>422777832.84625679</v>
      </c>
      <c r="D462">
        <v>432687163.90335339</v>
      </c>
      <c r="E462">
        <v>138569630.63063061</v>
      </c>
      <c r="F462">
        <v>155246487.38738739</v>
      </c>
      <c r="G462">
        <v>162</v>
      </c>
      <c r="H462">
        <v>102</v>
      </c>
      <c r="I462">
        <v>1</v>
      </c>
      <c r="K462">
        <v>186</v>
      </c>
      <c r="L462">
        <v>113</v>
      </c>
      <c r="M462">
        <v>70869103.603603601</v>
      </c>
      <c r="N462">
        <v>56262387.387387387</v>
      </c>
      <c r="O462">
        <v>129665736.93693693</v>
      </c>
      <c r="P462">
        <v>134343666.66666669</v>
      </c>
      <c r="Q462">
        <v>56960720.720720723</v>
      </c>
      <c r="R462">
        <v>64405270.270270273</v>
      </c>
      <c r="S462">
        <v>8753</v>
      </c>
      <c r="T462">
        <v>7721</v>
      </c>
    </row>
    <row r="463" spans="1:20" x14ac:dyDescent="0.35">
      <c r="A463" s="7" t="s">
        <v>561</v>
      </c>
      <c r="B463" s="12" t="s">
        <v>237</v>
      </c>
      <c r="C463">
        <v>73893675.098884642</v>
      </c>
      <c r="D463">
        <v>75103677.410836816</v>
      </c>
      <c r="E463">
        <v>1284684.684684685</v>
      </c>
      <c r="F463">
        <v>763063.06306306401</v>
      </c>
      <c r="G463">
        <v>25</v>
      </c>
      <c r="H463">
        <v>18</v>
      </c>
      <c r="K463">
        <v>52</v>
      </c>
      <c r="L463">
        <v>20</v>
      </c>
      <c r="M463">
        <v>5646576.5765765756</v>
      </c>
      <c r="N463">
        <v>3667567.5675675678</v>
      </c>
      <c r="O463">
        <v>27568126.126126129</v>
      </c>
      <c r="P463">
        <v>30628198.198198199</v>
      </c>
      <c r="Q463">
        <v>5421531.5315315304</v>
      </c>
      <c r="R463">
        <v>2663693.6936936928</v>
      </c>
      <c r="S463">
        <v>2167</v>
      </c>
      <c r="T463">
        <v>2237</v>
      </c>
    </row>
    <row r="464" spans="1:20" x14ac:dyDescent="0.35">
      <c r="A464" s="7" t="s">
        <v>562</v>
      </c>
      <c r="B464" s="12" t="s">
        <v>61</v>
      </c>
      <c r="C464">
        <v>69138202.110007763</v>
      </c>
      <c r="D464">
        <v>67900674.251014486</v>
      </c>
      <c r="E464">
        <v>38392792.79279279</v>
      </c>
      <c r="F464">
        <v>603085585.58558559</v>
      </c>
      <c r="G464">
        <v>25</v>
      </c>
      <c r="H464">
        <v>53</v>
      </c>
      <c r="K464">
        <v>41</v>
      </c>
      <c r="L464">
        <v>115</v>
      </c>
      <c r="M464">
        <v>19986486.486486487</v>
      </c>
      <c r="N464">
        <v>19076576.576576576</v>
      </c>
      <c r="O464">
        <v>24581936.936936937</v>
      </c>
      <c r="P464">
        <v>24244396.396396395</v>
      </c>
      <c r="Q464">
        <v>18154054.054054055</v>
      </c>
      <c r="R464">
        <v>16381711.71171171</v>
      </c>
      <c r="S464">
        <v>1457</v>
      </c>
      <c r="T464">
        <v>1210</v>
      </c>
    </row>
    <row r="465" spans="1:20" x14ac:dyDescent="0.35">
      <c r="A465" s="7" t="s">
        <v>563</v>
      </c>
      <c r="B465" s="12" t="s">
        <v>564</v>
      </c>
      <c r="C465">
        <v>392639684.06309551</v>
      </c>
      <c r="D465">
        <v>408969926.58667958</v>
      </c>
      <c r="E465">
        <v>1036870404.5045044</v>
      </c>
      <c r="F465">
        <v>535606927.92792791</v>
      </c>
      <c r="G465">
        <v>486</v>
      </c>
      <c r="H465">
        <v>339</v>
      </c>
      <c r="I465">
        <v>3</v>
      </c>
      <c r="K465">
        <v>841</v>
      </c>
      <c r="L465">
        <v>640</v>
      </c>
      <c r="M465">
        <v>694898619.81981981</v>
      </c>
      <c r="N465">
        <v>477569281.08108109</v>
      </c>
      <c r="O465">
        <v>167435189.1891892</v>
      </c>
      <c r="P465">
        <v>191950045.04504505</v>
      </c>
      <c r="Q465">
        <v>529592526.12612617</v>
      </c>
      <c r="R465">
        <v>648967772.97297287</v>
      </c>
      <c r="S465">
        <v>14181</v>
      </c>
      <c r="T465">
        <v>9610</v>
      </c>
    </row>
    <row r="466" spans="1:20" x14ac:dyDescent="0.35">
      <c r="A466" s="7" t="s">
        <v>565</v>
      </c>
      <c r="B466" s="12" t="s">
        <v>564</v>
      </c>
      <c r="C466">
        <v>532829483.97410458</v>
      </c>
      <c r="D466">
        <v>522193573.17273909</v>
      </c>
      <c r="E466">
        <v>7000900.9009009041</v>
      </c>
      <c r="F466">
        <v>9646396.3963964004</v>
      </c>
      <c r="G466">
        <v>179</v>
      </c>
      <c r="H466">
        <v>165</v>
      </c>
      <c r="K466">
        <v>219</v>
      </c>
      <c r="L466">
        <v>290</v>
      </c>
      <c r="M466">
        <v>56575992.79279279</v>
      </c>
      <c r="N466">
        <v>83100630.630630627</v>
      </c>
      <c r="O466">
        <v>221649099.0990991</v>
      </c>
      <c r="P466">
        <v>229049270.27027026</v>
      </c>
      <c r="Q466">
        <v>58232342.342342339</v>
      </c>
      <c r="R466">
        <v>78315045.045045033</v>
      </c>
      <c r="S466">
        <v>15993</v>
      </c>
      <c r="T466">
        <v>11936</v>
      </c>
    </row>
    <row r="467" spans="1:20" x14ac:dyDescent="0.35">
      <c r="A467" s="7" t="s">
        <v>566</v>
      </c>
      <c r="B467" s="12" t="s">
        <v>564</v>
      </c>
      <c r="C467">
        <v>384418716.38680321</v>
      </c>
      <c r="D467">
        <v>411605148.66706067</v>
      </c>
      <c r="E467">
        <v>5812342.342342346</v>
      </c>
      <c r="F467">
        <v>8636397.2972972952</v>
      </c>
      <c r="G467">
        <v>291</v>
      </c>
      <c r="H467">
        <v>205</v>
      </c>
      <c r="K467">
        <v>344</v>
      </c>
      <c r="L467">
        <v>274</v>
      </c>
      <c r="M467">
        <v>41349145.045045048</v>
      </c>
      <c r="N467">
        <v>78528424.324324325</v>
      </c>
      <c r="O467">
        <v>170001180.18018019</v>
      </c>
      <c r="P467">
        <v>188866036.03603604</v>
      </c>
      <c r="Q467">
        <v>40387027.027027026</v>
      </c>
      <c r="R467">
        <v>73741486.486486495</v>
      </c>
      <c r="S467">
        <v>17256</v>
      </c>
      <c r="T467">
        <v>12073</v>
      </c>
    </row>
    <row r="468" spans="1:20" x14ac:dyDescent="0.35">
      <c r="A468" s="7" t="s">
        <v>567</v>
      </c>
      <c r="B468" s="12" t="s">
        <v>564</v>
      </c>
      <c r="C468">
        <v>253799518.42061648</v>
      </c>
      <c r="D468">
        <v>268117762.59259978</v>
      </c>
      <c r="E468">
        <v>115565765.76576576</v>
      </c>
      <c r="F468">
        <v>122054954.95495497</v>
      </c>
      <c r="G468">
        <v>29</v>
      </c>
      <c r="H468">
        <v>25</v>
      </c>
      <c r="K468">
        <v>36</v>
      </c>
      <c r="L468">
        <v>27</v>
      </c>
      <c r="M468">
        <v>66589115.315315314</v>
      </c>
      <c r="N468">
        <v>83590090.090090096</v>
      </c>
      <c r="O468">
        <v>149921675.67567569</v>
      </c>
      <c r="P468">
        <v>151994738.73873875</v>
      </c>
      <c r="Q468">
        <v>38809864.864864863</v>
      </c>
      <c r="R468">
        <v>72720135.135135129</v>
      </c>
      <c r="S468">
        <v>7408</v>
      </c>
      <c r="T468">
        <v>6788</v>
      </c>
    </row>
    <row r="469" spans="1:20" x14ac:dyDescent="0.35">
      <c r="A469" s="7" t="s">
        <v>568</v>
      </c>
      <c r="B469" s="12" t="s">
        <v>564</v>
      </c>
      <c r="C469">
        <v>148589341.05135545</v>
      </c>
      <c r="D469">
        <v>151499371.3173776</v>
      </c>
      <c r="E469">
        <v>4307207.2072072076</v>
      </c>
      <c r="F469">
        <v>6666216.2162162159</v>
      </c>
      <c r="G469">
        <v>42</v>
      </c>
      <c r="H469">
        <v>39</v>
      </c>
      <c r="I469">
        <v>3</v>
      </c>
      <c r="K469">
        <v>52</v>
      </c>
      <c r="L469">
        <v>40</v>
      </c>
      <c r="M469">
        <v>31864001.801801801</v>
      </c>
      <c r="N469">
        <v>64126351.351351351</v>
      </c>
      <c r="O469">
        <v>60659628.828828834</v>
      </c>
      <c r="P469">
        <v>66137135.135135137</v>
      </c>
      <c r="Q469">
        <v>29753333.333333332</v>
      </c>
      <c r="R469">
        <v>56849234.234234244</v>
      </c>
      <c r="S469">
        <v>8201</v>
      </c>
      <c r="T469">
        <v>4738</v>
      </c>
    </row>
    <row r="470" spans="1:20" x14ac:dyDescent="0.35">
      <c r="A470" s="7" t="s">
        <v>569</v>
      </c>
      <c r="B470" s="12" t="s">
        <v>49</v>
      </c>
      <c r="C470">
        <v>329728099.01665425</v>
      </c>
      <c r="D470">
        <v>339625605.37338924</v>
      </c>
      <c r="E470">
        <v>1379279.27927928</v>
      </c>
      <c r="F470">
        <v>1148648.6486486499</v>
      </c>
      <c r="G470">
        <v>9</v>
      </c>
      <c r="H470">
        <v>18</v>
      </c>
      <c r="K470">
        <v>10</v>
      </c>
      <c r="L470">
        <v>22</v>
      </c>
      <c r="M470">
        <v>12892792.792792793</v>
      </c>
      <c r="N470">
        <v>10608108.108108109</v>
      </c>
      <c r="O470">
        <v>41337994.59459459</v>
      </c>
      <c r="P470">
        <v>47938466.666666664</v>
      </c>
      <c r="Q470">
        <v>14515945.945945948</v>
      </c>
      <c r="R470">
        <v>15215989.189189192</v>
      </c>
      <c r="S470">
        <v>6052</v>
      </c>
      <c r="T470">
        <v>5837</v>
      </c>
    </row>
    <row r="471" spans="1:20" x14ac:dyDescent="0.35">
      <c r="A471" s="7" t="s">
        <v>570</v>
      </c>
      <c r="B471" s="12" t="s">
        <v>170</v>
      </c>
      <c r="C471">
        <v>4723017284.1493664</v>
      </c>
      <c r="D471">
        <v>4521033584.0279102</v>
      </c>
      <c r="E471">
        <v>3337221828.8288288</v>
      </c>
      <c r="F471">
        <v>5312829041.4414415</v>
      </c>
      <c r="G471">
        <v>1236</v>
      </c>
      <c r="H471">
        <v>1539</v>
      </c>
      <c r="I471">
        <v>12</v>
      </c>
      <c r="K471">
        <v>1592</v>
      </c>
      <c r="L471">
        <v>3200</v>
      </c>
      <c r="M471">
        <v>639331360.36036026</v>
      </c>
      <c r="N471">
        <v>840662364.86486495</v>
      </c>
      <c r="O471">
        <v>2963196507.2072072</v>
      </c>
      <c r="P471">
        <v>5315431118.9189196</v>
      </c>
      <c r="Q471">
        <v>589731300.90090084</v>
      </c>
      <c r="R471">
        <v>779363104.50450444</v>
      </c>
      <c r="S471">
        <v>56253</v>
      </c>
      <c r="T471">
        <v>56109</v>
      </c>
    </row>
    <row r="472" spans="1:20" x14ac:dyDescent="0.35">
      <c r="A472" s="7" t="s">
        <v>571</v>
      </c>
      <c r="B472" s="12" t="s">
        <v>221</v>
      </c>
      <c r="C472">
        <v>290526578.13655072</v>
      </c>
      <c r="D472">
        <v>301226307.37084556</v>
      </c>
      <c r="E472">
        <v>1470270.2702702719</v>
      </c>
      <c r="F472">
        <v>2372972.9729729719</v>
      </c>
      <c r="G472">
        <v>29</v>
      </c>
      <c r="H472">
        <v>34</v>
      </c>
      <c r="K472">
        <v>31</v>
      </c>
      <c r="L472">
        <v>38</v>
      </c>
      <c r="M472">
        <v>12027657.657657657</v>
      </c>
      <c r="N472">
        <v>22530000</v>
      </c>
      <c r="O472">
        <v>48141558.558558561</v>
      </c>
      <c r="P472">
        <v>55674592.79279279</v>
      </c>
      <c r="Q472">
        <v>11066216.216216214</v>
      </c>
      <c r="R472">
        <v>22048468.468468472</v>
      </c>
      <c r="S472">
        <v>4578</v>
      </c>
      <c r="T472">
        <v>5098</v>
      </c>
    </row>
    <row r="473" spans="1:20" x14ac:dyDescent="0.35">
      <c r="A473" s="7" t="s">
        <v>572</v>
      </c>
      <c r="B473" s="12" t="s">
        <v>86</v>
      </c>
      <c r="C473">
        <v>357416253.25390553</v>
      </c>
      <c r="D473">
        <v>399702427.00270051</v>
      </c>
      <c r="E473">
        <v>554054.05405405595</v>
      </c>
      <c r="F473">
        <v>2151351.3513513529</v>
      </c>
      <c r="G473">
        <v>43</v>
      </c>
      <c r="H473">
        <v>15</v>
      </c>
      <c r="K473">
        <v>47</v>
      </c>
      <c r="L473">
        <v>23</v>
      </c>
      <c r="M473">
        <v>37240618.918918923</v>
      </c>
      <c r="N473">
        <v>80073243.243243247</v>
      </c>
      <c r="O473">
        <v>81271367.567567572</v>
      </c>
      <c r="P473">
        <v>100354998.1981982</v>
      </c>
      <c r="Q473">
        <v>26303873.873873878</v>
      </c>
      <c r="R473">
        <v>66932072.072072074</v>
      </c>
      <c r="S473">
        <v>5026</v>
      </c>
      <c r="T473">
        <v>5060</v>
      </c>
    </row>
    <row r="474" spans="1:20" x14ac:dyDescent="0.35">
      <c r="A474" s="7" t="s">
        <v>573</v>
      </c>
      <c r="B474" s="12" t="s">
        <v>480</v>
      </c>
      <c r="C474">
        <v>189169508.84661895</v>
      </c>
      <c r="D474">
        <v>170375023.31593034</v>
      </c>
      <c r="E474">
        <v>3270270.2702702689</v>
      </c>
      <c r="F474">
        <v>3038738.7387387422</v>
      </c>
      <c r="G474">
        <v>106</v>
      </c>
      <c r="H474">
        <v>87</v>
      </c>
      <c r="K474">
        <v>132</v>
      </c>
      <c r="L474">
        <v>115</v>
      </c>
      <c r="M474">
        <v>34751171.171171173</v>
      </c>
      <c r="N474">
        <v>50447747.747747742</v>
      </c>
      <c r="O474">
        <v>78117354.954954967</v>
      </c>
      <c r="P474">
        <v>76363072.072072059</v>
      </c>
      <c r="Q474">
        <v>31895045.045045048</v>
      </c>
      <c r="R474">
        <v>45902522.522522531</v>
      </c>
      <c r="S474">
        <v>8660</v>
      </c>
      <c r="T474">
        <v>5263</v>
      </c>
    </row>
    <row r="475" spans="1:20" x14ac:dyDescent="0.35">
      <c r="A475" s="7" t="s">
        <v>574</v>
      </c>
      <c r="B475" s="12" t="s">
        <v>95</v>
      </c>
      <c r="C475">
        <v>484474852.16776949</v>
      </c>
      <c r="D475">
        <v>520712119.96333307</v>
      </c>
      <c r="E475">
        <v>3011711.7117117131</v>
      </c>
      <c r="F475">
        <v>4755855.855855858</v>
      </c>
      <c r="G475">
        <v>88</v>
      </c>
      <c r="H475">
        <v>158</v>
      </c>
      <c r="I475">
        <v>1</v>
      </c>
      <c r="K475">
        <v>113</v>
      </c>
      <c r="L475">
        <v>310</v>
      </c>
      <c r="M475">
        <v>851618918.91891897</v>
      </c>
      <c r="N475">
        <v>41895495.495495498</v>
      </c>
      <c r="O475">
        <v>105207009.45945945</v>
      </c>
      <c r="P475">
        <v>119031745.94594595</v>
      </c>
      <c r="Q475">
        <v>38647117.117117122</v>
      </c>
      <c r="R475">
        <v>39586126.126126125</v>
      </c>
      <c r="S475">
        <v>9391</v>
      </c>
      <c r="T475">
        <v>9881</v>
      </c>
    </row>
    <row r="476" spans="1:20" x14ac:dyDescent="0.35">
      <c r="A476" s="7" t="s">
        <v>575</v>
      </c>
      <c r="B476" s="12" t="s">
        <v>308</v>
      </c>
      <c r="C476">
        <v>1131006705.94561</v>
      </c>
      <c r="D476">
        <v>1149056547.5344481</v>
      </c>
      <c r="E476">
        <v>21098828.828828841</v>
      </c>
      <c r="F476">
        <v>21680180.180180181</v>
      </c>
      <c r="G476">
        <v>434</v>
      </c>
      <c r="H476">
        <v>459</v>
      </c>
      <c r="I476">
        <v>2</v>
      </c>
      <c r="K476">
        <v>500</v>
      </c>
      <c r="L476">
        <v>563</v>
      </c>
      <c r="M476">
        <v>1385848873.8738739</v>
      </c>
      <c r="N476">
        <v>400921801.8018018</v>
      </c>
      <c r="O476">
        <v>465541336.48648643</v>
      </c>
      <c r="P476">
        <v>483600909.9099099</v>
      </c>
      <c r="Q476">
        <v>253695990.99099097</v>
      </c>
      <c r="R476">
        <v>236362972.97297296</v>
      </c>
      <c r="S476">
        <v>38987</v>
      </c>
      <c r="T476">
        <v>32710</v>
      </c>
    </row>
    <row r="477" spans="1:20" x14ac:dyDescent="0.35">
      <c r="A477" s="7" t="s">
        <v>10</v>
      </c>
      <c r="B477" s="12" t="s">
        <v>194</v>
      </c>
      <c r="C477">
        <v>182580869.33783436</v>
      </c>
      <c r="D477">
        <v>181575571.38182777</v>
      </c>
      <c r="G477">
        <v>28</v>
      </c>
      <c r="H477">
        <v>19</v>
      </c>
      <c r="K477">
        <v>29</v>
      </c>
      <c r="L477">
        <v>24</v>
      </c>
      <c r="O477">
        <v>109413439.63963963</v>
      </c>
      <c r="P477">
        <v>107678072.07207207</v>
      </c>
      <c r="Q477">
        <v>19639.639639640001</v>
      </c>
      <c r="R477">
        <v>576486.48648648604</v>
      </c>
      <c r="S477">
        <v>3829</v>
      </c>
      <c r="T477">
        <v>3547</v>
      </c>
    </row>
    <row r="478" spans="1:20" x14ac:dyDescent="0.35">
      <c r="A478" s="7" t="s">
        <v>576</v>
      </c>
      <c r="B478" s="12" t="s">
        <v>88</v>
      </c>
      <c r="C478">
        <v>3953307.0578950872</v>
      </c>
      <c r="D478">
        <v>4631758.6974966591</v>
      </c>
      <c r="G478">
        <v>18</v>
      </c>
      <c r="H478">
        <v>10</v>
      </c>
      <c r="K478">
        <v>18</v>
      </c>
      <c r="L478">
        <v>11</v>
      </c>
      <c r="O478">
        <v>1352538.7387387389</v>
      </c>
      <c r="P478">
        <v>1689909.9099099101</v>
      </c>
      <c r="S478">
        <v>243</v>
      </c>
      <c r="T478">
        <v>213</v>
      </c>
    </row>
    <row r="479" spans="1:20" x14ac:dyDescent="0.35">
      <c r="A479" s="7" t="s">
        <v>577</v>
      </c>
      <c r="B479" s="12" t="s">
        <v>284</v>
      </c>
      <c r="C479">
        <v>249574348.49899358</v>
      </c>
      <c r="D479">
        <v>264359415.64543048</v>
      </c>
      <c r="E479">
        <v>363963.96396396402</v>
      </c>
      <c r="F479">
        <v>417117.11711711698</v>
      </c>
      <c r="G479">
        <v>39</v>
      </c>
      <c r="H479">
        <v>12</v>
      </c>
      <c r="I479">
        <v>1</v>
      </c>
      <c r="K479">
        <v>40</v>
      </c>
      <c r="L479">
        <v>15</v>
      </c>
      <c r="M479">
        <v>18886486.486486487</v>
      </c>
      <c r="N479">
        <v>19029729.729729727</v>
      </c>
      <c r="O479">
        <v>39936054.054054059</v>
      </c>
      <c r="P479">
        <v>40662027.027027026</v>
      </c>
      <c r="Q479">
        <v>19819549.549549554</v>
      </c>
      <c r="R479">
        <v>17433063.063063063</v>
      </c>
      <c r="S479">
        <v>3545</v>
      </c>
      <c r="T479">
        <v>3923</v>
      </c>
    </row>
    <row r="480" spans="1:20" x14ac:dyDescent="0.35">
      <c r="A480" s="7" t="s">
        <v>578</v>
      </c>
      <c r="B480" s="12" t="s">
        <v>308</v>
      </c>
      <c r="C480">
        <v>1094292868.7371616</v>
      </c>
      <c r="D480">
        <v>1123493605.892128</v>
      </c>
      <c r="E480">
        <v>9993243.2432432491</v>
      </c>
      <c r="F480">
        <v>20863513.513513513</v>
      </c>
      <c r="G480">
        <v>411</v>
      </c>
      <c r="H480">
        <v>368</v>
      </c>
      <c r="K480">
        <v>463</v>
      </c>
      <c r="L480">
        <v>461</v>
      </c>
      <c r="M480">
        <v>137468243.24324325</v>
      </c>
      <c r="N480">
        <v>345902169.36936933</v>
      </c>
      <c r="O480">
        <v>463758882.88288289</v>
      </c>
      <c r="P480">
        <v>476009295.4954955</v>
      </c>
      <c r="Q480">
        <v>121158963.96396397</v>
      </c>
      <c r="R480">
        <v>195484684.68468466</v>
      </c>
      <c r="S480">
        <v>47843</v>
      </c>
      <c r="T480">
        <v>40002</v>
      </c>
    </row>
    <row r="481" spans="1:20" x14ac:dyDescent="0.35">
      <c r="A481" s="7" t="s">
        <v>579</v>
      </c>
      <c r="B481" s="12" t="s">
        <v>331</v>
      </c>
      <c r="C481">
        <v>1008917761.4189132</v>
      </c>
      <c r="D481">
        <v>1014207969.6404915</v>
      </c>
      <c r="E481">
        <v>9556306.30630631</v>
      </c>
      <c r="F481">
        <v>7380630.6306306357</v>
      </c>
      <c r="G481">
        <v>361</v>
      </c>
      <c r="H481">
        <v>387</v>
      </c>
      <c r="I481">
        <v>17</v>
      </c>
      <c r="K481">
        <v>540</v>
      </c>
      <c r="L481">
        <v>472</v>
      </c>
      <c r="M481">
        <v>178725945.94594595</v>
      </c>
      <c r="N481">
        <v>129834324.32432432</v>
      </c>
      <c r="O481">
        <v>219596963.96396396</v>
      </c>
      <c r="P481">
        <v>231026052.25225225</v>
      </c>
      <c r="Q481">
        <v>172012702.7027027</v>
      </c>
      <c r="R481">
        <v>127052252.25225225</v>
      </c>
      <c r="S481">
        <v>31760</v>
      </c>
      <c r="T481">
        <v>28034</v>
      </c>
    </row>
    <row r="482" spans="1:20" x14ac:dyDescent="0.35">
      <c r="A482" s="7" t="s">
        <v>580</v>
      </c>
      <c r="B482" s="12" t="s">
        <v>67</v>
      </c>
      <c r="C482">
        <v>158418803.86395466</v>
      </c>
      <c r="D482">
        <v>153017256.52933356</v>
      </c>
      <c r="E482">
        <v>404054.05405405501</v>
      </c>
      <c r="F482">
        <v>83783.783783784005</v>
      </c>
      <c r="G482">
        <v>29</v>
      </c>
      <c r="H482">
        <v>17</v>
      </c>
      <c r="K482">
        <v>31</v>
      </c>
      <c r="L482">
        <v>18</v>
      </c>
      <c r="M482">
        <v>4737387.3873873884</v>
      </c>
      <c r="N482">
        <v>3198648.6486486471</v>
      </c>
      <c r="O482">
        <v>43220220.720720723</v>
      </c>
      <c r="P482">
        <v>38388162.162162162</v>
      </c>
      <c r="Q482">
        <v>4326756.7567567565</v>
      </c>
      <c r="R482">
        <v>3971621.6216216208</v>
      </c>
      <c r="S482">
        <v>4116</v>
      </c>
      <c r="T482">
        <v>3298</v>
      </c>
    </row>
    <row r="483" spans="1:20" x14ac:dyDescent="0.35">
      <c r="A483" s="7" t="s">
        <v>581</v>
      </c>
      <c r="B483" s="12" t="s">
        <v>237</v>
      </c>
      <c r="C483">
        <v>12020.705011463</v>
      </c>
      <c r="D483">
        <v>38673.853189016001</v>
      </c>
      <c r="E483">
        <v>106914414.41441442</v>
      </c>
      <c r="F483">
        <v>112148648.64864865</v>
      </c>
      <c r="M483">
        <v>3188738.7387387389</v>
      </c>
      <c r="N483">
        <v>495315.31531531498</v>
      </c>
      <c r="P483">
        <v>34234.234234233998</v>
      </c>
    </row>
    <row r="484" spans="1:20" x14ac:dyDescent="0.35">
      <c r="A484" s="7" t="s">
        <v>582</v>
      </c>
      <c r="B484" s="12" t="s">
        <v>63</v>
      </c>
      <c r="C484">
        <v>402429007.37487221</v>
      </c>
      <c r="D484">
        <v>408954860.56389105</v>
      </c>
      <c r="E484">
        <v>498615346.84684682</v>
      </c>
      <c r="F484">
        <v>746621721.62162161</v>
      </c>
      <c r="G484">
        <v>205</v>
      </c>
      <c r="H484">
        <v>73</v>
      </c>
      <c r="K484">
        <v>212</v>
      </c>
      <c r="L484">
        <v>128</v>
      </c>
      <c r="M484">
        <v>96210264.864864871</v>
      </c>
      <c r="N484">
        <v>89586700</v>
      </c>
      <c r="O484">
        <v>92499531.531531543</v>
      </c>
      <c r="P484">
        <v>103954279.27927928</v>
      </c>
      <c r="Q484">
        <v>37216396.396396391</v>
      </c>
      <c r="R484">
        <v>40079009.009009011</v>
      </c>
      <c r="S484">
        <v>6811</v>
      </c>
      <c r="T484">
        <v>7500</v>
      </c>
    </row>
    <row r="485" spans="1:20" x14ac:dyDescent="0.35">
      <c r="A485" s="7" t="s">
        <v>583</v>
      </c>
      <c r="B485" s="12" t="s">
        <v>49</v>
      </c>
      <c r="C485">
        <v>365611281.21848226</v>
      </c>
      <c r="D485">
        <v>346015492.39528704</v>
      </c>
      <c r="E485">
        <v>1986081.0810810809</v>
      </c>
      <c r="F485">
        <v>4474774.7747747758</v>
      </c>
      <c r="G485">
        <v>36</v>
      </c>
      <c r="H485">
        <v>17</v>
      </c>
      <c r="K485">
        <v>37</v>
      </c>
      <c r="L485">
        <v>20</v>
      </c>
      <c r="M485">
        <v>107932522.52252252</v>
      </c>
      <c r="N485">
        <v>36971171.171171173</v>
      </c>
      <c r="O485">
        <v>53473148.648648649</v>
      </c>
      <c r="P485">
        <v>60621792.79279279</v>
      </c>
      <c r="Q485">
        <v>107607837.83783785</v>
      </c>
      <c r="R485">
        <v>64307297.297297299</v>
      </c>
      <c r="S485">
        <v>4610</v>
      </c>
      <c r="T485">
        <v>7291</v>
      </c>
    </row>
    <row r="486" spans="1:20" x14ac:dyDescent="0.35">
      <c r="A486" s="7" t="s">
        <v>584</v>
      </c>
      <c r="B486" s="12" t="s">
        <v>55</v>
      </c>
      <c r="C486">
        <v>71864983.139169261</v>
      </c>
      <c r="D486">
        <v>70550433.164650559</v>
      </c>
      <c r="E486">
        <v>745045.045045048</v>
      </c>
      <c r="F486">
        <v>3281531.5315315342</v>
      </c>
      <c r="G486">
        <v>23</v>
      </c>
      <c r="H486">
        <v>63</v>
      </c>
      <c r="K486">
        <v>62</v>
      </c>
      <c r="L486">
        <v>162</v>
      </c>
      <c r="M486">
        <v>11058198.198198199</v>
      </c>
      <c r="N486">
        <v>19243153.153153151</v>
      </c>
      <c r="O486">
        <v>18633479.729729727</v>
      </c>
      <c r="P486">
        <v>20610594.59459459</v>
      </c>
      <c r="Q486">
        <v>10157657.657657661</v>
      </c>
      <c r="R486">
        <v>16346486.486486483</v>
      </c>
      <c r="S486">
        <v>2467</v>
      </c>
      <c r="T486">
        <v>2204</v>
      </c>
    </row>
    <row r="487" spans="1:20" x14ac:dyDescent="0.35">
      <c r="A487" s="7" t="s">
        <v>585</v>
      </c>
      <c r="B487" s="12" t="s">
        <v>71</v>
      </c>
      <c r="C487">
        <v>185271228.93190876</v>
      </c>
      <c r="D487">
        <v>181183273.39410678</v>
      </c>
      <c r="E487">
        <v>110810.810810811</v>
      </c>
      <c r="F487">
        <v>861711.711711713</v>
      </c>
      <c r="G487">
        <v>47</v>
      </c>
      <c r="H487">
        <v>19</v>
      </c>
      <c r="I487">
        <v>2</v>
      </c>
      <c r="K487">
        <v>48</v>
      </c>
      <c r="L487">
        <v>25</v>
      </c>
      <c r="M487">
        <v>1599099.099099101</v>
      </c>
      <c r="N487">
        <v>3800450.4504504502</v>
      </c>
      <c r="O487">
        <v>84554603.603603601</v>
      </c>
      <c r="P487">
        <v>82992169.369369373</v>
      </c>
      <c r="Q487">
        <v>1812612.6126126139</v>
      </c>
      <c r="R487">
        <v>3056306.3063063049</v>
      </c>
      <c r="S487">
        <v>3493</v>
      </c>
      <c r="T487">
        <v>3833</v>
      </c>
    </row>
    <row r="488" spans="1:20" x14ac:dyDescent="0.35">
      <c r="A488" s="7" t="s">
        <v>586</v>
      </c>
      <c r="B488" s="12" t="s">
        <v>331</v>
      </c>
      <c r="C488">
        <v>696489449.14452803</v>
      </c>
      <c r="D488">
        <v>661950292.52750158</v>
      </c>
      <c r="E488">
        <v>8464864.8648648653</v>
      </c>
      <c r="F488">
        <v>3967567.5675675711</v>
      </c>
      <c r="G488">
        <v>290</v>
      </c>
      <c r="H488">
        <v>300</v>
      </c>
      <c r="K488">
        <v>341</v>
      </c>
      <c r="L488">
        <v>361</v>
      </c>
      <c r="M488">
        <v>90254774.77477479</v>
      </c>
      <c r="N488">
        <v>61475180.180180177</v>
      </c>
      <c r="O488">
        <v>188880436.03603604</v>
      </c>
      <c r="P488">
        <v>178360825.22522521</v>
      </c>
      <c r="Q488">
        <v>82735405.405405402</v>
      </c>
      <c r="R488">
        <v>64046981.981981985</v>
      </c>
      <c r="S488">
        <v>22441</v>
      </c>
      <c r="T488">
        <v>19989</v>
      </c>
    </row>
    <row r="489" spans="1:20" x14ac:dyDescent="0.35">
      <c r="A489" s="7" t="s">
        <v>587</v>
      </c>
      <c r="B489" s="12" t="s">
        <v>67</v>
      </c>
      <c r="C489">
        <v>334815295.58382809</v>
      </c>
      <c r="D489">
        <v>355507662.8096571</v>
      </c>
      <c r="E489">
        <v>712893523.42342353</v>
      </c>
      <c r="F489">
        <v>830882945.94594598</v>
      </c>
      <c r="G489">
        <v>160</v>
      </c>
      <c r="H489">
        <v>131</v>
      </c>
      <c r="K489">
        <v>190</v>
      </c>
      <c r="L489">
        <v>159</v>
      </c>
      <c r="M489">
        <v>79023918.918918908</v>
      </c>
      <c r="N489">
        <v>230014392.7927928</v>
      </c>
      <c r="O489">
        <v>165210171.17117116</v>
      </c>
      <c r="P489">
        <v>180475162.16216218</v>
      </c>
      <c r="Q489">
        <v>69214009.009009004</v>
      </c>
      <c r="R489">
        <v>107233243.24324325</v>
      </c>
      <c r="S489">
        <v>14652</v>
      </c>
      <c r="T489">
        <v>10785</v>
      </c>
    </row>
    <row r="490" spans="1:20" x14ac:dyDescent="0.35">
      <c r="A490" s="7" t="s">
        <v>11</v>
      </c>
      <c r="B490" s="12" t="s">
        <v>194</v>
      </c>
      <c r="C490">
        <v>159477345.79558405</v>
      </c>
      <c r="D490">
        <v>148088357.1719732</v>
      </c>
      <c r="E490">
        <v>586486.48648648802</v>
      </c>
      <c r="F490">
        <v>561261.26126126095</v>
      </c>
      <c r="G490">
        <v>36</v>
      </c>
      <c r="H490">
        <v>32</v>
      </c>
      <c r="K490">
        <v>41</v>
      </c>
      <c r="L490">
        <v>35</v>
      </c>
      <c r="M490">
        <v>14505405.405405408</v>
      </c>
      <c r="N490">
        <v>13444144.144144144</v>
      </c>
      <c r="O490">
        <v>54219083.333333336</v>
      </c>
      <c r="P490">
        <v>57124675.675675675</v>
      </c>
      <c r="Q490">
        <v>15268198.198198197</v>
      </c>
      <c r="R490">
        <v>12799729.729729731</v>
      </c>
      <c r="S490">
        <v>5057</v>
      </c>
      <c r="T490">
        <v>3965</v>
      </c>
    </row>
    <row r="491" spans="1:20" x14ac:dyDescent="0.35">
      <c r="A491" s="7" t="s">
        <v>12</v>
      </c>
      <c r="B491" s="12" t="s">
        <v>194</v>
      </c>
      <c r="C491">
        <v>107617539.1178644</v>
      </c>
      <c r="D491">
        <v>96380957.919355616</v>
      </c>
      <c r="E491">
        <v>5263963.963963964</v>
      </c>
      <c r="F491">
        <v>481081.081081082</v>
      </c>
      <c r="G491">
        <v>19</v>
      </c>
      <c r="H491">
        <v>15</v>
      </c>
      <c r="K491">
        <v>20</v>
      </c>
      <c r="L491">
        <v>22</v>
      </c>
      <c r="M491">
        <v>21570270.270270273</v>
      </c>
      <c r="N491">
        <v>6967567.5675675683</v>
      </c>
      <c r="O491">
        <v>43217045.045045048</v>
      </c>
      <c r="P491">
        <v>42099108.108108111</v>
      </c>
      <c r="Q491">
        <v>23661441.441441439</v>
      </c>
      <c r="R491">
        <v>8332792.7927927943</v>
      </c>
      <c r="S491">
        <v>4172</v>
      </c>
      <c r="T491">
        <v>2767</v>
      </c>
    </row>
    <row r="492" spans="1:20" x14ac:dyDescent="0.35">
      <c r="A492" s="7" t="s">
        <v>588</v>
      </c>
      <c r="B492" s="12" t="s">
        <v>61</v>
      </c>
      <c r="C492">
        <v>84814328.0702492</v>
      </c>
      <c r="D492">
        <v>87393296.600735292</v>
      </c>
      <c r="E492">
        <v>627027.02702702803</v>
      </c>
      <c r="F492">
        <v>2540090.0900900909</v>
      </c>
      <c r="G492">
        <v>40</v>
      </c>
      <c r="H492">
        <v>38</v>
      </c>
      <c r="I492">
        <v>3</v>
      </c>
      <c r="K492">
        <v>50</v>
      </c>
      <c r="L492">
        <v>56</v>
      </c>
      <c r="M492">
        <v>13672072.072072074</v>
      </c>
      <c r="N492">
        <v>19089639.639639638</v>
      </c>
      <c r="O492">
        <v>31506975.225225225</v>
      </c>
      <c r="P492">
        <v>33654430.630630635</v>
      </c>
      <c r="Q492">
        <v>13540990.990990991</v>
      </c>
      <c r="R492">
        <v>17563196.396396395</v>
      </c>
      <c r="S492">
        <v>1919</v>
      </c>
      <c r="T492">
        <v>1881</v>
      </c>
    </row>
    <row r="493" spans="1:20" x14ac:dyDescent="0.35">
      <c r="A493" s="7" t="s">
        <v>589</v>
      </c>
      <c r="B493" s="12" t="s">
        <v>308</v>
      </c>
      <c r="C493">
        <v>2390277599.4867768</v>
      </c>
      <c r="D493">
        <v>2355667352.755147</v>
      </c>
      <c r="E493">
        <v>1736418854.9549551</v>
      </c>
      <c r="F493">
        <v>1690608672.0720723</v>
      </c>
      <c r="G493">
        <v>1158</v>
      </c>
      <c r="H493">
        <v>702</v>
      </c>
      <c r="I493">
        <v>2</v>
      </c>
      <c r="K493">
        <v>1330</v>
      </c>
      <c r="L493">
        <v>889</v>
      </c>
      <c r="M493">
        <v>545467464.86486495</v>
      </c>
      <c r="N493">
        <v>773287882.88288295</v>
      </c>
      <c r="O493">
        <v>768054220.72072077</v>
      </c>
      <c r="P493">
        <v>788635711.71171176</v>
      </c>
      <c r="Q493">
        <v>470990990.990991</v>
      </c>
      <c r="R493">
        <v>512492702.7027027</v>
      </c>
      <c r="S493">
        <v>79684</v>
      </c>
      <c r="T493">
        <v>63335</v>
      </c>
    </row>
    <row r="494" spans="1:20" x14ac:dyDescent="0.35">
      <c r="A494" s="7" t="s">
        <v>590</v>
      </c>
      <c r="B494" s="12" t="s">
        <v>53</v>
      </c>
      <c r="C494">
        <v>570011000.34057534</v>
      </c>
      <c r="D494">
        <v>590765006.14424491</v>
      </c>
      <c r="E494">
        <v>177163136.03603604</v>
      </c>
      <c r="F494">
        <v>247044144.14414412</v>
      </c>
      <c r="G494">
        <v>120</v>
      </c>
      <c r="H494">
        <v>346</v>
      </c>
      <c r="K494">
        <v>241</v>
      </c>
      <c r="L494">
        <v>576</v>
      </c>
      <c r="M494">
        <v>149524450.45045045</v>
      </c>
      <c r="N494">
        <v>224535135.13513514</v>
      </c>
      <c r="O494">
        <v>229177360.36036035</v>
      </c>
      <c r="P494">
        <v>249633180.18018019</v>
      </c>
      <c r="Q494">
        <v>162006171.17117116</v>
      </c>
      <c r="R494">
        <v>212735045.04504505</v>
      </c>
      <c r="S494">
        <v>15629</v>
      </c>
      <c r="T494">
        <v>13999</v>
      </c>
    </row>
    <row r="495" spans="1:20" x14ac:dyDescent="0.35">
      <c r="A495" s="7" t="s">
        <v>591</v>
      </c>
      <c r="B495" s="12" t="s">
        <v>55</v>
      </c>
      <c r="C495">
        <v>48979868.466596887</v>
      </c>
      <c r="D495">
        <v>46493613.502221346</v>
      </c>
      <c r="E495">
        <v>1007207.207207208</v>
      </c>
      <c r="F495">
        <v>2018918.91891892</v>
      </c>
      <c r="G495">
        <v>19</v>
      </c>
      <c r="H495">
        <v>34</v>
      </c>
      <c r="K495">
        <v>25</v>
      </c>
      <c r="L495">
        <v>42</v>
      </c>
      <c r="M495">
        <v>10746396.396396397</v>
      </c>
      <c r="N495">
        <v>9818468.4684684686</v>
      </c>
      <c r="O495">
        <v>15625743.243243244</v>
      </c>
      <c r="P495">
        <v>16662554.054054054</v>
      </c>
      <c r="Q495">
        <v>9139459.4594594594</v>
      </c>
      <c r="R495">
        <v>11020900.9009009</v>
      </c>
      <c r="S495">
        <v>1679</v>
      </c>
      <c r="T495">
        <v>1602</v>
      </c>
    </row>
    <row r="496" spans="1:20" x14ac:dyDescent="0.35">
      <c r="A496" s="7" t="s">
        <v>592</v>
      </c>
      <c r="B496" s="12" t="s">
        <v>170</v>
      </c>
      <c r="C496">
        <v>1393436316.296248</v>
      </c>
      <c r="D496">
        <v>1372042390.5589056</v>
      </c>
      <c r="E496">
        <v>8329504.5045045083</v>
      </c>
      <c r="F496">
        <v>22861082.882882889</v>
      </c>
      <c r="G496">
        <v>103</v>
      </c>
      <c r="H496">
        <v>140</v>
      </c>
      <c r="I496">
        <v>2</v>
      </c>
      <c r="K496">
        <v>119</v>
      </c>
      <c r="L496">
        <v>169</v>
      </c>
      <c r="M496">
        <v>274345223.42342341</v>
      </c>
      <c r="N496">
        <v>311932704.5045045</v>
      </c>
      <c r="O496">
        <v>470755815.31531531</v>
      </c>
      <c r="P496">
        <v>494974135.13513511</v>
      </c>
      <c r="Q496">
        <v>247930540.54054055</v>
      </c>
      <c r="R496">
        <v>238973513.51351351</v>
      </c>
      <c r="S496">
        <v>23898</v>
      </c>
      <c r="T496">
        <v>23118</v>
      </c>
    </row>
    <row r="497" spans="1:20" x14ac:dyDescent="0.35">
      <c r="A497" s="7" t="s">
        <v>593</v>
      </c>
      <c r="B497" s="12" t="s">
        <v>88</v>
      </c>
      <c r="C497">
        <v>6961644.0166312084</v>
      </c>
      <c r="D497">
        <v>5970451.5357316667</v>
      </c>
      <c r="G497">
        <v>2</v>
      </c>
      <c r="K497">
        <v>2</v>
      </c>
      <c r="O497">
        <v>1696801.801801801</v>
      </c>
      <c r="P497">
        <v>2813288.2882882892</v>
      </c>
      <c r="S497">
        <v>302</v>
      </c>
      <c r="T497">
        <v>257</v>
      </c>
    </row>
    <row r="498" spans="1:20" x14ac:dyDescent="0.35">
      <c r="A498" s="7" t="s">
        <v>594</v>
      </c>
      <c r="B498" s="12" t="s">
        <v>144</v>
      </c>
      <c r="C498">
        <v>97252977.474323243</v>
      </c>
      <c r="D498">
        <v>97225022.78842409</v>
      </c>
      <c r="E498">
        <v>259459.45945946101</v>
      </c>
      <c r="F498">
        <v>148648.64864864899</v>
      </c>
      <c r="G498">
        <v>28</v>
      </c>
      <c r="H498">
        <v>3</v>
      </c>
      <c r="K498">
        <v>28</v>
      </c>
      <c r="L498">
        <v>3</v>
      </c>
      <c r="M498">
        <v>9664864.8648648635</v>
      </c>
      <c r="N498">
        <v>9067567.5675675683</v>
      </c>
      <c r="O498">
        <v>10174360.36036036</v>
      </c>
      <c r="P498">
        <v>10330198.198198196</v>
      </c>
      <c r="Q498">
        <v>5428918.9189189188</v>
      </c>
      <c r="R498">
        <v>5298738.7387387389</v>
      </c>
      <c r="S498">
        <v>1540</v>
      </c>
      <c r="T498">
        <v>1627</v>
      </c>
    </row>
    <row r="499" spans="1:20" x14ac:dyDescent="0.35">
      <c r="A499" s="7" t="s">
        <v>595</v>
      </c>
      <c r="B499" s="12" t="s">
        <v>291</v>
      </c>
      <c r="C499">
        <v>26395131.268886592</v>
      </c>
      <c r="D499">
        <v>25926351.081309639</v>
      </c>
      <c r="G499">
        <v>1</v>
      </c>
      <c r="H499">
        <v>13</v>
      </c>
      <c r="K499">
        <v>2</v>
      </c>
      <c r="L499">
        <v>15</v>
      </c>
      <c r="O499">
        <v>1549369.369369369</v>
      </c>
      <c r="P499">
        <v>1763558.558558559</v>
      </c>
      <c r="S499">
        <v>720</v>
      </c>
      <c r="T499">
        <v>790</v>
      </c>
    </row>
    <row r="500" spans="1:20" x14ac:dyDescent="0.35">
      <c r="A500" s="7" t="s">
        <v>596</v>
      </c>
      <c r="B500" s="12" t="s">
        <v>93</v>
      </c>
      <c r="C500">
        <v>34926673.102975585</v>
      </c>
      <c r="D500">
        <v>34842397.777224548</v>
      </c>
      <c r="E500">
        <v>1338738.7387387389</v>
      </c>
      <c r="F500">
        <v>1516666.666666666</v>
      </c>
      <c r="G500">
        <v>18</v>
      </c>
      <c r="H500">
        <v>8</v>
      </c>
      <c r="K500">
        <v>18</v>
      </c>
      <c r="L500">
        <v>9</v>
      </c>
      <c r="M500">
        <v>4270990.9909909908</v>
      </c>
      <c r="N500">
        <v>6688738.738738738</v>
      </c>
      <c r="O500">
        <v>6265036.036036036</v>
      </c>
      <c r="P500">
        <v>6293630.630630631</v>
      </c>
      <c r="Q500">
        <v>4129279.2792792791</v>
      </c>
      <c r="R500">
        <v>6515765.7657657657</v>
      </c>
      <c r="S500">
        <v>1010</v>
      </c>
      <c r="T500">
        <v>1050</v>
      </c>
    </row>
    <row r="501" spans="1:20" x14ac:dyDescent="0.35">
      <c r="A501" s="7" t="s">
        <v>597</v>
      </c>
      <c r="B501" s="12" t="s">
        <v>51</v>
      </c>
      <c r="C501">
        <v>119266703.76817021</v>
      </c>
      <c r="D501">
        <v>120853303.96650858</v>
      </c>
      <c r="E501">
        <v>3556531.53153153</v>
      </c>
      <c r="F501">
        <v>1247747.747747751</v>
      </c>
      <c r="G501">
        <v>10</v>
      </c>
      <c r="H501">
        <v>10</v>
      </c>
      <c r="K501">
        <v>12</v>
      </c>
      <c r="L501">
        <v>12</v>
      </c>
      <c r="M501">
        <v>29882792.792792793</v>
      </c>
      <c r="N501">
        <v>18213153.153153151</v>
      </c>
      <c r="O501">
        <v>25281302.702702705</v>
      </c>
      <c r="P501">
        <v>26996216.216216218</v>
      </c>
      <c r="Q501">
        <v>27249909.909909911</v>
      </c>
      <c r="R501">
        <v>22756576.576576576</v>
      </c>
      <c r="S501">
        <v>1650</v>
      </c>
      <c r="T501">
        <v>1755</v>
      </c>
    </row>
    <row r="502" spans="1:20" x14ac:dyDescent="0.35">
      <c r="A502" s="7" t="s">
        <v>598</v>
      </c>
      <c r="B502" s="12" t="s">
        <v>90</v>
      </c>
      <c r="C502">
        <v>180488428.6467059</v>
      </c>
      <c r="D502">
        <v>184762210.74160099</v>
      </c>
      <c r="E502">
        <v>2610810.810810816</v>
      </c>
      <c r="F502">
        <v>5064864.864864869</v>
      </c>
      <c r="G502">
        <v>43</v>
      </c>
      <c r="H502">
        <v>61</v>
      </c>
      <c r="I502">
        <v>1</v>
      </c>
      <c r="K502">
        <v>306</v>
      </c>
      <c r="L502">
        <v>83</v>
      </c>
      <c r="M502">
        <v>13676036.036036033</v>
      </c>
      <c r="N502">
        <v>35569909.909909911</v>
      </c>
      <c r="O502">
        <v>44895788.288288288</v>
      </c>
      <c r="P502">
        <v>50957801.801801801</v>
      </c>
      <c r="Q502">
        <v>12328198.198198194</v>
      </c>
      <c r="R502">
        <v>34548198.198198199</v>
      </c>
      <c r="S502">
        <v>3578</v>
      </c>
      <c r="T502">
        <v>3681</v>
      </c>
    </row>
    <row r="503" spans="1:20" x14ac:dyDescent="0.35">
      <c r="A503" s="7" t="s">
        <v>599</v>
      </c>
      <c r="B503" s="12" t="s">
        <v>144</v>
      </c>
      <c r="C503">
        <v>69517862.080789462</v>
      </c>
      <c r="D503">
        <v>67024915.256322034</v>
      </c>
      <c r="E503">
        <v>1316216.216216217</v>
      </c>
      <c r="F503">
        <v>261261.26126126101</v>
      </c>
      <c r="G503">
        <v>8</v>
      </c>
      <c r="H503">
        <v>2</v>
      </c>
      <c r="K503">
        <v>8</v>
      </c>
      <c r="L503">
        <v>3</v>
      </c>
      <c r="M503">
        <v>7289189.1891891891</v>
      </c>
      <c r="N503">
        <v>4675675.6756756753</v>
      </c>
      <c r="O503">
        <v>6650234.2342342352</v>
      </c>
      <c r="P503">
        <v>6142756.7567567574</v>
      </c>
      <c r="Q503">
        <v>5200270.2702702703</v>
      </c>
      <c r="R503">
        <v>3960450.4504504502</v>
      </c>
      <c r="S503">
        <v>1211</v>
      </c>
      <c r="T503">
        <v>1186</v>
      </c>
    </row>
    <row r="504" spans="1:20" x14ac:dyDescent="0.35">
      <c r="A504" s="7" t="s">
        <v>600</v>
      </c>
      <c r="B504" s="12" t="s">
        <v>126</v>
      </c>
      <c r="C504">
        <v>180849042.4012796</v>
      </c>
      <c r="D504">
        <v>189865221.12242457</v>
      </c>
      <c r="E504">
        <v>164220700</v>
      </c>
      <c r="F504">
        <v>161006841.44144145</v>
      </c>
      <c r="G504">
        <v>20</v>
      </c>
      <c r="H504">
        <v>21</v>
      </c>
      <c r="K504">
        <v>24</v>
      </c>
      <c r="L504">
        <v>25</v>
      </c>
      <c r="M504">
        <v>32378963.963963963</v>
      </c>
      <c r="N504">
        <v>23248918.918918919</v>
      </c>
      <c r="O504">
        <v>70092917.117117122</v>
      </c>
      <c r="P504">
        <v>73534585.585585579</v>
      </c>
      <c r="Q504">
        <v>18456576.576576576</v>
      </c>
      <c r="R504">
        <v>14618558.558558561</v>
      </c>
      <c r="S504">
        <v>3517</v>
      </c>
      <c r="T504">
        <v>3530</v>
      </c>
    </row>
    <row r="505" spans="1:20" x14ac:dyDescent="0.35">
      <c r="A505" s="7" t="s">
        <v>601</v>
      </c>
      <c r="B505" s="12" t="s">
        <v>51</v>
      </c>
      <c r="C505">
        <v>440419394.77830833</v>
      </c>
      <c r="D505">
        <v>468463144.91473567</v>
      </c>
      <c r="E505">
        <v>5163063.0630630674</v>
      </c>
      <c r="F505">
        <v>3672972.9729729779</v>
      </c>
      <c r="G505">
        <v>45</v>
      </c>
      <c r="H505">
        <v>43</v>
      </c>
      <c r="I505">
        <v>1</v>
      </c>
      <c r="K505">
        <v>52</v>
      </c>
      <c r="L505">
        <v>50</v>
      </c>
      <c r="M505">
        <v>73672162.162162155</v>
      </c>
      <c r="N505">
        <v>54846756.756756753</v>
      </c>
      <c r="O505">
        <v>186388144.14414412</v>
      </c>
      <c r="P505">
        <v>202294342.34234235</v>
      </c>
      <c r="Q505">
        <v>69613963.963963971</v>
      </c>
      <c r="R505">
        <v>57519459.459459461</v>
      </c>
      <c r="S505">
        <v>7829</v>
      </c>
      <c r="T505">
        <v>7964</v>
      </c>
    </row>
    <row r="506" spans="1:20" x14ac:dyDescent="0.35">
      <c r="A506" s="7" t="s">
        <v>602</v>
      </c>
      <c r="B506" s="12" t="s">
        <v>90</v>
      </c>
      <c r="C506">
        <v>127749410.08609702</v>
      </c>
      <c r="D506">
        <v>127599029.13117245</v>
      </c>
      <c r="E506">
        <v>144115315.31531534</v>
      </c>
      <c r="F506">
        <v>342497747.74774778</v>
      </c>
      <c r="G506">
        <v>10</v>
      </c>
      <c r="H506">
        <v>11</v>
      </c>
      <c r="K506">
        <v>10</v>
      </c>
      <c r="L506">
        <v>12</v>
      </c>
      <c r="M506">
        <v>29517297.297297299</v>
      </c>
      <c r="N506">
        <v>45804696.396396399</v>
      </c>
      <c r="O506">
        <v>39626009.009009011</v>
      </c>
      <c r="P506">
        <v>42071225.225225225</v>
      </c>
      <c r="Q506">
        <v>27922792.792792793</v>
      </c>
      <c r="R506">
        <v>44459909.909909911</v>
      </c>
      <c r="S506">
        <v>2465</v>
      </c>
      <c r="T506">
        <v>2818</v>
      </c>
    </row>
    <row r="507" spans="1:20" x14ac:dyDescent="0.35">
      <c r="A507" s="7" t="s">
        <v>603</v>
      </c>
      <c r="B507" s="12" t="s">
        <v>88</v>
      </c>
      <c r="C507">
        <v>112927096.65861899</v>
      </c>
      <c r="D507">
        <v>115399144.80765626</v>
      </c>
      <c r="E507">
        <v>797297.29729729705</v>
      </c>
      <c r="F507">
        <v>626126.12612612697</v>
      </c>
      <c r="G507">
        <v>13</v>
      </c>
      <c r="H507">
        <v>10</v>
      </c>
      <c r="K507">
        <v>14</v>
      </c>
      <c r="L507">
        <v>12</v>
      </c>
      <c r="M507">
        <v>1436936.936936937</v>
      </c>
      <c r="N507">
        <v>2265765.7657657652</v>
      </c>
      <c r="O507">
        <v>8957819.8198198192</v>
      </c>
      <c r="P507">
        <v>12939270.270270269</v>
      </c>
      <c r="Q507">
        <v>1547747.7477477479</v>
      </c>
      <c r="R507">
        <v>2053873.8738738741</v>
      </c>
      <c r="S507">
        <v>1267</v>
      </c>
      <c r="T507">
        <v>1189</v>
      </c>
    </row>
    <row r="508" spans="1:20" x14ac:dyDescent="0.35">
      <c r="A508" s="7" t="s">
        <v>604</v>
      </c>
      <c r="B508" s="12" t="s">
        <v>141</v>
      </c>
      <c r="C508">
        <v>913182707.82403219</v>
      </c>
      <c r="D508">
        <v>960861371.26663339</v>
      </c>
      <c r="E508">
        <v>695822308.10810816</v>
      </c>
      <c r="F508">
        <v>739207861.26126134</v>
      </c>
      <c r="G508">
        <v>639</v>
      </c>
      <c r="H508">
        <v>536</v>
      </c>
      <c r="I508">
        <v>11</v>
      </c>
      <c r="K508">
        <v>983</v>
      </c>
      <c r="L508">
        <v>714</v>
      </c>
      <c r="M508">
        <v>158324054.05405405</v>
      </c>
      <c r="N508">
        <v>250263333.33333334</v>
      </c>
      <c r="O508">
        <v>229497218.01801801</v>
      </c>
      <c r="P508">
        <v>248694109.90990993</v>
      </c>
      <c r="Q508">
        <v>160102882.88288289</v>
      </c>
      <c r="R508">
        <v>192453016.21621624</v>
      </c>
      <c r="S508">
        <v>18959</v>
      </c>
      <c r="T508">
        <v>18961</v>
      </c>
    </row>
    <row r="509" spans="1:20" x14ac:dyDescent="0.35">
      <c r="A509" s="7" t="s">
        <v>605</v>
      </c>
      <c r="B509" s="12" t="s">
        <v>225</v>
      </c>
      <c r="C509">
        <v>152227260.72433558</v>
      </c>
      <c r="D509">
        <v>172722446.87343386</v>
      </c>
      <c r="E509">
        <v>86486.486486485999</v>
      </c>
      <c r="F509">
        <v>2031531.5315315321</v>
      </c>
      <c r="G509">
        <v>28</v>
      </c>
      <c r="H509">
        <v>29</v>
      </c>
      <c r="K509">
        <v>34</v>
      </c>
      <c r="L509">
        <v>32</v>
      </c>
      <c r="M509">
        <v>5311711.7117117113</v>
      </c>
      <c r="N509">
        <v>4545045.0450450452</v>
      </c>
      <c r="O509">
        <v>49948387.387387387</v>
      </c>
      <c r="P509">
        <v>64505297.297297299</v>
      </c>
      <c r="Q509">
        <v>5732972.9729729732</v>
      </c>
      <c r="R509">
        <v>6676666.666666666</v>
      </c>
      <c r="S509">
        <v>3108</v>
      </c>
      <c r="T509">
        <v>3666</v>
      </c>
    </row>
    <row r="510" spans="1:20" x14ac:dyDescent="0.35">
      <c r="A510" s="7" t="s">
        <v>606</v>
      </c>
      <c r="B510" s="12" t="s">
        <v>225</v>
      </c>
      <c r="C510">
        <v>100716272.43643795</v>
      </c>
      <c r="D510">
        <v>111728980.36893572</v>
      </c>
      <c r="E510">
        <v>63063.063063062997</v>
      </c>
      <c r="F510">
        <v>46846.846846847002</v>
      </c>
      <c r="G510">
        <v>38</v>
      </c>
      <c r="H510">
        <v>29</v>
      </c>
      <c r="K510">
        <v>39</v>
      </c>
      <c r="L510">
        <v>30</v>
      </c>
      <c r="M510">
        <v>5468468.4684684686</v>
      </c>
      <c r="N510">
        <v>9854324.3243243247</v>
      </c>
      <c r="O510">
        <v>30692063.063063063</v>
      </c>
      <c r="P510">
        <v>39012972.972972974</v>
      </c>
      <c r="Q510">
        <v>6062342.3423423432</v>
      </c>
      <c r="R510">
        <v>9474324.3243243247</v>
      </c>
      <c r="S510">
        <v>3128</v>
      </c>
      <c r="T510">
        <v>4300</v>
      </c>
    </row>
    <row r="511" spans="1:20" x14ac:dyDescent="0.35">
      <c r="A511" s="7" t="s">
        <v>607</v>
      </c>
      <c r="B511" s="12" t="s">
        <v>242</v>
      </c>
      <c r="C511">
        <v>87002133.557323486</v>
      </c>
      <c r="D511">
        <v>91677756.197148234</v>
      </c>
      <c r="E511">
        <v>784684.68468468497</v>
      </c>
      <c r="F511">
        <v>82882.882882884005</v>
      </c>
      <c r="G511">
        <v>50</v>
      </c>
      <c r="H511">
        <v>40</v>
      </c>
      <c r="K511">
        <v>57</v>
      </c>
      <c r="L511">
        <v>45</v>
      </c>
      <c r="M511">
        <v>11317567.567567565</v>
      </c>
      <c r="N511">
        <v>4003603.6036036038</v>
      </c>
      <c r="O511">
        <v>26823117.117117114</v>
      </c>
      <c r="P511">
        <v>30484513.513513513</v>
      </c>
      <c r="Q511">
        <v>10680810.810810808</v>
      </c>
      <c r="R511">
        <v>4216306.3063063053</v>
      </c>
      <c r="S511">
        <v>3058</v>
      </c>
      <c r="T511">
        <v>2282</v>
      </c>
    </row>
    <row r="512" spans="1:20" x14ac:dyDescent="0.35">
      <c r="A512" s="7" t="s">
        <v>608</v>
      </c>
      <c r="B512" s="12" t="s">
        <v>141</v>
      </c>
      <c r="C512">
        <v>25935733.443805564</v>
      </c>
      <c r="D512">
        <v>25671087.419431206</v>
      </c>
      <c r="E512">
        <v>2702.7027027029999</v>
      </c>
      <c r="F512">
        <v>32432.432432432</v>
      </c>
      <c r="G512">
        <v>4</v>
      </c>
      <c r="H512">
        <v>3</v>
      </c>
      <c r="I512">
        <v>1</v>
      </c>
      <c r="K512">
        <v>4</v>
      </c>
      <c r="L512">
        <v>4</v>
      </c>
      <c r="M512">
        <v>227927.92792792799</v>
      </c>
      <c r="N512">
        <v>747747.74774774804</v>
      </c>
      <c r="O512">
        <v>3109990.9909909908</v>
      </c>
      <c r="P512">
        <v>4178423.423423423</v>
      </c>
      <c r="Q512">
        <v>595945.94594594603</v>
      </c>
      <c r="R512">
        <v>777117.11711711797</v>
      </c>
      <c r="S512">
        <v>327</v>
      </c>
      <c r="T512">
        <v>325</v>
      </c>
    </row>
    <row r="513" spans="1:20" x14ac:dyDescent="0.35">
      <c r="A513" s="7" t="s">
        <v>664</v>
      </c>
      <c r="B513" s="12" t="s">
        <v>190</v>
      </c>
      <c r="M513">
        <v>1513513.5135135141</v>
      </c>
      <c r="N513">
        <v>3864864.8648648649</v>
      </c>
    </row>
    <row r="514" spans="1:20" x14ac:dyDescent="0.35">
      <c r="A514" s="7" t="s">
        <v>609</v>
      </c>
      <c r="B514" s="12" t="s">
        <v>190</v>
      </c>
      <c r="C514">
        <v>95259300.29787384</v>
      </c>
      <c r="D514">
        <v>88994356.71045506</v>
      </c>
      <c r="E514">
        <v>1088288.2882882881</v>
      </c>
      <c r="F514">
        <v>22522.522522523999</v>
      </c>
      <c r="G514">
        <v>53</v>
      </c>
      <c r="H514">
        <v>23</v>
      </c>
      <c r="K514">
        <v>56</v>
      </c>
      <c r="L514">
        <v>26</v>
      </c>
      <c r="M514">
        <v>8205405.405405405</v>
      </c>
      <c r="N514">
        <v>6981981.9819819815</v>
      </c>
      <c r="O514">
        <v>24627094.594594598</v>
      </c>
      <c r="P514">
        <v>22520225.225225225</v>
      </c>
      <c r="Q514">
        <v>5527837.8378378376</v>
      </c>
      <c r="R514">
        <v>4405585.5855855858</v>
      </c>
      <c r="S514">
        <v>1546</v>
      </c>
      <c r="T514">
        <v>1414</v>
      </c>
    </row>
    <row r="515" spans="1:20" x14ac:dyDescent="0.35">
      <c r="A515" s="7" t="s">
        <v>610</v>
      </c>
      <c r="B515" s="12" t="s">
        <v>190</v>
      </c>
      <c r="C515">
        <v>288784341.81108046</v>
      </c>
      <c r="D515">
        <v>279077415.75988317</v>
      </c>
      <c r="E515">
        <v>189189.18918918999</v>
      </c>
      <c r="F515">
        <v>175675.675675676</v>
      </c>
      <c r="G515">
        <v>89</v>
      </c>
      <c r="H515">
        <v>90</v>
      </c>
      <c r="K515">
        <v>97</v>
      </c>
      <c r="L515">
        <v>96</v>
      </c>
      <c r="M515">
        <v>14288288.288288288</v>
      </c>
      <c r="N515">
        <v>13058558.558558561</v>
      </c>
      <c r="O515">
        <v>50803621.621621624</v>
      </c>
      <c r="P515">
        <v>49351108.108108111</v>
      </c>
      <c r="Q515">
        <v>7817477.4774774779</v>
      </c>
      <c r="R515">
        <v>7738918.9189189188</v>
      </c>
      <c r="S515">
        <v>5352</v>
      </c>
      <c r="T515">
        <v>5080</v>
      </c>
    </row>
    <row r="516" spans="1:20" x14ac:dyDescent="0.35">
      <c r="A516" s="7" t="s">
        <v>611</v>
      </c>
      <c r="B516" s="12" t="s">
        <v>190</v>
      </c>
      <c r="C516">
        <v>110646703.60019892</v>
      </c>
      <c r="D516">
        <v>123853757.97796595</v>
      </c>
      <c r="E516">
        <v>31245736.936936941</v>
      </c>
      <c r="F516">
        <v>55323366.666666672</v>
      </c>
      <c r="G516">
        <v>18</v>
      </c>
      <c r="H516">
        <v>22</v>
      </c>
      <c r="K516">
        <v>19</v>
      </c>
      <c r="L516">
        <v>22</v>
      </c>
      <c r="M516">
        <v>29106527.02702703</v>
      </c>
      <c r="N516">
        <v>10027027.027027028</v>
      </c>
      <c r="O516">
        <v>13608684.684684685</v>
      </c>
      <c r="P516">
        <v>18145594.594594598</v>
      </c>
      <c r="Q516">
        <v>11318198.198198199</v>
      </c>
      <c r="R516">
        <v>7598828.8288288265</v>
      </c>
      <c r="S516">
        <v>1915</v>
      </c>
      <c r="T516">
        <v>1702</v>
      </c>
    </row>
    <row r="517" spans="1:20" x14ac:dyDescent="0.35">
      <c r="A517" s="7" t="s">
        <v>612</v>
      </c>
      <c r="B517" s="12" t="s">
        <v>190</v>
      </c>
      <c r="C517">
        <v>42437762.484872863</v>
      </c>
      <c r="D517">
        <v>47642951.350994222</v>
      </c>
      <c r="E517">
        <v>481531.53153153299</v>
      </c>
      <c r="F517">
        <v>85585.585585587003</v>
      </c>
      <c r="G517">
        <v>21</v>
      </c>
      <c r="H517">
        <v>39</v>
      </c>
      <c r="K517">
        <v>23</v>
      </c>
      <c r="L517">
        <v>54</v>
      </c>
      <c r="M517">
        <v>4946306.3063063072</v>
      </c>
      <c r="N517">
        <v>7783783.7837837851</v>
      </c>
      <c r="O517">
        <v>7831594.5945945941</v>
      </c>
      <c r="P517">
        <v>9935252.2522522528</v>
      </c>
      <c r="Q517">
        <v>4211261.2612612611</v>
      </c>
      <c r="R517">
        <v>4917477.4774774788</v>
      </c>
      <c r="S517">
        <v>1075</v>
      </c>
      <c r="T517">
        <v>1032</v>
      </c>
    </row>
    <row r="518" spans="1:20" x14ac:dyDescent="0.35">
      <c r="A518" s="7" t="s">
        <v>613</v>
      </c>
      <c r="B518" s="12" t="s">
        <v>144</v>
      </c>
      <c r="C518">
        <v>350744828.48573208</v>
      </c>
      <c r="D518">
        <v>341161032.1479637</v>
      </c>
      <c r="E518">
        <v>107096966.66666667</v>
      </c>
      <c r="F518">
        <v>139692912.61261263</v>
      </c>
      <c r="G518">
        <v>126</v>
      </c>
      <c r="H518">
        <v>105</v>
      </c>
      <c r="K518">
        <v>151</v>
      </c>
      <c r="L518">
        <v>251</v>
      </c>
      <c r="M518">
        <v>39063963.963963963</v>
      </c>
      <c r="N518">
        <v>61337837.837837838</v>
      </c>
      <c r="O518">
        <v>41740500</v>
      </c>
      <c r="P518">
        <v>51362720.720720723</v>
      </c>
      <c r="Q518">
        <v>31937700.9009009</v>
      </c>
      <c r="R518">
        <v>35908018.018018015</v>
      </c>
      <c r="S518">
        <v>7211</v>
      </c>
      <c r="T518">
        <v>7287</v>
      </c>
    </row>
    <row r="519" spans="1:20" x14ac:dyDescent="0.35">
      <c r="A519" s="7" t="s">
        <v>614</v>
      </c>
      <c r="B519" s="12" t="s">
        <v>190</v>
      </c>
      <c r="C519">
        <v>368564866.21214199</v>
      </c>
      <c r="D519">
        <v>393897818.94169223</v>
      </c>
      <c r="E519">
        <v>1662837.837837839</v>
      </c>
      <c r="F519">
        <v>1698198.1981982009</v>
      </c>
      <c r="G519">
        <v>131</v>
      </c>
      <c r="H519">
        <v>167</v>
      </c>
      <c r="I519">
        <v>3</v>
      </c>
      <c r="K519">
        <v>168</v>
      </c>
      <c r="L519">
        <v>227</v>
      </c>
      <c r="M519">
        <v>12667387.387387387</v>
      </c>
      <c r="N519">
        <v>12063063.063063065</v>
      </c>
      <c r="O519">
        <v>36432374.774774775</v>
      </c>
      <c r="P519">
        <v>44271864.864864863</v>
      </c>
      <c r="Q519">
        <v>10455899.0990991</v>
      </c>
      <c r="R519">
        <v>8916216.2162162177</v>
      </c>
      <c r="S519">
        <v>7920</v>
      </c>
      <c r="T519">
        <v>8185</v>
      </c>
    </row>
    <row r="520" spans="1:20" x14ac:dyDescent="0.35">
      <c r="A520" s="7" t="s">
        <v>615</v>
      </c>
      <c r="B520" s="12" t="s">
        <v>55</v>
      </c>
      <c r="C520">
        <v>259521286.9358533</v>
      </c>
      <c r="D520">
        <v>263068785.80536857</v>
      </c>
      <c r="E520">
        <v>4635135.1351351393</v>
      </c>
      <c r="F520">
        <v>7692342.342342345</v>
      </c>
      <c r="G520">
        <v>85</v>
      </c>
      <c r="H520">
        <v>73</v>
      </c>
      <c r="I520">
        <v>2</v>
      </c>
      <c r="K520">
        <v>105</v>
      </c>
      <c r="L520">
        <v>94</v>
      </c>
      <c r="M520">
        <v>42708108.108108111</v>
      </c>
      <c r="N520">
        <v>50075225.225225225</v>
      </c>
      <c r="O520">
        <v>82328252.252252251</v>
      </c>
      <c r="P520">
        <v>85172918.918918908</v>
      </c>
      <c r="Q520">
        <v>41622702.702702694</v>
      </c>
      <c r="R520">
        <v>48133873.873873875</v>
      </c>
      <c r="S520">
        <v>18538</v>
      </c>
      <c r="T520">
        <v>5485</v>
      </c>
    </row>
    <row r="521" spans="1:20" x14ac:dyDescent="0.35">
      <c r="A521" s="7" t="s">
        <v>616</v>
      </c>
      <c r="B521" s="12" t="s">
        <v>55</v>
      </c>
      <c r="C521">
        <v>141166785.16412544</v>
      </c>
      <c r="D521">
        <v>144935777.7399042</v>
      </c>
      <c r="E521">
        <v>749549.54954955098</v>
      </c>
      <c r="F521">
        <v>1245045.0450450459</v>
      </c>
      <c r="G521">
        <v>17</v>
      </c>
      <c r="H521">
        <v>16</v>
      </c>
      <c r="I521">
        <v>1</v>
      </c>
      <c r="K521">
        <v>21</v>
      </c>
      <c r="L521">
        <v>29</v>
      </c>
      <c r="M521">
        <v>5111711.7117117122</v>
      </c>
      <c r="N521">
        <v>6909009.0090090092</v>
      </c>
      <c r="O521">
        <v>23915063.063063063</v>
      </c>
      <c r="P521">
        <v>25916360.360360362</v>
      </c>
      <c r="Q521">
        <v>4197747.7477477482</v>
      </c>
      <c r="R521">
        <v>7182522.522522524</v>
      </c>
      <c r="S521">
        <v>2899</v>
      </c>
      <c r="T521">
        <v>3046</v>
      </c>
    </row>
    <row r="522" spans="1:20" x14ac:dyDescent="0.35">
      <c r="A522" s="7" t="s">
        <v>617</v>
      </c>
      <c r="B522" s="12" t="s">
        <v>61</v>
      </c>
      <c r="C522">
        <v>215475647.42447367</v>
      </c>
      <c r="D522">
        <v>233839257.90727839</v>
      </c>
      <c r="E522">
        <v>2792792.792792792</v>
      </c>
      <c r="F522">
        <v>2463063.0630630669</v>
      </c>
      <c r="G522">
        <v>79</v>
      </c>
      <c r="H522">
        <v>39</v>
      </c>
      <c r="K522">
        <v>115</v>
      </c>
      <c r="L522">
        <v>43</v>
      </c>
      <c r="M522">
        <v>33458108.108108107</v>
      </c>
      <c r="N522">
        <v>41321171.171171166</v>
      </c>
      <c r="O522">
        <v>71273099.0990991</v>
      </c>
      <c r="P522">
        <v>76295576.576576576</v>
      </c>
      <c r="Q522">
        <v>32449729.729729727</v>
      </c>
      <c r="R522">
        <v>38611081.081081077</v>
      </c>
      <c r="S522">
        <v>3900</v>
      </c>
      <c r="T522">
        <v>4837</v>
      </c>
    </row>
    <row r="523" spans="1:20" x14ac:dyDescent="0.35">
      <c r="A523" s="7" t="s">
        <v>618</v>
      </c>
      <c r="B523" s="12" t="s">
        <v>61</v>
      </c>
      <c r="C523">
        <v>233546264.96352482</v>
      </c>
      <c r="D523">
        <v>231555528.97572204</v>
      </c>
      <c r="E523">
        <v>1605405.405405408</v>
      </c>
      <c r="F523">
        <v>3210810.8108108132</v>
      </c>
      <c r="G523">
        <v>58</v>
      </c>
      <c r="H523">
        <v>48</v>
      </c>
      <c r="K523">
        <v>63</v>
      </c>
      <c r="L523">
        <v>67</v>
      </c>
      <c r="M523">
        <v>27572972.972972974</v>
      </c>
      <c r="N523">
        <v>46816666.666666664</v>
      </c>
      <c r="O523">
        <v>123112445.94594595</v>
      </c>
      <c r="P523">
        <v>122284369.36936937</v>
      </c>
      <c r="Q523">
        <v>26527477.47747748</v>
      </c>
      <c r="R523">
        <v>40160360.360360362</v>
      </c>
      <c r="S523">
        <v>8243</v>
      </c>
      <c r="T523">
        <v>6437</v>
      </c>
    </row>
    <row r="524" spans="1:20" x14ac:dyDescent="0.35">
      <c r="A524" s="7" t="s">
        <v>619</v>
      </c>
      <c r="B524" s="12" t="s">
        <v>61</v>
      </c>
      <c r="C524">
        <v>295808550.85926247</v>
      </c>
      <c r="D524">
        <v>307809971.93285191</v>
      </c>
      <c r="E524">
        <v>3454954.9549549599</v>
      </c>
      <c r="F524">
        <v>9061261.2612612657</v>
      </c>
      <c r="G524">
        <v>51</v>
      </c>
      <c r="H524">
        <v>28</v>
      </c>
      <c r="K524">
        <v>61</v>
      </c>
      <c r="L524">
        <v>44</v>
      </c>
      <c r="M524">
        <v>41591891.891891897</v>
      </c>
      <c r="N524">
        <v>73376576.576576576</v>
      </c>
      <c r="O524">
        <v>99377788.738738731</v>
      </c>
      <c r="P524">
        <v>102187763.96396397</v>
      </c>
      <c r="Q524">
        <v>41006846.846846856</v>
      </c>
      <c r="R524">
        <v>65364684.684684679</v>
      </c>
      <c r="S524">
        <v>7103</v>
      </c>
      <c r="T524">
        <v>5935</v>
      </c>
    </row>
    <row r="525" spans="1:20" x14ac:dyDescent="0.35">
      <c r="A525" s="7" t="s">
        <v>620</v>
      </c>
      <c r="B525" s="12" t="s">
        <v>621</v>
      </c>
      <c r="C525">
        <v>351774013.50817436</v>
      </c>
      <c r="D525">
        <v>353105288.81205016</v>
      </c>
      <c r="E525">
        <v>5682657.6576576605</v>
      </c>
      <c r="F525">
        <v>6172972.972972977</v>
      </c>
      <c r="G525">
        <v>230</v>
      </c>
      <c r="H525">
        <v>111</v>
      </c>
      <c r="I525">
        <v>2</v>
      </c>
      <c r="K525">
        <v>409</v>
      </c>
      <c r="L525">
        <v>193</v>
      </c>
      <c r="M525">
        <v>21185135.135135137</v>
      </c>
      <c r="N525">
        <v>27096846.846846849</v>
      </c>
      <c r="O525">
        <v>42940891.891891889</v>
      </c>
      <c r="P525">
        <v>51662108.108108103</v>
      </c>
      <c r="Q525">
        <v>25280720.72072072</v>
      </c>
      <c r="R525">
        <v>26798558.558558561</v>
      </c>
      <c r="S525">
        <v>10080</v>
      </c>
      <c r="T525">
        <v>7595</v>
      </c>
    </row>
    <row r="526" spans="1:20" x14ac:dyDescent="0.35">
      <c r="A526" s="7" t="s">
        <v>622</v>
      </c>
      <c r="B526" s="12" t="s">
        <v>621</v>
      </c>
      <c r="C526">
        <v>257201383.41664803</v>
      </c>
      <c r="D526">
        <v>258290051.31534559</v>
      </c>
      <c r="E526">
        <v>60697721.621621624</v>
      </c>
      <c r="F526">
        <v>105888486.48648649</v>
      </c>
      <c r="G526">
        <v>94</v>
      </c>
      <c r="H526">
        <v>107</v>
      </c>
      <c r="I526">
        <v>1</v>
      </c>
      <c r="K526">
        <v>110</v>
      </c>
      <c r="L526">
        <v>124</v>
      </c>
      <c r="M526">
        <v>39114341.441441439</v>
      </c>
      <c r="N526">
        <v>38672972.972972974</v>
      </c>
      <c r="O526">
        <v>42129500.9009009</v>
      </c>
      <c r="P526">
        <v>45617541.441441439</v>
      </c>
      <c r="Q526">
        <v>20392612.612612613</v>
      </c>
      <c r="R526">
        <v>24596756.756756756</v>
      </c>
      <c r="S526">
        <v>7447</v>
      </c>
      <c r="T526">
        <v>5871</v>
      </c>
    </row>
    <row r="527" spans="1:20" x14ac:dyDescent="0.35">
      <c r="A527" s="7" t="s">
        <v>623</v>
      </c>
      <c r="B527" s="12" t="s">
        <v>621</v>
      </c>
      <c r="C527">
        <v>269256246.16934925</v>
      </c>
      <c r="D527">
        <v>263236606.90487605</v>
      </c>
      <c r="E527">
        <v>1422972.972972977</v>
      </c>
      <c r="F527">
        <v>2366666.6666666721</v>
      </c>
      <c r="G527">
        <v>104</v>
      </c>
      <c r="H527">
        <v>87</v>
      </c>
      <c r="I527">
        <v>1</v>
      </c>
      <c r="K527">
        <v>130</v>
      </c>
      <c r="L527">
        <v>98</v>
      </c>
      <c r="M527">
        <v>19578828.828828827</v>
      </c>
      <c r="N527">
        <v>26237117.117117122</v>
      </c>
      <c r="O527">
        <v>41710840.540540539</v>
      </c>
      <c r="P527">
        <v>45515338.738738738</v>
      </c>
      <c r="Q527">
        <v>15022612.612612613</v>
      </c>
      <c r="R527">
        <v>21702205.405405402</v>
      </c>
      <c r="S527">
        <v>9693</v>
      </c>
      <c r="T527">
        <v>5471</v>
      </c>
    </row>
    <row r="528" spans="1:20" x14ac:dyDescent="0.35">
      <c r="A528" s="7" t="s">
        <v>624</v>
      </c>
      <c r="B528" s="12" t="s">
        <v>621</v>
      </c>
      <c r="C528">
        <v>197249830.62845838</v>
      </c>
      <c r="D528">
        <v>197921327.477698</v>
      </c>
      <c r="E528">
        <v>662162.16216216295</v>
      </c>
      <c r="F528">
        <v>2859459.4594594599</v>
      </c>
      <c r="G528">
        <v>44</v>
      </c>
      <c r="H528">
        <v>106</v>
      </c>
      <c r="I528">
        <v>4</v>
      </c>
      <c r="K528">
        <v>58</v>
      </c>
      <c r="L528">
        <v>127</v>
      </c>
      <c r="M528">
        <v>16989189.189189188</v>
      </c>
      <c r="N528">
        <v>19500450.450450446</v>
      </c>
      <c r="O528">
        <v>25479166.666666668</v>
      </c>
      <c r="P528">
        <v>29616646.846846849</v>
      </c>
      <c r="Q528">
        <v>16279369.369369371</v>
      </c>
      <c r="R528">
        <v>19643873.873873871</v>
      </c>
      <c r="S528">
        <v>4142</v>
      </c>
      <c r="T528">
        <v>3615</v>
      </c>
    </row>
    <row r="529" spans="1:20" x14ac:dyDescent="0.35">
      <c r="A529" s="7" t="s">
        <v>625</v>
      </c>
      <c r="B529" s="12" t="s">
        <v>261</v>
      </c>
      <c r="C529">
        <v>104595751.81205392</v>
      </c>
      <c r="D529">
        <v>111409575.75263311</v>
      </c>
      <c r="E529">
        <v>363963.96396396501</v>
      </c>
      <c r="F529">
        <v>361261.26126126101</v>
      </c>
      <c r="G529">
        <v>16</v>
      </c>
      <c r="H529">
        <v>3</v>
      </c>
      <c r="K529">
        <v>16</v>
      </c>
      <c r="L529">
        <v>3</v>
      </c>
      <c r="M529">
        <v>7275675.6756756771</v>
      </c>
      <c r="N529">
        <v>10652072.072072072</v>
      </c>
      <c r="O529">
        <v>33951306.30630631</v>
      </c>
      <c r="P529">
        <v>38318783.783783786</v>
      </c>
      <c r="Q529">
        <v>10587747.747747747</v>
      </c>
      <c r="R529">
        <v>13761801.801801803</v>
      </c>
      <c r="S529">
        <v>2253</v>
      </c>
      <c r="T529">
        <v>2120</v>
      </c>
    </row>
    <row r="530" spans="1:20" x14ac:dyDescent="0.35">
      <c r="A530" s="7" t="s">
        <v>626</v>
      </c>
      <c r="B530" s="12" t="s">
        <v>53</v>
      </c>
      <c r="C530">
        <v>161350024.9471789</v>
      </c>
      <c r="D530">
        <v>164241159.72390613</v>
      </c>
      <c r="E530">
        <v>534234.23423423595</v>
      </c>
      <c r="F530">
        <v>1044144.144144146</v>
      </c>
      <c r="G530">
        <v>55</v>
      </c>
      <c r="H530">
        <v>86</v>
      </c>
      <c r="K530">
        <v>137</v>
      </c>
      <c r="L530">
        <v>153</v>
      </c>
      <c r="M530">
        <v>5363063.0630630646</v>
      </c>
      <c r="N530">
        <v>4814414.4144144161</v>
      </c>
      <c r="O530">
        <v>58813621.621621624</v>
      </c>
      <c r="P530">
        <v>59713457.657657653</v>
      </c>
      <c r="Q530">
        <v>4039639.6396396412</v>
      </c>
      <c r="R530">
        <v>4591891.8918918911</v>
      </c>
      <c r="S530">
        <v>4980</v>
      </c>
      <c r="T530">
        <v>4001</v>
      </c>
    </row>
    <row r="531" spans="1:20" x14ac:dyDescent="0.35">
      <c r="A531" s="7" t="s">
        <v>627</v>
      </c>
      <c r="B531" s="12" t="s">
        <v>97</v>
      </c>
      <c r="C531">
        <v>413748220.88928175</v>
      </c>
      <c r="D531">
        <v>377428672.16791368</v>
      </c>
      <c r="E531">
        <v>86072072.072072074</v>
      </c>
      <c r="F531">
        <v>228939189.1891892</v>
      </c>
      <c r="G531">
        <v>186</v>
      </c>
      <c r="H531">
        <v>195</v>
      </c>
      <c r="K531">
        <v>219</v>
      </c>
      <c r="L531">
        <v>290</v>
      </c>
      <c r="M531">
        <v>106140990.990991</v>
      </c>
      <c r="N531">
        <v>108555855.85585585</v>
      </c>
      <c r="O531">
        <v>135678040.990991</v>
      </c>
      <c r="P531">
        <v>134489511.7117117</v>
      </c>
      <c r="Q531">
        <v>76915585.585585579</v>
      </c>
      <c r="R531">
        <v>90615448.648648649</v>
      </c>
      <c r="S531">
        <v>11538</v>
      </c>
      <c r="T531">
        <v>10617</v>
      </c>
    </row>
    <row r="532" spans="1:20" x14ac:dyDescent="0.35">
      <c r="A532" s="7" t="s">
        <v>628</v>
      </c>
      <c r="B532" s="12" t="s">
        <v>97</v>
      </c>
      <c r="C532">
        <v>683272191.60652804</v>
      </c>
      <c r="D532">
        <v>661733061.64178264</v>
      </c>
      <c r="E532">
        <v>142628375.67567569</v>
      </c>
      <c r="F532">
        <v>213951937.83783785</v>
      </c>
      <c r="G532">
        <v>171</v>
      </c>
      <c r="H532">
        <v>174</v>
      </c>
      <c r="I532">
        <v>3</v>
      </c>
      <c r="K532">
        <v>200</v>
      </c>
      <c r="L532">
        <v>281</v>
      </c>
      <c r="M532">
        <v>206662468.46846849</v>
      </c>
      <c r="N532">
        <v>151295045.04504505</v>
      </c>
      <c r="O532">
        <v>279031966.21621621</v>
      </c>
      <c r="P532">
        <v>274410225.22522521</v>
      </c>
      <c r="Q532">
        <v>147328198.1981982</v>
      </c>
      <c r="R532">
        <v>154904774.77477479</v>
      </c>
      <c r="S532">
        <v>15253</v>
      </c>
      <c r="T532">
        <v>13435</v>
      </c>
    </row>
    <row r="533" spans="1:20" x14ac:dyDescent="0.35">
      <c r="A533" s="7" t="s">
        <v>629</v>
      </c>
      <c r="B533" s="12" t="s">
        <v>449</v>
      </c>
      <c r="C533">
        <v>498450080.04873222</v>
      </c>
      <c r="D533">
        <v>478654342.16947484</v>
      </c>
      <c r="E533">
        <v>165994764.86486486</v>
      </c>
      <c r="F533">
        <v>254962008.1081081</v>
      </c>
      <c r="G533">
        <v>184</v>
      </c>
      <c r="H533">
        <v>242</v>
      </c>
      <c r="I533">
        <v>1</v>
      </c>
      <c r="K533">
        <v>215</v>
      </c>
      <c r="L533">
        <v>315</v>
      </c>
      <c r="M533">
        <v>144485000</v>
      </c>
      <c r="N533">
        <v>133182207.2072072</v>
      </c>
      <c r="O533">
        <v>148316097.2972973</v>
      </c>
      <c r="P533">
        <v>157742000</v>
      </c>
      <c r="Q533">
        <v>140190945.94594595</v>
      </c>
      <c r="R533">
        <v>115313018.01801802</v>
      </c>
      <c r="S533">
        <v>12477</v>
      </c>
      <c r="T533">
        <v>11262</v>
      </c>
    </row>
    <row r="534" spans="1:20" x14ac:dyDescent="0.35">
      <c r="A534" s="7" t="s">
        <v>630</v>
      </c>
      <c r="B534" s="12" t="s">
        <v>79</v>
      </c>
      <c r="C534">
        <v>22246364.538638409</v>
      </c>
      <c r="D534">
        <v>23634246.542731028</v>
      </c>
      <c r="E534">
        <v>327027.02702702698</v>
      </c>
      <c r="F534">
        <v>312612.61261261301</v>
      </c>
      <c r="G534">
        <v>3</v>
      </c>
      <c r="H534">
        <v>3</v>
      </c>
      <c r="K534">
        <v>3</v>
      </c>
      <c r="L534">
        <v>3</v>
      </c>
      <c r="M534">
        <v>1227927.9279279271</v>
      </c>
      <c r="N534">
        <v>2015315.315315315</v>
      </c>
      <c r="O534">
        <v>6280072.072072072</v>
      </c>
      <c r="P534">
        <v>7727711.7117117113</v>
      </c>
      <c r="Q534">
        <v>1257117.1171171181</v>
      </c>
      <c r="R534">
        <v>1517027.027027027</v>
      </c>
      <c r="S534">
        <v>413</v>
      </c>
      <c r="T534">
        <v>362</v>
      </c>
    </row>
    <row r="535" spans="1:20" x14ac:dyDescent="0.35">
      <c r="A535" s="7" t="s">
        <v>631</v>
      </c>
      <c r="B535" s="12" t="s">
        <v>242</v>
      </c>
      <c r="C535">
        <v>131537657.36269471</v>
      </c>
      <c r="D535">
        <v>121057827.85038249</v>
      </c>
      <c r="E535">
        <v>434909.90990991099</v>
      </c>
      <c r="F535">
        <v>2722522.5225225221</v>
      </c>
      <c r="G535">
        <v>50</v>
      </c>
      <c r="H535">
        <v>30</v>
      </c>
      <c r="K535">
        <v>56</v>
      </c>
      <c r="L535">
        <v>44</v>
      </c>
      <c r="M535">
        <v>13241261.261261262</v>
      </c>
      <c r="N535">
        <v>34462882.882882878</v>
      </c>
      <c r="O535">
        <v>29843342.342342343</v>
      </c>
      <c r="P535">
        <v>30599027.02702703</v>
      </c>
      <c r="Q535">
        <v>13230090.09009009</v>
      </c>
      <c r="R535">
        <v>32474324.324324321</v>
      </c>
      <c r="S535">
        <v>2724</v>
      </c>
      <c r="T535">
        <v>2641</v>
      </c>
    </row>
    <row r="536" spans="1:20" x14ac:dyDescent="0.35">
      <c r="A536" s="7" t="s">
        <v>632</v>
      </c>
      <c r="B536" s="12" t="s">
        <v>69</v>
      </c>
      <c r="C536">
        <v>567247747.95608854</v>
      </c>
      <c r="D536">
        <v>586900917.07778847</v>
      </c>
      <c r="E536">
        <v>6437612.6126126107</v>
      </c>
      <c r="F536">
        <v>3329729.729729732</v>
      </c>
      <c r="G536">
        <v>218</v>
      </c>
      <c r="H536">
        <v>102</v>
      </c>
      <c r="I536">
        <v>1</v>
      </c>
      <c r="K536">
        <v>251</v>
      </c>
      <c r="L536">
        <v>183</v>
      </c>
      <c r="M536">
        <v>54278378.378378376</v>
      </c>
      <c r="N536">
        <v>72064819.819819823</v>
      </c>
      <c r="O536">
        <v>96593764.864864871</v>
      </c>
      <c r="P536">
        <v>115520789.18918918</v>
      </c>
      <c r="Q536">
        <v>45626486.486486487</v>
      </c>
      <c r="R536">
        <v>51579954.954954952</v>
      </c>
      <c r="S536">
        <v>9049</v>
      </c>
      <c r="T536">
        <v>8905</v>
      </c>
    </row>
    <row r="537" spans="1:20" x14ac:dyDescent="0.35">
      <c r="A537" s="7" t="s">
        <v>633</v>
      </c>
      <c r="B537" s="12" t="s">
        <v>71</v>
      </c>
      <c r="C537">
        <v>4172767.760937796</v>
      </c>
      <c r="D537">
        <v>4369341.8842307413</v>
      </c>
      <c r="E537">
        <v>54054.054054054002</v>
      </c>
      <c r="F537">
        <v>179729.72972973</v>
      </c>
      <c r="G537">
        <v>2</v>
      </c>
      <c r="K537">
        <v>2</v>
      </c>
      <c r="M537">
        <v>54054.054054054002</v>
      </c>
      <c r="N537">
        <v>233783.78378378399</v>
      </c>
      <c r="O537">
        <v>2512027.0270270272</v>
      </c>
      <c r="P537">
        <v>2667747.7477477482</v>
      </c>
      <c r="Q537">
        <v>164864.864864865</v>
      </c>
      <c r="S537">
        <v>229</v>
      </c>
      <c r="T537">
        <v>221</v>
      </c>
    </row>
    <row r="538" spans="1:20" x14ac:dyDescent="0.35">
      <c r="A538" s="7" t="s">
        <v>634</v>
      </c>
      <c r="B538" s="12" t="s">
        <v>61</v>
      </c>
      <c r="C538">
        <v>43326485.774007887</v>
      </c>
      <c r="D538">
        <v>43457381.057876527</v>
      </c>
      <c r="E538">
        <v>151351.351351352</v>
      </c>
      <c r="F538">
        <v>346846.84684684803</v>
      </c>
      <c r="G538">
        <v>13</v>
      </c>
      <c r="H538">
        <v>3</v>
      </c>
      <c r="I538">
        <v>1</v>
      </c>
      <c r="K538">
        <v>14</v>
      </c>
      <c r="L538">
        <v>6</v>
      </c>
      <c r="M538">
        <v>1772972.972972973</v>
      </c>
      <c r="N538">
        <v>3004504.5045045041</v>
      </c>
      <c r="O538">
        <v>18832351.351351351</v>
      </c>
      <c r="P538">
        <v>17220936.936936937</v>
      </c>
      <c r="Q538">
        <v>256306.30630630601</v>
      </c>
      <c r="R538">
        <v>2152702.702702703</v>
      </c>
      <c r="S538">
        <v>1017</v>
      </c>
      <c r="T538">
        <v>1047</v>
      </c>
    </row>
    <row r="539" spans="1:20" x14ac:dyDescent="0.35">
      <c r="A539" s="7" t="s">
        <v>635</v>
      </c>
      <c r="B539" s="12" t="s">
        <v>81</v>
      </c>
      <c r="C539">
        <v>444045662.12349033</v>
      </c>
      <c r="D539">
        <v>459378228.28626752</v>
      </c>
      <c r="E539">
        <v>4559009.009009013</v>
      </c>
      <c r="F539">
        <v>3795495.4954954991</v>
      </c>
      <c r="G539">
        <v>64</v>
      </c>
      <c r="H539">
        <v>55</v>
      </c>
      <c r="K539">
        <v>70</v>
      </c>
      <c r="L539">
        <v>73</v>
      </c>
      <c r="M539">
        <v>52058108.108108111</v>
      </c>
      <c r="N539">
        <v>63092792.79279279</v>
      </c>
      <c r="O539">
        <v>89692382.882882878</v>
      </c>
      <c r="P539">
        <v>93408549.54954955</v>
      </c>
      <c r="Q539">
        <v>47903783.783783786</v>
      </c>
      <c r="R539">
        <v>56611351.351351351</v>
      </c>
      <c r="S539">
        <v>6441</v>
      </c>
      <c r="T539">
        <v>6446</v>
      </c>
    </row>
    <row r="540" spans="1:20" x14ac:dyDescent="0.35">
      <c r="A540" s="7" t="s">
        <v>636</v>
      </c>
      <c r="B540" s="12" t="s">
        <v>135</v>
      </c>
      <c r="C540">
        <v>80508548.479657605</v>
      </c>
      <c r="D540">
        <v>85531673.1628263</v>
      </c>
      <c r="E540">
        <v>784684.68468468497</v>
      </c>
      <c r="G540">
        <v>19</v>
      </c>
      <c r="H540">
        <v>13</v>
      </c>
      <c r="K540">
        <v>19</v>
      </c>
      <c r="L540">
        <v>13</v>
      </c>
      <c r="M540">
        <v>8726126.1261261255</v>
      </c>
      <c r="N540">
        <v>1162162.1621621619</v>
      </c>
      <c r="O540">
        <v>4538189.18918919</v>
      </c>
      <c r="P540">
        <v>6178423.4234234244</v>
      </c>
      <c r="Q540">
        <v>8285315.3153153146</v>
      </c>
      <c r="R540">
        <v>1106846.8468468459</v>
      </c>
      <c r="S540">
        <v>1473</v>
      </c>
      <c r="T540">
        <v>1615</v>
      </c>
    </row>
    <row r="541" spans="1:20" x14ac:dyDescent="0.35">
      <c r="A541" s="7" t="s">
        <v>637</v>
      </c>
      <c r="B541" s="12" t="s">
        <v>480</v>
      </c>
      <c r="C541">
        <v>242774909.22506052</v>
      </c>
      <c r="D541">
        <v>239157821.0182319</v>
      </c>
      <c r="E541">
        <v>42628828.828828834</v>
      </c>
      <c r="F541">
        <v>54267117.117117122</v>
      </c>
      <c r="G541">
        <v>66</v>
      </c>
      <c r="H541">
        <v>50</v>
      </c>
      <c r="K541">
        <v>73</v>
      </c>
      <c r="L541">
        <v>56</v>
      </c>
      <c r="M541">
        <v>66891557.657657661</v>
      </c>
      <c r="N541">
        <v>70166801.801801801</v>
      </c>
      <c r="O541">
        <v>86834567.567567572</v>
      </c>
      <c r="P541">
        <v>92790180.180180177</v>
      </c>
      <c r="Q541">
        <v>62741846.846846849</v>
      </c>
      <c r="R541">
        <v>72335225.225225225</v>
      </c>
      <c r="S541">
        <v>6733</v>
      </c>
      <c r="T541">
        <v>5671</v>
      </c>
    </row>
    <row r="542" spans="1:20" x14ac:dyDescent="0.35">
      <c r="A542" s="7" t="s">
        <v>638</v>
      </c>
      <c r="B542" s="12" t="s">
        <v>144</v>
      </c>
      <c r="C542">
        <v>410894720.5143165</v>
      </c>
      <c r="D542">
        <v>433935222.72291559</v>
      </c>
      <c r="E542">
        <v>3901801.8018018031</v>
      </c>
      <c r="F542">
        <v>2638738.738738745</v>
      </c>
      <c r="G542">
        <v>85</v>
      </c>
      <c r="H542">
        <v>33</v>
      </c>
      <c r="K542">
        <v>108</v>
      </c>
      <c r="L542">
        <v>40</v>
      </c>
      <c r="M542">
        <v>28383333.333333332</v>
      </c>
      <c r="N542">
        <v>31079279.279279277</v>
      </c>
      <c r="O542">
        <v>52214826.576576576</v>
      </c>
      <c r="P542">
        <v>53982918.918918923</v>
      </c>
      <c r="Q542">
        <v>22820000</v>
      </c>
      <c r="R542">
        <v>25190990.990990993</v>
      </c>
      <c r="S542">
        <v>9960</v>
      </c>
      <c r="T542">
        <v>9346</v>
      </c>
    </row>
    <row r="543" spans="1:20" x14ac:dyDescent="0.35">
      <c r="A543" s="7" t="s">
        <v>639</v>
      </c>
      <c r="B543" s="12" t="s">
        <v>242</v>
      </c>
      <c r="C543">
        <v>452428132.68977791</v>
      </c>
      <c r="D543">
        <v>446769834.74921012</v>
      </c>
      <c r="E543">
        <v>2092792.792792795</v>
      </c>
      <c r="F543">
        <v>4868468.4684684686</v>
      </c>
      <c r="G543">
        <v>239</v>
      </c>
      <c r="H543">
        <v>199</v>
      </c>
      <c r="K543">
        <v>277</v>
      </c>
      <c r="L543">
        <v>240</v>
      </c>
      <c r="M543">
        <v>35591891.891891889</v>
      </c>
      <c r="N543">
        <v>40860765.765765779</v>
      </c>
      <c r="O543">
        <v>147074034.23423424</v>
      </c>
      <c r="P543">
        <v>159887630.63063061</v>
      </c>
      <c r="Q543">
        <v>30719279.27927928</v>
      </c>
      <c r="R543">
        <v>39248333.333333336</v>
      </c>
      <c r="S543">
        <v>14932</v>
      </c>
      <c r="T543">
        <v>13172</v>
      </c>
    </row>
    <row r="544" spans="1:20" x14ac:dyDescent="0.35">
      <c r="A544" s="7" t="s">
        <v>640</v>
      </c>
      <c r="B544" s="12" t="s">
        <v>133</v>
      </c>
      <c r="C544">
        <v>171891233.25715318</v>
      </c>
      <c r="D544">
        <v>179353407.91637018</v>
      </c>
      <c r="E544">
        <v>129729.72972973</v>
      </c>
      <c r="F544">
        <v>70270.270270270994</v>
      </c>
      <c r="G544">
        <v>62</v>
      </c>
      <c r="H544">
        <v>63</v>
      </c>
      <c r="K544">
        <v>71</v>
      </c>
      <c r="L544">
        <v>73</v>
      </c>
      <c r="M544">
        <v>4488288.2882882887</v>
      </c>
      <c r="N544">
        <v>8220045.0450450452</v>
      </c>
      <c r="O544">
        <v>62643531.531531528</v>
      </c>
      <c r="P544">
        <v>64974845.045045041</v>
      </c>
      <c r="Q544">
        <v>4279819.8198198201</v>
      </c>
      <c r="R544">
        <v>4692657.6576576577</v>
      </c>
      <c r="S544">
        <v>6449</v>
      </c>
      <c r="T544">
        <v>5509</v>
      </c>
    </row>
    <row r="545" spans="1:20" x14ac:dyDescent="0.35">
      <c r="A545" s="7" t="s">
        <v>641</v>
      </c>
      <c r="B545" s="12" t="s">
        <v>135</v>
      </c>
      <c r="C545">
        <v>518451339.5998953</v>
      </c>
      <c r="D545">
        <v>559348336.86005986</v>
      </c>
      <c r="E545">
        <v>1705405.405405408</v>
      </c>
      <c r="F545">
        <v>3228828.828828834</v>
      </c>
      <c r="G545">
        <v>82</v>
      </c>
      <c r="H545">
        <v>76</v>
      </c>
      <c r="I545">
        <v>1</v>
      </c>
      <c r="K545">
        <v>86</v>
      </c>
      <c r="L545">
        <v>94</v>
      </c>
      <c r="M545">
        <v>44112432.432432435</v>
      </c>
      <c r="N545">
        <v>55796036.036036037</v>
      </c>
      <c r="O545">
        <v>68457027.927927926</v>
      </c>
      <c r="P545">
        <v>81793396.396396399</v>
      </c>
      <c r="Q545">
        <v>33615358.558558561</v>
      </c>
      <c r="R545">
        <v>45564774.774774775</v>
      </c>
      <c r="S545">
        <v>7907</v>
      </c>
      <c r="T545">
        <v>7494</v>
      </c>
    </row>
    <row r="546" spans="1:20" x14ac:dyDescent="0.35">
      <c r="A546" s="7" t="s">
        <v>642</v>
      </c>
      <c r="B546" s="12" t="s">
        <v>81</v>
      </c>
      <c r="C546">
        <v>274497407.06437582</v>
      </c>
      <c r="D546">
        <v>277300404.41732788</v>
      </c>
      <c r="E546">
        <v>1201801.801801804</v>
      </c>
      <c r="F546">
        <v>1336036.0360360369</v>
      </c>
      <c r="G546">
        <v>48</v>
      </c>
      <c r="H546">
        <v>33</v>
      </c>
      <c r="K546">
        <v>62</v>
      </c>
      <c r="L546">
        <v>69</v>
      </c>
      <c r="M546">
        <v>28083783.783783782</v>
      </c>
      <c r="N546">
        <v>35527927.927927926</v>
      </c>
      <c r="O546">
        <v>99871065.765765756</v>
      </c>
      <c r="P546">
        <v>103687754.95495497</v>
      </c>
      <c r="Q546">
        <v>27793243.243243244</v>
      </c>
      <c r="R546">
        <v>30588378.37837838</v>
      </c>
      <c r="S546">
        <v>5026</v>
      </c>
      <c r="T546">
        <v>7483</v>
      </c>
    </row>
    <row r="547" spans="1:20" x14ac:dyDescent="0.35">
      <c r="A547" s="7" t="s">
        <v>643</v>
      </c>
      <c r="B547" s="12" t="s">
        <v>170</v>
      </c>
      <c r="C547">
        <v>453652361.88246089</v>
      </c>
      <c r="D547">
        <v>483573454.1827625</v>
      </c>
      <c r="E547">
        <v>76700900.9009009</v>
      </c>
      <c r="F547">
        <v>249314414.41441441</v>
      </c>
      <c r="G547">
        <v>36</v>
      </c>
      <c r="H547">
        <v>56</v>
      </c>
      <c r="I547">
        <v>2</v>
      </c>
      <c r="K547">
        <v>37</v>
      </c>
      <c r="L547">
        <v>58</v>
      </c>
      <c r="M547">
        <v>51002267.567567565</v>
      </c>
      <c r="N547">
        <v>72205405.405405402</v>
      </c>
      <c r="O547">
        <v>163338819.81981981</v>
      </c>
      <c r="P547">
        <v>185356954.95495495</v>
      </c>
      <c r="Q547">
        <v>37980270.270270273</v>
      </c>
      <c r="R547">
        <v>40247117.117117122</v>
      </c>
      <c r="S547">
        <v>9195</v>
      </c>
      <c r="T547">
        <v>8862</v>
      </c>
    </row>
    <row r="548" spans="1:20" x14ac:dyDescent="0.35">
      <c r="A548" s="7" t="s">
        <v>644</v>
      </c>
      <c r="B548" s="12" t="s">
        <v>59</v>
      </c>
      <c r="C548">
        <v>774804603.43002951</v>
      </c>
      <c r="D548">
        <v>782646496.76938927</v>
      </c>
      <c r="E548">
        <v>23569369.369369369</v>
      </c>
      <c r="F548">
        <v>25933333.33333334</v>
      </c>
      <c r="G548">
        <v>200</v>
      </c>
      <c r="H548">
        <v>174</v>
      </c>
      <c r="K548">
        <v>230</v>
      </c>
      <c r="L548">
        <v>207</v>
      </c>
      <c r="M548">
        <v>74086036.036036029</v>
      </c>
      <c r="N548">
        <v>150646396.3963964</v>
      </c>
      <c r="O548">
        <v>161464680.18018019</v>
      </c>
      <c r="P548">
        <v>168630953.15315315</v>
      </c>
      <c r="Q548">
        <v>54983153.153153151</v>
      </c>
      <c r="R548">
        <v>152362792.7927928</v>
      </c>
      <c r="S548">
        <v>18932</v>
      </c>
      <c r="T548">
        <v>18208</v>
      </c>
    </row>
    <row r="549" spans="1:20" x14ac:dyDescent="0.35">
      <c r="A549" s="7" t="s">
        <v>645</v>
      </c>
      <c r="B549" s="12" t="s">
        <v>59</v>
      </c>
      <c r="C549">
        <v>971968237.16070783</v>
      </c>
      <c r="D549">
        <v>1003532013.5403479</v>
      </c>
      <c r="E549">
        <v>264370135.13513514</v>
      </c>
      <c r="F549">
        <v>536635181.98198199</v>
      </c>
      <c r="G549">
        <v>1126</v>
      </c>
      <c r="H549">
        <v>437</v>
      </c>
      <c r="I549">
        <v>1</v>
      </c>
      <c r="K549">
        <v>1324</v>
      </c>
      <c r="L549">
        <v>672</v>
      </c>
      <c r="M549">
        <v>159516216.21621624</v>
      </c>
      <c r="N549">
        <v>277142342.34234232</v>
      </c>
      <c r="O549">
        <v>301177527.02702701</v>
      </c>
      <c r="P549">
        <v>290436140.54054052</v>
      </c>
      <c r="Q549">
        <v>149081801.8018018</v>
      </c>
      <c r="R549">
        <v>272220940.54054052</v>
      </c>
      <c r="S549">
        <v>27779</v>
      </c>
      <c r="T549">
        <v>23162</v>
      </c>
    </row>
    <row r="550" spans="1:20" x14ac:dyDescent="0.35">
      <c r="A550" s="7" t="s">
        <v>646</v>
      </c>
      <c r="B550" s="12" t="s">
        <v>308</v>
      </c>
      <c r="C550">
        <v>319849828.08986592</v>
      </c>
      <c r="D550">
        <v>306226287.91685289</v>
      </c>
      <c r="E550">
        <v>1857657.657657658</v>
      </c>
      <c r="F550">
        <v>1718018.018018018</v>
      </c>
      <c r="G550">
        <v>39</v>
      </c>
      <c r="H550">
        <v>31</v>
      </c>
      <c r="K550">
        <v>41</v>
      </c>
      <c r="L550">
        <v>34</v>
      </c>
      <c r="M550">
        <v>5995495.4954954963</v>
      </c>
      <c r="N550">
        <v>6401531.5315315304</v>
      </c>
      <c r="O550">
        <v>53467752.252252258</v>
      </c>
      <c r="P550">
        <v>57307779.279279277</v>
      </c>
      <c r="Q550">
        <v>5809279.2792792786</v>
      </c>
      <c r="R550">
        <v>5920900.9009009004</v>
      </c>
      <c r="S550">
        <v>5390</v>
      </c>
      <c r="T550">
        <v>5106</v>
      </c>
    </row>
    <row r="551" spans="1:20" x14ac:dyDescent="0.35">
      <c r="A551" s="7" t="s">
        <v>13</v>
      </c>
      <c r="B551" s="12" t="s">
        <v>159</v>
      </c>
      <c r="C551">
        <v>365380186.54503834</v>
      </c>
      <c r="D551">
        <v>344020053.83285367</v>
      </c>
      <c r="E551">
        <v>4001801.80180181</v>
      </c>
      <c r="F551">
        <v>3383783.783783786</v>
      </c>
      <c r="G551">
        <v>86</v>
      </c>
      <c r="H551">
        <v>97</v>
      </c>
      <c r="K551">
        <v>209</v>
      </c>
      <c r="L551">
        <v>420</v>
      </c>
      <c r="M551">
        <v>86510855.855855852</v>
      </c>
      <c r="N551">
        <v>76416666.666666672</v>
      </c>
      <c r="O551">
        <v>211275045.04504505</v>
      </c>
      <c r="P551">
        <v>207980180.18018019</v>
      </c>
      <c r="Q551">
        <v>81144953.153153151</v>
      </c>
      <c r="R551">
        <v>81364504.504504517</v>
      </c>
      <c r="S551">
        <v>8300</v>
      </c>
      <c r="T551">
        <v>7211</v>
      </c>
    </row>
    <row r="552" spans="1:20" x14ac:dyDescent="0.35">
      <c r="A552" s="7" t="s">
        <v>647</v>
      </c>
      <c r="B552" s="12" t="s">
        <v>122</v>
      </c>
      <c r="C552">
        <v>247841552.02948669</v>
      </c>
      <c r="D552">
        <v>250663719.75814319</v>
      </c>
      <c r="E552">
        <v>163063.06306306299</v>
      </c>
      <c r="F552">
        <v>90090.090090091995</v>
      </c>
      <c r="G552">
        <v>56</v>
      </c>
      <c r="H552">
        <v>70</v>
      </c>
      <c r="K552">
        <v>63</v>
      </c>
      <c r="L552">
        <v>74</v>
      </c>
      <c r="M552">
        <v>1157657.657657658</v>
      </c>
      <c r="N552">
        <v>900900.90090090304</v>
      </c>
      <c r="O552">
        <v>21104412.162162162</v>
      </c>
      <c r="P552">
        <v>25182852.252252251</v>
      </c>
      <c r="Q552">
        <v>1008468.468468469</v>
      </c>
      <c r="R552">
        <v>946396.39639639598</v>
      </c>
      <c r="S552">
        <v>3323</v>
      </c>
      <c r="T552">
        <v>3711</v>
      </c>
    </row>
    <row r="553" spans="1:20" x14ac:dyDescent="0.35">
      <c r="A553" s="7" t="s">
        <v>648</v>
      </c>
      <c r="B553" s="12" t="s">
        <v>316</v>
      </c>
      <c r="C553">
        <v>89498699.510063022</v>
      </c>
      <c r="D553">
        <v>79331785.869552732</v>
      </c>
      <c r="E553">
        <v>1326126.1261261259</v>
      </c>
      <c r="F553">
        <v>1308108.10810811</v>
      </c>
      <c r="G553">
        <v>34</v>
      </c>
      <c r="H553">
        <v>10</v>
      </c>
      <c r="K553">
        <v>39</v>
      </c>
      <c r="L553">
        <v>11</v>
      </c>
      <c r="M553">
        <v>16405405.405405406</v>
      </c>
      <c r="N553">
        <v>31259909.909909911</v>
      </c>
      <c r="O553">
        <v>22822396.396396395</v>
      </c>
      <c r="P553">
        <v>21571315.315315317</v>
      </c>
      <c r="Q553">
        <v>18390990.990990993</v>
      </c>
      <c r="R553">
        <v>27778468.468468469</v>
      </c>
      <c r="S553">
        <v>1356</v>
      </c>
      <c r="T553">
        <v>1422</v>
      </c>
    </row>
    <row r="554" spans="1:20" x14ac:dyDescent="0.35">
      <c r="A554" s="7" t="s">
        <v>649</v>
      </c>
      <c r="B554" s="12" t="s">
        <v>261</v>
      </c>
      <c r="C554">
        <v>226017810.10660872</v>
      </c>
      <c r="D554">
        <v>245097974.86848161</v>
      </c>
      <c r="E554">
        <v>1250675.675675675</v>
      </c>
      <c r="F554">
        <v>1271171.1711711721</v>
      </c>
      <c r="G554">
        <v>66</v>
      </c>
      <c r="H554">
        <v>52</v>
      </c>
      <c r="K554">
        <v>72</v>
      </c>
      <c r="L554">
        <v>55</v>
      </c>
      <c r="M554">
        <v>47532432.432432435</v>
      </c>
      <c r="N554">
        <v>42586486.486486487</v>
      </c>
      <c r="O554">
        <v>74783774.774774775</v>
      </c>
      <c r="P554">
        <v>85052288.288288295</v>
      </c>
      <c r="Q554">
        <v>44529819.819819815</v>
      </c>
      <c r="R554">
        <v>47743783.783783786</v>
      </c>
      <c r="S554">
        <v>4062</v>
      </c>
      <c r="T554">
        <v>5647</v>
      </c>
    </row>
    <row r="555" spans="1:20" x14ac:dyDescent="0.35">
      <c r="A555" s="7" t="s">
        <v>650</v>
      </c>
      <c r="B555" s="12" t="s">
        <v>225</v>
      </c>
      <c r="C555">
        <v>219713680.54016286</v>
      </c>
      <c r="D555">
        <v>260502543.98279786</v>
      </c>
      <c r="E555">
        <v>1628603.6036036061</v>
      </c>
      <c r="F555">
        <v>2961261.261261262</v>
      </c>
      <c r="G555">
        <v>57</v>
      </c>
      <c r="H555">
        <v>75</v>
      </c>
      <c r="K555">
        <v>65</v>
      </c>
      <c r="L555">
        <v>98</v>
      </c>
      <c r="M555">
        <v>21918738.738738742</v>
      </c>
      <c r="N555">
        <v>37715315.315315314</v>
      </c>
      <c r="O555">
        <v>51479900.9009009</v>
      </c>
      <c r="P555">
        <v>64747205.40540541</v>
      </c>
      <c r="Q555">
        <v>20744774.774774775</v>
      </c>
      <c r="R555">
        <v>33211621.621621624</v>
      </c>
      <c r="S555">
        <v>5410</v>
      </c>
      <c r="T555">
        <v>5099</v>
      </c>
    </row>
    <row r="556" spans="1:20" x14ac:dyDescent="0.35">
      <c r="A556" s="7" t="s">
        <v>651</v>
      </c>
      <c r="B556" s="12" t="s">
        <v>225</v>
      </c>
      <c r="C556">
        <v>177648587.90987507</v>
      </c>
      <c r="D556">
        <v>208886172.70802701</v>
      </c>
      <c r="E556">
        <v>63963.963963964998</v>
      </c>
      <c r="F556">
        <v>75675.675675676001</v>
      </c>
      <c r="G556">
        <v>31</v>
      </c>
      <c r="H556">
        <v>39</v>
      </c>
      <c r="K556">
        <v>35</v>
      </c>
      <c r="L556">
        <v>41</v>
      </c>
      <c r="M556">
        <v>7134234.2342342334</v>
      </c>
      <c r="N556">
        <v>14176576.576576576</v>
      </c>
      <c r="O556">
        <v>25419405.405405402</v>
      </c>
      <c r="P556">
        <v>33681315.315315314</v>
      </c>
      <c r="Q556">
        <v>7066486.4864864871</v>
      </c>
      <c r="R556">
        <v>12428198.198198199</v>
      </c>
      <c r="S556">
        <v>3092</v>
      </c>
      <c r="T556">
        <v>3063</v>
      </c>
    </row>
    <row r="557" spans="1:20" x14ac:dyDescent="0.35">
      <c r="A557" s="7" t="s">
        <v>652</v>
      </c>
      <c r="B557" s="12" t="s">
        <v>225</v>
      </c>
      <c r="C557">
        <v>685702243.16030693</v>
      </c>
      <c r="D557">
        <v>782676895.68899786</v>
      </c>
      <c r="E557">
        <v>194943300</v>
      </c>
      <c r="F557">
        <v>274883041.44144142</v>
      </c>
      <c r="G557">
        <v>244</v>
      </c>
      <c r="H557">
        <v>289</v>
      </c>
      <c r="K557">
        <v>386</v>
      </c>
      <c r="L557">
        <v>383</v>
      </c>
      <c r="M557">
        <v>174634234.23423424</v>
      </c>
      <c r="N557">
        <v>162332252.25225225</v>
      </c>
      <c r="O557">
        <v>171287027.02702704</v>
      </c>
      <c r="P557">
        <v>205421106.3063063</v>
      </c>
      <c r="Q557">
        <v>159200990.99099097</v>
      </c>
      <c r="R557">
        <v>141674594.5945946</v>
      </c>
      <c r="S557">
        <v>18866</v>
      </c>
      <c r="T557">
        <v>19534</v>
      </c>
    </row>
    <row r="558" spans="1:20" x14ac:dyDescent="0.35">
      <c r="A558" s="7" t="s">
        <v>653</v>
      </c>
      <c r="B558" s="12" t="s">
        <v>225</v>
      </c>
      <c r="C558">
        <v>81398023.457651228</v>
      </c>
      <c r="D558">
        <v>97882556.730410814</v>
      </c>
      <c r="E558">
        <v>207207.207207208</v>
      </c>
      <c r="F558">
        <v>95495.495495495998</v>
      </c>
      <c r="G558">
        <v>20</v>
      </c>
      <c r="H558">
        <v>23</v>
      </c>
      <c r="K558">
        <v>21</v>
      </c>
      <c r="L558">
        <v>23</v>
      </c>
      <c r="M558">
        <v>1648648.6486486481</v>
      </c>
      <c r="N558">
        <v>3279279.2792792791</v>
      </c>
      <c r="O558">
        <v>13304810.810810812</v>
      </c>
      <c r="P558">
        <v>18139592.792792793</v>
      </c>
      <c r="Q558">
        <v>1386936.9369369361</v>
      </c>
      <c r="R558">
        <v>1944234.2342342341</v>
      </c>
      <c r="S558">
        <v>1725</v>
      </c>
      <c r="T558">
        <v>1756</v>
      </c>
    </row>
    <row r="559" spans="1:20" x14ac:dyDescent="0.35">
      <c r="A559" s="7" t="s">
        <v>654</v>
      </c>
      <c r="B559" s="12" t="s">
        <v>97</v>
      </c>
      <c r="C559">
        <v>435464538.07273126</v>
      </c>
      <c r="D559">
        <v>419611585.56723374</v>
      </c>
      <c r="E559">
        <v>782882.88288288505</v>
      </c>
      <c r="F559">
        <v>1709009.0090090081</v>
      </c>
      <c r="G559">
        <v>176</v>
      </c>
      <c r="H559">
        <v>130</v>
      </c>
      <c r="K559">
        <v>187</v>
      </c>
      <c r="L559">
        <v>150</v>
      </c>
      <c r="M559">
        <v>9642342.3423423432</v>
      </c>
      <c r="N559">
        <v>19797297.297297295</v>
      </c>
      <c r="O559">
        <v>58774315.315315314</v>
      </c>
      <c r="P559">
        <v>56363135.135135137</v>
      </c>
      <c r="Q559">
        <v>7825315.3153153164</v>
      </c>
      <c r="R559">
        <v>15433603.603603603</v>
      </c>
      <c r="S559">
        <v>9436</v>
      </c>
      <c r="T559">
        <v>8442</v>
      </c>
    </row>
    <row r="560" spans="1:20" x14ac:dyDescent="0.35">
      <c r="A560" s="7" t="s">
        <v>655</v>
      </c>
      <c r="B560" s="12" t="s">
        <v>67</v>
      </c>
      <c r="C560">
        <v>270551627.7900629</v>
      </c>
      <c r="D560">
        <v>251823669.93502429</v>
      </c>
      <c r="E560">
        <v>6345945.9459459456</v>
      </c>
      <c r="F560">
        <v>4834234.2342342334</v>
      </c>
      <c r="G560">
        <v>74</v>
      </c>
      <c r="H560">
        <v>62</v>
      </c>
      <c r="K560">
        <v>76</v>
      </c>
      <c r="L560">
        <v>63</v>
      </c>
      <c r="M560">
        <v>85834234.234234244</v>
      </c>
      <c r="N560">
        <v>80170675.675675675</v>
      </c>
      <c r="O560">
        <v>176840828.82882884</v>
      </c>
      <c r="P560">
        <v>166676027.02702704</v>
      </c>
      <c r="Q560">
        <v>79358108.108108118</v>
      </c>
      <c r="R560">
        <v>75246801.801801801</v>
      </c>
      <c r="S560">
        <v>6168</v>
      </c>
      <c r="T560">
        <v>5234</v>
      </c>
    </row>
    <row r="561" spans="1:20" x14ac:dyDescent="0.35">
      <c r="A561" s="7" t="s">
        <v>656</v>
      </c>
      <c r="B561" s="12" t="s">
        <v>69</v>
      </c>
      <c r="C561">
        <v>424771344.00158209</v>
      </c>
      <c r="D561">
        <v>437367547.79772854</v>
      </c>
      <c r="E561">
        <v>1035135.135135135</v>
      </c>
      <c r="F561">
        <v>600000.00000000303</v>
      </c>
      <c r="G561">
        <v>72</v>
      </c>
      <c r="H561">
        <v>46</v>
      </c>
      <c r="I561">
        <v>2</v>
      </c>
      <c r="K561">
        <v>77</v>
      </c>
      <c r="L561">
        <v>54</v>
      </c>
      <c r="M561">
        <v>19208644.144144144</v>
      </c>
      <c r="N561">
        <v>27375675.675675675</v>
      </c>
      <c r="O561">
        <v>57089666.666666672</v>
      </c>
      <c r="P561">
        <v>65997198.198198199</v>
      </c>
      <c r="Q561">
        <v>14741351.351351351</v>
      </c>
      <c r="R561">
        <v>19132882.882882878</v>
      </c>
      <c r="S561">
        <v>6936</v>
      </c>
      <c r="T561">
        <v>7184</v>
      </c>
    </row>
    <row r="562" spans="1:20" x14ac:dyDescent="0.35">
      <c r="A562" s="7" t="s">
        <v>14</v>
      </c>
      <c r="B562" s="12" t="s">
        <v>159</v>
      </c>
      <c r="C562">
        <v>185916662.90386638</v>
      </c>
      <c r="D562">
        <v>188928926.18829301</v>
      </c>
      <c r="E562">
        <v>910290845.04504502</v>
      </c>
      <c r="F562">
        <v>942912761.26126134</v>
      </c>
      <c r="G562">
        <v>26</v>
      </c>
      <c r="H562">
        <v>28</v>
      </c>
      <c r="K562">
        <v>29</v>
      </c>
      <c r="L562">
        <v>31</v>
      </c>
      <c r="M562">
        <v>119771846.84684685</v>
      </c>
      <c r="N562">
        <v>123584909.9099099</v>
      </c>
      <c r="O562">
        <v>62805585.585585587</v>
      </c>
      <c r="P562">
        <v>66761873.873873875</v>
      </c>
      <c r="Q562">
        <v>40113513.513513513</v>
      </c>
      <c r="R562">
        <v>26373963.963963963</v>
      </c>
      <c r="S562">
        <v>4172</v>
      </c>
      <c r="T562">
        <v>4101</v>
      </c>
    </row>
    <row r="563" spans="1:20" x14ac:dyDescent="0.35">
      <c r="A563" s="7" t="s">
        <v>657</v>
      </c>
      <c r="B563" s="12" t="s">
        <v>305</v>
      </c>
      <c r="C563">
        <v>200644274.34095991</v>
      </c>
      <c r="D563">
        <v>205243106.17750615</v>
      </c>
      <c r="E563">
        <v>745045.04504504299</v>
      </c>
      <c r="F563">
        <v>651351.35135135602</v>
      </c>
      <c r="G563">
        <v>43</v>
      </c>
      <c r="H563">
        <v>49</v>
      </c>
      <c r="K563">
        <v>49</v>
      </c>
      <c r="L563">
        <v>52</v>
      </c>
      <c r="M563">
        <v>33524324.324324325</v>
      </c>
      <c r="N563">
        <v>33849549.54954955</v>
      </c>
      <c r="O563">
        <v>58510490.990990989</v>
      </c>
      <c r="P563">
        <v>63030981.981981985</v>
      </c>
      <c r="Q563">
        <v>30638288.288288288</v>
      </c>
      <c r="R563">
        <v>30633153.153153151</v>
      </c>
      <c r="S563">
        <v>3177</v>
      </c>
      <c r="T563">
        <v>3111</v>
      </c>
    </row>
    <row r="564" spans="1:20" x14ac:dyDescent="0.35">
      <c r="A564" s="7" t="s">
        <v>658</v>
      </c>
      <c r="B564" s="12" t="s">
        <v>49</v>
      </c>
      <c r="C564">
        <v>246177768.22853681</v>
      </c>
      <c r="D564">
        <v>241525632.18090451</v>
      </c>
      <c r="E564">
        <v>105907207.2072072</v>
      </c>
      <c r="F564">
        <v>59287387.387387395</v>
      </c>
      <c r="G564">
        <v>50</v>
      </c>
      <c r="H564">
        <v>13</v>
      </c>
      <c r="K564">
        <v>112</v>
      </c>
      <c r="L564">
        <v>15</v>
      </c>
      <c r="M564">
        <v>60865225.225225225</v>
      </c>
      <c r="N564">
        <v>29547297.297297295</v>
      </c>
      <c r="O564">
        <v>78399342.342342332</v>
      </c>
      <c r="P564">
        <v>76712691.891891882</v>
      </c>
      <c r="Q564">
        <v>50631891.891891889</v>
      </c>
      <c r="R564">
        <v>19103153.153153151</v>
      </c>
      <c r="S564">
        <v>4028</v>
      </c>
      <c r="T564">
        <v>3078</v>
      </c>
    </row>
    <row r="565" spans="1:20" x14ac:dyDescent="0.35">
      <c r="A565" s="7" t="s">
        <v>659</v>
      </c>
      <c r="B565" s="12" t="s">
        <v>55</v>
      </c>
      <c r="C565">
        <v>81015835.169465184</v>
      </c>
      <c r="D565">
        <v>82903667.320526436</v>
      </c>
      <c r="E565">
        <v>604504.50450450496</v>
      </c>
      <c r="F565">
        <v>2797297.297297297</v>
      </c>
      <c r="G565">
        <v>1</v>
      </c>
      <c r="H565">
        <v>14</v>
      </c>
      <c r="K565">
        <v>1</v>
      </c>
      <c r="L565">
        <v>23</v>
      </c>
      <c r="M565">
        <v>6387387.3873873884</v>
      </c>
      <c r="N565">
        <v>9725225.2252252232</v>
      </c>
      <c r="O565">
        <v>18725405.405405402</v>
      </c>
      <c r="P565">
        <v>20299792.792792793</v>
      </c>
      <c r="Q565">
        <v>5854594.594594596</v>
      </c>
      <c r="R565">
        <v>7841261.261261262</v>
      </c>
      <c r="S565">
        <v>1558</v>
      </c>
      <c r="T565">
        <v>1611</v>
      </c>
    </row>
    <row r="566" spans="1:20" x14ac:dyDescent="0.35">
      <c r="A566" s="7" t="s">
        <v>660</v>
      </c>
      <c r="B566" s="12" t="s">
        <v>51</v>
      </c>
      <c r="C566">
        <v>357425206.39373988</v>
      </c>
      <c r="D566">
        <v>371211035.85413009</v>
      </c>
      <c r="E566">
        <v>1709009.009009012</v>
      </c>
      <c r="F566">
        <v>1536936.9369369389</v>
      </c>
      <c r="G566">
        <v>69</v>
      </c>
      <c r="H566">
        <v>18</v>
      </c>
      <c r="K566">
        <v>89</v>
      </c>
      <c r="L566">
        <v>21</v>
      </c>
      <c r="M566">
        <v>88357387.387387395</v>
      </c>
      <c r="N566">
        <v>71210000</v>
      </c>
      <c r="O566">
        <v>178861117.11711711</v>
      </c>
      <c r="P566">
        <v>189346171.17117116</v>
      </c>
      <c r="Q566">
        <v>82240180.180180177</v>
      </c>
      <c r="R566">
        <v>70264504.504504502</v>
      </c>
      <c r="S566">
        <v>13074</v>
      </c>
      <c r="T566">
        <v>5898</v>
      </c>
    </row>
    <row r="567" spans="1:20" x14ac:dyDescent="0.35">
      <c r="A567" s="7" t="s">
        <v>661</v>
      </c>
      <c r="B567" s="12" t="s">
        <v>84</v>
      </c>
      <c r="C567">
        <v>433305213.64520073</v>
      </c>
      <c r="D567">
        <v>425634755.28612334</v>
      </c>
      <c r="E567">
        <v>3500692.792792792</v>
      </c>
      <c r="F567">
        <v>4118918.9189189188</v>
      </c>
      <c r="G567">
        <v>114</v>
      </c>
      <c r="H567">
        <v>133</v>
      </c>
      <c r="K567">
        <v>133</v>
      </c>
      <c r="L567">
        <v>157</v>
      </c>
      <c r="M567">
        <v>61816578.378378376</v>
      </c>
      <c r="N567">
        <v>72736711.711711705</v>
      </c>
      <c r="O567">
        <v>111612342.34234233</v>
      </c>
      <c r="P567">
        <v>118330237.83783785</v>
      </c>
      <c r="Q567">
        <v>38841756.75675676</v>
      </c>
      <c r="R567">
        <v>44031259.459459454</v>
      </c>
      <c r="S567">
        <v>9027</v>
      </c>
      <c r="T567">
        <v>8958</v>
      </c>
    </row>
    <row r="568" spans="1:20" x14ac:dyDescent="0.35">
      <c r="A568" s="16" t="s">
        <v>662</v>
      </c>
      <c r="B568" s="14"/>
      <c r="C568" s="17">
        <v>179892579393.33331</v>
      </c>
      <c r="D568" s="17">
        <v>182035481276.8595</v>
      </c>
      <c r="E568" s="17">
        <v>40419429740.540527</v>
      </c>
      <c r="F568" s="17">
        <v>47437465867.567574</v>
      </c>
      <c r="G568" s="17">
        <v>57350</v>
      </c>
      <c r="H568" s="17">
        <v>52095</v>
      </c>
      <c r="I568" s="17">
        <v>462</v>
      </c>
      <c r="J568" s="17"/>
      <c r="K568" s="17">
        <v>79748</v>
      </c>
      <c r="L568" s="17">
        <v>76659</v>
      </c>
      <c r="M568" s="17">
        <v>37819522200.900894</v>
      </c>
      <c r="N568" s="17">
        <v>41868573947.747757</v>
      </c>
      <c r="O568" s="17">
        <v>54024412087.387421</v>
      </c>
      <c r="P568" s="17">
        <v>59530952427.927963</v>
      </c>
      <c r="Q568" s="17">
        <v>28096648243.243229</v>
      </c>
      <c r="R568" s="17">
        <v>32342214032.43243</v>
      </c>
      <c r="S568" s="17">
        <v>4142315</v>
      </c>
      <c r="T568" s="17">
        <v>3749213</v>
      </c>
    </row>
    <row r="569" spans="1:20" x14ac:dyDescent="0.35">
      <c r="A569" s="7" t="s">
        <v>657</v>
      </c>
      <c r="B569" s="12" t="s">
        <v>305</v>
      </c>
      <c r="C569">
        <v>192579774.8188712</v>
      </c>
      <c r="D569">
        <v>196639399.47396913</v>
      </c>
      <c r="E569">
        <v>704504.50450450205</v>
      </c>
      <c r="F569">
        <v>633333.33333333803</v>
      </c>
      <c r="G569">
        <v>40</v>
      </c>
      <c r="H569">
        <v>47</v>
      </c>
      <c r="K569">
        <v>47</v>
      </c>
      <c r="L569">
        <v>50</v>
      </c>
      <c r="M569">
        <v>30419819.819819819</v>
      </c>
      <c r="N569">
        <v>33831531.531531535</v>
      </c>
      <c r="O569">
        <v>55972157.657657653</v>
      </c>
      <c r="P569">
        <v>61361792.79279279</v>
      </c>
      <c r="Q569">
        <v>29044774.774774775</v>
      </c>
      <c r="R569">
        <v>30145315.315315317</v>
      </c>
      <c r="S569">
        <v>3156</v>
      </c>
      <c r="T569">
        <v>3096</v>
      </c>
    </row>
    <row r="570" spans="1:20" x14ac:dyDescent="0.35">
      <c r="A570" s="7" t="s">
        <v>658</v>
      </c>
      <c r="B570" s="12" t="s">
        <v>49</v>
      </c>
      <c r="C570">
        <v>234417151.36404225</v>
      </c>
      <c r="D570">
        <v>230892689.18247557</v>
      </c>
      <c r="E570">
        <v>1551351.3513513519</v>
      </c>
      <c r="F570">
        <v>3161261.2612612648</v>
      </c>
      <c r="G570">
        <v>49</v>
      </c>
      <c r="H570">
        <v>12</v>
      </c>
      <c r="K570">
        <v>112</v>
      </c>
      <c r="L570">
        <v>14</v>
      </c>
      <c r="M570">
        <v>53141801.801801801</v>
      </c>
      <c r="N570">
        <v>18148648.648648649</v>
      </c>
      <c r="O570">
        <v>74846819.819819823</v>
      </c>
      <c r="P570">
        <v>74147061.261261269</v>
      </c>
      <c r="Q570">
        <v>50438108.108108111</v>
      </c>
      <c r="R570">
        <v>18897117.117117114</v>
      </c>
      <c r="S570">
        <v>3880</v>
      </c>
      <c r="T570">
        <v>3126</v>
      </c>
    </row>
    <row r="571" spans="1:20" x14ac:dyDescent="0.35">
      <c r="A571" s="7" t="s">
        <v>659</v>
      </c>
      <c r="B571" s="12" t="s">
        <v>55</v>
      </c>
      <c r="C571">
        <v>77505421.107497349</v>
      </c>
      <c r="D571">
        <v>79224298.060378596</v>
      </c>
      <c r="E571">
        <v>595495.49549549597</v>
      </c>
      <c r="F571">
        <v>2779279.2792792791</v>
      </c>
      <c r="G571">
        <v>1</v>
      </c>
      <c r="H571">
        <v>14</v>
      </c>
      <c r="K571">
        <v>1</v>
      </c>
      <c r="L571">
        <v>21</v>
      </c>
      <c r="M571">
        <v>6378378.3783783792</v>
      </c>
      <c r="N571">
        <v>9707207.2072072066</v>
      </c>
      <c r="O571">
        <v>18067882.882882886</v>
      </c>
      <c r="P571">
        <v>19248351.351351351</v>
      </c>
      <c r="Q571">
        <v>5773063.0630630637</v>
      </c>
      <c r="R571">
        <v>7682432.4324324327</v>
      </c>
      <c r="S571">
        <v>1554</v>
      </c>
      <c r="T571">
        <v>1496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2026-08-26T05:06:02Z</dcterms:modified>
</cp:coreProperties>
</file>