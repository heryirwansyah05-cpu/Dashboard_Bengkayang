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<sst xmlns="http://schemas.openxmlformats.org/spreadsheetml/2006/main" count="1238" uniqueCount="678">
  <si>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</si>
  <si>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</si>
  <si>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</si>
  <si>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</si>
  <si>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</si>
  <si>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</si>
  <si>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</si>
  <si>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</si>
  <si>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</si>
  <si>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</si>
  <si>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</si>
  <si>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</si>
  <si>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</si>
  <si>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</si>
  <si>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</si>
  <si>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</si>
  <si>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</si>
  <si>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</si>
  <si>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</si>
  <si>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</si>
  <si>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</si>
  <si>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</si>
  <si>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</si>
  <si>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</si>
  <si>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</si>
  <si>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</si>
  <si>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</si>
  <si>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</si>
  <si>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</si>
  <si>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</si>
  <si>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</si>
  <si>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</si>
  <si>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</si>
  <si>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</si>
  <si>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</si>
  <si>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</si>
  <si>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</si>
  <si>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</si>
  <si>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</si>
  <si>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</si>
  <si>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</si>
  <si>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</si>
  <si>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</si>
  <si>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</si>
  <si>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</si>
  <si>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</si>
  <si>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</si>
  <si>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</si>
  <si>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</si>
  <si>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</si>
  <si>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</si>
  <si>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</si>
  <si>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</si>
  <si>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</si>
  <si>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</si>
  <si>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</si>
  <si>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</si>
  <si>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</si>
  <si>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</si>
  <si>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</si>
  <si>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</si>
  <si>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</si>
  <si>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</si>
  <si>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</si>
  <si>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</si>
  <si>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</si>
  <si>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</si>
  <si>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</si>
  <si>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</si>
  <si>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</si>
  <si>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</si>
  <si>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</si>
  <si>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</si>
  <si>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</si>
  <si>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</si>
  <si>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</si>
  <si>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</si>
  <si>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</si>
  <si>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</si>
  <si>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</si>
  <si>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</si>
  <si>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</si>
  <si>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</si>
  <si>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</si>
  <si>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</si>
  <si>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</si>
  <si>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</si>
  <si>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</si>
  <si>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</si>
  <si>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</si>
  <si>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</si>
  <si>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</si>
  <si>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</si>
  <si>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</si>
  <si>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</si>
  <si>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</si>
  <si>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</si>
  <si>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</si>
  <si>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</si>
  <si>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</si>
  <si>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</si>
  <si>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</si>
  <si>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</si>
  <si>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</si>
  <si>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</si>
  <si>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</si>
  <si>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</si>
  <si>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</si>
  <si>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</si>
  <si>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</si>
  <si>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</si>
  <si>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</si>
  <si>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</si>
  <si>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</si>
  <si>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</si>
  <si>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</si>
  <si>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</si>
  <si>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</si>
  <si>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</si>
  <si>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</si>
  <si>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</si>
  <si>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</si>
  <si>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</si>
  <si>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</si>
  <si>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</si>
  <si>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</si>
  <si>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</si>
  <si>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</si>
  <si>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</si>
  <si>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</si>
  <si>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</si>
  <si>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</si>
  <si>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</si>
  <si>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</si>
  <si>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</si>
  <si>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</si>
  <si>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</si>
  <si>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</si>
  <si>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</si>
  <si>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</si>
  <si>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</si>
  <si>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</si>
  <si>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</si>
  <si>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</si>
  <si>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</si>
  <si>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</si>
  <si>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</si>
  <si>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</si>
  <si>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</si>
  <si>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</si>
  <si>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</si>
  <si>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</si>
  <si>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</si>
  <si>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</si>
  <si>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</si>
  <si>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</si>
  <si>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</si>
  <si>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</si>
  <si>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</si>
  <si>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</si>
  <si>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</si>
  <si>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</si>
  <si>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</si>
  <si>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</si>
  <si>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</si>
  <si>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</si>
  <si>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</si>
  <si>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</si>
  <si>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</si>
  <si>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</si>
  <si>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</si>
  <si>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</si>
  <si>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</si>
  <si>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</si>
  <si>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</si>
  <si>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</si>
  <si>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</si>
  <si>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</si>
  <si>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</si>
  <si>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</si>
  <si>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</si>
  <si>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</si>
  <si>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</si>
  <si>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BUKIT SANTUAI|KOTAWARINGIN TIMUR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</si>
  <si>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</si>
  <si>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</si>
  <si>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</si>
  <si>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</si>
  <si>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</si>
  <si>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</si>
  <si>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</si>
  <si>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</si>
  <si>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</si>
  <si>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</si>
  <si>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</si>
  <si>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</si>
  <si>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</si>
  <si>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</si>
  <si>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</si>
  <si>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</si>
  <si>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</si>
  <si>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</si>
  <si>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</si>
  <si>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</si>
  <si>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</si>
  <si>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</si>
  <si>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</si>
  <si>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</si>
  <si>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</si>
  <si>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</si>
  <si>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</si>
  <si>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</si>
  <si>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</si>
  <si>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</si>
  <si>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</si>
  <si>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</si>
  <si>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</si>
  <si>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</si>
  <si>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</si>
  <si>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</si>
  <si>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</si>
  <si>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</si>
  <si>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</si>
  <si>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</si>
  <si>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</si>
  <si>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</si>
  <si>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</si>
  <si>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</si>
  <si>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</si>
  <si>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</si>
  <si>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</si>
  <si>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</si>
  <si>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</si>
  <si>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</si>
  <si>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</si>
  <si>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</si>
  <si>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</si>
  <si>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</si>
  <si>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</si>
  <si>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</si>
  <si>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</si>
  <si>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</si>
  <si>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</si>
  <si>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</si>
  <si>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</si>
  <si>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</si>
  <si>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</si>
  <si>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</si>
  <si>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</si>
  <si>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</si>
  <si>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</si>
  <si>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</si>
  <si>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</si>
  <si>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</si>
  <si>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</si>
  <si>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</si>
  <si>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</si>
  <si>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</si>
  <si>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</si>
  <si>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</si>
  <si>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</si>
  <si>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</si>
  <si>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</si>
  <si>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</si>
  <si>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</si>
  <si>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</si>
  <si>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</si>
  <si>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</si>
  <si>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</si>
  <si>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</si>
  <si>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</si>
  <si>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</si>
  <si>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</si>
  <si>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</si>
  <si>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</si>
  <si>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</si>
  <si>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</si>
  <si>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</si>
  <si>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</si>
  <si>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</si>
  <si>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</si>
  <si>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</si>
  <si>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</si>
  <si>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</si>
  <si>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</si>
  <si>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</si>
  <si>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</si>
  <si>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</si>
  <si>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</si>
  <si>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</si>
  <si>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</si>
  <si>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</si>
  <si>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</si>
  <si>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</si>
  <si>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</si>
  <si>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</si>
  <si>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</si>
  <si>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</si>
  <si>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</si>
  <si>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</si>
  <si>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</si>
  <si>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</si>
  <si>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</si>
  <si>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</si>
  <si>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</si>
  <si>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</si>
  <si>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</si>
  <si>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</si>
  <si>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</si>
  <si>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</si>
  <si>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</si>
  <si>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</si>
  <si>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</si>
  <si>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</si>
  <si>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</si>
  <si>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</si>
  <si>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</si>
  <si>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</si>
  <si>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</si>
  <si>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</si>
  <si>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</si>
  <si>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</si>
  <si>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</si>
  <si>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</si>
  <si>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</si>
  <si>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</si>
  <si>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</si>
  <si>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</si>
  <si>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</si>
  <si>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</si>
  <si>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</si>
  <si>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</si>
  <si>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</si>
  <si>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</si>
  <si>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</si>
  <si>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</si>
  <si>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</si>
  <si>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</si>
  <si>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</si>
  <si>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</si>
  <si>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</si>
  <si>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</si>
  <si>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</si>
  <si>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</si>
  <si>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</si>
  <si>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</si>
  <si>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</si>
  <si>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</si>
  <si>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</si>
  <si>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</si>
  <si>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</si>
  <si>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</si>
  <si>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</si>
  <si>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</si>
  <si>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</si>
  <si>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</si>
  <si>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</si>
  <si>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</si>
  <si>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</si>
  <si>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</si>
  <si>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</si>
  <si>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</si>
  <si>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</si>
  <si>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</si>
  <si>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MARATUA|BERAU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</si>
  <si>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</si>
  <si>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</si>
  <si>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</si>
  <si>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</si>
  <si>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</si>
  <si>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</si>
  <si>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</si>
  <si>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</si>
  <si>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</si>
  <si>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</si>
  <si>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</si>
  <si>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</si>
  <si>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</si>
  <si>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</si>
  <si>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</si>
  <si>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</si>
  <si>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</si>
  <si>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</si>
  <si>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</si>
  <si>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</si>
  <si>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</si>
  <si>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</si>
  <si>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</si>
  <si>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</si>
  <si>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</si>
  <si>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</si>
  <si>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</si>
  <si>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</si>
  <si>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</si>
  <si>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</si>
  <si>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</si>
  <si>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</si>
  <si>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</si>
  <si>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</si>
  <si>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</si>
  <si>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</si>
  <si>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</si>
  <si>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</si>
  <si>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</si>
  <si>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</si>
  <si>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</si>
  <si>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</si>
  <si>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</si>
  <si>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</si>
  <si>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</si>
  <si>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</si>
  <si>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</si>
  <si>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</si>
  <si>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</si>
  <si>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</si>
  <si>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</si>
  <si>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</si>
  <si>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</si>
  <si>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</si>
  <si>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</si>
  <si>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</si>
  <si>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</si>
  <si>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</si>
  <si>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</si>
  <si>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</si>
  <si>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</si>
  <si>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</si>
  <si>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</si>
  <si>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</si>
  <si>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</si>
  <si>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</si>
  <si>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</si>
  <si>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</si>
  <si>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</si>
  <si>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</si>
  <si>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</si>
  <si>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</si>
  <si>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</si>
  <si>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</si>
  <si>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</si>
  <si>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</si>
  <si>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</si>
  <si>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</si>
  <si>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</si>
  <si>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</si>
  <si>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</si>
  <si>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</si>
  <si>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</si>
  <si>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</si>
  <si>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</si>
  <si>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</si>
  <si>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</si>
  <si>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</si>
  <si>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</si>
  <si>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</si>
  <si>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</si>
  <si>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</si>
  <si>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</si>
  <si>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</si>
  <si>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</si>
  <si>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</si>
  <si>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</si>
  <si>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</si>
  <si>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</si>
  <si>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</si>
  <si>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</si>
  <si>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</si>
  <si>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</si>
  <si>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</si>
  <si>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</si>
  <si>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</si>
  <si>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</si>
  <si>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</si>
  <si>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</si>
  <si>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</si>
  <si>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</si>
  <si>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</si>
  <si>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</si>
  <si>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</si>
  <si>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</si>
  <si>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</si>
  <si>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</si>
  <si>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</si>
  <si>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</si>
  <si>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</si>
  <si>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</si>
  <si>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</si>
  <si>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</si>
  <si>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</si>
  <si>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</si>
  <si>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</si>
  <si>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</si>
  <si>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</si>
  <si>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</si>
  <si>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</si>
  <si>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</si>
  <si>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</si>
  <si>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</si>
  <si>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</si>
  <si>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</si>
  <si>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</si>
  <si>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</si>
  <si>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</si>
  <si>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</si>
  <si>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</si>
  <si>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</si>
  <si>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</si>
  <si>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</si>
  <si>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</si>
  <si>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</si>
  <si>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</si>
  <si>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</si>
  <si>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</si>
  <si>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</si>
  <si>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</si>
  <si>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</si>
  <si>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</si>
  <si>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</si>
  <si>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</si>
  <si>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</si>
  <si>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</si>
  <si>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</si>
  <si>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</si>
  <si>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</si>
  <si>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</si>
  <si>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</si>
  <si>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</si>
  <si>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</si>
  <si>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</si>
  <si>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</si>
  <si>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</si>
  <si>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</si>
  <si>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</si>
  <si>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</si>
  <si>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</si>
  <si>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</si>
  <si>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</si>
  <si>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</si>
  <si>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</si>
  <si>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</si>
  <si>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</si>
  <si>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</si>
  <si>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</si>
  <si>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</si>
  <si>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</si>
  <si>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</si>
  <si>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</si>
  <si>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</si>
  <si>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</si>
  <si>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</si>
  <si>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</si>
  <si>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</si>
  <si>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</si>
  <si>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</si>
  <si>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</si>
  <si>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</si>
  <si>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</si>
  <si>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</si>
  <si>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</si>
  <si>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</si>
  <si>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</si>
  <si>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</si>
  <si>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</si>
  <si>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</si>
  <si>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</si>
  <si>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</si>
  <si>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</si>
  <si>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</si>
  <si>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</si>
  <si>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</si>
  <si>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</si>
  <si>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</si>
  <si>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</si>
  <si>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</si>
  <si>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</si>
  <si>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</si>
  <si>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</si>
  <si>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</si>
  <si>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</si>
  <si>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</si>
  <si>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</si>
  <si>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</si>
  <si>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</si>
  <si>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</si>
  <si>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</si>
  <si>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</si>
  <si>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</si>
  <si>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</si>
  <si>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</si>
  <si>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</si>
  <si>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</si>
  <si>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</si>
  <si>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</si>
  <si>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</si>
  <si>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</si>
  <si>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</si>
  <si>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</si>
  <si>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</si>
  <si>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</si>
  <si>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</si>
  <si>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</si>
  <si>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</si>
  <si>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</si>
  <si>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</si>
  <si>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</si>
  <si>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</si>
  <si>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</si>
  <si>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</si>
  <si>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</si>
  <si>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</si>
  <si>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</si>
  <si>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</si>
  <si>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</si>
  <si>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</si>
  <si>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</si>
  <si>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</si>
  <si>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</si>
  <si>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</si>
  <si>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</si>
  <si>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</si>
  <si>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</si>
  <si>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</si>
  <si>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</si>
  <si>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</si>
  <si>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</si>
  <si>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</si>
  <si>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</si>
  <si>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</si>
  <si>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</si>
  <si>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</si>
  <si>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</si>
  <si>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</si>
  <si>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</si>
  <si>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</si>
  <si>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</si>
  <si>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</si>
  <si>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</si>
  <si>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</si>
  <si>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</si>
  <si>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</si>
  <si>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</si>
  <si>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</si>
  <si>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</si>
  <si>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</si>
  <si>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</si>
  <si>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</si>
  <si>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</si>
  <si>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</si>
  <si>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</si>
  <si>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</si>
  <si>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</si>
  <si>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</si>
  <si>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</si>
  <si>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</si>
  <si>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</si>
  <si>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</si>
  <si>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</si>
  <si>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</si>
  <si>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</si>
  <si>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</si>
  <si>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</si>
  <si>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</si>
  <si>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</si>
  <si>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</si>
  <si>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LAMANDAU|LAMANDAU</t>
  </si>
  <si>
    <t>PESO HILIR|BULUNGAN</t>
  </si>
  <si>
    <t>RUNGAN BARAT|GUNUNG MAS</t>
  </si>
  <si>
    <t>Total</t>
  </si>
  <si>
    <t>BARITO TUHUP RAYA|MURUNG RAYA</t>
  </si>
  <si>
    <t>DELANG|LAMANDAU</t>
  </si>
  <si>
    <t>KAPUAS HULU|KAPUAS</t>
  </si>
  <si>
    <t>KAYAN HILIR|MALINAU</t>
  </si>
  <si>
    <t>KELAY|BERAU</t>
  </si>
  <si>
    <t>KEPULAUAN KARIMATA|KAYONG UTARA</t>
  </si>
  <si>
    <t>MIRI MANASA|GUNUNG MAS</t>
  </si>
  <si>
    <t>MURUK RIAN|TANA TIDUNG</t>
  </si>
  <si>
    <t>PETAK MALAI|KATINGAN</t>
  </si>
  <si>
    <t>TANAH PINOH BARAT|MELAWI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</si>
</sst>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281736806.2241891</v>
      </c>
      <c r="D6" s="4">
        <f>IFERROR(VLOOKUP($A:$A,MASTER!$A:$T,4,0),0)</f>
        <v>287621011.34550458</v>
      </c>
      <c r="E6" s="9">
        <f>IFERROR(C6/D6-1,0)</f>
        <v>-2.0458189385361258E-2</v>
      </c>
      <c r="F6" s="4">
        <f>IFERROR(VLOOKUP(A:A,MASTER!A:E,5,0),0)</f>
        <v>1419819.8198198241</v>
      </c>
      <c r="G6" s="4">
        <f>IFERROR(VLOOKUP(A:A,MASTER!A:F,6,0),0)</f>
        <v>1857657.657657658</v>
      </c>
      <c r="H6" s="9">
        <f>IFERROR(F6/G6-1,0)</f>
        <v>-0.23569350145489598</v>
      </c>
      <c r="I6" s="4">
        <f>IFERROR(VLOOKUP(A:A,MASTER!A:M,13,0),0)</f>
        <v>34871981.981981978</v>
      </c>
      <c r="J6" s="4">
        <f>IFERROR(VLOOKUP($A:$A,MASTER!$A:$T,14,0),0)</f>
        <v>41920945.945945941</v>
      </c>
      <c r="K6" s="9">
        <f>IFERROR(I6/J6-1,0)</f>
        <v>-0.16814897194956191</v>
      </c>
      <c r="L6" s="4">
        <f>IFERROR(VLOOKUP($A:$A,MASTER!$A:$T,15,0),0)</f>
        <v>134998657.65765765</v>
      </c>
      <c r="M6" s="4">
        <f>IFERROR(VLOOKUP($A:$A,MASTER!$A:$T,16,0),0)</f>
        <v>135123729.72972974</v>
      </c>
      <c r="N6" s="9">
        <f>IFERROR(L6/M6-1,0)</f>
        <v>-9.256114549403005E-4</v>
      </c>
      <c r="O6" s="4">
        <f>IFERROR(VLOOKUP($A:$A,MASTER!$A:$T,17,0),0)</f>
        <v>32616036.036036033</v>
      </c>
      <c r="P6" s="4">
        <f>IFERROR(VLOOKUP($A:$A,MASTER!$A:$T,18,0),0)</f>
        <v>41843468.468468472</v>
      </c>
      <c r="Q6" s="9">
        <f>IFERROR(O6/P6-1,0)</f>
        <v>-0.22052264714589453</v>
      </c>
      <c r="R6" s="4">
        <f>IFERROR(VLOOKUP($A:$A,MASTER!$A:$T,19,0),0)</f>
        <v>8349</v>
      </c>
      <c r="S6" s="4">
        <f>IFERROR(VLOOKUP($A:$A,MASTER!$A:$T,20,0),0)</f>
        <v>7383</v>
      </c>
      <c r="T6" s="9">
        <f>IFERROR(R6/S6-1,0)</f>
        <v>0.13084112149532712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25119200.515578978</v>
      </c>
      <c r="D7" s="4">
        <f>IFERROR(VLOOKUP($A:$A,MASTER!$A:$T,4,0),0)</f>
        <v>10793808.574127875</v>
      </c>
      <c r="E7" s="9">
        <f t="shared" ref="E7:E22" si="0">IFERROR(C7/D7-1,0)</f>
        <v>1.3271860292008721</v>
      </c>
      <c r="F7" s="4">
        <f>IFERROR(VLOOKUP(A:A,MASTER!A:E,5,0),0)</f>
        <v>283483546.84684682</v>
      </c>
      <c r="G7" s="4">
        <f>IFERROR(VLOOKUP(A:A,MASTER!A:F,6,0),0)</f>
        <v>201386536.93693691</v>
      </c>
      <c r="H7" s="9">
        <f t="shared" ref="H7:H22" si="1">IFERROR(F7/G7-1,0)</f>
        <v>0.40765887908196241</v>
      </c>
      <c r="I7" s="4">
        <f>IFERROR(VLOOKUP(A:A,MASTER!A:M,13,0),0)</f>
        <v>40540.540540542002</v>
      </c>
      <c r="J7" s="4">
        <f>IFERROR(VLOOKUP($A:$A,MASTER!$A:$T,14,0),0)</f>
        <v>247747.74774774801</v>
      </c>
      <c r="K7" s="9">
        <f t="shared" ref="K7:K22" si="2">IFERROR(I7/J7-1,0)</f>
        <v>-0.83636363636363065</v>
      </c>
      <c r="L7" s="4">
        <f>IFERROR(VLOOKUP($A:$A,MASTER!$A:$T,15,0),0)</f>
        <v>14583684.684684685</v>
      </c>
      <c r="M7" s="4">
        <f>IFERROR(VLOOKUP($A:$A,MASTER!$A:$T,16,0),0)</f>
        <v>7056279.2792792786</v>
      </c>
      <c r="N7" s="9">
        <f t="shared" ref="N7:N22" si="3">IFERROR(L7/M7-1,0)</f>
        <v>1.0667669330364498</v>
      </c>
      <c r="O7" s="4">
        <f>IFERROR(VLOOKUP($A:$A,MASTER!$A:$T,17,0),0)</f>
        <v>157657.65765765801</v>
      </c>
      <c r="P7" s="4">
        <f>IFERROR(VLOOKUP($A:$A,MASTER!$A:$T,18,0),0)</f>
        <v>212162.16216216201</v>
      </c>
      <c r="Q7" s="9">
        <f t="shared" ref="Q7:Q22" si="4">IFERROR(O7/P7-1,0)</f>
        <v>-0.25690021231422289</v>
      </c>
      <c r="R7" s="4">
        <f>IFERROR(VLOOKUP($A:$A,MASTER!$A:$T,19,0),0)</f>
        <v>1101</v>
      </c>
      <c r="S7" s="4">
        <f>IFERROR(VLOOKUP($A:$A,MASTER!$A:$T,20,0),0)</f>
        <v>1258</v>
      </c>
      <c r="T7" s="9">
        <f t="shared" ref="T7:T22" si="5">IFERROR(R7/S7-1,0)</f>
        <v>-0.12480127186009538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211012647.83429208</v>
      </c>
      <c r="D8" s="4">
        <f>IFERROR(VLOOKUP($A:$A,MASTER!$A:$T,4,0),0)</f>
        <v>189520377.3389481</v>
      </c>
      <c r="E8" s="9">
        <f t="shared" si="0"/>
        <v>0.11340348091913133</v>
      </c>
      <c r="F8" s="4">
        <f>IFERROR(VLOOKUP(A:A,MASTER!A:E,5,0),0)</f>
        <v>2855855.855855858</v>
      </c>
      <c r="G8" s="4">
        <f>IFERROR(VLOOKUP(A:A,MASTER!A:F,6,0),0)</f>
        <v>936936.93693693704</v>
      </c>
      <c r="H8" s="9">
        <f t="shared" si="1"/>
        <v>2.0480769230769251</v>
      </c>
      <c r="I8" s="4">
        <f>IFERROR(VLOOKUP(A:A,MASTER!A:M,13,0),0)</f>
        <v>34886486.486486487</v>
      </c>
      <c r="J8" s="4">
        <f>IFERROR(VLOOKUP($A:$A,MASTER!$A:$T,14,0),0)</f>
        <v>65742342.342342347</v>
      </c>
      <c r="K8" s="9">
        <f t="shared" si="2"/>
        <v>-0.46934524625208984</v>
      </c>
      <c r="L8" s="4">
        <f>IFERROR(VLOOKUP($A:$A,MASTER!$A:$T,15,0),0)</f>
        <v>60115477.477477483</v>
      </c>
      <c r="M8" s="4">
        <f>IFERROR(VLOOKUP($A:$A,MASTER!$A:$T,16,0),0)</f>
        <v>55251945.945945941</v>
      </c>
      <c r="N8" s="9">
        <f t="shared" si="3"/>
        <v>8.8024619735377785E-2</v>
      </c>
      <c r="O8" s="4">
        <f>IFERROR(VLOOKUP($A:$A,MASTER!$A:$T,17,0),0)</f>
        <v>36592702.702702701</v>
      </c>
      <c r="P8" s="4">
        <f>IFERROR(VLOOKUP($A:$A,MASTER!$A:$T,18,0),0)</f>
        <v>64055765.765765756</v>
      </c>
      <c r="Q8" s="9">
        <f t="shared" si="4"/>
        <v>-0.42873678481165756</v>
      </c>
      <c r="R8" s="4">
        <f>IFERROR(VLOOKUP($A:$A,MASTER!$A:$T,19,0),0)</f>
        <v>3577</v>
      </c>
      <c r="S8" s="4">
        <f>IFERROR(VLOOKUP($A:$A,MASTER!$A:$T,20,0),0)</f>
        <v>3525</v>
      </c>
      <c r="T8" s="9">
        <f t="shared" si="5"/>
        <v>1.4751773049645367E-2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127175851.81632453</v>
      </c>
      <c r="D9" s="4">
        <f>IFERROR(VLOOKUP($A:$A,MASTER!$A:$T,4,0),0)</f>
        <v>122494970.29956411</v>
      </c>
      <c r="E9" s="9">
        <f t="shared" si="0"/>
        <v>3.821284666066882E-2</v>
      </c>
      <c r="F9" s="4">
        <f>IFERROR(VLOOKUP(A:A,MASTER!A:E,5,0),0)</f>
        <v>1517117.117117119</v>
      </c>
      <c r="G9" s="4">
        <f>IFERROR(VLOOKUP(A:A,MASTER!A:F,6,0),0)</f>
        <v>1500000.0000000009</v>
      </c>
      <c r="H9" s="9">
        <f t="shared" si="1"/>
        <v>1.1411411411412109E-2</v>
      </c>
      <c r="I9" s="4">
        <f>IFERROR(VLOOKUP(A:A,MASTER!A:M,13,0),0)</f>
        <v>25015315.315315317</v>
      </c>
      <c r="J9" s="4">
        <f>IFERROR(VLOOKUP($A:$A,MASTER!$A:$T,14,0),0)</f>
        <v>35628378.378378376</v>
      </c>
      <c r="K9" s="9">
        <f t="shared" si="2"/>
        <v>-0.29788229344459183</v>
      </c>
      <c r="L9" s="4">
        <f>IFERROR(VLOOKUP($A:$A,MASTER!$A:$T,15,0),0)</f>
        <v>44481396.396396399</v>
      </c>
      <c r="M9" s="4">
        <f>IFERROR(VLOOKUP($A:$A,MASTER!$A:$T,16,0),0)</f>
        <v>45631234.234234229</v>
      </c>
      <c r="N9" s="9">
        <f t="shared" si="3"/>
        <v>-2.5198482073386042E-2</v>
      </c>
      <c r="O9" s="4">
        <f>IFERROR(VLOOKUP($A:$A,MASTER!$A:$T,17,0),0)</f>
        <v>31037747.747747749</v>
      </c>
      <c r="P9" s="4">
        <f>IFERROR(VLOOKUP($A:$A,MASTER!$A:$T,18,0),0)</f>
        <v>33306756.756756756</v>
      </c>
      <c r="Q9" s="9">
        <f t="shared" si="4"/>
        <v>-6.8124585818422734E-2</v>
      </c>
      <c r="R9" s="4">
        <f>IFERROR(VLOOKUP($A:$A,MASTER!$A:$T,19,0),0)</f>
        <v>3495</v>
      </c>
      <c r="S9" s="4">
        <f>IFERROR(VLOOKUP($A:$A,MASTER!$A:$T,20,0),0)</f>
        <v>3577</v>
      </c>
      <c r="T9" s="9">
        <f t="shared" si="5"/>
        <v>-2.2924238188426038E-2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22612612.612612613</v>
      </c>
      <c r="G10" s="4">
        <f>IFERROR(VLOOKUP(A:A,MASTER!A:F,6,0),0)</f>
        <v>85270270.270270273</v>
      </c>
      <c r="H10" s="9">
        <f t="shared" si="1"/>
        <v>-0.7348124669836239</v>
      </c>
      <c r="I10" s="4">
        <f>IFERROR(VLOOKUP(A:A,MASTER!A:M,13,0),0)</f>
        <v>2242117.1171171172</v>
      </c>
      <c r="J10" s="4">
        <f>IFERROR(VLOOKUP($A:$A,MASTER!$A:$T,14,0),0)</f>
        <v>260135.135135135</v>
      </c>
      <c r="K10" s="9">
        <f t="shared" si="2"/>
        <v>7.619047619047624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131071438.19776903</v>
      </c>
      <c r="D11" s="4">
        <f>IFERROR(VLOOKUP($A:$A,MASTER!$A:$T,4,0),0)</f>
        <v>137641204.57151654</v>
      </c>
      <c r="E11" s="9">
        <f t="shared" si="0"/>
        <v>-4.7731101992310343E-2</v>
      </c>
      <c r="F11" s="4">
        <f>IFERROR(VLOOKUP(A:A,MASTER!A:E,5,0),0)</f>
        <v>462162.16216216201</v>
      </c>
      <c r="G11" s="4">
        <f>IFERROR(VLOOKUP(A:A,MASTER!A:F,6,0),0)</f>
        <v>37837.837837838</v>
      </c>
      <c r="H11" s="9">
        <f t="shared" si="1"/>
        <v>11.214285714285658</v>
      </c>
      <c r="I11" s="4">
        <f>IFERROR(VLOOKUP(A:A,MASTER!A:M,13,0),0)</f>
        <v>9208108.1081081089</v>
      </c>
      <c r="J11" s="4">
        <f>IFERROR(VLOOKUP($A:$A,MASTER!$A:$T,14,0),0)</f>
        <v>14891891.891891891</v>
      </c>
      <c r="K11" s="9">
        <f t="shared" si="2"/>
        <v>-0.38166969147005436</v>
      </c>
      <c r="L11" s="4">
        <f>IFERROR(VLOOKUP($A:$A,MASTER!$A:$T,15,0),0)</f>
        <v>55614099.0990991</v>
      </c>
      <c r="M11" s="4">
        <f>IFERROR(VLOOKUP($A:$A,MASTER!$A:$T,16,0),0)</f>
        <v>57708045.045045048</v>
      </c>
      <c r="N11" s="9">
        <f t="shared" si="3"/>
        <v>-3.6285165167378008E-2</v>
      </c>
      <c r="O11" s="4">
        <f>IFERROR(VLOOKUP($A:$A,MASTER!$A:$T,17,0),0)</f>
        <v>8852882.8828828819</v>
      </c>
      <c r="P11" s="4">
        <f>IFERROR(VLOOKUP($A:$A,MASTER!$A:$T,18,0),0)</f>
        <v>13207567.567567568</v>
      </c>
      <c r="Q11" s="9">
        <f t="shared" si="4"/>
        <v>-0.32971133120515139</v>
      </c>
      <c r="R11" s="4">
        <f>IFERROR(VLOOKUP($A:$A,MASTER!$A:$T,19,0),0)</f>
        <v>3019</v>
      </c>
      <c r="S11" s="4">
        <f>IFERROR(VLOOKUP($A:$A,MASTER!$A:$T,20,0),0)</f>
        <v>3388</v>
      </c>
      <c r="T11" s="9">
        <f t="shared" si="5"/>
        <v>-0.10891381345926798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478242715.63995087</v>
      </c>
      <c r="D12" s="4">
        <f>IFERROR(VLOOKUP($A:$A,MASTER!$A:$T,4,0),0)</f>
        <v>473079349.44388068</v>
      </c>
      <c r="E12" s="9">
        <f t="shared" si="0"/>
        <v>1.0914376630769995E-2</v>
      </c>
      <c r="F12" s="4">
        <f>IFERROR(VLOOKUP(A:A,MASTER!A:E,5,0),0)</f>
        <v>6032096.3963964051</v>
      </c>
      <c r="G12" s="4">
        <f>IFERROR(VLOOKUP(A:A,MASTER!A:F,6,0),0)</f>
        <v>18699472.972972974</v>
      </c>
      <c r="H12" s="9">
        <f t="shared" si="1"/>
        <v>-0.6774189088048197</v>
      </c>
      <c r="I12" s="4">
        <f>IFERROR(VLOOKUP(A:A,MASTER!A:M,13,0),0)</f>
        <v>186650120.72072074</v>
      </c>
      <c r="J12" s="4">
        <f>IFERROR(VLOOKUP($A:$A,MASTER!$A:$T,14,0),0)</f>
        <v>330125328.82882881</v>
      </c>
      <c r="K12" s="9">
        <f t="shared" si="2"/>
        <v>-0.43460830048124088</v>
      </c>
      <c r="L12" s="4">
        <f>IFERROR(VLOOKUP($A:$A,MASTER!$A:$T,15,0),0)</f>
        <v>326815765.76576579</v>
      </c>
      <c r="M12" s="4">
        <f>IFERROR(VLOOKUP($A:$A,MASTER!$A:$T,16,0),0)</f>
        <v>309151594.5945946</v>
      </c>
      <c r="N12" s="9">
        <f t="shared" si="3"/>
        <v>5.7137570952318972E-2</v>
      </c>
      <c r="O12" s="4">
        <f>IFERROR(VLOOKUP($A:$A,MASTER!$A:$T,17,0),0)</f>
        <v>155261981.98198199</v>
      </c>
      <c r="P12" s="4">
        <f>IFERROR(VLOOKUP($A:$A,MASTER!$A:$T,18,0),0)</f>
        <v>302879369.36936933</v>
      </c>
      <c r="Q12" s="9">
        <f t="shared" si="4"/>
        <v>-0.487380133202021</v>
      </c>
      <c r="R12" s="4">
        <f>IFERROR(VLOOKUP($A:$A,MASTER!$A:$T,19,0),0)</f>
        <v>12793</v>
      </c>
      <c r="S12" s="4">
        <f>IFERROR(VLOOKUP($A:$A,MASTER!$A:$T,20,0),0)</f>
        <v>13365</v>
      </c>
      <c r="T12" s="9">
        <f t="shared" si="5"/>
        <v>-4.279835390946507E-2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114197697.17776531</v>
      </c>
      <c r="D13" s="4">
        <f>IFERROR(VLOOKUP($A:$A,MASTER!$A:$T,4,0),0)</f>
        <v>111264732.80434835</v>
      </c>
      <c r="E13" s="9">
        <f t="shared" si="0"/>
        <v>2.6360233826961066E-2</v>
      </c>
      <c r="F13" s="4">
        <f>IFERROR(VLOOKUP(A:A,MASTER!A:E,5,0),0)</f>
        <v>248648.64864865001</v>
      </c>
      <c r="G13" s="4">
        <f>IFERROR(VLOOKUP(A:A,MASTER!A:F,6,0),0)</f>
        <v>93693.693693694004</v>
      </c>
      <c r="H13" s="9">
        <f t="shared" si="1"/>
        <v>1.6538461538461595</v>
      </c>
      <c r="I13" s="4">
        <f>IFERROR(VLOOKUP(A:A,MASTER!A:M,13,0),0)</f>
        <v>18212612.612612613</v>
      </c>
      <c r="J13" s="4">
        <f>IFERROR(VLOOKUP($A:$A,MASTER!$A:$T,14,0),0)</f>
        <v>36345495.495495498</v>
      </c>
      <c r="K13" s="9">
        <f t="shared" si="2"/>
        <v>-0.49890316903590426</v>
      </c>
      <c r="L13" s="4">
        <f>IFERROR(VLOOKUP($A:$A,MASTER!$A:$T,15,0),0)</f>
        <v>79993477.477477476</v>
      </c>
      <c r="M13" s="4">
        <f>IFERROR(VLOOKUP($A:$A,MASTER!$A:$T,16,0),0)</f>
        <v>73558405.405405402</v>
      </c>
      <c r="N13" s="9">
        <f t="shared" si="3"/>
        <v>8.7482484654285209E-2</v>
      </c>
      <c r="O13" s="4">
        <f>IFERROR(VLOOKUP($A:$A,MASTER!$A:$T,17,0),0)</f>
        <v>20641531.531531531</v>
      </c>
      <c r="P13" s="4">
        <f>IFERROR(VLOOKUP($A:$A,MASTER!$A:$T,18,0),0)</f>
        <v>36894144.144144148</v>
      </c>
      <c r="Q13" s="9">
        <f t="shared" si="4"/>
        <v>-0.44052011476710828</v>
      </c>
      <c r="R13" s="4">
        <f>IFERROR(VLOOKUP($A:$A,MASTER!$A:$T,19,0),0)</f>
        <v>5030</v>
      </c>
      <c r="S13" s="4">
        <f>IFERROR(VLOOKUP($A:$A,MASTER!$A:$T,20,0),0)</f>
        <v>4656</v>
      </c>
      <c r="T13" s="9">
        <f t="shared" si="5"/>
        <v>8.0326460481099593E-2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157709193.57733592</v>
      </c>
      <c r="D14" s="4">
        <f>IFERROR(VLOOKUP($A:$A,MASTER!$A:$T,4,0),0)</f>
        <v>162588682.14564791</v>
      </c>
      <c r="E14" s="9">
        <f t="shared" si="0"/>
        <v>-3.0011243734301973E-2</v>
      </c>
      <c r="F14" s="4">
        <f>IFERROR(VLOOKUP(A:A,MASTER!A:E,5,0),0)</f>
        <v>2563963.9639639659</v>
      </c>
      <c r="G14" s="4">
        <f>IFERROR(VLOOKUP(A:A,MASTER!A:F,6,0),0)</f>
        <v>2943243.2432432459</v>
      </c>
      <c r="H14" s="9">
        <f t="shared" si="1"/>
        <v>-0.12886440159167445</v>
      </c>
      <c r="I14" s="4">
        <f>IFERROR(VLOOKUP(A:A,MASTER!A:M,13,0),0)</f>
        <v>22359459.459459461</v>
      </c>
      <c r="J14" s="4">
        <f>IFERROR(VLOOKUP($A:$A,MASTER!$A:$T,14,0),0)</f>
        <v>31075225.225225229</v>
      </c>
      <c r="K14" s="9">
        <f t="shared" si="2"/>
        <v>-0.28047313261918916</v>
      </c>
      <c r="L14" s="4">
        <f>IFERROR(VLOOKUP($A:$A,MASTER!$A:$T,15,0),0)</f>
        <v>46852810.810810804</v>
      </c>
      <c r="M14" s="4">
        <f>IFERROR(VLOOKUP($A:$A,MASTER!$A:$T,16,0),0)</f>
        <v>49798720.720720723</v>
      </c>
      <c r="N14" s="9">
        <f t="shared" si="3"/>
        <v>-5.9156337096108458E-2</v>
      </c>
      <c r="O14" s="4">
        <f>IFERROR(VLOOKUP($A:$A,MASTER!$A:$T,17,0),0)</f>
        <v>20437387.387387387</v>
      </c>
      <c r="P14" s="4">
        <f>IFERROR(VLOOKUP($A:$A,MASTER!$A:$T,18,0),0)</f>
        <v>28794504.504504506</v>
      </c>
      <c r="Q14" s="9">
        <f t="shared" si="4"/>
        <v>-0.29023305873555705</v>
      </c>
      <c r="R14" s="4">
        <f>IFERROR(VLOOKUP($A:$A,MASTER!$A:$T,19,0),0)</f>
        <v>3887</v>
      </c>
      <c r="S14" s="4">
        <f>IFERROR(VLOOKUP($A:$A,MASTER!$A:$T,20,0),0)</f>
        <v>5362</v>
      </c>
      <c r="T14" s="9">
        <f t="shared" si="5"/>
        <v>-0.27508392390898917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309691792.12886536</v>
      </c>
      <c r="D15" s="4">
        <f>IFERROR(VLOOKUP($A:$A,MASTER!$A:$T,4,0),0)</f>
        <v>296128715.0304243</v>
      </c>
      <c r="E15" s="9">
        <f t="shared" si="0"/>
        <v>4.5801289810910806E-2</v>
      </c>
      <c r="F15" s="4">
        <f>IFERROR(VLOOKUP(A:A,MASTER!A:E,5,0),0)</f>
        <v>3638086.4864864899</v>
      </c>
      <c r="G15" s="4">
        <f>IFERROR(VLOOKUP(A:A,MASTER!A:F,6,0),0)</f>
        <v>5193406.3063063063</v>
      </c>
      <c r="H15" s="9">
        <f t="shared" si="1"/>
        <v>-0.29947971101956838</v>
      </c>
      <c r="I15" s="4">
        <f>IFERROR(VLOOKUP(A:A,MASTER!A:M,13,0),0)</f>
        <v>400492058.55855852</v>
      </c>
      <c r="J15" s="4">
        <f>IFERROR(VLOOKUP($A:$A,MASTER!$A:$T,14,0),0)</f>
        <v>423889036.93693697</v>
      </c>
      <c r="K15" s="9">
        <f t="shared" si="2"/>
        <v>-5.5195997866439916E-2</v>
      </c>
      <c r="L15" s="4">
        <f>IFERROR(VLOOKUP($A:$A,MASTER!$A:$T,15,0),0)</f>
        <v>112799603.6036036</v>
      </c>
      <c r="M15" s="4">
        <f>IFERROR(VLOOKUP($A:$A,MASTER!$A:$T,16,0),0)</f>
        <v>108532250.45045045</v>
      </c>
      <c r="N15" s="9">
        <f t="shared" si="3"/>
        <v>3.9318756733063287E-2</v>
      </c>
      <c r="O15" s="4">
        <f>IFERROR(VLOOKUP($A:$A,MASTER!$A:$T,17,0),0)</f>
        <v>339824144.14414412</v>
      </c>
      <c r="P15" s="4">
        <f>IFERROR(VLOOKUP($A:$A,MASTER!$A:$T,18,0),0)</f>
        <v>378964099.0990991</v>
      </c>
      <c r="Q15" s="9">
        <f t="shared" si="4"/>
        <v>-0.10328143232565123</v>
      </c>
      <c r="R15" s="4">
        <f>IFERROR(VLOOKUP($A:$A,MASTER!$A:$T,19,0),0)</f>
        <v>7306</v>
      </c>
      <c r="S15" s="4">
        <f>IFERROR(VLOOKUP($A:$A,MASTER!$A:$T,20,0),0)</f>
        <v>7109</v>
      </c>
      <c r="T15" s="9">
        <f t="shared" si="5"/>
        <v>2.7711351807567786E-2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129658555.7222601</v>
      </c>
      <c r="D17" s="4">
        <f>IFERROR(VLOOKUP($A:$A,MASTER!$A:$T,4,0),0)</f>
        <v>131385774.73431163</v>
      </c>
      <c r="E17" s="9">
        <f t="shared" si="0"/>
        <v>-1.3146164533750393E-2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78573169.369369373</v>
      </c>
      <c r="M17" s="4">
        <f>IFERROR(VLOOKUP($A:$A,MASTER!$A:$T,16,0),0)</f>
        <v>78657540.540540546</v>
      </c>
      <c r="N17" s="9">
        <f t="shared" si="3"/>
        <v>-1.0726393247407762E-3</v>
      </c>
      <c r="O17" s="4">
        <f>IFERROR(VLOOKUP($A:$A,MASTER!$A:$T,17,0),0)</f>
        <v>19639.639639640001</v>
      </c>
      <c r="P17" s="4">
        <f>IFERROR(VLOOKUP($A:$A,MASTER!$A:$T,18,0),0)</f>
        <v>512972.97297297203</v>
      </c>
      <c r="Q17" s="9">
        <f t="shared" si="4"/>
        <v>-0.96171408500175548</v>
      </c>
      <c r="R17" s="4">
        <f>IFERROR(VLOOKUP($A:$A,MASTER!$A:$T,19,0),0)</f>
        <v>3719</v>
      </c>
      <c r="S17" s="4">
        <f>IFERROR(VLOOKUP($A:$A,MASTER!$A:$T,20,0),0)</f>
        <v>3595</v>
      </c>
      <c r="T17" s="9">
        <f t="shared" si="5"/>
        <v>3.4492350486787116E-2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112175488.32540229</v>
      </c>
      <c r="D18" s="4">
        <f>IFERROR(VLOOKUP($A:$A,MASTER!$A:$T,4,0),0)</f>
        <v>106347405.56694141</v>
      </c>
      <c r="E18" s="9">
        <f t="shared" si="0"/>
        <v>5.4802303144032338E-2</v>
      </c>
      <c r="F18" s="4">
        <f>IFERROR(VLOOKUP(A:A,MASTER!A:E,5,0),0)</f>
        <v>112612.612612615</v>
      </c>
      <c r="G18" s="4">
        <f>IFERROR(VLOOKUP(A:A,MASTER!A:F,6,0),0)</f>
        <v>18018.018018018</v>
      </c>
      <c r="H18" s="9">
        <f t="shared" si="1"/>
        <v>5.2500000000001394</v>
      </c>
      <c r="I18" s="4">
        <f>IFERROR(VLOOKUP(A:A,MASTER!A:M,13,0),0)</f>
        <v>1914414.4144144161</v>
      </c>
      <c r="J18" s="4">
        <f>IFERROR(VLOOKUP($A:$A,MASTER!$A:$T,14,0),0)</f>
        <v>3081081.0810810812</v>
      </c>
      <c r="K18" s="9">
        <f t="shared" si="2"/>
        <v>-0.37865497076023336</v>
      </c>
      <c r="L18" s="4">
        <f>IFERROR(VLOOKUP($A:$A,MASTER!$A:$T,15,0),0)</f>
        <v>38266849.099099107</v>
      </c>
      <c r="M18" s="4">
        <f>IFERROR(VLOOKUP($A:$A,MASTER!$A:$T,16,0),0)</f>
        <v>42263036.036036029</v>
      </c>
      <c r="N18" s="9">
        <f t="shared" si="3"/>
        <v>-9.4555131664689984E-2</v>
      </c>
      <c r="O18" s="4">
        <f>IFERROR(VLOOKUP($A:$A,MASTER!$A:$T,17,0),0)</f>
        <v>2494684.684684685</v>
      </c>
      <c r="P18" s="4">
        <f>IFERROR(VLOOKUP($A:$A,MASTER!$A:$T,18,0),0)</f>
        <v>2301081.0810810812</v>
      </c>
      <c r="Q18" s="9">
        <f t="shared" si="4"/>
        <v>8.4135932973142369E-2</v>
      </c>
      <c r="R18" s="4">
        <f>IFERROR(VLOOKUP($A:$A,MASTER!$A:$T,19,0),0)</f>
        <v>4093</v>
      </c>
      <c r="S18" s="4">
        <f>IFERROR(VLOOKUP($A:$A,MASTER!$A:$T,20,0),0)</f>
        <v>4108</v>
      </c>
      <c r="T18" s="9">
        <f t="shared" si="5"/>
        <v>-3.6514118792599914E-3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72616138.710239813</v>
      </c>
      <c r="D19" s="4">
        <f>IFERROR(VLOOKUP($A:$A,MASTER!$A:$T,4,0),0)</f>
        <v>70314994.90189743</v>
      </c>
      <c r="E19" s="9">
        <f t="shared" si="0"/>
        <v>3.2726217381554346E-2</v>
      </c>
      <c r="F19" s="4">
        <f>IFERROR(VLOOKUP(A:A,MASTER!A:E,5,0),0)</f>
        <v>2367567.5675675701</v>
      </c>
      <c r="G19" s="4">
        <f>IFERROR(VLOOKUP(A:A,MASTER!A:F,6,0),0)</f>
        <v>140540.540540541</v>
      </c>
      <c r="H19" s="9">
        <f t="shared" si="1"/>
        <v>15.846153846153811</v>
      </c>
      <c r="I19" s="4">
        <f>IFERROR(VLOOKUP(A:A,MASTER!A:M,13,0),0)</f>
        <v>5520720.7207207223</v>
      </c>
      <c r="J19" s="4">
        <f>IFERROR(VLOOKUP($A:$A,MASTER!$A:$T,14,0),0)</f>
        <v>590990.99099099101</v>
      </c>
      <c r="K19" s="9">
        <f t="shared" si="2"/>
        <v>8.3414634146341484</v>
      </c>
      <c r="L19" s="4">
        <f>IFERROR(VLOOKUP($A:$A,MASTER!$A:$T,15,0),0)</f>
        <v>28820108.108108107</v>
      </c>
      <c r="M19" s="4">
        <f>IFERROR(VLOOKUP($A:$A,MASTER!$A:$T,16,0),0)</f>
        <v>31112270.270270273</v>
      </c>
      <c r="N19" s="9">
        <f t="shared" si="3"/>
        <v>-7.3673895933993316E-2</v>
      </c>
      <c r="O19" s="4">
        <f>IFERROR(VLOOKUP($A:$A,MASTER!$A:$T,17,0),0)</f>
        <v>8085315.3153153146</v>
      </c>
      <c r="P19" s="4">
        <f>IFERROR(VLOOKUP($A:$A,MASTER!$A:$T,18,0),0)</f>
        <v>2466216.2162162159</v>
      </c>
      <c r="Q19" s="9">
        <f t="shared" si="4"/>
        <v>2.2784292237442925</v>
      </c>
      <c r="R19" s="4">
        <f>IFERROR(VLOOKUP($A:$A,MASTER!$A:$T,19,0),0)</f>
        <v>2897</v>
      </c>
      <c r="S19" s="4">
        <f>IFERROR(VLOOKUP($A:$A,MASTER!$A:$T,20,0),0)</f>
        <v>3015</v>
      </c>
      <c r="T19" s="9">
        <f t="shared" si="5"/>
        <v>-3.9137645107794383E-2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713734623.42342341</v>
      </c>
      <c r="G20" s="4">
        <f>IFERROR(VLOOKUP(A:A,MASTER!A:F,6,0),0)</f>
        <v>787896980.18018019</v>
      </c>
      <c r="H20" s="9">
        <f t="shared" si="1"/>
        <v>-9.4126971701042672E-2</v>
      </c>
      <c r="I20" s="4">
        <f>IFERROR(VLOOKUP(A:A,MASTER!A:M,13,0),0)</f>
        <v>65077477.477477483</v>
      </c>
      <c r="J20" s="4">
        <f>IFERROR(VLOOKUP($A:$A,MASTER!$A:$T,14,0),0)</f>
        <v>63345045.045045048</v>
      </c>
      <c r="K20" s="9">
        <f t="shared" si="2"/>
        <v>2.7349138850568222E-2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257816845.62451848</v>
      </c>
      <c r="D21" s="4">
        <f>IFERROR(VLOOKUP($A:$A,MASTER!$A:$T,4,0),0)</f>
        <v>246469552.15097463</v>
      </c>
      <c r="E21" s="9">
        <f t="shared" si="0"/>
        <v>4.6039331732923738E-2</v>
      </c>
      <c r="F21" s="4">
        <f>IFERROR(VLOOKUP(A:A,MASTER!A:E,5,0),0)</f>
        <v>1690990.990990995</v>
      </c>
      <c r="G21" s="4">
        <f>IFERROR(VLOOKUP(A:A,MASTER!A:F,6,0),0)</f>
        <v>1499549.5495495489</v>
      </c>
      <c r="H21" s="9">
        <f t="shared" si="1"/>
        <v>0.12766596575548528</v>
      </c>
      <c r="I21" s="4">
        <f>IFERROR(VLOOKUP(A:A,MASTER!A:M,13,0),0)</f>
        <v>50571171.171171166</v>
      </c>
      <c r="J21" s="4">
        <f>IFERROR(VLOOKUP($A:$A,MASTER!$A:$T,14,0),0)</f>
        <v>61167567.567567565</v>
      </c>
      <c r="K21" s="9">
        <f t="shared" si="2"/>
        <v>-0.17323553670319314</v>
      </c>
      <c r="L21" s="4">
        <f>IFERROR(VLOOKUP($A:$A,MASTER!$A:$T,15,0),0)</f>
        <v>148688135.13513514</v>
      </c>
      <c r="M21" s="4">
        <f>IFERROR(VLOOKUP($A:$A,MASTER!$A:$T,16,0),0)</f>
        <v>142414693.6936937</v>
      </c>
      <c r="N21" s="9">
        <f t="shared" si="3"/>
        <v>4.405052090295114E-2</v>
      </c>
      <c r="O21" s="4">
        <f>IFERROR(VLOOKUP($A:$A,MASTER!$A:$T,17,0),0)</f>
        <v>54530763.963963963</v>
      </c>
      <c r="P21" s="4">
        <f>IFERROR(VLOOKUP($A:$A,MASTER!$A:$T,18,0),0)</f>
        <v>64580990.990990989</v>
      </c>
      <c r="Q21" s="9">
        <f t="shared" si="4"/>
        <v>-0.15562206266591705</v>
      </c>
      <c r="R21" s="4">
        <f>IFERROR(VLOOKUP($A:$A,MASTER!$A:$T,19,0),0)</f>
        <v>7225</v>
      </c>
      <c r="S21" s="4">
        <f>IFERROR(VLOOKUP($A:$A,MASTER!$A:$T,20,0),0)</f>
        <v>7181</v>
      </c>
      <c r="T21" s="9">
        <f t="shared" si="5"/>
        <v>6.1272803230747463E-3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132298469.86364251</v>
      </c>
      <c r="D22" s="4">
        <f>IFERROR(VLOOKUP($A:$A,MASTER!$A:$T,4,0),0)</f>
        <v>137635055.77657807</v>
      </c>
      <c r="E22" s="9">
        <f t="shared" si="0"/>
        <v>-3.8773449705999274E-2</v>
      </c>
      <c r="F22" s="4">
        <f>IFERROR(VLOOKUP(A:A,MASTER!A:E,5,0),0)</f>
        <v>830630.63063063298</v>
      </c>
      <c r="G22" s="4">
        <f>IFERROR(VLOOKUP(A:A,MASTER!A:F,6,0),0)</f>
        <v>160360.36036036201</v>
      </c>
      <c r="H22" s="9">
        <f t="shared" si="1"/>
        <v>4.1797752808988378</v>
      </c>
      <c r="I22" s="4">
        <f>IFERROR(VLOOKUP(A:A,MASTER!A:M,13,0),0)</f>
        <v>29449549.549549554</v>
      </c>
      <c r="J22" s="4">
        <f>IFERROR(VLOOKUP($A:$A,MASTER!$A:$T,14,0),0)</f>
        <v>19658108.108108107</v>
      </c>
      <c r="K22" s="9">
        <f t="shared" si="2"/>
        <v>0.49808666162553594</v>
      </c>
      <c r="L22" s="4">
        <f>IFERROR(VLOOKUP($A:$A,MASTER!$A:$T,15,0),0)</f>
        <v>45125450.45045045</v>
      </c>
      <c r="M22" s="4">
        <f>IFERROR(VLOOKUP($A:$A,MASTER!$A:$T,16,0),0)</f>
        <v>48412369.369369365</v>
      </c>
      <c r="N22" s="9">
        <f t="shared" si="3"/>
        <v>-6.7894196498437753E-2</v>
      </c>
      <c r="O22" s="4">
        <f>IFERROR(VLOOKUP($A:$A,MASTER!$A:$T,17,0),0)</f>
        <v>32098468.468468472</v>
      </c>
      <c r="P22" s="4">
        <f>IFERROR(VLOOKUP($A:$A,MASTER!$A:$T,18,0),0)</f>
        <v>20217927.927927926</v>
      </c>
      <c r="Q22" s="9">
        <f t="shared" si="4"/>
        <v>0.58762404252759382</v>
      </c>
      <c r="R22" s="4">
        <f>IFERROR(VLOOKUP($A:$A,MASTER!$A:$T,19,0),0)</f>
        <v>3806</v>
      </c>
      <c r="S22" s="4">
        <f>IFERROR(VLOOKUP($A:$A,MASTER!$A:$T,20,0),0)</f>
        <v>4089</v>
      </c>
      <c r="T22" s="9">
        <f t="shared" si="5"/>
        <v>-6.9210075813157301E-2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" sqref="A4:T57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408542539.82570028</v>
      </c>
      <c r="D4">
        <v>471857739.7845062</v>
      </c>
      <c r="E4">
        <v>113367345.04504503</v>
      </c>
      <c r="F4">
        <v>80894637.837837845</v>
      </c>
      <c r="G4">
        <v>44</v>
      </c>
      <c r="H4">
        <v>12</v>
      </c>
      <c r="K4">
        <v>61</v>
      </c>
      <c r="L4">
        <v>18</v>
      </c>
      <c r="M4">
        <v>59725276.576576576</v>
      </c>
      <c r="N4">
        <v>22525675.675675675</v>
      </c>
      <c r="O4">
        <v>50924520.720720723</v>
      </c>
      <c r="P4">
        <v>64827585.585585587</v>
      </c>
      <c r="Q4">
        <v>39892972.972972974</v>
      </c>
      <c r="R4">
        <v>20159459.459459461</v>
      </c>
      <c r="S4">
        <v>8403</v>
      </c>
      <c r="T4">
        <v>8447</v>
      </c>
    </row>
    <row r="5" spans="1:20" x14ac:dyDescent="0.35">
      <c r="A5" s="7" t="s">
        <v>50</v>
      </c>
      <c r="B5" s="12" t="s">
        <v>51</v>
      </c>
      <c r="C5">
        <v>617729706.13248098</v>
      </c>
      <c r="D5">
        <v>654159781.32402873</v>
      </c>
      <c r="E5">
        <v>195458029.72972974</v>
      </c>
      <c r="F5">
        <v>157806707.20720723</v>
      </c>
      <c r="G5">
        <v>401</v>
      </c>
      <c r="H5">
        <v>355</v>
      </c>
      <c r="K5">
        <v>655</v>
      </c>
      <c r="L5">
        <v>574</v>
      </c>
      <c r="M5">
        <v>184687207.2072072</v>
      </c>
      <c r="N5">
        <v>175006891.8918919</v>
      </c>
      <c r="O5">
        <v>195981630.63063061</v>
      </c>
      <c r="P5">
        <v>207172585.58558556</v>
      </c>
      <c r="Q5">
        <v>98589189.189189181</v>
      </c>
      <c r="R5">
        <v>63994054.054054059</v>
      </c>
      <c r="S5">
        <v>20739</v>
      </c>
      <c r="T5">
        <v>19927</v>
      </c>
    </row>
    <row r="6" spans="1:20" x14ac:dyDescent="0.35">
      <c r="A6" s="7" t="s">
        <v>52</v>
      </c>
      <c r="B6" s="12" t="s">
        <v>53</v>
      </c>
      <c r="C6">
        <v>156026060.68630829</v>
      </c>
      <c r="D6">
        <v>164912791.03418601</v>
      </c>
      <c r="E6">
        <v>4016216.2162162168</v>
      </c>
      <c r="F6">
        <v>2368918.9189189211</v>
      </c>
      <c r="G6">
        <v>83</v>
      </c>
      <c r="H6">
        <v>54</v>
      </c>
      <c r="K6">
        <v>91</v>
      </c>
      <c r="L6">
        <v>76</v>
      </c>
      <c r="M6">
        <v>48432882.882882878</v>
      </c>
      <c r="N6">
        <v>27666216.216216218</v>
      </c>
      <c r="O6">
        <v>50976747.747747742</v>
      </c>
      <c r="P6">
        <v>53959954.954954952</v>
      </c>
      <c r="Q6">
        <v>44875585.585585594</v>
      </c>
      <c r="R6">
        <v>26747387.387387387</v>
      </c>
      <c r="S6">
        <v>4480</v>
      </c>
      <c r="T6">
        <v>5090</v>
      </c>
    </row>
    <row r="7" spans="1:20" x14ac:dyDescent="0.35">
      <c r="A7" s="7" t="s">
        <v>54</v>
      </c>
      <c r="B7" s="12" t="s">
        <v>55</v>
      </c>
      <c r="C7">
        <v>84484844.733345598</v>
      </c>
      <c r="D7">
        <v>78517769.280066624</v>
      </c>
      <c r="E7">
        <v>709009.00900901097</v>
      </c>
      <c r="F7">
        <v>1881981.9819819829</v>
      </c>
      <c r="G7">
        <v>23</v>
      </c>
      <c r="H7">
        <v>36</v>
      </c>
      <c r="K7">
        <v>34</v>
      </c>
      <c r="L7">
        <v>61</v>
      </c>
      <c r="M7">
        <v>7176036.036036036</v>
      </c>
      <c r="N7">
        <v>13995945.945945946</v>
      </c>
      <c r="O7">
        <v>26717380.630630631</v>
      </c>
      <c r="P7">
        <v>25844882.882882886</v>
      </c>
      <c r="Q7">
        <v>7887387.3873873875</v>
      </c>
      <c r="R7">
        <v>12793963.963963963</v>
      </c>
      <c r="S7">
        <v>3642</v>
      </c>
      <c r="T7">
        <v>3599</v>
      </c>
    </row>
    <row r="8" spans="1:20" x14ac:dyDescent="0.35">
      <c r="A8" s="7" t="s">
        <v>56</v>
      </c>
      <c r="B8" s="12" t="s">
        <v>55</v>
      </c>
      <c r="C8">
        <v>138105896.39908618</v>
      </c>
      <c r="D8">
        <v>145216962.06640002</v>
      </c>
      <c r="E8">
        <v>2801801.8018018031</v>
      </c>
      <c r="F8">
        <v>2290540.5405405411</v>
      </c>
      <c r="G8">
        <v>52</v>
      </c>
      <c r="H8">
        <v>59</v>
      </c>
      <c r="K8">
        <v>114</v>
      </c>
      <c r="L8">
        <v>103</v>
      </c>
      <c r="M8">
        <v>22331531.531531531</v>
      </c>
      <c r="N8">
        <v>129182342.34234233</v>
      </c>
      <c r="O8">
        <v>39550423.423423424</v>
      </c>
      <c r="P8">
        <v>43365881.081081077</v>
      </c>
      <c r="Q8">
        <v>45464054.054054059</v>
      </c>
      <c r="R8">
        <v>50153963.963963971</v>
      </c>
      <c r="S8">
        <v>4429</v>
      </c>
      <c r="T8">
        <v>4435</v>
      </c>
    </row>
    <row r="9" spans="1:20" x14ac:dyDescent="0.35">
      <c r="A9" s="7" t="s">
        <v>57</v>
      </c>
      <c r="B9" s="12" t="s">
        <v>55</v>
      </c>
      <c r="C9">
        <v>67529501.924785823</v>
      </c>
      <c r="D9">
        <v>73637116.621540084</v>
      </c>
      <c r="E9">
        <v>1081081.0810810809</v>
      </c>
      <c r="F9">
        <v>1643243.2432432431</v>
      </c>
      <c r="G9">
        <v>15</v>
      </c>
      <c r="H9">
        <v>33</v>
      </c>
      <c r="K9">
        <v>18</v>
      </c>
      <c r="L9">
        <v>82</v>
      </c>
      <c r="M9">
        <v>7285405.4054054059</v>
      </c>
      <c r="N9">
        <v>11972252.252252256</v>
      </c>
      <c r="O9">
        <v>20804171.17117117</v>
      </c>
      <c r="P9">
        <v>24211432.432432432</v>
      </c>
      <c r="Q9">
        <v>6171801.8018018026</v>
      </c>
      <c r="R9">
        <v>11403333.333333334</v>
      </c>
      <c r="S9">
        <v>2044</v>
      </c>
      <c r="T9">
        <v>2020</v>
      </c>
    </row>
    <row r="10" spans="1:20" x14ac:dyDescent="0.35">
      <c r="A10" s="7" t="s">
        <v>58</v>
      </c>
      <c r="B10" s="12" t="s">
        <v>59</v>
      </c>
      <c r="C10">
        <v>183818123.16276139</v>
      </c>
      <c r="D10">
        <v>183253626.24859881</v>
      </c>
      <c r="E10">
        <v>13635135.135135137</v>
      </c>
      <c r="F10">
        <v>16423423.423423424</v>
      </c>
      <c r="G10">
        <v>60</v>
      </c>
      <c r="H10">
        <v>39</v>
      </c>
      <c r="I10">
        <v>1</v>
      </c>
      <c r="K10">
        <v>69</v>
      </c>
      <c r="L10">
        <v>53</v>
      </c>
      <c r="M10">
        <v>3364864.8648648649</v>
      </c>
      <c r="N10">
        <v>4675675.6756756753</v>
      </c>
      <c r="O10">
        <v>34285549.54954955</v>
      </c>
      <c r="P10">
        <v>37022693.693693697</v>
      </c>
      <c r="Q10">
        <v>3205855.855855857</v>
      </c>
      <c r="R10">
        <v>3863153.1531531531</v>
      </c>
      <c r="S10">
        <v>5411</v>
      </c>
      <c r="T10">
        <v>6051</v>
      </c>
    </row>
    <row r="11" spans="1:20" x14ac:dyDescent="0.35">
      <c r="A11" s="7" t="s">
        <v>60</v>
      </c>
      <c r="B11" s="12" t="s">
        <v>61</v>
      </c>
      <c r="C11">
        <v>78746662.775023863</v>
      </c>
      <c r="D11">
        <v>82388783.402544841</v>
      </c>
      <c r="E11">
        <v>546846.84684684896</v>
      </c>
      <c r="F11">
        <v>872972.97297297395</v>
      </c>
      <c r="G11">
        <v>35</v>
      </c>
      <c r="H11">
        <v>28</v>
      </c>
      <c r="I11">
        <v>1</v>
      </c>
      <c r="K11">
        <v>52</v>
      </c>
      <c r="L11">
        <v>35</v>
      </c>
      <c r="M11">
        <v>10357657.657657657</v>
      </c>
      <c r="N11">
        <v>12999099.099099098</v>
      </c>
      <c r="O11">
        <v>36435189.189189196</v>
      </c>
      <c r="P11">
        <v>38549648.648648649</v>
      </c>
      <c r="Q11">
        <v>8568828.8288288303</v>
      </c>
      <c r="R11">
        <v>8540000</v>
      </c>
      <c r="S11">
        <v>3036</v>
      </c>
      <c r="T11">
        <v>2958</v>
      </c>
    </row>
    <row r="12" spans="1:20" x14ac:dyDescent="0.35">
      <c r="A12" s="7" t="s">
        <v>62</v>
      </c>
      <c r="B12" s="12" t="s">
        <v>63</v>
      </c>
      <c r="C12">
        <v>356776359.63929832</v>
      </c>
      <c r="D12">
        <v>373104925.92965204</v>
      </c>
      <c r="E12">
        <v>3486036.0360360448</v>
      </c>
      <c r="F12">
        <v>2302702.702702709</v>
      </c>
      <c r="G12">
        <v>42</v>
      </c>
      <c r="H12">
        <v>24</v>
      </c>
      <c r="K12">
        <v>47</v>
      </c>
      <c r="L12">
        <v>29</v>
      </c>
      <c r="M12">
        <v>54130810.810810819</v>
      </c>
      <c r="N12">
        <v>29650630.630630631</v>
      </c>
      <c r="O12">
        <v>37580034.234234229</v>
      </c>
      <c r="P12">
        <v>46491953.153153151</v>
      </c>
      <c r="Q12">
        <v>52318018.018018007</v>
      </c>
      <c r="R12">
        <v>35247747.747747742</v>
      </c>
      <c r="S12">
        <v>8698</v>
      </c>
      <c r="T12">
        <v>8806</v>
      </c>
    </row>
    <row r="13" spans="1:20" x14ac:dyDescent="0.35">
      <c r="A13" s="7" t="s">
        <v>64</v>
      </c>
      <c r="B13" s="12" t="s">
        <v>51</v>
      </c>
      <c r="C13">
        <v>191986190.02871954</v>
      </c>
      <c r="D13">
        <v>188714324.94014451</v>
      </c>
      <c r="E13">
        <v>2221621.621621625</v>
      </c>
      <c r="F13">
        <v>1806306.3063063121</v>
      </c>
      <c r="G13">
        <v>68</v>
      </c>
      <c r="H13">
        <v>59</v>
      </c>
      <c r="K13">
        <v>107</v>
      </c>
      <c r="L13">
        <v>63</v>
      </c>
      <c r="M13">
        <v>47941981.981981985</v>
      </c>
      <c r="N13">
        <v>37608720.720720723</v>
      </c>
      <c r="O13">
        <v>72786855.855855852</v>
      </c>
      <c r="P13">
        <v>75985522.522522524</v>
      </c>
      <c r="Q13">
        <v>45853873.873873875</v>
      </c>
      <c r="R13">
        <v>35827477.477477476</v>
      </c>
      <c r="S13">
        <v>5602</v>
      </c>
      <c r="T13">
        <v>5538</v>
      </c>
    </row>
    <row r="14" spans="1:20" x14ac:dyDescent="0.35">
      <c r="A14" s="7" t="s">
        <v>65</v>
      </c>
      <c r="B14" s="12" t="s">
        <v>51</v>
      </c>
      <c r="C14">
        <v>195353223.68333483</v>
      </c>
      <c r="D14">
        <v>195038015.50453442</v>
      </c>
      <c r="E14">
        <v>2873873.873873875</v>
      </c>
      <c r="F14">
        <v>3549099.0990991001</v>
      </c>
      <c r="G14">
        <v>47</v>
      </c>
      <c r="H14">
        <v>28</v>
      </c>
      <c r="K14">
        <v>63</v>
      </c>
      <c r="L14">
        <v>34</v>
      </c>
      <c r="M14">
        <v>18757657.657657657</v>
      </c>
      <c r="N14">
        <v>34900270.270270266</v>
      </c>
      <c r="O14">
        <v>74410144.144144148</v>
      </c>
      <c r="P14">
        <v>75200945.945945948</v>
      </c>
      <c r="Q14">
        <v>17837117.117117114</v>
      </c>
      <c r="R14">
        <v>25965765.765765768</v>
      </c>
      <c r="S14">
        <v>5542</v>
      </c>
      <c r="T14">
        <v>5554</v>
      </c>
    </row>
    <row r="15" spans="1:20" x14ac:dyDescent="0.35">
      <c r="A15" s="7" t="s">
        <v>66</v>
      </c>
      <c r="B15" s="12" t="s">
        <v>67</v>
      </c>
      <c r="C15">
        <v>197429124.99696273</v>
      </c>
      <c r="D15">
        <v>197584147.70176539</v>
      </c>
      <c r="E15">
        <v>4171171.171171173</v>
      </c>
      <c r="F15">
        <v>6874774.774774774</v>
      </c>
      <c r="G15">
        <v>50</v>
      </c>
      <c r="H15">
        <v>45</v>
      </c>
      <c r="K15">
        <v>61</v>
      </c>
      <c r="L15">
        <v>56</v>
      </c>
      <c r="M15">
        <v>132733783.78378379</v>
      </c>
      <c r="N15">
        <v>127422747.74774775</v>
      </c>
      <c r="O15">
        <v>100167342.34234233</v>
      </c>
      <c r="P15">
        <v>96771648.648648635</v>
      </c>
      <c r="Q15">
        <v>81086486.486486495</v>
      </c>
      <c r="R15">
        <v>102687882.88288288</v>
      </c>
      <c r="S15">
        <v>5557</v>
      </c>
      <c r="T15">
        <v>5549</v>
      </c>
    </row>
    <row r="16" spans="1:20" x14ac:dyDescent="0.35">
      <c r="A16" s="7" t="s">
        <v>68</v>
      </c>
      <c r="B16" s="12" t="s">
        <v>69</v>
      </c>
      <c r="C16">
        <v>113723279.25923595</v>
      </c>
      <c r="D16">
        <v>119462224.46380331</v>
      </c>
      <c r="E16">
        <v>15195495.495495496</v>
      </c>
      <c r="F16">
        <v>23743243.243243244</v>
      </c>
      <c r="G16">
        <v>42</v>
      </c>
      <c r="H16">
        <v>16</v>
      </c>
      <c r="K16">
        <v>49</v>
      </c>
      <c r="L16">
        <v>21</v>
      </c>
      <c r="M16">
        <v>22952702.702702705</v>
      </c>
      <c r="N16">
        <v>18984414.414414417</v>
      </c>
      <c r="O16">
        <v>31365378.37837838</v>
      </c>
      <c r="P16">
        <v>35134729.729729727</v>
      </c>
      <c r="Q16">
        <v>14136486.486486483</v>
      </c>
      <c r="R16">
        <v>13180990.990990993</v>
      </c>
      <c r="S16">
        <v>3242</v>
      </c>
      <c r="T16">
        <v>3228</v>
      </c>
    </row>
    <row r="17" spans="1:20" x14ac:dyDescent="0.35">
      <c r="A17" s="7" t="s">
        <v>70</v>
      </c>
      <c r="B17" s="12" t="s">
        <v>71</v>
      </c>
      <c r="C17">
        <v>9140779.0563150123</v>
      </c>
      <c r="D17">
        <v>9027723.2946823183</v>
      </c>
      <c r="E17">
        <v>13513.513513514001</v>
      </c>
      <c r="F17">
        <v>531531.53153153195</v>
      </c>
      <c r="G17">
        <v>2</v>
      </c>
      <c r="H17">
        <v>3</v>
      </c>
      <c r="K17">
        <v>2</v>
      </c>
      <c r="L17">
        <v>3</v>
      </c>
      <c r="M17">
        <v>193693.69369369399</v>
      </c>
      <c r="N17">
        <v>2117117.1171171172</v>
      </c>
      <c r="O17">
        <v>2582783.7837837841</v>
      </c>
      <c r="P17">
        <v>3010576.576576577</v>
      </c>
      <c r="Q17">
        <v>194594.59459459499</v>
      </c>
      <c r="R17">
        <v>1709909.9099099101</v>
      </c>
      <c r="S17">
        <v>308</v>
      </c>
      <c r="T17">
        <v>340</v>
      </c>
    </row>
    <row r="18" spans="1:20" x14ac:dyDescent="0.35">
      <c r="A18" s="7" t="s">
        <v>72</v>
      </c>
      <c r="B18" s="12" t="s">
        <v>73</v>
      </c>
      <c r="C18">
        <v>1566681706.5983176</v>
      </c>
      <c r="D18">
        <v>1613306912.0169108</v>
      </c>
      <c r="E18">
        <v>471128758.55855858</v>
      </c>
      <c r="F18">
        <v>518097157.65765774</v>
      </c>
      <c r="G18">
        <v>448</v>
      </c>
      <c r="H18">
        <v>560</v>
      </c>
      <c r="I18">
        <v>19</v>
      </c>
      <c r="K18">
        <v>712</v>
      </c>
      <c r="L18">
        <v>983</v>
      </c>
      <c r="M18">
        <v>165621628.82882884</v>
      </c>
      <c r="N18">
        <v>206924324.32432431</v>
      </c>
      <c r="O18">
        <v>314909459.45945948</v>
      </c>
      <c r="P18">
        <v>394645049.54954958</v>
      </c>
      <c r="Q18">
        <v>147146619.81981981</v>
      </c>
      <c r="R18">
        <v>171252655.85585588</v>
      </c>
      <c r="S18">
        <v>45223</v>
      </c>
      <c r="T18">
        <v>45758</v>
      </c>
    </row>
    <row r="19" spans="1:20" x14ac:dyDescent="0.35">
      <c r="A19" s="7" t="s">
        <v>74</v>
      </c>
      <c r="B19" s="12" t="s">
        <v>73</v>
      </c>
      <c r="C19">
        <v>148437626.81445763</v>
      </c>
      <c r="D19">
        <v>153607700.73576024</v>
      </c>
      <c r="E19">
        <v>32227027.02702703</v>
      </c>
      <c r="F19">
        <v>55781351.351351351</v>
      </c>
      <c r="G19">
        <v>40</v>
      </c>
      <c r="H19">
        <v>26</v>
      </c>
      <c r="I19">
        <v>1</v>
      </c>
      <c r="K19">
        <v>41</v>
      </c>
      <c r="L19">
        <v>32</v>
      </c>
      <c r="M19">
        <v>6535360.3603603598</v>
      </c>
      <c r="N19">
        <v>8654054.0540540535</v>
      </c>
      <c r="O19">
        <v>21802675.675675675</v>
      </c>
      <c r="P19">
        <v>23925333.333333332</v>
      </c>
      <c r="Q19">
        <v>4188648.648648649</v>
      </c>
      <c r="R19">
        <v>3579819.8198198192</v>
      </c>
      <c r="S19">
        <v>3390</v>
      </c>
      <c r="T19">
        <v>3421</v>
      </c>
    </row>
    <row r="20" spans="1:20" x14ac:dyDescent="0.35">
      <c r="A20" s="7" t="s">
        <v>75</v>
      </c>
      <c r="B20" s="12" t="s">
        <v>71</v>
      </c>
      <c r="C20">
        <v>158754246.54597417</v>
      </c>
      <c r="D20">
        <v>160880929.18654341</v>
      </c>
      <c r="E20">
        <v>80197297.297297299</v>
      </c>
      <c r="F20">
        <v>36105855.855855852</v>
      </c>
      <c r="G20">
        <v>54</v>
      </c>
      <c r="H20">
        <v>28</v>
      </c>
      <c r="I20">
        <v>1</v>
      </c>
      <c r="K20">
        <v>70</v>
      </c>
      <c r="L20">
        <v>68</v>
      </c>
      <c r="M20">
        <v>55313738.738738745</v>
      </c>
      <c r="N20">
        <v>64125225.225225233</v>
      </c>
      <c r="O20">
        <v>56758225.225225225</v>
      </c>
      <c r="P20">
        <v>59200126.126126125</v>
      </c>
      <c r="Q20">
        <v>33003333.333333336</v>
      </c>
      <c r="R20">
        <v>41826036.036036029</v>
      </c>
      <c r="S20">
        <v>4484</v>
      </c>
      <c r="T20">
        <v>4334</v>
      </c>
    </row>
    <row r="21" spans="1:20" x14ac:dyDescent="0.35">
      <c r="A21" s="7" t="s">
        <v>76</v>
      </c>
      <c r="B21" s="12" t="s">
        <v>77</v>
      </c>
      <c r="C21">
        <v>45940175.356356971</v>
      </c>
      <c r="D21">
        <v>47806493.556399047</v>
      </c>
      <c r="E21">
        <v>412612.61261261301</v>
      </c>
      <c r="F21">
        <v>414414.41441441502</v>
      </c>
      <c r="G21">
        <v>8</v>
      </c>
      <c r="H21">
        <v>24</v>
      </c>
      <c r="K21">
        <v>10</v>
      </c>
      <c r="L21">
        <v>27</v>
      </c>
      <c r="M21">
        <v>5457837.8378378376</v>
      </c>
      <c r="N21">
        <v>6415315.3153153136</v>
      </c>
      <c r="O21">
        <v>11957621.62162162</v>
      </c>
      <c r="P21">
        <v>14156531.531531531</v>
      </c>
      <c r="Q21">
        <v>3834594.5945945941</v>
      </c>
      <c r="R21">
        <v>5508558.5585585572</v>
      </c>
      <c r="S21">
        <v>1488</v>
      </c>
      <c r="T21">
        <v>2085</v>
      </c>
    </row>
    <row r="22" spans="1:20" x14ac:dyDescent="0.35">
      <c r="A22" s="7" t="s">
        <v>78</v>
      </c>
      <c r="B22" s="12" t="s">
        <v>79</v>
      </c>
      <c r="C22">
        <v>96934656.294661909</v>
      </c>
      <c r="D22">
        <v>103649028.41889703</v>
      </c>
      <c r="E22">
        <v>1407207.2072072071</v>
      </c>
      <c r="F22">
        <v>1875675.675675676</v>
      </c>
      <c r="G22">
        <v>21</v>
      </c>
      <c r="H22">
        <v>27</v>
      </c>
      <c r="K22">
        <v>24</v>
      </c>
      <c r="L22">
        <v>45</v>
      </c>
      <c r="M22">
        <v>10803603.603603603</v>
      </c>
      <c r="N22">
        <v>17916216.216216218</v>
      </c>
      <c r="O22">
        <v>31783990.990990993</v>
      </c>
      <c r="P22">
        <v>33062126.126126129</v>
      </c>
      <c r="Q22">
        <v>11954774.774774777</v>
      </c>
      <c r="R22">
        <v>14320180.180180181</v>
      </c>
      <c r="S22">
        <v>2480</v>
      </c>
      <c r="T22">
        <v>2414</v>
      </c>
    </row>
    <row r="23" spans="1:20" x14ac:dyDescent="0.35">
      <c r="A23" s="7" t="s">
        <v>80</v>
      </c>
      <c r="B23" s="12" t="s">
        <v>81</v>
      </c>
      <c r="C23">
        <v>919851255.32227361</v>
      </c>
      <c r="D23">
        <v>1023503613.269715</v>
      </c>
      <c r="E23">
        <v>5580180.1801801901</v>
      </c>
      <c r="F23">
        <v>9867567.5675675739</v>
      </c>
      <c r="G23">
        <v>645</v>
      </c>
      <c r="H23">
        <v>646</v>
      </c>
      <c r="I23">
        <v>6</v>
      </c>
      <c r="K23">
        <v>765</v>
      </c>
      <c r="L23">
        <v>935</v>
      </c>
      <c r="M23">
        <v>91586036.036036029</v>
      </c>
      <c r="N23">
        <v>126721621.62162161</v>
      </c>
      <c r="O23">
        <v>239119056.3063063</v>
      </c>
      <c r="P23">
        <v>294222313.51351357</v>
      </c>
      <c r="Q23">
        <v>81502522.522522524</v>
      </c>
      <c r="R23">
        <v>109381081.08108108</v>
      </c>
      <c r="S23">
        <v>26697</v>
      </c>
      <c r="T23">
        <v>26210</v>
      </c>
    </row>
    <row r="24" spans="1:20" x14ac:dyDescent="0.35">
      <c r="A24" s="7" t="s">
        <v>82</v>
      </c>
      <c r="B24" s="12" t="s">
        <v>55</v>
      </c>
      <c r="C24">
        <v>28515155.256174553</v>
      </c>
      <c r="D24">
        <v>26482863.880851928</v>
      </c>
      <c r="E24">
        <v>333333.333333335</v>
      </c>
      <c r="F24">
        <v>184684.68468468499</v>
      </c>
      <c r="G24">
        <v>10</v>
      </c>
      <c r="H24">
        <v>3</v>
      </c>
      <c r="K24">
        <v>16</v>
      </c>
      <c r="L24">
        <v>5</v>
      </c>
      <c r="M24">
        <v>2058558.55855856</v>
      </c>
      <c r="N24">
        <v>2487387.3873873879</v>
      </c>
      <c r="O24">
        <v>6455990.9909909898</v>
      </c>
      <c r="P24">
        <v>7375666.666666666</v>
      </c>
      <c r="Q24">
        <v>1770270.270270271</v>
      </c>
      <c r="R24">
        <v>1770000</v>
      </c>
      <c r="S24">
        <v>1383</v>
      </c>
      <c r="T24">
        <v>1306</v>
      </c>
    </row>
    <row r="25" spans="1:20" x14ac:dyDescent="0.35">
      <c r="A25" s="7" t="s">
        <v>83</v>
      </c>
      <c r="B25" s="12" t="s">
        <v>84</v>
      </c>
      <c r="C25">
        <v>659402683.57968843</v>
      </c>
      <c r="D25">
        <v>665526439.88442492</v>
      </c>
      <c r="E25">
        <v>7093018.0180180203</v>
      </c>
      <c r="F25">
        <v>11732882.882882887</v>
      </c>
      <c r="G25">
        <v>117</v>
      </c>
      <c r="H25">
        <v>85</v>
      </c>
      <c r="I25">
        <v>1</v>
      </c>
      <c r="K25">
        <v>143</v>
      </c>
      <c r="L25">
        <v>108</v>
      </c>
      <c r="M25">
        <v>144305855.85585585</v>
      </c>
      <c r="N25">
        <v>130298198.19819821</v>
      </c>
      <c r="O25">
        <v>193445529.27927929</v>
      </c>
      <c r="P25">
        <v>204614572.97297296</v>
      </c>
      <c r="Q25">
        <v>102488648.64864865</v>
      </c>
      <c r="R25">
        <v>114485045.04504503</v>
      </c>
      <c r="S25">
        <v>14951</v>
      </c>
      <c r="T25">
        <v>15347</v>
      </c>
    </row>
    <row r="26" spans="1:20" x14ac:dyDescent="0.35">
      <c r="A26" s="7" t="s">
        <v>85</v>
      </c>
      <c r="B26" s="12" t="s">
        <v>86</v>
      </c>
      <c r="C26">
        <v>60391659.904685393</v>
      </c>
      <c r="D26">
        <v>55432791.077699922</v>
      </c>
      <c r="E26">
        <v>1299774.7747747761</v>
      </c>
      <c r="F26">
        <v>2790090.0900900909</v>
      </c>
      <c r="G26">
        <v>35</v>
      </c>
      <c r="H26">
        <v>106</v>
      </c>
      <c r="K26">
        <v>44</v>
      </c>
      <c r="L26">
        <v>129</v>
      </c>
      <c r="M26">
        <v>99279279.279279277</v>
      </c>
      <c r="N26">
        <v>102204954.95495497</v>
      </c>
      <c r="O26">
        <v>21830090.090090089</v>
      </c>
      <c r="P26">
        <v>30050045.045045048</v>
      </c>
      <c r="Q26">
        <v>76851261.261261269</v>
      </c>
      <c r="R26">
        <v>79692699.0990991</v>
      </c>
      <c r="S26">
        <v>5139</v>
      </c>
      <c r="T26">
        <v>2258</v>
      </c>
    </row>
    <row r="27" spans="1:20" x14ac:dyDescent="0.35">
      <c r="A27" s="7" t="s">
        <v>87</v>
      </c>
      <c r="B27" s="12" t="s">
        <v>88</v>
      </c>
      <c r="C27">
        <v>2217715.3882680722</v>
      </c>
      <c r="D27">
        <v>2713114.42013779</v>
      </c>
      <c r="G27">
        <v>1</v>
      </c>
      <c r="K27">
        <v>1</v>
      </c>
      <c r="O27">
        <v>943072.072072073</v>
      </c>
      <c r="P27">
        <v>1393108.1081081079</v>
      </c>
      <c r="S27">
        <v>145</v>
      </c>
      <c r="T27">
        <v>127</v>
      </c>
    </row>
    <row r="28" spans="1:20" x14ac:dyDescent="0.35">
      <c r="A28" s="7" t="s">
        <v>89</v>
      </c>
      <c r="B28" s="12" t="s">
        <v>90</v>
      </c>
      <c r="C28">
        <v>133443781.4122155</v>
      </c>
      <c r="D28">
        <v>146693814.67177677</v>
      </c>
      <c r="E28">
        <v>1280180.180180182</v>
      </c>
      <c r="F28">
        <v>1889189.18918919</v>
      </c>
      <c r="G28">
        <v>17</v>
      </c>
      <c r="H28">
        <v>9</v>
      </c>
      <c r="K28">
        <v>19</v>
      </c>
      <c r="L28">
        <v>11</v>
      </c>
      <c r="M28">
        <v>15209189.189189188</v>
      </c>
      <c r="N28">
        <v>25026846.846846849</v>
      </c>
      <c r="O28">
        <v>46646495.495495498</v>
      </c>
      <c r="P28">
        <v>51695162.162162162</v>
      </c>
      <c r="Q28">
        <v>16703243.24324324</v>
      </c>
      <c r="R28">
        <v>26512072.072072078</v>
      </c>
      <c r="S28">
        <v>3430</v>
      </c>
      <c r="T28">
        <v>3263</v>
      </c>
    </row>
    <row r="29" spans="1:20" x14ac:dyDescent="0.35">
      <c r="A29" s="7" t="s">
        <v>91</v>
      </c>
      <c r="B29" s="12" t="s">
        <v>61</v>
      </c>
      <c r="C29">
        <v>48389948.204908937</v>
      </c>
      <c r="D29">
        <v>48893758.380749241</v>
      </c>
      <c r="E29">
        <v>98198.198198198996</v>
      </c>
      <c r="F29">
        <v>668468.46846846899</v>
      </c>
      <c r="G29">
        <v>10</v>
      </c>
      <c r="H29">
        <v>32</v>
      </c>
      <c r="K29">
        <v>103</v>
      </c>
      <c r="L29">
        <v>122</v>
      </c>
      <c r="M29">
        <v>3359459.4594594599</v>
      </c>
      <c r="N29">
        <v>5929729.7297297288</v>
      </c>
      <c r="O29">
        <v>29508963.963963963</v>
      </c>
      <c r="P29">
        <v>28029063.063063063</v>
      </c>
      <c r="Q29">
        <v>3650900.9009008999</v>
      </c>
      <c r="R29">
        <v>5836036.036036036</v>
      </c>
      <c r="S29">
        <v>1580</v>
      </c>
      <c r="T29">
        <v>1615</v>
      </c>
    </row>
    <row r="30" spans="1:20" x14ac:dyDescent="0.35">
      <c r="A30" s="7" t="s">
        <v>92</v>
      </c>
      <c r="B30" s="12" t="s">
        <v>93</v>
      </c>
      <c r="C30">
        <v>40079280.464507125</v>
      </c>
      <c r="D30">
        <v>36317181.808071591</v>
      </c>
      <c r="E30">
        <v>80251718.918918908</v>
      </c>
      <c r="F30">
        <v>88987690.090090096</v>
      </c>
      <c r="G30">
        <v>11</v>
      </c>
      <c r="H30">
        <v>4</v>
      </c>
      <c r="K30">
        <v>14</v>
      </c>
      <c r="L30">
        <v>6</v>
      </c>
      <c r="M30">
        <v>20119819.819819819</v>
      </c>
      <c r="N30">
        <v>25553963.963963963</v>
      </c>
      <c r="O30">
        <v>12797081.081081079</v>
      </c>
      <c r="P30">
        <v>13103603.603603603</v>
      </c>
      <c r="Q30">
        <v>11529279.27927928</v>
      </c>
      <c r="R30">
        <v>19246486.486486487</v>
      </c>
      <c r="S30">
        <v>1034</v>
      </c>
      <c r="T30">
        <v>1098</v>
      </c>
    </row>
    <row r="31" spans="1:20" x14ac:dyDescent="0.35">
      <c r="A31" s="7" t="s">
        <v>94</v>
      </c>
      <c r="B31" s="12" t="s">
        <v>95</v>
      </c>
      <c r="C31">
        <v>174328211.93470314</v>
      </c>
      <c r="D31">
        <v>188766888.66068026</v>
      </c>
      <c r="E31">
        <v>362162.162162163</v>
      </c>
      <c r="F31">
        <v>63063.063063064001</v>
      </c>
      <c r="G31">
        <v>29</v>
      </c>
      <c r="H31">
        <v>14</v>
      </c>
      <c r="K31">
        <v>36</v>
      </c>
      <c r="L31">
        <v>16</v>
      </c>
      <c r="M31">
        <v>18880180.180180181</v>
      </c>
      <c r="N31">
        <v>24774774.774774771</v>
      </c>
      <c r="O31">
        <v>24555836.036036037</v>
      </c>
      <c r="P31">
        <v>32840245.945945945</v>
      </c>
      <c r="Q31">
        <v>16461981.981981982</v>
      </c>
      <c r="R31">
        <v>24775855.855855852</v>
      </c>
      <c r="S31">
        <v>4419</v>
      </c>
      <c r="T31">
        <v>4592</v>
      </c>
    </row>
    <row r="32" spans="1:20" x14ac:dyDescent="0.35">
      <c r="A32" s="7" t="s">
        <v>96</v>
      </c>
      <c r="B32" s="12" t="s">
        <v>97</v>
      </c>
      <c r="C32">
        <v>181083862.66124806</v>
      </c>
      <c r="D32">
        <v>190190952.47282133</v>
      </c>
      <c r="E32">
        <v>167188450.45045045</v>
      </c>
      <c r="F32">
        <v>199335327.92792794</v>
      </c>
      <c r="G32">
        <v>38</v>
      </c>
      <c r="H32">
        <v>63</v>
      </c>
      <c r="I32">
        <v>2</v>
      </c>
      <c r="K32">
        <v>43</v>
      </c>
      <c r="L32">
        <v>70</v>
      </c>
      <c r="M32">
        <v>109456162.16216215</v>
      </c>
      <c r="N32">
        <v>39403153.153153151</v>
      </c>
      <c r="O32">
        <v>90786792.792792797</v>
      </c>
      <c r="P32">
        <v>94425783.783783779</v>
      </c>
      <c r="Q32">
        <v>31849819.819819819</v>
      </c>
      <c r="R32">
        <v>30467657.657657657</v>
      </c>
      <c r="S32">
        <v>6341</v>
      </c>
      <c r="T32">
        <v>6089</v>
      </c>
    </row>
    <row r="33" spans="1:20" x14ac:dyDescent="0.35">
      <c r="A33" s="7" t="s">
        <v>98</v>
      </c>
      <c r="B33" s="12" t="s">
        <v>99</v>
      </c>
      <c r="C33">
        <v>633529518.3393687</v>
      </c>
      <c r="D33">
        <v>637813346.25147414</v>
      </c>
      <c r="E33">
        <v>6663963.9639639668</v>
      </c>
      <c r="F33">
        <v>9223423.4234234281</v>
      </c>
      <c r="G33">
        <v>251</v>
      </c>
      <c r="H33">
        <v>117</v>
      </c>
      <c r="K33">
        <v>331</v>
      </c>
      <c r="L33">
        <v>148</v>
      </c>
      <c r="M33">
        <v>124550900.90090092</v>
      </c>
      <c r="N33">
        <v>198423603.6036036</v>
      </c>
      <c r="O33">
        <v>163728534.68468466</v>
      </c>
      <c r="P33">
        <v>178144873.87387386</v>
      </c>
      <c r="Q33">
        <v>79970090.090090081</v>
      </c>
      <c r="R33">
        <v>143825045.04504505</v>
      </c>
      <c r="S33">
        <v>22494</v>
      </c>
      <c r="T33">
        <v>22527</v>
      </c>
    </row>
    <row r="34" spans="1:20" x14ac:dyDescent="0.35">
      <c r="A34" s="7" t="s">
        <v>100</v>
      </c>
      <c r="B34" s="12" t="s">
        <v>99</v>
      </c>
      <c r="C34">
        <v>1027479190.8352344</v>
      </c>
      <c r="D34">
        <v>1045192150.2321914</v>
      </c>
      <c r="E34">
        <v>4254823.423423429</v>
      </c>
      <c r="F34">
        <v>5520354.9549549576</v>
      </c>
      <c r="G34">
        <v>304</v>
      </c>
      <c r="H34">
        <v>324</v>
      </c>
      <c r="I34">
        <v>10</v>
      </c>
      <c r="K34">
        <v>502</v>
      </c>
      <c r="L34">
        <v>475</v>
      </c>
      <c r="M34">
        <v>54628828.828828834</v>
      </c>
      <c r="N34">
        <v>254603828.82882884</v>
      </c>
      <c r="O34">
        <v>197970952.7027027</v>
      </c>
      <c r="P34">
        <v>216043836.03603604</v>
      </c>
      <c r="Q34">
        <v>51463063.063063063</v>
      </c>
      <c r="R34">
        <v>71250855.855855852</v>
      </c>
      <c r="S34">
        <v>27839</v>
      </c>
      <c r="T34">
        <v>29127</v>
      </c>
    </row>
    <row r="35" spans="1:20" x14ac:dyDescent="0.35">
      <c r="A35" s="7" t="s">
        <v>101</v>
      </c>
      <c r="B35" s="12" t="s">
        <v>99</v>
      </c>
      <c r="C35">
        <v>1189250300.4565783</v>
      </c>
      <c r="D35">
        <v>1602913041.7073567</v>
      </c>
      <c r="E35">
        <v>10448648.648648659</v>
      </c>
      <c r="F35">
        <v>13320353.153153151</v>
      </c>
      <c r="G35">
        <v>250</v>
      </c>
      <c r="H35">
        <v>134</v>
      </c>
      <c r="I35">
        <v>18</v>
      </c>
      <c r="K35">
        <v>571</v>
      </c>
      <c r="L35">
        <v>192</v>
      </c>
      <c r="M35">
        <v>269397072.07207209</v>
      </c>
      <c r="N35">
        <v>229676659.45945945</v>
      </c>
      <c r="O35">
        <v>433581966.21621621</v>
      </c>
      <c r="P35">
        <v>802447646.84684682</v>
      </c>
      <c r="Q35">
        <v>83922477.477477476</v>
      </c>
      <c r="R35">
        <v>125690720.72072072</v>
      </c>
      <c r="S35">
        <v>32648</v>
      </c>
      <c r="T35">
        <v>33116</v>
      </c>
    </row>
    <row r="36" spans="1:20" x14ac:dyDescent="0.35">
      <c r="A36" s="7" t="s">
        <v>102</v>
      </c>
      <c r="B36" s="12" t="s">
        <v>99</v>
      </c>
      <c r="C36">
        <v>590654827.9125638</v>
      </c>
      <c r="D36">
        <v>601822006.90968347</v>
      </c>
      <c r="E36">
        <v>2817117.117117119</v>
      </c>
      <c r="F36">
        <v>4463513.5135135138</v>
      </c>
      <c r="G36">
        <v>171</v>
      </c>
      <c r="H36">
        <v>123</v>
      </c>
      <c r="I36">
        <v>6</v>
      </c>
      <c r="K36">
        <v>210</v>
      </c>
      <c r="L36">
        <v>168</v>
      </c>
      <c r="M36">
        <v>45944144.144144148</v>
      </c>
      <c r="N36">
        <v>59703770.270270273</v>
      </c>
      <c r="O36">
        <v>130309162.16216215</v>
      </c>
      <c r="P36">
        <v>135562729.72972974</v>
      </c>
      <c r="Q36">
        <v>42022432.432432435</v>
      </c>
      <c r="R36">
        <v>52868558.558558561</v>
      </c>
      <c r="S36">
        <v>21598</v>
      </c>
      <c r="T36">
        <v>22265</v>
      </c>
    </row>
    <row r="37" spans="1:20" x14ac:dyDescent="0.35">
      <c r="A37" s="7" t="s">
        <v>103</v>
      </c>
      <c r="B37" s="12" t="s">
        <v>99</v>
      </c>
      <c r="C37">
        <v>672104908.81561911</v>
      </c>
      <c r="D37">
        <v>693238240.38113439</v>
      </c>
      <c r="E37">
        <v>6177477.4774774807</v>
      </c>
      <c r="F37">
        <v>9599549.549549548</v>
      </c>
      <c r="G37">
        <v>158</v>
      </c>
      <c r="H37">
        <v>52</v>
      </c>
      <c r="K37">
        <v>219</v>
      </c>
      <c r="L37">
        <v>72</v>
      </c>
      <c r="M37">
        <v>87953153.153153151</v>
      </c>
      <c r="N37">
        <v>186108108.1081081</v>
      </c>
      <c r="O37">
        <v>194085950.45045045</v>
      </c>
      <c r="P37">
        <v>198914513.51351351</v>
      </c>
      <c r="Q37">
        <v>98725585.585585579</v>
      </c>
      <c r="R37">
        <v>134374414.41441441</v>
      </c>
      <c r="S37">
        <v>25247</v>
      </c>
      <c r="T37">
        <v>25406</v>
      </c>
    </row>
    <row r="38" spans="1:20" x14ac:dyDescent="0.35">
      <c r="A38" s="7" t="s">
        <v>104</v>
      </c>
      <c r="B38" s="12" t="s">
        <v>99</v>
      </c>
      <c r="C38">
        <v>1721797785.8299773</v>
      </c>
      <c r="D38">
        <v>1731291069.9284477</v>
      </c>
      <c r="E38">
        <v>543716999.09909916</v>
      </c>
      <c r="F38">
        <v>1106412266.6666665</v>
      </c>
      <c r="G38">
        <v>474</v>
      </c>
      <c r="H38">
        <v>261</v>
      </c>
      <c r="I38">
        <v>17</v>
      </c>
      <c r="K38">
        <v>681</v>
      </c>
      <c r="L38">
        <v>313</v>
      </c>
      <c r="M38">
        <v>174133411.7117117</v>
      </c>
      <c r="N38">
        <v>450865315.31531531</v>
      </c>
      <c r="O38">
        <v>368790673.87387383</v>
      </c>
      <c r="P38">
        <v>377883441.44144148</v>
      </c>
      <c r="Q38">
        <v>159122162.16216218</v>
      </c>
      <c r="R38">
        <v>198286306.3063063</v>
      </c>
      <c r="S38">
        <v>55138</v>
      </c>
      <c r="T38">
        <v>54737</v>
      </c>
    </row>
    <row r="39" spans="1:20" x14ac:dyDescent="0.35">
      <c r="A39" s="7" t="s">
        <v>105</v>
      </c>
      <c r="B39" s="12" t="s">
        <v>106</v>
      </c>
      <c r="C39">
        <v>120982495.30945837</v>
      </c>
      <c r="D39">
        <v>112872113.09202711</v>
      </c>
      <c r="E39">
        <v>809909.90990991006</v>
      </c>
      <c r="F39">
        <v>163063.06306306299</v>
      </c>
      <c r="G39">
        <v>20</v>
      </c>
      <c r="H39">
        <v>11</v>
      </c>
      <c r="K39">
        <v>22</v>
      </c>
      <c r="L39">
        <v>11</v>
      </c>
      <c r="M39">
        <v>1260360.36036036</v>
      </c>
      <c r="N39">
        <v>163063.06306306299</v>
      </c>
      <c r="O39">
        <v>25141333.333333332</v>
      </c>
      <c r="P39">
        <v>28450540.540540539</v>
      </c>
      <c r="Q39">
        <v>604054.05405405501</v>
      </c>
      <c r="R39">
        <v>258108.10810810799</v>
      </c>
      <c r="S39">
        <v>2364</v>
      </c>
      <c r="T39">
        <v>2687</v>
      </c>
    </row>
    <row r="40" spans="1:20" x14ac:dyDescent="0.35">
      <c r="A40" s="7" t="s">
        <v>107</v>
      </c>
      <c r="B40" s="12" t="s">
        <v>55</v>
      </c>
      <c r="C40">
        <v>40172701.989593647</v>
      </c>
      <c r="D40">
        <v>39623525.146154158</v>
      </c>
      <c r="E40">
        <v>35135.135135135999</v>
      </c>
      <c r="F40">
        <v>595495.49549549504</v>
      </c>
      <c r="G40">
        <v>26</v>
      </c>
      <c r="H40">
        <v>31</v>
      </c>
      <c r="I40">
        <v>7</v>
      </c>
      <c r="K40">
        <v>29</v>
      </c>
      <c r="L40">
        <v>59</v>
      </c>
      <c r="M40">
        <v>970630.630630631</v>
      </c>
      <c r="N40">
        <v>2687747.7477477472</v>
      </c>
      <c r="O40">
        <v>10466648.648648648</v>
      </c>
      <c r="P40">
        <v>10720522.522522524</v>
      </c>
      <c r="Q40">
        <v>1334414.414414414</v>
      </c>
      <c r="R40">
        <v>2197477.4774774769</v>
      </c>
      <c r="S40">
        <v>1362</v>
      </c>
      <c r="T40">
        <v>1368</v>
      </c>
    </row>
    <row r="41" spans="1:20" x14ac:dyDescent="0.35">
      <c r="A41" s="7" t="s">
        <v>108</v>
      </c>
      <c r="B41" s="12" t="s">
        <v>109</v>
      </c>
      <c r="C41">
        <v>330956824.61720985</v>
      </c>
      <c r="D41">
        <v>347991486.48330766</v>
      </c>
      <c r="E41">
        <v>3781081.0810810858</v>
      </c>
      <c r="F41">
        <v>3382882.8828828838</v>
      </c>
      <c r="G41">
        <v>97</v>
      </c>
      <c r="H41">
        <v>61</v>
      </c>
      <c r="I41">
        <v>1</v>
      </c>
      <c r="K41">
        <v>111</v>
      </c>
      <c r="L41">
        <v>69</v>
      </c>
      <c r="M41">
        <v>46011891.891891897</v>
      </c>
      <c r="N41">
        <v>44970270.270270273</v>
      </c>
      <c r="O41">
        <v>74127468.468468457</v>
      </c>
      <c r="P41">
        <v>74161567.567567572</v>
      </c>
      <c r="Q41">
        <v>40479549.549549542</v>
      </c>
      <c r="R41">
        <v>39539459.459459461</v>
      </c>
      <c r="S41">
        <v>9954</v>
      </c>
      <c r="T41">
        <v>11099</v>
      </c>
    </row>
    <row r="42" spans="1:20" x14ac:dyDescent="0.35">
      <c r="A42" s="7" t="s">
        <v>110</v>
      </c>
      <c r="B42" s="12" t="s">
        <v>109</v>
      </c>
      <c r="C42">
        <v>471049806.52388626</v>
      </c>
      <c r="D42">
        <v>481737943.15485173</v>
      </c>
      <c r="E42">
        <v>4069587.387387393</v>
      </c>
      <c r="F42">
        <v>9718324.324324334</v>
      </c>
      <c r="G42">
        <v>158</v>
      </c>
      <c r="H42">
        <v>78</v>
      </c>
      <c r="K42">
        <v>252</v>
      </c>
      <c r="L42">
        <v>156</v>
      </c>
      <c r="M42">
        <v>29318920.72072072</v>
      </c>
      <c r="N42">
        <v>308866072.07207209</v>
      </c>
      <c r="O42">
        <v>140163954.95495495</v>
      </c>
      <c r="P42">
        <v>130783666.66666667</v>
      </c>
      <c r="Q42">
        <v>120126846.84684685</v>
      </c>
      <c r="R42">
        <v>156414774.77477479</v>
      </c>
      <c r="S42">
        <v>13545</v>
      </c>
      <c r="T42">
        <v>15717</v>
      </c>
    </row>
    <row r="43" spans="1:20" x14ac:dyDescent="0.35">
      <c r="A43" s="7" t="s">
        <v>111</v>
      </c>
      <c r="B43" s="12" t="s">
        <v>112</v>
      </c>
      <c r="C43">
        <v>534555895.0627507</v>
      </c>
      <c r="D43">
        <v>563562444.34194541</v>
      </c>
      <c r="E43">
        <v>7276576.5765765784</v>
      </c>
      <c r="F43">
        <v>7312612.6126126172</v>
      </c>
      <c r="G43">
        <v>162</v>
      </c>
      <c r="H43">
        <v>123</v>
      </c>
      <c r="K43">
        <v>364</v>
      </c>
      <c r="L43">
        <v>259</v>
      </c>
      <c r="M43">
        <v>50606150.45045045</v>
      </c>
      <c r="N43">
        <v>53687567.567567565</v>
      </c>
      <c r="O43">
        <v>187494918.91891891</v>
      </c>
      <c r="P43">
        <v>200100441.44144145</v>
      </c>
      <c r="Q43">
        <v>46459099.0990991</v>
      </c>
      <c r="R43">
        <v>49509459.459459454</v>
      </c>
      <c r="S43">
        <v>18860</v>
      </c>
      <c r="T43">
        <v>19556</v>
      </c>
    </row>
    <row r="44" spans="1:20" x14ac:dyDescent="0.35">
      <c r="A44" s="7" t="s">
        <v>113</v>
      </c>
      <c r="B44" s="12" t="s">
        <v>112</v>
      </c>
      <c r="C44">
        <v>701041891.94982386</v>
      </c>
      <c r="D44">
        <v>716740489.879228</v>
      </c>
      <c r="E44">
        <v>9813513.5135135185</v>
      </c>
      <c r="F44">
        <v>44965532.432432443</v>
      </c>
      <c r="G44">
        <v>289</v>
      </c>
      <c r="H44">
        <v>113</v>
      </c>
      <c r="I44">
        <v>1</v>
      </c>
      <c r="K44">
        <v>428</v>
      </c>
      <c r="L44">
        <v>201</v>
      </c>
      <c r="M44">
        <v>54444967.567567565</v>
      </c>
      <c r="N44">
        <v>105753100</v>
      </c>
      <c r="O44">
        <v>258644238.73873875</v>
      </c>
      <c r="P44">
        <v>257222765.76576576</v>
      </c>
      <c r="Q44">
        <v>56190630.630630627</v>
      </c>
      <c r="R44">
        <v>113451351.35135135</v>
      </c>
      <c r="S44">
        <v>27115</v>
      </c>
      <c r="T44">
        <v>27363</v>
      </c>
    </row>
    <row r="45" spans="1:20" x14ac:dyDescent="0.35">
      <c r="A45" s="7" t="s">
        <v>114</v>
      </c>
      <c r="B45" s="12" t="s">
        <v>112</v>
      </c>
      <c r="C45">
        <v>902419425.036322</v>
      </c>
      <c r="D45">
        <v>488283117.33136839</v>
      </c>
      <c r="E45">
        <v>5278153.1531531606</v>
      </c>
      <c r="F45">
        <v>12330640.540540544</v>
      </c>
      <c r="G45">
        <v>212</v>
      </c>
      <c r="H45">
        <v>118</v>
      </c>
      <c r="K45">
        <v>446</v>
      </c>
      <c r="L45">
        <v>316</v>
      </c>
      <c r="M45">
        <v>480355690.990991</v>
      </c>
      <c r="N45">
        <v>645009199.09909916</v>
      </c>
      <c r="O45">
        <v>581666556.75675678</v>
      </c>
      <c r="P45">
        <v>156008342.34234235</v>
      </c>
      <c r="Q45">
        <v>29422432.432432435</v>
      </c>
      <c r="R45">
        <v>46070450.45045045</v>
      </c>
      <c r="S45">
        <v>13320</v>
      </c>
      <c r="T45">
        <v>15821</v>
      </c>
    </row>
    <row r="46" spans="1:20" x14ac:dyDescent="0.35">
      <c r="A46" s="7" t="s">
        <v>115</v>
      </c>
      <c r="B46" s="12" t="s">
        <v>112</v>
      </c>
      <c r="C46">
        <v>560178434.87071478</v>
      </c>
      <c r="D46">
        <v>1165527123.4878287</v>
      </c>
      <c r="E46">
        <v>6032207.2072072178</v>
      </c>
      <c r="F46">
        <v>6513963.9639639733</v>
      </c>
      <c r="G46">
        <v>224</v>
      </c>
      <c r="H46">
        <v>139</v>
      </c>
      <c r="I46">
        <v>11</v>
      </c>
      <c r="K46">
        <v>577</v>
      </c>
      <c r="L46">
        <v>253</v>
      </c>
      <c r="M46">
        <v>48472432.432432443</v>
      </c>
      <c r="N46">
        <v>56181171.171171173</v>
      </c>
      <c r="O46">
        <v>163177549.54954955</v>
      </c>
      <c r="P46">
        <v>758979171.17117119</v>
      </c>
      <c r="Q46">
        <v>44909189.189189196</v>
      </c>
      <c r="R46">
        <v>51390090.090090096</v>
      </c>
      <c r="S46">
        <v>19066</v>
      </c>
      <c r="T46">
        <v>19572</v>
      </c>
    </row>
    <row r="47" spans="1:20" x14ac:dyDescent="0.35">
      <c r="A47" s="7" t="s">
        <v>116</v>
      </c>
      <c r="B47" s="12" t="s">
        <v>112</v>
      </c>
      <c r="C47">
        <v>689636581.44550824</v>
      </c>
      <c r="D47">
        <v>680585755.83412957</v>
      </c>
      <c r="E47">
        <v>1313843101.8018017</v>
      </c>
      <c r="F47">
        <v>1601405672.0720723</v>
      </c>
      <c r="G47">
        <v>302</v>
      </c>
      <c r="H47">
        <v>213</v>
      </c>
      <c r="K47">
        <v>516</v>
      </c>
      <c r="L47">
        <v>405</v>
      </c>
      <c r="M47">
        <v>643561270.27027023</v>
      </c>
      <c r="N47">
        <v>235240703.6036036</v>
      </c>
      <c r="O47">
        <v>212684205.85585588</v>
      </c>
      <c r="P47">
        <v>185815549.54954955</v>
      </c>
      <c r="Q47">
        <v>117227383.78378378</v>
      </c>
      <c r="R47">
        <v>143753333.33333331</v>
      </c>
      <c r="S47">
        <v>23168</v>
      </c>
      <c r="T47">
        <v>22711</v>
      </c>
    </row>
    <row r="48" spans="1:20" x14ac:dyDescent="0.35">
      <c r="A48" s="7" t="s">
        <v>117</v>
      </c>
      <c r="B48" s="12" t="s">
        <v>55</v>
      </c>
      <c r="C48">
        <v>37309289.072007753</v>
      </c>
      <c r="D48">
        <v>37430929.572801374</v>
      </c>
      <c r="E48">
        <v>912387.38738738699</v>
      </c>
      <c r="F48">
        <v>945945.94594594603</v>
      </c>
      <c r="G48">
        <v>10</v>
      </c>
      <c r="H48">
        <v>5</v>
      </c>
      <c r="K48">
        <v>10</v>
      </c>
      <c r="L48">
        <v>8</v>
      </c>
      <c r="M48">
        <v>3209909.9099099091</v>
      </c>
      <c r="N48">
        <v>5543063.0630630646</v>
      </c>
      <c r="O48">
        <v>8927765.7657657657</v>
      </c>
      <c r="P48">
        <v>9594630.6306306329</v>
      </c>
      <c r="Q48">
        <v>3073783.7837837832</v>
      </c>
      <c r="R48">
        <v>4786036.0360360369</v>
      </c>
      <c r="S48">
        <v>1019</v>
      </c>
      <c r="T48">
        <v>979</v>
      </c>
    </row>
    <row r="49" spans="1:20" x14ac:dyDescent="0.35">
      <c r="A49" s="7" t="s">
        <v>119</v>
      </c>
      <c r="B49" s="12" t="s">
        <v>79</v>
      </c>
      <c r="C49">
        <v>318200873.57067406</v>
      </c>
      <c r="D49">
        <v>347720411.21260929</v>
      </c>
      <c r="E49">
        <v>268160702.70270273</v>
      </c>
      <c r="F49">
        <v>635299811.71171176</v>
      </c>
      <c r="G49">
        <v>116</v>
      </c>
      <c r="H49">
        <v>142</v>
      </c>
      <c r="I49">
        <v>4</v>
      </c>
      <c r="K49">
        <v>146</v>
      </c>
      <c r="L49">
        <v>193</v>
      </c>
      <c r="M49">
        <v>71295945.945945948</v>
      </c>
      <c r="N49">
        <v>82922072.072072074</v>
      </c>
      <c r="O49">
        <v>127401227.47747748</v>
      </c>
      <c r="P49">
        <v>136827018.01801801</v>
      </c>
      <c r="Q49">
        <v>69548198.198198199</v>
      </c>
      <c r="R49">
        <v>78156756.756756753</v>
      </c>
      <c r="S49">
        <v>12880</v>
      </c>
      <c r="T49">
        <v>11465</v>
      </c>
    </row>
    <row r="50" spans="1:20" x14ac:dyDescent="0.35">
      <c r="A50" s="7" t="s">
        <v>120</v>
      </c>
      <c r="B50" s="12" t="s">
        <v>51</v>
      </c>
      <c r="C50">
        <v>101454900.03274439</v>
      </c>
      <c r="D50">
        <v>101048059.99231942</v>
      </c>
      <c r="E50">
        <v>2104504.504504506</v>
      </c>
      <c r="F50">
        <v>645945.94594594999</v>
      </c>
      <c r="G50">
        <v>37</v>
      </c>
      <c r="H50">
        <v>15</v>
      </c>
      <c r="K50">
        <v>39</v>
      </c>
      <c r="L50">
        <v>17</v>
      </c>
      <c r="M50">
        <v>39132432.432432435</v>
      </c>
      <c r="N50">
        <v>12493153.153153151</v>
      </c>
      <c r="O50">
        <v>36902540.540540546</v>
      </c>
      <c r="P50">
        <v>38500369.369369365</v>
      </c>
      <c r="Q50">
        <v>36767927.927927926</v>
      </c>
      <c r="R50">
        <v>14400360.36036036</v>
      </c>
      <c r="S50">
        <v>2495</v>
      </c>
      <c r="T50">
        <v>2411</v>
      </c>
    </row>
    <row r="51" spans="1:20" x14ac:dyDescent="0.35">
      <c r="A51" s="7" t="s">
        <v>668</v>
      </c>
      <c r="B51" s="12" t="s">
        <v>226</v>
      </c>
      <c r="E51">
        <v>113445945.94594595</v>
      </c>
      <c r="F51">
        <v>156666666.66666666</v>
      </c>
      <c r="M51">
        <v>3657882.8828828828</v>
      </c>
      <c r="N51">
        <v>2108108.1081081079</v>
      </c>
    </row>
    <row r="52" spans="1:20" x14ac:dyDescent="0.35">
      <c r="A52" s="7" t="s">
        <v>121</v>
      </c>
      <c r="B52" s="12" t="s">
        <v>122</v>
      </c>
      <c r="C52">
        <v>344231898.28106779</v>
      </c>
      <c r="D52">
        <v>324084186.49752116</v>
      </c>
      <c r="E52">
        <v>2496621.6216216241</v>
      </c>
      <c r="F52">
        <v>1736936.9369369401</v>
      </c>
      <c r="G52">
        <v>122</v>
      </c>
      <c r="H52">
        <v>116</v>
      </c>
      <c r="K52">
        <v>145</v>
      </c>
      <c r="L52">
        <v>139</v>
      </c>
      <c r="M52">
        <v>12099099.0990991</v>
      </c>
      <c r="N52">
        <v>12727927.927927928</v>
      </c>
      <c r="O52">
        <v>27045819.819819819</v>
      </c>
      <c r="P52">
        <v>31095342.342342343</v>
      </c>
      <c r="Q52">
        <v>10311081.081081079</v>
      </c>
      <c r="R52">
        <v>11747747.747747747</v>
      </c>
      <c r="S52">
        <v>7993</v>
      </c>
      <c r="T52">
        <v>7824</v>
      </c>
    </row>
    <row r="53" spans="1:20" x14ac:dyDescent="0.35">
      <c r="A53" s="7" t="s">
        <v>123</v>
      </c>
      <c r="B53" s="12" t="s">
        <v>124</v>
      </c>
      <c r="C53">
        <v>179319985.21242929</v>
      </c>
      <c r="D53">
        <v>187486902.1408796</v>
      </c>
      <c r="E53">
        <v>137994369.36936939</v>
      </c>
      <c r="F53">
        <v>293445045.04504508</v>
      </c>
      <c r="G53">
        <v>24</v>
      </c>
      <c r="H53">
        <v>17</v>
      </c>
      <c r="K53">
        <v>36</v>
      </c>
      <c r="L53">
        <v>20</v>
      </c>
      <c r="M53">
        <v>33352477.47747748</v>
      </c>
      <c r="N53">
        <v>47064414.414414413</v>
      </c>
      <c r="O53">
        <v>79545274.774774775</v>
      </c>
      <c r="P53">
        <v>84015517.117117122</v>
      </c>
      <c r="Q53">
        <v>33114954.954954952</v>
      </c>
      <c r="R53">
        <v>38137066.666666664</v>
      </c>
      <c r="S53">
        <v>4889</v>
      </c>
      <c r="T53">
        <v>4378</v>
      </c>
    </row>
    <row r="54" spans="1:20" x14ac:dyDescent="0.35">
      <c r="A54" s="7" t="s">
        <v>125</v>
      </c>
      <c r="B54" s="12" t="s">
        <v>126</v>
      </c>
      <c r="C54">
        <v>236042170.70695326</v>
      </c>
      <c r="D54">
        <v>260457448.58364198</v>
      </c>
      <c r="E54">
        <v>2186486.4864864899</v>
      </c>
      <c r="F54">
        <v>1817567.5675675711</v>
      </c>
      <c r="G54">
        <v>52</v>
      </c>
      <c r="H54">
        <v>41</v>
      </c>
      <c r="K54">
        <v>70</v>
      </c>
      <c r="L54">
        <v>46</v>
      </c>
      <c r="M54">
        <v>70125405.405405402</v>
      </c>
      <c r="N54">
        <v>39990090.090090089</v>
      </c>
      <c r="O54">
        <v>74669597.297297299</v>
      </c>
      <c r="P54">
        <v>81193347.747747749</v>
      </c>
      <c r="Q54">
        <v>80647837.837837845</v>
      </c>
      <c r="R54">
        <v>42054234.234234229</v>
      </c>
      <c r="S54">
        <v>6380</v>
      </c>
      <c r="T54">
        <v>6627</v>
      </c>
    </row>
    <row r="55" spans="1:20" x14ac:dyDescent="0.35">
      <c r="A55" s="7" t="s">
        <v>127</v>
      </c>
      <c r="B55" s="12" t="s">
        <v>79</v>
      </c>
      <c r="C55">
        <v>152640386.64570862</v>
      </c>
      <c r="D55">
        <v>151360513.31983504</v>
      </c>
      <c r="E55">
        <v>3354954.9549549571</v>
      </c>
      <c r="F55">
        <v>3664864.8648648709</v>
      </c>
      <c r="G55">
        <v>42</v>
      </c>
      <c r="H55">
        <v>27</v>
      </c>
      <c r="K55">
        <v>48</v>
      </c>
      <c r="L55">
        <v>30</v>
      </c>
      <c r="M55">
        <v>26170270.270270273</v>
      </c>
      <c r="N55">
        <v>31873873.873873871</v>
      </c>
      <c r="O55">
        <v>62050414.414414413</v>
      </c>
      <c r="P55">
        <v>61216243.24324324</v>
      </c>
      <c r="Q55">
        <v>24220180.180180181</v>
      </c>
      <c r="R55">
        <v>30401441.441441439</v>
      </c>
      <c r="S55">
        <v>5155</v>
      </c>
      <c r="T55">
        <v>5014</v>
      </c>
    </row>
    <row r="56" spans="1:20" x14ac:dyDescent="0.35">
      <c r="A56" s="7" t="s">
        <v>128</v>
      </c>
      <c r="B56" s="12" t="s">
        <v>79</v>
      </c>
      <c r="C56">
        <v>25685957.216503307</v>
      </c>
      <c r="D56">
        <v>26036059.044747625</v>
      </c>
      <c r="E56">
        <v>476576.57657657698</v>
      </c>
      <c r="F56">
        <v>563063.06306306506</v>
      </c>
      <c r="G56">
        <v>10</v>
      </c>
      <c r="H56">
        <v>4</v>
      </c>
      <c r="K56">
        <v>11</v>
      </c>
      <c r="L56">
        <v>6</v>
      </c>
      <c r="M56">
        <v>8089189.18918919</v>
      </c>
      <c r="N56">
        <v>13355855.855855856</v>
      </c>
      <c r="O56">
        <v>14830630.630630629</v>
      </c>
      <c r="P56">
        <v>13896162.162162164</v>
      </c>
      <c r="Q56">
        <v>9245855.8558558561</v>
      </c>
      <c r="R56">
        <v>8054774.7747747749</v>
      </c>
      <c r="S56">
        <v>1350</v>
      </c>
      <c r="T56">
        <v>1248</v>
      </c>
    </row>
    <row r="57" spans="1:20" x14ac:dyDescent="0.35">
      <c r="A57" s="7" t="s">
        <v>129</v>
      </c>
      <c r="B57" s="12" t="s">
        <v>79</v>
      </c>
      <c r="C57">
        <v>147874164.43055484</v>
      </c>
      <c r="D57">
        <v>152381259.49930099</v>
      </c>
      <c r="E57">
        <v>1364864.8648648669</v>
      </c>
      <c r="F57">
        <v>2095945.9459459551</v>
      </c>
      <c r="G57">
        <v>107</v>
      </c>
      <c r="H57">
        <v>45</v>
      </c>
      <c r="K57">
        <v>142</v>
      </c>
      <c r="L57">
        <v>60</v>
      </c>
      <c r="M57">
        <v>16283783.783783784</v>
      </c>
      <c r="N57">
        <v>25159009.009009011</v>
      </c>
      <c r="O57">
        <v>58904603.603603601</v>
      </c>
      <c r="P57">
        <v>61864540.540540546</v>
      </c>
      <c r="Q57">
        <v>15558648.648648648</v>
      </c>
      <c r="R57">
        <v>24962342.342342343</v>
      </c>
      <c r="S57">
        <v>5849</v>
      </c>
      <c r="T57">
        <v>5922</v>
      </c>
    </row>
    <row r="58" spans="1:20" x14ac:dyDescent="0.35">
      <c r="A58" s="7" t="s">
        <v>130</v>
      </c>
      <c r="B58" s="12" t="s">
        <v>86</v>
      </c>
      <c r="C58">
        <v>42782063.683883198</v>
      </c>
      <c r="D58">
        <v>43204077.665173784</v>
      </c>
      <c r="E58">
        <v>136936.93693693701</v>
      </c>
      <c r="F58">
        <v>543243.24324324494</v>
      </c>
      <c r="G58">
        <v>11</v>
      </c>
      <c r="H58">
        <v>28</v>
      </c>
      <c r="K58">
        <v>12</v>
      </c>
      <c r="L58">
        <v>32</v>
      </c>
      <c r="M58">
        <v>32569189.189189192</v>
      </c>
      <c r="N58">
        <v>13646396.396396397</v>
      </c>
      <c r="O58">
        <v>20901288.288288288</v>
      </c>
      <c r="P58">
        <v>27200945.945945945</v>
      </c>
      <c r="Q58">
        <v>25966576.576576576</v>
      </c>
      <c r="R58">
        <v>11857207.207207208</v>
      </c>
      <c r="S58">
        <v>1706</v>
      </c>
      <c r="T58">
        <v>1298</v>
      </c>
    </row>
    <row r="59" spans="1:20" x14ac:dyDescent="0.35">
      <c r="A59" s="7" t="s">
        <v>131</v>
      </c>
      <c r="B59" s="12" t="s">
        <v>90</v>
      </c>
      <c r="C59">
        <v>401236667.24583995</v>
      </c>
      <c r="D59">
        <v>417865108.69126326</v>
      </c>
      <c r="E59">
        <v>3023873.8738738829</v>
      </c>
      <c r="F59">
        <v>6222522.5225225287</v>
      </c>
      <c r="G59">
        <v>53</v>
      </c>
      <c r="H59">
        <v>43</v>
      </c>
      <c r="K59">
        <v>80</v>
      </c>
      <c r="L59">
        <v>51</v>
      </c>
      <c r="M59">
        <v>23847477.47747748</v>
      </c>
      <c r="N59">
        <v>44541351.351351351</v>
      </c>
      <c r="O59">
        <v>127723918.91891891</v>
      </c>
      <c r="P59">
        <v>132065603.6036036</v>
      </c>
      <c r="Q59">
        <v>24914774.774774775</v>
      </c>
      <c r="R59">
        <v>41158828.828828834</v>
      </c>
      <c r="S59">
        <v>10565</v>
      </c>
      <c r="T59">
        <v>10614</v>
      </c>
    </row>
    <row r="60" spans="1:20" x14ac:dyDescent="0.35">
      <c r="A60" s="7" t="s">
        <v>132</v>
      </c>
      <c r="B60" s="12" t="s">
        <v>133</v>
      </c>
      <c r="C60">
        <v>214474111.70652989</v>
      </c>
      <c r="D60">
        <v>230534491.80410534</v>
      </c>
      <c r="E60">
        <v>20964864.864864863</v>
      </c>
      <c r="F60">
        <v>8117117.1171171218</v>
      </c>
      <c r="G60">
        <v>121</v>
      </c>
      <c r="H60">
        <v>87</v>
      </c>
      <c r="K60">
        <v>134</v>
      </c>
      <c r="L60">
        <v>95</v>
      </c>
      <c r="M60">
        <v>25438738.738738734</v>
      </c>
      <c r="N60">
        <v>44938513.513513513</v>
      </c>
      <c r="O60">
        <v>67390358.108108118</v>
      </c>
      <c r="P60">
        <v>77055036.036036029</v>
      </c>
      <c r="Q60">
        <v>19670720.72072072</v>
      </c>
      <c r="R60">
        <v>41167477.477477483</v>
      </c>
      <c r="S60">
        <v>7315</v>
      </c>
      <c r="T60">
        <v>7323</v>
      </c>
    </row>
    <row r="61" spans="1:20" x14ac:dyDescent="0.35">
      <c r="A61" s="7" t="s">
        <v>134</v>
      </c>
      <c r="B61" s="12" t="s">
        <v>135</v>
      </c>
      <c r="C61">
        <v>20024000.617037263</v>
      </c>
      <c r="D61">
        <v>35894028.67480626</v>
      </c>
      <c r="G61">
        <v>1</v>
      </c>
      <c r="H61">
        <v>3</v>
      </c>
      <c r="K61">
        <v>1</v>
      </c>
      <c r="L61">
        <v>3</v>
      </c>
      <c r="O61">
        <v>3883727.927927928</v>
      </c>
      <c r="P61">
        <v>6314882.8828828819</v>
      </c>
      <c r="S61">
        <v>2213</v>
      </c>
      <c r="T61">
        <v>2230</v>
      </c>
    </row>
    <row r="62" spans="1:20" x14ac:dyDescent="0.35">
      <c r="A62" s="7" t="s">
        <v>136</v>
      </c>
      <c r="B62" s="12" t="s">
        <v>137</v>
      </c>
      <c r="C62">
        <v>182406096.56826386</v>
      </c>
      <c r="D62">
        <v>192089075.69183952</v>
      </c>
      <c r="E62">
        <v>822522.52252252598</v>
      </c>
      <c r="F62">
        <v>1283783.7837837869</v>
      </c>
      <c r="G62">
        <v>55</v>
      </c>
      <c r="H62">
        <v>41</v>
      </c>
      <c r="I62">
        <v>4</v>
      </c>
      <c r="K62">
        <v>60</v>
      </c>
      <c r="L62">
        <v>44</v>
      </c>
      <c r="M62">
        <v>11678378.378378378</v>
      </c>
      <c r="N62">
        <v>19882882.882882886</v>
      </c>
      <c r="O62">
        <v>29062099.0990991</v>
      </c>
      <c r="P62">
        <v>34808333.333333336</v>
      </c>
      <c r="Q62">
        <v>13078198.198198199</v>
      </c>
      <c r="R62">
        <v>16104414.414414411</v>
      </c>
      <c r="S62">
        <v>3564</v>
      </c>
      <c r="T62">
        <v>3609</v>
      </c>
    </row>
    <row r="63" spans="1:20" x14ac:dyDescent="0.35">
      <c r="A63" s="7" t="s">
        <v>138</v>
      </c>
      <c r="B63" s="12" t="s">
        <v>90</v>
      </c>
      <c r="C63">
        <v>196264733.98235998</v>
      </c>
      <c r="D63">
        <v>208680648.75516802</v>
      </c>
      <c r="E63">
        <v>1788063.063063069</v>
      </c>
      <c r="F63">
        <v>2820720.7207207242</v>
      </c>
      <c r="G63">
        <v>42</v>
      </c>
      <c r="H63">
        <v>10</v>
      </c>
      <c r="I63">
        <v>6</v>
      </c>
      <c r="K63">
        <v>98</v>
      </c>
      <c r="L63">
        <v>14</v>
      </c>
      <c r="M63">
        <v>21706306.306306303</v>
      </c>
      <c r="N63">
        <v>46516036.036036029</v>
      </c>
      <c r="O63">
        <v>69977754.954954967</v>
      </c>
      <c r="P63">
        <v>77652090.090090096</v>
      </c>
      <c r="Q63">
        <v>22858738.738738745</v>
      </c>
      <c r="R63">
        <v>38603333.333333328</v>
      </c>
      <c r="S63">
        <v>4968</v>
      </c>
      <c r="T63">
        <v>4887</v>
      </c>
    </row>
    <row r="64" spans="1:20" x14ac:dyDescent="0.35">
      <c r="A64" s="7" t="s">
        <v>139</v>
      </c>
      <c r="B64" s="12" t="s">
        <v>79</v>
      </c>
      <c r="C64">
        <v>143782692.99208072</v>
      </c>
      <c r="D64">
        <v>147360366.9505015</v>
      </c>
      <c r="E64">
        <v>3817117.11711712</v>
      </c>
      <c r="F64">
        <v>3129729.7297297362</v>
      </c>
      <c r="G64">
        <v>63</v>
      </c>
      <c r="H64">
        <v>45</v>
      </c>
      <c r="I64">
        <v>1</v>
      </c>
      <c r="K64">
        <v>72</v>
      </c>
      <c r="L64">
        <v>52</v>
      </c>
      <c r="M64">
        <v>16006306.306306304</v>
      </c>
      <c r="N64">
        <v>24836936.936936941</v>
      </c>
      <c r="O64">
        <v>62142885.135135137</v>
      </c>
      <c r="P64">
        <v>62518657.657657653</v>
      </c>
      <c r="Q64">
        <v>16263243.243243244</v>
      </c>
      <c r="R64">
        <v>21663423.423423424</v>
      </c>
      <c r="S64">
        <v>5194</v>
      </c>
      <c r="T64">
        <v>5066</v>
      </c>
    </row>
    <row r="65" spans="1:20" x14ac:dyDescent="0.35">
      <c r="A65" s="7" t="s">
        <v>140</v>
      </c>
      <c r="B65" s="12" t="s">
        <v>141</v>
      </c>
      <c r="C65">
        <v>200199545.93073183</v>
      </c>
      <c r="D65">
        <v>222875960.74265987</v>
      </c>
      <c r="E65">
        <v>1839639.63963964</v>
      </c>
      <c r="F65">
        <v>2768468.468468471</v>
      </c>
      <c r="G65">
        <v>21</v>
      </c>
      <c r="H65">
        <v>12</v>
      </c>
      <c r="K65">
        <v>21</v>
      </c>
      <c r="L65">
        <v>25</v>
      </c>
      <c r="M65">
        <v>18498018.018018015</v>
      </c>
      <c r="N65">
        <v>23094594.594594598</v>
      </c>
      <c r="O65">
        <v>38032333.333333336</v>
      </c>
      <c r="P65">
        <v>43206636.036036029</v>
      </c>
      <c r="Q65">
        <v>16901891.891891893</v>
      </c>
      <c r="R65">
        <v>18978198.198198199</v>
      </c>
      <c r="S65">
        <v>5361</v>
      </c>
      <c r="T65">
        <v>5434</v>
      </c>
    </row>
    <row r="66" spans="1:20" x14ac:dyDescent="0.35">
      <c r="A66" s="7" t="s">
        <v>142</v>
      </c>
      <c r="B66" s="12" t="s">
        <v>63</v>
      </c>
      <c r="C66">
        <v>133861671.43654528</v>
      </c>
      <c r="D66">
        <v>140978825.93151563</v>
      </c>
      <c r="E66">
        <v>455815971.17117119</v>
      </c>
      <c r="F66">
        <v>411453345.94594592</v>
      </c>
      <c r="G66">
        <v>60</v>
      </c>
      <c r="H66">
        <v>10</v>
      </c>
      <c r="I66">
        <v>3</v>
      </c>
      <c r="K66">
        <v>71</v>
      </c>
      <c r="L66">
        <v>13</v>
      </c>
      <c r="M66">
        <v>130110530.63063063</v>
      </c>
      <c r="N66">
        <v>174625379.27927929</v>
      </c>
      <c r="O66">
        <v>28960252.252252251</v>
      </c>
      <c r="P66">
        <v>32034477.477477476</v>
      </c>
      <c r="Q66">
        <v>71672432.432432428</v>
      </c>
      <c r="R66">
        <v>147959189.1891892</v>
      </c>
      <c r="S66">
        <v>3825</v>
      </c>
      <c r="T66">
        <v>3650</v>
      </c>
    </row>
    <row r="67" spans="1:20" x14ac:dyDescent="0.35">
      <c r="A67" s="7" t="s">
        <v>143</v>
      </c>
      <c r="B67" s="12" t="s">
        <v>144</v>
      </c>
      <c r="C67">
        <v>1303121.218578944</v>
      </c>
      <c r="D67">
        <v>1469567.631700777</v>
      </c>
      <c r="G67">
        <v>1</v>
      </c>
      <c r="K67">
        <v>1</v>
      </c>
      <c r="O67">
        <v>108198.19819819801</v>
      </c>
      <c r="P67">
        <v>209414.414414414</v>
      </c>
      <c r="S67">
        <v>129</v>
      </c>
      <c r="T67">
        <v>128</v>
      </c>
    </row>
    <row r="68" spans="1:20" x14ac:dyDescent="0.35">
      <c r="A68" s="7" t="s">
        <v>145</v>
      </c>
      <c r="B68" s="12" t="s">
        <v>141</v>
      </c>
      <c r="C68">
        <v>286906071.98130506</v>
      </c>
      <c r="D68">
        <v>287156361.29720765</v>
      </c>
      <c r="E68">
        <v>1281531.5315315321</v>
      </c>
      <c r="F68">
        <v>2955855.8558558589</v>
      </c>
      <c r="G68">
        <v>61</v>
      </c>
      <c r="H68">
        <v>26</v>
      </c>
      <c r="K68">
        <v>82</v>
      </c>
      <c r="L68">
        <v>31</v>
      </c>
      <c r="M68">
        <v>30429189.189189188</v>
      </c>
      <c r="N68">
        <v>44172792.79279279</v>
      </c>
      <c r="O68">
        <v>53227549.54954955</v>
      </c>
      <c r="P68">
        <v>58677810.810810819</v>
      </c>
      <c r="Q68">
        <v>29116846.846846845</v>
      </c>
      <c r="R68">
        <v>39424504.504504502</v>
      </c>
      <c r="S68">
        <v>7407</v>
      </c>
      <c r="T68">
        <v>7672</v>
      </c>
    </row>
    <row r="69" spans="1:20" x14ac:dyDescent="0.35">
      <c r="A69" s="7" t="s">
        <v>146</v>
      </c>
      <c r="B69" s="12" t="s">
        <v>79</v>
      </c>
      <c r="C69">
        <v>201869352.23232171</v>
      </c>
      <c r="D69">
        <v>204418818.74418262</v>
      </c>
      <c r="E69">
        <v>66361261.261261262</v>
      </c>
      <c r="F69">
        <v>85640540.540540546</v>
      </c>
      <c r="G69">
        <v>63</v>
      </c>
      <c r="H69">
        <v>42</v>
      </c>
      <c r="K69">
        <v>67</v>
      </c>
      <c r="L69">
        <v>49</v>
      </c>
      <c r="M69">
        <v>19340540.540540542</v>
      </c>
      <c r="N69">
        <v>27383783.783783782</v>
      </c>
      <c r="O69">
        <v>57777855.855855852</v>
      </c>
      <c r="P69">
        <v>59019358.558558561</v>
      </c>
      <c r="Q69">
        <v>20326486.486486487</v>
      </c>
      <c r="R69">
        <v>23551081.081081081</v>
      </c>
      <c r="S69">
        <v>6421</v>
      </c>
      <c r="T69">
        <v>6528</v>
      </c>
    </row>
    <row r="70" spans="1:20" x14ac:dyDescent="0.35">
      <c r="A70" s="7" t="s">
        <v>147</v>
      </c>
      <c r="B70" s="12" t="s">
        <v>148</v>
      </c>
      <c r="C70">
        <v>131692001.45144439</v>
      </c>
      <c r="D70">
        <v>131752218.3424754</v>
      </c>
      <c r="E70">
        <v>3123423.4234234262</v>
      </c>
      <c r="F70">
        <v>2714414.4144144142</v>
      </c>
      <c r="G70">
        <v>26</v>
      </c>
      <c r="H70">
        <v>14</v>
      </c>
      <c r="K70">
        <v>30</v>
      </c>
      <c r="L70">
        <v>15</v>
      </c>
      <c r="M70">
        <v>41259813.513513513</v>
      </c>
      <c r="N70">
        <v>41518018.018018015</v>
      </c>
      <c r="O70">
        <v>42119972.972972974</v>
      </c>
      <c r="P70">
        <v>43005675.675675683</v>
      </c>
      <c r="Q70">
        <v>41437927.927927926</v>
      </c>
      <c r="R70">
        <v>41114234.234234229</v>
      </c>
      <c r="S70">
        <v>3713</v>
      </c>
      <c r="T70">
        <v>3612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22.077324659999999</v>
      </c>
      <c r="T71">
        <v>3</v>
      </c>
    </row>
    <row r="72" spans="1:20" x14ac:dyDescent="0.35">
      <c r="A72" s="7" t="s">
        <v>150</v>
      </c>
      <c r="B72" s="12" t="s">
        <v>51</v>
      </c>
      <c r="C72">
        <v>117316502.7191122</v>
      </c>
      <c r="D72">
        <v>119619995.22883345</v>
      </c>
      <c r="E72">
        <v>111439099.0990991</v>
      </c>
      <c r="F72">
        <v>326607207.2072072</v>
      </c>
      <c r="G72">
        <v>24</v>
      </c>
      <c r="H72">
        <v>12</v>
      </c>
      <c r="K72">
        <v>26</v>
      </c>
      <c r="L72">
        <v>15</v>
      </c>
      <c r="M72">
        <v>6941171.1711711707</v>
      </c>
      <c r="N72">
        <v>11840270.270270271</v>
      </c>
      <c r="O72">
        <v>52666891.891891889</v>
      </c>
      <c r="P72">
        <v>53550162.162162162</v>
      </c>
      <c r="Q72">
        <v>6745135.1351351338</v>
      </c>
      <c r="R72">
        <v>10503603.603603603</v>
      </c>
      <c r="S72">
        <v>3510</v>
      </c>
      <c r="T72">
        <v>3595</v>
      </c>
    </row>
    <row r="73" spans="1:20" x14ac:dyDescent="0.35">
      <c r="A73" s="7" t="s">
        <v>151</v>
      </c>
      <c r="B73" s="12" t="s">
        <v>152</v>
      </c>
      <c r="C73">
        <v>36672818.367971294</v>
      </c>
      <c r="D73">
        <v>34770498.524194106</v>
      </c>
      <c r="E73">
        <v>529089040.54054052</v>
      </c>
      <c r="F73">
        <v>422912886.48648643</v>
      </c>
      <c r="G73">
        <v>6</v>
      </c>
      <c r="H73">
        <v>1</v>
      </c>
      <c r="K73">
        <v>7</v>
      </c>
      <c r="L73">
        <v>1</v>
      </c>
      <c r="M73">
        <v>56802252.252252258</v>
      </c>
      <c r="N73">
        <v>64922972.972972974</v>
      </c>
      <c r="O73">
        <v>9132018.0180180185</v>
      </c>
      <c r="P73">
        <v>9836117.1171171162</v>
      </c>
      <c r="Q73">
        <v>10364324.324324325</v>
      </c>
      <c r="R73">
        <v>28351621.62162162</v>
      </c>
      <c r="S73">
        <v>672</v>
      </c>
      <c r="T73">
        <v>771</v>
      </c>
    </row>
    <row r="74" spans="1:20" x14ac:dyDescent="0.35">
      <c r="A74" s="7" t="s">
        <v>153</v>
      </c>
      <c r="B74" s="12" t="s">
        <v>152</v>
      </c>
      <c r="C74">
        <v>347789077.16918784</v>
      </c>
      <c r="D74">
        <v>346949987.343795</v>
      </c>
      <c r="E74">
        <v>6634459.4594594622</v>
      </c>
      <c r="F74">
        <v>2349580.1801801939</v>
      </c>
      <c r="G74">
        <v>180</v>
      </c>
      <c r="H74">
        <v>22</v>
      </c>
      <c r="I74">
        <v>1</v>
      </c>
      <c r="K74">
        <v>196</v>
      </c>
      <c r="L74">
        <v>33</v>
      </c>
      <c r="M74">
        <v>224800072.07207206</v>
      </c>
      <c r="N74">
        <v>256344625.22522521</v>
      </c>
      <c r="O74">
        <v>121212963.96396397</v>
      </c>
      <c r="P74">
        <v>125176801.8018018</v>
      </c>
      <c r="Q74">
        <v>187575848.64864865</v>
      </c>
      <c r="R74">
        <v>209524054.05405405</v>
      </c>
      <c r="S74">
        <v>8048</v>
      </c>
      <c r="T74">
        <v>8038</v>
      </c>
    </row>
    <row r="75" spans="1:20" x14ac:dyDescent="0.35">
      <c r="A75" s="7" t="s">
        <v>154</v>
      </c>
      <c r="B75" s="12" t="s">
        <v>155</v>
      </c>
      <c r="C75">
        <v>308304879.05082536</v>
      </c>
      <c r="D75">
        <v>288686314.70657057</v>
      </c>
      <c r="E75">
        <v>343018.01801801898</v>
      </c>
      <c r="F75">
        <v>788288.28828828898</v>
      </c>
      <c r="G75">
        <v>43</v>
      </c>
      <c r="H75">
        <v>13</v>
      </c>
      <c r="K75">
        <v>47</v>
      </c>
      <c r="L75">
        <v>31</v>
      </c>
      <c r="M75">
        <v>40223423.423423424</v>
      </c>
      <c r="N75">
        <v>45130630.630630635</v>
      </c>
      <c r="O75">
        <v>126685108.10810812</v>
      </c>
      <c r="P75">
        <v>129883558.55855855</v>
      </c>
      <c r="Q75">
        <v>37805945.945945948</v>
      </c>
      <c r="R75">
        <v>46981261.261261262</v>
      </c>
      <c r="S75">
        <v>6973</v>
      </c>
      <c r="T75">
        <v>7121</v>
      </c>
    </row>
    <row r="76" spans="1:20" x14ac:dyDescent="0.35">
      <c r="A76" s="7" t="s">
        <v>156</v>
      </c>
      <c r="B76" s="12" t="s">
        <v>155</v>
      </c>
      <c r="C76">
        <v>35502009.811547905</v>
      </c>
      <c r="D76">
        <v>32379756.013792492</v>
      </c>
      <c r="E76">
        <v>115238738.73873873</v>
      </c>
      <c r="F76">
        <v>16951351.351351351</v>
      </c>
      <c r="G76">
        <v>7</v>
      </c>
      <c r="H76">
        <v>5</v>
      </c>
      <c r="K76">
        <v>9</v>
      </c>
      <c r="L76">
        <v>6</v>
      </c>
      <c r="M76">
        <v>5587387.3873873875</v>
      </c>
      <c r="N76">
        <v>6247522.5225225231</v>
      </c>
      <c r="O76">
        <v>9143324.3243243247</v>
      </c>
      <c r="P76">
        <v>10954936.936936935</v>
      </c>
      <c r="Q76">
        <v>2764864.8648648639</v>
      </c>
      <c r="R76">
        <v>4298018.0180180185</v>
      </c>
      <c r="S76">
        <v>1955</v>
      </c>
      <c r="T76">
        <v>1947</v>
      </c>
    </row>
    <row r="77" spans="1:20" x14ac:dyDescent="0.35">
      <c r="A77" s="7" t="s">
        <v>157</v>
      </c>
      <c r="B77" s="12" t="s">
        <v>155</v>
      </c>
      <c r="C77">
        <v>337743307.35792857</v>
      </c>
      <c r="D77">
        <v>335757134.82149178</v>
      </c>
      <c r="E77">
        <v>68059103.603603601</v>
      </c>
      <c r="F77">
        <v>125081209.009009</v>
      </c>
      <c r="G77">
        <v>20</v>
      </c>
      <c r="H77">
        <v>11</v>
      </c>
      <c r="K77">
        <v>22</v>
      </c>
      <c r="L77">
        <v>14</v>
      </c>
      <c r="M77">
        <v>75564864.864864871</v>
      </c>
      <c r="N77">
        <v>85127477.477477491</v>
      </c>
      <c r="O77">
        <v>130525432.43243243</v>
      </c>
      <c r="P77">
        <v>142080927.92792794</v>
      </c>
      <c r="Q77">
        <v>65318828.828828834</v>
      </c>
      <c r="R77">
        <v>64471531.531531535</v>
      </c>
      <c r="S77">
        <v>7966</v>
      </c>
      <c r="T77">
        <v>7876</v>
      </c>
    </row>
    <row r="78" spans="1:20" x14ac:dyDescent="0.35">
      <c r="A78" s="7" t="s">
        <v>158</v>
      </c>
      <c r="B78" s="12" t="s">
        <v>135</v>
      </c>
      <c r="C78">
        <v>157197027.14608335</v>
      </c>
      <c r="D78">
        <v>154977684.49130899</v>
      </c>
      <c r="E78">
        <v>556756.75675675902</v>
      </c>
      <c r="F78">
        <v>1337837.8378378381</v>
      </c>
      <c r="G78">
        <v>30</v>
      </c>
      <c r="H78">
        <v>25</v>
      </c>
      <c r="K78">
        <v>34</v>
      </c>
      <c r="L78">
        <v>47</v>
      </c>
      <c r="M78">
        <v>14948656.756756758</v>
      </c>
      <c r="N78">
        <v>15211711.71171171</v>
      </c>
      <c r="O78">
        <v>17071900.9009009</v>
      </c>
      <c r="P78">
        <v>16566621.621621622</v>
      </c>
      <c r="Q78">
        <v>5119369.3693693709</v>
      </c>
      <c r="R78">
        <v>10257387.387387386</v>
      </c>
      <c r="S78">
        <v>4401</v>
      </c>
      <c r="T78">
        <v>4467</v>
      </c>
    </row>
    <row r="79" spans="1:20" x14ac:dyDescent="0.35">
      <c r="A79" s="7" t="s">
        <v>1</v>
      </c>
      <c r="B79" s="12" t="s">
        <v>159</v>
      </c>
      <c r="C79">
        <v>281736806.2241891</v>
      </c>
      <c r="D79">
        <v>287621011.34550458</v>
      </c>
      <c r="E79">
        <v>1419819.8198198241</v>
      </c>
      <c r="F79">
        <v>1857657.657657658</v>
      </c>
      <c r="G79">
        <v>45</v>
      </c>
      <c r="H79">
        <v>52</v>
      </c>
      <c r="I79">
        <v>1</v>
      </c>
      <c r="K79">
        <v>148</v>
      </c>
      <c r="L79">
        <v>62</v>
      </c>
      <c r="M79">
        <v>34871981.981981978</v>
      </c>
      <c r="N79">
        <v>41920945.945945941</v>
      </c>
      <c r="O79">
        <v>134998657.65765765</v>
      </c>
      <c r="P79">
        <v>135123729.72972974</v>
      </c>
      <c r="Q79">
        <v>32616036.036036033</v>
      </c>
      <c r="R79">
        <v>41843468.468468472</v>
      </c>
      <c r="S79">
        <v>8349</v>
      </c>
      <c r="T79">
        <v>7383</v>
      </c>
    </row>
    <row r="80" spans="1:20" x14ac:dyDescent="0.35">
      <c r="A80" s="7" t="s">
        <v>160</v>
      </c>
      <c r="B80" s="12" t="s">
        <v>122</v>
      </c>
      <c r="C80">
        <v>10951713.207331255</v>
      </c>
      <c r="D80">
        <v>8721826.7176318355</v>
      </c>
      <c r="G80">
        <v>4</v>
      </c>
      <c r="H80">
        <v>7</v>
      </c>
      <c r="K80">
        <v>5</v>
      </c>
      <c r="L80">
        <v>7</v>
      </c>
      <c r="O80">
        <v>1037207.207207207</v>
      </c>
      <c r="P80">
        <v>1090315.315315315</v>
      </c>
      <c r="Q80">
        <v>29729.729729729999</v>
      </c>
      <c r="R80">
        <v>15765.765765766</v>
      </c>
      <c r="S80">
        <v>481</v>
      </c>
      <c r="T80">
        <v>412</v>
      </c>
    </row>
    <row r="81" spans="1:20" x14ac:dyDescent="0.35">
      <c r="A81" s="7" t="s">
        <v>161</v>
      </c>
      <c r="B81" s="12" t="s">
        <v>162</v>
      </c>
      <c r="C81">
        <v>149809251.14158338</v>
      </c>
      <c r="D81">
        <v>160858019.8191905</v>
      </c>
      <c r="E81">
        <v>75815596.396396399</v>
      </c>
      <c r="F81">
        <v>124141173.87387387</v>
      </c>
      <c r="G81">
        <v>94</v>
      </c>
      <c r="H81">
        <v>255</v>
      </c>
      <c r="K81">
        <v>164</v>
      </c>
      <c r="L81">
        <v>352</v>
      </c>
      <c r="M81">
        <v>34240891.891891897</v>
      </c>
      <c r="N81">
        <v>55284334.234234229</v>
      </c>
      <c r="O81">
        <v>64618441.441441439</v>
      </c>
      <c r="P81">
        <v>71055297.297297299</v>
      </c>
      <c r="Q81">
        <v>28055405.405405413</v>
      </c>
      <c r="R81">
        <v>39043558.558558561</v>
      </c>
      <c r="S81">
        <v>6705</v>
      </c>
      <c r="T81">
        <v>6209</v>
      </c>
    </row>
    <row r="82" spans="1:20" x14ac:dyDescent="0.35">
      <c r="A82" s="7" t="s">
        <v>163</v>
      </c>
      <c r="B82" s="12" t="s">
        <v>77</v>
      </c>
      <c r="C82">
        <v>65606863.789829142</v>
      </c>
      <c r="D82">
        <v>68713650.54255335</v>
      </c>
      <c r="E82">
        <v>66298198.198198199</v>
      </c>
      <c r="F82">
        <v>67850450.45045045</v>
      </c>
      <c r="G82">
        <v>12</v>
      </c>
      <c r="H82">
        <v>13</v>
      </c>
      <c r="K82">
        <v>13</v>
      </c>
      <c r="L82">
        <v>13</v>
      </c>
      <c r="M82">
        <v>1562162.1621621631</v>
      </c>
      <c r="N82">
        <v>2179279.2792792791</v>
      </c>
      <c r="O82">
        <v>3085045.0450450452</v>
      </c>
      <c r="P82">
        <v>3850864.8648648649</v>
      </c>
      <c r="Q82">
        <v>1070720.7207207209</v>
      </c>
      <c r="R82">
        <v>1155945.945945946</v>
      </c>
      <c r="S82">
        <v>1540</v>
      </c>
      <c r="T82">
        <v>974</v>
      </c>
    </row>
    <row r="83" spans="1:20" x14ac:dyDescent="0.35">
      <c r="A83" s="7" t="s">
        <v>164</v>
      </c>
      <c r="B83" s="12" t="s">
        <v>53</v>
      </c>
      <c r="C83">
        <v>52734056.703802146</v>
      </c>
      <c r="D83">
        <v>49031623.455959998</v>
      </c>
      <c r="E83">
        <v>742342.34234234202</v>
      </c>
      <c r="F83">
        <v>871171.17117117299</v>
      </c>
      <c r="G83">
        <v>24</v>
      </c>
      <c r="H83">
        <v>2</v>
      </c>
      <c r="K83">
        <v>26</v>
      </c>
      <c r="L83">
        <v>4</v>
      </c>
      <c r="M83">
        <v>904504.50450450403</v>
      </c>
      <c r="N83">
        <v>1528828.82882883</v>
      </c>
      <c r="O83">
        <v>25804684.684684683</v>
      </c>
      <c r="P83">
        <v>22590315.315315317</v>
      </c>
      <c r="Q83">
        <v>997297.29729729798</v>
      </c>
      <c r="R83">
        <v>1569009.009009009</v>
      </c>
      <c r="S83">
        <v>1590</v>
      </c>
      <c r="T83">
        <v>1537</v>
      </c>
    </row>
    <row r="84" spans="1:20" x14ac:dyDescent="0.35">
      <c r="A84" s="7" t="s">
        <v>165</v>
      </c>
      <c r="B84" s="12" t="s">
        <v>88</v>
      </c>
      <c r="C84">
        <v>26621388.721138272</v>
      </c>
      <c r="D84">
        <v>37268279.563882209</v>
      </c>
      <c r="E84">
        <v>40540.540540540998</v>
      </c>
      <c r="F84">
        <v>65765.765765766002</v>
      </c>
      <c r="G84">
        <v>9</v>
      </c>
      <c r="H84">
        <v>10</v>
      </c>
      <c r="K84">
        <v>10</v>
      </c>
      <c r="L84">
        <v>12</v>
      </c>
      <c r="M84">
        <v>251351.35135135101</v>
      </c>
      <c r="N84">
        <v>1597297.297297298</v>
      </c>
      <c r="O84">
        <v>2450675.6756756762</v>
      </c>
      <c r="P84">
        <v>5849774.7747747749</v>
      </c>
      <c r="Q84">
        <v>258918.918918918</v>
      </c>
      <c r="R84">
        <v>1618468.4684684691</v>
      </c>
      <c r="S84">
        <v>1057</v>
      </c>
      <c r="T84">
        <v>1242</v>
      </c>
    </row>
    <row r="85" spans="1:20" x14ac:dyDescent="0.35">
      <c r="A85" s="7" t="s">
        <v>166</v>
      </c>
      <c r="B85" s="12" t="s">
        <v>144</v>
      </c>
      <c r="C85">
        <v>9468166.3399789874</v>
      </c>
      <c r="D85">
        <v>8730621.7688278519</v>
      </c>
      <c r="E85">
        <v>94594.594594594993</v>
      </c>
      <c r="F85">
        <v>297297.29729729798</v>
      </c>
      <c r="G85">
        <v>8</v>
      </c>
      <c r="K85">
        <v>8</v>
      </c>
      <c r="M85">
        <v>545045.04504504497</v>
      </c>
      <c r="N85">
        <v>747747.74774774804</v>
      </c>
      <c r="O85">
        <v>1160963.963963964</v>
      </c>
      <c r="P85">
        <v>1133018.018018018</v>
      </c>
      <c r="Q85">
        <v>274954.95495495503</v>
      </c>
      <c r="R85">
        <v>909189.189189189</v>
      </c>
      <c r="S85">
        <v>399</v>
      </c>
      <c r="T85">
        <v>337</v>
      </c>
    </row>
    <row r="86" spans="1:20" x14ac:dyDescent="0.35">
      <c r="A86" s="7" t="s">
        <v>167</v>
      </c>
      <c r="B86" s="12" t="s">
        <v>168</v>
      </c>
      <c r="C86">
        <v>37674034.530899249</v>
      </c>
      <c r="D86">
        <v>34269635.229415014</v>
      </c>
      <c r="E86">
        <v>604504.50450450496</v>
      </c>
      <c r="F86">
        <v>45045.045045045001</v>
      </c>
      <c r="G86">
        <v>9</v>
      </c>
      <c r="H86">
        <v>3</v>
      </c>
      <c r="K86">
        <v>9</v>
      </c>
      <c r="L86">
        <v>4</v>
      </c>
      <c r="M86">
        <v>3398648.648648649</v>
      </c>
      <c r="N86">
        <v>3110810.8108108109</v>
      </c>
      <c r="O86">
        <v>17804917.117117114</v>
      </c>
      <c r="P86">
        <v>18144954.954954956</v>
      </c>
      <c r="Q86">
        <v>3404504.5045045041</v>
      </c>
      <c r="R86">
        <v>1651171.1711711709</v>
      </c>
      <c r="S86">
        <v>1464</v>
      </c>
      <c r="T86">
        <v>1429</v>
      </c>
    </row>
    <row r="87" spans="1:20" x14ac:dyDescent="0.35">
      <c r="A87" s="7" t="s">
        <v>169</v>
      </c>
      <c r="B87" s="12" t="s">
        <v>170</v>
      </c>
      <c r="C87">
        <v>170539700.75554243</v>
      </c>
      <c r="D87">
        <v>183882563.42146921</v>
      </c>
      <c r="E87">
        <v>76108108.108108118</v>
      </c>
      <c r="F87">
        <v>248919819.81981981</v>
      </c>
      <c r="G87">
        <v>36</v>
      </c>
      <c r="H87">
        <v>20</v>
      </c>
      <c r="K87">
        <v>42</v>
      </c>
      <c r="L87">
        <v>25</v>
      </c>
      <c r="M87">
        <v>35396916.216216214</v>
      </c>
      <c r="N87">
        <v>63050450.45045045</v>
      </c>
      <c r="O87">
        <v>53263596.846846849</v>
      </c>
      <c r="P87">
        <v>60023513.513513513</v>
      </c>
      <c r="Q87">
        <v>26053603.603603605</v>
      </c>
      <c r="R87">
        <v>34608288.288288288</v>
      </c>
      <c r="S87">
        <v>6445</v>
      </c>
      <c r="T87">
        <v>6635</v>
      </c>
    </row>
    <row r="88" spans="1:20" x14ac:dyDescent="0.35">
      <c r="A88" s="7" t="s">
        <v>171</v>
      </c>
      <c r="B88" s="12" t="s">
        <v>55</v>
      </c>
      <c r="C88">
        <v>25399365.350536704</v>
      </c>
      <c r="D88">
        <v>31038195.963723559</v>
      </c>
      <c r="E88">
        <v>367567.56756756798</v>
      </c>
      <c r="F88">
        <v>102702.702702703</v>
      </c>
      <c r="G88">
        <v>1</v>
      </c>
      <c r="H88">
        <v>3</v>
      </c>
      <c r="K88">
        <v>2</v>
      </c>
      <c r="L88">
        <v>4</v>
      </c>
      <c r="M88">
        <v>1718918.9189189191</v>
      </c>
      <c r="N88">
        <v>4931531.5315315314</v>
      </c>
      <c r="O88">
        <v>3935270.2702702712</v>
      </c>
      <c r="P88">
        <v>4994774.7747747758</v>
      </c>
      <c r="Q88">
        <v>2722162.1621621619</v>
      </c>
      <c r="R88">
        <v>4292702.702702703</v>
      </c>
      <c r="S88">
        <v>683</v>
      </c>
      <c r="T88">
        <v>738</v>
      </c>
    </row>
    <row r="89" spans="1:20" x14ac:dyDescent="0.35">
      <c r="A89" s="7" t="s">
        <v>172</v>
      </c>
      <c r="B89" s="12" t="s">
        <v>61</v>
      </c>
      <c r="C89">
        <v>531050144.56483841</v>
      </c>
      <c r="D89">
        <v>532892143.80927396</v>
      </c>
      <c r="E89">
        <v>6772072.0720720738</v>
      </c>
      <c r="F89">
        <v>4998198.1981982058</v>
      </c>
      <c r="G89">
        <v>127</v>
      </c>
      <c r="H89">
        <v>26</v>
      </c>
      <c r="K89">
        <v>150</v>
      </c>
      <c r="L89">
        <v>40</v>
      </c>
      <c r="M89">
        <v>24119819.819819815</v>
      </c>
      <c r="N89">
        <v>34281981.981981985</v>
      </c>
      <c r="O89">
        <v>196564225.22522521</v>
      </c>
      <c r="P89">
        <v>194079297.2972973</v>
      </c>
      <c r="Q89">
        <v>26149459.459459458</v>
      </c>
      <c r="R89">
        <v>30063693.693693697</v>
      </c>
      <c r="S89">
        <v>11923</v>
      </c>
      <c r="T89">
        <v>12019</v>
      </c>
    </row>
    <row r="90" spans="1:20" x14ac:dyDescent="0.35">
      <c r="A90" s="7" t="s">
        <v>173</v>
      </c>
      <c r="B90" s="12" t="s">
        <v>122</v>
      </c>
      <c r="C90">
        <v>220054755.42404401</v>
      </c>
      <c r="D90">
        <v>209404723.32336813</v>
      </c>
      <c r="E90">
        <v>1462162.1621621631</v>
      </c>
      <c r="F90">
        <v>869369.36936937005</v>
      </c>
      <c r="G90">
        <v>86</v>
      </c>
      <c r="H90">
        <v>74</v>
      </c>
      <c r="K90">
        <v>97</v>
      </c>
      <c r="L90">
        <v>85</v>
      </c>
      <c r="M90">
        <v>12243243.243243242</v>
      </c>
      <c r="N90">
        <v>14247747.747747745</v>
      </c>
      <c r="O90">
        <v>29875574.324324325</v>
      </c>
      <c r="P90">
        <v>35049081.081081077</v>
      </c>
      <c r="Q90">
        <v>9078738.7387387399</v>
      </c>
      <c r="R90">
        <v>9597657.6576576568</v>
      </c>
      <c r="S90">
        <v>5672</v>
      </c>
      <c r="T90">
        <v>5667</v>
      </c>
    </row>
    <row r="91" spans="1:20" x14ac:dyDescent="0.35">
      <c r="A91" s="7" t="s">
        <v>174</v>
      </c>
      <c r="B91" s="12" t="s">
        <v>175</v>
      </c>
      <c r="C91">
        <v>156820624.11527416</v>
      </c>
      <c r="D91">
        <v>166521772.06369832</v>
      </c>
      <c r="E91">
        <v>13770045.045045044</v>
      </c>
      <c r="F91">
        <v>7173873.8738738773</v>
      </c>
      <c r="G91">
        <v>79</v>
      </c>
      <c r="H91">
        <v>24</v>
      </c>
      <c r="K91">
        <v>141</v>
      </c>
      <c r="L91">
        <v>36</v>
      </c>
      <c r="M91">
        <v>18061711.711711708</v>
      </c>
      <c r="N91">
        <v>26054054.054054055</v>
      </c>
      <c r="O91">
        <v>20275954.954954952</v>
      </c>
      <c r="P91">
        <v>20994576.576576576</v>
      </c>
      <c r="Q91">
        <v>17833873.873873871</v>
      </c>
      <c r="R91">
        <v>21553963.963963963</v>
      </c>
      <c r="S91">
        <v>4447</v>
      </c>
      <c r="T91">
        <v>4573</v>
      </c>
    </row>
    <row r="92" spans="1:20" x14ac:dyDescent="0.35">
      <c r="A92" s="7" t="s">
        <v>176</v>
      </c>
      <c r="B92" s="12" t="s">
        <v>175</v>
      </c>
      <c r="C92">
        <v>247411093.94517726</v>
      </c>
      <c r="D92">
        <v>260679689.47914493</v>
      </c>
      <c r="E92">
        <v>1526801.8018018031</v>
      </c>
      <c r="F92">
        <v>2569369.3693693732</v>
      </c>
      <c r="G92">
        <v>102</v>
      </c>
      <c r="H92">
        <v>117</v>
      </c>
      <c r="I92">
        <v>1</v>
      </c>
      <c r="K92">
        <v>139</v>
      </c>
      <c r="L92">
        <v>149</v>
      </c>
      <c r="M92">
        <v>27226576.576576572</v>
      </c>
      <c r="N92">
        <v>36455405.40540541</v>
      </c>
      <c r="O92">
        <v>41946630.630630635</v>
      </c>
      <c r="P92">
        <v>41406225.225225225</v>
      </c>
      <c r="Q92">
        <v>24275225.225225225</v>
      </c>
      <c r="R92">
        <v>28290180.180180185</v>
      </c>
      <c r="S92">
        <v>8590</v>
      </c>
      <c r="T92">
        <v>8544</v>
      </c>
    </row>
    <row r="93" spans="1:20" x14ac:dyDescent="0.35">
      <c r="A93" s="7" t="s">
        <v>177</v>
      </c>
      <c r="B93" s="12" t="s">
        <v>175</v>
      </c>
      <c r="C93">
        <v>335004344.31227553</v>
      </c>
      <c r="D93">
        <v>344764265.17453808</v>
      </c>
      <c r="E93">
        <v>62541466.666666672</v>
      </c>
      <c r="F93">
        <v>103904318.01801802</v>
      </c>
      <c r="G93">
        <v>154</v>
      </c>
      <c r="H93">
        <v>168</v>
      </c>
      <c r="K93">
        <v>206</v>
      </c>
      <c r="L93">
        <v>224</v>
      </c>
      <c r="M93">
        <v>46348648.648648649</v>
      </c>
      <c r="N93">
        <v>44932564.864864863</v>
      </c>
      <c r="O93">
        <v>50456301.801801801</v>
      </c>
      <c r="P93">
        <v>56353198.198198199</v>
      </c>
      <c r="Q93">
        <v>26508918.918918919</v>
      </c>
      <c r="R93">
        <v>33913873.873873875</v>
      </c>
      <c r="S93">
        <v>11906</v>
      </c>
      <c r="T93">
        <v>12201</v>
      </c>
    </row>
    <row r="94" spans="1:20" x14ac:dyDescent="0.35">
      <c r="A94" s="7" t="s">
        <v>178</v>
      </c>
      <c r="B94" s="12" t="s">
        <v>179</v>
      </c>
      <c r="C94">
        <v>111311933.67815444</v>
      </c>
      <c r="D94">
        <v>105228867.68146837</v>
      </c>
      <c r="E94">
        <v>184684.68468468499</v>
      </c>
      <c r="F94">
        <v>1292792.7927927929</v>
      </c>
      <c r="G94">
        <v>16</v>
      </c>
      <c r="H94">
        <v>8</v>
      </c>
      <c r="K94">
        <v>21</v>
      </c>
      <c r="L94">
        <v>55</v>
      </c>
      <c r="M94">
        <v>8023873.8738738718</v>
      </c>
      <c r="N94">
        <v>8186486.4864864852</v>
      </c>
      <c r="O94">
        <v>46707061.261261262</v>
      </c>
      <c r="P94">
        <v>40726612.612612605</v>
      </c>
      <c r="Q94">
        <v>8402702.7027027011</v>
      </c>
      <c r="R94">
        <v>6453243.2432432426</v>
      </c>
      <c r="S94">
        <v>4175</v>
      </c>
      <c r="T94">
        <v>3508</v>
      </c>
    </row>
    <row r="95" spans="1:20" x14ac:dyDescent="0.35">
      <c r="A95" s="7" t="s">
        <v>180</v>
      </c>
      <c r="B95" s="12" t="s">
        <v>168</v>
      </c>
      <c r="C95">
        <v>132070085.12116154</v>
      </c>
      <c r="D95">
        <v>150039775.17883447</v>
      </c>
      <c r="E95">
        <v>6580855.855855857</v>
      </c>
      <c r="F95">
        <v>60603153.153153151</v>
      </c>
      <c r="G95">
        <v>22</v>
      </c>
      <c r="H95">
        <v>9</v>
      </c>
      <c r="K95">
        <v>33</v>
      </c>
      <c r="L95">
        <v>12</v>
      </c>
      <c r="M95">
        <v>2331531.5315315318</v>
      </c>
      <c r="N95">
        <v>8422072.0720720701</v>
      </c>
      <c r="O95">
        <v>33820369.369369365</v>
      </c>
      <c r="P95">
        <v>50508981.981981985</v>
      </c>
      <c r="Q95">
        <v>1153603.603603604</v>
      </c>
      <c r="R95">
        <v>4654594.5945945922</v>
      </c>
      <c r="S95">
        <v>4342</v>
      </c>
      <c r="T95">
        <v>4576</v>
      </c>
    </row>
    <row r="96" spans="1:20" x14ac:dyDescent="0.35">
      <c r="A96" s="7" t="s">
        <v>181</v>
      </c>
      <c r="B96" s="12" t="s">
        <v>182</v>
      </c>
      <c r="C96">
        <v>107809524.84227896</v>
      </c>
      <c r="D96">
        <v>115139794.3736555</v>
      </c>
      <c r="E96">
        <v>283783.78378378501</v>
      </c>
      <c r="F96">
        <v>1309909.9099099131</v>
      </c>
      <c r="G96">
        <v>20</v>
      </c>
      <c r="H96">
        <v>23</v>
      </c>
      <c r="K96">
        <v>22</v>
      </c>
      <c r="L96">
        <v>30</v>
      </c>
      <c r="M96">
        <v>3995495.4954954949</v>
      </c>
      <c r="N96">
        <v>27474324.324324325</v>
      </c>
      <c r="O96">
        <v>27215948.198198199</v>
      </c>
      <c r="P96">
        <v>27532909.909909911</v>
      </c>
      <c r="Q96">
        <v>7311171.1711711707</v>
      </c>
      <c r="R96">
        <v>25588378.378378376</v>
      </c>
      <c r="S96">
        <v>2991</v>
      </c>
      <c r="T96">
        <v>5396</v>
      </c>
    </row>
    <row r="97" spans="1:20" x14ac:dyDescent="0.35">
      <c r="A97" s="7" t="s">
        <v>183</v>
      </c>
      <c r="B97" s="12" t="s">
        <v>69</v>
      </c>
      <c r="S97">
        <v>2</v>
      </c>
    </row>
    <row r="98" spans="1:20" x14ac:dyDescent="0.35">
      <c r="A98" s="7" t="s">
        <v>184</v>
      </c>
      <c r="B98" s="12" t="s">
        <v>95</v>
      </c>
      <c r="C98">
        <v>107000031.61626294</v>
      </c>
      <c r="D98">
        <v>118827023.14934584</v>
      </c>
      <c r="E98">
        <v>13513.513513514001</v>
      </c>
      <c r="F98">
        <v>90090.090090090001</v>
      </c>
      <c r="G98">
        <v>35</v>
      </c>
      <c r="H98">
        <v>21</v>
      </c>
      <c r="I98">
        <v>1</v>
      </c>
      <c r="K98">
        <v>44</v>
      </c>
      <c r="L98">
        <v>27</v>
      </c>
      <c r="M98">
        <v>4436936.9369369363</v>
      </c>
      <c r="N98">
        <v>1891891.8918918921</v>
      </c>
      <c r="O98">
        <v>11691072.072072072</v>
      </c>
      <c r="P98">
        <v>17600819.819819819</v>
      </c>
      <c r="Q98">
        <v>1246576.5765765761</v>
      </c>
      <c r="R98">
        <v>493693.69369369402</v>
      </c>
      <c r="S98">
        <v>4076</v>
      </c>
      <c r="T98">
        <v>3789</v>
      </c>
    </row>
    <row r="99" spans="1:20" x14ac:dyDescent="0.35">
      <c r="A99" s="7" t="s">
        <v>185</v>
      </c>
      <c r="B99" s="12" t="s">
        <v>95</v>
      </c>
      <c r="C99">
        <v>651926060.40372336</v>
      </c>
      <c r="D99">
        <v>723193975.25495505</v>
      </c>
      <c r="E99">
        <v>960856714.41441441</v>
      </c>
      <c r="F99">
        <v>203918262.16216218</v>
      </c>
      <c r="G99">
        <v>133</v>
      </c>
      <c r="H99">
        <v>187</v>
      </c>
      <c r="K99">
        <v>168</v>
      </c>
      <c r="L99">
        <v>261</v>
      </c>
      <c r="M99">
        <v>42023873.873873875</v>
      </c>
      <c r="N99">
        <v>50862162.162162162</v>
      </c>
      <c r="O99">
        <v>79167304.054054052</v>
      </c>
      <c r="P99">
        <v>108885279.27927928</v>
      </c>
      <c r="Q99">
        <v>36599099.099099107</v>
      </c>
      <c r="R99">
        <v>38027747.747747742</v>
      </c>
      <c r="S99">
        <v>16106</v>
      </c>
      <c r="T99">
        <v>16319</v>
      </c>
    </row>
    <row r="100" spans="1:20" x14ac:dyDescent="0.35">
      <c r="A100" s="7" t="s">
        <v>186</v>
      </c>
      <c r="B100" s="12" t="s">
        <v>90</v>
      </c>
      <c r="C100">
        <v>58449992.238859415</v>
      </c>
      <c r="D100">
        <v>51914049.810658179</v>
      </c>
      <c r="E100">
        <v>629504.50450450496</v>
      </c>
      <c r="F100">
        <v>1032432.432432435</v>
      </c>
      <c r="G100">
        <v>14</v>
      </c>
      <c r="H100">
        <v>5</v>
      </c>
      <c r="K100">
        <v>14</v>
      </c>
      <c r="L100">
        <v>5</v>
      </c>
      <c r="M100">
        <v>2090990.990990991</v>
      </c>
      <c r="N100">
        <v>3003963.9639639631</v>
      </c>
      <c r="O100">
        <v>19697054.054054055</v>
      </c>
      <c r="P100">
        <v>20317909.909909911</v>
      </c>
      <c r="Q100">
        <v>2058648.648648649</v>
      </c>
      <c r="R100">
        <v>2909819.819819821</v>
      </c>
      <c r="S100">
        <v>1668</v>
      </c>
      <c r="T100">
        <v>1572</v>
      </c>
    </row>
    <row r="101" spans="1:20" x14ac:dyDescent="0.35">
      <c r="A101" s="7" t="s">
        <v>187</v>
      </c>
      <c r="B101" s="12" t="s">
        <v>61</v>
      </c>
      <c r="C101">
        <v>34728999.318157122</v>
      </c>
      <c r="D101">
        <v>39014363.582980476</v>
      </c>
      <c r="E101">
        <v>29514414.414414417</v>
      </c>
      <c r="F101">
        <v>339202702.7027027</v>
      </c>
      <c r="G101">
        <v>9</v>
      </c>
      <c r="H101">
        <v>5</v>
      </c>
      <c r="K101">
        <v>9</v>
      </c>
      <c r="L101">
        <v>6</v>
      </c>
      <c r="M101">
        <v>1343243.2432432449</v>
      </c>
      <c r="N101">
        <v>2301801.8018018021</v>
      </c>
      <c r="O101">
        <v>12006461.711711712</v>
      </c>
      <c r="P101">
        <v>13646432.432432432</v>
      </c>
      <c r="Q101">
        <v>574774.77477477503</v>
      </c>
      <c r="R101">
        <v>2428828.8288288279</v>
      </c>
      <c r="S101">
        <v>793</v>
      </c>
      <c r="T101">
        <v>812</v>
      </c>
    </row>
    <row r="102" spans="1:20" x14ac:dyDescent="0.35">
      <c r="A102" s="7" t="s">
        <v>188</v>
      </c>
      <c r="B102" s="12" t="s">
        <v>168</v>
      </c>
      <c r="C102">
        <v>87219931.498310268</v>
      </c>
      <c r="D102">
        <v>84401191.864553005</v>
      </c>
      <c r="E102">
        <v>873648.64864865004</v>
      </c>
      <c r="F102">
        <v>1099099.0990991001</v>
      </c>
      <c r="G102">
        <v>3</v>
      </c>
      <c r="H102">
        <v>4</v>
      </c>
      <c r="K102">
        <v>4</v>
      </c>
      <c r="L102">
        <v>7</v>
      </c>
      <c r="M102">
        <v>914414.41441441502</v>
      </c>
      <c r="N102">
        <v>1135135.1351351361</v>
      </c>
      <c r="O102">
        <v>23344081.081081081</v>
      </c>
      <c r="P102">
        <v>26287493.693693697</v>
      </c>
      <c r="Q102">
        <v>253063.06306306299</v>
      </c>
      <c r="R102">
        <v>1558018.018018018</v>
      </c>
      <c r="S102">
        <v>2764</v>
      </c>
      <c r="T102">
        <v>2921</v>
      </c>
    </row>
    <row r="103" spans="1:20" x14ac:dyDescent="0.35">
      <c r="A103" s="7" t="s">
        <v>189</v>
      </c>
      <c r="B103" s="12" t="s">
        <v>168</v>
      </c>
      <c r="C103">
        <v>230842003.30413011</v>
      </c>
      <c r="D103">
        <v>250153659.91039878</v>
      </c>
      <c r="E103">
        <v>433333.33333333698</v>
      </c>
      <c r="F103">
        <v>522522.52252252301</v>
      </c>
      <c r="G103">
        <v>23</v>
      </c>
      <c r="H103">
        <v>8</v>
      </c>
      <c r="K103">
        <v>25</v>
      </c>
      <c r="L103">
        <v>10</v>
      </c>
      <c r="M103">
        <v>8332914.4144144161</v>
      </c>
      <c r="N103">
        <v>9493693.6936936975</v>
      </c>
      <c r="O103">
        <v>46884288.288288288</v>
      </c>
      <c r="P103">
        <v>61009691.891891889</v>
      </c>
      <c r="Q103">
        <v>6161531.531531537</v>
      </c>
      <c r="R103">
        <v>9138288.2882882915</v>
      </c>
      <c r="S103">
        <v>4989</v>
      </c>
      <c r="T103">
        <v>5526</v>
      </c>
    </row>
    <row r="104" spans="1:20" x14ac:dyDescent="0.35">
      <c r="A104" s="7" t="s">
        <v>190</v>
      </c>
      <c r="B104" s="12" t="s">
        <v>191</v>
      </c>
      <c r="C104">
        <v>102295335.9584185</v>
      </c>
      <c r="D104">
        <v>108258471.78490947</v>
      </c>
      <c r="E104">
        <v>270270.27027027</v>
      </c>
      <c r="F104">
        <v>270270.27027027</v>
      </c>
      <c r="G104">
        <v>19</v>
      </c>
      <c r="H104">
        <v>29</v>
      </c>
      <c r="I104">
        <v>1</v>
      </c>
      <c r="K104">
        <v>19</v>
      </c>
      <c r="L104">
        <v>30</v>
      </c>
      <c r="M104">
        <v>1171171.1711711709</v>
      </c>
      <c r="N104">
        <v>2072072.072072072</v>
      </c>
      <c r="O104">
        <v>7232648.6486486495</v>
      </c>
      <c r="P104">
        <v>8994972.9729729723</v>
      </c>
      <c r="Q104">
        <v>1169819.8198198201</v>
      </c>
      <c r="R104">
        <v>1470720.7207207209</v>
      </c>
      <c r="S104">
        <v>1709</v>
      </c>
      <c r="T104">
        <v>1707</v>
      </c>
    </row>
    <row r="105" spans="1:20" x14ac:dyDescent="0.35">
      <c r="A105" s="7" t="s">
        <v>192</v>
      </c>
      <c r="B105" s="12" t="s">
        <v>135</v>
      </c>
      <c r="C105">
        <v>24780043.416756697</v>
      </c>
      <c r="D105">
        <v>21896476.30689558</v>
      </c>
      <c r="E105">
        <v>13513.513513514001</v>
      </c>
      <c r="G105">
        <v>17</v>
      </c>
      <c r="H105">
        <v>15</v>
      </c>
      <c r="K105">
        <v>17</v>
      </c>
      <c r="L105">
        <v>22</v>
      </c>
      <c r="M105">
        <v>13513.513513514001</v>
      </c>
      <c r="O105">
        <v>1919279.2792792791</v>
      </c>
      <c r="P105">
        <v>1673189.18918919</v>
      </c>
      <c r="Q105">
        <v>121621.62162162201</v>
      </c>
      <c r="S105">
        <v>933</v>
      </c>
      <c r="T105">
        <v>935</v>
      </c>
    </row>
    <row r="106" spans="1:20" x14ac:dyDescent="0.35">
      <c r="A106" s="7" t="s">
        <v>193</v>
      </c>
      <c r="B106" s="12" t="s">
        <v>61</v>
      </c>
      <c r="C106">
        <v>146044522.12712789</v>
      </c>
      <c r="D106">
        <v>148803075.32675034</v>
      </c>
      <c r="E106">
        <v>1459234.234234235</v>
      </c>
      <c r="F106">
        <v>1877477.477477479</v>
      </c>
      <c r="G106">
        <v>17</v>
      </c>
      <c r="H106">
        <v>17</v>
      </c>
      <c r="K106">
        <v>48</v>
      </c>
      <c r="L106">
        <v>43</v>
      </c>
      <c r="M106">
        <v>12306306.306306308</v>
      </c>
      <c r="N106">
        <v>18985585.585585583</v>
      </c>
      <c r="O106">
        <v>47617783.783783786</v>
      </c>
      <c r="P106">
        <v>50278351.351351351</v>
      </c>
      <c r="Q106">
        <v>11570270.270270269</v>
      </c>
      <c r="R106">
        <v>17515225.225225225</v>
      </c>
      <c r="S106">
        <v>3878</v>
      </c>
      <c r="T106">
        <v>4547</v>
      </c>
    </row>
    <row r="107" spans="1:20" x14ac:dyDescent="0.35">
      <c r="A107" s="7" t="s">
        <v>194</v>
      </c>
      <c r="B107" s="12" t="s">
        <v>61</v>
      </c>
      <c r="C107">
        <v>249953516.60015681</v>
      </c>
      <c r="D107">
        <v>265001967.92906368</v>
      </c>
      <c r="E107">
        <v>2098198.1981981988</v>
      </c>
      <c r="F107">
        <v>2139639.639639644</v>
      </c>
      <c r="G107">
        <v>21</v>
      </c>
      <c r="H107">
        <v>29</v>
      </c>
      <c r="I107">
        <v>1</v>
      </c>
      <c r="K107">
        <v>28</v>
      </c>
      <c r="L107">
        <v>46</v>
      </c>
      <c r="M107">
        <v>14368468.468468469</v>
      </c>
      <c r="N107">
        <v>22400900.900900904</v>
      </c>
      <c r="O107">
        <v>62298378.378378376</v>
      </c>
      <c r="P107">
        <v>64450331.531531535</v>
      </c>
      <c r="Q107">
        <v>13214864.864864867</v>
      </c>
      <c r="R107">
        <v>20559863.063063063</v>
      </c>
      <c r="S107">
        <v>6406</v>
      </c>
      <c r="T107">
        <v>6574</v>
      </c>
    </row>
    <row r="108" spans="1:20" x14ac:dyDescent="0.35">
      <c r="A108" s="7" t="s">
        <v>2</v>
      </c>
      <c r="B108" s="12" t="s">
        <v>195</v>
      </c>
      <c r="C108">
        <v>25119200.515578978</v>
      </c>
      <c r="D108">
        <v>10793808.574127875</v>
      </c>
      <c r="E108">
        <v>283483546.84684682</v>
      </c>
      <c r="F108">
        <v>201386536.93693691</v>
      </c>
      <c r="G108">
        <v>3</v>
      </c>
      <c r="K108">
        <v>4</v>
      </c>
      <c r="M108">
        <v>40540.540540542002</v>
      </c>
      <c r="N108">
        <v>247747.74774774801</v>
      </c>
      <c r="O108">
        <v>14583684.684684685</v>
      </c>
      <c r="P108">
        <v>7056279.2792792786</v>
      </c>
      <c r="Q108">
        <v>157657.65765765801</v>
      </c>
      <c r="R108">
        <v>212162.16216216201</v>
      </c>
      <c r="S108">
        <v>1101</v>
      </c>
      <c r="T108">
        <v>1258</v>
      </c>
    </row>
    <row r="109" spans="1:20" x14ac:dyDescent="0.35">
      <c r="A109" s="7" t="s">
        <v>196</v>
      </c>
      <c r="B109" s="12" t="s">
        <v>197</v>
      </c>
      <c r="C109">
        <v>898703235.10659242</v>
      </c>
      <c r="D109">
        <v>938579176.66690123</v>
      </c>
      <c r="E109">
        <v>6344819.819819821</v>
      </c>
      <c r="F109">
        <v>26471171.171171177</v>
      </c>
      <c r="G109">
        <v>225</v>
      </c>
      <c r="H109">
        <v>74</v>
      </c>
      <c r="I109">
        <v>2</v>
      </c>
      <c r="K109">
        <v>307</v>
      </c>
      <c r="L109">
        <v>118</v>
      </c>
      <c r="M109">
        <v>37410810.810810804</v>
      </c>
      <c r="N109">
        <v>37209009.009009011</v>
      </c>
      <c r="O109">
        <v>174584954.95495495</v>
      </c>
      <c r="P109">
        <v>189505621.62162164</v>
      </c>
      <c r="Q109">
        <v>40198828.828828834</v>
      </c>
      <c r="R109">
        <v>34161801.801801801</v>
      </c>
      <c r="S109">
        <v>18126</v>
      </c>
      <c r="T109">
        <v>20057</v>
      </c>
    </row>
    <row r="110" spans="1:20" x14ac:dyDescent="0.35">
      <c r="A110" s="7" t="s">
        <v>198</v>
      </c>
      <c r="B110" s="12" t="s">
        <v>81</v>
      </c>
      <c r="C110">
        <v>273671663.33748758</v>
      </c>
      <c r="D110">
        <v>271646845.52559835</v>
      </c>
      <c r="E110">
        <v>36335135.135135137</v>
      </c>
      <c r="F110">
        <v>94031261.261261269</v>
      </c>
      <c r="G110">
        <v>63</v>
      </c>
      <c r="H110">
        <v>38</v>
      </c>
      <c r="K110">
        <v>70</v>
      </c>
      <c r="L110">
        <v>58</v>
      </c>
      <c r="M110">
        <v>35965765.765765764</v>
      </c>
      <c r="N110">
        <v>47701171.171171166</v>
      </c>
      <c r="O110">
        <v>74119540.540540546</v>
      </c>
      <c r="P110">
        <v>73849990.990990996</v>
      </c>
      <c r="Q110">
        <v>37653693.693693697</v>
      </c>
      <c r="R110">
        <v>45109549.54954955</v>
      </c>
      <c r="S110">
        <v>6631</v>
      </c>
      <c r="T110">
        <v>8169</v>
      </c>
    </row>
    <row r="111" spans="1:20" x14ac:dyDescent="0.35">
      <c r="A111" s="7" t="s">
        <v>199</v>
      </c>
      <c r="B111" s="12" t="s">
        <v>109</v>
      </c>
      <c r="C111">
        <v>219593056.20960343</v>
      </c>
      <c r="D111">
        <v>218618130.4650197</v>
      </c>
      <c r="E111">
        <v>2045945.945945946</v>
      </c>
      <c r="F111">
        <v>2299099.0990990992</v>
      </c>
      <c r="G111">
        <v>73</v>
      </c>
      <c r="H111">
        <v>40</v>
      </c>
      <c r="I111">
        <v>1</v>
      </c>
      <c r="K111">
        <v>85</v>
      </c>
      <c r="L111">
        <v>54</v>
      </c>
      <c r="M111">
        <v>11542342.342342339</v>
      </c>
      <c r="N111">
        <v>15576576.576576579</v>
      </c>
      <c r="O111">
        <v>68169126.126126125</v>
      </c>
      <c r="P111">
        <v>66619099.0990991</v>
      </c>
      <c r="Q111">
        <v>11079099.099099098</v>
      </c>
      <c r="R111">
        <v>15122252.252252255</v>
      </c>
      <c r="S111">
        <v>7343</v>
      </c>
      <c r="T111">
        <v>7137</v>
      </c>
    </row>
    <row r="112" spans="1:20" x14ac:dyDescent="0.35">
      <c r="A112" s="7" t="s">
        <v>200</v>
      </c>
      <c r="B112" s="12" t="s">
        <v>93</v>
      </c>
      <c r="C112">
        <v>116820353.58992989</v>
      </c>
      <c r="D112">
        <v>121874985.8157374</v>
      </c>
      <c r="E112">
        <v>4031531.5315315332</v>
      </c>
      <c r="F112">
        <v>2698198.1981981979</v>
      </c>
      <c r="G112">
        <v>144</v>
      </c>
      <c r="H112">
        <v>17</v>
      </c>
      <c r="K112">
        <v>235</v>
      </c>
      <c r="L112">
        <v>20</v>
      </c>
      <c r="M112">
        <v>32377927.927927926</v>
      </c>
      <c r="N112">
        <v>26065315.315315314</v>
      </c>
      <c r="O112">
        <v>32327936.936936937</v>
      </c>
      <c r="P112">
        <v>31333648.648648649</v>
      </c>
      <c r="Q112">
        <v>31614414.414414417</v>
      </c>
      <c r="R112">
        <v>26345765.765765764</v>
      </c>
      <c r="S112">
        <v>4112</v>
      </c>
      <c r="T112">
        <v>2861</v>
      </c>
    </row>
    <row r="113" spans="1:20" x14ac:dyDescent="0.35">
      <c r="A113" s="7" t="s">
        <v>201</v>
      </c>
      <c r="B113" s="12" t="s">
        <v>124</v>
      </c>
      <c r="C113">
        <v>105686140.81771767</v>
      </c>
      <c r="D113">
        <v>89375459.216492727</v>
      </c>
      <c r="E113">
        <v>89189.189189190001</v>
      </c>
      <c r="F113">
        <v>1291891.8918918921</v>
      </c>
      <c r="G113">
        <v>19</v>
      </c>
      <c r="H113">
        <v>16</v>
      </c>
      <c r="K113">
        <v>21</v>
      </c>
      <c r="L113">
        <v>19</v>
      </c>
      <c r="M113">
        <v>2316396.3963963962</v>
      </c>
      <c r="N113">
        <v>7811891.8918918911</v>
      </c>
      <c r="O113">
        <v>18454477.47747748</v>
      </c>
      <c r="P113">
        <v>21344927.927927926</v>
      </c>
      <c r="Q113">
        <v>3255045.0450450452</v>
      </c>
      <c r="R113">
        <v>4740270.2702702712</v>
      </c>
      <c r="S113">
        <v>2522</v>
      </c>
      <c r="T113">
        <v>2398</v>
      </c>
    </row>
    <row r="114" spans="1:20" x14ac:dyDescent="0.35">
      <c r="A114" s="7" t="s">
        <v>202</v>
      </c>
      <c r="B114" s="12" t="s">
        <v>61</v>
      </c>
      <c r="C114">
        <v>76878203.247946814</v>
      </c>
      <c r="D114">
        <v>80971590.644829571</v>
      </c>
      <c r="E114">
        <v>1377477.4774774781</v>
      </c>
      <c r="F114">
        <v>1153153.1531531571</v>
      </c>
      <c r="G114">
        <v>15</v>
      </c>
      <c r="H114">
        <v>6</v>
      </c>
      <c r="I114">
        <v>1</v>
      </c>
      <c r="K114">
        <v>17</v>
      </c>
      <c r="L114">
        <v>14</v>
      </c>
      <c r="M114">
        <v>10260360.36036036</v>
      </c>
      <c r="N114">
        <v>13279279.27927928</v>
      </c>
      <c r="O114">
        <v>14515869.369369367</v>
      </c>
      <c r="P114">
        <v>14658108.108108109</v>
      </c>
      <c r="Q114">
        <v>5830450.4504504511</v>
      </c>
      <c r="R114">
        <v>6528648.6486486513</v>
      </c>
      <c r="S114">
        <v>3595</v>
      </c>
      <c r="T114">
        <v>3664</v>
      </c>
    </row>
    <row r="115" spans="1:20" x14ac:dyDescent="0.35">
      <c r="A115" s="7" t="s">
        <v>203</v>
      </c>
      <c r="B115" s="12" t="s">
        <v>61</v>
      </c>
      <c r="C115">
        <v>25795020.513515841</v>
      </c>
      <c r="D115">
        <v>25828724.168539669</v>
      </c>
      <c r="E115">
        <v>5405.4054054050002</v>
      </c>
      <c r="F115">
        <v>431531.53153153299</v>
      </c>
      <c r="G115">
        <v>8</v>
      </c>
      <c r="H115">
        <v>5</v>
      </c>
      <c r="K115">
        <v>10</v>
      </c>
      <c r="L115">
        <v>6</v>
      </c>
      <c r="M115">
        <v>1527927.9279279271</v>
      </c>
      <c r="N115">
        <v>2368468.4684684691</v>
      </c>
      <c r="O115">
        <v>4873360.3603603607</v>
      </c>
      <c r="P115">
        <v>5798711.7117117122</v>
      </c>
      <c r="Q115">
        <v>443243.24324324302</v>
      </c>
      <c r="R115">
        <v>1337297.297297298</v>
      </c>
      <c r="S115">
        <v>1163</v>
      </c>
      <c r="T115">
        <v>1110</v>
      </c>
    </row>
    <row r="116" spans="1:20" x14ac:dyDescent="0.35">
      <c r="A116" s="7" t="s">
        <v>204</v>
      </c>
      <c r="B116" s="12" t="s">
        <v>122</v>
      </c>
      <c r="C116">
        <v>50503816.946644723</v>
      </c>
      <c r="D116">
        <v>47842097.098200947</v>
      </c>
      <c r="E116">
        <v>220720.720720721</v>
      </c>
      <c r="F116">
        <v>599099.09909910103</v>
      </c>
      <c r="G116">
        <v>32</v>
      </c>
      <c r="H116">
        <v>15</v>
      </c>
      <c r="K116">
        <v>37</v>
      </c>
      <c r="L116">
        <v>16</v>
      </c>
      <c r="M116">
        <v>225225.22522522599</v>
      </c>
      <c r="N116">
        <v>779279.27927928104</v>
      </c>
      <c r="O116">
        <v>4759756.7567567574</v>
      </c>
      <c r="P116">
        <v>4983333.333333334</v>
      </c>
      <c r="R116">
        <v>247747.74774774801</v>
      </c>
      <c r="S116">
        <v>1354</v>
      </c>
      <c r="T116">
        <v>1402</v>
      </c>
    </row>
    <row r="117" spans="1:20" x14ac:dyDescent="0.35">
      <c r="A117" s="7" t="s">
        <v>205</v>
      </c>
      <c r="B117" s="12" t="s">
        <v>55</v>
      </c>
      <c r="C117">
        <v>80014018.737699136</v>
      </c>
      <c r="D117">
        <v>85812496.516659573</v>
      </c>
      <c r="E117">
        <v>52425225.225225225</v>
      </c>
      <c r="F117">
        <v>85726126.126126125</v>
      </c>
      <c r="G117">
        <v>20</v>
      </c>
      <c r="H117">
        <v>14</v>
      </c>
      <c r="K117">
        <v>21</v>
      </c>
      <c r="L117">
        <v>14</v>
      </c>
      <c r="M117">
        <v>3606306.3063063072</v>
      </c>
      <c r="N117">
        <v>7154054.0540540554</v>
      </c>
      <c r="O117">
        <v>20585756.756756756</v>
      </c>
      <c r="P117">
        <v>22846216.216216218</v>
      </c>
      <c r="Q117">
        <v>3960450.4504504502</v>
      </c>
      <c r="R117">
        <v>5299909.9099099087</v>
      </c>
      <c r="S117">
        <v>3927</v>
      </c>
      <c r="T117">
        <v>3771</v>
      </c>
    </row>
    <row r="118" spans="1:20" x14ac:dyDescent="0.35">
      <c r="A118" s="7" t="s">
        <v>206</v>
      </c>
      <c r="B118" s="12" t="s">
        <v>137</v>
      </c>
      <c r="C118">
        <v>283766676.56322187</v>
      </c>
      <c r="D118">
        <v>290333996.64777285</v>
      </c>
      <c r="E118">
        <v>13265765.765765766</v>
      </c>
      <c r="F118">
        <v>32738738.738738749</v>
      </c>
      <c r="G118">
        <v>35</v>
      </c>
      <c r="H118">
        <v>40</v>
      </c>
      <c r="I118">
        <v>2</v>
      </c>
      <c r="K118">
        <v>41</v>
      </c>
      <c r="L118">
        <v>43</v>
      </c>
      <c r="M118">
        <v>25846846.846846845</v>
      </c>
      <c r="N118">
        <v>27797297.297297299</v>
      </c>
      <c r="O118">
        <v>51133963.963963971</v>
      </c>
      <c r="P118">
        <v>55180549.54954955</v>
      </c>
      <c r="Q118">
        <v>21187747.747747749</v>
      </c>
      <c r="R118">
        <v>23533063.063063063</v>
      </c>
      <c r="S118">
        <v>5687</v>
      </c>
      <c r="T118">
        <v>5661</v>
      </c>
    </row>
    <row r="119" spans="1:20" x14ac:dyDescent="0.35">
      <c r="A119" s="7" t="s">
        <v>207</v>
      </c>
      <c r="B119" s="12" t="s">
        <v>137</v>
      </c>
      <c r="C119">
        <v>147213303.07204306</v>
      </c>
      <c r="D119">
        <v>150496911.95606437</v>
      </c>
      <c r="E119">
        <v>358558.55855855899</v>
      </c>
      <c r="F119">
        <v>65765.765765767006</v>
      </c>
      <c r="G119">
        <v>23</v>
      </c>
      <c r="H119">
        <v>19</v>
      </c>
      <c r="K119">
        <v>28</v>
      </c>
      <c r="L119">
        <v>20</v>
      </c>
      <c r="M119">
        <v>5025225.2252252242</v>
      </c>
      <c r="N119">
        <v>5435135.1351351338</v>
      </c>
      <c r="O119">
        <v>29118718.918918919</v>
      </c>
      <c r="P119">
        <v>32331387.387387387</v>
      </c>
      <c r="Q119">
        <v>2862252.2522522528</v>
      </c>
      <c r="R119">
        <v>3446486.4864864852</v>
      </c>
      <c r="S119">
        <v>3102</v>
      </c>
      <c r="T119">
        <v>3139</v>
      </c>
    </row>
    <row r="120" spans="1:20" x14ac:dyDescent="0.35">
      <c r="A120" s="7" t="s">
        <v>208</v>
      </c>
      <c r="B120" s="12" t="s">
        <v>170</v>
      </c>
      <c r="C120">
        <v>339971265.60150599</v>
      </c>
      <c r="D120">
        <v>356258217.58367324</v>
      </c>
      <c r="E120">
        <v>1309009.0090090099</v>
      </c>
      <c r="F120">
        <v>8939909.9099099115</v>
      </c>
      <c r="G120">
        <v>12</v>
      </c>
      <c r="H120">
        <v>16</v>
      </c>
      <c r="K120">
        <v>14</v>
      </c>
      <c r="L120">
        <v>18</v>
      </c>
      <c r="M120">
        <v>2273019662.1621623</v>
      </c>
      <c r="N120">
        <v>666006306.30630636</v>
      </c>
      <c r="O120">
        <v>159674594.5945946</v>
      </c>
      <c r="P120">
        <v>174037297.2972973</v>
      </c>
      <c r="Q120">
        <v>560204727.92792797</v>
      </c>
      <c r="R120">
        <v>23023243.243243244</v>
      </c>
      <c r="S120">
        <v>7705</v>
      </c>
      <c r="T120">
        <v>7717</v>
      </c>
    </row>
    <row r="121" spans="1:20" x14ac:dyDescent="0.35">
      <c r="A121" s="7" t="s">
        <v>669</v>
      </c>
      <c r="B121" s="12" t="s">
        <v>95</v>
      </c>
      <c r="E121">
        <v>35382882.882882886</v>
      </c>
      <c r="F121">
        <v>28175675.675675675</v>
      </c>
      <c r="M121">
        <v>5345945.9459459456</v>
      </c>
      <c r="N121">
        <v>2905405.405405405</v>
      </c>
    </row>
    <row r="122" spans="1:20" x14ac:dyDescent="0.35">
      <c r="A122" s="7" t="s">
        <v>209</v>
      </c>
      <c r="B122" s="12" t="s">
        <v>162</v>
      </c>
      <c r="C122">
        <v>378481195.06753558</v>
      </c>
      <c r="D122">
        <v>390584461.56233621</v>
      </c>
      <c r="E122">
        <v>1808108.108108117</v>
      </c>
      <c r="F122">
        <v>2635135.1351351398</v>
      </c>
      <c r="G122">
        <v>252</v>
      </c>
      <c r="H122">
        <v>96</v>
      </c>
      <c r="K122">
        <v>366</v>
      </c>
      <c r="L122">
        <v>298</v>
      </c>
      <c r="M122">
        <v>36402432.432432443</v>
      </c>
      <c r="N122">
        <v>47303333.333333336</v>
      </c>
      <c r="O122">
        <v>108706112.61261261</v>
      </c>
      <c r="P122">
        <v>124946801.8018018</v>
      </c>
      <c r="Q122">
        <v>35573059.459459461</v>
      </c>
      <c r="R122">
        <v>47318104.504504502</v>
      </c>
      <c r="S122">
        <v>12064</v>
      </c>
      <c r="T122">
        <v>12463</v>
      </c>
    </row>
    <row r="123" spans="1:20" x14ac:dyDescent="0.35">
      <c r="A123" s="7" t="s">
        <v>210</v>
      </c>
      <c r="B123" s="12" t="s">
        <v>77</v>
      </c>
      <c r="C123">
        <v>11130688.552254817</v>
      </c>
      <c r="D123">
        <v>12110899.934796367</v>
      </c>
      <c r="H123">
        <v>2</v>
      </c>
      <c r="L123">
        <v>2</v>
      </c>
      <c r="O123">
        <v>867432.43243243196</v>
      </c>
      <c r="P123">
        <v>1046441.441441441</v>
      </c>
      <c r="S123">
        <v>517</v>
      </c>
      <c r="T123">
        <v>547</v>
      </c>
    </row>
    <row r="124" spans="1:20" x14ac:dyDescent="0.35">
      <c r="A124" s="7" t="s">
        <v>211</v>
      </c>
      <c r="B124" s="12" t="s">
        <v>77</v>
      </c>
      <c r="C124">
        <v>163232695.42448387</v>
      </c>
      <c r="D124">
        <v>161917919.67760313</v>
      </c>
      <c r="E124">
        <v>32939987.387387391</v>
      </c>
      <c r="F124">
        <v>86331715.315315306</v>
      </c>
      <c r="G124">
        <v>75</v>
      </c>
      <c r="H124">
        <v>71</v>
      </c>
      <c r="I124">
        <v>3</v>
      </c>
      <c r="K124">
        <v>84</v>
      </c>
      <c r="L124">
        <v>82</v>
      </c>
      <c r="M124">
        <v>18466126.126126125</v>
      </c>
      <c r="N124">
        <v>15266674.774774777</v>
      </c>
      <c r="O124">
        <v>25009324.324324325</v>
      </c>
      <c r="P124">
        <v>27986243.243243244</v>
      </c>
      <c r="Q124">
        <v>17731441.441441443</v>
      </c>
      <c r="R124">
        <v>13625225.225225225</v>
      </c>
      <c r="S124">
        <v>4399</v>
      </c>
      <c r="T124">
        <v>5358</v>
      </c>
    </row>
    <row r="125" spans="1:20" x14ac:dyDescent="0.35">
      <c r="A125" s="7" t="s">
        <v>212</v>
      </c>
      <c r="B125" s="12" t="s">
        <v>77</v>
      </c>
      <c r="C125">
        <v>209044874.59485191</v>
      </c>
      <c r="D125">
        <v>229309287.34515378</v>
      </c>
      <c r="E125">
        <v>2368468.4684684752</v>
      </c>
      <c r="F125">
        <v>4704504.5045045074</v>
      </c>
      <c r="G125">
        <v>125</v>
      </c>
      <c r="H125">
        <v>233</v>
      </c>
      <c r="I125">
        <v>1</v>
      </c>
      <c r="K125">
        <v>164</v>
      </c>
      <c r="L125">
        <v>255</v>
      </c>
      <c r="M125">
        <v>67917837.837837845</v>
      </c>
      <c r="N125">
        <v>73921801.801801801</v>
      </c>
      <c r="O125">
        <v>64403689.189189196</v>
      </c>
      <c r="P125">
        <v>78336405.405405402</v>
      </c>
      <c r="Q125">
        <v>54840090.090090096</v>
      </c>
      <c r="R125">
        <v>59042252.252252258</v>
      </c>
      <c r="S125">
        <v>6981</v>
      </c>
      <c r="T125">
        <v>6861</v>
      </c>
    </row>
    <row r="126" spans="1:20" x14ac:dyDescent="0.35">
      <c r="A126" s="7" t="s">
        <v>213</v>
      </c>
      <c r="B126" s="12" t="s">
        <v>77</v>
      </c>
      <c r="C126">
        <v>153833438.68315297</v>
      </c>
      <c r="D126">
        <v>146828990.14091495</v>
      </c>
      <c r="E126">
        <v>2054729.729729736</v>
      </c>
      <c r="F126">
        <v>2017117.117117119</v>
      </c>
      <c r="G126">
        <v>67</v>
      </c>
      <c r="H126">
        <v>119</v>
      </c>
      <c r="K126">
        <v>77</v>
      </c>
      <c r="L126">
        <v>130</v>
      </c>
      <c r="M126">
        <v>11773333.333333336</v>
      </c>
      <c r="N126">
        <v>20746854.954954952</v>
      </c>
      <c r="O126">
        <v>23897849.0990991</v>
      </c>
      <c r="P126">
        <v>25236063.063063063</v>
      </c>
      <c r="Q126">
        <v>12046756.756756758</v>
      </c>
      <c r="R126">
        <v>17295675.675675672</v>
      </c>
      <c r="S126">
        <v>3971</v>
      </c>
      <c r="T126">
        <v>3937</v>
      </c>
    </row>
    <row r="127" spans="1:20" x14ac:dyDescent="0.35">
      <c r="A127" s="7" t="s">
        <v>214</v>
      </c>
      <c r="B127" s="12" t="s">
        <v>77</v>
      </c>
      <c r="C127">
        <v>55978182.777238853</v>
      </c>
      <c r="D127">
        <v>63723452.305643119</v>
      </c>
      <c r="E127">
        <v>33333.333333333001</v>
      </c>
      <c r="F127">
        <v>78378.378378377995</v>
      </c>
      <c r="G127">
        <v>7</v>
      </c>
      <c r="H127">
        <v>7</v>
      </c>
      <c r="K127">
        <v>8</v>
      </c>
      <c r="L127">
        <v>8</v>
      </c>
      <c r="M127">
        <v>1238018.0180180159</v>
      </c>
      <c r="N127">
        <v>2803603.6036036029</v>
      </c>
      <c r="O127">
        <v>8381180.1801801808</v>
      </c>
      <c r="P127">
        <v>10021882.882882884</v>
      </c>
      <c r="Q127">
        <v>1570180.1801801799</v>
      </c>
      <c r="R127">
        <v>1672612.612612613</v>
      </c>
      <c r="S127">
        <v>2072</v>
      </c>
      <c r="T127">
        <v>2304</v>
      </c>
    </row>
    <row r="128" spans="1:20" x14ac:dyDescent="0.35">
      <c r="A128" s="7" t="s">
        <v>215</v>
      </c>
      <c r="B128" s="12" t="s">
        <v>216</v>
      </c>
      <c r="C128">
        <v>80145667.958084404</v>
      </c>
      <c r="D128">
        <v>82790506.08082065</v>
      </c>
      <c r="E128">
        <v>612612.61261261196</v>
      </c>
      <c r="F128">
        <v>915315.31531531597</v>
      </c>
      <c r="G128">
        <v>29</v>
      </c>
      <c r="H128">
        <v>3</v>
      </c>
      <c r="I128">
        <v>1</v>
      </c>
      <c r="K128">
        <v>30</v>
      </c>
      <c r="L128">
        <v>3</v>
      </c>
      <c r="M128">
        <v>8774342.3423423432</v>
      </c>
      <c r="N128">
        <v>20385585.585585583</v>
      </c>
      <c r="O128">
        <v>35430351.351351351</v>
      </c>
      <c r="P128">
        <v>41462558.558558561</v>
      </c>
      <c r="Q128">
        <v>7602702.702702702</v>
      </c>
      <c r="R128">
        <v>19577297.297297295</v>
      </c>
      <c r="S128">
        <v>2233</v>
      </c>
      <c r="T128">
        <v>2289</v>
      </c>
    </row>
    <row r="129" spans="1:20" x14ac:dyDescent="0.35">
      <c r="A129" s="7" t="s">
        <v>217</v>
      </c>
      <c r="B129" s="12" t="s">
        <v>168</v>
      </c>
      <c r="C129">
        <v>88984002.391313195</v>
      </c>
      <c r="D129">
        <v>83260435.230927989</v>
      </c>
      <c r="E129">
        <v>536036.03603603703</v>
      </c>
      <c r="G129">
        <v>6</v>
      </c>
      <c r="H129">
        <v>1</v>
      </c>
      <c r="K129">
        <v>7</v>
      </c>
      <c r="L129">
        <v>1</v>
      </c>
      <c r="M129">
        <v>986486.48648648697</v>
      </c>
      <c r="O129">
        <v>15859459.459459459</v>
      </c>
      <c r="P129">
        <v>23302459.459459461</v>
      </c>
      <c r="Q129">
        <v>61711.711711712</v>
      </c>
      <c r="R129">
        <v>69819.819819819997</v>
      </c>
      <c r="S129">
        <v>1910</v>
      </c>
      <c r="T129">
        <v>1717</v>
      </c>
    </row>
    <row r="130" spans="1:20" x14ac:dyDescent="0.35">
      <c r="A130" s="7" t="s">
        <v>218</v>
      </c>
      <c r="B130" s="12" t="s">
        <v>86</v>
      </c>
      <c r="C130">
        <v>20790729.438629407</v>
      </c>
      <c r="D130">
        <v>22390415.444049306</v>
      </c>
      <c r="E130">
        <v>146177686.48648649</v>
      </c>
      <c r="F130">
        <v>339708358.55855858</v>
      </c>
      <c r="G130">
        <v>7</v>
      </c>
      <c r="H130">
        <v>2</v>
      </c>
      <c r="K130">
        <v>9</v>
      </c>
      <c r="L130">
        <v>2</v>
      </c>
      <c r="M130">
        <v>57563063.063063063</v>
      </c>
      <c r="N130">
        <v>45051351.351351351</v>
      </c>
      <c r="O130">
        <v>6136441.4414414419</v>
      </c>
      <c r="P130">
        <v>8516736.9369369373</v>
      </c>
      <c r="Q130">
        <v>19580900.9009009</v>
      </c>
      <c r="R130">
        <v>24561531.531531531</v>
      </c>
      <c r="S130">
        <v>720</v>
      </c>
      <c r="T130">
        <v>677</v>
      </c>
    </row>
    <row r="131" spans="1:20" x14ac:dyDescent="0.35">
      <c r="A131" s="7" t="s">
        <v>219</v>
      </c>
      <c r="B131" s="12" t="s">
        <v>86</v>
      </c>
      <c r="C131">
        <v>77986254.273038223</v>
      </c>
      <c r="D131">
        <v>81273320.012966692</v>
      </c>
      <c r="E131">
        <v>138502702.7027027</v>
      </c>
      <c r="F131">
        <v>151609909.90990993</v>
      </c>
      <c r="G131">
        <v>26</v>
      </c>
      <c r="H131">
        <v>7</v>
      </c>
      <c r="K131">
        <v>28</v>
      </c>
      <c r="L131">
        <v>10</v>
      </c>
      <c r="M131">
        <v>14568648.648648648</v>
      </c>
      <c r="N131">
        <v>23078386.486486487</v>
      </c>
      <c r="O131">
        <v>15470756.756756756</v>
      </c>
      <c r="P131">
        <v>18180387.387387387</v>
      </c>
      <c r="Q131">
        <v>12369549.549549548</v>
      </c>
      <c r="R131">
        <v>14255675.675675675</v>
      </c>
      <c r="S131">
        <v>2428</v>
      </c>
      <c r="T131">
        <v>2482</v>
      </c>
    </row>
    <row r="132" spans="1:20" x14ac:dyDescent="0.35">
      <c r="A132" s="7" t="s">
        <v>220</v>
      </c>
      <c r="B132" s="12" t="s">
        <v>148</v>
      </c>
      <c r="C132">
        <v>74584507.997762591</v>
      </c>
      <c r="D132">
        <v>68169072.020137057</v>
      </c>
      <c r="E132">
        <v>216696132.43243244</v>
      </c>
      <c r="F132">
        <v>260540450.45045045</v>
      </c>
      <c r="G132">
        <v>63</v>
      </c>
      <c r="H132">
        <v>12</v>
      </c>
      <c r="K132">
        <v>77</v>
      </c>
      <c r="L132">
        <v>16</v>
      </c>
      <c r="M132">
        <v>39578134.234234229</v>
      </c>
      <c r="N132">
        <v>71625912.612612605</v>
      </c>
      <c r="O132">
        <v>24485018.018018015</v>
      </c>
      <c r="P132">
        <v>20771171.17117117</v>
      </c>
      <c r="Q132">
        <v>39695315.315315314</v>
      </c>
      <c r="R132">
        <v>55271711.711711712</v>
      </c>
      <c r="S132">
        <v>2408</v>
      </c>
      <c r="T132">
        <v>2495</v>
      </c>
    </row>
    <row r="133" spans="1:20" x14ac:dyDescent="0.35">
      <c r="A133" s="7" t="s">
        <v>221</v>
      </c>
      <c r="B133" s="12" t="s">
        <v>222</v>
      </c>
      <c r="C133">
        <v>149000026.82648626</v>
      </c>
      <c r="D133">
        <v>147437242.94015342</v>
      </c>
      <c r="E133">
        <v>90774774.77477479</v>
      </c>
      <c r="F133">
        <v>76320518.018018022</v>
      </c>
      <c r="G133">
        <v>42</v>
      </c>
      <c r="H133">
        <v>60</v>
      </c>
      <c r="K133">
        <v>54</v>
      </c>
      <c r="L133">
        <v>73</v>
      </c>
      <c r="M133">
        <v>118485675.67567568</v>
      </c>
      <c r="N133">
        <v>270733581.08108109</v>
      </c>
      <c r="O133">
        <v>37908290.540540546</v>
      </c>
      <c r="P133">
        <v>42244720.720720723</v>
      </c>
      <c r="Q133">
        <v>198573873.87387389</v>
      </c>
      <c r="R133">
        <v>215889009.00900903</v>
      </c>
      <c r="S133">
        <v>6160</v>
      </c>
      <c r="T133">
        <v>6445</v>
      </c>
    </row>
    <row r="134" spans="1:20" x14ac:dyDescent="0.35">
      <c r="A134" s="7" t="s">
        <v>223</v>
      </c>
      <c r="B134" s="12" t="s">
        <v>53</v>
      </c>
      <c r="C134">
        <v>344988575.43824768</v>
      </c>
      <c r="D134">
        <v>370283828.86736143</v>
      </c>
      <c r="E134">
        <v>3248648.6486486499</v>
      </c>
      <c r="F134">
        <v>3744594.5945946001</v>
      </c>
      <c r="G134">
        <v>81</v>
      </c>
      <c r="H134">
        <v>73</v>
      </c>
      <c r="K134">
        <v>105</v>
      </c>
      <c r="L134">
        <v>117</v>
      </c>
      <c r="M134">
        <v>24735135.135135137</v>
      </c>
      <c r="N134">
        <v>31931531.531531535</v>
      </c>
      <c r="O134">
        <v>111432189.18918918</v>
      </c>
      <c r="P134">
        <v>117780144.14414415</v>
      </c>
      <c r="Q134">
        <v>31589369.369369369</v>
      </c>
      <c r="R134">
        <v>26322072.072072066</v>
      </c>
      <c r="S134">
        <v>10518</v>
      </c>
      <c r="T134">
        <v>10854</v>
      </c>
    </row>
    <row r="135" spans="1:20" x14ac:dyDescent="0.35">
      <c r="A135" s="7" t="s">
        <v>224</v>
      </c>
      <c r="B135" s="12" t="s">
        <v>77</v>
      </c>
      <c r="C135">
        <v>268208210.95855689</v>
      </c>
      <c r="D135">
        <v>280393519.99246377</v>
      </c>
      <c r="E135">
        <v>814414.41441442003</v>
      </c>
      <c r="F135">
        <v>1125225.2252252279</v>
      </c>
      <c r="G135">
        <v>70</v>
      </c>
      <c r="H135">
        <v>68</v>
      </c>
      <c r="K135">
        <v>79</v>
      </c>
      <c r="L135">
        <v>77</v>
      </c>
      <c r="M135">
        <v>18914054.054054052</v>
      </c>
      <c r="N135">
        <v>27339639.639639638</v>
      </c>
      <c r="O135">
        <v>50992263.963963971</v>
      </c>
      <c r="P135">
        <v>61958783.783783786</v>
      </c>
      <c r="Q135">
        <v>15750630.630630627</v>
      </c>
      <c r="R135">
        <v>22081981.981981982</v>
      </c>
      <c r="S135">
        <v>6953</v>
      </c>
      <c r="T135">
        <v>7052</v>
      </c>
    </row>
    <row r="136" spans="1:20" x14ac:dyDescent="0.35">
      <c r="A136" s="7" t="s">
        <v>225</v>
      </c>
      <c r="B136" s="12" t="s">
        <v>226</v>
      </c>
      <c r="C136">
        <v>24847122.080080204</v>
      </c>
      <c r="D136">
        <v>24530413.145418178</v>
      </c>
      <c r="F136">
        <v>13513.513513514001</v>
      </c>
      <c r="G136">
        <v>1</v>
      </c>
      <c r="H136">
        <v>2</v>
      </c>
      <c r="K136">
        <v>1</v>
      </c>
      <c r="L136">
        <v>2</v>
      </c>
      <c r="N136">
        <v>13513.513513514001</v>
      </c>
      <c r="O136">
        <v>6085657.6576576577</v>
      </c>
      <c r="P136">
        <v>6146198.1981981983</v>
      </c>
      <c r="Q136">
        <v>486846.84684684698</v>
      </c>
      <c r="R136">
        <v>474594.59459459502</v>
      </c>
      <c r="S136">
        <v>846</v>
      </c>
      <c r="T136">
        <v>802</v>
      </c>
    </row>
    <row r="137" spans="1:20" x14ac:dyDescent="0.35">
      <c r="A137" s="7" t="s">
        <v>227</v>
      </c>
      <c r="B137" s="12" t="s">
        <v>144</v>
      </c>
      <c r="C137">
        <v>223924212.75355026</v>
      </c>
      <c r="D137">
        <v>237109877.43152472</v>
      </c>
      <c r="E137">
        <v>2550450.4504504539</v>
      </c>
      <c r="F137">
        <v>1243243.243243248</v>
      </c>
      <c r="G137">
        <v>79</v>
      </c>
      <c r="H137">
        <v>11</v>
      </c>
      <c r="K137">
        <v>85</v>
      </c>
      <c r="L137">
        <v>18</v>
      </c>
      <c r="M137">
        <v>10824324.324324327</v>
      </c>
      <c r="N137">
        <v>12090090.090090092</v>
      </c>
      <c r="O137">
        <v>29258429.27927928</v>
      </c>
      <c r="P137">
        <v>35176558.558558561</v>
      </c>
      <c r="Q137">
        <v>7802792.7927927896</v>
      </c>
      <c r="R137">
        <v>8328648.6486486467</v>
      </c>
      <c r="S137">
        <v>6398</v>
      </c>
      <c r="T137">
        <v>6033</v>
      </c>
    </row>
    <row r="138" spans="1:20" x14ac:dyDescent="0.35">
      <c r="A138" s="7" t="s">
        <v>228</v>
      </c>
      <c r="B138" s="12" t="s">
        <v>226</v>
      </c>
      <c r="C138">
        <v>25167072.970867477</v>
      </c>
      <c r="D138">
        <v>25683230.879195731</v>
      </c>
      <c r="E138">
        <v>121621.62162162201</v>
      </c>
      <c r="F138">
        <v>103603.603603604</v>
      </c>
      <c r="G138">
        <v>10</v>
      </c>
      <c r="H138">
        <v>7</v>
      </c>
      <c r="K138">
        <v>12</v>
      </c>
      <c r="L138">
        <v>8</v>
      </c>
      <c r="M138">
        <v>3539639.6396396402</v>
      </c>
      <c r="N138">
        <v>3624774.7747747749</v>
      </c>
      <c r="O138">
        <v>7597373.8738738736</v>
      </c>
      <c r="P138">
        <v>6352882.8828828828</v>
      </c>
      <c r="Q138">
        <v>2833693.6936936942</v>
      </c>
      <c r="R138">
        <v>2910270.2702702698</v>
      </c>
      <c r="S138">
        <v>790</v>
      </c>
      <c r="T138">
        <v>794</v>
      </c>
    </row>
    <row r="139" spans="1:20" x14ac:dyDescent="0.35">
      <c r="A139" s="7" t="s">
        <v>229</v>
      </c>
      <c r="B139" s="12" t="s">
        <v>79</v>
      </c>
      <c r="C139">
        <v>207147253.99566063</v>
      </c>
      <c r="D139">
        <v>222805776.98416483</v>
      </c>
      <c r="E139">
        <v>2310810.8108108118</v>
      </c>
      <c r="F139">
        <v>1894594.5945945969</v>
      </c>
      <c r="G139">
        <v>38</v>
      </c>
      <c r="H139">
        <v>14</v>
      </c>
      <c r="K139">
        <v>40</v>
      </c>
      <c r="L139">
        <v>23</v>
      </c>
      <c r="M139">
        <v>21411261.261261266</v>
      </c>
      <c r="N139">
        <v>22341171.17117117</v>
      </c>
      <c r="O139">
        <v>83148639.639639646</v>
      </c>
      <c r="P139">
        <v>90876648.648648635</v>
      </c>
      <c r="Q139">
        <v>16286216.216216216</v>
      </c>
      <c r="R139">
        <v>18038061.261261258</v>
      </c>
      <c r="S139">
        <v>5013</v>
      </c>
      <c r="T139">
        <v>4812</v>
      </c>
    </row>
    <row r="140" spans="1:20" x14ac:dyDescent="0.35">
      <c r="A140" s="7" t="s">
        <v>230</v>
      </c>
      <c r="B140" s="12" t="s">
        <v>137</v>
      </c>
      <c r="C140">
        <v>275937070.59949481</v>
      </c>
      <c r="D140">
        <v>302042681.87606639</v>
      </c>
      <c r="E140">
        <v>1932882.8828828861</v>
      </c>
      <c r="F140">
        <v>2220720.720720727</v>
      </c>
      <c r="G140">
        <v>67</v>
      </c>
      <c r="H140">
        <v>47</v>
      </c>
      <c r="I140">
        <v>1</v>
      </c>
      <c r="K140">
        <v>82</v>
      </c>
      <c r="L140">
        <v>53</v>
      </c>
      <c r="M140">
        <v>31740540.540540535</v>
      </c>
      <c r="N140">
        <v>41398198.198198199</v>
      </c>
      <c r="O140">
        <v>65731815.315315314</v>
      </c>
      <c r="P140">
        <v>72781816.216216221</v>
      </c>
      <c r="Q140">
        <v>25654234.234234232</v>
      </c>
      <c r="R140">
        <v>38353603.603603609</v>
      </c>
      <c r="S140">
        <v>7506</v>
      </c>
      <c r="T140">
        <v>7797</v>
      </c>
    </row>
    <row r="141" spans="1:20" x14ac:dyDescent="0.35">
      <c r="A141" s="7" t="s">
        <v>231</v>
      </c>
      <c r="B141" s="12" t="s">
        <v>79</v>
      </c>
      <c r="C141">
        <v>79830811.717540219</v>
      </c>
      <c r="D141">
        <v>86233543.312508553</v>
      </c>
      <c r="E141">
        <v>2242792.792792792</v>
      </c>
      <c r="F141">
        <v>4245945.9459459446</v>
      </c>
      <c r="G141">
        <v>28</v>
      </c>
      <c r="H141">
        <v>22</v>
      </c>
      <c r="I141">
        <v>2</v>
      </c>
      <c r="K141">
        <v>30</v>
      </c>
      <c r="L141">
        <v>25</v>
      </c>
      <c r="M141">
        <v>15164864.864864863</v>
      </c>
      <c r="N141">
        <v>23011711.711711712</v>
      </c>
      <c r="O141">
        <v>38622171.171171166</v>
      </c>
      <c r="P141">
        <v>41732637.837837838</v>
      </c>
      <c r="Q141">
        <v>16430450.45045045</v>
      </c>
      <c r="R141">
        <v>18467160.360360362</v>
      </c>
      <c r="S141">
        <v>2465</v>
      </c>
      <c r="T141">
        <v>2642</v>
      </c>
    </row>
    <row r="142" spans="1:20" x14ac:dyDescent="0.35">
      <c r="A142" s="7" t="s">
        <v>232</v>
      </c>
      <c r="B142" s="12" t="s">
        <v>55</v>
      </c>
      <c r="C142">
        <v>225440188.95693821</v>
      </c>
      <c r="D142">
        <v>234385052.93208307</v>
      </c>
      <c r="E142">
        <v>887387.38738738804</v>
      </c>
      <c r="F142">
        <v>526126.12612612499</v>
      </c>
      <c r="G142">
        <v>26</v>
      </c>
      <c r="H142">
        <v>35</v>
      </c>
      <c r="K142">
        <v>28</v>
      </c>
      <c r="L142">
        <v>45</v>
      </c>
      <c r="M142">
        <v>17414414.414414417</v>
      </c>
      <c r="N142">
        <v>16670270.270270271</v>
      </c>
      <c r="O142">
        <v>56506061.261261262</v>
      </c>
      <c r="P142">
        <v>59714765.765765771</v>
      </c>
      <c r="Q142">
        <v>21561081.081081081</v>
      </c>
      <c r="R142">
        <v>5591351.3513513505</v>
      </c>
      <c r="S142">
        <v>7244</v>
      </c>
      <c r="T142">
        <v>6736</v>
      </c>
    </row>
    <row r="143" spans="1:20" x14ac:dyDescent="0.35">
      <c r="A143" s="7" t="s">
        <v>233</v>
      </c>
      <c r="B143" s="12" t="s">
        <v>79</v>
      </c>
      <c r="C143">
        <v>85509910.266094148</v>
      </c>
      <c r="D143">
        <v>90645947.386293575</v>
      </c>
      <c r="E143">
        <v>2214414.4144144179</v>
      </c>
      <c r="F143">
        <v>5268018.0180180212</v>
      </c>
      <c r="G143">
        <v>38</v>
      </c>
      <c r="H143">
        <v>20</v>
      </c>
      <c r="I143">
        <v>2</v>
      </c>
      <c r="K143">
        <v>59</v>
      </c>
      <c r="L143">
        <v>26</v>
      </c>
      <c r="M143">
        <v>18388288.288288288</v>
      </c>
      <c r="N143">
        <v>28038288.288288288</v>
      </c>
      <c r="O143">
        <v>40590747.747747742</v>
      </c>
      <c r="P143">
        <v>41728432.432432435</v>
      </c>
      <c r="Q143">
        <v>20515225.225225225</v>
      </c>
      <c r="R143">
        <v>25813603.603603601</v>
      </c>
      <c r="S143">
        <v>3998</v>
      </c>
      <c r="T143">
        <v>4005</v>
      </c>
    </row>
    <row r="144" spans="1:20" x14ac:dyDescent="0.35">
      <c r="A144" s="7" t="s">
        <v>234</v>
      </c>
      <c r="B144" s="12" t="s">
        <v>61</v>
      </c>
      <c r="C144">
        <v>79316867.408901438</v>
      </c>
      <c r="D144">
        <v>79267970.906524301</v>
      </c>
      <c r="G144">
        <v>22</v>
      </c>
      <c r="H144">
        <v>1</v>
      </c>
      <c r="K144">
        <v>25</v>
      </c>
      <c r="L144">
        <v>2</v>
      </c>
      <c r="O144">
        <v>33594144.144144148</v>
      </c>
      <c r="P144">
        <v>33055297.297297295</v>
      </c>
      <c r="S144">
        <v>1906</v>
      </c>
      <c r="T144">
        <v>1857</v>
      </c>
    </row>
    <row r="145" spans="1:20" x14ac:dyDescent="0.35">
      <c r="A145" s="7" t="s">
        <v>235</v>
      </c>
      <c r="B145" s="12" t="s">
        <v>55</v>
      </c>
      <c r="C145">
        <v>37966642.613552928</v>
      </c>
      <c r="D145">
        <v>38034807.361773677</v>
      </c>
      <c r="E145">
        <v>86486.486486487003</v>
      </c>
      <c r="F145">
        <v>696396.39639639598</v>
      </c>
      <c r="G145">
        <v>17</v>
      </c>
      <c r="H145">
        <v>3</v>
      </c>
      <c r="K145">
        <v>58</v>
      </c>
      <c r="L145">
        <v>4</v>
      </c>
      <c r="M145">
        <v>1450450.4504504499</v>
      </c>
      <c r="N145">
        <v>3747207.2072072071</v>
      </c>
      <c r="O145">
        <v>7919864.8648648653</v>
      </c>
      <c r="P145">
        <v>9106360.3603603598</v>
      </c>
      <c r="Q145">
        <v>1663963.963963965</v>
      </c>
      <c r="R145">
        <v>3699369.3693693709</v>
      </c>
      <c r="S145">
        <v>1066</v>
      </c>
      <c r="T145">
        <v>1043</v>
      </c>
    </row>
    <row r="146" spans="1:20" x14ac:dyDescent="0.35">
      <c r="A146" s="7" t="s">
        <v>236</v>
      </c>
      <c r="B146" s="12" t="s">
        <v>168</v>
      </c>
      <c r="C146">
        <v>177544342.57127252</v>
      </c>
      <c r="D146">
        <v>170112564.24007463</v>
      </c>
      <c r="E146">
        <v>364864.86486486503</v>
      </c>
      <c r="F146">
        <v>927027.02702702605</v>
      </c>
      <c r="G146">
        <v>14</v>
      </c>
      <c r="H146">
        <v>12</v>
      </c>
      <c r="K146">
        <v>16</v>
      </c>
      <c r="L146">
        <v>13</v>
      </c>
      <c r="M146">
        <v>12012060.36036036</v>
      </c>
      <c r="N146">
        <v>30856756.756756756</v>
      </c>
      <c r="O146">
        <v>50256500</v>
      </c>
      <c r="P146">
        <v>61985432.432432435</v>
      </c>
      <c r="Q146">
        <v>8436396.3963963967</v>
      </c>
      <c r="R146">
        <v>16429639.639639638</v>
      </c>
      <c r="S146">
        <v>5258</v>
      </c>
      <c r="T146">
        <v>5248</v>
      </c>
    </row>
    <row r="147" spans="1:20" x14ac:dyDescent="0.35">
      <c r="A147" s="7" t="s">
        <v>237</v>
      </c>
      <c r="B147" s="12" t="s">
        <v>238</v>
      </c>
      <c r="C147">
        <v>83.335121864000001</v>
      </c>
      <c r="D147">
        <v>947.30255794200002</v>
      </c>
      <c r="T147">
        <v>33</v>
      </c>
    </row>
    <row r="148" spans="1:20" x14ac:dyDescent="0.35">
      <c r="A148" s="7" t="s">
        <v>239</v>
      </c>
      <c r="B148" s="12" t="s">
        <v>106</v>
      </c>
      <c r="C148">
        <v>104162429.79569709</v>
      </c>
      <c r="D148">
        <v>106941717.89471741</v>
      </c>
      <c r="E148">
        <v>410810.810810811</v>
      </c>
      <c r="F148">
        <v>286486.48648648598</v>
      </c>
      <c r="G148">
        <v>13</v>
      </c>
      <c r="H148">
        <v>17</v>
      </c>
      <c r="K148">
        <v>14</v>
      </c>
      <c r="L148">
        <v>18</v>
      </c>
      <c r="M148">
        <v>14720720.720720721</v>
      </c>
      <c r="N148">
        <v>16209909.909909908</v>
      </c>
      <c r="O148">
        <v>30530225.225225225</v>
      </c>
      <c r="P148">
        <v>33677315.315315314</v>
      </c>
      <c r="Q148">
        <v>14997837.837837839</v>
      </c>
      <c r="R148">
        <v>13397387.387387387</v>
      </c>
      <c r="S148">
        <v>1956</v>
      </c>
      <c r="T148">
        <v>1880</v>
      </c>
    </row>
    <row r="149" spans="1:20" x14ac:dyDescent="0.35">
      <c r="A149" s="7" t="s">
        <v>3</v>
      </c>
      <c r="B149" s="12" t="s">
        <v>159</v>
      </c>
      <c r="C149">
        <v>211012647.83429208</v>
      </c>
      <c r="D149">
        <v>189520377.3389481</v>
      </c>
      <c r="E149">
        <v>2855855.855855858</v>
      </c>
      <c r="F149">
        <v>936936.93693693704</v>
      </c>
      <c r="G149">
        <v>34</v>
      </c>
      <c r="H149">
        <v>30</v>
      </c>
      <c r="K149">
        <v>37</v>
      </c>
      <c r="L149">
        <v>35</v>
      </c>
      <c r="M149">
        <v>34886486.486486487</v>
      </c>
      <c r="N149">
        <v>65742342.342342347</v>
      </c>
      <c r="O149">
        <v>60115477.477477483</v>
      </c>
      <c r="P149">
        <v>55251945.945945941</v>
      </c>
      <c r="Q149">
        <v>36592702.702702701</v>
      </c>
      <c r="R149">
        <v>64055765.765765756</v>
      </c>
      <c r="S149">
        <v>3577</v>
      </c>
      <c r="T149">
        <v>3525</v>
      </c>
    </row>
    <row r="150" spans="1:20" x14ac:dyDescent="0.35">
      <c r="A150" s="7" t="s">
        <v>240</v>
      </c>
      <c r="B150" s="12" t="s">
        <v>179</v>
      </c>
      <c r="C150">
        <v>165268886.66452605</v>
      </c>
      <c r="D150">
        <v>176755708.44934452</v>
      </c>
      <c r="E150">
        <v>468468.46846846899</v>
      </c>
      <c r="F150">
        <v>1707207.207207208</v>
      </c>
      <c r="G150">
        <v>34</v>
      </c>
      <c r="H150">
        <v>32</v>
      </c>
      <c r="K150">
        <v>44</v>
      </c>
      <c r="L150">
        <v>37</v>
      </c>
      <c r="M150">
        <v>26414414.414414417</v>
      </c>
      <c r="N150">
        <v>30242342.342342343</v>
      </c>
      <c r="O150">
        <v>53950342.342342347</v>
      </c>
      <c r="P150">
        <v>55807126.126126125</v>
      </c>
      <c r="Q150">
        <v>21441621.62162162</v>
      </c>
      <c r="R150">
        <v>24847027.02702703</v>
      </c>
      <c r="S150">
        <v>5684</v>
      </c>
      <c r="T150">
        <v>5228</v>
      </c>
    </row>
    <row r="151" spans="1:20" x14ac:dyDescent="0.35">
      <c r="A151" s="7" t="s">
        <v>241</v>
      </c>
      <c r="B151" s="12" t="s">
        <v>55</v>
      </c>
      <c r="C151">
        <v>117321251.47346257</v>
      </c>
      <c r="D151">
        <v>127915206.36968875</v>
      </c>
      <c r="E151">
        <v>3200000.0000000009</v>
      </c>
      <c r="F151">
        <v>946846.84684684803</v>
      </c>
      <c r="G151">
        <v>22</v>
      </c>
      <c r="H151">
        <v>32</v>
      </c>
      <c r="K151">
        <v>22</v>
      </c>
      <c r="L151">
        <v>59</v>
      </c>
      <c r="M151">
        <v>15867027.027027028</v>
      </c>
      <c r="N151">
        <v>15676576.576576576</v>
      </c>
      <c r="O151">
        <v>32433581.981981985</v>
      </c>
      <c r="P151">
        <v>38108104.504504502</v>
      </c>
      <c r="Q151">
        <v>14075311.711711712</v>
      </c>
      <c r="R151">
        <v>15694054.054054055</v>
      </c>
      <c r="S151">
        <v>3531</v>
      </c>
      <c r="T151">
        <v>3512</v>
      </c>
    </row>
    <row r="152" spans="1:20" x14ac:dyDescent="0.35">
      <c r="A152" s="7" t="s">
        <v>242</v>
      </c>
      <c r="B152" s="12" t="s">
        <v>243</v>
      </c>
      <c r="C152">
        <v>100889231.35766974</v>
      </c>
      <c r="D152">
        <v>97551995.379591793</v>
      </c>
      <c r="E152">
        <v>716216.21621621703</v>
      </c>
      <c r="F152">
        <v>284684.68468468601</v>
      </c>
      <c r="G152">
        <v>49</v>
      </c>
      <c r="H152">
        <v>28</v>
      </c>
      <c r="K152">
        <v>52</v>
      </c>
      <c r="L152">
        <v>31</v>
      </c>
      <c r="M152">
        <v>6240720.7207207233</v>
      </c>
      <c r="N152">
        <v>11710090.090090085</v>
      </c>
      <c r="O152">
        <v>23806619.819819819</v>
      </c>
      <c r="P152">
        <v>27631522.52252252</v>
      </c>
      <c r="Q152">
        <v>7364324.3243243266</v>
      </c>
      <c r="R152">
        <v>10330450.450450448</v>
      </c>
      <c r="S152">
        <v>2848</v>
      </c>
      <c r="T152">
        <v>2964</v>
      </c>
    </row>
    <row r="153" spans="1:20" x14ac:dyDescent="0.35">
      <c r="A153" s="7" t="s">
        <v>244</v>
      </c>
      <c r="B153" s="12" t="s">
        <v>243</v>
      </c>
      <c r="C153">
        <v>263978178.91193539</v>
      </c>
      <c r="D153">
        <v>227557468.1578849</v>
      </c>
      <c r="E153">
        <v>2527927.9279279299</v>
      </c>
      <c r="F153">
        <v>1828828.828828834</v>
      </c>
      <c r="G153">
        <v>105</v>
      </c>
      <c r="H153">
        <v>82</v>
      </c>
      <c r="K153">
        <v>117</v>
      </c>
      <c r="L153">
        <v>95</v>
      </c>
      <c r="M153">
        <v>64817477.477477483</v>
      </c>
      <c r="N153">
        <v>53457207.20720721</v>
      </c>
      <c r="O153">
        <v>78949180.180180177</v>
      </c>
      <c r="P153">
        <v>75870324.324324325</v>
      </c>
      <c r="Q153">
        <v>58888828.828828834</v>
      </c>
      <c r="R153">
        <v>47756666.666666664</v>
      </c>
      <c r="S153">
        <v>6857</v>
      </c>
      <c r="T153">
        <v>7177</v>
      </c>
    </row>
    <row r="154" spans="1:20" x14ac:dyDescent="0.35">
      <c r="A154" s="7" t="s">
        <v>245</v>
      </c>
      <c r="B154" s="12" t="s">
        <v>51</v>
      </c>
      <c r="C154">
        <v>45295021.81089472</v>
      </c>
      <c r="D154">
        <v>41739034.917856537</v>
      </c>
      <c r="E154">
        <v>913513.51351351396</v>
      </c>
      <c r="F154">
        <v>1990090.0900900899</v>
      </c>
      <c r="G154">
        <v>7</v>
      </c>
      <c r="H154">
        <v>4</v>
      </c>
      <c r="K154">
        <v>8</v>
      </c>
      <c r="L154">
        <v>4</v>
      </c>
      <c r="M154">
        <v>3527207.2072072071</v>
      </c>
      <c r="N154">
        <v>4354279.2792792786</v>
      </c>
      <c r="O154">
        <v>14302441.441441439</v>
      </c>
      <c r="P154">
        <v>15525126.126126125</v>
      </c>
      <c r="Q154">
        <v>3334774.7747747768</v>
      </c>
      <c r="R154">
        <v>3782207.207207208</v>
      </c>
      <c r="S154">
        <v>1187</v>
      </c>
      <c r="T154">
        <v>1153</v>
      </c>
    </row>
    <row r="155" spans="1:20" x14ac:dyDescent="0.35">
      <c r="A155" s="7" t="s">
        <v>246</v>
      </c>
      <c r="B155" s="12" t="s">
        <v>182</v>
      </c>
      <c r="C155">
        <v>1413570796.5939384</v>
      </c>
      <c r="D155">
        <v>1402083342.8601267</v>
      </c>
      <c r="E155">
        <v>86408033.333333343</v>
      </c>
      <c r="F155">
        <v>181988962.16216218</v>
      </c>
      <c r="G155">
        <v>568</v>
      </c>
      <c r="H155">
        <v>554</v>
      </c>
      <c r="I155">
        <v>11</v>
      </c>
      <c r="K155">
        <v>1168</v>
      </c>
      <c r="L155">
        <v>733</v>
      </c>
      <c r="M155">
        <v>160132072.07207206</v>
      </c>
      <c r="N155">
        <v>361926636.93693697</v>
      </c>
      <c r="O155">
        <v>315885768.46846849</v>
      </c>
      <c r="P155">
        <v>320990322.52252251</v>
      </c>
      <c r="Q155">
        <v>157023243.24324322</v>
      </c>
      <c r="R155">
        <v>350320315.31531531</v>
      </c>
      <c r="S155">
        <v>45008</v>
      </c>
      <c r="T155">
        <v>40390</v>
      </c>
    </row>
    <row r="156" spans="1:20" x14ac:dyDescent="0.35">
      <c r="A156" s="7" t="s">
        <v>247</v>
      </c>
      <c r="B156" s="12" t="s">
        <v>49</v>
      </c>
      <c r="C156">
        <v>62262899.347475715</v>
      </c>
      <c r="D156">
        <v>68533902.16529417</v>
      </c>
      <c r="E156">
        <v>58930855.855855852</v>
      </c>
      <c r="F156">
        <v>29049549.549549554</v>
      </c>
      <c r="G156">
        <v>3</v>
      </c>
      <c r="H156">
        <v>4</v>
      </c>
      <c r="K156">
        <v>4</v>
      </c>
      <c r="L156">
        <v>4</v>
      </c>
      <c r="M156">
        <v>23433963.963963963</v>
      </c>
      <c r="N156">
        <v>13369369.369369373</v>
      </c>
      <c r="O156">
        <v>13946378.37837838</v>
      </c>
      <c r="P156">
        <v>17149495.495495494</v>
      </c>
      <c r="Q156">
        <v>19524864.864864863</v>
      </c>
      <c r="R156">
        <v>6974594.594594596</v>
      </c>
      <c r="S156">
        <v>1791</v>
      </c>
      <c r="T156">
        <v>1787</v>
      </c>
    </row>
    <row r="157" spans="1:20" x14ac:dyDescent="0.35">
      <c r="A157" s="7" t="s">
        <v>248</v>
      </c>
      <c r="B157" s="12" t="s">
        <v>95</v>
      </c>
      <c r="C157">
        <v>17213119.050057471</v>
      </c>
      <c r="D157">
        <v>16392281.188476976</v>
      </c>
      <c r="G157">
        <v>1</v>
      </c>
      <c r="K157">
        <v>1</v>
      </c>
      <c r="O157">
        <v>3314405.405405405</v>
      </c>
      <c r="P157">
        <v>3254603.6036036038</v>
      </c>
      <c r="S157">
        <v>666</v>
      </c>
      <c r="T157">
        <v>708</v>
      </c>
    </row>
    <row r="158" spans="1:20" x14ac:dyDescent="0.35">
      <c r="A158" s="7" t="s">
        <v>249</v>
      </c>
      <c r="B158" s="12" t="s">
        <v>118</v>
      </c>
      <c r="C158">
        <v>58670487.533678763</v>
      </c>
      <c r="D158">
        <v>55356005.10573107</v>
      </c>
      <c r="E158">
        <v>735109.00900901004</v>
      </c>
      <c r="F158">
        <v>1387645.945945946</v>
      </c>
      <c r="G158">
        <v>7</v>
      </c>
      <c r="H158">
        <v>11</v>
      </c>
      <c r="K158">
        <v>9</v>
      </c>
      <c r="L158">
        <v>14</v>
      </c>
      <c r="M158">
        <v>5070810.8108108127</v>
      </c>
      <c r="N158">
        <v>11883283.783783784</v>
      </c>
      <c r="O158">
        <v>28677729.729729727</v>
      </c>
      <c r="P158">
        <v>28661189.189189188</v>
      </c>
      <c r="Q158">
        <v>7717117.1171171172</v>
      </c>
      <c r="R158">
        <v>8824234.2342342343</v>
      </c>
      <c r="S158">
        <v>1822</v>
      </c>
      <c r="T158">
        <v>2519</v>
      </c>
    </row>
    <row r="159" spans="1:20" x14ac:dyDescent="0.35">
      <c r="A159" s="7" t="s">
        <v>250</v>
      </c>
      <c r="B159" s="12" t="s">
        <v>122</v>
      </c>
      <c r="C159">
        <v>98558203.040342674</v>
      </c>
      <c r="D159">
        <v>88364822.229268178</v>
      </c>
      <c r="E159">
        <v>746846.84684684698</v>
      </c>
      <c r="F159">
        <v>130630.63063063299</v>
      </c>
      <c r="G159">
        <v>63</v>
      </c>
      <c r="H159">
        <v>46</v>
      </c>
      <c r="K159">
        <v>72</v>
      </c>
      <c r="L159">
        <v>55</v>
      </c>
      <c r="M159">
        <v>3954954.9549549548</v>
      </c>
      <c r="N159">
        <v>6879279.2792792814</v>
      </c>
      <c r="O159">
        <v>11353252.252252253</v>
      </c>
      <c r="P159">
        <v>9819351.3513513524</v>
      </c>
      <c r="Q159">
        <v>3049369.3693693699</v>
      </c>
      <c r="R159">
        <v>3592792.792792791</v>
      </c>
      <c r="S159">
        <v>2313</v>
      </c>
      <c r="T159">
        <v>2351</v>
      </c>
    </row>
    <row r="160" spans="1:20" x14ac:dyDescent="0.35">
      <c r="A160" s="7" t="s">
        <v>251</v>
      </c>
      <c r="B160" s="12" t="s">
        <v>77</v>
      </c>
      <c r="C160">
        <v>40901043.848951049</v>
      </c>
      <c r="D160">
        <v>37976830.4746316</v>
      </c>
      <c r="G160">
        <v>4</v>
      </c>
      <c r="K160">
        <v>4</v>
      </c>
      <c r="O160">
        <v>4018873.8738738741</v>
      </c>
      <c r="P160">
        <v>4484216.2162162159</v>
      </c>
      <c r="S160">
        <v>1628</v>
      </c>
      <c r="T160">
        <v>1647</v>
      </c>
    </row>
    <row r="161" spans="1:20" x14ac:dyDescent="0.35">
      <c r="A161" s="7" t="s">
        <v>252</v>
      </c>
      <c r="B161" s="12" t="s">
        <v>168</v>
      </c>
      <c r="C161">
        <v>135029205.89048067</v>
      </c>
      <c r="D161">
        <v>139317905.31833839</v>
      </c>
      <c r="F161">
        <v>450450.45045045001</v>
      </c>
      <c r="G161">
        <v>32</v>
      </c>
      <c r="H161">
        <v>4</v>
      </c>
      <c r="K161">
        <v>37</v>
      </c>
      <c r="L161">
        <v>4</v>
      </c>
      <c r="M161">
        <v>1828828.8288288291</v>
      </c>
      <c r="N161">
        <v>5938288.2882882878</v>
      </c>
      <c r="O161">
        <v>26624639.639639638</v>
      </c>
      <c r="P161">
        <v>36416756.75675676</v>
      </c>
      <c r="Q161">
        <v>1189729.7297297311</v>
      </c>
      <c r="R161">
        <v>3943603.6036036029</v>
      </c>
      <c r="S161">
        <v>3688</v>
      </c>
      <c r="T161">
        <v>3871</v>
      </c>
    </row>
    <row r="162" spans="1:20" x14ac:dyDescent="0.35">
      <c r="A162" s="7" t="s">
        <v>253</v>
      </c>
      <c r="B162" s="12" t="s">
        <v>90</v>
      </c>
      <c r="C162">
        <v>402359236.53276277</v>
      </c>
      <c r="D162">
        <v>419294094.77526033</v>
      </c>
      <c r="E162">
        <v>1796396.396396399</v>
      </c>
      <c r="F162">
        <v>2809909.9099099138</v>
      </c>
      <c r="G162">
        <v>74</v>
      </c>
      <c r="H162">
        <v>24</v>
      </c>
      <c r="I162">
        <v>1</v>
      </c>
      <c r="K162">
        <v>84</v>
      </c>
      <c r="L162">
        <v>29</v>
      </c>
      <c r="M162">
        <v>26791171.17117117</v>
      </c>
      <c r="N162">
        <v>32404504.504504506</v>
      </c>
      <c r="O162">
        <v>98716306.306306303</v>
      </c>
      <c r="P162">
        <v>109724117.11711712</v>
      </c>
      <c r="Q162">
        <v>28321981.981981982</v>
      </c>
      <c r="R162">
        <v>31663783.783783782</v>
      </c>
      <c r="S162">
        <v>10519</v>
      </c>
      <c r="T162">
        <v>11143</v>
      </c>
    </row>
    <row r="163" spans="1:20" x14ac:dyDescent="0.35">
      <c r="A163" s="7" t="s">
        <v>254</v>
      </c>
      <c r="B163" s="12" t="s">
        <v>79</v>
      </c>
      <c r="C163">
        <v>116345400.62365243</v>
      </c>
      <c r="D163">
        <v>120510450.03653851</v>
      </c>
      <c r="E163">
        <v>1375675.675675679</v>
      </c>
      <c r="F163">
        <v>1507207.2072072099</v>
      </c>
      <c r="G163">
        <v>19</v>
      </c>
      <c r="H163">
        <v>4</v>
      </c>
      <c r="K163">
        <v>21</v>
      </c>
      <c r="L163">
        <v>6</v>
      </c>
      <c r="M163">
        <v>20056216.216216218</v>
      </c>
      <c r="N163">
        <v>21805495.495495494</v>
      </c>
      <c r="O163">
        <v>33763522.522522517</v>
      </c>
      <c r="P163">
        <v>34500954.954954952</v>
      </c>
      <c r="Q163">
        <v>20086486.486486487</v>
      </c>
      <c r="R163">
        <v>20611801.801801804</v>
      </c>
      <c r="S163">
        <v>2626</v>
      </c>
      <c r="T163">
        <v>3121</v>
      </c>
    </row>
    <row r="164" spans="1:20" x14ac:dyDescent="0.35">
      <c r="A164" s="7" t="s">
        <v>255</v>
      </c>
      <c r="B164" s="12" t="s">
        <v>106</v>
      </c>
      <c r="C164">
        <v>232122143.48366383</v>
      </c>
      <c r="D164">
        <v>244654509.16913182</v>
      </c>
      <c r="E164">
        <v>88804480.180180192</v>
      </c>
      <c r="F164">
        <v>139630092.7927928</v>
      </c>
      <c r="G164">
        <v>63</v>
      </c>
      <c r="H164">
        <v>44</v>
      </c>
      <c r="K164">
        <v>92</v>
      </c>
      <c r="L164">
        <v>68</v>
      </c>
      <c r="M164">
        <v>35246306.306306303</v>
      </c>
      <c r="N164">
        <v>37160000</v>
      </c>
      <c r="O164">
        <v>66282909.909909911</v>
      </c>
      <c r="P164">
        <v>72362612.612612605</v>
      </c>
      <c r="Q164">
        <v>36904234.234234229</v>
      </c>
      <c r="R164">
        <v>37094684.684684686</v>
      </c>
      <c r="S164">
        <v>5336</v>
      </c>
      <c r="T164">
        <v>5540</v>
      </c>
    </row>
    <row r="165" spans="1:20" x14ac:dyDescent="0.35">
      <c r="A165" s="7" t="s">
        <v>256</v>
      </c>
      <c r="B165" s="12" t="s">
        <v>106</v>
      </c>
      <c r="C165">
        <v>146658932.67269972</v>
      </c>
      <c r="D165">
        <v>138857113.05924082</v>
      </c>
      <c r="E165">
        <v>1513513.513513515</v>
      </c>
      <c r="F165">
        <v>942342.34234234295</v>
      </c>
      <c r="G165">
        <v>13</v>
      </c>
      <c r="H165">
        <v>21</v>
      </c>
      <c r="K165">
        <v>15</v>
      </c>
      <c r="L165">
        <v>24</v>
      </c>
      <c r="M165">
        <v>10681441.441441439</v>
      </c>
      <c r="N165">
        <v>11299099.0990991</v>
      </c>
      <c r="O165">
        <v>45216972.972972974</v>
      </c>
      <c r="P165">
        <v>47095594.59459459</v>
      </c>
      <c r="Q165">
        <v>9642972.9729729723</v>
      </c>
      <c r="R165">
        <v>8826936.9369369354</v>
      </c>
      <c r="S165">
        <v>3888</v>
      </c>
      <c r="T165">
        <v>3866</v>
      </c>
    </row>
    <row r="166" spans="1:20" x14ac:dyDescent="0.35">
      <c r="A166" s="7" t="s">
        <v>257</v>
      </c>
      <c r="B166" s="12" t="s">
        <v>106</v>
      </c>
      <c r="C166">
        <v>128186229.78695652</v>
      </c>
      <c r="D166">
        <v>141195392.03354332</v>
      </c>
      <c r="E166">
        <v>103603.603603604</v>
      </c>
      <c r="F166">
        <v>55855.855855856003</v>
      </c>
      <c r="G166">
        <v>19</v>
      </c>
      <c r="H166">
        <v>15</v>
      </c>
      <c r="I166">
        <v>4</v>
      </c>
      <c r="K166">
        <v>23</v>
      </c>
      <c r="L166">
        <v>16</v>
      </c>
      <c r="M166">
        <v>1454954.954954955</v>
      </c>
      <c r="N166">
        <v>1181981.981981982</v>
      </c>
      <c r="O166">
        <v>27577809.009009007</v>
      </c>
      <c r="P166">
        <v>33325054.054054055</v>
      </c>
      <c r="Q166">
        <v>1132882.8828828831</v>
      </c>
      <c r="R166">
        <v>1140180.1801801799</v>
      </c>
      <c r="S166">
        <v>1997</v>
      </c>
      <c r="T166">
        <v>2184</v>
      </c>
    </row>
    <row r="167" spans="1:20" x14ac:dyDescent="0.35">
      <c r="A167" s="7" t="s">
        <v>258</v>
      </c>
      <c r="B167" s="12" t="s">
        <v>135</v>
      </c>
      <c r="C167">
        <v>196813742.14341438</v>
      </c>
      <c r="D167">
        <v>212408201.84569636</v>
      </c>
      <c r="E167">
        <v>729729.72972973005</v>
      </c>
      <c r="F167">
        <v>621621.62162162096</v>
      </c>
      <c r="G167">
        <v>18</v>
      </c>
      <c r="H167">
        <v>11</v>
      </c>
      <c r="K167">
        <v>19</v>
      </c>
      <c r="L167">
        <v>13</v>
      </c>
      <c r="M167">
        <v>3351351.351351351</v>
      </c>
      <c r="N167">
        <v>4540540.5405405397</v>
      </c>
      <c r="O167">
        <v>13882459.459459459</v>
      </c>
      <c r="P167">
        <v>20349612.612612613</v>
      </c>
      <c r="Q167">
        <v>3888738.7387387389</v>
      </c>
      <c r="R167">
        <v>3896576.5765765761</v>
      </c>
      <c r="S167">
        <v>4086</v>
      </c>
      <c r="T167">
        <v>4193</v>
      </c>
    </row>
    <row r="168" spans="1:20" x14ac:dyDescent="0.35">
      <c r="A168" s="7" t="s">
        <v>259</v>
      </c>
      <c r="B168" s="12" t="s">
        <v>168</v>
      </c>
      <c r="C168">
        <v>65890271.521705121</v>
      </c>
      <c r="D168">
        <v>79541893.222723871</v>
      </c>
      <c r="E168">
        <v>1171171.1711711709</v>
      </c>
      <c r="G168">
        <v>14</v>
      </c>
      <c r="H168">
        <v>3</v>
      </c>
      <c r="K168">
        <v>18</v>
      </c>
      <c r="L168">
        <v>4</v>
      </c>
      <c r="M168">
        <v>3123215.315315315</v>
      </c>
      <c r="N168">
        <v>3298198.1981982002</v>
      </c>
      <c r="O168">
        <v>22907716.216216218</v>
      </c>
      <c r="P168">
        <v>31466603.603603605</v>
      </c>
      <c r="Q168">
        <v>3642072.072072072</v>
      </c>
      <c r="R168">
        <v>4442342.3423423441</v>
      </c>
      <c r="S168">
        <v>2454</v>
      </c>
      <c r="T168">
        <v>3894</v>
      </c>
    </row>
    <row r="169" spans="1:20" x14ac:dyDescent="0.35">
      <c r="A169" s="7" t="s">
        <v>260</v>
      </c>
      <c r="B169" s="12" t="s">
        <v>61</v>
      </c>
      <c r="C169">
        <v>26677624.844114702</v>
      </c>
      <c r="D169">
        <v>28004916.077670839</v>
      </c>
      <c r="E169">
        <v>247747.74774774801</v>
      </c>
      <c r="F169">
        <v>302702.70270270202</v>
      </c>
      <c r="G169">
        <v>16</v>
      </c>
      <c r="H169">
        <v>5</v>
      </c>
      <c r="I169">
        <v>3</v>
      </c>
      <c r="K169">
        <v>22</v>
      </c>
      <c r="L169">
        <v>8</v>
      </c>
      <c r="M169">
        <v>4653153.1531531541</v>
      </c>
      <c r="N169">
        <v>7870270.2702702703</v>
      </c>
      <c r="O169">
        <v>9303729.7297297306</v>
      </c>
      <c r="P169">
        <v>10012567.567567568</v>
      </c>
      <c r="Q169">
        <v>5352792.7927927934</v>
      </c>
      <c r="R169">
        <v>5621801.8018018017</v>
      </c>
      <c r="S169">
        <v>622</v>
      </c>
      <c r="T169">
        <v>641</v>
      </c>
    </row>
    <row r="170" spans="1:20" x14ac:dyDescent="0.35">
      <c r="A170" s="7" t="s">
        <v>261</v>
      </c>
      <c r="B170" s="12" t="s">
        <v>262</v>
      </c>
      <c r="C170">
        <v>16506923.439511867</v>
      </c>
      <c r="D170">
        <v>17074589.580017697</v>
      </c>
      <c r="E170">
        <v>10810.810810810999</v>
      </c>
      <c r="F170">
        <v>16216.216216216</v>
      </c>
      <c r="G170">
        <v>4</v>
      </c>
      <c r="H170">
        <v>1</v>
      </c>
      <c r="K170">
        <v>5</v>
      </c>
      <c r="L170">
        <v>1</v>
      </c>
      <c r="M170">
        <v>4098648.648648649</v>
      </c>
      <c r="N170">
        <v>1818018.018018018</v>
      </c>
      <c r="O170">
        <v>2860252.2522522528</v>
      </c>
      <c r="P170">
        <v>4231342.3423423423</v>
      </c>
      <c r="Q170">
        <v>1760180.1801801799</v>
      </c>
      <c r="R170">
        <v>635765.76576576603</v>
      </c>
      <c r="S170">
        <v>514</v>
      </c>
      <c r="T170">
        <v>609</v>
      </c>
    </row>
    <row r="171" spans="1:20" x14ac:dyDescent="0.35">
      <c r="A171" s="7" t="s">
        <v>263</v>
      </c>
      <c r="B171" s="12" t="s">
        <v>61</v>
      </c>
      <c r="C171">
        <v>255324649.5505721</v>
      </c>
      <c r="D171">
        <v>254413726.3251853</v>
      </c>
      <c r="E171">
        <v>233586920.72072074</v>
      </c>
      <c r="F171">
        <v>593526715.31531537</v>
      </c>
      <c r="G171">
        <v>214</v>
      </c>
      <c r="H171">
        <v>149</v>
      </c>
      <c r="K171">
        <v>289</v>
      </c>
      <c r="L171">
        <v>284</v>
      </c>
      <c r="M171">
        <v>52862612.612612605</v>
      </c>
      <c r="N171">
        <v>77733827.927927941</v>
      </c>
      <c r="O171">
        <v>93212529.279279277</v>
      </c>
      <c r="P171">
        <v>91173864.864864871</v>
      </c>
      <c r="Q171">
        <v>62410180.180180177</v>
      </c>
      <c r="R171">
        <v>66547657.657657653</v>
      </c>
      <c r="S171">
        <v>6126</v>
      </c>
      <c r="T171">
        <v>7553</v>
      </c>
    </row>
    <row r="172" spans="1:20" x14ac:dyDescent="0.35">
      <c r="A172" s="7" t="s">
        <v>264</v>
      </c>
      <c r="B172" s="12" t="s">
        <v>124</v>
      </c>
      <c r="C172">
        <v>195504932.24710503</v>
      </c>
      <c r="D172">
        <v>183533612.42394951</v>
      </c>
      <c r="E172">
        <v>293693.69369369501</v>
      </c>
      <c r="F172">
        <v>474774.774774777</v>
      </c>
      <c r="G172">
        <v>37</v>
      </c>
      <c r="H172">
        <v>37</v>
      </c>
      <c r="I172">
        <v>1</v>
      </c>
      <c r="K172">
        <v>50</v>
      </c>
      <c r="L172">
        <v>41</v>
      </c>
      <c r="M172">
        <v>11416036.036036037</v>
      </c>
      <c r="N172">
        <v>13381531.531531533</v>
      </c>
      <c r="O172">
        <v>76942810.810810819</v>
      </c>
      <c r="P172">
        <v>72918693.693693697</v>
      </c>
      <c r="Q172">
        <v>10408288.288288288</v>
      </c>
      <c r="R172">
        <v>13155945.945945945</v>
      </c>
      <c r="S172">
        <v>5621</v>
      </c>
      <c r="T172">
        <v>5622</v>
      </c>
    </row>
    <row r="173" spans="1:20" x14ac:dyDescent="0.35">
      <c r="A173" s="7" t="s">
        <v>265</v>
      </c>
      <c r="B173" s="12" t="s">
        <v>124</v>
      </c>
      <c r="C173">
        <v>83312541.657561451</v>
      </c>
      <c r="D173">
        <v>89168191.711844802</v>
      </c>
      <c r="E173">
        <v>910135.13513513701</v>
      </c>
      <c r="F173">
        <v>1911261.2612612641</v>
      </c>
      <c r="G173">
        <v>29</v>
      </c>
      <c r="H173">
        <v>52</v>
      </c>
      <c r="I173">
        <v>1</v>
      </c>
      <c r="K173">
        <v>89</v>
      </c>
      <c r="L173">
        <v>58</v>
      </c>
      <c r="M173">
        <v>19991081.081081081</v>
      </c>
      <c r="N173">
        <v>23182612.612612613</v>
      </c>
      <c r="O173">
        <v>34491792.79279279</v>
      </c>
      <c r="P173">
        <v>38434135.135135137</v>
      </c>
      <c r="Q173">
        <v>20711171.171171173</v>
      </c>
      <c r="R173">
        <v>19280540.540540542</v>
      </c>
      <c r="S173">
        <v>2360</v>
      </c>
      <c r="T173">
        <v>2284</v>
      </c>
    </row>
    <row r="174" spans="1:20" x14ac:dyDescent="0.35">
      <c r="A174" s="7" t="s">
        <v>670</v>
      </c>
      <c r="B174" s="12" t="s">
        <v>124</v>
      </c>
      <c r="M174">
        <v>81081.081081081007</v>
      </c>
      <c r="N174">
        <v>108108.108108108</v>
      </c>
    </row>
    <row r="175" spans="1:20" x14ac:dyDescent="0.35">
      <c r="A175" s="7" t="s">
        <v>266</v>
      </c>
      <c r="B175" s="12" t="s">
        <v>126</v>
      </c>
      <c r="C175">
        <v>207970841.329418</v>
      </c>
      <c r="D175">
        <v>218925075.59418932</v>
      </c>
      <c r="E175">
        <v>95022981.981981978</v>
      </c>
      <c r="F175">
        <v>77251401.801801801</v>
      </c>
      <c r="G175">
        <v>58</v>
      </c>
      <c r="H175">
        <v>25</v>
      </c>
      <c r="K175">
        <v>60</v>
      </c>
      <c r="L175">
        <v>26</v>
      </c>
      <c r="M175">
        <v>31895270.270270269</v>
      </c>
      <c r="N175">
        <v>33696846.846846841</v>
      </c>
      <c r="O175">
        <v>75447032.432432428</v>
      </c>
      <c r="P175">
        <v>76027666.666666672</v>
      </c>
      <c r="Q175">
        <v>19443466.666666664</v>
      </c>
      <c r="R175">
        <v>18958198.198198199</v>
      </c>
      <c r="S175">
        <v>4438</v>
      </c>
      <c r="T175">
        <v>4500</v>
      </c>
    </row>
    <row r="176" spans="1:20" x14ac:dyDescent="0.35">
      <c r="A176" s="7" t="s">
        <v>267</v>
      </c>
      <c r="B176" s="12" t="s">
        <v>124</v>
      </c>
      <c r="C176">
        <v>199533187.59372014</v>
      </c>
      <c r="D176">
        <v>203897466.18743962</v>
      </c>
      <c r="E176">
        <v>1172972.972972973</v>
      </c>
      <c r="F176">
        <v>1736486.4864864871</v>
      </c>
      <c r="G176">
        <v>24</v>
      </c>
      <c r="H176">
        <v>36</v>
      </c>
      <c r="K176">
        <v>26</v>
      </c>
      <c r="L176">
        <v>39</v>
      </c>
      <c r="M176">
        <v>16834414.414414413</v>
      </c>
      <c r="N176">
        <v>28071081.081081081</v>
      </c>
      <c r="O176">
        <v>69809527.927927926</v>
      </c>
      <c r="P176">
        <v>77267025.225225225</v>
      </c>
      <c r="Q176">
        <v>17844324.324324325</v>
      </c>
      <c r="R176">
        <v>25731891.891891893</v>
      </c>
      <c r="S176">
        <v>4850</v>
      </c>
      <c r="T176">
        <v>4504</v>
      </c>
    </row>
    <row r="177" spans="1:20" x14ac:dyDescent="0.35">
      <c r="A177" s="7" t="s">
        <v>268</v>
      </c>
      <c r="B177" s="12" t="s">
        <v>124</v>
      </c>
      <c r="C177">
        <v>210595372.14048013</v>
      </c>
      <c r="D177">
        <v>218390886.79016876</v>
      </c>
      <c r="E177">
        <v>2418468.46846847</v>
      </c>
      <c r="F177">
        <v>2110810.810810816</v>
      </c>
      <c r="G177">
        <v>39</v>
      </c>
      <c r="H177">
        <v>41</v>
      </c>
      <c r="K177">
        <v>43</v>
      </c>
      <c r="L177">
        <v>50</v>
      </c>
      <c r="M177">
        <v>22665585.585585583</v>
      </c>
      <c r="N177">
        <v>28838468.468468469</v>
      </c>
      <c r="O177">
        <v>86160153.153153151</v>
      </c>
      <c r="P177">
        <v>85695745.945945948</v>
      </c>
      <c r="Q177">
        <v>23776216.216216218</v>
      </c>
      <c r="R177">
        <v>27007297.297297295</v>
      </c>
      <c r="S177">
        <v>5581</v>
      </c>
      <c r="T177">
        <v>5425</v>
      </c>
    </row>
    <row r="178" spans="1:20" x14ac:dyDescent="0.35">
      <c r="A178" s="7" t="s">
        <v>269</v>
      </c>
      <c r="B178" s="12" t="s">
        <v>179</v>
      </c>
      <c r="C178">
        <v>1059483325.7541595</v>
      </c>
      <c r="D178">
        <v>1078804817.0052111</v>
      </c>
      <c r="E178">
        <v>391713672.97297299</v>
      </c>
      <c r="F178">
        <v>464558623.42342341</v>
      </c>
      <c r="G178">
        <v>430</v>
      </c>
      <c r="H178">
        <v>231</v>
      </c>
      <c r="I178">
        <v>1</v>
      </c>
      <c r="K178">
        <v>789</v>
      </c>
      <c r="L178">
        <v>372</v>
      </c>
      <c r="M178">
        <v>138131735.13513514</v>
      </c>
      <c r="N178">
        <v>157806531.53153151</v>
      </c>
      <c r="O178">
        <v>319713381.08108109</v>
      </c>
      <c r="P178">
        <v>345556509.9099099</v>
      </c>
      <c r="Q178">
        <v>128906576.57657659</v>
      </c>
      <c r="R178">
        <v>147421936.93693691</v>
      </c>
      <c r="S178">
        <v>34433</v>
      </c>
      <c r="T178">
        <v>32908</v>
      </c>
    </row>
    <row r="179" spans="1:20" x14ac:dyDescent="0.35">
      <c r="A179" s="7" t="s">
        <v>270</v>
      </c>
      <c r="B179" s="12" t="s">
        <v>63</v>
      </c>
      <c r="C179">
        <v>174928520.47287875</v>
      </c>
      <c r="D179">
        <v>185064744.34631142</v>
      </c>
      <c r="E179">
        <v>3460360.360360363</v>
      </c>
      <c r="F179">
        <v>3319909.9099099119</v>
      </c>
      <c r="G179">
        <v>49</v>
      </c>
      <c r="H179">
        <v>109</v>
      </c>
      <c r="K179">
        <v>53</v>
      </c>
      <c r="L179">
        <v>230</v>
      </c>
      <c r="M179">
        <v>59369459.459459454</v>
      </c>
      <c r="N179">
        <v>23408378.37837838</v>
      </c>
      <c r="O179">
        <v>56146126.126126125</v>
      </c>
      <c r="P179">
        <v>68398646.846846849</v>
      </c>
      <c r="Q179">
        <v>46844684.684684679</v>
      </c>
      <c r="R179">
        <v>30631891.891891893</v>
      </c>
      <c r="S179">
        <v>4780</v>
      </c>
      <c r="T179">
        <v>4934</v>
      </c>
    </row>
    <row r="180" spans="1:20" x14ac:dyDescent="0.35">
      <c r="A180" s="7" t="s">
        <v>271</v>
      </c>
      <c r="B180" s="12" t="s">
        <v>71</v>
      </c>
      <c r="C180">
        <v>225999835.24921876</v>
      </c>
      <c r="D180">
        <v>217627240.77089721</v>
      </c>
      <c r="E180">
        <v>2069369.369369372</v>
      </c>
      <c r="F180">
        <v>10389189.189189192</v>
      </c>
      <c r="G180">
        <v>71</v>
      </c>
      <c r="H180">
        <v>90</v>
      </c>
      <c r="K180">
        <v>124</v>
      </c>
      <c r="L180">
        <v>123</v>
      </c>
      <c r="M180">
        <v>16012612.612612618</v>
      </c>
      <c r="N180">
        <v>49445712.612612613</v>
      </c>
      <c r="O180">
        <v>102287468.46846846</v>
      </c>
      <c r="P180">
        <v>105304675.67567568</v>
      </c>
      <c r="Q180">
        <v>15050990.990990996</v>
      </c>
      <c r="R180">
        <v>39192432.432432421</v>
      </c>
      <c r="S180">
        <v>7027</v>
      </c>
      <c r="T180">
        <v>7053</v>
      </c>
    </row>
    <row r="181" spans="1:20" x14ac:dyDescent="0.35">
      <c r="A181" s="7" t="s">
        <v>272</v>
      </c>
      <c r="B181" s="12" t="s">
        <v>135</v>
      </c>
      <c r="C181">
        <v>3404455.9532646318</v>
      </c>
      <c r="D181">
        <v>3846783.6479483298</v>
      </c>
      <c r="E181">
        <v>13963963.963963963</v>
      </c>
      <c r="F181">
        <v>5405405.405405405</v>
      </c>
      <c r="O181">
        <v>153693.69369369399</v>
      </c>
      <c r="P181">
        <v>271711.71171171201</v>
      </c>
      <c r="S181">
        <v>263</v>
      </c>
      <c r="T181">
        <v>203</v>
      </c>
    </row>
    <row r="182" spans="1:20" x14ac:dyDescent="0.35">
      <c r="A182" s="7" t="s">
        <v>273</v>
      </c>
      <c r="B182" s="12" t="s">
        <v>77</v>
      </c>
      <c r="C182">
        <v>105356063.86089821</v>
      </c>
      <c r="D182">
        <v>95883351.57001403</v>
      </c>
      <c r="E182">
        <v>67567.567567567996</v>
      </c>
      <c r="F182">
        <v>470270.27027027</v>
      </c>
      <c r="G182">
        <v>15</v>
      </c>
      <c r="H182">
        <v>16</v>
      </c>
      <c r="K182">
        <v>17</v>
      </c>
      <c r="L182">
        <v>17</v>
      </c>
      <c r="M182">
        <v>157657.65765765801</v>
      </c>
      <c r="N182">
        <v>668468.46846846805</v>
      </c>
      <c r="O182">
        <v>6844319.819819821</v>
      </c>
      <c r="P182">
        <v>7696774.7747747749</v>
      </c>
      <c r="Q182">
        <v>201801.80180180201</v>
      </c>
      <c r="R182">
        <v>471261.26126126101</v>
      </c>
      <c r="S182">
        <v>2438</v>
      </c>
      <c r="T182">
        <v>2476</v>
      </c>
    </row>
    <row r="183" spans="1:20" x14ac:dyDescent="0.35">
      <c r="A183" s="7" t="s">
        <v>274</v>
      </c>
      <c r="B183" s="12" t="s">
        <v>77</v>
      </c>
      <c r="C183">
        <v>35500931.566529058</v>
      </c>
      <c r="D183">
        <v>42234512.646536574</v>
      </c>
      <c r="E183">
        <v>150450.450450451</v>
      </c>
      <c r="F183">
        <v>209909.90990991</v>
      </c>
      <c r="G183">
        <v>3</v>
      </c>
      <c r="H183">
        <v>10</v>
      </c>
      <c r="K183">
        <v>4</v>
      </c>
      <c r="L183">
        <v>11</v>
      </c>
      <c r="M183">
        <v>8781261.2612612601</v>
      </c>
      <c r="N183">
        <v>9867567.5675675645</v>
      </c>
      <c r="O183">
        <v>9666765.7657657657</v>
      </c>
      <c r="P183">
        <v>13236619.819819819</v>
      </c>
      <c r="Q183">
        <v>7703063.0630630637</v>
      </c>
      <c r="R183">
        <v>9688738.7387387399</v>
      </c>
      <c r="S183">
        <v>1029</v>
      </c>
      <c r="T183">
        <v>878</v>
      </c>
    </row>
    <row r="184" spans="1:20" x14ac:dyDescent="0.35">
      <c r="A184" s="7" t="s">
        <v>275</v>
      </c>
      <c r="B184" s="12" t="s">
        <v>262</v>
      </c>
      <c r="C184">
        <v>754460853.94592083</v>
      </c>
      <c r="D184">
        <v>809221311.59337485</v>
      </c>
      <c r="E184">
        <v>8416216.2162162177</v>
      </c>
      <c r="F184">
        <v>9442342.3423423525</v>
      </c>
      <c r="G184">
        <v>213</v>
      </c>
      <c r="H184">
        <v>283</v>
      </c>
      <c r="K184">
        <v>308</v>
      </c>
      <c r="L184">
        <v>540</v>
      </c>
      <c r="M184">
        <v>150085585.58558556</v>
      </c>
      <c r="N184">
        <v>185093873.87387389</v>
      </c>
      <c r="O184">
        <v>231905734.23423424</v>
      </c>
      <c r="P184">
        <v>270015144.14414412</v>
      </c>
      <c r="Q184">
        <v>130352612.61261261</v>
      </c>
      <c r="R184">
        <v>174987207.2072072</v>
      </c>
      <c r="S184">
        <v>18509</v>
      </c>
      <c r="T184">
        <v>19080</v>
      </c>
    </row>
    <row r="185" spans="1:20" x14ac:dyDescent="0.35">
      <c r="A185" s="7" t="s">
        <v>276</v>
      </c>
      <c r="B185" s="12" t="s">
        <v>262</v>
      </c>
      <c r="C185">
        <v>162618536.17181253</v>
      </c>
      <c r="D185">
        <v>161399517.66124043</v>
      </c>
      <c r="E185">
        <v>1275000.000000003</v>
      </c>
      <c r="F185">
        <v>404504.504504507</v>
      </c>
      <c r="G185">
        <v>8</v>
      </c>
      <c r="H185">
        <v>27</v>
      </c>
      <c r="K185">
        <v>10</v>
      </c>
      <c r="L185">
        <v>29</v>
      </c>
      <c r="M185">
        <v>12404954.954954956</v>
      </c>
      <c r="N185">
        <v>13416216.216216218</v>
      </c>
      <c r="O185">
        <v>33135027.027027026</v>
      </c>
      <c r="P185">
        <v>37518477.477477483</v>
      </c>
      <c r="Q185">
        <v>10467387.387387387</v>
      </c>
      <c r="R185">
        <v>11015765.765765764</v>
      </c>
      <c r="S185">
        <v>3880</v>
      </c>
      <c r="T185">
        <v>3802</v>
      </c>
    </row>
    <row r="186" spans="1:20" x14ac:dyDescent="0.35">
      <c r="A186" s="7" t="s">
        <v>277</v>
      </c>
      <c r="B186" s="12" t="s">
        <v>262</v>
      </c>
      <c r="C186">
        <v>182700039.35634258</v>
      </c>
      <c r="D186">
        <v>225790648.26867348</v>
      </c>
      <c r="E186">
        <v>4632882.8828828838</v>
      </c>
      <c r="F186">
        <v>7708967.5675675711</v>
      </c>
      <c r="G186">
        <v>19</v>
      </c>
      <c r="H186">
        <v>42</v>
      </c>
      <c r="K186">
        <v>24</v>
      </c>
      <c r="L186">
        <v>46</v>
      </c>
      <c r="M186">
        <v>35370270.270270273</v>
      </c>
      <c r="N186">
        <v>22375490.090090092</v>
      </c>
      <c r="O186">
        <v>40274171.171171166</v>
      </c>
      <c r="P186">
        <v>61697421.621621624</v>
      </c>
      <c r="Q186">
        <v>33494414.414414417</v>
      </c>
      <c r="R186">
        <v>17393153.153153151</v>
      </c>
      <c r="S186">
        <v>5835</v>
      </c>
      <c r="T186">
        <v>6032</v>
      </c>
    </row>
    <row r="187" spans="1:20" x14ac:dyDescent="0.35">
      <c r="A187" s="7" t="s">
        <v>278</v>
      </c>
      <c r="B187" s="12" t="s">
        <v>135</v>
      </c>
      <c r="C187">
        <v>236414592.40897498</v>
      </c>
      <c r="D187">
        <v>254653030.13393092</v>
      </c>
      <c r="E187">
        <v>297297.29729729902</v>
      </c>
      <c r="F187">
        <v>369369.369369369</v>
      </c>
      <c r="G187">
        <v>51</v>
      </c>
      <c r="H187">
        <v>20</v>
      </c>
      <c r="K187">
        <v>58</v>
      </c>
      <c r="L187">
        <v>20</v>
      </c>
      <c r="M187">
        <v>14261261.261261262</v>
      </c>
      <c r="N187">
        <v>14333333.333333332</v>
      </c>
      <c r="O187">
        <v>20185202.702702705</v>
      </c>
      <c r="P187">
        <v>26595394.594594598</v>
      </c>
      <c r="Q187">
        <v>5498288.2882882887</v>
      </c>
      <c r="R187">
        <v>6202432.4324324327</v>
      </c>
      <c r="S187">
        <v>5400</v>
      </c>
      <c r="T187">
        <v>6335</v>
      </c>
    </row>
    <row r="188" spans="1:20" x14ac:dyDescent="0.35">
      <c r="A188" s="7" t="s">
        <v>671</v>
      </c>
      <c r="B188" s="12" t="s">
        <v>88</v>
      </c>
      <c r="E188">
        <v>46609920.720720723</v>
      </c>
      <c r="F188">
        <v>54932517.117117122</v>
      </c>
    </row>
    <row r="189" spans="1:20" x14ac:dyDescent="0.35">
      <c r="A189" s="7" t="s">
        <v>279</v>
      </c>
      <c r="B189" s="12" t="s">
        <v>170</v>
      </c>
      <c r="C189">
        <v>143089027.45257041</v>
      </c>
      <c r="D189">
        <v>128678166.95266546</v>
      </c>
      <c r="E189">
        <v>474774.77477477601</v>
      </c>
      <c r="F189">
        <v>2657657.6576576601</v>
      </c>
      <c r="G189">
        <v>26</v>
      </c>
      <c r="H189">
        <v>10</v>
      </c>
      <c r="K189">
        <v>28</v>
      </c>
      <c r="L189">
        <v>11</v>
      </c>
      <c r="M189">
        <v>10422972.972972972</v>
      </c>
      <c r="N189">
        <v>10243243.243243244</v>
      </c>
      <c r="O189">
        <v>63735493.24324324</v>
      </c>
      <c r="P189">
        <v>58998963.963963971</v>
      </c>
      <c r="Q189">
        <v>8425855.8558558542</v>
      </c>
      <c r="R189">
        <v>8414324.3243243247</v>
      </c>
      <c r="S189">
        <v>3431</v>
      </c>
      <c r="T189">
        <v>3317</v>
      </c>
    </row>
    <row r="190" spans="1:20" x14ac:dyDescent="0.35">
      <c r="A190" s="7" t="s">
        <v>280</v>
      </c>
      <c r="B190" s="12" t="s">
        <v>170</v>
      </c>
      <c r="C190">
        <v>77396760.455735952</v>
      </c>
      <c r="D190">
        <v>77390202.82121551</v>
      </c>
      <c r="E190">
        <v>30630.630630631</v>
      </c>
      <c r="F190">
        <v>6306.3063063059999</v>
      </c>
      <c r="G190">
        <v>10</v>
      </c>
      <c r="H190">
        <v>39</v>
      </c>
      <c r="K190">
        <v>12</v>
      </c>
      <c r="L190">
        <v>40</v>
      </c>
      <c r="M190">
        <v>3126689.1891891891</v>
      </c>
      <c r="N190">
        <v>2889189.1891891891</v>
      </c>
      <c r="O190">
        <v>34341283.783783786</v>
      </c>
      <c r="P190">
        <v>40997315.315315314</v>
      </c>
      <c r="Q190">
        <v>4455315.3153153146</v>
      </c>
      <c r="R190">
        <v>4120990.9909909908</v>
      </c>
      <c r="S190">
        <v>2531</v>
      </c>
      <c r="T190">
        <v>2036</v>
      </c>
    </row>
    <row r="191" spans="1:20" x14ac:dyDescent="0.35">
      <c r="A191" s="7" t="s">
        <v>281</v>
      </c>
      <c r="B191" s="12" t="s">
        <v>88</v>
      </c>
      <c r="C191">
        <v>1913655.8569460469</v>
      </c>
      <c r="D191">
        <v>2121580.8702098951</v>
      </c>
      <c r="G191">
        <v>3</v>
      </c>
      <c r="K191">
        <v>3</v>
      </c>
      <c r="M191">
        <v>729729.72972973005</v>
      </c>
      <c r="N191">
        <v>1459459.4594594589</v>
      </c>
      <c r="O191">
        <v>700279.27927927906</v>
      </c>
      <c r="P191">
        <v>986486.48648648604</v>
      </c>
      <c r="S191">
        <v>146</v>
      </c>
      <c r="T191">
        <v>141</v>
      </c>
    </row>
    <row r="192" spans="1:20" x14ac:dyDescent="0.35">
      <c r="A192" s="7" t="s">
        <v>282</v>
      </c>
      <c r="B192" s="12" t="s">
        <v>170</v>
      </c>
      <c r="C192">
        <v>136063220.10108227</v>
      </c>
      <c r="D192">
        <v>155133668.31231487</v>
      </c>
      <c r="E192">
        <v>542342.34234234295</v>
      </c>
      <c r="F192">
        <v>1221171.1711711709</v>
      </c>
      <c r="G192">
        <v>31</v>
      </c>
      <c r="H192">
        <v>68</v>
      </c>
      <c r="K192">
        <v>32</v>
      </c>
      <c r="L192">
        <v>93</v>
      </c>
      <c r="M192">
        <v>15436756.756756756</v>
      </c>
      <c r="N192">
        <v>16087477.477477474</v>
      </c>
      <c r="O192">
        <v>55814045.045045048</v>
      </c>
      <c r="P192">
        <v>65956171.171171166</v>
      </c>
      <c r="Q192">
        <v>15002522.52252252</v>
      </c>
      <c r="R192">
        <v>15739549.549549548</v>
      </c>
      <c r="S192">
        <v>4281</v>
      </c>
      <c r="T192">
        <v>4615</v>
      </c>
    </row>
    <row r="193" spans="1:20" x14ac:dyDescent="0.35">
      <c r="A193" s="7" t="s">
        <v>672</v>
      </c>
      <c r="B193" s="12" t="s">
        <v>144</v>
      </c>
      <c r="E193">
        <v>73847985.585585579</v>
      </c>
      <c r="F193">
        <v>107787472.07207206</v>
      </c>
      <c r="M193">
        <v>7207207.2072072066</v>
      </c>
      <c r="N193">
        <v>18018018.018018015</v>
      </c>
    </row>
    <row r="194" spans="1:20" x14ac:dyDescent="0.35">
      <c r="A194" s="7" t="s">
        <v>283</v>
      </c>
      <c r="B194" s="12" t="s">
        <v>55</v>
      </c>
      <c r="C194">
        <v>101506887.29220159</v>
      </c>
      <c r="D194">
        <v>106320648.49403386</v>
      </c>
      <c r="E194">
        <v>1210810.8108108139</v>
      </c>
      <c r="F194">
        <v>1253153.1531531541</v>
      </c>
      <c r="G194">
        <v>32</v>
      </c>
      <c r="H194">
        <v>41</v>
      </c>
      <c r="K194">
        <v>39</v>
      </c>
      <c r="L194">
        <v>51</v>
      </c>
      <c r="M194">
        <v>9961261.261261262</v>
      </c>
      <c r="N194">
        <v>17778378.37837838</v>
      </c>
      <c r="O194">
        <v>21939630.630630627</v>
      </c>
      <c r="P194">
        <v>24997711.711711712</v>
      </c>
      <c r="Q194">
        <v>10571711.71171171</v>
      </c>
      <c r="R194">
        <v>14589639.639639642</v>
      </c>
      <c r="S194">
        <v>3746</v>
      </c>
      <c r="T194">
        <v>3777</v>
      </c>
    </row>
    <row r="195" spans="1:20" x14ac:dyDescent="0.35">
      <c r="A195" s="7" t="s">
        <v>284</v>
      </c>
      <c r="B195" s="12" t="s">
        <v>285</v>
      </c>
      <c r="C195">
        <v>132189795.2084672</v>
      </c>
      <c r="D195">
        <v>168528870.05626112</v>
      </c>
      <c r="E195">
        <v>312612.612612614</v>
      </c>
      <c r="F195">
        <v>618918.91891892103</v>
      </c>
      <c r="G195">
        <v>38</v>
      </c>
      <c r="H195">
        <v>39</v>
      </c>
      <c r="K195">
        <v>65</v>
      </c>
      <c r="L195">
        <v>50</v>
      </c>
      <c r="M195">
        <v>6898198.1981982002</v>
      </c>
      <c r="N195">
        <v>6195495.4954954963</v>
      </c>
      <c r="O195">
        <v>22023684.684684683</v>
      </c>
      <c r="P195">
        <v>25434630.630630631</v>
      </c>
      <c r="Q195">
        <v>7329099.0990991006</v>
      </c>
      <c r="R195">
        <v>5481261.2612612611</v>
      </c>
      <c r="S195">
        <v>3208</v>
      </c>
      <c r="T195">
        <v>3217</v>
      </c>
    </row>
    <row r="196" spans="1:20" x14ac:dyDescent="0.35">
      <c r="A196" s="7" t="s">
        <v>286</v>
      </c>
      <c r="B196" s="12" t="s">
        <v>285</v>
      </c>
      <c r="C196">
        <v>291306593.78303742</v>
      </c>
      <c r="D196">
        <v>294835764.17205983</v>
      </c>
      <c r="E196">
        <v>2330180.1801801859</v>
      </c>
      <c r="F196">
        <v>4039639.639639643</v>
      </c>
      <c r="G196">
        <v>52</v>
      </c>
      <c r="H196">
        <v>144</v>
      </c>
      <c r="K196">
        <v>80</v>
      </c>
      <c r="L196">
        <v>258</v>
      </c>
      <c r="M196">
        <v>30584684.684684686</v>
      </c>
      <c r="N196">
        <v>44883783.783783786</v>
      </c>
      <c r="O196">
        <v>61247261.261261262</v>
      </c>
      <c r="P196">
        <v>65887351.351351351</v>
      </c>
      <c r="Q196">
        <v>29983603.603603605</v>
      </c>
      <c r="R196">
        <v>34030360.360360362</v>
      </c>
      <c r="S196">
        <v>8035</v>
      </c>
      <c r="T196">
        <v>8153</v>
      </c>
    </row>
    <row r="197" spans="1:20" x14ac:dyDescent="0.35">
      <c r="A197" s="7" t="s">
        <v>287</v>
      </c>
      <c r="B197" s="12" t="s">
        <v>285</v>
      </c>
      <c r="C197">
        <v>154172096.53718734</v>
      </c>
      <c r="D197">
        <v>165140761.12433788</v>
      </c>
      <c r="E197">
        <v>1184684.684684688</v>
      </c>
      <c r="F197">
        <v>1984684.6846846871</v>
      </c>
      <c r="G197">
        <v>32</v>
      </c>
      <c r="H197">
        <v>19</v>
      </c>
      <c r="K197">
        <v>44</v>
      </c>
      <c r="L197">
        <v>42</v>
      </c>
      <c r="M197">
        <v>37507207.20720721</v>
      </c>
      <c r="N197">
        <v>48492882.882882878</v>
      </c>
      <c r="O197">
        <v>48720486.486486487</v>
      </c>
      <c r="P197">
        <v>52402837.837837838</v>
      </c>
      <c r="Q197">
        <v>34425675.675675675</v>
      </c>
      <c r="R197">
        <v>41207657.657657653</v>
      </c>
      <c r="S197">
        <v>4570</v>
      </c>
      <c r="T197">
        <v>4792</v>
      </c>
    </row>
    <row r="198" spans="1:20" x14ac:dyDescent="0.35">
      <c r="A198" s="7" t="s">
        <v>288</v>
      </c>
      <c r="B198" s="12" t="s">
        <v>285</v>
      </c>
      <c r="C198">
        <v>114186993.11180109</v>
      </c>
      <c r="D198">
        <v>122846311.27829331</v>
      </c>
      <c r="E198">
        <v>320720.72072072298</v>
      </c>
      <c r="F198">
        <v>474774.77477477503</v>
      </c>
      <c r="G198">
        <v>7</v>
      </c>
      <c r="H198">
        <v>7</v>
      </c>
      <c r="K198">
        <v>9</v>
      </c>
      <c r="L198">
        <v>8</v>
      </c>
      <c r="M198">
        <v>28320720.720720723</v>
      </c>
      <c r="N198">
        <v>7537837.8378378376</v>
      </c>
      <c r="O198">
        <v>22517216.216216218</v>
      </c>
      <c r="P198">
        <v>24933711.711711712</v>
      </c>
      <c r="Q198">
        <v>28658378.378378376</v>
      </c>
      <c r="R198">
        <v>6722792.7927927924</v>
      </c>
      <c r="S198">
        <v>2518</v>
      </c>
      <c r="T198">
        <v>2581</v>
      </c>
    </row>
    <row r="199" spans="1:20" x14ac:dyDescent="0.35">
      <c r="A199" s="7" t="s">
        <v>289</v>
      </c>
      <c r="B199" s="12" t="s">
        <v>285</v>
      </c>
      <c r="C199">
        <v>57874041.628534995</v>
      </c>
      <c r="D199">
        <v>59681699.248570845</v>
      </c>
      <c r="E199">
        <v>451351.35135135398</v>
      </c>
      <c r="F199">
        <v>952252.25225225301</v>
      </c>
      <c r="G199">
        <v>1</v>
      </c>
      <c r="H199">
        <v>1</v>
      </c>
      <c r="K199">
        <v>2</v>
      </c>
      <c r="L199">
        <v>1</v>
      </c>
      <c r="M199">
        <v>12397297.297297295</v>
      </c>
      <c r="N199">
        <v>7727027.0270270277</v>
      </c>
      <c r="O199">
        <v>10586819.819819819</v>
      </c>
      <c r="P199">
        <v>12584486.486486485</v>
      </c>
      <c r="Q199">
        <v>12069189.18918919</v>
      </c>
      <c r="R199">
        <v>7174414.4144144151</v>
      </c>
      <c r="S199">
        <v>1414</v>
      </c>
      <c r="T199">
        <v>1655</v>
      </c>
    </row>
    <row r="200" spans="1:20" x14ac:dyDescent="0.35">
      <c r="A200" s="7" t="s">
        <v>290</v>
      </c>
      <c r="B200" s="12" t="s">
        <v>285</v>
      </c>
      <c r="C200">
        <v>9455459.3345947098</v>
      </c>
      <c r="D200">
        <v>9361817.8917718828</v>
      </c>
      <c r="E200">
        <v>193693.69369369399</v>
      </c>
      <c r="F200">
        <v>400900.900900901</v>
      </c>
      <c r="M200">
        <v>18319819.819819819</v>
      </c>
      <c r="N200">
        <v>4572072.072072072</v>
      </c>
      <c r="O200">
        <v>1363117.1171171169</v>
      </c>
      <c r="P200">
        <v>1857108.1081081079</v>
      </c>
      <c r="Q200">
        <v>18126126.126126129</v>
      </c>
      <c r="R200">
        <v>4157657.6576576568</v>
      </c>
      <c r="S200">
        <v>296</v>
      </c>
      <c r="T200">
        <v>312</v>
      </c>
    </row>
    <row r="201" spans="1:20" x14ac:dyDescent="0.35">
      <c r="A201" s="7" t="s">
        <v>291</v>
      </c>
      <c r="B201" s="12" t="s">
        <v>292</v>
      </c>
      <c r="C201">
        <v>118464731.19431236</v>
      </c>
      <c r="D201">
        <v>122610995.39980955</v>
      </c>
      <c r="E201">
        <v>115315.31531531599</v>
      </c>
      <c r="F201">
        <v>108108.10810810899</v>
      </c>
      <c r="G201">
        <v>30</v>
      </c>
      <c r="H201">
        <v>11</v>
      </c>
      <c r="K201">
        <v>32</v>
      </c>
      <c r="L201">
        <v>14</v>
      </c>
      <c r="M201">
        <v>621621.62162162201</v>
      </c>
      <c r="N201">
        <v>1477477.4774774769</v>
      </c>
      <c r="O201">
        <v>10862785.585585587</v>
      </c>
      <c r="P201">
        <v>14388688.288288288</v>
      </c>
      <c r="Q201">
        <v>628468.46846846899</v>
      </c>
      <c r="R201">
        <v>946846.84684684698</v>
      </c>
      <c r="S201">
        <v>4207</v>
      </c>
      <c r="T201">
        <v>4527</v>
      </c>
    </row>
    <row r="202" spans="1:20" x14ac:dyDescent="0.35">
      <c r="A202" s="7" t="s">
        <v>293</v>
      </c>
      <c r="B202" s="12" t="s">
        <v>148</v>
      </c>
      <c r="C202">
        <v>273554786.26589441</v>
      </c>
      <c r="D202">
        <v>250634426.16315657</v>
      </c>
      <c r="E202">
        <v>3682882.8828828852</v>
      </c>
      <c r="F202">
        <v>3292172.0720720752</v>
      </c>
      <c r="G202">
        <v>72</v>
      </c>
      <c r="H202">
        <v>76</v>
      </c>
      <c r="K202">
        <v>83</v>
      </c>
      <c r="L202">
        <v>97</v>
      </c>
      <c r="M202">
        <v>100934109.9099099</v>
      </c>
      <c r="N202">
        <v>101113662.16216215</v>
      </c>
      <c r="O202">
        <v>110482099.0990991</v>
      </c>
      <c r="P202">
        <v>101195162.16216215</v>
      </c>
      <c r="Q202">
        <v>95375495.495495483</v>
      </c>
      <c r="R202">
        <v>98186216.216216221</v>
      </c>
      <c r="S202">
        <v>9239</v>
      </c>
      <c r="T202">
        <v>7557</v>
      </c>
    </row>
    <row r="203" spans="1:20" x14ac:dyDescent="0.35">
      <c r="A203" s="7" t="s">
        <v>294</v>
      </c>
      <c r="B203" s="12" t="s">
        <v>295</v>
      </c>
      <c r="C203">
        <v>130748172.41480426</v>
      </c>
      <c r="D203">
        <v>141954101.09893137</v>
      </c>
      <c r="E203">
        <v>61951171.171171166</v>
      </c>
      <c r="F203">
        <v>73366666.666666672</v>
      </c>
      <c r="G203">
        <v>10</v>
      </c>
      <c r="H203">
        <v>1</v>
      </c>
      <c r="K203">
        <v>13</v>
      </c>
      <c r="L203">
        <v>9</v>
      </c>
      <c r="M203">
        <v>23188918.918918915</v>
      </c>
      <c r="N203">
        <v>34112702.702702701</v>
      </c>
      <c r="O203">
        <v>17816072.072072074</v>
      </c>
      <c r="P203">
        <v>19896171.17117117</v>
      </c>
      <c r="Q203">
        <v>23765405.405405398</v>
      </c>
      <c r="R203">
        <v>33869189.189189188</v>
      </c>
      <c r="S203">
        <v>3437</v>
      </c>
      <c r="T203">
        <v>3579</v>
      </c>
    </row>
    <row r="204" spans="1:20" x14ac:dyDescent="0.35">
      <c r="A204" s="7" t="s">
        <v>296</v>
      </c>
      <c r="B204" s="12" t="s">
        <v>292</v>
      </c>
      <c r="C204">
        <v>28072371.93100718</v>
      </c>
      <c r="D204">
        <v>33221165.077487785</v>
      </c>
      <c r="E204">
        <v>113777740.54054055</v>
      </c>
      <c r="F204">
        <v>127802056.75675675</v>
      </c>
      <c r="G204">
        <v>8</v>
      </c>
      <c r="H204">
        <v>6</v>
      </c>
      <c r="K204">
        <v>8</v>
      </c>
      <c r="L204">
        <v>7</v>
      </c>
      <c r="M204">
        <v>18349047.747747749</v>
      </c>
      <c r="N204">
        <v>21029066.666666664</v>
      </c>
      <c r="O204">
        <v>4126935.1351351351</v>
      </c>
      <c r="P204">
        <v>3978090.0900900909</v>
      </c>
      <c r="Q204">
        <v>1802702.702702703</v>
      </c>
      <c r="R204">
        <v>1574774.7747747749</v>
      </c>
      <c r="S204">
        <v>1217</v>
      </c>
      <c r="T204">
        <v>1309</v>
      </c>
    </row>
    <row r="205" spans="1:20" x14ac:dyDescent="0.35">
      <c r="A205" s="7" t="s">
        <v>673</v>
      </c>
      <c r="B205" s="12" t="s">
        <v>482</v>
      </c>
      <c r="E205">
        <v>29009009.009009007</v>
      </c>
      <c r="F205">
        <v>52750000</v>
      </c>
      <c r="M205">
        <v>2554954.9549549548</v>
      </c>
      <c r="N205">
        <v>1647972.972972973</v>
      </c>
    </row>
    <row r="206" spans="1:20" x14ac:dyDescent="0.35">
      <c r="A206" s="7" t="s">
        <v>297</v>
      </c>
      <c r="B206" s="12" t="s">
        <v>53</v>
      </c>
      <c r="C206">
        <v>379817695.11519277</v>
      </c>
      <c r="D206">
        <v>390736294.32827795</v>
      </c>
      <c r="E206">
        <v>3861261.2612612671</v>
      </c>
      <c r="F206">
        <v>6954252.2522522528</v>
      </c>
      <c r="G206">
        <v>107</v>
      </c>
      <c r="H206">
        <v>166</v>
      </c>
      <c r="K206">
        <v>162</v>
      </c>
      <c r="L206">
        <v>256</v>
      </c>
      <c r="M206">
        <v>229663783.78378376</v>
      </c>
      <c r="N206">
        <v>71147045.045045048</v>
      </c>
      <c r="O206">
        <v>102995756.75675677</v>
      </c>
      <c r="P206">
        <v>106579027.02702703</v>
      </c>
      <c r="Q206">
        <v>232388648.64864865</v>
      </c>
      <c r="R206">
        <v>73463873.873873875</v>
      </c>
      <c r="S206">
        <v>11528</v>
      </c>
      <c r="T206">
        <v>11532</v>
      </c>
    </row>
    <row r="207" spans="1:20" x14ac:dyDescent="0.35">
      <c r="A207" s="7" t="s">
        <v>298</v>
      </c>
      <c r="B207" s="12" t="s">
        <v>170</v>
      </c>
      <c r="C207">
        <v>106061911.66976988</v>
      </c>
      <c r="D207">
        <v>129440122.29411526</v>
      </c>
      <c r="E207">
        <v>13513.513513514001</v>
      </c>
      <c r="F207">
        <v>72522.522522522995</v>
      </c>
      <c r="G207">
        <v>18</v>
      </c>
      <c r="H207">
        <v>7</v>
      </c>
      <c r="K207">
        <v>23</v>
      </c>
      <c r="L207">
        <v>7</v>
      </c>
      <c r="M207">
        <v>8436936.9369369373</v>
      </c>
      <c r="N207">
        <v>4847297.297297297</v>
      </c>
      <c r="O207">
        <v>25279540.540540539</v>
      </c>
      <c r="P207">
        <v>34737162.162162162</v>
      </c>
      <c r="Q207">
        <v>7003423.4234234244</v>
      </c>
      <c r="R207">
        <v>7369819.8198198201</v>
      </c>
      <c r="S207">
        <v>4278</v>
      </c>
      <c r="T207">
        <v>4014</v>
      </c>
    </row>
    <row r="208" spans="1:20" x14ac:dyDescent="0.35">
      <c r="A208" s="7" t="s">
        <v>299</v>
      </c>
      <c r="B208" s="12" t="s">
        <v>170</v>
      </c>
      <c r="C208">
        <v>147860548.90336245</v>
      </c>
      <c r="D208">
        <v>106850944.41014649</v>
      </c>
      <c r="E208">
        <v>103603.603603604</v>
      </c>
      <c r="F208">
        <v>71621.621621622005</v>
      </c>
      <c r="G208">
        <v>25</v>
      </c>
      <c r="H208">
        <v>15</v>
      </c>
      <c r="K208">
        <v>28</v>
      </c>
      <c r="L208">
        <v>17</v>
      </c>
      <c r="M208">
        <v>1829015597.2972975</v>
      </c>
      <c r="N208">
        <v>1819909459.4594595</v>
      </c>
      <c r="O208">
        <v>54270189.189189196</v>
      </c>
      <c r="P208">
        <v>45702405.40540541</v>
      </c>
      <c r="Q208">
        <v>1824391254.0540543</v>
      </c>
      <c r="R208">
        <v>1531580911.7117116</v>
      </c>
      <c r="S208">
        <v>2844</v>
      </c>
      <c r="T208">
        <v>2703</v>
      </c>
    </row>
    <row r="209" spans="1:20" x14ac:dyDescent="0.35">
      <c r="A209" s="7" t="s">
        <v>300</v>
      </c>
      <c r="B209" s="12" t="s">
        <v>90</v>
      </c>
      <c r="C209">
        <v>432116608.84257674</v>
      </c>
      <c r="D209">
        <v>452452015.70519561</v>
      </c>
      <c r="E209">
        <v>2317904.5045045102</v>
      </c>
      <c r="F209">
        <v>2261261.2612612671</v>
      </c>
      <c r="G209">
        <v>84</v>
      </c>
      <c r="H209">
        <v>33</v>
      </c>
      <c r="I209">
        <v>2</v>
      </c>
      <c r="K209">
        <v>143</v>
      </c>
      <c r="L209">
        <v>46</v>
      </c>
      <c r="M209">
        <v>22535252.252252251</v>
      </c>
      <c r="N209">
        <v>577787927.92792797</v>
      </c>
      <c r="O209">
        <v>85416027.027027026</v>
      </c>
      <c r="P209">
        <v>96420207.207207203</v>
      </c>
      <c r="Q209">
        <v>28407477.47747748</v>
      </c>
      <c r="R209">
        <v>392593333.33333331</v>
      </c>
      <c r="S209">
        <v>10739</v>
      </c>
      <c r="T209">
        <v>11249</v>
      </c>
    </row>
    <row r="210" spans="1:20" x14ac:dyDescent="0.35">
      <c r="A210" s="7" t="s">
        <v>301</v>
      </c>
      <c r="B210" s="12" t="s">
        <v>135</v>
      </c>
      <c r="C210">
        <v>238734901.84450233</v>
      </c>
      <c r="D210">
        <v>273487681.36168987</v>
      </c>
      <c r="E210">
        <v>1736936.9369369389</v>
      </c>
      <c r="F210">
        <v>2054954.954954956</v>
      </c>
      <c r="G210">
        <v>58</v>
      </c>
      <c r="H210">
        <v>51</v>
      </c>
      <c r="K210">
        <v>78</v>
      </c>
      <c r="L210">
        <v>84</v>
      </c>
      <c r="M210">
        <v>16313513.513513513</v>
      </c>
      <c r="N210">
        <v>32226126.126126122</v>
      </c>
      <c r="O210">
        <v>29212369.369369369</v>
      </c>
      <c r="P210">
        <v>39785538.738738738</v>
      </c>
      <c r="Q210">
        <v>14803963.963963961</v>
      </c>
      <c r="R210">
        <v>25408108.108108107</v>
      </c>
      <c r="S210">
        <v>6990</v>
      </c>
      <c r="T210">
        <v>7079</v>
      </c>
    </row>
    <row r="211" spans="1:20" x14ac:dyDescent="0.35">
      <c r="A211" s="7" t="s">
        <v>302</v>
      </c>
      <c r="B211" s="12" t="s">
        <v>292</v>
      </c>
      <c r="C211">
        <v>164087603.72240084</v>
      </c>
      <c r="D211">
        <v>169729435.5599001</v>
      </c>
      <c r="E211">
        <v>2461261.2612612629</v>
      </c>
      <c r="F211">
        <v>1906306.3063063109</v>
      </c>
      <c r="G211">
        <v>58</v>
      </c>
      <c r="H211">
        <v>44</v>
      </c>
      <c r="K211">
        <v>65</v>
      </c>
      <c r="L211">
        <v>50</v>
      </c>
      <c r="M211">
        <v>12255855.855855856</v>
      </c>
      <c r="N211">
        <v>16888288.288288292</v>
      </c>
      <c r="O211">
        <v>22813462.162162159</v>
      </c>
      <c r="P211">
        <v>27040306.306306303</v>
      </c>
      <c r="Q211">
        <v>12077027.027027024</v>
      </c>
      <c r="R211">
        <v>20582972.972972974</v>
      </c>
      <c r="S211">
        <v>4346</v>
      </c>
      <c r="T211">
        <v>4500</v>
      </c>
    </row>
    <row r="212" spans="1:20" x14ac:dyDescent="0.35">
      <c r="A212" s="7" t="s">
        <v>303</v>
      </c>
      <c r="B212" s="12" t="s">
        <v>81</v>
      </c>
      <c r="C212">
        <v>241236411.85168883</v>
      </c>
      <c r="D212">
        <v>251776612.63228166</v>
      </c>
      <c r="E212">
        <v>3671846.8468468478</v>
      </c>
      <c r="F212">
        <v>4259459.4594594622</v>
      </c>
      <c r="G212">
        <v>39</v>
      </c>
      <c r="H212">
        <v>9</v>
      </c>
      <c r="I212">
        <v>5</v>
      </c>
      <c r="K212">
        <v>47</v>
      </c>
      <c r="L212">
        <v>20</v>
      </c>
      <c r="M212">
        <v>22174774.774774771</v>
      </c>
      <c r="N212">
        <v>29834241.441441439</v>
      </c>
      <c r="O212">
        <v>50195783.783783786</v>
      </c>
      <c r="P212">
        <v>56520855.855855852</v>
      </c>
      <c r="Q212">
        <v>20812702.702702701</v>
      </c>
      <c r="R212">
        <v>25337657.657657657</v>
      </c>
      <c r="S212">
        <v>5675</v>
      </c>
      <c r="T212">
        <v>5752</v>
      </c>
    </row>
    <row r="213" spans="1:20" x14ac:dyDescent="0.35">
      <c r="A213" s="7" t="s">
        <v>304</v>
      </c>
      <c r="B213" s="12" t="s">
        <v>73</v>
      </c>
      <c r="C213">
        <v>371597384.99331295</v>
      </c>
      <c r="D213">
        <v>400034463.26022959</v>
      </c>
      <c r="E213">
        <v>1227927.9279279299</v>
      </c>
      <c r="F213">
        <v>842342.342342349</v>
      </c>
      <c r="G213">
        <v>98</v>
      </c>
      <c r="H213">
        <v>42</v>
      </c>
      <c r="I213">
        <v>2</v>
      </c>
      <c r="K213">
        <v>108</v>
      </c>
      <c r="L213">
        <v>52</v>
      </c>
      <c r="M213">
        <v>20454954.954954956</v>
      </c>
      <c r="N213">
        <v>39400900.900900893</v>
      </c>
      <c r="O213">
        <v>57023864.864864863</v>
      </c>
      <c r="P213">
        <v>65772646.846846849</v>
      </c>
      <c r="Q213">
        <v>19905585.585585583</v>
      </c>
      <c r="R213">
        <v>23199729.729729727</v>
      </c>
      <c r="S213">
        <v>8989</v>
      </c>
      <c r="T213">
        <v>9130</v>
      </c>
    </row>
    <row r="214" spans="1:20" x14ac:dyDescent="0.35">
      <c r="A214" s="7" t="s">
        <v>305</v>
      </c>
      <c r="B214" s="12" t="s">
        <v>306</v>
      </c>
      <c r="C214">
        <v>1321858.697407807</v>
      </c>
      <c r="D214">
        <v>1556274.652851331</v>
      </c>
      <c r="O214">
        <v>560450.45045044995</v>
      </c>
      <c r="P214">
        <v>319369.369369369</v>
      </c>
      <c r="S214">
        <v>67</v>
      </c>
      <c r="T214">
        <v>73</v>
      </c>
    </row>
    <row r="215" spans="1:20" x14ac:dyDescent="0.35">
      <c r="A215" s="7" t="s">
        <v>307</v>
      </c>
      <c r="B215" s="12" t="s">
        <v>118</v>
      </c>
      <c r="C215">
        <v>48169330.217462301</v>
      </c>
      <c r="D215">
        <v>49515306.269612089</v>
      </c>
      <c r="E215">
        <v>308108.10810810601</v>
      </c>
      <c r="F215">
        <v>458558.558558558</v>
      </c>
      <c r="G215">
        <v>6</v>
      </c>
      <c r="H215">
        <v>10</v>
      </c>
      <c r="K215">
        <v>6</v>
      </c>
      <c r="L215">
        <v>11</v>
      </c>
      <c r="M215">
        <v>2049369.3693693669</v>
      </c>
      <c r="N215">
        <v>3797297.2972972961</v>
      </c>
      <c r="O215">
        <v>20535810.810810812</v>
      </c>
      <c r="P215">
        <v>19866306.306306303</v>
      </c>
      <c r="Q215">
        <v>2577747.7477477472</v>
      </c>
      <c r="R215">
        <v>2995765.7657657638</v>
      </c>
      <c r="S215">
        <v>1550</v>
      </c>
      <c r="T215">
        <v>1754</v>
      </c>
    </row>
    <row r="216" spans="1:20" x14ac:dyDescent="0.35">
      <c r="A216" s="7" t="s">
        <v>308</v>
      </c>
      <c r="B216" s="12" t="s">
        <v>309</v>
      </c>
      <c r="C216">
        <v>60640489.011274122</v>
      </c>
      <c r="D216">
        <v>58866461.016641662</v>
      </c>
      <c r="E216">
        <v>271171.17117117101</v>
      </c>
      <c r="F216">
        <v>477477.47747747699</v>
      </c>
      <c r="G216">
        <v>35</v>
      </c>
      <c r="H216">
        <v>14</v>
      </c>
      <c r="K216">
        <v>40</v>
      </c>
      <c r="L216">
        <v>18</v>
      </c>
      <c r="M216">
        <v>753153.15315315302</v>
      </c>
      <c r="N216">
        <v>1815135.1351351349</v>
      </c>
      <c r="O216">
        <v>31716990.990990993</v>
      </c>
      <c r="P216">
        <v>28935549.54954955</v>
      </c>
      <c r="Q216">
        <v>662342.34234234295</v>
      </c>
      <c r="R216">
        <v>1282162.1621621619</v>
      </c>
      <c r="S216">
        <v>4761</v>
      </c>
      <c r="T216">
        <v>4565</v>
      </c>
    </row>
    <row r="217" spans="1:20" x14ac:dyDescent="0.35">
      <c r="A217" s="7" t="s">
        <v>310</v>
      </c>
      <c r="B217" s="12" t="s">
        <v>141</v>
      </c>
      <c r="C217">
        <v>390603854.762299</v>
      </c>
      <c r="D217">
        <v>415090347.80826968</v>
      </c>
      <c r="E217">
        <v>1358108.1081081161</v>
      </c>
      <c r="F217">
        <v>3032432.4324324368</v>
      </c>
      <c r="G217">
        <v>65</v>
      </c>
      <c r="H217">
        <v>21</v>
      </c>
      <c r="I217">
        <v>4</v>
      </c>
      <c r="K217">
        <v>77</v>
      </c>
      <c r="L217">
        <v>28</v>
      </c>
      <c r="M217">
        <v>74529279.279279277</v>
      </c>
      <c r="N217">
        <v>79988378.378378391</v>
      </c>
      <c r="O217">
        <v>86461792.792792797</v>
      </c>
      <c r="P217">
        <v>96332556.756756753</v>
      </c>
      <c r="Q217">
        <v>40455315.315315321</v>
      </c>
      <c r="R217">
        <v>45051081.081081077</v>
      </c>
      <c r="S217">
        <v>8185</v>
      </c>
      <c r="T217">
        <v>8434</v>
      </c>
    </row>
    <row r="218" spans="1:20" x14ac:dyDescent="0.35">
      <c r="A218" s="7" t="s">
        <v>311</v>
      </c>
      <c r="B218" s="12" t="s">
        <v>133</v>
      </c>
      <c r="C218">
        <v>377704966.44944143</v>
      </c>
      <c r="D218">
        <v>378234173.85685956</v>
      </c>
      <c r="E218">
        <v>46555998.198198199</v>
      </c>
      <c r="F218">
        <v>42325288.288288288</v>
      </c>
      <c r="G218">
        <v>113</v>
      </c>
      <c r="H218">
        <v>62</v>
      </c>
      <c r="K218">
        <v>130</v>
      </c>
      <c r="L218">
        <v>69</v>
      </c>
      <c r="M218">
        <v>18566666.666666668</v>
      </c>
      <c r="N218">
        <v>13917342.342342343</v>
      </c>
      <c r="O218">
        <v>101178441.44144145</v>
      </c>
      <c r="P218">
        <v>111629918.91891891</v>
      </c>
      <c r="Q218">
        <v>13264594.594594596</v>
      </c>
      <c r="R218">
        <v>9679504.5045045037</v>
      </c>
      <c r="S218">
        <v>12528</v>
      </c>
      <c r="T218">
        <v>11498</v>
      </c>
    </row>
    <row r="219" spans="1:20" x14ac:dyDescent="0.35">
      <c r="A219" s="7" t="s">
        <v>312</v>
      </c>
      <c r="B219" s="12" t="s">
        <v>73</v>
      </c>
      <c r="C219">
        <v>631766018.82635772</v>
      </c>
      <c r="D219">
        <v>734670101.85548329</v>
      </c>
      <c r="E219">
        <v>5419144.1441441532</v>
      </c>
      <c r="F219">
        <v>4074774.7747747898</v>
      </c>
      <c r="G219">
        <v>137</v>
      </c>
      <c r="H219">
        <v>57</v>
      </c>
      <c r="I219">
        <v>3</v>
      </c>
      <c r="K219">
        <v>173</v>
      </c>
      <c r="L219">
        <v>66</v>
      </c>
      <c r="M219">
        <v>84899099.0990991</v>
      </c>
      <c r="N219">
        <v>110590090.0900901</v>
      </c>
      <c r="O219">
        <v>155736876.57657659</v>
      </c>
      <c r="P219">
        <v>239511807.2072072</v>
      </c>
      <c r="Q219">
        <v>79351981.981981978</v>
      </c>
      <c r="R219">
        <v>97288648.648648649</v>
      </c>
      <c r="S219">
        <v>16752</v>
      </c>
      <c r="T219">
        <v>16968</v>
      </c>
    </row>
    <row r="220" spans="1:20" x14ac:dyDescent="0.35">
      <c r="A220" s="7" t="s">
        <v>313</v>
      </c>
      <c r="B220" s="12" t="s">
        <v>63</v>
      </c>
      <c r="C220">
        <v>109781210.63614333</v>
      </c>
      <c r="D220">
        <v>110490899.83172457</v>
      </c>
      <c r="E220">
        <v>575675.67567567795</v>
      </c>
      <c r="F220">
        <v>1062162.1621621631</v>
      </c>
      <c r="G220">
        <v>15</v>
      </c>
      <c r="H220">
        <v>12</v>
      </c>
      <c r="K220">
        <v>16</v>
      </c>
      <c r="L220">
        <v>12</v>
      </c>
      <c r="M220">
        <v>21546306.306306306</v>
      </c>
      <c r="N220">
        <v>22834054.054054055</v>
      </c>
      <c r="O220">
        <v>30395387.387387387</v>
      </c>
      <c r="P220">
        <v>31809369.369369369</v>
      </c>
      <c r="Q220">
        <v>19190900.9009009</v>
      </c>
      <c r="R220">
        <v>19895945.945945945</v>
      </c>
      <c r="S220">
        <v>2255</v>
      </c>
      <c r="T220">
        <v>2254</v>
      </c>
    </row>
    <row r="221" spans="1:20" x14ac:dyDescent="0.35">
      <c r="A221" s="7" t="s">
        <v>314</v>
      </c>
      <c r="B221" s="12" t="s">
        <v>90</v>
      </c>
      <c r="C221">
        <v>37440366.927896738</v>
      </c>
      <c r="D221">
        <v>40717816.768446341</v>
      </c>
      <c r="E221">
        <v>500900.900900901</v>
      </c>
      <c r="F221">
        <v>1340540.5405405429</v>
      </c>
      <c r="G221">
        <v>10</v>
      </c>
      <c r="H221">
        <v>5</v>
      </c>
      <c r="K221">
        <v>12</v>
      </c>
      <c r="L221">
        <v>5</v>
      </c>
      <c r="M221">
        <v>4762342.3423423423</v>
      </c>
      <c r="N221">
        <v>7398918.9189189188</v>
      </c>
      <c r="O221">
        <v>13267639.63963964</v>
      </c>
      <c r="P221">
        <v>14089243.243243244</v>
      </c>
      <c r="Q221">
        <v>4864234.2342342334</v>
      </c>
      <c r="R221">
        <v>7222612.6126126144</v>
      </c>
      <c r="S221">
        <v>1237</v>
      </c>
      <c r="T221">
        <v>1232</v>
      </c>
    </row>
    <row r="222" spans="1:20" x14ac:dyDescent="0.35">
      <c r="A222" s="7" t="s">
        <v>315</v>
      </c>
      <c r="B222" s="12" t="s">
        <v>93</v>
      </c>
      <c r="C222">
        <v>16703632.628114045</v>
      </c>
      <c r="D222">
        <v>12856756.465946641</v>
      </c>
      <c r="E222">
        <v>29288288.288288288</v>
      </c>
      <c r="F222">
        <v>10927927.927927928</v>
      </c>
      <c r="G222">
        <v>3</v>
      </c>
      <c r="H222">
        <v>3</v>
      </c>
      <c r="K222">
        <v>3</v>
      </c>
      <c r="L222">
        <v>3</v>
      </c>
      <c r="M222">
        <v>65090.090090090001</v>
      </c>
      <c r="N222">
        <v>2234242.3423423418</v>
      </c>
      <c r="O222">
        <v>1227027.027027027</v>
      </c>
      <c r="P222">
        <v>1478234.2342342341</v>
      </c>
      <c r="Q222">
        <v>145045.045045045</v>
      </c>
      <c r="R222">
        <v>2153153.1531531531</v>
      </c>
      <c r="S222">
        <v>803</v>
      </c>
      <c r="T222">
        <v>778</v>
      </c>
    </row>
    <row r="223" spans="1:20" x14ac:dyDescent="0.35">
      <c r="A223" s="7" t="s">
        <v>316</v>
      </c>
      <c r="B223" s="12" t="s">
        <v>317</v>
      </c>
      <c r="C223">
        <v>127925614.04109713</v>
      </c>
      <c r="D223">
        <v>127325239.64498216</v>
      </c>
      <c r="E223">
        <v>641891.89189189102</v>
      </c>
      <c r="F223">
        <v>2997297.2972972989</v>
      </c>
      <c r="G223">
        <v>24</v>
      </c>
      <c r="H223">
        <v>27</v>
      </c>
      <c r="K223">
        <v>26</v>
      </c>
      <c r="L223">
        <v>30</v>
      </c>
      <c r="M223">
        <v>17646846.846846845</v>
      </c>
      <c r="N223">
        <v>29312612.612612609</v>
      </c>
      <c r="O223">
        <v>19882702.702702705</v>
      </c>
      <c r="P223">
        <v>21747819.819819819</v>
      </c>
      <c r="Q223">
        <v>15256666.666666666</v>
      </c>
      <c r="R223">
        <v>21918738.738738734</v>
      </c>
      <c r="S223">
        <v>3427</v>
      </c>
      <c r="T223">
        <v>3542</v>
      </c>
    </row>
    <row r="224" spans="1:20" x14ac:dyDescent="0.35">
      <c r="A224" s="7" t="s">
        <v>318</v>
      </c>
      <c r="B224" s="12" t="s">
        <v>63</v>
      </c>
      <c r="C224">
        <v>217558735.06930861</v>
      </c>
      <c r="D224">
        <v>233061124.23831785</v>
      </c>
      <c r="E224">
        <v>3963063.0630630688</v>
      </c>
      <c r="F224">
        <v>2859909.9099099161</v>
      </c>
      <c r="G224">
        <v>83</v>
      </c>
      <c r="H224">
        <v>54</v>
      </c>
      <c r="K224">
        <v>147</v>
      </c>
      <c r="L224">
        <v>92</v>
      </c>
      <c r="M224">
        <v>33484504.504504506</v>
      </c>
      <c r="N224">
        <v>17762612.612612613</v>
      </c>
      <c r="O224">
        <v>75704756.756756753</v>
      </c>
      <c r="P224">
        <v>84155657.657657668</v>
      </c>
      <c r="Q224">
        <v>32272972.972972967</v>
      </c>
      <c r="R224">
        <v>22638648.648648649</v>
      </c>
      <c r="S224">
        <v>8752</v>
      </c>
      <c r="T224">
        <v>8961</v>
      </c>
    </row>
    <row r="225" spans="1:20" x14ac:dyDescent="0.35">
      <c r="A225" s="7" t="s">
        <v>319</v>
      </c>
      <c r="B225" s="12" t="s">
        <v>63</v>
      </c>
      <c r="C225">
        <v>200892230.22043839</v>
      </c>
      <c r="D225">
        <v>221953687.88185799</v>
      </c>
      <c r="E225">
        <v>1403603.6036036049</v>
      </c>
      <c r="F225">
        <v>1420720.7207207249</v>
      </c>
      <c r="G225">
        <v>33</v>
      </c>
      <c r="H225">
        <v>8</v>
      </c>
      <c r="K225">
        <v>39</v>
      </c>
      <c r="L225">
        <v>16</v>
      </c>
      <c r="M225">
        <v>29151171.17117117</v>
      </c>
      <c r="N225">
        <v>28330090.090090092</v>
      </c>
      <c r="O225">
        <v>70487540.540540546</v>
      </c>
      <c r="P225">
        <v>79250486.48648648</v>
      </c>
      <c r="Q225">
        <v>25942882.882882878</v>
      </c>
      <c r="R225">
        <v>30710720.72072072</v>
      </c>
      <c r="S225">
        <v>5370</v>
      </c>
      <c r="T225">
        <v>5603</v>
      </c>
    </row>
    <row r="226" spans="1:20" x14ac:dyDescent="0.35">
      <c r="A226" s="7" t="s">
        <v>320</v>
      </c>
      <c r="B226" s="12" t="s">
        <v>79</v>
      </c>
      <c r="C226">
        <v>208798874.6255717</v>
      </c>
      <c r="D226">
        <v>214481478.90379858</v>
      </c>
      <c r="E226">
        <v>4215315.3153153192</v>
      </c>
      <c r="F226">
        <v>5132432.4324324364</v>
      </c>
      <c r="G226">
        <v>74</v>
      </c>
      <c r="H226">
        <v>57</v>
      </c>
      <c r="I226">
        <v>2</v>
      </c>
      <c r="K226">
        <v>108</v>
      </c>
      <c r="L226">
        <v>66</v>
      </c>
      <c r="M226">
        <v>46554054.054054059</v>
      </c>
      <c r="N226">
        <v>61810810.810810804</v>
      </c>
      <c r="O226">
        <v>92189121.621621609</v>
      </c>
      <c r="P226">
        <v>93149178.378378391</v>
      </c>
      <c r="Q226">
        <v>51762702.702702701</v>
      </c>
      <c r="R226">
        <v>56521531.531531535</v>
      </c>
      <c r="S226">
        <v>8740</v>
      </c>
      <c r="T226">
        <v>8720</v>
      </c>
    </row>
    <row r="227" spans="1:20" x14ac:dyDescent="0.35">
      <c r="A227" s="7" t="s">
        <v>321</v>
      </c>
      <c r="B227" s="12" t="s">
        <v>79</v>
      </c>
      <c r="C227">
        <v>124001928.52353735</v>
      </c>
      <c r="D227">
        <v>126183883.95714122</v>
      </c>
      <c r="E227">
        <v>1990990.9909909919</v>
      </c>
      <c r="F227">
        <v>2871171.1711711749</v>
      </c>
      <c r="G227">
        <v>44</v>
      </c>
      <c r="H227">
        <v>39</v>
      </c>
      <c r="K227">
        <v>85</v>
      </c>
      <c r="L227">
        <v>74</v>
      </c>
      <c r="M227">
        <v>10126126.126126125</v>
      </c>
      <c r="N227">
        <v>15033333.333333336</v>
      </c>
      <c r="O227">
        <v>47136459.459459454</v>
      </c>
      <c r="P227">
        <v>49837387.387387387</v>
      </c>
      <c r="Q227">
        <v>10049459.459459459</v>
      </c>
      <c r="R227">
        <v>13412252.252252256</v>
      </c>
      <c r="S227">
        <v>5674</v>
      </c>
      <c r="T227">
        <v>5814</v>
      </c>
    </row>
    <row r="228" spans="1:20" x14ac:dyDescent="0.35">
      <c r="A228" s="7" t="s">
        <v>322</v>
      </c>
      <c r="B228" s="12" t="s">
        <v>122</v>
      </c>
      <c r="C228">
        <v>912978.63105925801</v>
      </c>
      <c r="D228">
        <v>812202.91461089801</v>
      </c>
      <c r="F228">
        <v>1696454.054054054</v>
      </c>
      <c r="H228">
        <v>2</v>
      </c>
      <c r="L228">
        <v>2</v>
      </c>
      <c r="M228">
        <v>3448218.9189189188</v>
      </c>
      <c r="O228">
        <v>45810.810810811003</v>
      </c>
      <c r="P228">
        <v>308513.51351351402</v>
      </c>
      <c r="S228">
        <v>57</v>
      </c>
      <c r="T228">
        <v>59</v>
      </c>
    </row>
    <row r="229" spans="1:20" x14ac:dyDescent="0.35">
      <c r="A229" s="7" t="s">
        <v>323</v>
      </c>
      <c r="B229" s="12" t="s">
        <v>226</v>
      </c>
      <c r="C229">
        <v>141261321.61484417</v>
      </c>
      <c r="D229">
        <v>153722442.01648527</v>
      </c>
      <c r="E229">
        <v>28828.828828828999</v>
      </c>
      <c r="F229">
        <v>21621.621621621998</v>
      </c>
      <c r="G229">
        <v>30</v>
      </c>
      <c r="H229">
        <v>23</v>
      </c>
      <c r="I229">
        <v>2</v>
      </c>
      <c r="K229">
        <v>34</v>
      </c>
      <c r="L229">
        <v>23</v>
      </c>
      <c r="M229">
        <v>3640360.3603603588</v>
      </c>
      <c r="N229">
        <v>5246846.8468468469</v>
      </c>
      <c r="O229">
        <v>57884754.954954952</v>
      </c>
      <c r="P229">
        <v>65585378.378378376</v>
      </c>
      <c r="Q229">
        <v>4172612.6126126111</v>
      </c>
      <c r="R229">
        <v>6096396.3963963958</v>
      </c>
      <c r="S229">
        <v>3876</v>
      </c>
      <c r="T229">
        <v>4090</v>
      </c>
    </row>
    <row r="230" spans="1:20" x14ac:dyDescent="0.35">
      <c r="A230" s="7" t="s">
        <v>324</v>
      </c>
      <c r="B230" s="12" t="s">
        <v>226</v>
      </c>
      <c r="C230">
        <v>100531934.10321741</v>
      </c>
      <c r="D230">
        <v>115594715.0242385</v>
      </c>
      <c r="E230">
        <v>30630.630630632</v>
      </c>
      <c r="F230">
        <v>35585.585585587003</v>
      </c>
      <c r="G230">
        <v>6</v>
      </c>
      <c r="H230">
        <v>12</v>
      </c>
      <c r="K230">
        <v>6</v>
      </c>
      <c r="L230">
        <v>22</v>
      </c>
      <c r="M230">
        <v>9671351.3513513505</v>
      </c>
      <c r="N230">
        <v>11577027.027027026</v>
      </c>
      <c r="O230">
        <v>30452432.432432432</v>
      </c>
      <c r="P230">
        <v>35697270.270270273</v>
      </c>
      <c r="Q230">
        <v>6821351.3513513505</v>
      </c>
      <c r="R230">
        <v>9657477.4774774797</v>
      </c>
      <c r="S230">
        <v>2189</v>
      </c>
      <c r="T230">
        <v>2187</v>
      </c>
    </row>
    <row r="231" spans="1:20" x14ac:dyDescent="0.35">
      <c r="A231" s="7" t="s">
        <v>664</v>
      </c>
      <c r="B231" s="12" t="s">
        <v>95</v>
      </c>
      <c r="S231">
        <v>7</v>
      </c>
    </row>
    <row r="232" spans="1:20" x14ac:dyDescent="0.35">
      <c r="A232" s="7" t="s">
        <v>325</v>
      </c>
      <c r="B232" s="12" t="s">
        <v>79</v>
      </c>
      <c r="C232">
        <v>157951854.31505114</v>
      </c>
      <c r="D232">
        <v>156372793.57357028</v>
      </c>
      <c r="E232">
        <v>855855.85585585795</v>
      </c>
      <c r="F232">
        <v>1809009.0090090139</v>
      </c>
      <c r="G232">
        <v>93</v>
      </c>
      <c r="H232">
        <v>53</v>
      </c>
      <c r="I232">
        <v>1</v>
      </c>
      <c r="K232">
        <v>130</v>
      </c>
      <c r="L232">
        <v>68</v>
      </c>
      <c r="M232">
        <v>17450450.45045045</v>
      </c>
      <c r="N232">
        <v>22188288.288288292</v>
      </c>
      <c r="O232">
        <v>47074990.990990989</v>
      </c>
      <c r="P232">
        <v>47944576.576576576</v>
      </c>
      <c r="Q232">
        <v>16292972.972972972</v>
      </c>
      <c r="R232">
        <v>20404954.954954956</v>
      </c>
      <c r="S232">
        <v>4675</v>
      </c>
      <c r="T232">
        <v>4579</v>
      </c>
    </row>
    <row r="233" spans="1:20" x14ac:dyDescent="0.35">
      <c r="A233" s="7" t="s">
        <v>326</v>
      </c>
      <c r="B233" s="12" t="s">
        <v>109</v>
      </c>
      <c r="C233">
        <v>725129394.27995431</v>
      </c>
      <c r="D233">
        <v>1195919069.3205168</v>
      </c>
      <c r="E233">
        <v>1421213393.6936936</v>
      </c>
      <c r="F233">
        <v>1056842526.1261261</v>
      </c>
      <c r="G233">
        <v>215</v>
      </c>
      <c r="H233">
        <v>248</v>
      </c>
      <c r="I233">
        <v>4</v>
      </c>
      <c r="K233">
        <v>331</v>
      </c>
      <c r="L233">
        <v>363</v>
      </c>
      <c r="M233">
        <v>539597297.29729724</v>
      </c>
      <c r="N233">
        <v>96024324.32432434</v>
      </c>
      <c r="O233">
        <v>186669072.07207206</v>
      </c>
      <c r="P233">
        <v>643766526.12612605</v>
      </c>
      <c r="Q233">
        <v>86396666.666666672</v>
      </c>
      <c r="R233">
        <v>82487297.297297299</v>
      </c>
      <c r="S233">
        <v>22208</v>
      </c>
      <c r="T233">
        <v>21898</v>
      </c>
    </row>
    <row r="234" spans="1:20" x14ac:dyDescent="0.35">
      <c r="A234" s="7" t="s">
        <v>327</v>
      </c>
      <c r="B234" s="12" t="s">
        <v>226</v>
      </c>
      <c r="C234">
        <v>147948551.09550545</v>
      </c>
      <c r="D234">
        <v>165389963.77425575</v>
      </c>
      <c r="E234">
        <v>445945.94594594598</v>
      </c>
      <c r="F234">
        <v>486486.48648648697</v>
      </c>
      <c r="G234">
        <v>19</v>
      </c>
      <c r="H234">
        <v>23</v>
      </c>
      <c r="K234">
        <v>20</v>
      </c>
      <c r="L234">
        <v>39</v>
      </c>
      <c r="M234">
        <v>13151891.891891891</v>
      </c>
      <c r="N234">
        <v>11477477.477477478</v>
      </c>
      <c r="O234">
        <v>30624171.171171173</v>
      </c>
      <c r="P234">
        <v>38534189.189189196</v>
      </c>
      <c r="Q234">
        <v>12800630.630630629</v>
      </c>
      <c r="R234">
        <v>12766576.576576576</v>
      </c>
      <c r="S234">
        <v>4153</v>
      </c>
      <c r="T234">
        <v>4772</v>
      </c>
    </row>
    <row r="235" spans="1:20" x14ac:dyDescent="0.35">
      <c r="A235" s="7" t="s">
        <v>4</v>
      </c>
      <c r="B235" s="12" t="s">
        <v>159</v>
      </c>
      <c r="C235">
        <v>127175851.81632453</v>
      </c>
      <c r="D235">
        <v>122494970.29956411</v>
      </c>
      <c r="E235">
        <v>1517117.117117119</v>
      </c>
      <c r="F235">
        <v>1500000.0000000009</v>
      </c>
      <c r="G235">
        <v>9</v>
      </c>
      <c r="H235">
        <v>20</v>
      </c>
      <c r="I235">
        <v>1</v>
      </c>
      <c r="K235">
        <v>12</v>
      </c>
      <c r="L235">
        <v>26</v>
      </c>
      <c r="M235">
        <v>25015315.315315317</v>
      </c>
      <c r="N235">
        <v>35628378.378378376</v>
      </c>
      <c r="O235">
        <v>44481396.396396399</v>
      </c>
      <c r="P235">
        <v>45631234.234234229</v>
      </c>
      <c r="Q235">
        <v>31037747.747747749</v>
      </c>
      <c r="R235">
        <v>33306756.756756756</v>
      </c>
      <c r="S235">
        <v>3495</v>
      </c>
      <c r="T235">
        <v>3577</v>
      </c>
    </row>
    <row r="236" spans="1:20" x14ac:dyDescent="0.35">
      <c r="A236" s="7" t="s">
        <v>34</v>
      </c>
      <c r="B236" s="12" t="s">
        <v>195</v>
      </c>
      <c r="E236">
        <v>22612612.612612613</v>
      </c>
      <c r="F236">
        <v>85270270.270270273</v>
      </c>
      <c r="M236">
        <v>2242117.1171171172</v>
      </c>
      <c r="N236">
        <v>260135.135135135</v>
      </c>
    </row>
    <row r="237" spans="1:20" x14ac:dyDescent="0.35">
      <c r="A237" s="7" t="s">
        <v>328</v>
      </c>
      <c r="B237" s="12" t="s">
        <v>109</v>
      </c>
      <c r="C237">
        <v>592398092.50024188</v>
      </c>
      <c r="D237">
        <v>603879437.6560415</v>
      </c>
      <c r="E237">
        <v>6176801.8018018091</v>
      </c>
      <c r="F237">
        <v>64877628.828828834</v>
      </c>
      <c r="G237">
        <v>177</v>
      </c>
      <c r="H237">
        <v>195</v>
      </c>
      <c r="I237">
        <v>1</v>
      </c>
      <c r="K237">
        <v>267</v>
      </c>
      <c r="L237">
        <v>281</v>
      </c>
      <c r="M237">
        <v>524364324.32432437</v>
      </c>
      <c r="N237">
        <v>320662736.03603601</v>
      </c>
      <c r="O237">
        <v>183889632.88288289</v>
      </c>
      <c r="P237">
        <v>183317648.64864865</v>
      </c>
      <c r="Q237">
        <v>77257027.027027026</v>
      </c>
      <c r="R237">
        <v>261011171.17117116</v>
      </c>
      <c r="S237">
        <v>19590</v>
      </c>
      <c r="T237">
        <v>19974</v>
      </c>
    </row>
    <row r="238" spans="1:20" x14ac:dyDescent="0.35">
      <c r="A238" s="7" t="s">
        <v>329</v>
      </c>
      <c r="B238" s="12" t="s">
        <v>79</v>
      </c>
      <c r="C238">
        <v>62152077.245178819</v>
      </c>
      <c r="D238">
        <v>61000455.70310463</v>
      </c>
      <c r="E238">
        <v>467567.56756756903</v>
      </c>
      <c r="F238">
        <v>563063.06306306296</v>
      </c>
      <c r="G238">
        <v>24</v>
      </c>
      <c r="H238">
        <v>23</v>
      </c>
      <c r="K238">
        <v>25</v>
      </c>
      <c r="L238">
        <v>25</v>
      </c>
      <c r="M238">
        <v>3981081.0810810821</v>
      </c>
      <c r="N238">
        <v>5879279.2792792814</v>
      </c>
      <c r="O238">
        <v>21058828.828828827</v>
      </c>
      <c r="P238">
        <v>21664297.297297295</v>
      </c>
      <c r="Q238">
        <v>5016936.9369369373</v>
      </c>
      <c r="R238">
        <v>7193693.6936936928</v>
      </c>
      <c r="S238">
        <v>1905</v>
      </c>
      <c r="T238">
        <v>1840</v>
      </c>
    </row>
    <row r="239" spans="1:20" x14ac:dyDescent="0.35">
      <c r="A239" s="7" t="s">
        <v>330</v>
      </c>
      <c r="B239" s="12" t="s">
        <v>122</v>
      </c>
      <c r="C239">
        <v>161884448.46393618</v>
      </c>
      <c r="D239">
        <v>156149649.49204704</v>
      </c>
      <c r="E239">
        <v>678153.15315315302</v>
      </c>
      <c r="F239">
        <v>454954.954954958</v>
      </c>
      <c r="G239">
        <v>53</v>
      </c>
      <c r="H239">
        <v>57</v>
      </c>
      <c r="I239">
        <v>9</v>
      </c>
      <c r="K239">
        <v>60</v>
      </c>
      <c r="L239">
        <v>64</v>
      </c>
      <c r="M239">
        <v>11288288.288288288</v>
      </c>
      <c r="N239">
        <v>11806306.306306308</v>
      </c>
      <c r="O239">
        <v>24750387.387387387</v>
      </c>
      <c r="P239">
        <v>27927702.702702705</v>
      </c>
      <c r="Q239">
        <v>9297297.2972972989</v>
      </c>
      <c r="R239">
        <v>8739549.5495495498</v>
      </c>
      <c r="S239">
        <v>3987</v>
      </c>
      <c r="T239">
        <v>3933</v>
      </c>
    </row>
    <row r="240" spans="1:20" x14ac:dyDescent="0.35">
      <c r="A240" s="7" t="s">
        <v>331</v>
      </c>
      <c r="B240" s="12" t="s">
        <v>332</v>
      </c>
      <c r="C240">
        <v>381339703.03976756</v>
      </c>
      <c r="D240">
        <v>381303454.64848</v>
      </c>
      <c r="E240">
        <v>4689414.4144144151</v>
      </c>
      <c r="F240">
        <v>2107657.657657668</v>
      </c>
      <c r="G240">
        <v>156</v>
      </c>
      <c r="H240">
        <v>139</v>
      </c>
      <c r="I240">
        <v>17</v>
      </c>
      <c r="K240">
        <v>176</v>
      </c>
      <c r="L240">
        <v>183</v>
      </c>
      <c r="M240">
        <v>57461261.261261262</v>
      </c>
      <c r="N240">
        <v>41014864.864864863</v>
      </c>
      <c r="O240">
        <v>79973677.927927926</v>
      </c>
      <c r="P240">
        <v>85430223.423423424</v>
      </c>
      <c r="Q240">
        <v>54912522.522522531</v>
      </c>
      <c r="R240">
        <v>40978558.558558561</v>
      </c>
      <c r="S240">
        <v>13505</v>
      </c>
      <c r="T240">
        <v>13772</v>
      </c>
    </row>
    <row r="241" spans="1:20" x14ac:dyDescent="0.35">
      <c r="A241" s="7" t="s">
        <v>333</v>
      </c>
      <c r="B241" s="12" t="s">
        <v>292</v>
      </c>
      <c r="C241">
        <v>567852893.77679336</v>
      </c>
      <c r="D241">
        <v>582480938.61329496</v>
      </c>
      <c r="E241">
        <v>2913963.9639639691</v>
      </c>
      <c r="F241">
        <v>1838288.2882883011</v>
      </c>
      <c r="G241">
        <v>187</v>
      </c>
      <c r="H241">
        <v>154</v>
      </c>
      <c r="K241">
        <v>218</v>
      </c>
      <c r="L241">
        <v>181</v>
      </c>
      <c r="M241">
        <v>48227927.927927926</v>
      </c>
      <c r="N241">
        <v>59419369.369369365</v>
      </c>
      <c r="O241">
        <v>101880700.9009009</v>
      </c>
      <c r="P241">
        <v>106648801.8018018</v>
      </c>
      <c r="Q241">
        <v>47192432.432432435</v>
      </c>
      <c r="R241">
        <v>64568198.198198207</v>
      </c>
      <c r="S241">
        <v>17001</v>
      </c>
      <c r="T241">
        <v>17117</v>
      </c>
    </row>
    <row r="242" spans="1:20" x14ac:dyDescent="0.35">
      <c r="A242" s="7" t="s">
        <v>334</v>
      </c>
      <c r="B242" s="12" t="s">
        <v>292</v>
      </c>
      <c r="C242">
        <v>431916236.27865881</v>
      </c>
      <c r="D242">
        <v>458484090.88093954</v>
      </c>
      <c r="E242">
        <v>4391891.8918918986</v>
      </c>
      <c r="F242">
        <v>3450450.4504504581</v>
      </c>
      <c r="G242">
        <v>109</v>
      </c>
      <c r="H242">
        <v>135</v>
      </c>
      <c r="I242">
        <v>1</v>
      </c>
      <c r="K242">
        <v>153</v>
      </c>
      <c r="L242">
        <v>196</v>
      </c>
      <c r="M242">
        <v>54149549.54954955</v>
      </c>
      <c r="N242">
        <v>66921171.171171173</v>
      </c>
      <c r="O242">
        <v>115362648.64864865</v>
      </c>
      <c r="P242">
        <v>124251376.57657658</v>
      </c>
      <c r="Q242">
        <v>56653693.693693697</v>
      </c>
      <c r="R242">
        <v>119024054.05405407</v>
      </c>
      <c r="S242">
        <v>14846</v>
      </c>
      <c r="T242">
        <v>15973</v>
      </c>
    </row>
    <row r="243" spans="1:20" x14ac:dyDescent="0.35">
      <c r="A243" s="7" t="s">
        <v>335</v>
      </c>
      <c r="B243" s="12" t="s">
        <v>61</v>
      </c>
      <c r="C243">
        <v>59301324.525357954</v>
      </c>
      <c r="D243">
        <v>60497482.467649944</v>
      </c>
      <c r="E243">
        <v>1659459.4594594601</v>
      </c>
      <c r="F243">
        <v>651351.35135135194</v>
      </c>
      <c r="G243">
        <v>65</v>
      </c>
      <c r="H243">
        <v>11</v>
      </c>
      <c r="I243">
        <v>2</v>
      </c>
      <c r="K243">
        <v>103</v>
      </c>
      <c r="L243">
        <v>19</v>
      </c>
      <c r="M243">
        <v>20250450.45045045</v>
      </c>
      <c r="N243">
        <v>2678378.3783783792</v>
      </c>
      <c r="O243">
        <v>21309666.666666664</v>
      </c>
      <c r="P243">
        <v>20576540.540540539</v>
      </c>
      <c r="Q243">
        <v>18713063.063063063</v>
      </c>
      <c r="R243">
        <v>2088288.288288289</v>
      </c>
      <c r="S243">
        <v>1950</v>
      </c>
      <c r="T243">
        <v>1947</v>
      </c>
    </row>
    <row r="244" spans="1:20" x14ac:dyDescent="0.35">
      <c r="A244" s="7" t="s">
        <v>336</v>
      </c>
      <c r="B244" s="12" t="s">
        <v>61</v>
      </c>
      <c r="C244">
        <v>12090454.824238168</v>
      </c>
      <c r="D244">
        <v>14309624.859435404</v>
      </c>
      <c r="E244">
        <v>236936.93693693701</v>
      </c>
      <c r="F244">
        <v>396396.39639639802</v>
      </c>
      <c r="G244">
        <v>6</v>
      </c>
      <c r="H244">
        <v>7</v>
      </c>
      <c r="K244">
        <v>7</v>
      </c>
      <c r="L244">
        <v>9</v>
      </c>
      <c r="M244">
        <v>574324.32432432496</v>
      </c>
      <c r="N244">
        <v>845045.04504504602</v>
      </c>
      <c r="O244">
        <v>6616711.7117117113</v>
      </c>
      <c r="P244">
        <v>7487549.5495495489</v>
      </c>
      <c r="Q244">
        <v>790810.810810811</v>
      </c>
      <c r="R244">
        <v>610990.99099098996</v>
      </c>
      <c r="S244">
        <v>890</v>
      </c>
      <c r="T244">
        <v>1007</v>
      </c>
    </row>
    <row r="245" spans="1:20" x14ac:dyDescent="0.35">
      <c r="A245" s="7" t="s">
        <v>337</v>
      </c>
      <c r="B245" s="12" t="s">
        <v>122</v>
      </c>
      <c r="C245">
        <v>1370808.477858017</v>
      </c>
      <c r="D245">
        <v>1613715.5657282639</v>
      </c>
      <c r="E245">
        <v>5405405.405405405</v>
      </c>
      <c r="F245">
        <v>16891891.891891893</v>
      </c>
      <c r="K245">
        <v>1</v>
      </c>
      <c r="L245">
        <v>1</v>
      </c>
      <c r="O245">
        <v>97747.747747747999</v>
      </c>
      <c r="P245">
        <v>470270.27027027</v>
      </c>
      <c r="S245">
        <v>148</v>
      </c>
      <c r="T245">
        <v>155</v>
      </c>
    </row>
    <row r="246" spans="1:20" x14ac:dyDescent="0.35">
      <c r="A246" s="7" t="s">
        <v>338</v>
      </c>
      <c r="B246" s="12" t="s">
        <v>122</v>
      </c>
      <c r="C246">
        <v>2154170.1768743629</v>
      </c>
      <c r="D246">
        <v>2100040.7544199568</v>
      </c>
      <c r="G246">
        <v>1</v>
      </c>
      <c r="H246">
        <v>1</v>
      </c>
      <c r="K246">
        <v>1</v>
      </c>
      <c r="L246">
        <v>1</v>
      </c>
      <c r="O246">
        <v>429549.54954954999</v>
      </c>
      <c r="P246">
        <v>878963.96396396402</v>
      </c>
      <c r="S246">
        <v>167</v>
      </c>
      <c r="T246">
        <v>181</v>
      </c>
    </row>
    <row r="247" spans="1:20" x14ac:dyDescent="0.35">
      <c r="A247" s="7" t="s">
        <v>339</v>
      </c>
      <c r="B247" s="12" t="s">
        <v>122</v>
      </c>
      <c r="C247">
        <v>1697430.5537854631</v>
      </c>
      <c r="D247">
        <v>1801487.5253715301</v>
      </c>
      <c r="O247">
        <v>14414.414414413999</v>
      </c>
      <c r="P247">
        <v>156531.531531532</v>
      </c>
      <c r="S247">
        <v>142</v>
      </c>
      <c r="T247">
        <v>130</v>
      </c>
    </row>
    <row r="248" spans="1:20" x14ac:dyDescent="0.35">
      <c r="A248" s="7" t="s">
        <v>340</v>
      </c>
      <c r="B248" s="12" t="s">
        <v>141</v>
      </c>
      <c r="C248">
        <v>649277022.10299265</v>
      </c>
      <c r="D248">
        <v>676662828.14861178</v>
      </c>
      <c r="E248">
        <v>2404504.5045045121</v>
      </c>
      <c r="F248">
        <v>2847297.2972973022</v>
      </c>
      <c r="G248">
        <v>179</v>
      </c>
      <c r="H248">
        <v>65</v>
      </c>
      <c r="I248">
        <v>1</v>
      </c>
      <c r="K248">
        <v>210</v>
      </c>
      <c r="L248">
        <v>81</v>
      </c>
      <c r="M248">
        <v>56549369.369369373</v>
      </c>
      <c r="N248">
        <v>75675954.054054052</v>
      </c>
      <c r="O248">
        <v>129977450.45045045</v>
      </c>
      <c r="P248">
        <v>152012363.96396396</v>
      </c>
      <c r="Q248">
        <v>53325855.855855852</v>
      </c>
      <c r="R248">
        <v>64810180.180180177</v>
      </c>
      <c r="S248">
        <v>16186</v>
      </c>
      <c r="T248">
        <v>16065</v>
      </c>
    </row>
    <row r="249" spans="1:20" x14ac:dyDescent="0.35">
      <c r="A249" s="7" t="s">
        <v>341</v>
      </c>
      <c r="B249" s="12" t="s">
        <v>122</v>
      </c>
      <c r="C249">
        <v>101790713.49871285</v>
      </c>
      <c r="D249">
        <v>101039332.21068986</v>
      </c>
      <c r="G249">
        <v>29</v>
      </c>
      <c r="H249">
        <v>28</v>
      </c>
      <c r="K249">
        <v>34</v>
      </c>
      <c r="L249">
        <v>29</v>
      </c>
      <c r="O249">
        <v>6880288.2882882887</v>
      </c>
      <c r="P249">
        <v>7540306.3063063072</v>
      </c>
      <c r="S249">
        <v>2685</v>
      </c>
      <c r="T249">
        <v>2432</v>
      </c>
    </row>
    <row r="250" spans="1:20" x14ac:dyDescent="0.35">
      <c r="A250" s="7" t="s">
        <v>342</v>
      </c>
      <c r="B250" s="12" t="s">
        <v>141</v>
      </c>
      <c r="C250">
        <v>348464265.86376446</v>
      </c>
      <c r="D250">
        <v>371995767.93980879</v>
      </c>
      <c r="E250">
        <v>1732882.8828828849</v>
      </c>
      <c r="F250">
        <v>1872072.0720720801</v>
      </c>
      <c r="G250">
        <v>70</v>
      </c>
      <c r="H250">
        <v>29</v>
      </c>
      <c r="I250">
        <v>3</v>
      </c>
      <c r="K250">
        <v>79</v>
      </c>
      <c r="L250">
        <v>33</v>
      </c>
      <c r="M250">
        <v>56836216.216216214</v>
      </c>
      <c r="N250">
        <v>69273378.378378376</v>
      </c>
      <c r="O250">
        <v>103652144.5945946</v>
      </c>
      <c r="P250">
        <v>112722891.89189188</v>
      </c>
      <c r="Q250">
        <v>55560270.270270273</v>
      </c>
      <c r="R250">
        <v>58242477.477477483</v>
      </c>
      <c r="S250">
        <v>9006</v>
      </c>
      <c r="T250">
        <v>9139</v>
      </c>
    </row>
    <row r="251" spans="1:20" x14ac:dyDescent="0.35">
      <c r="A251" s="7" t="s">
        <v>343</v>
      </c>
      <c r="B251" s="12" t="s">
        <v>135</v>
      </c>
      <c r="C251">
        <v>37466858.609738924</v>
      </c>
      <c r="D251">
        <v>34608019.114374951</v>
      </c>
      <c r="E251">
        <v>54054.054054054002</v>
      </c>
      <c r="F251">
        <v>13513.513513514001</v>
      </c>
      <c r="G251">
        <v>8</v>
      </c>
      <c r="H251">
        <v>7</v>
      </c>
      <c r="I251">
        <v>1</v>
      </c>
      <c r="K251">
        <v>9</v>
      </c>
      <c r="L251">
        <v>8</v>
      </c>
      <c r="M251">
        <v>1495495.4954954961</v>
      </c>
      <c r="N251">
        <v>1545045.045045045</v>
      </c>
      <c r="O251">
        <v>3590504.5045045041</v>
      </c>
      <c r="P251">
        <v>3636459.4594594599</v>
      </c>
      <c r="Q251">
        <v>1011531.531531531</v>
      </c>
      <c r="R251">
        <v>691531.53153153101</v>
      </c>
      <c r="S251">
        <v>1295</v>
      </c>
      <c r="T251">
        <v>1272</v>
      </c>
    </row>
    <row r="252" spans="1:20" x14ac:dyDescent="0.35">
      <c r="A252" s="7" t="s">
        <v>344</v>
      </c>
      <c r="B252" s="12" t="s">
        <v>122</v>
      </c>
      <c r="C252">
        <v>1316901.624958585</v>
      </c>
      <c r="D252">
        <v>2481723.0201638802</v>
      </c>
      <c r="G252">
        <v>5</v>
      </c>
      <c r="H252">
        <v>2</v>
      </c>
      <c r="K252">
        <v>9</v>
      </c>
      <c r="L252">
        <v>2</v>
      </c>
      <c r="O252">
        <v>611486.48648648604</v>
      </c>
      <c r="P252">
        <v>1453378.378378378</v>
      </c>
      <c r="S252">
        <v>385</v>
      </c>
      <c r="T252">
        <v>398</v>
      </c>
    </row>
    <row r="253" spans="1:20" x14ac:dyDescent="0.35">
      <c r="A253" s="7" t="s">
        <v>5</v>
      </c>
      <c r="B253" s="12" t="s">
        <v>159</v>
      </c>
      <c r="C253">
        <v>131071438.19776903</v>
      </c>
      <c r="D253">
        <v>137641204.57151654</v>
      </c>
      <c r="E253">
        <v>462162.16216216201</v>
      </c>
      <c r="F253">
        <v>37837.837837838</v>
      </c>
      <c r="G253">
        <v>17</v>
      </c>
      <c r="H253">
        <v>13</v>
      </c>
      <c r="I253">
        <v>1</v>
      </c>
      <c r="K253">
        <v>17</v>
      </c>
      <c r="L253">
        <v>20</v>
      </c>
      <c r="M253">
        <v>9208108.1081081089</v>
      </c>
      <c r="N253">
        <v>14891891.891891891</v>
      </c>
      <c r="O253">
        <v>55614099.0990991</v>
      </c>
      <c r="P253">
        <v>57708045.045045048</v>
      </c>
      <c r="Q253">
        <v>8852882.8828828819</v>
      </c>
      <c r="R253">
        <v>13207567.567567568</v>
      </c>
      <c r="S253">
        <v>3019</v>
      </c>
      <c r="T253">
        <v>3388</v>
      </c>
    </row>
    <row r="254" spans="1:20" x14ac:dyDescent="0.35">
      <c r="A254" s="7" t="s">
        <v>345</v>
      </c>
      <c r="B254" s="12" t="s">
        <v>306</v>
      </c>
      <c r="C254">
        <v>14004103.996207116</v>
      </c>
      <c r="D254">
        <v>22704285.830476392</v>
      </c>
      <c r="E254">
        <v>900900.90090090095</v>
      </c>
      <c r="F254">
        <v>360360.36036036001</v>
      </c>
      <c r="G254">
        <v>7</v>
      </c>
      <c r="H254">
        <v>35</v>
      </c>
      <c r="K254">
        <v>9</v>
      </c>
      <c r="L254">
        <v>42</v>
      </c>
      <c r="M254">
        <v>900900.90090090095</v>
      </c>
      <c r="N254">
        <v>360360.36036036001</v>
      </c>
      <c r="O254">
        <v>2326315.315315315</v>
      </c>
      <c r="P254">
        <v>4444493.6936936937</v>
      </c>
      <c r="Q254">
        <v>218018.01801801799</v>
      </c>
      <c r="R254">
        <v>353603.60360360402</v>
      </c>
      <c r="S254">
        <v>372</v>
      </c>
      <c r="T254">
        <v>593</v>
      </c>
    </row>
    <row r="255" spans="1:20" x14ac:dyDescent="0.35">
      <c r="A255" s="7" t="s">
        <v>346</v>
      </c>
      <c r="B255" s="12" t="s">
        <v>106</v>
      </c>
      <c r="C255">
        <v>267008191.53522509</v>
      </c>
      <c r="D255">
        <v>283878662.80387765</v>
      </c>
      <c r="E255">
        <v>1399549.5495495501</v>
      </c>
      <c r="F255">
        <v>1223423.423423426</v>
      </c>
      <c r="G255">
        <v>44</v>
      </c>
      <c r="H255">
        <v>77</v>
      </c>
      <c r="K255">
        <v>62</v>
      </c>
      <c r="L255">
        <v>83</v>
      </c>
      <c r="M255">
        <v>34588108.108108111</v>
      </c>
      <c r="N255">
        <v>34765765.765765771</v>
      </c>
      <c r="O255">
        <v>66003549.54954955</v>
      </c>
      <c r="P255">
        <v>74638180.180180177</v>
      </c>
      <c r="Q255">
        <v>34003423.423423424</v>
      </c>
      <c r="R255">
        <v>30152342.342342343</v>
      </c>
      <c r="S255">
        <v>5952</v>
      </c>
      <c r="T255">
        <v>5871</v>
      </c>
    </row>
    <row r="256" spans="1:20" x14ac:dyDescent="0.35">
      <c r="A256" s="7" t="s">
        <v>347</v>
      </c>
      <c r="B256" s="12" t="s">
        <v>88</v>
      </c>
      <c r="C256">
        <v>80796995.595659494</v>
      </c>
      <c r="D256">
        <v>83149033.107434303</v>
      </c>
      <c r="E256">
        <v>594594.59459459502</v>
      </c>
      <c r="F256">
        <v>678378.37837837997</v>
      </c>
      <c r="G256">
        <v>32</v>
      </c>
      <c r="H256">
        <v>43</v>
      </c>
      <c r="K256">
        <v>37</v>
      </c>
      <c r="L256">
        <v>49</v>
      </c>
      <c r="M256">
        <v>20581081.081081081</v>
      </c>
      <c r="N256">
        <v>21723423.423423424</v>
      </c>
      <c r="O256">
        <v>20356732.432432432</v>
      </c>
      <c r="P256">
        <v>25932754.954954956</v>
      </c>
      <c r="Q256">
        <v>15734727.927927928</v>
      </c>
      <c r="R256">
        <v>14224414.414414413</v>
      </c>
      <c r="S256">
        <v>2280</v>
      </c>
      <c r="T256">
        <v>2371</v>
      </c>
    </row>
    <row r="257" spans="1:20" x14ac:dyDescent="0.35">
      <c r="A257" s="7" t="s">
        <v>348</v>
      </c>
      <c r="B257" s="12" t="s">
        <v>88</v>
      </c>
      <c r="C257">
        <v>223176082.18259197</v>
      </c>
      <c r="D257">
        <v>222046679.95846683</v>
      </c>
      <c r="E257">
        <v>2710810.8108108132</v>
      </c>
      <c r="F257">
        <v>1612111.7117117189</v>
      </c>
      <c r="G257">
        <v>136</v>
      </c>
      <c r="H257">
        <v>130</v>
      </c>
      <c r="I257">
        <v>3</v>
      </c>
      <c r="K257">
        <v>165</v>
      </c>
      <c r="L257">
        <v>163</v>
      </c>
      <c r="M257">
        <v>21939639.639639638</v>
      </c>
      <c r="N257">
        <v>29139639.639639635</v>
      </c>
      <c r="O257">
        <v>38115331.531531528</v>
      </c>
      <c r="P257">
        <v>42181936.936936937</v>
      </c>
      <c r="Q257">
        <v>17002792.792792793</v>
      </c>
      <c r="R257">
        <v>21740180.180180185</v>
      </c>
      <c r="S257">
        <v>6152</v>
      </c>
      <c r="T257">
        <v>6231</v>
      </c>
    </row>
    <row r="258" spans="1:20" x14ac:dyDescent="0.35">
      <c r="A258" s="7" t="s">
        <v>349</v>
      </c>
      <c r="B258" s="12" t="s">
        <v>88</v>
      </c>
      <c r="C258">
        <v>6947082.81783849</v>
      </c>
      <c r="D258">
        <v>7132593.8866349002</v>
      </c>
      <c r="G258">
        <v>18</v>
      </c>
      <c r="H258">
        <v>6</v>
      </c>
      <c r="K258">
        <v>19</v>
      </c>
      <c r="L258">
        <v>7</v>
      </c>
      <c r="O258">
        <v>2534585.5855855849</v>
      </c>
      <c r="P258">
        <v>4023378.3783783792</v>
      </c>
      <c r="S258">
        <v>824</v>
      </c>
      <c r="T258">
        <v>865</v>
      </c>
    </row>
    <row r="259" spans="1:20" x14ac:dyDescent="0.35">
      <c r="A259" s="7" t="s">
        <v>350</v>
      </c>
      <c r="B259" s="12" t="s">
        <v>88</v>
      </c>
      <c r="C259">
        <v>3122084.7587110242</v>
      </c>
      <c r="D259">
        <v>2282372.0539456038</v>
      </c>
      <c r="G259">
        <v>1</v>
      </c>
      <c r="K259">
        <v>1</v>
      </c>
      <c r="O259">
        <v>1205630.630630631</v>
      </c>
      <c r="P259">
        <v>809234.23423423397</v>
      </c>
      <c r="S259">
        <v>213</v>
      </c>
      <c r="T259">
        <v>156</v>
      </c>
    </row>
    <row r="260" spans="1:20" x14ac:dyDescent="0.35">
      <c r="A260" s="7" t="s">
        <v>351</v>
      </c>
      <c r="B260" s="12" t="s">
        <v>88</v>
      </c>
      <c r="C260">
        <v>2675541.09645173</v>
      </c>
      <c r="D260">
        <v>1607267.9433989909</v>
      </c>
      <c r="G260">
        <v>5</v>
      </c>
      <c r="H260">
        <v>5</v>
      </c>
      <c r="K260">
        <v>9</v>
      </c>
      <c r="L260">
        <v>9</v>
      </c>
      <c r="O260">
        <v>1521135.1351351361</v>
      </c>
      <c r="P260">
        <v>1150270.2702702701</v>
      </c>
      <c r="S260">
        <v>650</v>
      </c>
      <c r="T260">
        <v>524</v>
      </c>
    </row>
    <row r="261" spans="1:20" x14ac:dyDescent="0.35">
      <c r="A261" s="7" t="s">
        <v>352</v>
      </c>
      <c r="B261" s="12" t="s">
        <v>88</v>
      </c>
      <c r="C261">
        <v>73284046.449686363</v>
      </c>
      <c r="D261">
        <v>77981997.197732747</v>
      </c>
      <c r="E261">
        <v>101801.801801803</v>
      </c>
      <c r="F261">
        <v>402702.70270270499</v>
      </c>
      <c r="G261">
        <v>35</v>
      </c>
      <c r="H261">
        <v>34</v>
      </c>
      <c r="I261">
        <v>1</v>
      </c>
      <c r="K261">
        <v>40</v>
      </c>
      <c r="L261">
        <v>39</v>
      </c>
      <c r="M261">
        <v>4556756.7567567592</v>
      </c>
      <c r="N261">
        <v>9672972.9729729723</v>
      </c>
      <c r="O261">
        <v>14582567.567567568</v>
      </c>
      <c r="P261">
        <v>18089279.27927928</v>
      </c>
      <c r="Q261">
        <v>4805135.1351351338</v>
      </c>
      <c r="R261">
        <v>9016756.7567567565</v>
      </c>
      <c r="S261">
        <v>2002</v>
      </c>
      <c r="T261">
        <v>2096</v>
      </c>
    </row>
    <row r="262" spans="1:20" x14ac:dyDescent="0.35">
      <c r="A262" s="7" t="s">
        <v>353</v>
      </c>
      <c r="B262" s="12" t="s">
        <v>51</v>
      </c>
      <c r="C262">
        <v>198832906.8207705</v>
      </c>
      <c r="D262">
        <v>189759310.53406844</v>
      </c>
      <c r="E262">
        <v>2381081.0810810849</v>
      </c>
      <c r="F262">
        <v>1474774.7747747779</v>
      </c>
      <c r="G262">
        <v>55</v>
      </c>
      <c r="H262">
        <v>67</v>
      </c>
      <c r="K262">
        <v>60</v>
      </c>
      <c r="L262">
        <v>120</v>
      </c>
      <c r="M262">
        <v>23898738.738738742</v>
      </c>
      <c r="N262">
        <v>22542297.297297295</v>
      </c>
      <c r="O262">
        <v>77491076.576576576</v>
      </c>
      <c r="P262">
        <v>78793180.180180177</v>
      </c>
      <c r="Q262">
        <v>22706036.036036037</v>
      </c>
      <c r="R262">
        <v>21247072.072072074</v>
      </c>
      <c r="S262">
        <v>5483</v>
      </c>
      <c r="T262">
        <v>6038</v>
      </c>
    </row>
    <row r="263" spans="1:20" x14ac:dyDescent="0.35">
      <c r="A263" s="7" t="s">
        <v>354</v>
      </c>
      <c r="B263" s="12" t="s">
        <v>124</v>
      </c>
      <c r="C263">
        <v>1216212.4656637651</v>
      </c>
      <c r="D263">
        <v>2244708.424143767</v>
      </c>
      <c r="G263">
        <v>1</v>
      </c>
      <c r="H263">
        <v>1</v>
      </c>
      <c r="K263">
        <v>1</v>
      </c>
      <c r="L263">
        <v>1</v>
      </c>
      <c r="O263">
        <v>543333.33333333302</v>
      </c>
      <c r="P263">
        <v>725405.40540540498</v>
      </c>
      <c r="S263">
        <v>105</v>
      </c>
      <c r="T263">
        <v>192</v>
      </c>
    </row>
    <row r="264" spans="1:20" x14ac:dyDescent="0.35">
      <c r="A264" s="7" t="s">
        <v>355</v>
      </c>
      <c r="B264" s="12" t="s">
        <v>356</v>
      </c>
      <c r="C264">
        <v>341806658.36765879</v>
      </c>
      <c r="D264">
        <v>369514649.05181074</v>
      </c>
      <c r="E264">
        <v>248978169.36936939</v>
      </c>
      <c r="F264">
        <v>243815339.63963965</v>
      </c>
      <c r="G264">
        <v>300</v>
      </c>
      <c r="H264">
        <v>250</v>
      </c>
      <c r="K264">
        <v>479</v>
      </c>
      <c r="L264">
        <v>366</v>
      </c>
      <c r="M264">
        <v>243766801.8018018</v>
      </c>
      <c r="N264">
        <v>184797136.03603604</v>
      </c>
      <c r="O264">
        <v>203171927.92792794</v>
      </c>
      <c r="P264">
        <v>215966126.12612611</v>
      </c>
      <c r="Q264">
        <v>235396666.66666666</v>
      </c>
      <c r="R264">
        <v>148054234.23423424</v>
      </c>
      <c r="S264">
        <v>9785</v>
      </c>
      <c r="T264">
        <v>9729</v>
      </c>
    </row>
    <row r="265" spans="1:20" x14ac:dyDescent="0.35">
      <c r="A265" s="7" t="s">
        <v>357</v>
      </c>
      <c r="B265" s="12" t="s">
        <v>49</v>
      </c>
      <c r="C265">
        <v>232145112.75943303</v>
      </c>
      <c r="D265">
        <v>278437304.82847518</v>
      </c>
      <c r="E265">
        <v>495495.49549549603</v>
      </c>
      <c r="F265">
        <v>54054.054054054002</v>
      </c>
      <c r="G265">
        <v>17</v>
      </c>
      <c r="H265">
        <v>5</v>
      </c>
      <c r="K265">
        <v>21</v>
      </c>
      <c r="L265">
        <v>6</v>
      </c>
      <c r="M265">
        <v>513513.51351351402</v>
      </c>
      <c r="N265">
        <v>54054.054054054002</v>
      </c>
      <c r="O265">
        <v>17192450.45045045</v>
      </c>
      <c r="P265">
        <v>22490720.72072072</v>
      </c>
      <c r="Q265">
        <v>377027.02702702698</v>
      </c>
      <c r="R265">
        <v>391081.08108108101</v>
      </c>
      <c r="S265">
        <v>5657</v>
      </c>
      <c r="T265">
        <v>7246</v>
      </c>
    </row>
    <row r="266" spans="1:20" x14ac:dyDescent="0.35">
      <c r="A266" s="7" t="s">
        <v>358</v>
      </c>
      <c r="B266" s="12" t="s">
        <v>124</v>
      </c>
      <c r="C266">
        <v>246308656.62689489</v>
      </c>
      <c r="D266">
        <v>270504795.99674565</v>
      </c>
      <c r="E266">
        <v>99099.0990991</v>
      </c>
      <c r="F266">
        <v>454954.95495495602</v>
      </c>
      <c r="G266">
        <v>46</v>
      </c>
      <c r="H266">
        <v>44</v>
      </c>
      <c r="K266">
        <v>46</v>
      </c>
      <c r="L266">
        <v>51</v>
      </c>
      <c r="M266">
        <v>7888918.9189189188</v>
      </c>
      <c r="N266">
        <v>9463243.2432432435</v>
      </c>
      <c r="O266">
        <v>55299545.045045048</v>
      </c>
      <c r="P266">
        <v>67122162.162162155</v>
      </c>
      <c r="Q266">
        <v>6797477.4774774779</v>
      </c>
      <c r="R266">
        <v>10073243.243243242</v>
      </c>
      <c r="S266">
        <v>5515</v>
      </c>
      <c r="T266">
        <v>5552</v>
      </c>
    </row>
    <row r="267" spans="1:20" x14ac:dyDescent="0.35">
      <c r="A267" s="7" t="s">
        <v>359</v>
      </c>
      <c r="B267" s="12" t="s">
        <v>63</v>
      </c>
      <c r="C267">
        <v>140544910.10828236</v>
      </c>
      <c r="D267">
        <v>149350102.23715878</v>
      </c>
      <c r="E267">
        <v>1674774.774774777</v>
      </c>
      <c r="F267">
        <v>872072.072072073</v>
      </c>
      <c r="G267">
        <v>12</v>
      </c>
      <c r="H267">
        <v>5</v>
      </c>
      <c r="K267">
        <v>15</v>
      </c>
      <c r="L267">
        <v>7</v>
      </c>
      <c r="M267">
        <v>23202522.52252252</v>
      </c>
      <c r="N267">
        <v>26043963.963963963</v>
      </c>
      <c r="O267">
        <v>39856333.333333336</v>
      </c>
      <c r="P267">
        <v>46526702.702702701</v>
      </c>
      <c r="Q267">
        <v>23912972.97297297</v>
      </c>
      <c r="R267">
        <v>14911891.891891889</v>
      </c>
      <c r="S267">
        <v>3798</v>
      </c>
      <c r="T267">
        <v>3872</v>
      </c>
    </row>
    <row r="268" spans="1:20" x14ac:dyDescent="0.35">
      <c r="A268" s="7" t="s">
        <v>360</v>
      </c>
      <c r="B268" s="12" t="s">
        <v>317</v>
      </c>
      <c r="C268">
        <v>5658578.0578784039</v>
      </c>
      <c r="D268">
        <v>8955528.0505812168</v>
      </c>
      <c r="G268">
        <v>10</v>
      </c>
      <c r="H268">
        <v>12</v>
      </c>
      <c r="K268">
        <v>11</v>
      </c>
      <c r="L268">
        <v>12</v>
      </c>
      <c r="O268">
        <v>2291846.8468468469</v>
      </c>
      <c r="P268">
        <v>4703108.1081081079</v>
      </c>
      <c r="S268">
        <v>599</v>
      </c>
      <c r="T268">
        <v>576</v>
      </c>
    </row>
    <row r="269" spans="1:20" x14ac:dyDescent="0.35">
      <c r="A269" s="7" t="s">
        <v>361</v>
      </c>
      <c r="B269" s="12" t="s">
        <v>317</v>
      </c>
      <c r="C269">
        <v>138933289.9878014</v>
      </c>
      <c r="D269">
        <v>114389308.55898194</v>
      </c>
      <c r="E269">
        <v>994594.59459459595</v>
      </c>
      <c r="F269">
        <v>218018.018018022</v>
      </c>
      <c r="G269">
        <v>35</v>
      </c>
      <c r="H269">
        <v>12</v>
      </c>
      <c r="K269">
        <v>42</v>
      </c>
      <c r="L269">
        <v>16</v>
      </c>
      <c r="M269">
        <v>20085405.40540541</v>
      </c>
      <c r="N269">
        <v>27487117.117117114</v>
      </c>
      <c r="O269">
        <v>51900891.891891889</v>
      </c>
      <c r="P269">
        <v>48139135.135135137</v>
      </c>
      <c r="Q269">
        <v>20563423.423423424</v>
      </c>
      <c r="R269">
        <v>29901711.711711712</v>
      </c>
      <c r="S269">
        <v>3089</v>
      </c>
      <c r="T269">
        <v>2794</v>
      </c>
    </row>
    <row r="270" spans="1:20" x14ac:dyDescent="0.35">
      <c r="A270" s="7" t="s">
        <v>362</v>
      </c>
      <c r="B270" s="12" t="s">
        <v>93</v>
      </c>
      <c r="C270">
        <v>258236165.71964815</v>
      </c>
      <c r="D270">
        <v>268043588.95481431</v>
      </c>
      <c r="E270">
        <v>5446846.846846845</v>
      </c>
      <c r="F270">
        <v>4427927.927927929</v>
      </c>
      <c r="G270">
        <v>155</v>
      </c>
      <c r="H270">
        <v>53</v>
      </c>
      <c r="I270">
        <v>2</v>
      </c>
      <c r="K270">
        <v>199</v>
      </c>
      <c r="L270">
        <v>84</v>
      </c>
      <c r="M270">
        <v>50300000</v>
      </c>
      <c r="N270">
        <v>60765315.315315321</v>
      </c>
      <c r="O270">
        <v>79487980.180180177</v>
      </c>
      <c r="P270">
        <v>80794063.06306307</v>
      </c>
      <c r="Q270">
        <v>47213736.936936937</v>
      </c>
      <c r="R270">
        <v>57792252.252252258</v>
      </c>
      <c r="S270">
        <v>6813</v>
      </c>
      <c r="T270">
        <v>6668</v>
      </c>
    </row>
    <row r="271" spans="1:20" x14ac:dyDescent="0.35">
      <c r="A271" s="7" t="s">
        <v>363</v>
      </c>
      <c r="B271" s="12" t="s">
        <v>59</v>
      </c>
      <c r="C271">
        <v>507032182.3629514</v>
      </c>
      <c r="D271">
        <v>544280558.79628241</v>
      </c>
      <c r="E271">
        <v>1365765.765765768</v>
      </c>
      <c r="F271">
        <v>915315.31531532004</v>
      </c>
      <c r="G271">
        <v>93</v>
      </c>
      <c r="H271">
        <v>156</v>
      </c>
      <c r="K271">
        <v>101</v>
      </c>
      <c r="L271">
        <v>177</v>
      </c>
      <c r="M271">
        <v>20776576.576576579</v>
      </c>
      <c r="N271">
        <v>19708108.108108107</v>
      </c>
      <c r="O271">
        <v>78692121.621621609</v>
      </c>
      <c r="P271">
        <v>98470603.603603601</v>
      </c>
      <c r="Q271">
        <v>20212162.162162159</v>
      </c>
      <c r="R271">
        <v>23484594.59459459</v>
      </c>
      <c r="S271">
        <v>14318</v>
      </c>
      <c r="T271">
        <v>15213</v>
      </c>
    </row>
    <row r="272" spans="1:20" x14ac:dyDescent="0.35">
      <c r="A272" s="7" t="s">
        <v>364</v>
      </c>
      <c r="B272" s="12" t="s">
        <v>144</v>
      </c>
      <c r="E272">
        <v>36846846.846846849</v>
      </c>
      <c r="F272">
        <v>24234234.234234232</v>
      </c>
      <c r="M272">
        <v>837837.83783783799</v>
      </c>
      <c r="N272">
        <v>756756.75675675704</v>
      </c>
    </row>
    <row r="273" spans="1:20" x14ac:dyDescent="0.35">
      <c r="A273" s="7" t="s">
        <v>365</v>
      </c>
      <c r="B273" s="12" t="s">
        <v>49</v>
      </c>
      <c r="C273">
        <v>180614625.29165578</v>
      </c>
      <c r="D273">
        <v>205080534.84719414</v>
      </c>
      <c r="E273">
        <v>161261.26126126101</v>
      </c>
      <c r="F273">
        <v>690090.09009009099</v>
      </c>
      <c r="G273">
        <v>9</v>
      </c>
      <c r="H273">
        <v>5</v>
      </c>
      <c r="K273">
        <v>10</v>
      </c>
      <c r="L273">
        <v>7</v>
      </c>
      <c r="M273">
        <v>27601081.081081081</v>
      </c>
      <c r="N273">
        <v>11019819.819819823</v>
      </c>
      <c r="O273">
        <v>30083729.729729727</v>
      </c>
      <c r="P273">
        <v>37189837.837837838</v>
      </c>
      <c r="Q273">
        <v>26402162.162162159</v>
      </c>
      <c r="R273">
        <v>12661261.261261264</v>
      </c>
      <c r="S273">
        <v>3766</v>
      </c>
      <c r="T273">
        <v>3876</v>
      </c>
    </row>
    <row r="274" spans="1:20" x14ac:dyDescent="0.35">
      <c r="A274" s="7" t="s">
        <v>366</v>
      </c>
      <c r="B274" s="12" t="s">
        <v>53</v>
      </c>
      <c r="C274">
        <v>76584434.28419438</v>
      </c>
      <c r="D274">
        <v>76606739.443306282</v>
      </c>
      <c r="E274">
        <v>177477.47747747699</v>
      </c>
      <c r="F274">
        <v>948648.64864865097</v>
      </c>
      <c r="G274">
        <v>53</v>
      </c>
      <c r="H274">
        <v>5</v>
      </c>
      <c r="K274">
        <v>59</v>
      </c>
      <c r="L274">
        <v>5</v>
      </c>
      <c r="M274">
        <v>1051351.3513513519</v>
      </c>
      <c r="N274">
        <v>3660360.3603603621</v>
      </c>
      <c r="O274">
        <v>37091981.981981985</v>
      </c>
      <c r="P274">
        <v>36198459.459459454</v>
      </c>
      <c r="Q274">
        <v>1281801.801801801</v>
      </c>
      <c r="R274">
        <v>3386486.4864864862</v>
      </c>
      <c r="S274">
        <v>2345</v>
      </c>
      <c r="T274">
        <v>2296</v>
      </c>
    </row>
    <row r="275" spans="1:20" x14ac:dyDescent="0.35">
      <c r="A275" s="7" t="s">
        <v>367</v>
      </c>
      <c r="B275" s="12" t="s">
        <v>53</v>
      </c>
      <c r="C275">
        <v>59132650.391893521</v>
      </c>
      <c r="D275">
        <v>58614508.039238296</v>
      </c>
      <c r="E275">
        <v>2300900.9009009032</v>
      </c>
      <c r="F275">
        <v>1903603.603603604</v>
      </c>
      <c r="G275">
        <v>68</v>
      </c>
      <c r="H275">
        <v>24</v>
      </c>
      <c r="K275">
        <v>163</v>
      </c>
      <c r="L275">
        <v>62</v>
      </c>
      <c r="M275">
        <v>5336936.9369369391</v>
      </c>
      <c r="N275">
        <v>12354054.054054055</v>
      </c>
      <c r="O275">
        <v>32718549.549549554</v>
      </c>
      <c r="P275">
        <v>32466504.504504506</v>
      </c>
      <c r="Q275">
        <v>10399549.54954955</v>
      </c>
      <c r="R275">
        <v>10895225.225225223</v>
      </c>
      <c r="S275">
        <v>2422</v>
      </c>
      <c r="T275">
        <v>2392</v>
      </c>
    </row>
    <row r="276" spans="1:20" x14ac:dyDescent="0.35">
      <c r="A276" s="7" t="s">
        <v>368</v>
      </c>
      <c r="B276" s="12" t="s">
        <v>53</v>
      </c>
      <c r="C276">
        <v>670509653.51776254</v>
      </c>
      <c r="D276">
        <v>671589790.9443357</v>
      </c>
      <c r="E276">
        <v>324252021.62162161</v>
      </c>
      <c r="F276">
        <v>265473269.36936939</v>
      </c>
      <c r="G276">
        <v>251</v>
      </c>
      <c r="H276">
        <v>248</v>
      </c>
      <c r="I276">
        <v>2</v>
      </c>
      <c r="K276">
        <v>415</v>
      </c>
      <c r="L276">
        <v>416</v>
      </c>
      <c r="M276">
        <v>33627027.027027033</v>
      </c>
      <c r="N276">
        <v>521116666.66666669</v>
      </c>
      <c r="O276">
        <v>244697539.63963965</v>
      </c>
      <c r="P276">
        <v>247047720.72072071</v>
      </c>
      <c r="Q276">
        <v>55925495.495495498</v>
      </c>
      <c r="R276">
        <v>57642432.432432435</v>
      </c>
      <c r="S276">
        <v>20489</v>
      </c>
      <c r="T276">
        <v>20787</v>
      </c>
    </row>
    <row r="277" spans="1:20" x14ac:dyDescent="0.35">
      <c r="A277" s="7" t="s">
        <v>369</v>
      </c>
      <c r="B277" s="12" t="s">
        <v>295</v>
      </c>
      <c r="C277">
        <v>379426082.5935995</v>
      </c>
      <c r="D277">
        <v>396033495.55664492</v>
      </c>
      <c r="E277">
        <v>37735228.828828827</v>
      </c>
      <c r="F277">
        <v>53375019.819819823</v>
      </c>
      <c r="G277">
        <v>126</v>
      </c>
      <c r="H277">
        <v>42</v>
      </c>
      <c r="K277">
        <v>166</v>
      </c>
      <c r="L277">
        <v>93</v>
      </c>
      <c r="M277">
        <v>43854144.144144148</v>
      </c>
      <c r="N277">
        <v>74235135.135135129</v>
      </c>
      <c r="O277">
        <v>126212779.27927928</v>
      </c>
      <c r="P277">
        <v>130839744.14414415</v>
      </c>
      <c r="Q277">
        <v>43086126.126126118</v>
      </c>
      <c r="R277">
        <v>58621261.261261262</v>
      </c>
      <c r="S277">
        <v>10786</v>
      </c>
      <c r="T277">
        <v>10966</v>
      </c>
    </row>
    <row r="278" spans="1:20" x14ac:dyDescent="0.35">
      <c r="A278" s="7" t="s">
        <v>370</v>
      </c>
      <c r="B278" s="12" t="s">
        <v>371</v>
      </c>
      <c r="C278">
        <v>161137112.43795636</v>
      </c>
      <c r="D278">
        <v>167006181.62647596</v>
      </c>
      <c r="E278">
        <v>1056756.7567567599</v>
      </c>
      <c r="F278">
        <v>3400900.9009009041</v>
      </c>
      <c r="G278">
        <v>34</v>
      </c>
      <c r="H278">
        <v>23</v>
      </c>
      <c r="K278">
        <v>39</v>
      </c>
      <c r="L278">
        <v>24</v>
      </c>
      <c r="M278">
        <v>33423783.783783782</v>
      </c>
      <c r="N278">
        <v>61693783.783783786</v>
      </c>
      <c r="O278">
        <v>67950315.315315306</v>
      </c>
      <c r="P278">
        <v>72042990.990990996</v>
      </c>
      <c r="Q278">
        <v>36944144.144144148</v>
      </c>
      <c r="R278">
        <v>60475045.045045048</v>
      </c>
      <c r="S278">
        <v>3811</v>
      </c>
      <c r="T278">
        <v>3792</v>
      </c>
    </row>
    <row r="279" spans="1:20" x14ac:dyDescent="0.35">
      <c r="A279" s="7" t="s">
        <v>372</v>
      </c>
      <c r="B279" s="12" t="s">
        <v>71</v>
      </c>
      <c r="C279">
        <v>46890710.995170593</v>
      </c>
      <c r="D279">
        <v>49335464.595842481</v>
      </c>
      <c r="E279">
        <v>2011711.7117117131</v>
      </c>
      <c r="F279">
        <v>281081.081081082</v>
      </c>
      <c r="G279">
        <v>30</v>
      </c>
      <c r="H279">
        <v>23</v>
      </c>
      <c r="K279">
        <v>40</v>
      </c>
      <c r="L279">
        <v>42</v>
      </c>
      <c r="M279">
        <v>9566666.6666666679</v>
      </c>
      <c r="N279">
        <v>5045945.9459459456</v>
      </c>
      <c r="O279">
        <v>16034108.108108109</v>
      </c>
      <c r="P279">
        <v>16020351.351351352</v>
      </c>
      <c r="Q279">
        <v>8292882.8828828828</v>
      </c>
      <c r="R279">
        <v>5402072.072072072</v>
      </c>
      <c r="S279">
        <v>1189</v>
      </c>
      <c r="T279">
        <v>1207</v>
      </c>
    </row>
    <row r="280" spans="1:20" x14ac:dyDescent="0.35">
      <c r="A280" s="7" t="s">
        <v>373</v>
      </c>
      <c r="B280" s="12" t="s">
        <v>51</v>
      </c>
      <c r="C280">
        <v>99153959.914835721</v>
      </c>
      <c r="D280">
        <v>87720806.58499904</v>
      </c>
      <c r="E280">
        <v>1032432.4324324341</v>
      </c>
      <c r="F280">
        <v>1130630.6306306319</v>
      </c>
      <c r="G280">
        <v>22</v>
      </c>
      <c r="H280">
        <v>15</v>
      </c>
      <c r="K280">
        <v>25</v>
      </c>
      <c r="L280">
        <v>17</v>
      </c>
      <c r="M280">
        <v>7178468.4684684677</v>
      </c>
      <c r="N280">
        <v>7553153.1531531541</v>
      </c>
      <c r="O280">
        <v>44540054.054054059</v>
      </c>
      <c r="P280">
        <v>38649990.990990989</v>
      </c>
      <c r="Q280">
        <v>6780450.4504504502</v>
      </c>
      <c r="R280">
        <v>7571351.3513513524</v>
      </c>
      <c r="S280">
        <v>2773</v>
      </c>
      <c r="T280">
        <v>2451</v>
      </c>
    </row>
    <row r="281" spans="1:20" x14ac:dyDescent="0.35">
      <c r="A281" s="7" t="s">
        <v>374</v>
      </c>
      <c r="B281" s="12" t="s">
        <v>122</v>
      </c>
      <c r="C281">
        <v>98460567.765185088</v>
      </c>
      <c r="D281">
        <v>91034226.207951948</v>
      </c>
      <c r="E281">
        <v>692792.79279279395</v>
      </c>
      <c r="F281">
        <v>563063.06306306401</v>
      </c>
      <c r="G281">
        <v>42</v>
      </c>
      <c r="H281">
        <v>44</v>
      </c>
      <c r="K281">
        <v>48</v>
      </c>
      <c r="L281">
        <v>57</v>
      </c>
      <c r="M281">
        <v>5256756.7567567565</v>
      </c>
      <c r="N281">
        <v>2635135.1351351342</v>
      </c>
      <c r="O281">
        <v>10304504.504504504</v>
      </c>
      <c r="P281">
        <v>10659252.252252255</v>
      </c>
      <c r="Q281">
        <v>3434054.054054054</v>
      </c>
      <c r="R281">
        <v>2612522.5225225221</v>
      </c>
      <c r="S281">
        <v>2796</v>
      </c>
      <c r="T281">
        <v>2881</v>
      </c>
    </row>
    <row r="282" spans="1:20" x14ac:dyDescent="0.35">
      <c r="A282" s="7" t="s">
        <v>375</v>
      </c>
      <c r="B282" s="12" t="s">
        <v>376</v>
      </c>
      <c r="C282">
        <v>220486178.55268428</v>
      </c>
      <c r="D282">
        <v>226206751.91879433</v>
      </c>
      <c r="E282">
        <v>31122938.738738742</v>
      </c>
      <c r="F282">
        <v>58082145.945945948</v>
      </c>
      <c r="G282">
        <v>34</v>
      </c>
      <c r="H282">
        <v>18</v>
      </c>
      <c r="K282">
        <v>39</v>
      </c>
      <c r="L282">
        <v>22</v>
      </c>
      <c r="M282">
        <v>37468468.468468465</v>
      </c>
      <c r="N282">
        <v>69995000</v>
      </c>
      <c r="O282">
        <v>82624792.792792797</v>
      </c>
      <c r="P282">
        <v>92567968.468468457</v>
      </c>
      <c r="Q282">
        <v>29288828.82882883</v>
      </c>
      <c r="R282">
        <v>46696081.081081077</v>
      </c>
      <c r="S282">
        <v>10089</v>
      </c>
      <c r="T282">
        <v>9653</v>
      </c>
    </row>
    <row r="283" spans="1:20" x14ac:dyDescent="0.35">
      <c r="A283" s="7" t="s">
        <v>377</v>
      </c>
      <c r="B283" s="12" t="s">
        <v>67</v>
      </c>
      <c r="C283">
        <v>164453119.47528803</v>
      </c>
      <c r="D283">
        <v>178660302.60907021</v>
      </c>
      <c r="E283">
        <v>249741441.44144145</v>
      </c>
      <c r="F283">
        <v>339067567.56756753</v>
      </c>
      <c r="G283">
        <v>51</v>
      </c>
      <c r="H283">
        <v>30</v>
      </c>
      <c r="K283">
        <v>60</v>
      </c>
      <c r="L283">
        <v>36</v>
      </c>
      <c r="M283">
        <v>176656306.3063063</v>
      </c>
      <c r="N283">
        <v>234632657.65765765</v>
      </c>
      <c r="O283">
        <v>58956711.711711712</v>
      </c>
      <c r="P283">
        <v>67523684.684684694</v>
      </c>
      <c r="Q283">
        <v>88071801.801801801</v>
      </c>
      <c r="R283">
        <v>82127522.522522509</v>
      </c>
      <c r="S283">
        <v>7124</v>
      </c>
      <c r="T283">
        <v>7515</v>
      </c>
    </row>
    <row r="284" spans="1:20" x14ac:dyDescent="0.35">
      <c r="A284" s="7" t="s">
        <v>378</v>
      </c>
      <c r="B284" s="12" t="s">
        <v>356</v>
      </c>
      <c r="C284">
        <v>247853297.11749569</v>
      </c>
      <c r="D284">
        <v>254182577.00524354</v>
      </c>
      <c r="E284">
        <v>2475675.6756756771</v>
      </c>
      <c r="F284">
        <v>2500000.0000000042</v>
      </c>
      <c r="G284">
        <v>304</v>
      </c>
      <c r="H284">
        <v>247</v>
      </c>
      <c r="K284">
        <v>309</v>
      </c>
      <c r="L284">
        <v>262</v>
      </c>
      <c r="M284">
        <v>44296306.306306303</v>
      </c>
      <c r="N284">
        <v>49376576.576576576</v>
      </c>
      <c r="O284">
        <v>151864486.48648649</v>
      </c>
      <c r="P284">
        <v>147187756.75675678</v>
      </c>
      <c r="Q284">
        <v>47622432.432432435</v>
      </c>
      <c r="R284">
        <v>46372072.072072074</v>
      </c>
      <c r="S284">
        <v>7562</v>
      </c>
      <c r="T284">
        <v>6815</v>
      </c>
    </row>
    <row r="285" spans="1:20" x14ac:dyDescent="0.35">
      <c r="A285" s="7" t="s">
        <v>379</v>
      </c>
      <c r="B285" s="12" t="s">
        <v>67</v>
      </c>
      <c r="C285">
        <v>95312429.722094774</v>
      </c>
      <c r="D285">
        <v>99569494.017662659</v>
      </c>
      <c r="E285">
        <v>837837.83783783996</v>
      </c>
      <c r="F285">
        <v>1910810.8108108109</v>
      </c>
      <c r="G285">
        <v>41</v>
      </c>
      <c r="H285">
        <v>13</v>
      </c>
      <c r="K285">
        <v>43</v>
      </c>
      <c r="L285">
        <v>18</v>
      </c>
      <c r="M285">
        <v>5969369.3693693699</v>
      </c>
      <c r="N285">
        <v>12511936.936936935</v>
      </c>
      <c r="O285">
        <v>44967806.306306303</v>
      </c>
      <c r="P285">
        <v>43864729.729729727</v>
      </c>
      <c r="Q285">
        <v>8870180.1801801808</v>
      </c>
      <c r="R285">
        <v>12196261.26126126</v>
      </c>
      <c r="S285">
        <v>5080</v>
      </c>
      <c r="T285">
        <v>4884</v>
      </c>
    </row>
    <row r="286" spans="1:20" x14ac:dyDescent="0.35">
      <c r="A286" s="7" t="s">
        <v>380</v>
      </c>
      <c r="B286" s="12" t="s">
        <v>262</v>
      </c>
      <c r="C286">
        <v>80139187.397929475</v>
      </c>
      <c r="D286">
        <v>80542811.499555022</v>
      </c>
      <c r="E286">
        <v>13513.513513514001</v>
      </c>
      <c r="F286">
        <v>315315.31531531602</v>
      </c>
      <c r="G286">
        <v>6</v>
      </c>
      <c r="H286">
        <v>12</v>
      </c>
      <c r="K286">
        <v>7</v>
      </c>
      <c r="L286">
        <v>27</v>
      </c>
      <c r="M286">
        <v>3752252.2522522518</v>
      </c>
      <c r="N286">
        <v>7539639.6396396402</v>
      </c>
      <c r="O286">
        <v>13556864.864864863</v>
      </c>
      <c r="P286">
        <v>18334626.126126129</v>
      </c>
      <c r="Q286">
        <v>2771711.7117117122</v>
      </c>
      <c r="R286">
        <v>4944954.9549549548</v>
      </c>
      <c r="S286">
        <v>1689</v>
      </c>
      <c r="T286">
        <v>1639</v>
      </c>
    </row>
    <row r="287" spans="1:20" x14ac:dyDescent="0.35">
      <c r="A287" s="7" t="s">
        <v>381</v>
      </c>
      <c r="B287" s="12" t="s">
        <v>356</v>
      </c>
      <c r="C287">
        <v>206264737.86608848</v>
      </c>
      <c r="D287">
        <v>202476309.6591866</v>
      </c>
      <c r="E287">
        <v>2416216.2162162182</v>
      </c>
      <c r="F287">
        <v>2740540.5405405429</v>
      </c>
      <c r="G287">
        <v>49</v>
      </c>
      <c r="H287">
        <v>49</v>
      </c>
      <c r="K287">
        <v>50</v>
      </c>
      <c r="L287">
        <v>51</v>
      </c>
      <c r="M287">
        <v>35419729.729729734</v>
      </c>
      <c r="N287">
        <v>39677477.477477483</v>
      </c>
      <c r="O287">
        <v>114058304.50450452</v>
      </c>
      <c r="P287">
        <v>110556657.65765767</v>
      </c>
      <c r="Q287">
        <v>36094594.59459459</v>
      </c>
      <c r="R287">
        <v>36420630.630630635</v>
      </c>
      <c r="S287">
        <v>4779</v>
      </c>
      <c r="T287">
        <v>4661</v>
      </c>
    </row>
    <row r="288" spans="1:20" x14ac:dyDescent="0.35">
      <c r="A288" s="7" t="s">
        <v>382</v>
      </c>
      <c r="B288" s="12" t="s">
        <v>88</v>
      </c>
      <c r="C288">
        <v>5871684.0504331337</v>
      </c>
      <c r="D288">
        <v>5133301.0107853813</v>
      </c>
      <c r="G288">
        <v>2</v>
      </c>
      <c r="H288">
        <v>1</v>
      </c>
      <c r="K288">
        <v>3</v>
      </c>
      <c r="L288">
        <v>1</v>
      </c>
      <c r="O288">
        <v>330090.09009009</v>
      </c>
      <c r="P288">
        <v>1144954.9549549541</v>
      </c>
      <c r="S288">
        <v>235</v>
      </c>
      <c r="T288">
        <v>171</v>
      </c>
    </row>
    <row r="289" spans="1:20" x14ac:dyDescent="0.35">
      <c r="A289" s="7" t="s">
        <v>383</v>
      </c>
      <c r="B289" s="12" t="s">
        <v>88</v>
      </c>
      <c r="C289">
        <v>8004853.0317224879</v>
      </c>
      <c r="D289">
        <v>7230526.1732852589</v>
      </c>
      <c r="G289">
        <v>15</v>
      </c>
      <c r="H289">
        <v>22</v>
      </c>
      <c r="K289">
        <v>18</v>
      </c>
      <c r="L289">
        <v>26</v>
      </c>
      <c r="O289">
        <v>899063.06306306296</v>
      </c>
      <c r="P289">
        <v>1426981.981981982</v>
      </c>
      <c r="S289">
        <v>356</v>
      </c>
      <c r="T289">
        <v>340</v>
      </c>
    </row>
    <row r="290" spans="1:20" x14ac:dyDescent="0.35">
      <c r="A290" s="7" t="s">
        <v>384</v>
      </c>
      <c r="B290" s="12" t="s">
        <v>81</v>
      </c>
      <c r="C290">
        <v>1405180356.2261574</v>
      </c>
      <c r="D290">
        <v>1450577057.5994279</v>
      </c>
      <c r="E290">
        <v>596916761.26126134</v>
      </c>
      <c r="F290">
        <v>691928604.50450456</v>
      </c>
      <c r="G290">
        <v>453</v>
      </c>
      <c r="H290">
        <v>303</v>
      </c>
      <c r="I290">
        <v>12</v>
      </c>
      <c r="K290">
        <v>597</v>
      </c>
      <c r="L290">
        <v>527</v>
      </c>
      <c r="M290">
        <v>158219819.81981981</v>
      </c>
      <c r="N290">
        <v>400089842.34234232</v>
      </c>
      <c r="O290">
        <v>361197239.1891892</v>
      </c>
      <c r="P290">
        <v>414539663.06306303</v>
      </c>
      <c r="Q290">
        <v>149284594.5945946</v>
      </c>
      <c r="R290">
        <v>194232612.61261261</v>
      </c>
      <c r="S290">
        <v>36308</v>
      </c>
      <c r="T290">
        <v>36463</v>
      </c>
    </row>
    <row r="291" spans="1:20" x14ac:dyDescent="0.35">
      <c r="A291" s="7" t="s">
        <v>385</v>
      </c>
      <c r="B291" s="12" t="s">
        <v>81</v>
      </c>
      <c r="C291">
        <v>383674122.10253137</v>
      </c>
      <c r="D291">
        <v>384604149.22809988</v>
      </c>
      <c r="E291">
        <v>4653378.378378382</v>
      </c>
      <c r="F291">
        <v>3435135.1351351389</v>
      </c>
      <c r="G291">
        <v>101</v>
      </c>
      <c r="H291">
        <v>123</v>
      </c>
      <c r="I291">
        <v>1</v>
      </c>
      <c r="K291">
        <v>175</v>
      </c>
      <c r="L291">
        <v>240</v>
      </c>
      <c r="M291">
        <v>72402702.702702701</v>
      </c>
      <c r="N291">
        <v>89921621.621621609</v>
      </c>
      <c r="O291">
        <v>156184969.81981981</v>
      </c>
      <c r="P291">
        <v>162478598.1981982</v>
      </c>
      <c r="Q291">
        <v>65481390.990990989</v>
      </c>
      <c r="R291">
        <v>81832745.945945948</v>
      </c>
      <c r="S291">
        <v>10383</v>
      </c>
      <c r="T291">
        <v>9710</v>
      </c>
    </row>
    <row r="292" spans="1:20" x14ac:dyDescent="0.35">
      <c r="A292" s="7" t="s">
        <v>386</v>
      </c>
      <c r="B292" s="12" t="s">
        <v>81</v>
      </c>
      <c r="C292">
        <v>487720580.31232792</v>
      </c>
      <c r="D292">
        <v>511726066.91141903</v>
      </c>
      <c r="E292">
        <v>466736.03603603801</v>
      </c>
      <c r="F292">
        <v>438738.73873874103</v>
      </c>
      <c r="G292">
        <v>66</v>
      </c>
      <c r="H292">
        <v>28</v>
      </c>
      <c r="I292">
        <v>2</v>
      </c>
      <c r="K292">
        <v>72</v>
      </c>
      <c r="L292">
        <v>35</v>
      </c>
      <c r="M292">
        <v>18414914.414414413</v>
      </c>
      <c r="N292">
        <v>29725225.225225225</v>
      </c>
      <c r="O292">
        <v>97517063.063063055</v>
      </c>
      <c r="P292">
        <v>110779448.64864865</v>
      </c>
      <c r="Q292">
        <v>25672702.702702705</v>
      </c>
      <c r="R292">
        <v>33125675.675675675</v>
      </c>
      <c r="S292">
        <v>9219</v>
      </c>
      <c r="T292">
        <v>9720</v>
      </c>
    </row>
    <row r="293" spans="1:20" x14ac:dyDescent="0.35">
      <c r="A293" s="7" t="s">
        <v>387</v>
      </c>
      <c r="B293" s="12" t="s">
        <v>69</v>
      </c>
      <c r="C293">
        <v>213162822.45301259</v>
      </c>
      <c r="D293">
        <v>202776961.16729552</v>
      </c>
      <c r="E293">
        <v>71767388.288288295</v>
      </c>
      <c r="F293">
        <v>71768546.846846849</v>
      </c>
      <c r="G293">
        <v>50</v>
      </c>
      <c r="H293">
        <v>22</v>
      </c>
      <c r="K293">
        <v>54</v>
      </c>
      <c r="L293">
        <v>33</v>
      </c>
      <c r="M293">
        <v>7512162.1621621614</v>
      </c>
      <c r="N293">
        <v>35086486.486486487</v>
      </c>
      <c r="O293">
        <v>30412513.513513513</v>
      </c>
      <c r="P293">
        <v>30034041.441441439</v>
      </c>
      <c r="Q293">
        <v>7243243.2432432426</v>
      </c>
      <c r="R293">
        <v>7845225.2252252251</v>
      </c>
      <c r="S293">
        <v>5960</v>
      </c>
      <c r="T293">
        <v>5245</v>
      </c>
    </row>
    <row r="294" spans="1:20" x14ac:dyDescent="0.35">
      <c r="A294" s="7" t="s">
        <v>388</v>
      </c>
      <c r="B294" s="12" t="s">
        <v>168</v>
      </c>
      <c r="C294">
        <v>79851225.685297281</v>
      </c>
      <c r="D294">
        <v>83870307.938506126</v>
      </c>
      <c r="E294">
        <v>926126.12612612697</v>
      </c>
      <c r="F294">
        <v>581081.08108108095</v>
      </c>
      <c r="G294">
        <v>25</v>
      </c>
      <c r="H294">
        <v>10</v>
      </c>
      <c r="K294">
        <v>30</v>
      </c>
      <c r="L294">
        <v>16</v>
      </c>
      <c r="M294">
        <v>20590606.306306303</v>
      </c>
      <c r="N294">
        <v>8296396.3963963939</v>
      </c>
      <c r="O294">
        <v>33590018.018018015</v>
      </c>
      <c r="P294">
        <v>40032574.774774775</v>
      </c>
      <c r="Q294">
        <v>14672432.432432432</v>
      </c>
      <c r="R294">
        <v>9755765.7657657638</v>
      </c>
      <c r="S294">
        <v>2388</v>
      </c>
      <c r="T294">
        <v>2459</v>
      </c>
    </row>
    <row r="295" spans="1:20" x14ac:dyDescent="0.35">
      <c r="A295" s="7" t="s">
        <v>389</v>
      </c>
      <c r="B295" s="12" t="s">
        <v>95</v>
      </c>
      <c r="C295">
        <v>435454635.97969699</v>
      </c>
      <c r="D295">
        <v>446195743.73847336</v>
      </c>
      <c r="E295">
        <v>644144.14414414496</v>
      </c>
      <c r="F295">
        <v>1418918.9189189209</v>
      </c>
      <c r="G295">
        <v>99</v>
      </c>
      <c r="H295">
        <v>92</v>
      </c>
      <c r="I295">
        <v>1</v>
      </c>
      <c r="K295">
        <v>112</v>
      </c>
      <c r="L295">
        <v>105</v>
      </c>
      <c r="M295">
        <v>17698198.198198199</v>
      </c>
      <c r="N295">
        <v>19310810.810810812</v>
      </c>
      <c r="O295">
        <v>53269738.738738738</v>
      </c>
      <c r="P295">
        <v>65922009.009009011</v>
      </c>
      <c r="Q295">
        <v>14005675.675675675</v>
      </c>
      <c r="R295">
        <v>11517387.387387387</v>
      </c>
      <c r="S295">
        <v>8460</v>
      </c>
      <c r="T295">
        <v>8562</v>
      </c>
    </row>
    <row r="296" spans="1:20" x14ac:dyDescent="0.35">
      <c r="A296" s="7" t="s">
        <v>390</v>
      </c>
      <c r="B296" s="12" t="s">
        <v>216</v>
      </c>
      <c r="C296">
        <v>75137892.03863211</v>
      </c>
      <c r="D296">
        <v>82501901.121621311</v>
      </c>
      <c r="E296">
        <v>896396.39639639703</v>
      </c>
      <c r="F296">
        <v>1188288.288288289</v>
      </c>
      <c r="G296">
        <v>35</v>
      </c>
      <c r="H296">
        <v>1</v>
      </c>
      <c r="K296">
        <v>39</v>
      </c>
      <c r="L296">
        <v>1</v>
      </c>
      <c r="M296">
        <v>2698198.1981981979</v>
      </c>
      <c r="N296">
        <v>4280180.1801801799</v>
      </c>
      <c r="O296">
        <v>35888954.954954959</v>
      </c>
      <c r="P296">
        <v>38363549.54954955</v>
      </c>
      <c r="Q296">
        <v>1850990.990990991</v>
      </c>
      <c r="R296">
        <v>3496216.2162162159</v>
      </c>
      <c r="S296">
        <v>2286</v>
      </c>
      <c r="T296">
        <v>2414</v>
      </c>
    </row>
    <row r="297" spans="1:20" x14ac:dyDescent="0.35">
      <c r="A297" s="7" t="s">
        <v>391</v>
      </c>
      <c r="B297" s="12" t="s">
        <v>118</v>
      </c>
      <c r="C297">
        <v>31628539.3514723</v>
      </c>
      <c r="D297">
        <v>29586190.075899113</v>
      </c>
      <c r="E297">
        <v>507207.207207206</v>
      </c>
      <c r="F297">
        <v>275675.67567567801</v>
      </c>
      <c r="G297">
        <v>16</v>
      </c>
      <c r="H297">
        <v>20</v>
      </c>
      <c r="K297">
        <v>24</v>
      </c>
      <c r="L297">
        <v>23</v>
      </c>
      <c r="M297">
        <v>8840655.8558558561</v>
      </c>
      <c r="N297">
        <v>7070211.7117117113</v>
      </c>
      <c r="O297">
        <v>14782306.306306306</v>
      </c>
      <c r="P297">
        <v>12626774.774774777</v>
      </c>
      <c r="Q297">
        <v>6631891.8918918911</v>
      </c>
      <c r="R297">
        <v>5275135.1351351347</v>
      </c>
      <c r="S297">
        <v>2116</v>
      </c>
      <c r="T297">
        <v>1817</v>
      </c>
    </row>
    <row r="298" spans="1:20" x14ac:dyDescent="0.35">
      <c r="A298" s="7" t="s">
        <v>392</v>
      </c>
      <c r="B298" s="12" t="s">
        <v>317</v>
      </c>
      <c r="C298">
        <v>133872033.95036124</v>
      </c>
      <c r="D298">
        <v>132209594.12859632</v>
      </c>
      <c r="E298">
        <v>381081.08108108101</v>
      </c>
      <c r="F298">
        <v>18018.018018019</v>
      </c>
      <c r="G298">
        <v>12</v>
      </c>
      <c r="H298">
        <v>11</v>
      </c>
      <c r="I298">
        <v>1</v>
      </c>
      <c r="K298">
        <v>14</v>
      </c>
      <c r="L298">
        <v>12</v>
      </c>
      <c r="M298">
        <v>4435135.1351351347</v>
      </c>
      <c r="N298">
        <v>6666666.666666666</v>
      </c>
      <c r="O298">
        <v>27599702.702702705</v>
      </c>
      <c r="P298">
        <v>27841306.306306303</v>
      </c>
      <c r="Q298">
        <v>5566126.1261261273</v>
      </c>
      <c r="R298">
        <v>6135315.3153153146</v>
      </c>
      <c r="S298">
        <v>2585</v>
      </c>
      <c r="T298">
        <v>2863</v>
      </c>
    </row>
    <row r="299" spans="1:20" x14ac:dyDescent="0.35">
      <c r="A299" s="7" t="s">
        <v>674</v>
      </c>
      <c r="B299" s="12" t="s">
        <v>182</v>
      </c>
      <c r="E299">
        <v>41554054.054054059</v>
      </c>
      <c r="F299">
        <v>188063063.06306309</v>
      </c>
      <c r="M299">
        <v>1269369.369369369</v>
      </c>
    </row>
    <row r="300" spans="1:20" x14ac:dyDescent="0.35">
      <c r="A300" s="7" t="s">
        <v>393</v>
      </c>
      <c r="B300" s="12" t="s">
        <v>226</v>
      </c>
      <c r="C300">
        <v>57135211.089769967</v>
      </c>
      <c r="D300">
        <v>58532343.174591862</v>
      </c>
      <c r="G300">
        <v>6</v>
      </c>
      <c r="H300">
        <v>3</v>
      </c>
      <c r="K300">
        <v>6</v>
      </c>
      <c r="L300">
        <v>4</v>
      </c>
      <c r="O300">
        <v>10856801.801801803</v>
      </c>
      <c r="P300">
        <v>11625711.711711712</v>
      </c>
      <c r="S300">
        <v>1437</v>
      </c>
      <c r="T300">
        <v>1495</v>
      </c>
    </row>
    <row r="301" spans="1:20" x14ac:dyDescent="0.35">
      <c r="A301" s="7" t="s">
        <v>6</v>
      </c>
      <c r="B301" s="12" t="s">
        <v>195</v>
      </c>
      <c r="C301">
        <v>478242715.63995087</v>
      </c>
      <c r="D301">
        <v>473079349.44388068</v>
      </c>
      <c r="E301">
        <v>6032096.3963964051</v>
      </c>
      <c r="F301">
        <v>18699472.972972974</v>
      </c>
      <c r="G301">
        <v>222</v>
      </c>
      <c r="H301">
        <v>126</v>
      </c>
      <c r="K301">
        <v>614</v>
      </c>
      <c r="L301">
        <v>909</v>
      </c>
      <c r="M301">
        <v>186650120.72072074</v>
      </c>
      <c r="N301">
        <v>330125328.82882881</v>
      </c>
      <c r="O301">
        <v>326815765.76576579</v>
      </c>
      <c r="P301">
        <v>309151594.5945946</v>
      </c>
      <c r="Q301">
        <v>155261981.98198199</v>
      </c>
      <c r="R301">
        <v>302879369.36936933</v>
      </c>
      <c r="S301">
        <v>12793</v>
      </c>
      <c r="T301">
        <v>13365</v>
      </c>
    </row>
    <row r="302" spans="1:20" x14ac:dyDescent="0.35">
      <c r="A302" s="7" t="s">
        <v>394</v>
      </c>
      <c r="B302" s="12" t="s">
        <v>122</v>
      </c>
      <c r="C302">
        <v>22284185.049891762</v>
      </c>
      <c r="D302">
        <v>21822626.119702186</v>
      </c>
      <c r="G302">
        <v>8</v>
      </c>
      <c r="H302">
        <v>13</v>
      </c>
      <c r="K302">
        <v>8</v>
      </c>
      <c r="L302">
        <v>16</v>
      </c>
      <c r="O302">
        <v>1038963.963963964</v>
      </c>
      <c r="P302">
        <v>1416900.9009009011</v>
      </c>
      <c r="S302">
        <v>512</v>
      </c>
      <c r="T302">
        <v>591</v>
      </c>
    </row>
    <row r="303" spans="1:20" x14ac:dyDescent="0.35">
      <c r="A303" s="7" t="s">
        <v>395</v>
      </c>
      <c r="B303" s="12" t="s">
        <v>135</v>
      </c>
      <c r="C303">
        <v>63902005.612407625</v>
      </c>
      <c r="D303">
        <v>70671380.28293395</v>
      </c>
      <c r="E303">
        <v>27027.027027028002</v>
      </c>
      <c r="F303">
        <v>54054.054054054999</v>
      </c>
      <c r="G303">
        <v>17</v>
      </c>
      <c r="H303">
        <v>12</v>
      </c>
      <c r="K303">
        <v>21</v>
      </c>
      <c r="L303">
        <v>14</v>
      </c>
      <c r="M303">
        <v>4081081.0810810812</v>
      </c>
      <c r="N303">
        <v>5087837.8378378358</v>
      </c>
      <c r="O303">
        <v>12979016.216216216</v>
      </c>
      <c r="P303">
        <v>19617882.882882878</v>
      </c>
      <c r="Q303">
        <v>1030360.360360362</v>
      </c>
      <c r="R303">
        <v>1183873.873873875</v>
      </c>
      <c r="S303">
        <v>3560</v>
      </c>
      <c r="T303">
        <v>3674</v>
      </c>
    </row>
    <row r="304" spans="1:20" x14ac:dyDescent="0.35">
      <c r="A304" s="7" t="s">
        <v>396</v>
      </c>
      <c r="B304" s="12" t="s">
        <v>59</v>
      </c>
      <c r="C304">
        <v>312854348.49859738</v>
      </c>
      <c r="D304">
        <v>340603840.24414647</v>
      </c>
      <c r="E304">
        <v>8939414.4144144189</v>
      </c>
      <c r="F304">
        <v>4101801.801801804</v>
      </c>
      <c r="G304">
        <v>108</v>
      </c>
      <c r="H304">
        <v>93</v>
      </c>
      <c r="K304">
        <v>147</v>
      </c>
      <c r="L304">
        <v>101</v>
      </c>
      <c r="M304">
        <v>31636936.936936941</v>
      </c>
      <c r="N304">
        <v>42660360.360360362</v>
      </c>
      <c r="O304">
        <v>50757162.162162162</v>
      </c>
      <c r="P304">
        <v>60859414.414414413</v>
      </c>
      <c r="Q304">
        <v>29115855.855855856</v>
      </c>
      <c r="R304">
        <v>38699549.54954955</v>
      </c>
      <c r="S304">
        <v>8982</v>
      </c>
      <c r="T304">
        <v>9276</v>
      </c>
    </row>
    <row r="305" spans="1:20" x14ac:dyDescent="0.35">
      <c r="A305" s="7" t="s">
        <v>397</v>
      </c>
      <c r="B305" s="12" t="s">
        <v>135</v>
      </c>
      <c r="C305">
        <v>106880341.16717802</v>
      </c>
      <c r="D305">
        <v>118000596.6484545</v>
      </c>
      <c r="E305">
        <v>423423.42342342401</v>
      </c>
      <c r="F305">
        <v>421621.62162162102</v>
      </c>
      <c r="G305">
        <v>23</v>
      </c>
      <c r="H305">
        <v>13</v>
      </c>
      <c r="K305">
        <v>28</v>
      </c>
      <c r="L305">
        <v>17</v>
      </c>
      <c r="M305">
        <v>14270270.270270268</v>
      </c>
      <c r="N305">
        <v>19782882.882882886</v>
      </c>
      <c r="O305">
        <v>20154792.792792793</v>
      </c>
      <c r="P305">
        <v>26781477.477477476</v>
      </c>
      <c r="Q305">
        <v>8730540.5405405406</v>
      </c>
      <c r="R305">
        <v>11675045.045045048</v>
      </c>
      <c r="S305">
        <v>3930</v>
      </c>
      <c r="T305">
        <v>3965</v>
      </c>
    </row>
    <row r="306" spans="1:20" x14ac:dyDescent="0.35">
      <c r="A306" s="7" t="s">
        <v>398</v>
      </c>
      <c r="B306" s="12" t="s">
        <v>55</v>
      </c>
      <c r="C306">
        <v>45838146.123868346</v>
      </c>
      <c r="D306">
        <v>45310736.997887596</v>
      </c>
      <c r="E306">
        <v>41441.441441440998</v>
      </c>
      <c r="F306">
        <v>529729.72972973005</v>
      </c>
      <c r="G306">
        <v>12</v>
      </c>
      <c r="H306">
        <v>11</v>
      </c>
      <c r="K306">
        <v>14</v>
      </c>
      <c r="L306">
        <v>12</v>
      </c>
      <c r="M306">
        <v>2194594.594594595</v>
      </c>
      <c r="N306">
        <v>3007207.2072072071</v>
      </c>
      <c r="O306">
        <v>7731963.963963964</v>
      </c>
      <c r="P306">
        <v>7666783.7837837841</v>
      </c>
      <c r="Q306">
        <v>2577387.387387387</v>
      </c>
      <c r="R306">
        <v>2741351.3513513519</v>
      </c>
      <c r="S306">
        <v>1617</v>
      </c>
      <c r="T306">
        <v>1434</v>
      </c>
    </row>
    <row r="307" spans="1:20" x14ac:dyDescent="0.35">
      <c r="A307" s="7" t="s">
        <v>399</v>
      </c>
      <c r="B307" s="12" t="s">
        <v>400</v>
      </c>
      <c r="C307">
        <v>322802785.09117317</v>
      </c>
      <c r="D307">
        <v>326091080.88699454</v>
      </c>
      <c r="E307">
        <v>2051351.3513513531</v>
      </c>
      <c r="F307">
        <v>4241441.4414414437</v>
      </c>
      <c r="G307">
        <v>133</v>
      </c>
      <c r="H307">
        <v>120</v>
      </c>
      <c r="I307">
        <v>1</v>
      </c>
      <c r="K307">
        <v>226</v>
      </c>
      <c r="L307">
        <v>155</v>
      </c>
      <c r="M307">
        <v>35516666.666666664</v>
      </c>
      <c r="N307">
        <v>40535360.360360362</v>
      </c>
      <c r="O307">
        <v>63104786.486486487</v>
      </c>
      <c r="P307">
        <v>69831738.738738731</v>
      </c>
      <c r="Q307">
        <v>32821711.711711712</v>
      </c>
      <c r="R307">
        <v>35685720.720720723</v>
      </c>
      <c r="S307">
        <v>10075</v>
      </c>
      <c r="T307">
        <v>9281</v>
      </c>
    </row>
    <row r="308" spans="1:20" x14ac:dyDescent="0.35">
      <c r="A308" s="7" t="s">
        <v>401</v>
      </c>
      <c r="B308" s="12" t="s">
        <v>402</v>
      </c>
      <c r="C308">
        <v>350798438.73006815</v>
      </c>
      <c r="D308">
        <v>364594741.90160769</v>
      </c>
      <c r="E308">
        <v>137292199.0990991</v>
      </c>
      <c r="F308">
        <v>111075945.94594595</v>
      </c>
      <c r="G308">
        <v>77</v>
      </c>
      <c r="H308">
        <v>71</v>
      </c>
      <c r="K308">
        <v>84</v>
      </c>
      <c r="L308">
        <v>85</v>
      </c>
      <c r="M308">
        <v>53015540.540540546</v>
      </c>
      <c r="N308">
        <v>93890990.990990996</v>
      </c>
      <c r="O308">
        <v>64597198.198198199</v>
      </c>
      <c r="P308">
        <v>74947108.108108118</v>
      </c>
      <c r="Q308">
        <v>40744234.234234229</v>
      </c>
      <c r="R308">
        <v>40165675.675675675</v>
      </c>
      <c r="S308">
        <v>11567</v>
      </c>
      <c r="T308">
        <v>11443</v>
      </c>
    </row>
    <row r="309" spans="1:20" x14ac:dyDescent="0.35">
      <c r="A309" s="7" t="s">
        <v>403</v>
      </c>
      <c r="B309" s="12" t="s">
        <v>141</v>
      </c>
      <c r="C309">
        <v>112722563.71224022</v>
      </c>
      <c r="D309">
        <v>118701014.68882446</v>
      </c>
      <c r="E309">
        <v>1641441.4414414431</v>
      </c>
      <c r="F309">
        <v>1414414.4144144149</v>
      </c>
      <c r="G309">
        <v>37</v>
      </c>
      <c r="H309">
        <v>18</v>
      </c>
      <c r="K309">
        <v>40</v>
      </c>
      <c r="L309">
        <v>25</v>
      </c>
      <c r="M309">
        <v>19801081.081081081</v>
      </c>
      <c r="N309">
        <v>31454954.954954956</v>
      </c>
      <c r="O309">
        <v>36204252.252252258</v>
      </c>
      <c r="P309">
        <v>38789054.054054059</v>
      </c>
      <c r="Q309">
        <v>22630810.810810808</v>
      </c>
      <c r="R309">
        <v>26461801.801801804</v>
      </c>
      <c r="S309">
        <v>3175</v>
      </c>
      <c r="T309">
        <v>3248</v>
      </c>
    </row>
    <row r="310" spans="1:20" x14ac:dyDescent="0.35">
      <c r="A310" s="7" t="s">
        <v>404</v>
      </c>
      <c r="B310" s="12" t="s">
        <v>122</v>
      </c>
      <c r="C310">
        <v>30142382.417436603</v>
      </c>
      <c r="D310">
        <v>28272616.370341446</v>
      </c>
      <c r="E310">
        <v>387387.38738738699</v>
      </c>
      <c r="F310">
        <v>94594.594594594993</v>
      </c>
      <c r="G310">
        <v>14</v>
      </c>
      <c r="H310">
        <v>22</v>
      </c>
      <c r="K310">
        <v>19</v>
      </c>
      <c r="L310">
        <v>30</v>
      </c>
      <c r="M310">
        <v>2189189.1891891891</v>
      </c>
      <c r="N310">
        <v>1896396.3963963969</v>
      </c>
      <c r="O310">
        <v>3101407.6576576582</v>
      </c>
      <c r="P310">
        <v>4543963.963963964</v>
      </c>
      <c r="Q310">
        <v>871081.08108108095</v>
      </c>
      <c r="R310">
        <v>1183603.603603604</v>
      </c>
      <c r="S310">
        <v>1067</v>
      </c>
      <c r="T310">
        <v>1085</v>
      </c>
    </row>
    <row r="311" spans="1:20" x14ac:dyDescent="0.35">
      <c r="A311" s="7" t="s">
        <v>405</v>
      </c>
      <c r="B311" s="12" t="s">
        <v>292</v>
      </c>
      <c r="C311">
        <v>48381086.50666748</v>
      </c>
      <c r="D311">
        <v>50595739.68282643</v>
      </c>
      <c r="E311">
        <v>6640990.9909909917</v>
      </c>
      <c r="F311">
        <v>5459459.4594594603</v>
      </c>
      <c r="G311">
        <v>8</v>
      </c>
      <c r="H311">
        <v>8</v>
      </c>
      <c r="K311">
        <v>10</v>
      </c>
      <c r="L311">
        <v>12</v>
      </c>
      <c r="M311">
        <v>1096396.396396396</v>
      </c>
      <c r="N311">
        <v>1711711.7117117119</v>
      </c>
      <c r="O311">
        <v>6337558.5585585581</v>
      </c>
      <c r="P311">
        <v>7456072.0720720729</v>
      </c>
      <c r="Q311">
        <v>1964504.5045045039</v>
      </c>
      <c r="R311">
        <v>1598738.7387387389</v>
      </c>
      <c r="S311">
        <v>1631</v>
      </c>
      <c r="T311">
        <v>1660</v>
      </c>
    </row>
    <row r="312" spans="1:20" x14ac:dyDescent="0.35">
      <c r="A312" s="7" t="s">
        <v>406</v>
      </c>
      <c r="B312" s="12" t="s">
        <v>122</v>
      </c>
      <c r="C312">
        <v>55468176.755359083</v>
      </c>
      <c r="D312">
        <v>48830195.208169185</v>
      </c>
      <c r="E312">
        <v>55630.630630631</v>
      </c>
      <c r="G312">
        <v>12</v>
      </c>
      <c r="H312">
        <v>6</v>
      </c>
      <c r="K312">
        <v>13</v>
      </c>
      <c r="L312">
        <v>7</v>
      </c>
      <c r="M312">
        <v>58558.558558559002</v>
      </c>
      <c r="O312">
        <v>4367198.1981981983</v>
      </c>
      <c r="P312">
        <v>5148378.3783783782</v>
      </c>
      <c r="R312">
        <v>13513.513513514001</v>
      </c>
      <c r="S312">
        <v>1024</v>
      </c>
      <c r="T312">
        <v>1055</v>
      </c>
    </row>
    <row r="313" spans="1:20" x14ac:dyDescent="0.35">
      <c r="A313" s="7" t="s">
        <v>407</v>
      </c>
      <c r="B313" s="12" t="s">
        <v>371</v>
      </c>
      <c r="C313">
        <v>122410413.23644252</v>
      </c>
      <c r="D313">
        <v>129868290.70790982</v>
      </c>
      <c r="E313">
        <v>62101500</v>
      </c>
      <c r="F313">
        <v>79565286.486486495</v>
      </c>
      <c r="G313">
        <v>46</v>
      </c>
      <c r="H313">
        <v>7</v>
      </c>
      <c r="K313">
        <v>108</v>
      </c>
      <c r="L313">
        <v>11</v>
      </c>
      <c r="M313">
        <v>23526126.126126129</v>
      </c>
      <c r="N313">
        <v>31464144.144144144</v>
      </c>
      <c r="O313">
        <v>43962036.036036037</v>
      </c>
      <c r="P313">
        <v>42902401.801801801</v>
      </c>
      <c r="Q313">
        <v>23473333.333333336</v>
      </c>
      <c r="R313">
        <v>30047567.567567568</v>
      </c>
      <c r="S313">
        <v>4101</v>
      </c>
      <c r="T313">
        <v>3587</v>
      </c>
    </row>
    <row r="314" spans="1:20" x14ac:dyDescent="0.35">
      <c r="A314" s="7" t="s">
        <v>408</v>
      </c>
      <c r="B314" s="12" t="s">
        <v>141</v>
      </c>
      <c r="C314">
        <v>58998512.352751166</v>
      </c>
      <c r="D314">
        <v>61109686.651522651</v>
      </c>
      <c r="E314">
        <v>189864.86486486401</v>
      </c>
      <c r="F314">
        <v>43243.243243243996</v>
      </c>
      <c r="G314">
        <v>11</v>
      </c>
      <c r="H314">
        <v>1</v>
      </c>
      <c r="K314">
        <v>13</v>
      </c>
      <c r="L314">
        <v>2</v>
      </c>
      <c r="M314">
        <v>7578738.7387387389</v>
      </c>
      <c r="N314">
        <v>12487567.567567568</v>
      </c>
      <c r="O314">
        <v>16007513.513513513</v>
      </c>
      <c r="P314">
        <v>18509585.585585583</v>
      </c>
      <c r="Q314">
        <v>8955945.9459459446</v>
      </c>
      <c r="R314">
        <v>11135045.045045046</v>
      </c>
      <c r="S314">
        <v>1386</v>
      </c>
      <c r="T314">
        <v>1490</v>
      </c>
    </row>
    <row r="315" spans="1:20" x14ac:dyDescent="0.35">
      <c r="A315" s="7" t="s">
        <v>409</v>
      </c>
      <c r="B315" s="12" t="s">
        <v>55</v>
      </c>
      <c r="C315">
        <v>81438630.341159999</v>
      </c>
      <c r="D315">
        <v>84516010.948712766</v>
      </c>
      <c r="E315">
        <v>1732432.4324324341</v>
      </c>
      <c r="F315">
        <v>3449999.9999999991</v>
      </c>
      <c r="G315">
        <v>106</v>
      </c>
      <c r="H315">
        <v>59</v>
      </c>
      <c r="I315">
        <v>1</v>
      </c>
      <c r="K315">
        <v>188</v>
      </c>
      <c r="L315">
        <v>77</v>
      </c>
      <c r="M315">
        <v>8286486.486486488</v>
      </c>
      <c r="N315">
        <v>10382432.432432432</v>
      </c>
      <c r="O315">
        <v>19204324.324324325</v>
      </c>
      <c r="P315">
        <v>19868000</v>
      </c>
      <c r="Q315">
        <v>9251621.6216216199</v>
      </c>
      <c r="R315">
        <v>9349729.7297297306</v>
      </c>
      <c r="S315">
        <v>2223</v>
      </c>
      <c r="T315">
        <v>2222</v>
      </c>
    </row>
    <row r="316" spans="1:20" x14ac:dyDescent="0.35">
      <c r="A316" s="7" t="s">
        <v>410</v>
      </c>
      <c r="B316" s="12" t="s">
        <v>135</v>
      </c>
      <c r="C316">
        <v>36792064.86034669</v>
      </c>
      <c r="D316">
        <v>41780019.69388032</v>
      </c>
      <c r="E316">
        <v>27027.027027027001</v>
      </c>
      <c r="F316">
        <v>225225.225225225</v>
      </c>
      <c r="G316">
        <v>5</v>
      </c>
      <c r="K316">
        <v>5</v>
      </c>
      <c r="M316">
        <v>1594594.5945945941</v>
      </c>
      <c r="N316">
        <v>3558558.558558559</v>
      </c>
      <c r="O316">
        <v>3544837.8378378381</v>
      </c>
      <c r="P316">
        <v>5142657.6576576577</v>
      </c>
      <c r="Q316">
        <v>990180.18018017896</v>
      </c>
      <c r="R316">
        <v>3069819.8198198192</v>
      </c>
      <c r="S316">
        <v>979</v>
      </c>
      <c r="T316">
        <v>982</v>
      </c>
    </row>
    <row r="317" spans="1:20" x14ac:dyDescent="0.35">
      <c r="A317" s="7" t="s">
        <v>411</v>
      </c>
      <c r="B317" s="12" t="s">
        <v>292</v>
      </c>
      <c r="C317">
        <v>20278287.836599808</v>
      </c>
      <c r="D317">
        <v>21324845.595865015</v>
      </c>
      <c r="E317">
        <v>334234.23423423502</v>
      </c>
      <c r="F317">
        <v>166666.66666666701</v>
      </c>
      <c r="G317">
        <v>8</v>
      </c>
      <c r="H317">
        <v>7</v>
      </c>
      <c r="K317">
        <v>9</v>
      </c>
      <c r="L317">
        <v>7</v>
      </c>
      <c r="M317">
        <v>4940540.5405405406</v>
      </c>
      <c r="N317">
        <v>2148648.6486486481</v>
      </c>
      <c r="O317">
        <v>3681585.5855855858</v>
      </c>
      <c r="P317">
        <v>4929072.072072072</v>
      </c>
      <c r="Q317">
        <v>2329549.5495495489</v>
      </c>
      <c r="R317">
        <v>1302882.8828828831</v>
      </c>
      <c r="S317">
        <v>886</v>
      </c>
      <c r="T317">
        <v>904</v>
      </c>
    </row>
    <row r="318" spans="1:20" x14ac:dyDescent="0.35">
      <c r="A318" s="7" t="s">
        <v>412</v>
      </c>
      <c r="B318" s="12" t="s">
        <v>179</v>
      </c>
      <c r="C318">
        <v>366215942.30920047</v>
      </c>
      <c r="D318">
        <v>366923725.3848604</v>
      </c>
      <c r="E318">
        <v>6593693.6936936975</v>
      </c>
      <c r="F318">
        <v>83003603.603603601</v>
      </c>
      <c r="G318">
        <v>96</v>
      </c>
      <c r="H318">
        <v>57</v>
      </c>
      <c r="K318">
        <v>238</v>
      </c>
      <c r="L318">
        <v>68</v>
      </c>
      <c r="M318">
        <v>42798279.279279277</v>
      </c>
      <c r="N318">
        <v>48459009.009009011</v>
      </c>
      <c r="O318">
        <v>128467954.95495497</v>
      </c>
      <c r="P318">
        <v>134500646.84684685</v>
      </c>
      <c r="Q318">
        <v>32607927.927927926</v>
      </c>
      <c r="R318">
        <v>43668108.108108103</v>
      </c>
      <c r="S318">
        <v>9419</v>
      </c>
      <c r="T318">
        <v>8939</v>
      </c>
    </row>
    <row r="319" spans="1:20" x14ac:dyDescent="0.35">
      <c r="A319" s="7" t="s">
        <v>675</v>
      </c>
      <c r="B319" s="12" t="s">
        <v>88</v>
      </c>
      <c r="E319">
        <v>3603603.6036036038</v>
      </c>
      <c r="F319">
        <v>23063063.063063063</v>
      </c>
      <c r="M319">
        <v>89189.189189188997</v>
      </c>
      <c r="T319">
        <v>1140</v>
      </c>
    </row>
    <row r="320" spans="1:20" x14ac:dyDescent="0.35">
      <c r="A320" s="7" t="s">
        <v>413</v>
      </c>
      <c r="B320" s="12" t="s">
        <v>55</v>
      </c>
      <c r="C320">
        <v>670254889.20115376</v>
      </c>
      <c r="D320">
        <v>661968415.23723018</v>
      </c>
      <c r="E320">
        <v>112741065.76576577</v>
      </c>
      <c r="F320">
        <v>220180930.63063061</v>
      </c>
      <c r="G320">
        <v>234</v>
      </c>
      <c r="H320">
        <v>160</v>
      </c>
      <c r="K320">
        <v>323</v>
      </c>
      <c r="L320">
        <v>287</v>
      </c>
      <c r="M320">
        <v>44066666.666666672</v>
      </c>
      <c r="N320">
        <v>64649099.099099107</v>
      </c>
      <c r="O320">
        <v>138375351.35135135</v>
      </c>
      <c r="P320">
        <v>141749763.96396396</v>
      </c>
      <c r="Q320">
        <v>43416306.30630631</v>
      </c>
      <c r="R320">
        <v>56355405.40540541</v>
      </c>
      <c r="S320">
        <v>18981</v>
      </c>
      <c r="T320">
        <v>20040</v>
      </c>
    </row>
    <row r="321" spans="1:20" x14ac:dyDescent="0.35">
      <c r="A321" s="7" t="s">
        <v>414</v>
      </c>
      <c r="B321" s="12" t="s">
        <v>226</v>
      </c>
      <c r="C321">
        <v>343673235.06120634</v>
      </c>
      <c r="D321">
        <v>404343124.72645396</v>
      </c>
      <c r="E321">
        <v>1207207.207207212</v>
      </c>
      <c r="F321">
        <v>2824324.3243243252</v>
      </c>
      <c r="G321">
        <v>123</v>
      </c>
      <c r="H321">
        <v>85</v>
      </c>
      <c r="K321">
        <v>142</v>
      </c>
      <c r="L321">
        <v>111</v>
      </c>
      <c r="M321">
        <v>32162882.882882886</v>
      </c>
      <c r="N321">
        <v>55484504.504504502</v>
      </c>
      <c r="O321">
        <v>101835942.34234233</v>
      </c>
      <c r="P321">
        <v>121582504.50450452</v>
      </c>
      <c r="Q321">
        <v>39345088.288288288</v>
      </c>
      <c r="R321">
        <v>49069819.819819823</v>
      </c>
      <c r="S321">
        <v>14202</v>
      </c>
      <c r="T321">
        <v>13730</v>
      </c>
    </row>
    <row r="322" spans="1:20" x14ac:dyDescent="0.35">
      <c r="A322" s="7" t="s">
        <v>415</v>
      </c>
      <c r="B322" s="12" t="s">
        <v>416</v>
      </c>
      <c r="C322">
        <v>135736882.2522375</v>
      </c>
      <c r="D322">
        <v>131620821.44147879</v>
      </c>
      <c r="E322">
        <v>247297.29729730001</v>
      </c>
      <c r="F322">
        <v>713513.51351351396</v>
      </c>
      <c r="G322">
        <v>6</v>
      </c>
      <c r="H322">
        <v>4</v>
      </c>
      <c r="K322">
        <v>8</v>
      </c>
      <c r="L322">
        <v>19</v>
      </c>
      <c r="M322">
        <v>2675135.1351351389</v>
      </c>
      <c r="N322">
        <v>4400450.4504504511</v>
      </c>
      <c r="O322">
        <v>55310504.504504502</v>
      </c>
      <c r="P322">
        <v>57824306.306306303</v>
      </c>
      <c r="Q322">
        <v>2565225.225225226</v>
      </c>
      <c r="R322">
        <v>2643693.6936936951</v>
      </c>
      <c r="S322">
        <v>4369</v>
      </c>
      <c r="T322">
        <v>3985</v>
      </c>
    </row>
    <row r="323" spans="1:20" x14ac:dyDescent="0.35">
      <c r="A323" s="7" t="s">
        <v>417</v>
      </c>
      <c r="B323" s="12" t="s">
        <v>216</v>
      </c>
      <c r="C323">
        <v>862195092.82433546</v>
      </c>
      <c r="D323">
        <v>810651068.24875796</v>
      </c>
      <c r="E323">
        <v>318761233.33333331</v>
      </c>
      <c r="F323">
        <v>264026857.65765765</v>
      </c>
      <c r="G323">
        <v>953</v>
      </c>
      <c r="H323">
        <v>446</v>
      </c>
      <c r="I323">
        <v>1</v>
      </c>
      <c r="K323">
        <v>1031</v>
      </c>
      <c r="L323">
        <v>681</v>
      </c>
      <c r="M323">
        <v>108623018.01801802</v>
      </c>
      <c r="N323">
        <v>107833243.24324323</v>
      </c>
      <c r="O323">
        <v>390142785.58558559</v>
      </c>
      <c r="P323">
        <v>366371918.91891891</v>
      </c>
      <c r="Q323">
        <v>109903783.78378378</v>
      </c>
      <c r="R323">
        <v>103763063.06306307</v>
      </c>
      <c r="S323">
        <v>25545</v>
      </c>
      <c r="T323">
        <v>23596</v>
      </c>
    </row>
    <row r="324" spans="1:20" x14ac:dyDescent="0.35">
      <c r="A324" s="7" t="s">
        <v>418</v>
      </c>
      <c r="B324" s="12" t="s">
        <v>416</v>
      </c>
      <c r="C324">
        <v>76321739.12966457</v>
      </c>
      <c r="D324">
        <v>71523343.584258169</v>
      </c>
      <c r="E324">
        <v>3683333.3333333349</v>
      </c>
      <c r="F324">
        <v>44009009.009009011</v>
      </c>
      <c r="G324">
        <v>22</v>
      </c>
      <c r="H324">
        <v>9</v>
      </c>
      <c r="K324">
        <v>26</v>
      </c>
      <c r="L324">
        <v>12</v>
      </c>
      <c r="M324">
        <v>14647875.675675675</v>
      </c>
      <c r="N324">
        <v>13934459.459459459</v>
      </c>
      <c r="O324">
        <v>28364389.639639638</v>
      </c>
      <c r="P324">
        <v>29261126.126126129</v>
      </c>
      <c r="Q324">
        <v>10051531.531531531</v>
      </c>
      <c r="R324">
        <v>11152882.882882884</v>
      </c>
      <c r="S324">
        <v>3055</v>
      </c>
      <c r="T324">
        <v>2875</v>
      </c>
    </row>
    <row r="325" spans="1:20" x14ac:dyDescent="0.35">
      <c r="A325" s="7" t="s">
        <v>419</v>
      </c>
      <c r="B325" s="12" t="s">
        <v>238</v>
      </c>
      <c r="C325">
        <v>538132081.44865489</v>
      </c>
      <c r="D325">
        <v>548584125.0270431</v>
      </c>
      <c r="E325">
        <v>81805405.405405402</v>
      </c>
      <c r="F325">
        <v>83341891.891891882</v>
      </c>
      <c r="G325">
        <v>201</v>
      </c>
      <c r="H325">
        <v>146</v>
      </c>
      <c r="I325">
        <v>4</v>
      </c>
      <c r="K325">
        <v>309</v>
      </c>
      <c r="L325">
        <v>254</v>
      </c>
      <c r="M325">
        <v>62745720.720720723</v>
      </c>
      <c r="N325">
        <v>55244954.954954959</v>
      </c>
      <c r="O325">
        <v>127784531.53153154</v>
      </c>
      <c r="P325">
        <v>141048718.91891891</v>
      </c>
      <c r="Q325">
        <v>60229729.729729727</v>
      </c>
      <c r="R325">
        <v>43547477.477477483</v>
      </c>
      <c r="S325">
        <v>10648</v>
      </c>
      <c r="T325">
        <v>10659</v>
      </c>
    </row>
    <row r="326" spans="1:20" x14ac:dyDescent="0.35">
      <c r="A326" s="7" t="s">
        <v>420</v>
      </c>
      <c r="B326" s="12" t="s">
        <v>118</v>
      </c>
      <c r="C326">
        <v>525535922.65676624</v>
      </c>
      <c r="D326">
        <v>533742589.78514981</v>
      </c>
      <c r="E326">
        <v>210366056.75675678</v>
      </c>
      <c r="F326">
        <v>303331418.01801807</v>
      </c>
      <c r="G326">
        <v>349</v>
      </c>
      <c r="H326">
        <v>313</v>
      </c>
      <c r="I326">
        <v>1</v>
      </c>
      <c r="K326">
        <v>702</v>
      </c>
      <c r="L326">
        <v>1012</v>
      </c>
      <c r="M326">
        <v>118198549.54954955</v>
      </c>
      <c r="N326">
        <v>153127074.77477479</v>
      </c>
      <c r="O326">
        <v>238184254.95495495</v>
      </c>
      <c r="P326">
        <v>271236702.7027027</v>
      </c>
      <c r="Q326">
        <v>123653063.06306307</v>
      </c>
      <c r="R326">
        <v>149568243.24324322</v>
      </c>
      <c r="S326">
        <v>17516</v>
      </c>
      <c r="T326">
        <v>18661</v>
      </c>
    </row>
    <row r="327" spans="1:20" x14ac:dyDescent="0.35">
      <c r="A327" s="7" t="s">
        <v>421</v>
      </c>
      <c r="B327" s="12" t="s">
        <v>148</v>
      </c>
      <c r="C327">
        <v>12407063.865391325</v>
      </c>
      <c r="D327">
        <v>14424136.703929264</v>
      </c>
      <c r="G327">
        <v>3</v>
      </c>
      <c r="H327">
        <v>3</v>
      </c>
      <c r="K327">
        <v>3</v>
      </c>
      <c r="L327">
        <v>3</v>
      </c>
      <c r="O327">
        <v>4675216.2162162159</v>
      </c>
      <c r="P327">
        <v>4992558.5585585581</v>
      </c>
      <c r="S327">
        <v>415</v>
      </c>
      <c r="T327">
        <v>489</v>
      </c>
    </row>
    <row r="328" spans="1:20" x14ac:dyDescent="0.35">
      <c r="A328" s="7" t="s">
        <v>422</v>
      </c>
      <c r="B328" s="12" t="s">
        <v>306</v>
      </c>
      <c r="C328">
        <v>113390769.11349915</v>
      </c>
      <c r="D328">
        <v>105073690.13145986</v>
      </c>
      <c r="E328">
        <v>2200225.2252252232</v>
      </c>
      <c r="F328">
        <v>2016216.2162162231</v>
      </c>
      <c r="G328">
        <v>58</v>
      </c>
      <c r="H328">
        <v>37</v>
      </c>
      <c r="K328">
        <v>71</v>
      </c>
      <c r="L328">
        <v>47</v>
      </c>
      <c r="M328">
        <v>18955855.855855856</v>
      </c>
      <c r="N328">
        <v>27507207.207207207</v>
      </c>
      <c r="O328">
        <v>23435052.252252251</v>
      </c>
      <c r="P328">
        <v>23326756.75675676</v>
      </c>
      <c r="Q328">
        <v>17611441.441441439</v>
      </c>
      <c r="R328">
        <v>24504414.414414413</v>
      </c>
      <c r="S328">
        <v>2292</v>
      </c>
      <c r="T328">
        <v>2179</v>
      </c>
    </row>
    <row r="329" spans="1:20" x14ac:dyDescent="0.35">
      <c r="A329" s="7" t="s">
        <v>423</v>
      </c>
      <c r="B329" s="12" t="s">
        <v>306</v>
      </c>
      <c r="C329">
        <v>130523338.88130158</v>
      </c>
      <c r="D329">
        <v>128926044.47977623</v>
      </c>
      <c r="E329">
        <v>2126801.8018018012</v>
      </c>
      <c r="F329">
        <v>3380180.1801802008</v>
      </c>
      <c r="G329">
        <v>89</v>
      </c>
      <c r="H329">
        <v>214</v>
      </c>
      <c r="K329">
        <v>164</v>
      </c>
      <c r="L329">
        <v>592</v>
      </c>
      <c r="M329">
        <v>22801801.801801801</v>
      </c>
      <c r="N329">
        <v>27082882.882882889</v>
      </c>
      <c r="O329">
        <v>27750774.774774775</v>
      </c>
      <c r="P329">
        <v>47226924.324324317</v>
      </c>
      <c r="Q329">
        <v>17297387.38738738</v>
      </c>
      <c r="R329">
        <v>25340090.090090089</v>
      </c>
      <c r="S329">
        <v>2960</v>
      </c>
      <c r="T329">
        <v>2966</v>
      </c>
    </row>
    <row r="330" spans="1:20" x14ac:dyDescent="0.35">
      <c r="A330" s="7" t="s">
        <v>424</v>
      </c>
      <c r="B330" s="12" t="s">
        <v>122</v>
      </c>
      <c r="C330">
        <v>4788729.4963895064</v>
      </c>
      <c r="D330">
        <v>7271120.4326674966</v>
      </c>
      <c r="E330">
        <v>13513.513513514001</v>
      </c>
      <c r="G330">
        <v>2</v>
      </c>
      <c r="H330">
        <v>4</v>
      </c>
      <c r="K330">
        <v>3</v>
      </c>
      <c r="L330">
        <v>4</v>
      </c>
      <c r="M330">
        <v>13513.513513514001</v>
      </c>
      <c r="O330">
        <v>296072.07207207201</v>
      </c>
      <c r="P330">
        <v>643243.24324324296</v>
      </c>
      <c r="R330">
        <v>82432.432432432004</v>
      </c>
      <c r="S330">
        <v>324</v>
      </c>
      <c r="T330">
        <v>309</v>
      </c>
    </row>
    <row r="331" spans="1:20" x14ac:dyDescent="0.35">
      <c r="A331" s="7" t="s">
        <v>425</v>
      </c>
      <c r="B331" s="12" t="s">
        <v>61</v>
      </c>
      <c r="C331">
        <v>66502804.058899119</v>
      </c>
      <c r="D331">
        <v>64625508.992351241</v>
      </c>
      <c r="E331">
        <v>845945.94594594697</v>
      </c>
      <c r="F331">
        <v>906306.30630630697</v>
      </c>
      <c r="G331">
        <v>39</v>
      </c>
      <c r="H331">
        <v>27</v>
      </c>
      <c r="I331">
        <v>5</v>
      </c>
      <c r="K331">
        <v>42</v>
      </c>
      <c r="L331">
        <v>47</v>
      </c>
      <c r="M331">
        <v>12928828.828828828</v>
      </c>
      <c r="N331">
        <v>16812612.612612613</v>
      </c>
      <c r="O331">
        <v>23404558.558558561</v>
      </c>
      <c r="P331">
        <v>23841333.333333332</v>
      </c>
      <c r="Q331">
        <v>13322792.792792792</v>
      </c>
      <c r="R331">
        <v>17722882.882882886</v>
      </c>
      <c r="S331">
        <v>2076</v>
      </c>
      <c r="T331">
        <v>2067</v>
      </c>
    </row>
    <row r="332" spans="1:20" x14ac:dyDescent="0.35">
      <c r="A332" s="7" t="s">
        <v>426</v>
      </c>
      <c r="B332" s="12" t="s">
        <v>182</v>
      </c>
      <c r="C332">
        <v>660202411.73578167</v>
      </c>
      <c r="D332">
        <v>689616240.4717592</v>
      </c>
      <c r="E332">
        <v>7190990.9909909982</v>
      </c>
      <c r="F332">
        <v>6785585.5855855932</v>
      </c>
      <c r="G332">
        <v>238</v>
      </c>
      <c r="H332">
        <v>251</v>
      </c>
      <c r="I332">
        <v>1</v>
      </c>
      <c r="K332">
        <v>331</v>
      </c>
      <c r="L332">
        <v>316</v>
      </c>
      <c r="M332">
        <v>80060360.360360354</v>
      </c>
      <c r="N332">
        <v>127335810.8108108</v>
      </c>
      <c r="O332">
        <v>193358475.67567569</v>
      </c>
      <c r="P332">
        <v>200338594.5945946</v>
      </c>
      <c r="Q332">
        <v>77906126.126126125</v>
      </c>
      <c r="R332">
        <v>124547837.83783783</v>
      </c>
      <c r="S332">
        <v>21641</v>
      </c>
      <c r="T332">
        <v>23099</v>
      </c>
    </row>
    <row r="333" spans="1:20" x14ac:dyDescent="0.35">
      <c r="A333" s="7" t="s">
        <v>427</v>
      </c>
      <c r="B333" s="12" t="s">
        <v>77</v>
      </c>
      <c r="C333">
        <v>19403180.796650168</v>
      </c>
      <c r="D333">
        <v>19178270.458268598</v>
      </c>
      <c r="E333">
        <v>27027.027027028002</v>
      </c>
      <c r="F333">
        <v>126126.12612612599</v>
      </c>
      <c r="H333">
        <v>3</v>
      </c>
      <c r="L333">
        <v>4</v>
      </c>
      <c r="M333">
        <v>927927.92792792805</v>
      </c>
      <c r="N333">
        <v>2648648.6486486481</v>
      </c>
      <c r="O333">
        <v>1701054.054054054</v>
      </c>
      <c r="P333">
        <v>3442027.0270270272</v>
      </c>
      <c r="Q333">
        <v>1562342.3423423429</v>
      </c>
      <c r="R333">
        <v>1698468.4684684691</v>
      </c>
      <c r="S333">
        <v>834</v>
      </c>
      <c r="T333">
        <v>863</v>
      </c>
    </row>
    <row r="334" spans="1:20" x14ac:dyDescent="0.35">
      <c r="A334" s="7" t="s">
        <v>428</v>
      </c>
      <c r="B334" s="12" t="s">
        <v>77</v>
      </c>
      <c r="C334">
        <v>76450791.362157345</v>
      </c>
      <c r="D334">
        <v>77383107.339139804</v>
      </c>
      <c r="E334">
        <v>139639.63963964101</v>
      </c>
      <c r="F334">
        <v>917117.11711711704</v>
      </c>
      <c r="G334">
        <v>18</v>
      </c>
      <c r="H334">
        <v>23</v>
      </c>
      <c r="K334">
        <v>19</v>
      </c>
      <c r="L334">
        <v>23</v>
      </c>
      <c r="M334">
        <v>8806036.0360360369</v>
      </c>
      <c r="N334">
        <v>11314414.414414413</v>
      </c>
      <c r="O334">
        <v>17087450.45045045</v>
      </c>
      <c r="P334">
        <v>18930765.765765768</v>
      </c>
      <c r="Q334">
        <v>7646036.0360360369</v>
      </c>
      <c r="R334">
        <v>7759549.549549548</v>
      </c>
      <c r="S334">
        <v>1474</v>
      </c>
      <c r="T334">
        <v>1485</v>
      </c>
    </row>
    <row r="335" spans="1:20" x14ac:dyDescent="0.35">
      <c r="A335" s="7" t="s">
        <v>429</v>
      </c>
      <c r="B335" s="12" t="s">
        <v>332</v>
      </c>
      <c r="C335">
        <v>389684982.21104699</v>
      </c>
      <c r="D335">
        <v>366819020.15367776</v>
      </c>
      <c r="E335">
        <v>2593468.4684684728</v>
      </c>
      <c r="F335">
        <v>1298198.198198207</v>
      </c>
      <c r="G335">
        <v>144</v>
      </c>
      <c r="H335">
        <v>130</v>
      </c>
      <c r="K335">
        <v>164</v>
      </c>
      <c r="L335">
        <v>150</v>
      </c>
      <c r="M335">
        <v>20494594.59459459</v>
      </c>
      <c r="N335">
        <v>34818018.018018022</v>
      </c>
      <c r="O335">
        <v>67925380.630630627</v>
      </c>
      <c r="P335">
        <v>70680783.783783779</v>
      </c>
      <c r="Q335">
        <v>18155855.855855856</v>
      </c>
      <c r="R335">
        <v>30657567.567567568</v>
      </c>
      <c r="S335">
        <v>11810</v>
      </c>
      <c r="T335">
        <v>11813</v>
      </c>
    </row>
    <row r="336" spans="1:20" x14ac:dyDescent="0.35">
      <c r="A336" s="7" t="s">
        <v>430</v>
      </c>
      <c r="B336" s="12" t="s">
        <v>243</v>
      </c>
      <c r="C336">
        <v>100793722.66785762</v>
      </c>
      <c r="D336">
        <v>94766838.855459005</v>
      </c>
      <c r="E336">
        <v>700000.00000000198</v>
      </c>
      <c r="F336">
        <v>1374774.774774774</v>
      </c>
      <c r="G336">
        <v>32</v>
      </c>
      <c r="H336">
        <v>30</v>
      </c>
      <c r="K336">
        <v>35</v>
      </c>
      <c r="L336">
        <v>32</v>
      </c>
      <c r="M336">
        <v>9030540.5405405406</v>
      </c>
      <c r="N336">
        <v>15190090.090090089</v>
      </c>
      <c r="O336">
        <v>38040675.675675683</v>
      </c>
      <c r="P336">
        <v>38810702.702702701</v>
      </c>
      <c r="Q336">
        <v>10103423.423423421</v>
      </c>
      <c r="R336">
        <v>16784414.414414413</v>
      </c>
      <c r="S336">
        <v>5374</v>
      </c>
      <c r="T336">
        <v>5437</v>
      </c>
    </row>
    <row r="337" spans="1:20" x14ac:dyDescent="0.35">
      <c r="A337" s="7" t="s">
        <v>431</v>
      </c>
      <c r="B337" s="12" t="s">
        <v>285</v>
      </c>
      <c r="C337">
        <v>42690511.160154276</v>
      </c>
      <c r="D337">
        <v>53665922.852697343</v>
      </c>
      <c r="E337">
        <v>73430630.630630627</v>
      </c>
      <c r="F337">
        <v>58268468.468468465</v>
      </c>
      <c r="G337">
        <v>4</v>
      </c>
      <c r="H337">
        <v>42</v>
      </c>
      <c r="K337">
        <v>31</v>
      </c>
      <c r="L337">
        <v>59</v>
      </c>
      <c r="M337">
        <v>24895495.495495494</v>
      </c>
      <c r="N337">
        <v>15254954.954954956</v>
      </c>
      <c r="O337">
        <v>8451963.9639639631</v>
      </c>
      <c r="P337">
        <v>13774783.783783784</v>
      </c>
      <c r="Q337">
        <v>25910630.630630631</v>
      </c>
      <c r="R337">
        <v>12491351.351351352</v>
      </c>
      <c r="S337">
        <v>1186</v>
      </c>
      <c r="T337">
        <v>1395</v>
      </c>
    </row>
    <row r="338" spans="1:20" x14ac:dyDescent="0.35">
      <c r="A338" s="7" t="s">
        <v>432</v>
      </c>
      <c r="B338" s="12" t="s">
        <v>285</v>
      </c>
      <c r="C338">
        <v>13884049.657285089</v>
      </c>
      <c r="D338">
        <v>13326300.09945428</v>
      </c>
      <c r="E338">
        <v>207207.20720720699</v>
      </c>
      <c r="F338">
        <v>466666.66666666698</v>
      </c>
      <c r="H338">
        <v>1</v>
      </c>
      <c r="L338">
        <v>1</v>
      </c>
      <c r="M338">
        <v>3090090.090090089</v>
      </c>
      <c r="N338">
        <v>5133333.333333333</v>
      </c>
      <c r="O338">
        <v>830675.67567567597</v>
      </c>
      <c r="P338">
        <v>1466891.8918918921</v>
      </c>
      <c r="Q338">
        <v>2885855.8558558552</v>
      </c>
      <c r="R338">
        <v>4395855.8558558552</v>
      </c>
      <c r="S338">
        <v>507</v>
      </c>
      <c r="T338">
        <v>533</v>
      </c>
    </row>
    <row r="339" spans="1:20" x14ac:dyDescent="0.35">
      <c r="A339" s="7" t="s">
        <v>433</v>
      </c>
      <c r="B339" s="12" t="s">
        <v>285</v>
      </c>
      <c r="C339">
        <v>29732720.488914583</v>
      </c>
      <c r="D339">
        <v>32525703.717623413</v>
      </c>
      <c r="E339">
        <v>198198.19819819799</v>
      </c>
      <c r="F339">
        <v>131531.531531532</v>
      </c>
      <c r="G339">
        <v>4</v>
      </c>
      <c r="H339">
        <v>1</v>
      </c>
      <c r="K339">
        <v>4</v>
      </c>
      <c r="L339">
        <v>1</v>
      </c>
      <c r="M339">
        <v>288288.28828828799</v>
      </c>
      <c r="N339">
        <v>131531.531531532</v>
      </c>
      <c r="O339">
        <v>2584639.6396396388</v>
      </c>
      <c r="P339">
        <v>3019324.3243243238</v>
      </c>
      <c r="Q339">
        <v>173423.423423423</v>
      </c>
      <c r="R339">
        <v>119549.54954955001</v>
      </c>
      <c r="S339">
        <v>766</v>
      </c>
      <c r="T339">
        <v>794</v>
      </c>
    </row>
    <row r="340" spans="1:20" x14ac:dyDescent="0.35">
      <c r="A340" s="7" t="s">
        <v>434</v>
      </c>
      <c r="B340" s="12" t="s">
        <v>79</v>
      </c>
      <c r="C340">
        <v>171845070.31018466</v>
      </c>
      <c r="D340">
        <v>176725249.56428745</v>
      </c>
      <c r="E340">
        <v>1910810.810810813</v>
      </c>
      <c r="F340">
        <v>4064864.8648648672</v>
      </c>
      <c r="G340">
        <v>125</v>
      </c>
      <c r="H340">
        <v>85</v>
      </c>
      <c r="K340">
        <v>194</v>
      </c>
      <c r="L340">
        <v>154</v>
      </c>
      <c r="M340">
        <v>13676576.576576576</v>
      </c>
      <c r="N340">
        <v>25956756.75675676</v>
      </c>
      <c r="O340">
        <v>73419864.864864871</v>
      </c>
      <c r="P340">
        <v>77393468.468468457</v>
      </c>
      <c r="Q340">
        <v>15450270.270270268</v>
      </c>
      <c r="R340">
        <v>21690270.270270273</v>
      </c>
      <c r="S340">
        <v>6554</v>
      </c>
      <c r="T340">
        <v>6525</v>
      </c>
    </row>
    <row r="341" spans="1:20" x14ac:dyDescent="0.35">
      <c r="A341" s="7" t="s">
        <v>435</v>
      </c>
      <c r="B341" s="12" t="s">
        <v>106</v>
      </c>
      <c r="C341">
        <v>153415111.32222605</v>
      </c>
      <c r="D341">
        <v>150894794.23868749</v>
      </c>
      <c r="E341">
        <v>418018.01801801799</v>
      </c>
      <c r="F341">
        <v>120031531.53153154</v>
      </c>
      <c r="G341">
        <v>19</v>
      </c>
      <c r="H341">
        <v>32</v>
      </c>
      <c r="I341">
        <v>1</v>
      </c>
      <c r="K341">
        <v>21</v>
      </c>
      <c r="L341">
        <v>38</v>
      </c>
      <c r="M341">
        <v>19527882.882882878</v>
      </c>
      <c r="N341">
        <v>17911711.711711712</v>
      </c>
      <c r="O341">
        <v>37161639.639639638</v>
      </c>
      <c r="P341">
        <v>41613612.612612613</v>
      </c>
      <c r="Q341">
        <v>20255540.540540539</v>
      </c>
      <c r="R341">
        <v>17406126.126126125</v>
      </c>
      <c r="S341">
        <v>3679</v>
      </c>
      <c r="T341">
        <v>3279</v>
      </c>
    </row>
    <row r="342" spans="1:20" x14ac:dyDescent="0.35">
      <c r="A342" s="7" t="s">
        <v>436</v>
      </c>
      <c r="B342" s="12" t="s">
        <v>73</v>
      </c>
      <c r="C342">
        <v>836224429.58748746</v>
      </c>
      <c r="D342">
        <v>853698707.55087721</v>
      </c>
      <c r="E342">
        <v>5331081.0810810952</v>
      </c>
      <c r="F342">
        <v>4632432.4324324494</v>
      </c>
      <c r="G342">
        <v>211</v>
      </c>
      <c r="H342">
        <v>191</v>
      </c>
      <c r="I342">
        <v>4</v>
      </c>
      <c r="K342">
        <v>324</v>
      </c>
      <c r="L342">
        <v>238</v>
      </c>
      <c r="M342">
        <v>109955405.4054054</v>
      </c>
      <c r="N342">
        <v>136119369.36936939</v>
      </c>
      <c r="O342">
        <v>175509268.01801801</v>
      </c>
      <c r="P342">
        <v>193378891.8918919</v>
      </c>
      <c r="Q342">
        <v>90648648.648648649</v>
      </c>
      <c r="R342">
        <v>96388198.198198214</v>
      </c>
      <c r="S342">
        <v>18242</v>
      </c>
      <c r="T342">
        <v>18859</v>
      </c>
    </row>
    <row r="343" spans="1:20" x14ac:dyDescent="0.35">
      <c r="A343" s="7" t="s">
        <v>437</v>
      </c>
      <c r="B343" s="12" t="s">
        <v>73</v>
      </c>
      <c r="C343">
        <v>579401606.64423585</v>
      </c>
      <c r="D343">
        <v>600170748.23449242</v>
      </c>
      <c r="E343">
        <v>3582207.2072072141</v>
      </c>
      <c r="F343">
        <v>4667567.5675675794</v>
      </c>
      <c r="G343">
        <v>132</v>
      </c>
      <c r="H343">
        <v>92</v>
      </c>
      <c r="I343">
        <v>2</v>
      </c>
      <c r="K343">
        <v>145</v>
      </c>
      <c r="L343">
        <v>102</v>
      </c>
      <c r="M343">
        <v>58529729.729729727</v>
      </c>
      <c r="N343">
        <v>79748648.648648649</v>
      </c>
      <c r="O343">
        <v>107791225.22522523</v>
      </c>
      <c r="P343">
        <v>128788612.61261261</v>
      </c>
      <c r="Q343">
        <v>47280270.270270273</v>
      </c>
      <c r="R343">
        <v>51853333.333333336</v>
      </c>
      <c r="S343">
        <v>15188</v>
      </c>
      <c r="T343">
        <v>13741</v>
      </c>
    </row>
    <row r="344" spans="1:20" x14ac:dyDescent="0.35">
      <c r="A344" s="7" t="s">
        <v>438</v>
      </c>
      <c r="B344" s="12" t="s">
        <v>95</v>
      </c>
      <c r="C344">
        <v>40574636.53359548</v>
      </c>
      <c r="D344">
        <v>44128888.752349742</v>
      </c>
      <c r="E344">
        <v>13513.513513514001</v>
      </c>
      <c r="G344">
        <v>3</v>
      </c>
      <c r="H344">
        <v>6</v>
      </c>
      <c r="K344">
        <v>3</v>
      </c>
      <c r="L344">
        <v>7</v>
      </c>
      <c r="M344">
        <v>554054.05405405397</v>
      </c>
      <c r="N344">
        <v>450450.45045045001</v>
      </c>
      <c r="O344">
        <v>9946459.4594594594</v>
      </c>
      <c r="P344">
        <v>12311531.531531531</v>
      </c>
      <c r="Q344">
        <v>381801.80180180201</v>
      </c>
      <c r="R344">
        <v>273423.42342342302</v>
      </c>
      <c r="S344">
        <v>870</v>
      </c>
      <c r="T344">
        <v>918</v>
      </c>
    </row>
    <row r="345" spans="1:20" x14ac:dyDescent="0.35">
      <c r="A345" s="7" t="s">
        <v>439</v>
      </c>
      <c r="B345" s="12" t="s">
        <v>90</v>
      </c>
      <c r="C345">
        <v>211283114.20590183</v>
      </c>
      <c r="D345">
        <v>228363296.55949897</v>
      </c>
      <c r="E345">
        <v>139402702.7027027</v>
      </c>
      <c r="F345">
        <v>285893693.6936937</v>
      </c>
      <c r="G345">
        <v>62</v>
      </c>
      <c r="H345">
        <v>32</v>
      </c>
      <c r="K345">
        <v>69</v>
      </c>
      <c r="L345">
        <v>35</v>
      </c>
      <c r="M345">
        <v>26298738.738738734</v>
      </c>
      <c r="N345">
        <v>35890900.9009009</v>
      </c>
      <c r="O345">
        <v>95249364.864864871</v>
      </c>
      <c r="P345">
        <v>105451990.990991</v>
      </c>
      <c r="Q345">
        <v>26653423.423423424</v>
      </c>
      <c r="R345">
        <v>36712522.522522517</v>
      </c>
      <c r="S345">
        <v>5490</v>
      </c>
      <c r="T345">
        <v>5649</v>
      </c>
    </row>
    <row r="346" spans="1:20" x14ac:dyDescent="0.35">
      <c r="A346" s="7" t="s">
        <v>440</v>
      </c>
      <c r="B346" s="12" t="s">
        <v>71</v>
      </c>
      <c r="C346">
        <v>6425763.2270444846</v>
      </c>
      <c r="D346">
        <v>5975182.0628683539</v>
      </c>
      <c r="G346">
        <v>5</v>
      </c>
      <c r="H346">
        <v>4</v>
      </c>
      <c r="K346">
        <v>5</v>
      </c>
      <c r="L346">
        <v>4</v>
      </c>
      <c r="O346">
        <v>4200171.1711711707</v>
      </c>
      <c r="P346">
        <v>4234810.8108108109</v>
      </c>
      <c r="S346">
        <v>2539</v>
      </c>
      <c r="T346">
        <v>972</v>
      </c>
    </row>
    <row r="347" spans="1:20" x14ac:dyDescent="0.35">
      <c r="A347" s="7" t="s">
        <v>441</v>
      </c>
      <c r="B347" s="12" t="s">
        <v>197</v>
      </c>
      <c r="C347">
        <v>988374815.18135297</v>
      </c>
      <c r="D347">
        <v>1012343480.9199793</v>
      </c>
      <c r="E347">
        <v>99776837.837837845</v>
      </c>
      <c r="F347">
        <v>212715780.18018019</v>
      </c>
      <c r="G347">
        <v>275</v>
      </c>
      <c r="H347">
        <v>125</v>
      </c>
      <c r="K347">
        <v>343</v>
      </c>
      <c r="L347">
        <v>220</v>
      </c>
      <c r="M347">
        <v>81213873.873873875</v>
      </c>
      <c r="N347">
        <v>87256306.306306303</v>
      </c>
      <c r="O347">
        <v>170811094.5945946</v>
      </c>
      <c r="P347">
        <v>177895421.62162164</v>
      </c>
      <c r="Q347">
        <v>77364324.324324325</v>
      </c>
      <c r="R347">
        <v>74690000</v>
      </c>
      <c r="S347">
        <v>20611</v>
      </c>
      <c r="T347">
        <v>22085</v>
      </c>
    </row>
    <row r="348" spans="1:20" x14ac:dyDescent="0.35">
      <c r="A348" s="7" t="s">
        <v>442</v>
      </c>
      <c r="B348" s="12" t="s">
        <v>179</v>
      </c>
      <c r="C348">
        <v>492771435.49867231</v>
      </c>
      <c r="D348">
        <v>491318124.25471216</v>
      </c>
      <c r="E348">
        <v>2796396.3963964018</v>
      </c>
      <c r="F348">
        <v>2543243.2432432459</v>
      </c>
      <c r="G348">
        <v>69</v>
      </c>
      <c r="H348">
        <v>51</v>
      </c>
      <c r="I348">
        <v>1</v>
      </c>
      <c r="K348">
        <v>132</v>
      </c>
      <c r="L348">
        <v>68</v>
      </c>
      <c r="M348">
        <v>82783818.918918908</v>
      </c>
      <c r="N348">
        <v>81554954.954954967</v>
      </c>
      <c r="O348">
        <v>197659554.05405405</v>
      </c>
      <c r="P348">
        <v>205179972.97297296</v>
      </c>
      <c r="Q348">
        <v>73286351.351351351</v>
      </c>
      <c r="R348">
        <v>71822612.61261262</v>
      </c>
      <c r="S348">
        <v>14103</v>
      </c>
      <c r="T348">
        <v>14653</v>
      </c>
    </row>
    <row r="349" spans="1:20" x14ac:dyDescent="0.35">
      <c r="A349" s="7" t="s">
        <v>443</v>
      </c>
      <c r="B349" s="12" t="s">
        <v>79</v>
      </c>
      <c r="C349">
        <v>212136810.6904856</v>
      </c>
      <c r="D349">
        <v>208527107.08573213</v>
      </c>
      <c r="E349">
        <v>2989189.18918919</v>
      </c>
      <c r="F349">
        <v>4000000.0000000042</v>
      </c>
      <c r="G349">
        <v>50</v>
      </c>
      <c r="H349">
        <v>87</v>
      </c>
      <c r="I349">
        <v>4</v>
      </c>
      <c r="K349">
        <v>70</v>
      </c>
      <c r="L349">
        <v>125</v>
      </c>
      <c r="M349">
        <v>18962162.162162159</v>
      </c>
      <c r="N349">
        <v>29905405.40540541</v>
      </c>
      <c r="O349">
        <v>43070639.639639638</v>
      </c>
      <c r="P349">
        <v>47146234.234234229</v>
      </c>
      <c r="Q349">
        <v>20409729.729729727</v>
      </c>
      <c r="R349">
        <v>24099009.009009007</v>
      </c>
      <c r="S349">
        <v>4770</v>
      </c>
      <c r="T349">
        <v>4713</v>
      </c>
    </row>
    <row r="350" spans="1:20" x14ac:dyDescent="0.35">
      <c r="A350" s="7" t="s">
        <v>444</v>
      </c>
      <c r="B350" s="12" t="s">
        <v>79</v>
      </c>
      <c r="C350">
        <v>88488117.165872753</v>
      </c>
      <c r="D350">
        <v>95525723.943400115</v>
      </c>
      <c r="E350">
        <v>1356756.756756759</v>
      </c>
      <c r="F350">
        <v>1334234.234234238</v>
      </c>
      <c r="G350">
        <v>19</v>
      </c>
      <c r="H350">
        <v>18</v>
      </c>
      <c r="I350">
        <v>1</v>
      </c>
      <c r="K350">
        <v>25</v>
      </c>
      <c r="L350">
        <v>21</v>
      </c>
      <c r="M350">
        <v>16079099.0990991</v>
      </c>
      <c r="N350">
        <v>17583693.693693694</v>
      </c>
      <c r="O350">
        <v>18572009.009009007</v>
      </c>
      <c r="P350">
        <v>20051135.135135137</v>
      </c>
      <c r="Q350">
        <v>16442072.072072074</v>
      </c>
      <c r="R350">
        <v>16763243.243243244</v>
      </c>
      <c r="S350">
        <v>2378</v>
      </c>
      <c r="T350">
        <v>2316</v>
      </c>
    </row>
    <row r="351" spans="1:20" x14ac:dyDescent="0.35">
      <c r="A351" s="7" t="s">
        <v>445</v>
      </c>
      <c r="B351" s="12" t="s">
        <v>124</v>
      </c>
      <c r="C351">
        <v>1635841.1401531659</v>
      </c>
      <c r="D351">
        <v>760964.847847834</v>
      </c>
      <c r="O351">
        <v>686891.89189189195</v>
      </c>
      <c r="P351">
        <v>264900.900900901</v>
      </c>
      <c r="S351">
        <v>305</v>
      </c>
      <c r="T351">
        <v>319</v>
      </c>
    </row>
    <row r="352" spans="1:20" x14ac:dyDescent="0.35">
      <c r="A352" s="7" t="s">
        <v>446</v>
      </c>
      <c r="B352" s="12" t="s">
        <v>141</v>
      </c>
      <c r="C352">
        <v>217067737.86679205</v>
      </c>
      <c r="D352">
        <v>222032879.1198239</v>
      </c>
      <c r="E352">
        <v>1156306.306306306</v>
      </c>
      <c r="F352">
        <v>4208558.5585585618</v>
      </c>
      <c r="G352">
        <v>35</v>
      </c>
      <c r="H352">
        <v>42</v>
      </c>
      <c r="I352">
        <v>7</v>
      </c>
      <c r="K352">
        <v>42</v>
      </c>
      <c r="L352">
        <v>48</v>
      </c>
      <c r="M352">
        <v>22569729.729729727</v>
      </c>
      <c r="N352">
        <v>30243963.963963967</v>
      </c>
      <c r="O352">
        <v>60015945.945945941</v>
      </c>
      <c r="P352">
        <v>63371072.072072074</v>
      </c>
      <c r="Q352">
        <v>21096756.756756756</v>
      </c>
      <c r="R352">
        <v>27140360.360360362</v>
      </c>
      <c r="S352">
        <v>5822</v>
      </c>
      <c r="T352">
        <v>5558</v>
      </c>
    </row>
    <row r="353" spans="1:20" x14ac:dyDescent="0.35">
      <c r="A353" s="7" t="s">
        <v>447</v>
      </c>
      <c r="B353" s="12" t="s">
        <v>77</v>
      </c>
      <c r="C353">
        <v>23680403.346177049</v>
      </c>
      <c r="D353">
        <v>22131753.043182444</v>
      </c>
      <c r="E353">
        <v>218918.91891891899</v>
      </c>
      <c r="F353">
        <v>99099.099099098996</v>
      </c>
      <c r="G353">
        <v>3</v>
      </c>
      <c r="H353">
        <v>1</v>
      </c>
      <c r="K353">
        <v>3</v>
      </c>
      <c r="L353">
        <v>1</v>
      </c>
      <c r="M353">
        <v>3417117.1171171172</v>
      </c>
      <c r="N353">
        <v>7081081.0810810803</v>
      </c>
      <c r="O353">
        <v>5328351.3513513505</v>
      </c>
      <c r="P353">
        <v>5221603.6036036042</v>
      </c>
      <c r="Q353">
        <v>3568378.3783783782</v>
      </c>
      <c r="R353">
        <v>5669999.9999999991</v>
      </c>
      <c r="S353">
        <v>598</v>
      </c>
      <c r="T353">
        <v>594</v>
      </c>
    </row>
    <row r="354" spans="1:20" x14ac:dyDescent="0.35">
      <c r="A354" s="7" t="s">
        <v>448</v>
      </c>
      <c r="B354" s="12" t="s">
        <v>90</v>
      </c>
      <c r="C354">
        <v>663118459.51981473</v>
      </c>
      <c r="D354">
        <v>664364997.78939545</v>
      </c>
      <c r="E354">
        <v>406777563.06306309</v>
      </c>
      <c r="F354">
        <v>637973362.16216218</v>
      </c>
      <c r="G354">
        <v>264</v>
      </c>
      <c r="H354">
        <v>112</v>
      </c>
      <c r="I354">
        <v>3</v>
      </c>
      <c r="K354">
        <v>827</v>
      </c>
      <c r="L354">
        <v>226</v>
      </c>
      <c r="M354">
        <v>243933963.96396396</v>
      </c>
      <c r="N354">
        <v>99357387.387387395</v>
      </c>
      <c r="O354">
        <v>217582763.96396396</v>
      </c>
      <c r="P354">
        <v>216646180.18018019</v>
      </c>
      <c r="Q354">
        <v>139541621.62162161</v>
      </c>
      <c r="R354">
        <v>99615675.675675675</v>
      </c>
      <c r="S354">
        <v>16888</v>
      </c>
      <c r="T354">
        <v>15936</v>
      </c>
    </row>
    <row r="355" spans="1:20" x14ac:dyDescent="0.35">
      <c r="A355" s="7" t="s">
        <v>449</v>
      </c>
      <c r="B355" s="12" t="s">
        <v>49</v>
      </c>
      <c r="C355">
        <v>65053231.163693063</v>
      </c>
      <c r="D355">
        <v>66467479.090424277</v>
      </c>
      <c r="E355">
        <v>1801801.8018018019</v>
      </c>
      <c r="F355">
        <v>861261.261261262</v>
      </c>
      <c r="G355">
        <v>5</v>
      </c>
      <c r="H355">
        <v>3</v>
      </c>
      <c r="K355">
        <v>6</v>
      </c>
      <c r="L355">
        <v>4</v>
      </c>
      <c r="M355">
        <v>17725945.945945945</v>
      </c>
      <c r="N355">
        <v>11863063.063063063</v>
      </c>
      <c r="O355">
        <v>22093540.540540539</v>
      </c>
      <c r="P355">
        <v>24667063.063063063</v>
      </c>
      <c r="Q355">
        <v>17612522.522522524</v>
      </c>
      <c r="R355">
        <v>11886756.756756756</v>
      </c>
      <c r="S355">
        <v>1131</v>
      </c>
      <c r="T355">
        <v>1112</v>
      </c>
    </row>
    <row r="356" spans="1:20" x14ac:dyDescent="0.35">
      <c r="A356" s="7" t="s">
        <v>450</v>
      </c>
      <c r="B356" s="12" t="s">
        <v>451</v>
      </c>
      <c r="C356">
        <v>129267097.16615184</v>
      </c>
      <c r="D356">
        <v>143049907.36338624</v>
      </c>
      <c r="E356">
        <v>2982882.8828828838</v>
      </c>
      <c r="F356">
        <v>2863963.9639639659</v>
      </c>
      <c r="G356">
        <v>124</v>
      </c>
      <c r="H356">
        <v>51</v>
      </c>
      <c r="K356">
        <v>174</v>
      </c>
      <c r="L356">
        <v>78</v>
      </c>
      <c r="M356">
        <v>10996216.216216218</v>
      </c>
      <c r="N356">
        <v>62446621.621621624</v>
      </c>
      <c r="O356">
        <v>53214747.747747749</v>
      </c>
      <c r="P356">
        <v>57809585.585585587</v>
      </c>
      <c r="Q356">
        <v>12410540.540540542</v>
      </c>
      <c r="R356">
        <v>61692567.567567565</v>
      </c>
      <c r="S356">
        <v>5611</v>
      </c>
      <c r="T356">
        <v>5973</v>
      </c>
    </row>
    <row r="357" spans="1:20" x14ac:dyDescent="0.35">
      <c r="A357" s="7" t="s">
        <v>452</v>
      </c>
      <c r="B357" s="12" t="s">
        <v>77</v>
      </c>
      <c r="C357">
        <v>30695477.589324921</v>
      </c>
      <c r="D357">
        <v>34512533.782481082</v>
      </c>
      <c r="E357">
        <v>514414.41441441601</v>
      </c>
      <c r="F357">
        <v>316216.21621621703</v>
      </c>
      <c r="G357">
        <v>21</v>
      </c>
      <c r="H357">
        <v>16</v>
      </c>
      <c r="K357">
        <v>21</v>
      </c>
      <c r="L357">
        <v>18</v>
      </c>
      <c r="M357">
        <v>9080000</v>
      </c>
      <c r="N357">
        <v>11584684.684684685</v>
      </c>
      <c r="O357">
        <v>10965628.828828828</v>
      </c>
      <c r="P357">
        <v>11728162.162162162</v>
      </c>
      <c r="Q357">
        <v>7249099.0990991006</v>
      </c>
      <c r="R357">
        <v>7705675.6756756771</v>
      </c>
      <c r="S357">
        <v>1870</v>
      </c>
      <c r="T357">
        <v>1943</v>
      </c>
    </row>
    <row r="358" spans="1:20" x14ac:dyDescent="0.35">
      <c r="A358" s="7" t="s">
        <v>453</v>
      </c>
      <c r="B358" s="12" t="s">
        <v>84</v>
      </c>
      <c r="C358">
        <v>1182765551.7835205</v>
      </c>
      <c r="D358">
        <v>1232551559.3623073</v>
      </c>
      <c r="E358">
        <v>297609654.95495492</v>
      </c>
      <c r="F358">
        <v>458811817.11711711</v>
      </c>
      <c r="G358">
        <v>273</v>
      </c>
      <c r="H358">
        <v>186</v>
      </c>
      <c r="I358">
        <v>1</v>
      </c>
      <c r="K358">
        <v>382</v>
      </c>
      <c r="L358">
        <v>316</v>
      </c>
      <c r="M358">
        <v>154364639.63963965</v>
      </c>
      <c r="N358">
        <v>194260315.31531531</v>
      </c>
      <c r="O358">
        <v>256877353.6036036</v>
      </c>
      <c r="P358">
        <v>287942908.1081081</v>
      </c>
      <c r="Q358">
        <v>140304414.41441441</v>
      </c>
      <c r="R358">
        <v>172649324.32432431</v>
      </c>
      <c r="S358">
        <v>32147</v>
      </c>
      <c r="T358">
        <v>32037</v>
      </c>
    </row>
    <row r="359" spans="1:20" x14ac:dyDescent="0.35">
      <c r="A359" s="7" t="s">
        <v>454</v>
      </c>
      <c r="B359" s="12" t="s">
        <v>71</v>
      </c>
      <c r="C359">
        <v>76943560.806321219</v>
      </c>
      <c r="D359">
        <v>77733197.434514031</v>
      </c>
      <c r="E359">
        <v>52785485.585585587</v>
      </c>
      <c r="F359">
        <v>100740539.63963965</v>
      </c>
      <c r="G359">
        <v>19</v>
      </c>
      <c r="H359">
        <v>6</v>
      </c>
      <c r="K359">
        <v>20</v>
      </c>
      <c r="L359">
        <v>8</v>
      </c>
      <c r="M359">
        <v>36915325.225225225</v>
      </c>
      <c r="N359">
        <v>45557344.144144148</v>
      </c>
      <c r="O359">
        <v>47708054.054054059</v>
      </c>
      <c r="P359">
        <v>44437909.909909911</v>
      </c>
      <c r="Q359">
        <v>1390900.900900902</v>
      </c>
      <c r="R359">
        <v>2400900.9009008999</v>
      </c>
      <c r="S359">
        <v>3469</v>
      </c>
      <c r="T359">
        <v>2742</v>
      </c>
    </row>
    <row r="360" spans="1:20" x14ac:dyDescent="0.35">
      <c r="A360" s="7" t="s">
        <v>455</v>
      </c>
      <c r="B360" s="12" t="s">
        <v>168</v>
      </c>
      <c r="C360">
        <v>93386696.106469899</v>
      </c>
      <c r="D360">
        <v>97573868.056796342</v>
      </c>
      <c r="E360">
        <v>495495.49549549498</v>
      </c>
      <c r="F360">
        <v>2231531.5315315318</v>
      </c>
      <c r="G360">
        <v>4</v>
      </c>
      <c r="H360">
        <v>15</v>
      </c>
      <c r="K360">
        <v>4</v>
      </c>
      <c r="L360">
        <v>15</v>
      </c>
      <c r="M360">
        <v>2371621.6216216241</v>
      </c>
      <c r="N360">
        <v>4105405.405405404</v>
      </c>
      <c r="O360">
        <v>17331810.810810812</v>
      </c>
      <c r="P360">
        <v>24170927.927927926</v>
      </c>
      <c r="Q360">
        <v>3880630.6306306329</v>
      </c>
      <c r="R360">
        <v>3392072.072072071</v>
      </c>
      <c r="S360">
        <v>2607</v>
      </c>
      <c r="T360">
        <v>3197</v>
      </c>
    </row>
    <row r="361" spans="1:20" x14ac:dyDescent="0.35">
      <c r="A361" s="7" t="s">
        <v>456</v>
      </c>
      <c r="B361" s="12" t="s">
        <v>122</v>
      </c>
      <c r="C361">
        <v>3948706.5698302509</v>
      </c>
      <c r="D361">
        <v>4253555.9476905446</v>
      </c>
      <c r="E361">
        <v>34234.234234233998</v>
      </c>
      <c r="G361">
        <v>1</v>
      </c>
      <c r="K361">
        <v>2</v>
      </c>
      <c r="M361">
        <v>36036.036036035999</v>
      </c>
      <c r="O361">
        <v>397387.38738738699</v>
      </c>
      <c r="P361">
        <v>342297.29729729699</v>
      </c>
      <c r="S361">
        <v>133</v>
      </c>
      <c r="T361">
        <v>147</v>
      </c>
    </row>
    <row r="362" spans="1:20" x14ac:dyDescent="0.35">
      <c r="A362" s="7" t="s">
        <v>457</v>
      </c>
      <c r="B362" s="12" t="s">
        <v>226</v>
      </c>
      <c r="C362">
        <v>31570890.638515651</v>
      </c>
      <c r="D362">
        <v>34182531.808650494</v>
      </c>
      <c r="K362">
        <v>1</v>
      </c>
      <c r="O362">
        <v>6182153.1531531531</v>
      </c>
      <c r="P362">
        <v>9960720.7207207195</v>
      </c>
      <c r="Q362">
        <v>138828.82882882899</v>
      </c>
      <c r="R362">
        <v>67027.027027026998</v>
      </c>
      <c r="S362">
        <v>1235</v>
      </c>
      <c r="T362">
        <v>1245</v>
      </c>
    </row>
    <row r="363" spans="1:20" x14ac:dyDescent="0.35">
      <c r="A363" s="7" t="s">
        <v>458</v>
      </c>
      <c r="B363" s="12" t="s">
        <v>95</v>
      </c>
      <c r="C363">
        <v>52273516.520929329</v>
      </c>
      <c r="D363">
        <v>63115327.941948608</v>
      </c>
      <c r="E363">
        <v>441441.441441442</v>
      </c>
      <c r="F363">
        <v>1022522.522522526</v>
      </c>
      <c r="G363">
        <v>15</v>
      </c>
      <c r="H363">
        <v>23</v>
      </c>
      <c r="K363">
        <v>16</v>
      </c>
      <c r="L363">
        <v>27</v>
      </c>
      <c r="M363">
        <v>17252252.252252251</v>
      </c>
      <c r="N363">
        <v>14806306.306306306</v>
      </c>
      <c r="O363">
        <v>12328986.486486487</v>
      </c>
      <c r="P363">
        <v>17443599.0990991</v>
      </c>
      <c r="Q363">
        <v>17331981.981981982</v>
      </c>
      <c r="R363">
        <v>12806846.846846843</v>
      </c>
      <c r="S363">
        <v>2009</v>
      </c>
      <c r="T363">
        <v>3330</v>
      </c>
    </row>
    <row r="364" spans="1:20" x14ac:dyDescent="0.35">
      <c r="A364" s="7" t="s">
        <v>665</v>
      </c>
      <c r="B364" s="12" t="s">
        <v>191</v>
      </c>
      <c r="E364">
        <v>3603603.6036036038</v>
      </c>
      <c r="F364">
        <v>39074813.513513513</v>
      </c>
      <c r="M364">
        <v>14864.864864865</v>
      </c>
      <c r="N364">
        <v>6216216.2162162159</v>
      </c>
    </row>
    <row r="365" spans="1:20" x14ac:dyDescent="0.35">
      <c r="A365" s="7" t="s">
        <v>676</v>
      </c>
      <c r="B365" s="12" t="s">
        <v>262</v>
      </c>
      <c r="E365">
        <v>78422522.522522524</v>
      </c>
      <c r="F365">
        <v>30653153.153153151</v>
      </c>
      <c r="M365">
        <v>863513.51351351396</v>
      </c>
      <c r="N365">
        <v>437837.83783783799</v>
      </c>
    </row>
    <row r="366" spans="1:20" x14ac:dyDescent="0.35">
      <c r="A366" s="7" t="s">
        <v>459</v>
      </c>
      <c r="B366" s="12" t="s">
        <v>61</v>
      </c>
      <c r="C366">
        <v>7017143.3314085081</v>
      </c>
      <c r="D366">
        <v>8726680.8650138415</v>
      </c>
      <c r="E366">
        <v>170270.27027027</v>
      </c>
      <c r="G366">
        <v>5</v>
      </c>
      <c r="H366">
        <v>2</v>
      </c>
      <c r="K366">
        <v>6</v>
      </c>
      <c r="L366">
        <v>3</v>
      </c>
      <c r="M366">
        <v>1206306.306306307</v>
      </c>
      <c r="N366">
        <v>450450.45045045001</v>
      </c>
      <c r="O366">
        <v>3129765.7657657661</v>
      </c>
      <c r="P366">
        <v>4623720.7207207223</v>
      </c>
      <c r="Q366">
        <v>620270.27027026995</v>
      </c>
      <c r="R366">
        <v>523783.78378378402</v>
      </c>
      <c r="S366">
        <v>569</v>
      </c>
      <c r="T366">
        <v>702</v>
      </c>
    </row>
    <row r="367" spans="1:20" x14ac:dyDescent="0.35">
      <c r="A367" s="7" t="s">
        <v>460</v>
      </c>
      <c r="B367" s="12" t="s">
        <v>216</v>
      </c>
      <c r="C367">
        <v>129894137.01129919</v>
      </c>
      <c r="D367">
        <v>127077415.17065917</v>
      </c>
      <c r="E367">
        <v>396396.39639639598</v>
      </c>
      <c r="G367">
        <v>31</v>
      </c>
      <c r="H367">
        <v>1</v>
      </c>
      <c r="K367">
        <v>34</v>
      </c>
      <c r="L367">
        <v>1</v>
      </c>
      <c r="M367">
        <v>936936.93693693704</v>
      </c>
      <c r="N367">
        <v>360360.36036036001</v>
      </c>
      <c r="O367">
        <v>66181900.9009009</v>
      </c>
      <c r="P367">
        <v>67497972.972972974</v>
      </c>
      <c r="Q367">
        <v>1704504.5045045051</v>
      </c>
      <c r="R367">
        <v>427117.11711711698</v>
      </c>
      <c r="S367">
        <v>2867</v>
      </c>
      <c r="T367">
        <v>3127</v>
      </c>
    </row>
    <row r="368" spans="1:20" x14ac:dyDescent="0.35">
      <c r="A368" s="7" t="s">
        <v>461</v>
      </c>
      <c r="B368" s="12" t="s">
        <v>462</v>
      </c>
      <c r="C368">
        <v>503736434.01478463</v>
      </c>
      <c r="D368">
        <v>546576717.18492997</v>
      </c>
      <c r="E368">
        <v>9602252.2522522602</v>
      </c>
      <c r="F368">
        <v>16765765.765765771</v>
      </c>
      <c r="G368">
        <v>322</v>
      </c>
      <c r="H368">
        <v>208</v>
      </c>
      <c r="K368">
        <v>431</v>
      </c>
      <c r="L368">
        <v>314</v>
      </c>
      <c r="M368">
        <v>207118108.1081081</v>
      </c>
      <c r="N368">
        <v>141528693.6936937</v>
      </c>
      <c r="O368">
        <v>179430038.2882883</v>
      </c>
      <c r="P368">
        <v>206021618.01801801</v>
      </c>
      <c r="Q368">
        <v>105321891.89189188</v>
      </c>
      <c r="R368">
        <v>127939684.68468469</v>
      </c>
      <c r="S368">
        <v>24233</v>
      </c>
      <c r="T368">
        <v>25345</v>
      </c>
    </row>
    <row r="369" spans="1:20" x14ac:dyDescent="0.35">
      <c r="A369" s="7" t="s">
        <v>463</v>
      </c>
      <c r="B369" s="12" t="s">
        <v>462</v>
      </c>
      <c r="C369">
        <v>1454971875.3728251</v>
      </c>
      <c r="D369">
        <v>1812690502.5412021</v>
      </c>
      <c r="E369">
        <v>321626126.12612617</v>
      </c>
      <c r="F369">
        <v>145259459.45945945</v>
      </c>
      <c r="G369">
        <v>431</v>
      </c>
      <c r="H369">
        <v>350</v>
      </c>
      <c r="I369">
        <v>5</v>
      </c>
      <c r="K369">
        <v>525</v>
      </c>
      <c r="L369">
        <v>534</v>
      </c>
      <c r="M369">
        <v>93417027.027027011</v>
      </c>
      <c r="N369">
        <v>157652072.07207206</v>
      </c>
      <c r="O369">
        <v>846149464.41441441</v>
      </c>
      <c r="P369">
        <v>1179444855.8558559</v>
      </c>
      <c r="Q369">
        <v>79855720.720720708</v>
      </c>
      <c r="R369">
        <v>115136936.93693694</v>
      </c>
      <c r="S369">
        <v>29680</v>
      </c>
      <c r="T369">
        <v>32986</v>
      </c>
    </row>
    <row r="370" spans="1:20" x14ac:dyDescent="0.35">
      <c r="A370" s="7" t="s">
        <v>464</v>
      </c>
      <c r="B370" s="12" t="s">
        <v>462</v>
      </c>
      <c r="C370">
        <v>799902210.08081198</v>
      </c>
      <c r="D370">
        <v>815980617.12057877</v>
      </c>
      <c r="E370">
        <v>6574774.7747747814</v>
      </c>
      <c r="F370">
        <v>32763662.162162159</v>
      </c>
      <c r="G370">
        <v>358</v>
      </c>
      <c r="H370">
        <v>258</v>
      </c>
      <c r="I370">
        <v>6</v>
      </c>
      <c r="K370">
        <v>446</v>
      </c>
      <c r="L370">
        <v>454</v>
      </c>
      <c r="M370">
        <v>576955045.04504502</v>
      </c>
      <c r="N370">
        <v>1035508481.981982</v>
      </c>
      <c r="O370">
        <v>220067301.8018018</v>
      </c>
      <c r="P370">
        <v>239348385.58558559</v>
      </c>
      <c r="Q370">
        <v>298184504.5045045</v>
      </c>
      <c r="R370">
        <v>124158693.6936937</v>
      </c>
      <c r="S370">
        <v>21709</v>
      </c>
      <c r="T370">
        <v>23749</v>
      </c>
    </row>
    <row r="371" spans="1:20" x14ac:dyDescent="0.35">
      <c r="A371" s="7" t="s">
        <v>465</v>
      </c>
      <c r="B371" s="12" t="s">
        <v>462</v>
      </c>
      <c r="C371">
        <v>580422042.67389131</v>
      </c>
      <c r="D371">
        <v>543011663.18855</v>
      </c>
      <c r="E371">
        <v>3177477.4774774839</v>
      </c>
      <c r="F371">
        <v>7233333.3333333358</v>
      </c>
      <c r="G371">
        <v>192</v>
      </c>
      <c r="H371">
        <v>102</v>
      </c>
      <c r="I371">
        <v>4</v>
      </c>
      <c r="K371">
        <v>229</v>
      </c>
      <c r="L371">
        <v>124</v>
      </c>
      <c r="M371">
        <v>77358243.243243247</v>
      </c>
      <c r="N371">
        <v>71704216.216216207</v>
      </c>
      <c r="O371">
        <v>132336198.1981982</v>
      </c>
      <c r="P371">
        <v>137828504.5045045</v>
      </c>
      <c r="Q371">
        <v>52256351.351351351</v>
      </c>
      <c r="R371">
        <v>63761621.621621624</v>
      </c>
      <c r="S371">
        <v>18836</v>
      </c>
      <c r="T371">
        <v>17317</v>
      </c>
    </row>
    <row r="372" spans="1:20" x14ac:dyDescent="0.35">
      <c r="A372" s="7" t="s">
        <v>466</v>
      </c>
      <c r="B372" s="12" t="s">
        <v>462</v>
      </c>
      <c r="C372">
        <v>564400144.25578761</v>
      </c>
      <c r="D372">
        <v>594698020.36969662</v>
      </c>
      <c r="E372">
        <v>9745270.2702702731</v>
      </c>
      <c r="F372">
        <v>9403603.6036036089</v>
      </c>
      <c r="G372">
        <v>380</v>
      </c>
      <c r="H372">
        <v>250</v>
      </c>
      <c r="I372">
        <v>1</v>
      </c>
      <c r="K372">
        <v>479</v>
      </c>
      <c r="L372">
        <v>978</v>
      </c>
      <c r="M372">
        <v>147624009.009009</v>
      </c>
      <c r="N372">
        <v>225672972.97297296</v>
      </c>
      <c r="O372">
        <v>224465168.91891891</v>
      </c>
      <c r="P372">
        <v>238258765.76576576</v>
      </c>
      <c r="Q372">
        <v>137947612.61261261</v>
      </c>
      <c r="R372">
        <v>201628063.06306309</v>
      </c>
      <c r="S372">
        <v>27394</v>
      </c>
      <c r="T372">
        <v>26512</v>
      </c>
    </row>
    <row r="373" spans="1:20" x14ac:dyDescent="0.35">
      <c r="A373" s="7" t="s">
        <v>467</v>
      </c>
      <c r="B373" s="12" t="s">
        <v>462</v>
      </c>
      <c r="C373">
        <v>652910865.81227338</v>
      </c>
      <c r="D373">
        <v>639093865.48646772</v>
      </c>
      <c r="E373">
        <v>1499421027.0270269</v>
      </c>
      <c r="F373">
        <v>1138435181.981982</v>
      </c>
      <c r="G373">
        <v>247</v>
      </c>
      <c r="H373">
        <v>126</v>
      </c>
      <c r="K373">
        <v>295</v>
      </c>
      <c r="L373">
        <v>175</v>
      </c>
      <c r="M373">
        <v>82337824.324324325</v>
      </c>
      <c r="N373">
        <v>132050900.9009009</v>
      </c>
      <c r="O373">
        <v>278740286.03603601</v>
      </c>
      <c r="P373">
        <v>289922603.6036036</v>
      </c>
      <c r="Q373">
        <v>85001216.216216207</v>
      </c>
      <c r="R373">
        <v>128435135.13513513</v>
      </c>
      <c r="S373">
        <v>28726</v>
      </c>
      <c r="T373">
        <v>28337</v>
      </c>
    </row>
    <row r="374" spans="1:20" x14ac:dyDescent="0.35">
      <c r="A374" s="7" t="s">
        <v>468</v>
      </c>
      <c r="B374" s="12" t="s">
        <v>55</v>
      </c>
      <c r="C374">
        <v>42099835.350307517</v>
      </c>
      <c r="D374">
        <v>43178266.014134303</v>
      </c>
      <c r="E374">
        <v>166666.666666668</v>
      </c>
      <c r="F374">
        <v>538738.73873873998</v>
      </c>
      <c r="G374">
        <v>12</v>
      </c>
      <c r="H374">
        <v>5</v>
      </c>
      <c r="K374">
        <v>13</v>
      </c>
      <c r="L374">
        <v>7</v>
      </c>
      <c r="M374">
        <v>3475495.4954954959</v>
      </c>
      <c r="N374">
        <v>4829549.5495495489</v>
      </c>
      <c r="O374">
        <v>8721297.2972972989</v>
      </c>
      <c r="P374">
        <v>9095855.8558558561</v>
      </c>
      <c r="Q374">
        <v>3791981.9819819801</v>
      </c>
      <c r="R374">
        <v>4511531.5315315323</v>
      </c>
      <c r="S374">
        <v>1236</v>
      </c>
      <c r="T374">
        <v>1214</v>
      </c>
    </row>
    <row r="375" spans="1:20" x14ac:dyDescent="0.35">
      <c r="A375" s="7" t="s">
        <v>469</v>
      </c>
      <c r="B375" s="12" t="s">
        <v>88</v>
      </c>
      <c r="C375">
        <v>1586117.6006228609</v>
      </c>
      <c r="D375">
        <v>1927801.752857354</v>
      </c>
      <c r="H375">
        <v>1</v>
      </c>
      <c r="L375">
        <v>1</v>
      </c>
      <c r="O375">
        <v>295945.94594594598</v>
      </c>
      <c r="P375">
        <v>834684.68468468497</v>
      </c>
      <c r="S375">
        <v>81</v>
      </c>
      <c r="T375">
        <v>78</v>
      </c>
    </row>
    <row r="376" spans="1:20" x14ac:dyDescent="0.35">
      <c r="A376" s="7" t="s">
        <v>470</v>
      </c>
      <c r="B376" s="12" t="s">
        <v>144</v>
      </c>
      <c r="C376">
        <v>207498898.49357155</v>
      </c>
      <c r="D376">
        <v>227729584.62780681</v>
      </c>
      <c r="E376">
        <v>239639.63963964101</v>
      </c>
      <c r="F376">
        <v>189189.18918918999</v>
      </c>
      <c r="G376">
        <v>60</v>
      </c>
      <c r="H376">
        <v>2</v>
      </c>
      <c r="K376">
        <v>66</v>
      </c>
      <c r="L376">
        <v>2</v>
      </c>
      <c r="M376">
        <v>8167567.5675675683</v>
      </c>
      <c r="N376">
        <v>11900900.900900902</v>
      </c>
      <c r="O376">
        <v>31155077.477477476</v>
      </c>
      <c r="P376">
        <v>44063313.513513513</v>
      </c>
      <c r="Q376">
        <v>7900270.2702702694</v>
      </c>
      <c r="R376">
        <v>10029412.612612613</v>
      </c>
      <c r="S376">
        <v>5029</v>
      </c>
      <c r="T376">
        <v>5116</v>
      </c>
    </row>
    <row r="377" spans="1:20" x14ac:dyDescent="0.35">
      <c r="A377" s="7" t="s">
        <v>471</v>
      </c>
      <c r="B377" s="12" t="s">
        <v>81</v>
      </c>
      <c r="C377">
        <v>177940852.38823989</v>
      </c>
      <c r="D377">
        <v>173016223.17048064</v>
      </c>
      <c r="E377">
        <v>31081.081081082</v>
      </c>
      <c r="F377">
        <v>120720.72072072299</v>
      </c>
      <c r="G377">
        <v>32</v>
      </c>
      <c r="H377">
        <v>10</v>
      </c>
      <c r="K377">
        <v>36</v>
      </c>
      <c r="L377">
        <v>11</v>
      </c>
      <c r="M377">
        <v>3840090.0900900899</v>
      </c>
      <c r="N377">
        <v>6436036.036036035</v>
      </c>
      <c r="O377">
        <v>66340378.378378376</v>
      </c>
      <c r="P377">
        <v>65238787.387387395</v>
      </c>
      <c r="Q377">
        <v>4021351.3513513519</v>
      </c>
      <c r="R377">
        <v>3431711.7117117108</v>
      </c>
      <c r="S377">
        <v>5286</v>
      </c>
      <c r="T377">
        <v>5244</v>
      </c>
    </row>
    <row r="378" spans="1:20" x14ac:dyDescent="0.35">
      <c r="A378" s="7" t="s">
        <v>472</v>
      </c>
      <c r="B378" s="12" t="s">
        <v>473</v>
      </c>
      <c r="C378">
        <v>211337893.96424323</v>
      </c>
      <c r="D378">
        <v>209657109.83665052</v>
      </c>
      <c r="E378">
        <v>1284684.6846846871</v>
      </c>
      <c r="F378">
        <v>1685585.585585586</v>
      </c>
      <c r="G378">
        <v>20</v>
      </c>
      <c r="H378">
        <v>14</v>
      </c>
      <c r="K378">
        <v>22</v>
      </c>
      <c r="L378">
        <v>20</v>
      </c>
      <c r="M378">
        <v>15915315.315315315</v>
      </c>
      <c r="N378">
        <v>12136036.036036037</v>
      </c>
      <c r="O378">
        <v>65052819.819819823</v>
      </c>
      <c r="P378">
        <v>69205563.963963971</v>
      </c>
      <c r="Q378">
        <v>15910540.540540541</v>
      </c>
      <c r="R378">
        <v>28686018.018018015</v>
      </c>
      <c r="S378">
        <v>5399</v>
      </c>
      <c r="T378">
        <v>5613</v>
      </c>
    </row>
    <row r="379" spans="1:20" x14ac:dyDescent="0.35">
      <c r="A379" s="7" t="s">
        <v>474</v>
      </c>
      <c r="B379" s="12" t="s">
        <v>473</v>
      </c>
      <c r="C379">
        <v>16747823.884176215</v>
      </c>
      <c r="D379">
        <v>18247432.100592446</v>
      </c>
      <c r="E379">
        <v>85585.585585585999</v>
      </c>
      <c r="F379">
        <v>27027.027027027001</v>
      </c>
      <c r="K379">
        <v>1</v>
      </c>
      <c r="M379">
        <v>1779279.2792792791</v>
      </c>
      <c r="N379">
        <v>27027.027027027001</v>
      </c>
      <c r="O379">
        <v>1600720.7207207209</v>
      </c>
      <c r="P379">
        <v>2183810.8108108109</v>
      </c>
      <c r="Q379">
        <v>1823423.4234234239</v>
      </c>
      <c r="R379">
        <v>111711.71171171201</v>
      </c>
      <c r="S379">
        <v>653</v>
      </c>
      <c r="T379">
        <v>638</v>
      </c>
    </row>
    <row r="380" spans="1:20" x14ac:dyDescent="0.35">
      <c r="A380" s="7" t="s">
        <v>475</v>
      </c>
      <c r="B380" s="12" t="s">
        <v>473</v>
      </c>
      <c r="C380">
        <v>2240628.325352686</v>
      </c>
      <c r="D380">
        <v>2298919.1624851869</v>
      </c>
      <c r="E380">
        <v>237837.83783783799</v>
      </c>
      <c r="F380">
        <v>225225.22522522599</v>
      </c>
      <c r="K380">
        <v>1</v>
      </c>
      <c r="M380">
        <v>1958558.558558559</v>
      </c>
      <c r="N380">
        <v>225225.22522522599</v>
      </c>
      <c r="O380">
        <v>487207.20720720699</v>
      </c>
      <c r="P380">
        <v>536711.71171171195</v>
      </c>
      <c r="Q380">
        <v>1693693.693693694</v>
      </c>
      <c r="R380">
        <v>3725135.1351351351</v>
      </c>
      <c r="S380">
        <v>362</v>
      </c>
      <c r="T380">
        <v>417</v>
      </c>
    </row>
    <row r="381" spans="1:20" x14ac:dyDescent="0.35">
      <c r="A381" s="7" t="s">
        <v>476</v>
      </c>
      <c r="B381" s="12" t="s">
        <v>473</v>
      </c>
      <c r="C381">
        <v>74011284.985688686</v>
      </c>
      <c r="D381">
        <v>73535022.092529222</v>
      </c>
      <c r="E381">
        <v>293693.69369369402</v>
      </c>
      <c r="F381">
        <v>1266121.621621622</v>
      </c>
      <c r="G381">
        <v>11</v>
      </c>
      <c r="H381">
        <v>8</v>
      </c>
      <c r="K381">
        <v>11</v>
      </c>
      <c r="L381">
        <v>8</v>
      </c>
      <c r="M381">
        <v>24690090.090090089</v>
      </c>
      <c r="N381">
        <v>7352792.7927927943</v>
      </c>
      <c r="O381">
        <v>10325081.081081081</v>
      </c>
      <c r="P381">
        <v>12280250.450450452</v>
      </c>
      <c r="Q381">
        <v>13446216.216216216</v>
      </c>
      <c r="R381">
        <v>6641801.8018018007</v>
      </c>
      <c r="S381">
        <v>2172</v>
      </c>
      <c r="T381">
        <v>2281</v>
      </c>
    </row>
    <row r="382" spans="1:20" x14ac:dyDescent="0.35">
      <c r="A382" s="7" t="s">
        <v>477</v>
      </c>
      <c r="B382" s="12" t="s">
        <v>473</v>
      </c>
      <c r="C382">
        <v>104588188.94446331</v>
      </c>
      <c r="D382">
        <v>103700666.92231227</v>
      </c>
      <c r="E382">
        <v>719819.81981982104</v>
      </c>
      <c r="F382">
        <v>657657.65765765903</v>
      </c>
      <c r="G382">
        <v>27</v>
      </c>
      <c r="H382">
        <v>6</v>
      </c>
      <c r="K382">
        <v>29</v>
      </c>
      <c r="L382">
        <v>6</v>
      </c>
      <c r="M382">
        <v>6251351.3513513505</v>
      </c>
      <c r="N382">
        <v>3364324.3243243238</v>
      </c>
      <c r="O382">
        <v>23051090.090090089</v>
      </c>
      <c r="P382">
        <v>25138918.918918919</v>
      </c>
      <c r="Q382">
        <v>6424774.7747747749</v>
      </c>
      <c r="R382">
        <v>9972702.7027027048</v>
      </c>
      <c r="S382">
        <v>2374</v>
      </c>
      <c r="T382">
        <v>2417</v>
      </c>
    </row>
    <row r="383" spans="1:20" x14ac:dyDescent="0.35">
      <c r="A383" s="7" t="s">
        <v>478</v>
      </c>
      <c r="B383" s="12" t="s">
        <v>473</v>
      </c>
      <c r="C383">
        <v>38289276.875712939</v>
      </c>
      <c r="D383">
        <v>39055245.467995301</v>
      </c>
      <c r="E383">
        <v>306306.30630630697</v>
      </c>
      <c r="F383">
        <v>409909.90990991099</v>
      </c>
      <c r="G383">
        <v>4</v>
      </c>
      <c r="H383">
        <v>4</v>
      </c>
      <c r="K383">
        <v>4</v>
      </c>
      <c r="L383">
        <v>5</v>
      </c>
      <c r="M383">
        <v>5513513.5135135148</v>
      </c>
      <c r="N383">
        <v>2459459.4594594599</v>
      </c>
      <c r="O383">
        <v>7986682.8828828819</v>
      </c>
      <c r="P383">
        <v>9908207.2072072085</v>
      </c>
      <c r="Q383">
        <v>5085765.7657657648</v>
      </c>
      <c r="R383">
        <v>6538918.9189189197</v>
      </c>
      <c r="S383">
        <v>1336</v>
      </c>
      <c r="T383">
        <v>1405</v>
      </c>
    </row>
    <row r="384" spans="1:20" x14ac:dyDescent="0.35">
      <c r="A384" s="7" t="s">
        <v>479</v>
      </c>
      <c r="B384" s="12" t="s">
        <v>473</v>
      </c>
      <c r="C384">
        <v>395298120.36548966</v>
      </c>
      <c r="D384">
        <v>411246122.25895607</v>
      </c>
      <c r="E384">
        <v>235721893.6936937</v>
      </c>
      <c r="F384">
        <v>154530379.27927929</v>
      </c>
      <c r="G384">
        <v>160</v>
      </c>
      <c r="H384">
        <v>313</v>
      </c>
      <c r="K384">
        <v>262</v>
      </c>
      <c r="L384">
        <v>340</v>
      </c>
      <c r="M384">
        <v>120647082.88288288</v>
      </c>
      <c r="N384">
        <v>84665411.711711705</v>
      </c>
      <c r="O384">
        <v>102662052.25225225</v>
      </c>
      <c r="P384">
        <v>113369264.86486487</v>
      </c>
      <c r="Q384">
        <v>92769009.009009004</v>
      </c>
      <c r="R384">
        <v>78578828.828828827</v>
      </c>
      <c r="S384">
        <v>16778</v>
      </c>
      <c r="T384">
        <v>16418</v>
      </c>
    </row>
    <row r="385" spans="1:20" x14ac:dyDescent="0.35">
      <c r="A385" s="7" t="s">
        <v>480</v>
      </c>
      <c r="B385" s="12" t="s">
        <v>262</v>
      </c>
      <c r="C385">
        <v>490911206.20807469</v>
      </c>
      <c r="D385">
        <v>471811458.46538633</v>
      </c>
      <c r="E385">
        <v>2879504.5045045041</v>
      </c>
      <c r="F385">
        <v>4565765.7657657657</v>
      </c>
      <c r="G385">
        <v>99</v>
      </c>
      <c r="H385">
        <v>57</v>
      </c>
      <c r="I385">
        <v>1</v>
      </c>
      <c r="K385">
        <v>104</v>
      </c>
      <c r="L385">
        <v>65</v>
      </c>
      <c r="M385">
        <v>55091891.891891889</v>
      </c>
      <c r="N385">
        <v>72380180.180180177</v>
      </c>
      <c r="O385">
        <v>127819184.68468469</v>
      </c>
      <c r="P385">
        <v>133392135.13513513</v>
      </c>
      <c r="Q385">
        <v>56135855.855855852</v>
      </c>
      <c r="R385">
        <v>69759099.0990991</v>
      </c>
      <c r="S385">
        <v>10767</v>
      </c>
      <c r="T385">
        <v>11975</v>
      </c>
    </row>
    <row r="386" spans="1:20" x14ac:dyDescent="0.35">
      <c r="A386" s="7" t="s">
        <v>481</v>
      </c>
      <c r="B386" s="12" t="s">
        <v>482</v>
      </c>
      <c r="C386">
        <v>32092463.717656605</v>
      </c>
      <c r="D386">
        <v>33197047.676334385</v>
      </c>
      <c r="E386">
        <v>406306.30630630697</v>
      </c>
      <c r="F386">
        <v>609909.90990991006</v>
      </c>
      <c r="G386">
        <v>9</v>
      </c>
      <c r="H386">
        <v>7</v>
      </c>
      <c r="K386">
        <v>9</v>
      </c>
      <c r="L386">
        <v>8</v>
      </c>
      <c r="M386">
        <v>9508558.5585585609</v>
      </c>
      <c r="N386">
        <v>7908738.738738738</v>
      </c>
      <c r="O386">
        <v>7778468.4684684686</v>
      </c>
      <c r="P386">
        <v>8930664.8648648653</v>
      </c>
      <c r="Q386">
        <v>9468288.2882882878</v>
      </c>
      <c r="R386">
        <v>8182522.5225225231</v>
      </c>
      <c r="S386">
        <v>775</v>
      </c>
      <c r="T386">
        <v>843</v>
      </c>
    </row>
    <row r="387" spans="1:20" x14ac:dyDescent="0.35">
      <c r="A387" s="7" t="s">
        <v>483</v>
      </c>
      <c r="B387" s="12" t="s">
        <v>124</v>
      </c>
      <c r="C387">
        <v>249526283.06516996</v>
      </c>
      <c r="D387">
        <v>246447238.37094831</v>
      </c>
      <c r="E387">
        <v>1576576.576576577</v>
      </c>
      <c r="F387">
        <v>1387387.38738739</v>
      </c>
      <c r="G387">
        <v>51</v>
      </c>
      <c r="H387">
        <v>34</v>
      </c>
      <c r="K387">
        <v>55</v>
      </c>
      <c r="L387">
        <v>39</v>
      </c>
      <c r="M387">
        <v>14669189.189189188</v>
      </c>
      <c r="N387">
        <v>18059819.819819819</v>
      </c>
      <c r="O387">
        <v>93781914.414414421</v>
      </c>
      <c r="P387">
        <v>100408772.97297297</v>
      </c>
      <c r="Q387">
        <v>15798468.468468469</v>
      </c>
      <c r="R387">
        <v>16577927.927927928</v>
      </c>
      <c r="S387">
        <v>5600</v>
      </c>
      <c r="T387">
        <v>5651</v>
      </c>
    </row>
    <row r="388" spans="1:20" x14ac:dyDescent="0.35">
      <c r="A388" s="7" t="s">
        <v>484</v>
      </c>
      <c r="B388" s="12" t="s">
        <v>473</v>
      </c>
      <c r="C388">
        <v>19618498.015647985</v>
      </c>
      <c r="D388">
        <v>20553719.752201267</v>
      </c>
      <c r="E388">
        <v>70270.270270270004</v>
      </c>
      <c r="F388">
        <v>310810.810810811</v>
      </c>
      <c r="G388">
        <v>2</v>
      </c>
      <c r="H388">
        <v>2</v>
      </c>
      <c r="K388">
        <v>3</v>
      </c>
      <c r="L388">
        <v>2</v>
      </c>
      <c r="M388">
        <v>1421621.621621622</v>
      </c>
      <c r="N388">
        <v>774774.77477477503</v>
      </c>
      <c r="O388">
        <v>3106252.2522522518</v>
      </c>
      <c r="P388">
        <v>2945495.4954954949</v>
      </c>
      <c r="Q388">
        <v>741531.53153153101</v>
      </c>
      <c r="R388">
        <v>832432.43243243196</v>
      </c>
      <c r="S388">
        <v>588</v>
      </c>
      <c r="T388">
        <v>603</v>
      </c>
    </row>
    <row r="389" spans="1:20" x14ac:dyDescent="0.35">
      <c r="A389" s="7" t="s">
        <v>485</v>
      </c>
      <c r="B389" s="12" t="s">
        <v>168</v>
      </c>
      <c r="C389">
        <v>204915520.61921912</v>
      </c>
      <c r="D389">
        <v>216495989.79279768</v>
      </c>
      <c r="E389">
        <v>1549549.5495495519</v>
      </c>
      <c r="F389">
        <v>4199099.0990990996</v>
      </c>
      <c r="G389">
        <v>140</v>
      </c>
      <c r="H389">
        <v>18</v>
      </c>
      <c r="K389">
        <v>224</v>
      </c>
      <c r="L389">
        <v>59</v>
      </c>
      <c r="M389">
        <v>16736973.873873876</v>
      </c>
      <c r="N389">
        <v>22146171.171171173</v>
      </c>
      <c r="O389">
        <v>85184572.072072059</v>
      </c>
      <c r="P389">
        <v>92797306.306306303</v>
      </c>
      <c r="Q389">
        <v>17544324.324324325</v>
      </c>
      <c r="R389">
        <v>21028423.423423424</v>
      </c>
      <c r="S389">
        <v>8539</v>
      </c>
      <c r="T389">
        <v>11706</v>
      </c>
    </row>
    <row r="390" spans="1:20" x14ac:dyDescent="0.35">
      <c r="A390" s="7" t="s">
        <v>486</v>
      </c>
      <c r="B390" s="12" t="s">
        <v>168</v>
      </c>
      <c r="C390">
        <v>232602282.55827612</v>
      </c>
      <c r="D390">
        <v>243258157.89340252</v>
      </c>
      <c r="E390">
        <v>259986203.6036036</v>
      </c>
      <c r="F390">
        <v>299827402.7027027</v>
      </c>
      <c r="G390">
        <v>264</v>
      </c>
      <c r="H390">
        <v>94</v>
      </c>
      <c r="K390">
        <v>514</v>
      </c>
      <c r="L390">
        <v>586</v>
      </c>
      <c r="M390">
        <v>29124550.45045045</v>
      </c>
      <c r="N390">
        <v>43430180.180180185</v>
      </c>
      <c r="O390">
        <v>87559489.189189181</v>
      </c>
      <c r="P390">
        <v>102444618.01801802</v>
      </c>
      <c r="Q390">
        <v>29454637.837837841</v>
      </c>
      <c r="R390">
        <v>39453376.576576576</v>
      </c>
      <c r="S390">
        <v>9604</v>
      </c>
      <c r="T390">
        <v>9557</v>
      </c>
    </row>
    <row r="391" spans="1:20" x14ac:dyDescent="0.35">
      <c r="A391" s="7" t="s">
        <v>487</v>
      </c>
      <c r="B391" s="12" t="s">
        <v>51</v>
      </c>
      <c r="C391">
        <v>140228011.13378412</v>
      </c>
      <c r="D391">
        <v>143899933.05041087</v>
      </c>
      <c r="E391">
        <v>1613513.5135135159</v>
      </c>
      <c r="F391">
        <v>2647747.747747751</v>
      </c>
      <c r="G391">
        <v>42</v>
      </c>
      <c r="H391">
        <v>21</v>
      </c>
      <c r="K391">
        <v>44</v>
      </c>
      <c r="L391">
        <v>25</v>
      </c>
      <c r="M391">
        <v>18211531.531531531</v>
      </c>
      <c r="N391">
        <v>23972792.792792793</v>
      </c>
      <c r="O391">
        <v>62455072.072072074</v>
      </c>
      <c r="P391">
        <v>64076576.576576576</v>
      </c>
      <c r="Q391">
        <v>18618738.738738734</v>
      </c>
      <c r="R391">
        <v>19788738.738738745</v>
      </c>
      <c r="S391">
        <v>3733</v>
      </c>
      <c r="T391">
        <v>3640</v>
      </c>
    </row>
    <row r="392" spans="1:20" x14ac:dyDescent="0.35">
      <c r="A392" s="7" t="s">
        <v>488</v>
      </c>
      <c r="B392" s="12" t="s">
        <v>135</v>
      </c>
      <c r="C392">
        <v>185741851.40846959</v>
      </c>
      <c r="D392">
        <v>196340278.17653668</v>
      </c>
      <c r="E392">
        <v>1065765.7657657671</v>
      </c>
      <c r="F392">
        <v>1108108.1081081091</v>
      </c>
      <c r="G392">
        <v>32</v>
      </c>
      <c r="H392">
        <v>44</v>
      </c>
      <c r="K392">
        <v>34</v>
      </c>
      <c r="L392">
        <v>53</v>
      </c>
      <c r="M392">
        <v>29889189.189189192</v>
      </c>
      <c r="N392">
        <v>33523423.423423424</v>
      </c>
      <c r="O392">
        <v>36006331.531531535</v>
      </c>
      <c r="P392">
        <v>44496198.198198199</v>
      </c>
      <c r="Q392">
        <v>16175135.135135137</v>
      </c>
      <c r="R392">
        <v>27014954.954954956</v>
      </c>
      <c r="S392">
        <v>4545</v>
      </c>
      <c r="T392">
        <v>4781</v>
      </c>
    </row>
    <row r="393" spans="1:20" x14ac:dyDescent="0.35">
      <c r="A393" s="7" t="s">
        <v>489</v>
      </c>
      <c r="B393" s="12" t="s">
        <v>77</v>
      </c>
      <c r="C393">
        <v>38600308.862173229</v>
      </c>
      <c r="D393">
        <v>52255940.64173612</v>
      </c>
      <c r="E393">
        <v>900900.90090090199</v>
      </c>
      <c r="F393">
        <v>513513.513513515</v>
      </c>
      <c r="G393">
        <v>9</v>
      </c>
      <c r="H393">
        <v>13</v>
      </c>
      <c r="K393">
        <v>11</v>
      </c>
      <c r="L393">
        <v>15</v>
      </c>
      <c r="M393">
        <v>9362252.2522522528</v>
      </c>
      <c r="N393">
        <v>8783783.7837837823</v>
      </c>
      <c r="O393">
        <v>15754987.387387387</v>
      </c>
      <c r="P393">
        <v>18185126.126126129</v>
      </c>
      <c r="Q393">
        <v>8398284.6846846845</v>
      </c>
      <c r="R393">
        <v>8940450.4504504502</v>
      </c>
      <c r="S393">
        <v>1516</v>
      </c>
      <c r="T393">
        <v>1578</v>
      </c>
    </row>
    <row r="394" spans="1:20" x14ac:dyDescent="0.35">
      <c r="A394" s="7" t="s">
        <v>490</v>
      </c>
      <c r="B394" s="12" t="s">
        <v>309</v>
      </c>
      <c r="C394">
        <v>321315725.41771632</v>
      </c>
      <c r="D394">
        <v>327109693.90610933</v>
      </c>
      <c r="E394">
        <v>3325225.2252252302</v>
      </c>
      <c r="F394">
        <v>4678828.8288288284</v>
      </c>
      <c r="G394">
        <v>119</v>
      </c>
      <c r="H394">
        <v>70</v>
      </c>
      <c r="K394">
        <v>141</v>
      </c>
      <c r="L394">
        <v>86</v>
      </c>
      <c r="M394">
        <v>92053918.918918908</v>
      </c>
      <c r="N394">
        <v>87933018.018018022</v>
      </c>
      <c r="O394">
        <v>137556612.61261261</v>
      </c>
      <c r="P394">
        <v>139903018.01801801</v>
      </c>
      <c r="Q394">
        <v>64254459.459459454</v>
      </c>
      <c r="R394">
        <v>76280765.765765756</v>
      </c>
      <c r="S394">
        <v>12311</v>
      </c>
      <c r="T394">
        <v>11998</v>
      </c>
    </row>
    <row r="395" spans="1:20" x14ac:dyDescent="0.35">
      <c r="A395" s="7" t="s">
        <v>666</v>
      </c>
      <c r="B395" s="12" t="s">
        <v>182</v>
      </c>
      <c r="M395">
        <v>965765.76576576603</v>
      </c>
      <c r="N395">
        <v>3216216.2162162159</v>
      </c>
    </row>
    <row r="396" spans="1:20" x14ac:dyDescent="0.35">
      <c r="A396" s="7" t="s">
        <v>491</v>
      </c>
      <c r="B396" s="12" t="s">
        <v>317</v>
      </c>
      <c r="C396">
        <v>71059318.137611911</v>
      </c>
      <c r="D396">
        <v>70175547.582043514</v>
      </c>
      <c r="E396">
        <v>50110810.810810819</v>
      </c>
      <c r="F396">
        <v>32606306.306306314</v>
      </c>
      <c r="G396">
        <v>5</v>
      </c>
      <c r="H396">
        <v>6</v>
      </c>
      <c r="K396">
        <v>6</v>
      </c>
      <c r="L396">
        <v>6</v>
      </c>
      <c r="M396">
        <v>25603963.963963963</v>
      </c>
      <c r="N396">
        <v>50043333.333333328</v>
      </c>
      <c r="O396">
        <v>30196621.62162162</v>
      </c>
      <c r="P396">
        <v>28061873.873873871</v>
      </c>
      <c r="Q396">
        <v>28092072.072072074</v>
      </c>
      <c r="R396">
        <v>48167477.477477483</v>
      </c>
      <c r="S396">
        <v>1641</v>
      </c>
      <c r="T396">
        <v>1685</v>
      </c>
    </row>
    <row r="397" spans="1:20" x14ac:dyDescent="0.35">
      <c r="A397" s="7" t="s">
        <v>492</v>
      </c>
      <c r="B397" s="12" t="s">
        <v>182</v>
      </c>
      <c r="C397">
        <v>169418467.2550481</v>
      </c>
      <c r="D397">
        <v>182010443.36043623</v>
      </c>
      <c r="E397">
        <v>1079729.7297297299</v>
      </c>
      <c r="F397">
        <v>800000.00000000105</v>
      </c>
      <c r="G397">
        <v>84</v>
      </c>
      <c r="H397">
        <v>57</v>
      </c>
      <c r="I397">
        <v>1</v>
      </c>
      <c r="K397">
        <v>135</v>
      </c>
      <c r="L397">
        <v>75</v>
      </c>
      <c r="M397">
        <v>11820000</v>
      </c>
      <c r="N397">
        <v>21601801.801801804</v>
      </c>
      <c r="O397">
        <v>50497369.369369365</v>
      </c>
      <c r="P397">
        <v>56762387.387387387</v>
      </c>
      <c r="Q397">
        <v>13056576.576576576</v>
      </c>
      <c r="R397">
        <v>21837747.747747749</v>
      </c>
      <c r="S397">
        <v>6855</v>
      </c>
      <c r="T397">
        <v>5884</v>
      </c>
    </row>
    <row r="398" spans="1:20" x14ac:dyDescent="0.35">
      <c r="A398" s="7" t="s">
        <v>493</v>
      </c>
      <c r="B398" s="12" t="s">
        <v>222</v>
      </c>
      <c r="C398">
        <v>96627855.520528495</v>
      </c>
      <c r="D398">
        <v>100479914.785973</v>
      </c>
      <c r="E398">
        <v>46846.846846847002</v>
      </c>
      <c r="G398">
        <v>31</v>
      </c>
      <c r="H398">
        <v>28</v>
      </c>
      <c r="K398">
        <v>39</v>
      </c>
      <c r="L398">
        <v>48</v>
      </c>
      <c r="M398">
        <v>2255855.8558558561</v>
      </c>
      <c r="N398">
        <v>1650450.450450452</v>
      </c>
      <c r="O398">
        <v>23815818.018018018</v>
      </c>
      <c r="P398">
        <v>26736711.711711712</v>
      </c>
      <c r="Q398">
        <v>1531981.9819819829</v>
      </c>
      <c r="R398">
        <v>850000.00000000105</v>
      </c>
      <c r="S398">
        <v>3972</v>
      </c>
      <c r="T398">
        <v>4220</v>
      </c>
    </row>
    <row r="399" spans="1:20" x14ac:dyDescent="0.35">
      <c r="A399" s="7" t="s">
        <v>494</v>
      </c>
      <c r="B399" s="12" t="s">
        <v>222</v>
      </c>
      <c r="C399">
        <v>32712565.328998867</v>
      </c>
      <c r="D399">
        <v>24289167.35873929</v>
      </c>
      <c r="E399">
        <v>411711.711711713</v>
      </c>
      <c r="F399">
        <v>76576.576576577005</v>
      </c>
      <c r="G399">
        <v>18</v>
      </c>
      <c r="H399">
        <v>6</v>
      </c>
      <c r="I399">
        <v>1</v>
      </c>
      <c r="K399">
        <v>20</v>
      </c>
      <c r="L399">
        <v>6</v>
      </c>
      <c r="M399">
        <v>15039189.18918919</v>
      </c>
      <c r="N399">
        <v>11418918.918918921</v>
      </c>
      <c r="O399">
        <v>9845576.5765765756</v>
      </c>
      <c r="P399">
        <v>9101441.4414414391</v>
      </c>
      <c r="Q399">
        <v>14534414.414414415</v>
      </c>
      <c r="R399">
        <v>11245045.045045046</v>
      </c>
      <c r="S399">
        <v>1171</v>
      </c>
      <c r="T399">
        <v>1143</v>
      </c>
    </row>
    <row r="400" spans="1:20" x14ac:dyDescent="0.35">
      <c r="A400" s="7" t="s">
        <v>495</v>
      </c>
      <c r="B400" s="12" t="s">
        <v>61</v>
      </c>
      <c r="C400">
        <v>110648632.64627372</v>
      </c>
      <c r="D400">
        <v>119093143.64320824</v>
      </c>
      <c r="E400">
        <v>2737837.8378378442</v>
      </c>
      <c r="F400">
        <v>2296846.8468468501</v>
      </c>
      <c r="G400">
        <v>23</v>
      </c>
      <c r="H400">
        <v>11</v>
      </c>
      <c r="K400">
        <v>76</v>
      </c>
      <c r="L400">
        <v>18</v>
      </c>
      <c r="M400">
        <v>21374954.954954952</v>
      </c>
      <c r="N400">
        <v>24495045.045045048</v>
      </c>
      <c r="O400">
        <v>50681396.396396399</v>
      </c>
      <c r="P400">
        <v>54709234.234234229</v>
      </c>
      <c r="Q400">
        <v>20485045.045045044</v>
      </c>
      <c r="R400">
        <v>22116576.576576576</v>
      </c>
      <c r="S400">
        <v>3658</v>
      </c>
      <c r="T400">
        <v>3709</v>
      </c>
    </row>
    <row r="401" spans="1:20" x14ac:dyDescent="0.35">
      <c r="A401" s="7" t="s">
        <v>496</v>
      </c>
      <c r="B401" s="12" t="s">
        <v>451</v>
      </c>
      <c r="C401">
        <v>136342848.11748111</v>
      </c>
      <c r="D401">
        <v>133970051.80466978</v>
      </c>
      <c r="E401">
        <v>163963.96396396399</v>
      </c>
      <c r="F401">
        <v>827027.02702702803</v>
      </c>
      <c r="G401">
        <v>90</v>
      </c>
      <c r="H401">
        <v>63</v>
      </c>
      <c r="K401">
        <v>97</v>
      </c>
      <c r="L401">
        <v>84</v>
      </c>
      <c r="M401">
        <v>10826126.126126125</v>
      </c>
      <c r="N401">
        <v>19681306.306306303</v>
      </c>
      <c r="O401">
        <v>48696288.288288288</v>
      </c>
      <c r="P401">
        <v>52402144.144144148</v>
      </c>
      <c r="Q401">
        <v>10719549.549549552</v>
      </c>
      <c r="R401">
        <v>19181981.981981985</v>
      </c>
      <c r="S401">
        <v>5074</v>
      </c>
      <c r="T401">
        <v>4676</v>
      </c>
    </row>
    <row r="402" spans="1:20" x14ac:dyDescent="0.35">
      <c r="A402" s="7" t="s">
        <v>7</v>
      </c>
      <c r="B402" s="12" t="s">
        <v>195</v>
      </c>
      <c r="C402">
        <v>114197697.17776531</v>
      </c>
      <c r="D402">
        <v>111264732.80434835</v>
      </c>
      <c r="E402">
        <v>248648.64864865001</v>
      </c>
      <c r="F402">
        <v>93693.693693694004</v>
      </c>
      <c r="G402">
        <v>37</v>
      </c>
      <c r="H402">
        <v>24</v>
      </c>
      <c r="K402">
        <v>43</v>
      </c>
      <c r="L402">
        <v>33</v>
      </c>
      <c r="M402">
        <v>18212612.612612613</v>
      </c>
      <c r="N402">
        <v>36345495.495495498</v>
      </c>
      <c r="O402">
        <v>79993477.477477476</v>
      </c>
      <c r="P402">
        <v>73558405.405405402</v>
      </c>
      <c r="Q402">
        <v>20641531.531531531</v>
      </c>
      <c r="R402">
        <v>36894144.144144148</v>
      </c>
      <c r="S402">
        <v>5030</v>
      </c>
      <c r="T402">
        <v>4656</v>
      </c>
    </row>
    <row r="403" spans="1:20" x14ac:dyDescent="0.35">
      <c r="A403" s="7" t="s">
        <v>497</v>
      </c>
      <c r="B403" s="12" t="s">
        <v>332</v>
      </c>
      <c r="C403">
        <v>132242821.35227183</v>
      </c>
      <c r="D403">
        <v>134561756.43557072</v>
      </c>
      <c r="E403">
        <v>213513.51351351399</v>
      </c>
      <c r="F403">
        <v>136036.036036037</v>
      </c>
      <c r="G403">
        <v>56</v>
      </c>
      <c r="H403">
        <v>53</v>
      </c>
      <c r="K403">
        <v>72</v>
      </c>
      <c r="L403">
        <v>66</v>
      </c>
      <c r="M403">
        <v>5916216.2162162159</v>
      </c>
      <c r="N403">
        <v>7940540.5405405397</v>
      </c>
      <c r="O403">
        <v>32297954.954954956</v>
      </c>
      <c r="P403">
        <v>35324648.648648649</v>
      </c>
      <c r="Q403">
        <v>5487837.8378378367</v>
      </c>
      <c r="R403">
        <v>6898018.0180180166</v>
      </c>
      <c r="S403">
        <v>6320</v>
      </c>
      <c r="T403">
        <v>5920</v>
      </c>
    </row>
    <row r="404" spans="1:20" x14ac:dyDescent="0.35">
      <c r="A404" s="7" t="s">
        <v>498</v>
      </c>
      <c r="B404" s="12" t="s">
        <v>332</v>
      </c>
      <c r="C404">
        <v>223594233.0053111</v>
      </c>
      <c r="D404">
        <v>231013321.97688186</v>
      </c>
      <c r="E404">
        <v>941216.21621621901</v>
      </c>
      <c r="F404">
        <v>257657.65765766101</v>
      </c>
      <c r="G404">
        <v>106</v>
      </c>
      <c r="H404">
        <v>74</v>
      </c>
      <c r="K404">
        <v>120</v>
      </c>
      <c r="L404">
        <v>82</v>
      </c>
      <c r="M404">
        <v>7127027.0270270268</v>
      </c>
      <c r="N404">
        <v>8156756.7567567574</v>
      </c>
      <c r="O404">
        <v>52298315.315315314</v>
      </c>
      <c r="P404">
        <v>56072117.117117122</v>
      </c>
      <c r="Q404">
        <v>7995405.4054054068</v>
      </c>
      <c r="R404">
        <v>11420360.36036036</v>
      </c>
      <c r="S404">
        <v>6640</v>
      </c>
      <c r="T404">
        <v>7348</v>
      </c>
    </row>
    <row r="405" spans="1:20" x14ac:dyDescent="0.35">
      <c r="A405" s="7" t="s">
        <v>499</v>
      </c>
      <c r="B405" s="12" t="s">
        <v>332</v>
      </c>
      <c r="C405">
        <v>226656310.9445999</v>
      </c>
      <c r="D405">
        <v>211356859.20533958</v>
      </c>
      <c r="E405">
        <v>2943018.0180180208</v>
      </c>
      <c r="F405">
        <v>1679279.2792792821</v>
      </c>
      <c r="G405">
        <v>96</v>
      </c>
      <c r="H405">
        <v>84</v>
      </c>
      <c r="K405">
        <v>109</v>
      </c>
      <c r="L405">
        <v>107</v>
      </c>
      <c r="M405">
        <v>27227927.927927926</v>
      </c>
      <c r="N405">
        <v>21548468.468468469</v>
      </c>
      <c r="O405">
        <v>49580990.990990989</v>
      </c>
      <c r="P405">
        <v>50905909.909909911</v>
      </c>
      <c r="Q405">
        <v>27782972.972972974</v>
      </c>
      <c r="R405">
        <v>18910000</v>
      </c>
      <c r="S405">
        <v>8280</v>
      </c>
      <c r="T405">
        <v>8172</v>
      </c>
    </row>
    <row r="406" spans="1:20" x14ac:dyDescent="0.35">
      <c r="A406" s="7" t="s">
        <v>500</v>
      </c>
      <c r="B406" s="12" t="s">
        <v>332</v>
      </c>
      <c r="C406">
        <v>859734269.08077919</v>
      </c>
      <c r="D406">
        <v>836795876.88082826</v>
      </c>
      <c r="E406">
        <v>670667995.49549556</v>
      </c>
      <c r="F406">
        <v>14380843.24324326</v>
      </c>
      <c r="G406">
        <v>674</v>
      </c>
      <c r="H406">
        <v>423</v>
      </c>
      <c r="K406">
        <v>746</v>
      </c>
      <c r="L406">
        <v>489</v>
      </c>
      <c r="M406">
        <v>189536036.03603604</v>
      </c>
      <c r="N406">
        <v>300546338.73873878</v>
      </c>
      <c r="O406">
        <v>179470351.35135135</v>
      </c>
      <c r="P406">
        <v>178518396.3963964</v>
      </c>
      <c r="Q406">
        <v>137546126.12612614</v>
      </c>
      <c r="R406">
        <v>218814504.5045045</v>
      </c>
      <c r="S406">
        <v>27455</v>
      </c>
      <c r="T406">
        <v>26690</v>
      </c>
    </row>
    <row r="407" spans="1:20" x14ac:dyDescent="0.35">
      <c r="A407" s="7" t="s">
        <v>501</v>
      </c>
      <c r="B407" s="12" t="s">
        <v>332</v>
      </c>
      <c r="C407">
        <v>687094287.99045181</v>
      </c>
      <c r="D407">
        <v>684571656.9507221</v>
      </c>
      <c r="E407">
        <v>4300450.4504504567</v>
      </c>
      <c r="F407">
        <v>54914414.414414436</v>
      </c>
      <c r="G407">
        <v>274</v>
      </c>
      <c r="H407">
        <v>229</v>
      </c>
      <c r="I407">
        <v>1</v>
      </c>
      <c r="K407">
        <v>330</v>
      </c>
      <c r="L407">
        <v>289</v>
      </c>
      <c r="M407">
        <v>152675450.45045045</v>
      </c>
      <c r="N407">
        <v>84495270.270270273</v>
      </c>
      <c r="O407">
        <v>171969596.84684685</v>
      </c>
      <c r="P407">
        <v>180289758.55855855</v>
      </c>
      <c r="Q407">
        <v>153146126.12612611</v>
      </c>
      <c r="R407">
        <v>78689009.009009004</v>
      </c>
      <c r="S407">
        <v>26257</v>
      </c>
      <c r="T407">
        <v>26744</v>
      </c>
    </row>
    <row r="408" spans="1:20" x14ac:dyDescent="0.35">
      <c r="A408" s="7" t="s">
        <v>502</v>
      </c>
      <c r="B408" s="12" t="s">
        <v>144</v>
      </c>
      <c r="C408">
        <v>292974378.40964597</v>
      </c>
      <c r="D408">
        <v>304816199.54267317</v>
      </c>
      <c r="E408">
        <v>1126351.3513513531</v>
      </c>
      <c r="F408">
        <v>477477.47747748299</v>
      </c>
      <c r="G408">
        <v>85</v>
      </c>
      <c r="H408">
        <v>45</v>
      </c>
      <c r="K408">
        <v>95</v>
      </c>
      <c r="L408">
        <v>60</v>
      </c>
      <c r="M408">
        <v>27667567.567567568</v>
      </c>
      <c r="N408">
        <v>21723423.423423424</v>
      </c>
      <c r="O408">
        <v>46332935.135135137</v>
      </c>
      <c r="P408">
        <v>56154063.063063063</v>
      </c>
      <c r="Q408">
        <v>17811531.531531528</v>
      </c>
      <c r="R408">
        <v>16591081.081081077</v>
      </c>
      <c r="S408">
        <v>7987</v>
      </c>
      <c r="T408">
        <v>8422</v>
      </c>
    </row>
    <row r="409" spans="1:20" x14ac:dyDescent="0.35">
      <c r="A409" s="7" t="s">
        <v>503</v>
      </c>
      <c r="B409" s="12" t="s">
        <v>222</v>
      </c>
      <c r="C409">
        <v>344936312.9861446</v>
      </c>
      <c r="D409">
        <v>366178262.07246977</v>
      </c>
      <c r="E409">
        <v>3746171.1711711758</v>
      </c>
      <c r="F409">
        <v>9688288.2882882915</v>
      </c>
      <c r="G409">
        <v>148</v>
      </c>
      <c r="H409">
        <v>168</v>
      </c>
      <c r="I409">
        <v>4</v>
      </c>
      <c r="K409">
        <v>186</v>
      </c>
      <c r="L409">
        <v>218</v>
      </c>
      <c r="M409">
        <v>150242162.16216218</v>
      </c>
      <c r="N409">
        <v>282526666.66666663</v>
      </c>
      <c r="O409">
        <v>104718986.48648648</v>
      </c>
      <c r="P409">
        <v>114687468.46846846</v>
      </c>
      <c r="Q409">
        <v>150725315.31531531</v>
      </c>
      <c r="R409">
        <v>261570630.63063061</v>
      </c>
      <c r="S409">
        <v>11991</v>
      </c>
      <c r="T409">
        <v>11484</v>
      </c>
    </row>
    <row r="410" spans="1:20" x14ac:dyDescent="0.35">
      <c r="A410" s="7" t="s">
        <v>504</v>
      </c>
      <c r="B410" s="12" t="s">
        <v>400</v>
      </c>
      <c r="C410">
        <v>985132717.46705675</v>
      </c>
      <c r="D410">
        <v>1015704242.003067</v>
      </c>
      <c r="E410">
        <v>8036740.540540548</v>
      </c>
      <c r="F410">
        <v>192204018.01801801</v>
      </c>
      <c r="G410">
        <v>311</v>
      </c>
      <c r="H410">
        <v>178</v>
      </c>
      <c r="K410">
        <v>389</v>
      </c>
      <c r="L410">
        <v>236</v>
      </c>
      <c r="M410">
        <v>103166441.44144145</v>
      </c>
      <c r="N410">
        <v>137306981.98198199</v>
      </c>
      <c r="O410">
        <v>208620281.98198199</v>
      </c>
      <c r="P410">
        <v>229758627.02702704</v>
      </c>
      <c r="Q410">
        <v>98078333.333333328</v>
      </c>
      <c r="R410">
        <v>123616981.98198198</v>
      </c>
      <c r="S410">
        <v>26342</v>
      </c>
      <c r="T410">
        <v>27250</v>
      </c>
    </row>
    <row r="411" spans="1:20" x14ac:dyDescent="0.35">
      <c r="A411" s="7" t="s">
        <v>505</v>
      </c>
      <c r="B411" s="12" t="s">
        <v>71</v>
      </c>
      <c r="C411">
        <v>14988805.362012388</v>
      </c>
      <c r="D411">
        <v>15332024.019073727</v>
      </c>
      <c r="E411">
        <v>192792.79279279301</v>
      </c>
      <c r="F411">
        <v>376126.12612612598</v>
      </c>
      <c r="G411">
        <v>4</v>
      </c>
      <c r="H411">
        <v>5</v>
      </c>
      <c r="K411">
        <v>5</v>
      </c>
      <c r="L411">
        <v>8</v>
      </c>
      <c r="M411">
        <v>468468.46846846899</v>
      </c>
      <c r="N411">
        <v>1450000</v>
      </c>
      <c r="O411">
        <v>10651927.927927928</v>
      </c>
      <c r="P411">
        <v>11348423.423423424</v>
      </c>
      <c r="Q411">
        <v>311081.08108108101</v>
      </c>
      <c r="R411">
        <v>1090360.36036036</v>
      </c>
      <c r="S411">
        <v>710</v>
      </c>
      <c r="T411">
        <v>742</v>
      </c>
    </row>
    <row r="412" spans="1:20" x14ac:dyDescent="0.35">
      <c r="A412" s="7" t="s">
        <v>506</v>
      </c>
      <c r="B412" s="12" t="s">
        <v>332</v>
      </c>
      <c r="C412">
        <v>413131579.2848568</v>
      </c>
      <c r="D412">
        <v>415739415.31737369</v>
      </c>
      <c r="E412">
        <v>2977252.2522522542</v>
      </c>
      <c r="F412">
        <v>3451351.3513513599</v>
      </c>
      <c r="G412">
        <v>164</v>
      </c>
      <c r="H412">
        <v>128</v>
      </c>
      <c r="K412">
        <v>185</v>
      </c>
      <c r="L412">
        <v>156</v>
      </c>
      <c r="M412">
        <v>38685585.585585587</v>
      </c>
      <c r="N412">
        <v>52016216.216216214</v>
      </c>
      <c r="O412">
        <v>106245389.63963965</v>
      </c>
      <c r="P412">
        <v>108717899.0990991</v>
      </c>
      <c r="Q412">
        <v>38648198.198198199</v>
      </c>
      <c r="R412">
        <v>48318288.288288288</v>
      </c>
      <c r="S412">
        <v>16113</v>
      </c>
      <c r="T412">
        <v>16155</v>
      </c>
    </row>
    <row r="413" spans="1:20" x14ac:dyDescent="0.35">
      <c r="A413" s="7" t="s">
        <v>507</v>
      </c>
      <c r="B413" s="12" t="s">
        <v>285</v>
      </c>
      <c r="C413">
        <v>127873020.80084272</v>
      </c>
      <c r="D413">
        <v>142225468.15403545</v>
      </c>
      <c r="E413">
        <v>177286851.35135135</v>
      </c>
      <c r="F413">
        <v>94774294.594594598</v>
      </c>
      <c r="G413">
        <v>22</v>
      </c>
      <c r="H413">
        <v>10</v>
      </c>
      <c r="K413">
        <v>24</v>
      </c>
      <c r="L413">
        <v>12</v>
      </c>
      <c r="M413">
        <v>29154388.288288288</v>
      </c>
      <c r="N413">
        <v>26147893.693693694</v>
      </c>
      <c r="O413">
        <v>23122099.0990991</v>
      </c>
      <c r="P413">
        <v>26714792.792792793</v>
      </c>
      <c r="Q413">
        <v>11169909.90990991</v>
      </c>
      <c r="R413">
        <v>11832612.612612613</v>
      </c>
      <c r="S413">
        <v>3054</v>
      </c>
      <c r="T413">
        <v>3021</v>
      </c>
    </row>
    <row r="414" spans="1:20" x14ac:dyDescent="0.35">
      <c r="A414" s="7" t="s">
        <v>508</v>
      </c>
      <c r="B414" s="12" t="s">
        <v>262</v>
      </c>
      <c r="C414">
        <v>77256258.525029168</v>
      </c>
      <c r="D414">
        <v>91830799.032835022</v>
      </c>
      <c r="E414">
        <v>54954.954954954999</v>
      </c>
      <c r="G414">
        <v>3</v>
      </c>
      <c r="H414">
        <v>9</v>
      </c>
      <c r="K414">
        <v>5</v>
      </c>
      <c r="L414">
        <v>14</v>
      </c>
      <c r="M414">
        <v>1856756.7567567569</v>
      </c>
      <c r="N414">
        <v>2702702.702702703</v>
      </c>
      <c r="O414">
        <v>16802018.018018018</v>
      </c>
      <c r="P414">
        <v>25341971.171171173</v>
      </c>
      <c r="Q414">
        <v>1402702.7027027039</v>
      </c>
      <c r="R414">
        <v>3331981.9819819811</v>
      </c>
      <c r="S414">
        <v>2117</v>
      </c>
      <c r="T414">
        <v>2343</v>
      </c>
    </row>
    <row r="415" spans="1:20" x14ac:dyDescent="0.35">
      <c r="A415" s="7" t="s">
        <v>509</v>
      </c>
      <c r="B415" s="12" t="s">
        <v>238</v>
      </c>
      <c r="C415">
        <v>190447410.64152721</v>
      </c>
      <c r="D415">
        <v>193719068.16573793</v>
      </c>
      <c r="E415">
        <v>555405.40540540696</v>
      </c>
      <c r="F415">
        <v>2619819.8198198332</v>
      </c>
      <c r="G415">
        <v>22</v>
      </c>
      <c r="H415">
        <v>70</v>
      </c>
      <c r="K415">
        <v>70</v>
      </c>
      <c r="L415">
        <v>147</v>
      </c>
      <c r="M415">
        <v>38852792.79279279</v>
      </c>
      <c r="N415">
        <v>36519819.819819823</v>
      </c>
      <c r="O415">
        <v>42594873.873873875</v>
      </c>
      <c r="P415">
        <v>45991360.360360362</v>
      </c>
      <c r="Q415">
        <v>39735045.045045041</v>
      </c>
      <c r="R415">
        <v>30418288.288288288</v>
      </c>
      <c r="S415">
        <v>4541</v>
      </c>
      <c r="T415">
        <v>4620</v>
      </c>
    </row>
    <row r="416" spans="1:20" x14ac:dyDescent="0.35">
      <c r="A416" s="7" t="s">
        <v>510</v>
      </c>
      <c r="B416" s="12" t="s">
        <v>135</v>
      </c>
      <c r="C416">
        <v>19971483.981679399</v>
      </c>
      <c r="D416">
        <v>32876980.451537006</v>
      </c>
      <c r="H416">
        <v>1</v>
      </c>
      <c r="L416">
        <v>1</v>
      </c>
      <c r="O416">
        <v>3451432.4324324322</v>
      </c>
      <c r="P416">
        <v>5715207.2072072066</v>
      </c>
      <c r="S416">
        <v>1246</v>
      </c>
      <c r="T416">
        <v>1189</v>
      </c>
    </row>
    <row r="417" spans="1:20" x14ac:dyDescent="0.35">
      <c r="A417" s="7" t="s">
        <v>511</v>
      </c>
      <c r="B417" s="12" t="s">
        <v>400</v>
      </c>
      <c r="C417">
        <v>198228905.59472212</v>
      </c>
      <c r="D417">
        <v>207329558.95511553</v>
      </c>
      <c r="E417">
        <v>52581981.981981985</v>
      </c>
      <c r="F417">
        <v>57193243.243243247</v>
      </c>
      <c r="G417">
        <v>30</v>
      </c>
      <c r="H417">
        <v>46</v>
      </c>
      <c r="K417">
        <v>58</v>
      </c>
      <c r="L417">
        <v>53</v>
      </c>
      <c r="M417">
        <v>23403153.153153151</v>
      </c>
      <c r="N417">
        <v>26804729.729729727</v>
      </c>
      <c r="O417">
        <v>31319486.486486487</v>
      </c>
      <c r="P417">
        <v>32603027.027027026</v>
      </c>
      <c r="Q417">
        <v>21993963.963963963</v>
      </c>
      <c r="R417">
        <v>20261756.756756756</v>
      </c>
      <c r="S417">
        <v>4288</v>
      </c>
      <c r="T417">
        <v>4520</v>
      </c>
    </row>
    <row r="418" spans="1:20" x14ac:dyDescent="0.35">
      <c r="A418" s="7" t="s">
        <v>512</v>
      </c>
      <c r="B418" s="12" t="s">
        <v>135</v>
      </c>
      <c r="C418">
        <v>222043739.85730174</v>
      </c>
      <c r="D418">
        <v>240565355.86478493</v>
      </c>
      <c r="E418">
        <v>1415315.315315319</v>
      </c>
      <c r="F418">
        <v>1378378.3783783801</v>
      </c>
      <c r="G418">
        <v>56</v>
      </c>
      <c r="H418">
        <v>47</v>
      </c>
      <c r="K418">
        <v>61</v>
      </c>
      <c r="L418">
        <v>53</v>
      </c>
      <c r="M418">
        <v>21780180.180180181</v>
      </c>
      <c r="N418">
        <v>22257657.657657657</v>
      </c>
      <c r="O418">
        <v>35792736.486486487</v>
      </c>
      <c r="P418">
        <v>42027072.072072074</v>
      </c>
      <c r="Q418">
        <v>18020270.270270269</v>
      </c>
      <c r="R418">
        <v>19759909.909909911</v>
      </c>
      <c r="S418">
        <v>6186</v>
      </c>
      <c r="T418">
        <v>5594</v>
      </c>
    </row>
    <row r="419" spans="1:20" x14ac:dyDescent="0.35">
      <c r="A419" s="7" t="s">
        <v>513</v>
      </c>
      <c r="B419" s="12" t="s">
        <v>135</v>
      </c>
      <c r="C419">
        <v>606939422.98950791</v>
      </c>
      <c r="D419">
        <v>635222704.11604643</v>
      </c>
      <c r="E419">
        <v>3381981.9819819899</v>
      </c>
      <c r="F419">
        <v>4034234.2342342399</v>
      </c>
      <c r="G419">
        <v>131</v>
      </c>
      <c r="H419">
        <v>106</v>
      </c>
      <c r="K419">
        <v>176</v>
      </c>
      <c r="L419">
        <v>139</v>
      </c>
      <c r="M419">
        <v>39948648.648648649</v>
      </c>
      <c r="N419">
        <v>58357207.20720721</v>
      </c>
      <c r="O419">
        <v>62750405.40540541</v>
      </c>
      <c r="P419">
        <v>73251225.22522521</v>
      </c>
      <c r="Q419">
        <v>40564234.234234229</v>
      </c>
      <c r="R419">
        <v>51273693.693693697</v>
      </c>
      <c r="S419">
        <v>16364</v>
      </c>
      <c r="T419">
        <v>16658</v>
      </c>
    </row>
    <row r="420" spans="1:20" x14ac:dyDescent="0.35">
      <c r="A420" s="7" t="s">
        <v>8</v>
      </c>
      <c r="B420" s="12" t="s">
        <v>159</v>
      </c>
      <c r="C420">
        <v>157709193.57733592</v>
      </c>
      <c r="D420">
        <v>162588682.14564791</v>
      </c>
      <c r="E420">
        <v>2563963.9639639659</v>
      </c>
      <c r="F420">
        <v>2943243.2432432459</v>
      </c>
      <c r="G420">
        <v>7</v>
      </c>
      <c r="H420">
        <v>39</v>
      </c>
      <c r="K420">
        <v>7</v>
      </c>
      <c r="L420">
        <v>39</v>
      </c>
      <c r="M420">
        <v>22359459.459459461</v>
      </c>
      <c r="N420">
        <v>31075225.225225229</v>
      </c>
      <c r="O420">
        <v>46852810.810810804</v>
      </c>
      <c r="P420">
        <v>49798720.720720723</v>
      </c>
      <c r="Q420">
        <v>20437387.387387387</v>
      </c>
      <c r="R420">
        <v>28794504.504504506</v>
      </c>
      <c r="S420">
        <v>3887</v>
      </c>
      <c r="T420">
        <v>5362</v>
      </c>
    </row>
    <row r="421" spans="1:20" x14ac:dyDescent="0.35">
      <c r="A421" s="7" t="s">
        <v>514</v>
      </c>
      <c r="B421" s="12" t="s">
        <v>135</v>
      </c>
      <c r="C421">
        <v>116323825.08575892</v>
      </c>
      <c r="D421">
        <v>142904870.79657349</v>
      </c>
      <c r="E421">
        <v>360360.360360361</v>
      </c>
      <c r="F421">
        <v>441441.441441442</v>
      </c>
      <c r="G421">
        <v>7</v>
      </c>
      <c r="K421">
        <v>9</v>
      </c>
      <c r="M421">
        <v>5765765.7657657666</v>
      </c>
      <c r="N421">
        <v>13504504.504504504</v>
      </c>
      <c r="O421">
        <v>16791414.414414417</v>
      </c>
      <c r="P421">
        <v>22226360.360360362</v>
      </c>
      <c r="Q421">
        <v>3625945.945945947</v>
      </c>
      <c r="R421">
        <v>4722972.9729729732</v>
      </c>
      <c r="S421">
        <v>3866</v>
      </c>
      <c r="T421">
        <v>3083</v>
      </c>
    </row>
    <row r="422" spans="1:20" x14ac:dyDescent="0.35">
      <c r="A422" s="7" t="s">
        <v>515</v>
      </c>
      <c r="B422" s="12" t="s">
        <v>63</v>
      </c>
      <c r="C422">
        <v>505649490.31720901</v>
      </c>
      <c r="D422">
        <v>494571755.84645724</v>
      </c>
      <c r="E422">
        <v>2721621.6216216278</v>
      </c>
      <c r="F422">
        <v>3435135.1351351361</v>
      </c>
      <c r="G422">
        <v>129</v>
      </c>
      <c r="H422">
        <v>56</v>
      </c>
      <c r="K422">
        <v>177</v>
      </c>
      <c r="L422">
        <v>73</v>
      </c>
      <c r="M422">
        <v>30544594.594594602</v>
      </c>
      <c r="N422">
        <v>29148288.288288292</v>
      </c>
      <c r="O422">
        <v>104749336.03603603</v>
      </c>
      <c r="P422">
        <v>110038736.93693693</v>
      </c>
      <c r="Q422">
        <v>30974774.774774775</v>
      </c>
      <c r="R422">
        <v>32937160.360360365</v>
      </c>
      <c r="S422">
        <v>14216</v>
      </c>
      <c r="T422">
        <v>14575</v>
      </c>
    </row>
    <row r="423" spans="1:20" x14ac:dyDescent="0.35">
      <c r="A423" s="7" t="s">
        <v>516</v>
      </c>
      <c r="B423" s="12" t="s">
        <v>118</v>
      </c>
      <c r="C423">
        <v>51368046.644263394</v>
      </c>
      <c r="D423">
        <v>44990932.319688022</v>
      </c>
      <c r="E423">
        <v>4883783.7837837841</v>
      </c>
      <c r="F423">
        <v>92575855.855855852</v>
      </c>
      <c r="G423">
        <v>25</v>
      </c>
      <c r="H423">
        <v>17</v>
      </c>
      <c r="K423">
        <v>25</v>
      </c>
      <c r="L423">
        <v>21</v>
      </c>
      <c r="M423">
        <v>3703243.2432432431</v>
      </c>
      <c r="N423">
        <v>5639864.8648648662</v>
      </c>
      <c r="O423">
        <v>21908036.036036037</v>
      </c>
      <c r="P423">
        <v>21142513.513513513</v>
      </c>
      <c r="Q423">
        <v>1457297.2972972989</v>
      </c>
      <c r="R423">
        <v>3315180.180180179</v>
      </c>
      <c r="S423">
        <v>2066</v>
      </c>
      <c r="T423">
        <v>1551</v>
      </c>
    </row>
    <row r="424" spans="1:20" x14ac:dyDescent="0.35">
      <c r="A424" s="7" t="s">
        <v>517</v>
      </c>
      <c r="B424" s="12" t="s">
        <v>306</v>
      </c>
      <c r="C424">
        <v>94589536.155585036</v>
      </c>
      <c r="D424">
        <v>89825781.298474789</v>
      </c>
      <c r="E424">
        <v>558558.55855855998</v>
      </c>
      <c r="F424">
        <v>355855.85585585702</v>
      </c>
      <c r="G424">
        <v>52</v>
      </c>
      <c r="H424">
        <v>57</v>
      </c>
      <c r="I424">
        <v>2</v>
      </c>
      <c r="K424">
        <v>55</v>
      </c>
      <c r="L424">
        <v>65</v>
      </c>
      <c r="M424">
        <v>8463513.5135135148</v>
      </c>
      <c r="N424">
        <v>3692792.792792792</v>
      </c>
      <c r="O424">
        <v>9515135.1351351365</v>
      </c>
      <c r="P424">
        <v>11536189.189189188</v>
      </c>
      <c r="Q424">
        <v>9449279.2792792805</v>
      </c>
      <c r="R424">
        <v>3415675.6756756762</v>
      </c>
      <c r="S424">
        <v>1457</v>
      </c>
      <c r="T424">
        <v>1471</v>
      </c>
    </row>
    <row r="425" spans="1:20" x14ac:dyDescent="0.35">
      <c r="A425" s="7" t="s">
        <v>518</v>
      </c>
      <c r="B425" s="12" t="s">
        <v>306</v>
      </c>
      <c r="C425">
        <v>24695649.178644389</v>
      </c>
      <c r="D425">
        <v>31417720.448861126</v>
      </c>
      <c r="E425">
        <v>208108.10810810799</v>
      </c>
      <c r="F425">
        <v>288288.28828829201</v>
      </c>
      <c r="G425">
        <v>6</v>
      </c>
      <c r="H425">
        <v>5</v>
      </c>
      <c r="K425">
        <v>7</v>
      </c>
      <c r="L425">
        <v>5</v>
      </c>
      <c r="M425">
        <v>2628828.8288288289</v>
      </c>
      <c r="N425">
        <v>5369369.3693693718</v>
      </c>
      <c r="O425">
        <v>3774423.4234234239</v>
      </c>
      <c r="P425">
        <v>5200351.3513513505</v>
      </c>
      <c r="Q425">
        <v>2243963.9639639631</v>
      </c>
      <c r="R425">
        <v>3930990.9909909889</v>
      </c>
      <c r="S425">
        <v>586</v>
      </c>
      <c r="T425">
        <v>591</v>
      </c>
    </row>
    <row r="426" spans="1:20" x14ac:dyDescent="0.35">
      <c r="A426" s="7" t="s">
        <v>519</v>
      </c>
      <c r="B426" s="12" t="s">
        <v>306</v>
      </c>
      <c r="C426">
        <v>57837572.587638587</v>
      </c>
      <c r="D426">
        <v>58919059.608202688</v>
      </c>
      <c r="E426">
        <v>683783.78378378297</v>
      </c>
      <c r="F426">
        <v>130630.63063063299</v>
      </c>
      <c r="G426">
        <v>29</v>
      </c>
      <c r="H426">
        <v>16</v>
      </c>
      <c r="K426">
        <v>32</v>
      </c>
      <c r="L426">
        <v>21</v>
      </c>
      <c r="M426">
        <v>3096396.3963963962</v>
      </c>
      <c r="N426">
        <v>5500000</v>
      </c>
      <c r="O426">
        <v>8461630.630630631</v>
      </c>
      <c r="P426">
        <v>8506963.9639639631</v>
      </c>
      <c r="Q426">
        <v>2574684.6846846859</v>
      </c>
      <c r="R426">
        <v>4828828.8288288284</v>
      </c>
      <c r="S426">
        <v>1081</v>
      </c>
      <c r="T426">
        <v>1111</v>
      </c>
    </row>
    <row r="427" spans="1:20" x14ac:dyDescent="0.35">
      <c r="A427" s="7" t="s">
        <v>520</v>
      </c>
      <c r="B427" s="12" t="s">
        <v>306</v>
      </c>
      <c r="C427">
        <v>44194404.559542641</v>
      </c>
      <c r="D427">
        <v>43665190.310499005</v>
      </c>
      <c r="E427">
        <v>88408281.081081092</v>
      </c>
      <c r="F427">
        <v>97196070.270270273</v>
      </c>
      <c r="G427">
        <v>17</v>
      </c>
      <c r="H427">
        <v>13</v>
      </c>
      <c r="K427">
        <v>17</v>
      </c>
      <c r="L427">
        <v>13</v>
      </c>
      <c r="M427">
        <v>950450.450450451</v>
      </c>
      <c r="N427">
        <v>1603603.6036036031</v>
      </c>
      <c r="O427">
        <v>5761567.5675675673</v>
      </c>
      <c r="P427">
        <v>6464855.8558558561</v>
      </c>
      <c r="Q427">
        <v>835045.04504504497</v>
      </c>
      <c r="R427">
        <v>1020270.2702702699</v>
      </c>
      <c r="S427">
        <v>811</v>
      </c>
      <c r="T427">
        <v>751</v>
      </c>
    </row>
    <row r="428" spans="1:20" x14ac:dyDescent="0.35">
      <c r="A428" s="7" t="s">
        <v>521</v>
      </c>
      <c r="B428" s="12" t="s">
        <v>451</v>
      </c>
      <c r="C428">
        <v>44773189.554946974</v>
      </c>
      <c r="D428">
        <v>43500318.282355577</v>
      </c>
      <c r="E428">
        <v>260360.36036036001</v>
      </c>
      <c r="F428">
        <v>1173873.873873875</v>
      </c>
      <c r="G428">
        <v>9</v>
      </c>
      <c r="H428">
        <v>15</v>
      </c>
      <c r="K428">
        <v>11</v>
      </c>
      <c r="L428">
        <v>22</v>
      </c>
      <c r="M428">
        <v>1814864.8648648651</v>
      </c>
      <c r="N428">
        <v>55110630.630630635</v>
      </c>
      <c r="O428">
        <v>14879596.846846849</v>
      </c>
      <c r="P428">
        <v>14837819.819819819</v>
      </c>
      <c r="Q428">
        <v>2815135.1351351361</v>
      </c>
      <c r="R428">
        <v>54228018.018018015</v>
      </c>
      <c r="S428">
        <v>1791</v>
      </c>
      <c r="T428">
        <v>1802</v>
      </c>
    </row>
    <row r="429" spans="1:20" x14ac:dyDescent="0.35">
      <c r="A429" s="7" t="s">
        <v>522</v>
      </c>
      <c r="B429" s="12" t="s">
        <v>86</v>
      </c>
      <c r="C429">
        <v>139236014.61753115</v>
      </c>
      <c r="D429">
        <v>145704199.03411031</v>
      </c>
      <c r="E429">
        <v>1027027.027027028</v>
      </c>
      <c r="F429">
        <v>2378378.378378382</v>
      </c>
      <c r="G429">
        <v>20</v>
      </c>
      <c r="H429">
        <v>9</v>
      </c>
      <c r="K429">
        <v>26</v>
      </c>
      <c r="L429">
        <v>10</v>
      </c>
      <c r="M429">
        <v>23459459.459459458</v>
      </c>
      <c r="N429">
        <v>48920810.810810804</v>
      </c>
      <c r="O429">
        <v>35245513.513513513</v>
      </c>
      <c r="P429">
        <v>41903783.783783786</v>
      </c>
      <c r="Q429">
        <v>21921034.234234232</v>
      </c>
      <c r="R429">
        <v>40053963.963963971</v>
      </c>
      <c r="S429">
        <v>4160</v>
      </c>
      <c r="T429">
        <v>4118</v>
      </c>
    </row>
    <row r="430" spans="1:20" x14ac:dyDescent="0.35">
      <c r="A430" s="7" t="s">
        <v>523</v>
      </c>
      <c r="B430" s="12" t="s">
        <v>306</v>
      </c>
      <c r="C430">
        <v>72737157.067934141</v>
      </c>
      <c r="D430">
        <v>74415704.01291126</v>
      </c>
      <c r="E430">
        <v>7251351.3513513505</v>
      </c>
      <c r="F430">
        <v>26914414.414414417</v>
      </c>
      <c r="G430">
        <v>11</v>
      </c>
      <c r="H430">
        <v>9</v>
      </c>
      <c r="K430">
        <v>11</v>
      </c>
      <c r="L430">
        <v>9</v>
      </c>
      <c r="M430">
        <v>4269819.8198198201</v>
      </c>
      <c r="N430">
        <v>3954954.9549549539</v>
      </c>
      <c r="O430">
        <v>11804927.927927928</v>
      </c>
      <c r="P430">
        <v>14103099.0990991</v>
      </c>
      <c r="Q430">
        <v>2184144.1441441439</v>
      </c>
      <c r="R430">
        <v>3362252.2522522509</v>
      </c>
      <c r="S430">
        <v>1346</v>
      </c>
      <c r="T430">
        <v>1328</v>
      </c>
    </row>
    <row r="431" spans="1:20" x14ac:dyDescent="0.35">
      <c r="A431" s="7" t="s">
        <v>524</v>
      </c>
      <c r="B431" s="12" t="s">
        <v>402</v>
      </c>
      <c r="C431">
        <v>492927854.36694449</v>
      </c>
      <c r="D431">
        <v>504512857.57175654</v>
      </c>
      <c r="E431">
        <v>8330630.6306306338</v>
      </c>
      <c r="F431">
        <v>4305405.4054054096</v>
      </c>
      <c r="G431">
        <v>208</v>
      </c>
      <c r="H431">
        <v>76</v>
      </c>
      <c r="I431">
        <v>1</v>
      </c>
      <c r="K431">
        <v>537</v>
      </c>
      <c r="L431">
        <v>124</v>
      </c>
      <c r="M431">
        <v>84563963.963963971</v>
      </c>
      <c r="N431">
        <v>116656756.75675675</v>
      </c>
      <c r="O431">
        <v>124943684.68468469</v>
      </c>
      <c r="P431">
        <v>127695288.2882883</v>
      </c>
      <c r="Q431">
        <v>78712342.342342347</v>
      </c>
      <c r="R431">
        <v>110338511.7117117</v>
      </c>
      <c r="S431">
        <v>14735</v>
      </c>
      <c r="T431">
        <v>13854</v>
      </c>
    </row>
    <row r="432" spans="1:20" x14ac:dyDescent="0.35">
      <c r="A432" s="7" t="s">
        <v>525</v>
      </c>
      <c r="B432" s="12" t="s">
        <v>144</v>
      </c>
      <c r="C432">
        <v>138904772.67856127</v>
      </c>
      <c r="D432">
        <v>149244007.46192193</v>
      </c>
      <c r="E432">
        <v>252252.25225225399</v>
      </c>
      <c r="F432">
        <v>324324.32432432403</v>
      </c>
      <c r="G432">
        <v>44</v>
      </c>
      <c r="H432">
        <v>7</v>
      </c>
      <c r="K432">
        <v>47</v>
      </c>
      <c r="L432">
        <v>8</v>
      </c>
      <c r="M432">
        <v>6558558.5585585581</v>
      </c>
      <c r="N432">
        <v>7981981.9819819815</v>
      </c>
      <c r="O432">
        <v>17590225.225225225</v>
      </c>
      <c r="P432">
        <v>18603989.189189188</v>
      </c>
      <c r="Q432">
        <v>6957477.4774774769</v>
      </c>
      <c r="R432">
        <v>6606936.9369369382</v>
      </c>
      <c r="S432">
        <v>2986</v>
      </c>
      <c r="T432">
        <v>2971</v>
      </c>
    </row>
    <row r="433" spans="1:20" x14ac:dyDescent="0.35">
      <c r="A433" s="7" t="s">
        <v>526</v>
      </c>
      <c r="B433" s="12" t="s">
        <v>67</v>
      </c>
      <c r="C433">
        <v>96547262.134946585</v>
      </c>
      <c r="D433">
        <v>89021667.533992544</v>
      </c>
      <c r="E433">
        <v>1844144.1441441451</v>
      </c>
      <c r="F433">
        <v>1093693.693693694</v>
      </c>
      <c r="G433">
        <v>19</v>
      </c>
      <c r="H433">
        <v>17</v>
      </c>
      <c r="K433">
        <v>26</v>
      </c>
      <c r="L433">
        <v>20</v>
      </c>
      <c r="M433">
        <v>56986126.126126118</v>
      </c>
      <c r="N433">
        <v>27442792.792792797</v>
      </c>
      <c r="O433">
        <v>45520711.711711712</v>
      </c>
      <c r="P433">
        <v>45332351.351351351</v>
      </c>
      <c r="Q433">
        <v>30896576.576576576</v>
      </c>
      <c r="R433">
        <v>18371351.351351354</v>
      </c>
      <c r="S433">
        <v>3908</v>
      </c>
      <c r="T433">
        <v>4048</v>
      </c>
    </row>
    <row r="434" spans="1:20" x14ac:dyDescent="0.35">
      <c r="A434" s="7" t="s">
        <v>527</v>
      </c>
      <c r="B434" s="12" t="s">
        <v>222</v>
      </c>
      <c r="C434">
        <v>124485374.05001713</v>
      </c>
      <c r="D434">
        <v>126699868.0005527</v>
      </c>
      <c r="E434">
        <v>331894827.02702701</v>
      </c>
      <c r="F434">
        <v>279697690.0900901</v>
      </c>
      <c r="G434">
        <v>37</v>
      </c>
      <c r="H434">
        <v>32</v>
      </c>
      <c r="K434">
        <v>43</v>
      </c>
      <c r="L434">
        <v>36</v>
      </c>
      <c r="M434">
        <v>18845045.045045044</v>
      </c>
      <c r="N434">
        <v>10562487.387387386</v>
      </c>
      <c r="O434">
        <v>31150711.711711712</v>
      </c>
      <c r="P434">
        <v>33586259.459459461</v>
      </c>
      <c r="Q434">
        <v>5615225.225225226</v>
      </c>
      <c r="R434">
        <v>4670315.3153153146</v>
      </c>
      <c r="S434">
        <v>4440</v>
      </c>
      <c r="T434">
        <v>4328</v>
      </c>
    </row>
    <row r="435" spans="1:20" x14ac:dyDescent="0.35">
      <c r="A435" s="7" t="s">
        <v>528</v>
      </c>
      <c r="B435" s="12" t="s">
        <v>416</v>
      </c>
      <c r="C435">
        <v>1371548641.450069</v>
      </c>
      <c r="D435">
        <v>1397398222.5614944</v>
      </c>
      <c r="E435">
        <v>206207580.18018019</v>
      </c>
      <c r="F435">
        <v>340321700.9009009</v>
      </c>
      <c r="G435">
        <v>294</v>
      </c>
      <c r="H435">
        <v>504</v>
      </c>
      <c r="I435">
        <v>1</v>
      </c>
      <c r="K435">
        <v>795</v>
      </c>
      <c r="L435">
        <v>1049</v>
      </c>
      <c r="M435">
        <v>104143909.9099099</v>
      </c>
      <c r="N435">
        <v>151686396.3963964</v>
      </c>
      <c r="O435">
        <v>399716211.71171176</v>
      </c>
      <c r="P435">
        <v>442980354.05405408</v>
      </c>
      <c r="Q435">
        <v>110970090.0900901</v>
      </c>
      <c r="R435">
        <v>140233603.6036036</v>
      </c>
      <c r="S435">
        <v>32513</v>
      </c>
      <c r="T435">
        <v>32494</v>
      </c>
    </row>
    <row r="436" spans="1:20" x14ac:dyDescent="0.35">
      <c r="A436" s="7" t="s">
        <v>529</v>
      </c>
      <c r="B436" s="12" t="s">
        <v>416</v>
      </c>
      <c r="C436">
        <v>156030605.40722418</v>
      </c>
      <c r="D436">
        <v>161106203.01790985</v>
      </c>
      <c r="E436">
        <v>296621.62162162201</v>
      </c>
      <c r="F436">
        <v>31531.531531532</v>
      </c>
      <c r="G436">
        <v>29</v>
      </c>
      <c r="H436">
        <v>14</v>
      </c>
      <c r="K436">
        <v>34</v>
      </c>
      <c r="L436">
        <v>30</v>
      </c>
      <c r="M436">
        <v>9265813.5135135166</v>
      </c>
      <c r="N436">
        <v>9280630.6306306329</v>
      </c>
      <c r="O436">
        <v>49183675.675675675</v>
      </c>
      <c r="P436">
        <v>53104671.171171166</v>
      </c>
      <c r="Q436">
        <v>7614234.2342342352</v>
      </c>
      <c r="R436">
        <v>7870720.7207207195</v>
      </c>
      <c r="S436">
        <v>4367</v>
      </c>
      <c r="T436">
        <v>4463</v>
      </c>
    </row>
    <row r="437" spans="1:20" x14ac:dyDescent="0.35">
      <c r="A437" s="7" t="s">
        <v>530</v>
      </c>
      <c r="B437" s="12" t="s">
        <v>148</v>
      </c>
      <c r="C437">
        <v>319497352.49049515</v>
      </c>
      <c r="D437">
        <v>306198735.9167949</v>
      </c>
      <c r="E437">
        <v>89893018.018018022</v>
      </c>
      <c r="F437">
        <v>42315315.315315321</v>
      </c>
      <c r="G437">
        <v>114</v>
      </c>
      <c r="H437">
        <v>96</v>
      </c>
      <c r="K437">
        <v>230</v>
      </c>
      <c r="L437">
        <v>106</v>
      </c>
      <c r="M437">
        <v>77734907.207207203</v>
      </c>
      <c r="N437">
        <v>79667400.9009009</v>
      </c>
      <c r="O437">
        <v>116168160.36036035</v>
      </c>
      <c r="P437">
        <v>118100099.0990991</v>
      </c>
      <c r="Q437">
        <v>71873873.873873875</v>
      </c>
      <c r="R437">
        <v>77244414.414414406</v>
      </c>
      <c r="S437">
        <v>10568</v>
      </c>
      <c r="T437">
        <v>9852</v>
      </c>
    </row>
    <row r="438" spans="1:20" x14ac:dyDescent="0.35">
      <c r="A438" s="7" t="s">
        <v>531</v>
      </c>
      <c r="B438" s="12" t="s">
        <v>122</v>
      </c>
      <c r="C438">
        <v>35765783.534013301</v>
      </c>
      <c r="D438">
        <v>31767075.154887065</v>
      </c>
      <c r="E438">
        <v>315315.31531531602</v>
      </c>
      <c r="F438">
        <v>285585.58558558603</v>
      </c>
      <c r="G438">
        <v>22</v>
      </c>
      <c r="H438">
        <v>18</v>
      </c>
      <c r="K438">
        <v>23</v>
      </c>
      <c r="L438">
        <v>19</v>
      </c>
      <c r="M438">
        <v>3355855.8558558561</v>
      </c>
      <c r="N438">
        <v>3258558.558558559</v>
      </c>
      <c r="O438">
        <v>4121004.5045045041</v>
      </c>
      <c r="P438">
        <v>4216162.1621621624</v>
      </c>
      <c r="Q438">
        <v>2807567.5675675678</v>
      </c>
      <c r="R438">
        <v>2854414.4144144142</v>
      </c>
      <c r="S438">
        <v>947</v>
      </c>
      <c r="T438">
        <v>908</v>
      </c>
    </row>
    <row r="439" spans="1:20" x14ac:dyDescent="0.35">
      <c r="A439" s="7" t="s">
        <v>532</v>
      </c>
      <c r="B439" s="12" t="s">
        <v>451</v>
      </c>
      <c r="C439">
        <v>60489103.438518919</v>
      </c>
      <c r="D439">
        <v>86719042.521509781</v>
      </c>
      <c r="E439">
        <v>194045045.04504505</v>
      </c>
      <c r="F439">
        <v>50118018.018018015</v>
      </c>
      <c r="G439">
        <v>9</v>
      </c>
      <c r="H439">
        <v>14</v>
      </c>
      <c r="K439">
        <v>11</v>
      </c>
      <c r="L439">
        <v>17</v>
      </c>
      <c r="M439">
        <v>4582207.2072072066</v>
      </c>
      <c r="N439">
        <v>9253378.3783783801</v>
      </c>
      <c r="O439">
        <v>29318849.0990991</v>
      </c>
      <c r="P439">
        <v>41835396.396396399</v>
      </c>
      <c r="Q439">
        <v>3586936.9369369359</v>
      </c>
      <c r="R439">
        <v>8095855.8558558552</v>
      </c>
      <c r="S439">
        <v>2123</v>
      </c>
      <c r="T439">
        <v>2196</v>
      </c>
    </row>
    <row r="440" spans="1:20" x14ac:dyDescent="0.35">
      <c r="A440" s="7" t="s">
        <v>533</v>
      </c>
      <c r="B440" s="12" t="s">
        <v>451</v>
      </c>
      <c r="C440">
        <v>147263979.67533648</v>
      </c>
      <c r="D440">
        <v>155833650.01979968</v>
      </c>
      <c r="E440">
        <v>1069369.3693693699</v>
      </c>
      <c r="F440">
        <v>2039639.6396396409</v>
      </c>
      <c r="G440">
        <v>54</v>
      </c>
      <c r="H440">
        <v>147</v>
      </c>
      <c r="K440">
        <v>64</v>
      </c>
      <c r="L440">
        <v>156</v>
      </c>
      <c r="M440">
        <v>6883333.333333334</v>
      </c>
      <c r="N440">
        <v>11451576.576576576</v>
      </c>
      <c r="O440">
        <v>68338918.918918923</v>
      </c>
      <c r="P440">
        <v>75381864.864864871</v>
      </c>
      <c r="Q440">
        <v>6241261.2612612601</v>
      </c>
      <c r="R440">
        <v>11759594.594594596</v>
      </c>
      <c r="S440">
        <v>5315</v>
      </c>
      <c r="T440">
        <v>5268</v>
      </c>
    </row>
    <row r="441" spans="1:20" x14ac:dyDescent="0.35">
      <c r="A441" s="7" t="s">
        <v>534</v>
      </c>
      <c r="B441" s="12" t="s">
        <v>124</v>
      </c>
      <c r="C441">
        <v>397901622.31953013</v>
      </c>
      <c r="D441">
        <v>408353390.55120498</v>
      </c>
      <c r="E441">
        <v>238100163.96396396</v>
      </c>
      <c r="F441">
        <v>292006862.16216218</v>
      </c>
      <c r="G441">
        <v>148</v>
      </c>
      <c r="H441">
        <v>234</v>
      </c>
      <c r="I441">
        <v>4</v>
      </c>
      <c r="K441">
        <v>311</v>
      </c>
      <c r="L441">
        <v>403</v>
      </c>
      <c r="M441">
        <v>108269009.009009</v>
      </c>
      <c r="N441">
        <v>100941981.98198198</v>
      </c>
      <c r="O441">
        <v>139304646.84684685</v>
      </c>
      <c r="P441">
        <v>143652840.54054055</v>
      </c>
      <c r="Q441">
        <v>108905405.4054054</v>
      </c>
      <c r="R441">
        <v>106666126.12612613</v>
      </c>
      <c r="S441">
        <v>11262</v>
      </c>
      <c r="T441">
        <v>11137</v>
      </c>
    </row>
    <row r="442" spans="1:20" x14ac:dyDescent="0.35">
      <c r="A442" s="7" t="s">
        <v>535</v>
      </c>
      <c r="B442" s="12" t="s">
        <v>86</v>
      </c>
      <c r="C442">
        <v>117338968.55420195</v>
      </c>
      <c r="D442">
        <v>132344623.72357894</v>
      </c>
      <c r="E442">
        <v>261261.26126126299</v>
      </c>
      <c r="F442">
        <v>3145045.0450450452</v>
      </c>
      <c r="G442">
        <v>24</v>
      </c>
      <c r="H442">
        <v>10</v>
      </c>
      <c r="K442">
        <v>30</v>
      </c>
      <c r="L442">
        <v>11</v>
      </c>
      <c r="M442">
        <v>10307747.747747747</v>
      </c>
      <c r="N442">
        <v>49024774.774774767</v>
      </c>
      <c r="O442">
        <v>24902702.702702705</v>
      </c>
      <c r="P442">
        <v>35467909.909909911</v>
      </c>
      <c r="Q442">
        <v>7140630.6306306301</v>
      </c>
      <c r="R442">
        <v>39261441.441441439</v>
      </c>
      <c r="S442">
        <v>3459</v>
      </c>
      <c r="T442">
        <v>4034</v>
      </c>
    </row>
    <row r="443" spans="1:20" x14ac:dyDescent="0.35">
      <c r="A443" s="7" t="s">
        <v>9</v>
      </c>
      <c r="B443" s="12" t="s">
        <v>159</v>
      </c>
      <c r="C443">
        <v>309691792.12886536</v>
      </c>
      <c r="D443">
        <v>296128715.0304243</v>
      </c>
      <c r="E443">
        <v>3638086.4864864899</v>
      </c>
      <c r="F443">
        <v>5193406.3063063063</v>
      </c>
      <c r="G443">
        <v>46</v>
      </c>
      <c r="H443">
        <v>71</v>
      </c>
      <c r="K443">
        <v>51</v>
      </c>
      <c r="L443">
        <v>92</v>
      </c>
      <c r="M443">
        <v>400492058.55855852</v>
      </c>
      <c r="N443">
        <v>423889036.93693697</v>
      </c>
      <c r="O443">
        <v>112799603.6036036</v>
      </c>
      <c r="P443">
        <v>108532250.45045045</v>
      </c>
      <c r="Q443">
        <v>339824144.14414412</v>
      </c>
      <c r="R443">
        <v>378964099.0990991</v>
      </c>
      <c r="S443">
        <v>7306</v>
      </c>
      <c r="T443">
        <v>7109</v>
      </c>
    </row>
    <row r="444" spans="1:20" x14ac:dyDescent="0.35">
      <c r="A444" s="7" t="s">
        <v>536</v>
      </c>
      <c r="B444" s="12" t="s">
        <v>95</v>
      </c>
      <c r="C444">
        <v>300135891.34213948</v>
      </c>
      <c r="D444">
        <v>321753955.73863494</v>
      </c>
      <c r="E444">
        <v>1066666.66666667</v>
      </c>
      <c r="F444">
        <v>989189.18918919098</v>
      </c>
      <c r="G444">
        <v>58</v>
      </c>
      <c r="H444">
        <v>71</v>
      </c>
      <c r="K444">
        <v>64</v>
      </c>
      <c r="L444">
        <v>78</v>
      </c>
      <c r="M444">
        <v>24309909.909909911</v>
      </c>
      <c r="N444">
        <v>34858558.558558561</v>
      </c>
      <c r="O444">
        <v>41336072.072072074</v>
      </c>
      <c r="P444">
        <v>49984960.360360362</v>
      </c>
      <c r="Q444">
        <v>17574144.144144144</v>
      </c>
      <c r="R444">
        <v>20968738.738738734</v>
      </c>
      <c r="S444">
        <v>6543</v>
      </c>
      <c r="T444">
        <v>6479</v>
      </c>
    </row>
    <row r="445" spans="1:20" x14ac:dyDescent="0.35">
      <c r="A445" s="7" t="s">
        <v>537</v>
      </c>
      <c r="B445" s="12" t="s">
        <v>306</v>
      </c>
      <c r="C445">
        <v>7910040.7967303237</v>
      </c>
      <c r="D445">
        <v>11421156.999401961</v>
      </c>
      <c r="G445">
        <v>2</v>
      </c>
      <c r="H445">
        <v>6</v>
      </c>
      <c r="K445">
        <v>2</v>
      </c>
      <c r="L445">
        <v>6</v>
      </c>
      <c r="O445">
        <v>1264594.594594595</v>
      </c>
      <c r="P445">
        <v>1405675.675675676</v>
      </c>
      <c r="S445">
        <v>487</v>
      </c>
      <c r="T445">
        <v>430</v>
      </c>
    </row>
    <row r="446" spans="1:20" x14ac:dyDescent="0.35">
      <c r="A446" s="7" t="s">
        <v>538</v>
      </c>
      <c r="B446" s="12" t="s">
        <v>306</v>
      </c>
      <c r="C446">
        <v>122555751.69571149</v>
      </c>
      <c r="D446">
        <v>120824507.95828189</v>
      </c>
      <c r="E446">
        <v>486486.48648648697</v>
      </c>
      <c r="F446">
        <v>1342342.3423423429</v>
      </c>
      <c r="G446">
        <v>13</v>
      </c>
      <c r="H446">
        <v>27</v>
      </c>
      <c r="K446">
        <v>16</v>
      </c>
      <c r="L446">
        <v>29</v>
      </c>
      <c r="M446">
        <v>11495495.495495496</v>
      </c>
      <c r="N446">
        <v>10090090.090090092</v>
      </c>
      <c r="O446">
        <v>11229819.819819819</v>
      </c>
      <c r="P446">
        <v>10477918.918918921</v>
      </c>
      <c r="Q446">
        <v>3510180.1801801799</v>
      </c>
      <c r="R446">
        <v>5682342.3423423432</v>
      </c>
      <c r="S446">
        <v>2716</v>
      </c>
      <c r="T446">
        <v>2722</v>
      </c>
    </row>
    <row r="447" spans="1:20" x14ac:dyDescent="0.35">
      <c r="A447" s="7" t="s">
        <v>539</v>
      </c>
      <c r="B447" s="12" t="s">
        <v>86</v>
      </c>
      <c r="C447">
        <v>106023468.62222703</v>
      </c>
      <c r="D447">
        <v>115382493.44135258</v>
      </c>
      <c r="E447">
        <v>660360.36036036198</v>
      </c>
      <c r="F447">
        <v>755855.855855859</v>
      </c>
      <c r="G447">
        <v>44</v>
      </c>
      <c r="H447">
        <v>58</v>
      </c>
      <c r="I447">
        <v>4</v>
      </c>
      <c r="K447">
        <v>54</v>
      </c>
      <c r="L447">
        <v>108</v>
      </c>
      <c r="M447">
        <v>37020180.180180185</v>
      </c>
      <c r="N447">
        <v>56992162.162162162</v>
      </c>
      <c r="O447">
        <v>50153243.243243247</v>
      </c>
      <c r="P447">
        <v>55592522.522522517</v>
      </c>
      <c r="Q447">
        <v>30459099.0990991</v>
      </c>
      <c r="R447">
        <v>53448108.108108111</v>
      </c>
      <c r="S447">
        <v>2959</v>
      </c>
      <c r="T447">
        <v>3036</v>
      </c>
    </row>
    <row r="448" spans="1:20" x14ac:dyDescent="0.35">
      <c r="A448" s="7" t="s">
        <v>540</v>
      </c>
      <c r="B448" s="12" t="s">
        <v>451</v>
      </c>
      <c r="C448">
        <v>149077545.09556386</v>
      </c>
      <c r="D448">
        <v>139991002.17281732</v>
      </c>
      <c r="E448">
        <v>1434234.234234235</v>
      </c>
      <c r="F448">
        <v>248198.19819819799</v>
      </c>
      <c r="G448">
        <v>137</v>
      </c>
      <c r="H448">
        <v>37</v>
      </c>
      <c r="I448">
        <v>2</v>
      </c>
      <c r="K448">
        <v>240</v>
      </c>
      <c r="L448">
        <v>44</v>
      </c>
      <c r="M448">
        <v>12615945.945945945</v>
      </c>
      <c r="N448">
        <v>8419144.1441441439</v>
      </c>
      <c r="O448">
        <v>41646574.774774775</v>
      </c>
      <c r="P448">
        <v>42831747.747747742</v>
      </c>
      <c r="Q448">
        <v>14348468.468468469</v>
      </c>
      <c r="R448">
        <v>7267882.8828828819</v>
      </c>
      <c r="S448">
        <v>5109</v>
      </c>
      <c r="T448">
        <v>5282</v>
      </c>
    </row>
    <row r="449" spans="1:20" x14ac:dyDescent="0.35">
      <c r="A449" s="7" t="s">
        <v>541</v>
      </c>
      <c r="B449" s="12" t="s">
        <v>118</v>
      </c>
      <c r="C449">
        <v>344471398.69167787</v>
      </c>
      <c r="D449">
        <v>322874528.69580013</v>
      </c>
      <c r="E449">
        <v>6118918.9189189291</v>
      </c>
      <c r="F449">
        <v>7390540.5405405434</v>
      </c>
      <c r="G449">
        <v>94</v>
      </c>
      <c r="H449">
        <v>92</v>
      </c>
      <c r="K449">
        <v>127</v>
      </c>
      <c r="L449">
        <v>157</v>
      </c>
      <c r="M449">
        <v>65143692.792792797</v>
      </c>
      <c r="N449">
        <v>68033660.360360354</v>
      </c>
      <c r="O449">
        <v>195427112.61261261</v>
      </c>
      <c r="P449">
        <v>183323081.08108109</v>
      </c>
      <c r="Q449">
        <v>59165945.945945941</v>
      </c>
      <c r="R449">
        <v>53116711.711711712</v>
      </c>
      <c r="S449">
        <v>12441</v>
      </c>
      <c r="T449">
        <v>11175</v>
      </c>
    </row>
    <row r="450" spans="1:20" x14ac:dyDescent="0.35">
      <c r="A450" s="7" t="s">
        <v>542</v>
      </c>
      <c r="B450" s="12" t="s">
        <v>84</v>
      </c>
      <c r="C450">
        <v>1055613607.5078847</v>
      </c>
      <c r="D450">
        <v>1037695528.5976973</v>
      </c>
      <c r="E450">
        <v>5110888.2882882878</v>
      </c>
      <c r="F450">
        <v>6335135.1351351365</v>
      </c>
      <c r="G450">
        <v>240</v>
      </c>
      <c r="H450">
        <v>118</v>
      </c>
      <c r="I450">
        <v>1</v>
      </c>
      <c r="K450">
        <v>270</v>
      </c>
      <c r="L450">
        <v>148</v>
      </c>
      <c r="M450">
        <v>59943774.774774775</v>
      </c>
      <c r="N450">
        <v>76624324.324324325</v>
      </c>
      <c r="O450">
        <v>115285985.13513513</v>
      </c>
      <c r="P450">
        <v>120808108.10810812</v>
      </c>
      <c r="Q450">
        <v>60989502.702702701</v>
      </c>
      <c r="R450">
        <v>61664054.054054059</v>
      </c>
      <c r="S450">
        <v>21758</v>
      </c>
      <c r="T450">
        <v>21531</v>
      </c>
    </row>
    <row r="451" spans="1:20" x14ac:dyDescent="0.35">
      <c r="A451" s="7" t="s">
        <v>543</v>
      </c>
      <c r="B451" s="12" t="s">
        <v>317</v>
      </c>
      <c r="C451">
        <v>130186750.32891025</v>
      </c>
      <c r="D451">
        <v>125932298.43125075</v>
      </c>
      <c r="E451">
        <v>1439864.8648648651</v>
      </c>
      <c r="F451">
        <v>2212612.6126126172</v>
      </c>
      <c r="G451">
        <v>21</v>
      </c>
      <c r="H451">
        <v>16</v>
      </c>
      <c r="K451">
        <v>23</v>
      </c>
      <c r="L451">
        <v>16</v>
      </c>
      <c r="M451">
        <v>8064414.4144144142</v>
      </c>
      <c r="N451">
        <v>21027027.027027033</v>
      </c>
      <c r="O451">
        <v>25970810.810810812</v>
      </c>
      <c r="P451">
        <v>25771648.648648649</v>
      </c>
      <c r="Q451">
        <v>6945315.3153153136</v>
      </c>
      <c r="R451">
        <v>17480090.090090089</v>
      </c>
      <c r="S451">
        <v>2454</v>
      </c>
      <c r="T451">
        <v>2588</v>
      </c>
    </row>
    <row r="452" spans="1:20" x14ac:dyDescent="0.35">
      <c r="A452" s="7" t="s">
        <v>544</v>
      </c>
      <c r="B452" s="12" t="s">
        <v>170</v>
      </c>
      <c r="C452">
        <v>891167108.80692053</v>
      </c>
      <c r="D452">
        <v>938582692.28463268</v>
      </c>
      <c r="E452">
        <v>1915315.3153153181</v>
      </c>
      <c r="F452">
        <v>3109009.0090090102</v>
      </c>
      <c r="G452">
        <v>115</v>
      </c>
      <c r="H452">
        <v>123</v>
      </c>
      <c r="I452">
        <v>1</v>
      </c>
      <c r="K452">
        <v>168</v>
      </c>
      <c r="L452">
        <v>148</v>
      </c>
      <c r="M452">
        <v>43358175.675675675</v>
      </c>
      <c r="N452">
        <v>57124323.423423424</v>
      </c>
      <c r="O452">
        <v>330222556.3063063</v>
      </c>
      <c r="P452">
        <v>366059693.6936937</v>
      </c>
      <c r="Q452">
        <v>46729189.189189196</v>
      </c>
      <c r="R452">
        <v>54681531.531531528</v>
      </c>
      <c r="S452">
        <v>23508</v>
      </c>
      <c r="T452">
        <v>21923</v>
      </c>
    </row>
    <row r="453" spans="1:20" x14ac:dyDescent="0.35">
      <c r="A453" s="7" t="s">
        <v>545</v>
      </c>
      <c r="B453" s="12" t="s">
        <v>482</v>
      </c>
      <c r="C453">
        <v>280386475.12989253</v>
      </c>
      <c r="D453">
        <v>272564401.37732071</v>
      </c>
      <c r="E453">
        <v>77792141.441441447</v>
      </c>
      <c r="F453">
        <v>115603748.64864863</v>
      </c>
      <c r="G453">
        <v>26</v>
      </c>
      <c r="H453">
        <v>20</v>
      </c>
      <c r="K453">
        <v>32</v>
      </c>
      <c r="L453">
        <v>24</v>
      </c>
      <c r="M453">
        <v>1403446.8468468499</v>
      </c>
      <c r="N453">
        <v>2396396.396396406</v>
      </c>
      <c r="O453">
        <v>36967360.360360362</v>
      </c>
      <c r="P453">
        <v>50989909.909909911</v>
      </c>
      <c r="Q453">
        <v>464144.14414414403</v>
      </c>
      <c r="R453">
        <v>1769909.909909918</v>
      </c>
      <c r="S453">
        <v>5329</v>
      </c>
      <c r="T453">
        <v>5457</v>
      </c>
    </row>
    <row r="454" spans="1:20" x14ac:dyDescent="0.35">
      <c r="A454" s="7" t="s">
        <v>546</v>
      </c>
      <c r="B454" s="12" t="s">
        <v>81</v>
      </c>
      <c r="C454">
        <v>65404328.984561577</v>
      </c>
      <c r="D454">
        <v>76275720.350500137</v>
      </c>
      <c r="E454">
        <v>304054.05405405402</v>
      </c>
      <c r="F454">
        <v>800900.90090090199</v>
      </c>
      <c r="G454">
        <v>24</v>
      </c>
      <c r="H454">
        <v>4</v>
      </c>
      <c r="K454">
        <v>28</v>
      </c>
      <c r="L454">
        <v>9</v>
      </c>
      <c r="M454">
        <v>5807207.2072072066</v>
      </c>
      <c r="N454">
        <v>7053153.1531531531</v>
      </c>
      <c r="O454">
        <v>24736783.783783782</v>
      </c>
      <c r="P454">
        <v>27695684.684684683</v>
      </c>
      <c r="Q454">
        <v>6176666.666666666</v>
      </c>
      <c r="R454">
        <v>6712072.0720720729</v>
      </c>
      <c r="S454">
        <v>4107</v>
      </c>
      <c r="T454">
        <v>2278</v>
      </c>
    </row>
    <row r="455" spans="1:20" x14ac:dyDescent="0.35">
      <c r="A455" s="7" t="s">
        <v>547</v>
      </c>
      <c r="B455" s="12" t="s">
        <v>170</v>
      </c>
      <c r="C455">
        <v>69578174.479493245</v>
      </c>
      <c r="D455">
        <v>103595922.30223866</v>
      </c>
      <c r="E455">
        <v>271171.17117117101</v>
      </c>
      <c r="F455">
        <v>456756.75675675698</v>
      </c>
      <c r="G455">
        <v>13</v>
      </c>
      <c r="K455">
        <v>13</v>
      </c>
      <c r="L455">
        <v>1</v>
      </c>
      <c r="M455">
        <v>1172072.072072071</v>
      </c>
      <c r="N455">
        <v>456756.75675675698</v>
      </c>
      <c r="O455">
        <v>30229223.423423424</v>
      </c>
      <c r="P455">
        <v>37497144.144144148</v>
      </c>
      <c r="Q455">
        <v>382792.79279279202</v>
      </c>
      <c r="R455">
        <v>905045.04504504497</v>
      </c>
      <c r="S455">
        <v>2464</v>
      </c>
      <c r="T455">
        <v>2549</v>
      </c>
    </row>
    <row r="456" spans="1:20" x14ac:dyDescent="0.35">
      <c r="A456" s="7" t="s">
        <v>548</v>
      </c>
      <c r="B456" s="12" t="s">
        <v>226</v>
      </c>
      <c r="C456">
        <v>4921.951882626</v>
      </c>
      <c r="D456">
        <v>42305.486981403003</v>
      </c>
      <c r="P456">
        <v>6081.0810810809999</v>
      </c>
    </row>
    <row r="457" spans="1:20" x14ac:dyDescent="0.35">
      <c r="A457" s="7" t="s">
        <v>549</v>
      </c>
      <c r="B457" s="12" t="s">
        <v>137</v>
      </c>
      <c r="C457">
        <v>176722276.47223833</v>
      </c>
      <c r="D457">
        <v>189148398.92752042</v>
      </c>
      <c r="E457">
        <v>737837.83783784101</v>
      </c>
      <c r="F457">
        <v>998198.19819819997</v>
      </c>
      <c r="G457">
        <v>57</v>
      </c>
      <c r="H457">
        <v>30</v>
      </c>
      <c r="K457">
        <v>65</v>
      </c>
      <c r="L457">
        <v>33</v>
      </c>
      <c r="M457">
        <v>37839639.639639638</v>
      </c>
      <c r="N457">
        <v>41295495.495495498</v>
      </c>
      <c r="O457">
        <v>58010475.675675683</v>
      </c>
      <c r="P457">
        <v>70267297.297297299</v>
      </c>
      <c r="Q457">
        <v>31834054.054054055</v>
      </c>
      <c r="R457">
        <v>29737297.297297295</v>
      </c>
      <c r="S457">
        <v>4328</v>
      </c>
      <c r="T457">
        <v>4509</v>
      </c>
    </row>
    <row r="458" spans="1:20" x14ac:dyDescent="0.35">
      <c r="A458" s="7" t="s">
        <v>550</v>
      </c>
      <c r="B458" s="12" t="s">
        <v>137</v>
      </c>
      <c r="C458">
        <v>337684973.03341478</v>
      </c>
      <c r="D458">
        <v>335200205.67053944</v>
      </c>
      <c r="E458">
        <v>224374828.82882884</v>
      </c>
      <c r="F458">
        <v>233420344.14414415</v>
      </c>
      <c r="G458">
        <v>171</v>
      </c>
      <c r="H458">
        <v>126</v>
      </c>
      <c r="I458">
        <v>6</v>
      </c>
      <c r="K458">
        <v>203</v>
      </c>
      <c r="L458">
        <v>149</v>
      </c>
      <c r="M458">
        <v>78732432.432432428</v>
      </c>
      <c r="N458">
        <v>78098198.198198199</v>
      </c>
      <c r="O458">
        <v>111085303.6036036</v>
      </c>
      <c r="P458">
        <v>115885549.54954955</v>
      </c>
      <c r="Q458">
        <v>70906389.189189196</v>
      </c>
      <c r="R458">
        <v>66210180.180180177</v>
      </c>
      <c r="S458">
        <v>12828</v>
      </c>
      <c r="T458">
        <v>12715</v>
      </c>
    </row>
    <row r="459" spans="1:20" x14ac:dyDescent="0.35">
      <c r="A459" s="7" t="s">
        <v>551</v>
      </c>
      <c r="B459" s="12" t="s">
        <v>137</v>
      </c>
      <c r="C459">
        <v>373868269.62740439</v>
      </c>
      <c r="D459">
        <v>396616283.48401189</v>
      </c>
      <c r="E459">
        <v>3252252.2522522518</v>
      </c>
      <c r="F459">
        <v>1643243.2432432431</v>
      </c>
      <c r="G459">
        <v>56</v>
      </c>
      <c r="H459">
        <v>82</v>
      </c>
      <c r="I459">
        <v>6</v>
      </c>
      <c r="K459">
        <v>62</v>
      </c>
      <c r="L459">
        <v>86</v>
      </c>
      <c r="M459">
        <v>15216216.216216214</v>
      </c>
      <c r="N459">
        <v>17228828.828828827</v>
      </c>
      <c r="O459">
        <v>62556881.081081077</v>
      </c>
      <c r="P459">
        <v>68834018.018018022</v>
      </c>
      <c r="Q459">
        <v>14261081.081081081</v>
      </c>
      <c r="R459">
        <v>12957117.117117118</v>
      </c>
      <c r="S459">
        <v>9100</v>
      </c>
      <c r="T459">
        <v>8523</v>
      </c>
    </row>
    <row r="460" spans="1:20" x14ac:dyDescent="0.35">
      <c r="A460" s="7" t="s">
        <v>552</v>
      </c>
      <c r="B460" s="12" t="s">
        <v>137</v>
      </c>
      <c r="C460">
        <v>153416507.40404752</v>
      </c>
      <c r="D460">
        <v>152515218.43306208</v>
      </c>
      <c r="E460">
        <v>211711.711711713</v>
      </c>
      <c r="F460">
        <v>1058558.558558559</v>
      </c>
      <c r="G460">
        <v>27</v>
      </c>
      <c r="H460">
        <v>38</v>
      </c>
      <c r="K460">
        <v>30</v>
      </c>
      <c r="L460">
        <v>39</v>
      </c>
      <c r="M460">
        <v>11193693.693693692</v>
      </c>
      <c r="N460">
        <v>15054054.054054054</v>
      </c>
      <c r="O460">
        <v>26473756.756756756</v>
      </c>
      <c r="P460">
        <v>30247612.612612613</v>
      </c>
      <c r="Q460">
        <v>10320360.36036036</v>
      </c>
      <c r="R460">
        <v>10483153.153153151</v>
      </c>
      <c r="S460">
        <v>3731</v>
      </c>
      <c r="T460">
        <v>3690</v>
      </c>
    </row>
    <row r="461" spans="1:20" x14ac:dyDescent="0.35">
      <c r="A461" s="7" t="s">
        <v>553</v>
      </c>
      <c r="B461" s="12" t="s">
        <v>88</v>
      </c>
      <c r="C461">
        <v>63142022.975779966</v>
      </c>
      <c r="D461">
        <v>65540955.955214173</v>
      </c>
      <c r="E461">
        <v>118918.91891891899</v>
      </c>
      <c r="F461">
        <v>27027.027027028002</v>
      </c>
      <c r="G461">
        <v>26</v>
      </c>
      <c r="H461">
        <v>17</v>
      </c>
      <c r="K461">
        <v>28</v>
      </c>
      <c r="L461">
        <v>21</v>
      </c>
      <c r="M461">
        <v>3971171.1711711711</v>
      </c>
      <c r="N461">
        <v>2833333.333333333</v>
      </c>
      <c r="O461">
        <v>9931018.0180180185</v>
      </c>
      <c r="P461">
        <v>11245576.576576576</v>
      </c>
      <c r="Q461">
        <v>3939549.5495495498</v>
      </c>
      <c r="R461">
        <v>2753873.8738738741</v>
      </c>
      <c r="S461">
        <v>1410</v>
      </c>
      <c r="T461">
        <v>1357</v>
      </c>
    </row>
    <row r="462" spans="1:20" x14ac:dyDescent="0.35">
      <c r="A462" s="7" t="s">
        <v>554</v>
      </c>
      <c r="B462" s="12" t="s">
        <v>88</v>
      </c>
      <c r="C462">
        <v>96955857.671119601</v>
      </c>
      <c r="D462">
        <v>99901473.037363529</v>
      </c>
      <c r="E462">
        <v>364864.86486486602</v>
      </c>
      <c r="F462">
        <v>409909.90990991099</v>
      </c>
      <c r="G462">
        <v>52</v>
      </c>
      <c r="H462">
        <v>41</v>
      </c>
      <c r="K462">
        <v>61</v>
      </c>
      <c r="L462">
        <v>47</v>
      </c>
      <c r="M462">
        <v>5649549.5495495498</v>
      </c>
      <c r="N462">
        <v>10144144.144144144</v>
      </c>
      <c r="O462">
        <v>14734989.189189188</v>
      </c>
      <c r="P462">
        <v>15897369.369369371</v>
      </c>
      <c r="Q462">
        <v>6488198.1981981983</v>
      </c>
      <c r="R462">
        <v>7623063.0630630627</v>
      </c>
      <c r="S462">
        <v>2632</v>
      </c>
      <c r="T462">
        <v>2592</v>
      </c>
    </row>
    <row r="463" spans="1:20" x14ac:dyDescent="0.35">
      <c r="A463" s="7" t="s">
        <v>555</v>
      </c>
      <c r="B463" s="12" t="s">
        <v>67</v>
      </c>
      <c r="C463">
        <v>191987570.50440848</v>
      </c>
      <c r="D463">
        <v>201479634.32053077</v>
      </c>
      <c r="E463">
        <v>4663063.0630630637</v>
      </c>
      <c r="F463">
        <v>7836486.4864864899</v>
      </c>
      <c r="G463">
        <v>56</v>
      </c>
      <c r="H463">
        <v>48</v>
      </c>
      <c r="I463">
        <v>1</v>
      </c>
      <c r="K463">
        <v>65</v>
      </c>
      <c r="L463">
        <v>66</v>
      </c>
      <c r="M463">
        <v>180128108.1081081</v>
      </c>
      <c r="N463">
        <v>196076216.21621624</v>
      </c>
      <c r="O463">
        <v>80035524.774774775</v>
      </c>
      <c r="P463">
        <v>84376396.396396399</v>
      </c>
      <c r="Q463">
        <v>102390450.45045045</v>
      </c>
      <c r="R463">
        <v>71817207.207207203</v>
      </c>
      <c r="S463">
        <v>9079</v>
      </c>
      <c r="T463">
        <v>9534</v>
      </c>
    </row>
    <row r="464" spans="1:20" x14ac:dyDescent="0.35">
      <c r="A464" s="7" t="s">
        <v>556</v>
      </c>
      <c r="B464" s="12" t="s">
        <v>557</v>
      </c>
      <c r="C464">
        <v>381916395.70859522</v>
      </c>
      <c r="D464">
        <v>385398807.04909211</v>
      </c>
      <c r="E464">
        <v>10414864.864864863</v>
      </c>
      <c r="F464">
        <v>13413063.063063066</v>
      </c>
      <c r="G464">
        <v>58</v>
      </c>
      <c r="H464">
        <v>33</v>
      </c>
      <c r="I464">
        <v>5</v>
      </c>
      <c r="K464">
        <v>77</v>
      </c>
      <c r="L464">
        <v>45</v>
      </c>
      <c r="M464">
        <v>119713513.51351352</v>
      </c>
      <c r="N464">
        <v>140405405.4054054</v>
      </c>
      <c r="O464">
        <v>104617963.96396397</v>
      </c>
      <c r="P464">
        <v>123114891.89189188</v>
      </c>
      <c r="Q464">
        <v>113372702.7027027</v>
      </c>
      <c r="R464">
        <v>121265855.85585585</v>
      </c>
      <c r="S464">
        <v>9180</v>
      </c>
      <c r="T464">
        <v>9303</v>
      </c>
    </row>
    <row r="465" spans="1:20" x14ac:dyDescent="0.35">
      <c r="A465" s="7" t="s">
        <v>558</v>
      </c>
      <c r="B465" s="12" t="s">
        <v>557</v>
      </c>
      <c r="C465">
        <v>58526507.604194067</v>
      </c>
      <c r="D465">
        <v>61562785.946747005</v>
      </c>
      <c r="E465">
        <v>105875406.3063063</v>
      </c>
      <c r="F465">
        <v>107255772.07207207</v>
      </c>
      <c r="G465">
        <v>22</v>
      </c>
      <c r="H465">
        <v>11</v>
      </c>
      <c r="K465">
        <v>24</v>
      </c>
      <c r="L465">
        <v>14</v>
      </c>
      <c r="M465">
        <v>9144144.1441441439</v>
      </c>
      <c r="N465">
        <v>16127477.477477478</v>
      </c>
      <c r="O465">
        <v>21412243.243243244</v>
      </c>
      <c r="P465">
        <v>25071657.657657657</v>
      </c>
      <c r="Q465">
        <v>8494504.5045045037</v>
      </c>
      <c r="R465">
        <v>5035225.225225226</v>
      </c>
      <c r="S465">
        <v>1576</v>
      </c>
      <c r="T465">
        <v>1754</v>
      </c>
    </row>
    <row r="466" spans="1:20" x14ac:dyDescent="0.35">
      <c r="A466" s="7" t="s">
        <v>559</v>
      </c>
      <c r="B466" s="12" t="s">
        <v>122</v>
      </c>
      <c r="C466">
        <v>44980772.633559026</v>
      </c>
      <c r="D466">
        <v>46076592.295737863</v>
      </c>
      <c r="E466">
        <v>37323088.288288288</v>
      </c>
      <c r="F466">
        <v>54832080.180180185</v>
      </c>
      <c r="G466">
        <v>19</v>
      </c>
      <c r="H466">
        <v>26</v>
      </c>
      <c r="K466">
        <v>22</v>
      </c>
      <c r="L466">
        <v>27</v>
      </c>
      <c r="M466">
        <v>13545118.018018018</v>
      </c>
      <c r="N466">
        <v>67567.567567567996</v>
      </c>
      <c r="O466">
        <v>4217828.8288288293</v>
      </c>
      <c r="P466">
        <v>6417117.1171171172</v>
      </c>
      <c r="Q466">
        <v>118918.91891891899</v>
      </c>
      <c r="R466">
        <v>163963.96396396399</v>
      </c>
      <c r="S466">
        <v>1308</v>
      </c>
      <c r="T466">
        <v>1394</v>
      </c>
    </row>
    <row r="467" spans="1:20" x14ac:dyDescent="0.35">
      <c r="A467" s="7" t="s">
        <v>560</v>
      </c>
      <c r="B467" s="12" t="s">
        <v>71</v>
      </c>
      <c r="C467">
        <v>355867970.83915275</v>
      </c>
      <c r="D467">
        <v>352815559.29119712</v>
      </c>
      <c r="E467">
        <v>3987387.3873873921</v>
      </c>
      <c r="F467">
        <v>6048648.6486486513</v>
      </c>
      <c r="G467">
        <v>82</v>
      </c>
      <c r="H467">
        <v>58</v>
      </c>
      <c r="I467">
        <v>1</v>
      </c>
      <c r="K467">
        <v>93</v>
      </c>
      <c r="L467">
        <v>79</v>
      </c>
      <c r="M467">
        <v>48796396.396396399</v>
      </c>
      <c r="N467">
        <v>96165765.765765756</v>
      </c>
      <c r="O467">
        <v>150963774.77477479</v>
      </c>
      <c r="P467">
        <v>148519810.8108108</v>
      </c>
      <c r="Q467">
        <v>43043603.603603601</v>
      </c>
      <c r="R467">
        <v>82938558.558558553</v>
      </c>
      <c r="S467">
        <v>10373</v>
      </c>
      <c r="T467">
        <v>10385</v>
      </c>
    </row>
    <row r="468" spans="1:20" x14ac:dyDescent="0.35">
      <c r="A468" s="7" t="s">
        <v>561</v>
      </c>
      <c r="B468" s="12" t="s">
        <v>63</v>
      </c>
      <c r="C468">
        <v>644620270.55416024</v>
      </c>
      <c r="D468">
        <v>644357646.01289225</v>
      </c>
      <c r="E468">
        <v>9855684.6846846882</v>
      </c>
      <c r="F468">
        <v>8933333.3333333358</v>
      </c>
      <c r="G468">
        <v>213</v>
      </c>
      <c r="H468">
        <v>241</v>
      </c>
      <c r="K468">
        <v>322</v>
      </c>
      <c r="L468">
        <v>635</v>
      </c>
      <c r="M468">
        <v>86857117.117117122</v>
      </c>
      <c r="N468">
        <v>83361981.981981978</v>
      </c>
      <c r="O468">
        <v>147869986.48648649</v>
      </c>
      <c r="P468">
        <v>164561839.63963965</v>
      </c>
      <c r="Q468">
        <v>86852792.792792797</v>
      </c>
      <c r="R468">
        <v>91643603.603603601</v>
      </c>
      <c r="S468">
        <v>18330</v>
      </c>
      <c r="T468">
        <v>18317</v>
      </c>
    </row>
    <row r="469" spans="1:20" x14ac:dyDescent="0.35">
      <c r="A469" s="7" t="s">
        <v>562</v>
      </c>
      <c r="B469" s="12" t="s">
        <v>482</v>
      </c>
      <c r="C469">
        <v>301044709.43340671</v>
      </c>
      <c r="D469">
        <v>311303167.28028536</v>
      </c>
      <c r="E469">
        <v>2648648.6486486518</v>
      </c>
      <c r="F469">
        <v>2379279.2792792828</v>
      </c>
      <c r="G469">
        <v>101</v>
      </c>
      <c r="H469">
        <v>63</v>
      </c>
      <c r="I469">
        <v>1</v>
      </c>
      <c r="K469">
        <v>125</v>
      </c>
      <c r="L469">
        <v>70</v>
      </c>
      <c r="M469">
        <v>32447567.567567572</v>
      </c>
      <c r="N469">
        <v>40565540.540540546</v>
      </c>
      <c r="O469">
        <v>91829890.090090096</v>
      </c>
      <c r="P469">
        <v>97652774.774774775</v>
      </c>
      <c r="Q469">
        <v>35890180.180180177</v>
      </c>
      <c r="R469">
        <v>48935090.090090089</v>
      </c>
      <c r="S469">
        <v>7741</v>
      </c>
      <c r="T469">
        <v>7847</v>
      </c>
    </row>
    <row r="470" spans="1:20" x14ac:dyDescent="0.35">
      <c r="A470" s="7" t="s">
        <v>563</v>
      </c>
      <c r="B470" s="12" t="s">
        <v>238</v>
      </c>
      <c r="C470">
        <v>52772035.758305922</v>
      </c>
      <c r="D470">
        <v>56327815.939926893</v>
      </c>
      <c r="E470">
        <v>28134906.306306306</v>
      </c>
      <c r="F470">
        <v>57066120.720720723</v>
      </c>
      <c r="G470">
        <v>20</v>
      </c>
      <c r="H470">
        <v>15</v>
      </c>
      <c r="K470">
        <v>22</v>
      </c>
      <c r="L470">
        <v>17</v>
      </c>
      <c r="M470">
        <v>25786216.216216218</v>
      </c>
      <c r="N470">
        <v>15356756.756756756</v>
      </c>
      <c r="O470">
        <v>20435963.963963963</v>
      </c>
      <c r="P470">
        <v>22656081.081081081</v>
      </c>
      <c r="Q470">
        <v>3566756.756756756</v>
      </c>
      <c r="R470">
        <v>2138018.0180180171</v>
      </c>
      <c r="S470">
        <v>2418</v>
      </c>
      <c r="T470">
        <v>2086</v>
      </c>
    </row>
    <row r="471" spans="1:20" x14ac:dyDescent="0.35">
      <c r="A471" s="7" t="s">
        <v>564</v>
      </c>
      <c r="B471" s="12" t="s">
        <v>61</v>
      </c>
      <c r="C471">
        <v>49842039.148808151</v>
      </c>
      <c r="D471">
        <v>48764580.050800622</v>
      </c>
      <c r="E471">
        <v>1844144.1441441439</v>
      </c>
      <c r="F471">
        <v>1490090.0900900911</v>
      </c>
      <c r="G471">
        <v>17</v>
      </c>
      <c r="H471">
        <v>29</v>
      </c>
      <c r="K471">
        <v>34</v>
      </c>
      <c r="L471">
        <v>48</v>
      </c>
      <c r="M471">
        <v>13573873.873873876</v>
      </c>
      <c r="N471">
        <v>13066666.666666668</v>
      </c>
      <c r="O471">
        <v>18185423.423423424</v>
      </c>
      <c r="P471">
        <v>17521351.351351351</v>
      </c>
      <c r="Q471">
        <v>13441441.441441443</v>
      </c>
      <c r="R471">
        <v>11763153.153153151</v>
      </c>
      <c r="S471">
        <v>1280</v>
      </c>
      <c r="T471">
        <v>1164</v>
      </c>
    </row>
    <row r="472" spans="1:20" x14ac:dyDescent="0.35">
      <c r="A472" s="7" t="s">
        <v>565</v>
      </c>
      <c r="B472" s="12" t="s">
        <v>566</v>
      </c>
      <c r="C472">
        <v>277957748.20140487</v>
      </c>
      <c r="D472">
        <v>299385512.03063685</v>
      </c>
      <c r="E472">
        <v>459419127.92792791</v>
      </c>
      <c r="F472">
        <v>483619803.6036036</v>
      </c>
      <c r="G472">
        <v>222</v>
      </c>
      <c r="H472">
        <v>227</v>
      </c>
      <c r="I472">
        <v>3</v>
      </c>
      <c r="K472">
        <v>597</v>
      </c>
      <c r="L472">
        <v>451</v>
      </c>
      <c r="M472">
        <v>418174789.1891892</v>
      </c>
      <c r="N472">
        <v>418013875.67567563</v>
      </c>
      <c r="O472">
        <v>115827558.55855855</v>
      </c>
      <c r="P472">
        <v>143792378.37837839</v>
      </c>
      <c r="Q472">
        <v>207245023.42342341</v>
      </c>
      <c r="R472">
        <v>525837607.2072072</v>
      </c>
      <c r="S472">
        <v>8734</v>
      </c>
      <c r="T472">
        <v>9310</v>
      </c>
    </row>
    <row r="473" spans="1:20" x14ac:dyDescent="0.35">
      <c r="A473" s="7" t="s">
        <v>567</v>
      </c>
      <c r="B473" s="12" t="s">
        <v>566</v>
      </c>
      <c r="C473">
        <v>375238931.28204679</v>
      </c>
      <c r="D473">
        <v>394587956.23327333</v>
      </c>
      <c r="E473">
        <v>3157657.657657661</v>
      </c>
      <c r="F473">
        <v>6704504.5045045074</v>
      </c>
      <c r="G473">
        <v>137</v>
      </c>
      <c r="H473">
        <v>85</v>
      </c>
      <c r="K473">
        <v>149</v>
      </c>
      <c r="L473">
        <v>201</v>
      </c>
      <c r="M473">
        <v>31760136.936936937</v>
      </c>
      <c r="N473">
        <v>58132027.027027033</v>
      </c>
      <c r="O473">
        <v>155403297.2972973</v>
      </c>
      <c r="P473">
        <v>169812234.23423424</v>
      </c>
      <c r="Q473">
        <v>32527162.162162159</v>
      </c>
      <c r="R473">
        <v>52792927.927927934</v>
      </c>
      <c r="S473">
        <v>13229</v>
      </c>
      <c r="T473">
        <v>11582</v>
      </c>
    </row>
    <row r="474" spans="1:20" x14ac:dyDescent="0.35">
      <c r="A474" s="7" t="s">
        <v>568</v>
      </c>
      <c r="B474" s="12" t="s">
        <v>566</v>
      </c>
      <c r="C474">
        <v>272490509.81320876</v>
      </c>
      <c r="D474">
        <v>293806082.68875098</v>
      </c>
      <c r="E474">
        <v>3616448.6486486518</v>
      </c>
      <c r="F474">
        <v>4884946.8468468441</v>
      </c>
      <c r="G474">
        <v>256</v>
      </c>
      <c r="H474">
        <v>135</v>
      </c>
      <c r="K474">
        <v>345</v>
      </c>
      <c r="L474">
        <v>227</v>
      </c>
      <c r="M474">
        <v>29353919.819819819</v>
      </c>
      <c r="N474">
        <v>53458919.819819823</v>
      </c>
      <c r="O474">
        <v>122246252.25225225</v>
      </c>
      <c r="P474">
        <v>137874828.82882884</v>
      </c>
      <c r="Q474">
        <v>27171711.711711712</v>
      </c>
      <c r="R474">
        <v>50436216.216216221</v>
      </c>
      <c r="S474">
        <v>11441</v>
      </c>
      <c r="T474">
        <v>12255</v>
      </c>
    </row>
    <row r="475" spans="1:20" x14ac:dyDescent="0.35">
      <c r="A475" s="7" t="s">
        <v>569</v>
      </c>
      <c r="B475" s="12" t="s">
        <v>566</v>
      </c>
      <c r="C475">
        <v>178777000.76898649</v>
      </c>
      <c r="D475">
        <v>190367507.83021492</v>
      </c>
      <c r="E475">
        <v>2239639.6396396412</v>
      </c>
      <c r="F475">
        <v>3845045.0450450452</v>
      </c>
      <c r="G475">
        <v>18</v>
      </c>
      <c r="H475">
        <v>19</v>
      </c>
      <c r="K475">
        <v>24</v>
      </c>
      <c r="L475">
        <v>22</v>
      </c>
      <c r="M475">
        <v>28052628.828828827</v>
      </c>
      <c r="N475">
        <v>42372747.747747749</v>
      </c>
      <c r="O475">
        <v>106162396.3963964</v>
      </c>
      <c r="P475">
        <v>107184837.83783785</v>
      </c>
      <c r="Q475">
        <v>26782927.927927926</v>
      </c>
      <c r="R475">
        <v>42806621.621621624</v>
      </c>
      <c r="S475">
        <v>6284</v>
      </c>
      <c r="T475">
        <v>6839</v>
      </c>
    </row>
    <row r="476" spans="1:20" x14ac:dyDescent="0.35">
      <c r="A476" s="7" t="s">
        <v>570</v>
      </c>
      <c r="B476" s="12" t="s">
        <v>566</v>
      </c>
      <c r="C476">
        <v>106067429.45589443</v>
      </c>
      <c r="D476">
        <v>108356620.46202421</v>
      </c>
      <c r="E476">
        <v>36848648.648648649</v>
      </c>
      <c r="F476">
        <v>114915315.31531531</v>
      </c>
      <c r="G476">
        <v>29</v>
      </c>
      <c r="H476">
        <v>31</v>
      </c>
      <c r="I476">
        <v>2</v>
      </c>
      <c r="K476">
        <v>36</v>
      </c>
      <c r="L476">
        <v>32</v>
      </c>
      <c r="M476">
        <v>39924362.162162162</v>
      </c>
      <c r="N476">
        <v>39743693.693693697</v>
      </c>
      <c r="O476">
        <v>43189358.558558561</v>
      </c>
      <c r="P476">
        <v>48109207.20720721</v>
      </c>
      <c r="Q476">
        <v>19417477.477477472</v>
      </c>
      <c r="R476">
        <v>31461306.306306306</v>
      </c>
      <c r="S476">
        <v>4822</v>
      </c>
      <c r="T476">
        <v>4957</v>
      </c>
    </row>
    <row r="477" spans="1:20" x14ac:dyDescent="0.35">
      <c r="A477" s="7" t="s">
        <v>571</v>
      </c>
      <c r="B477" s="12" t="s">
        <v>49</v>
      </c>
      <c r="C477">
        <v>234035394.99530309</v>
      </c>
      <c r="D477">
        <v>259231108.25517797</v>
      </c>
      <c r="E477">
        <v>563063.06306306296</v>
      </c>
      <c r="F477">
        <v>835135.13513513596</v>
      </c>
      <c r="G477">
        <v>6</v>
      </c>
      <c r="H477">
        <v>9</v>
      </c>
      <c r="K477">
        <v>7</v>
      </c>
      <c r="L477">
        <v>9</v>
      </c>
      <c r="M477">
        <v>9572072.072072072</v>
      </c>
      <c r="N477">
        <v>8492792.7927927934</v>
      </c>
      <c r="O477">
        <v>28825798.198198199</v>
      </c>
      <c r="P477">
        <v>35056277.477477483</v>
      </c>
      <c r="Q477">
        <v>9774774.7747747749</v>
      </c>
      <c r="R477">
        <v>11153917.11711712</v>
      </c>
      <c r="S477">
        <v>5891</v>
      </c>
      <c r="T477">
        <v>5947</v>
      </c>
    </row>
    <row r="478" spans="1:20" x14ac:dyDescent="0.35">
      <c r="A478" s="7" t="s">
        <v>572</v>
      </c>
      <c r="B478" s="12" t="s">
        <v>170</v>
      </c>
      <c r="C478">
        <v>3876807088.2460442</v>
      </c>
      <c r="D478">
        <v>2801367146.7585506</v>
      </c>
      <c r="E478">
        <v>3006184590.0900898</v>
      </c>
      <c r="F478">
        <v>2585730476.5765767</v>
      </c>
      <c r="G478">
        <v>1164</v>
      </c>
      <c r="H478">
        <v>814</v>
      </c>
      <c r="I478">
        <v>10</v>
      </c>
      <c r="K478">
        <v>1511</v>
      </c>
      <c r="L478">
        <v>2104</v>
      </c>
      <c r="M478">
        <v>410189507.2072072</v>
      </c>
      <c r="N478">
        <v>570539211.71171176</v>
      </c>
      <c r="O478">
        <v>2671753513.5135136</v>
      </c>
      <c r="P478">
        <v>2703715545.9459462</v>
      </c>
      <c r="Q478">
        <v>401932969.36936933</v>
      </c>
      <c r="R478">
        <v>527085043.24324328</v>
      </c>
      <c r="S478">
        <v>54337</v>
      </c>
      <c r="T478">
        <v>57082</v>
      </c>
    </row>
    <row r="479" spans="1:20" x14ac:dyDescent="0.35">
      <c r="A479" s="7" t="s">
        <v>573</v>
      </c>
      <c r="B479" s="12" t="s">
        <v>222</v>
      </c>
      <c r="C479">
        <v>214032715.48159283</v>
      </c>
      <c r="D479">
        <v>218909999.46257848</v>
      </c>
      <c r="E479">
        <v>936936.93693693902</v>
      </c>
      <c r="F479">
        <v>2071171.171171169</v>
      </c>
      <c r="G479">
        <v>18</v>
      </c>
      <c r="H479">
        <v>22</v>
      </c>
      <c r="K479">
        <v>20</v>
      </c>
      <c r="L479">
        <v>24</v>
      </c>
      <c r="M479">
        <v>8243873.8738738708</v>
      </c>
      <c r="N479">
        <v>19666216.216216218</v>
      </c>
      <c r="O479">
        <v>35247243.243243247</v>
      </c>
      <c r="P479">
        <v>40952106.306306303</v>
      </c>
      <c r="Q479">
        <v>7456756.7567567537</v>
      </c>
      <c r="R479">
        <v>18871171.17117117</v>
      </c>
      <c r="S479">
        <v>6383</v>
      </c>
      <c r="T479">
        <v>5265</v>
      </c>
    </row>
    <row r="480" spans="1:20" x14ac:dyDescent="0.35">
      <c r="A480" s="7" t="s">
        <v>574</v>
      </c>
      <c r="B480" s="12" t="s">
        <v>86</v>
      </c>
      <c r="C480">
        <v>256302684.83792084</v>
      </c>
      <c r="D480">
        <v>289587114.09104055</v>
      </c>
      <c r="E480">
        <v>225225.22522522701</v>
      </c>
      <c r="F480">
        <v>1883783.7837837851</v>
      </c>
      <c r="G480">
        <v>23</v>
      </c>
      <c r="H480">
        <v>8</v>
      </c>
      <c r="K480">
        <v>24</v>
      </c>
      <c r="L480">
        <v>8</v>
      </c>
      <c r="M480">
        <v>21164042.342342347</v>
      </c>
      <c r="N480">
        <v>65104144.144144148</v>
      </c>
      <c r="O480">
        <v>59480250.45045045</v>
      </c>
      <c r="P480">
        <v>75637965.765765756</v>
      </c>
      <c r="Q480">
        <v>17058738.738738742</v>
      </c>
      <c r="R480">
        <v>46513603.603603601</v>
      </c>
      <c r="S480">
        <v>5078</v>
      </c>
      <c r="T480">
        <v>5097</v>
      </c>
    </row>
    <row r="481" spans="1:20" x14ac:dyDescent="0.35">
      <c r="A481" s="7" t="s">
        <v>575</v>
      </c>
      <c r="B481" s="12" t="s">
        <v>482</v>
      </c>
      <c r="C481">
        <v>139096970.74730474</v>
      </c>
      <c r="D481">
        <v>124559926.64742643</v>
      </c>
      <c r="E481">
        <v>2177477.4774774839</v>
      </c>
      <c r="F481">
        <v>2604504.5045045088</v>
      </c>
      <c r="G481">
        <v>88</v>
      </c>
      <c r="H481">
        <v>56</v>
      </c>
      <c r="K481">
        <v>116</v>
      </c>
      <c r="L481">
        <v>67</v>
      </c>
      <c r="M481">
        <v>19995045.045045048</v>
      </c>
      <c r="N481">
        <v>39429729.729729727</v>
      </c>
      <c r="O481">
        <v>57298392.79279279</v>
      </c>
      <c r="P481">
        <v>56699126.126126125</v>
      </c>
      <c r="Q481">
        <v>19877747.747747753</v>
      </c>
      <c r="R481">
        <v>36078378.378378384</v>
      </c>
      <c r="S481">
        <v>6339</v>
      </c>
      <c r="T481">
        <v>5189</v>
      </c>
    </row>
    <row r="482" spans="1:20" x14ac:dyDescent="0.35">
      <c r="A482" s="7" t="s">
        <v>576</v>
      </c>
      <c r="B482" s="12" t="s">
        <v>95</v>
      </c>
      <c r="C482">
        <v>351931414.4177798</v>
      </c>
      <c r="D482">
        <v>387702113.3756808</v>
      </c>
      <c r="E482">
        <v>1944144.1441441451</v>
      </c>
      <c r="F482">
        <v>2989189.1891891919</v>
      </c>
      <c r="G482">
        <v>62</v>
      </c>
      <c r="H482">
        <v>90</v>
      </c>
      <c r="K482">
        <v>84</v>
      </c>
      <c r="L482">
        <v>240</v>
      </c>
      <c r="M482">
        <v>841223423.42342353</v>
      </c>
      <c r="N482">
        <v>26408108.108108107</v>
      </c>
      <c r="O482">
        <v>78636928.378378391</v>
      </c>
      <c r="P482">
        <v>90361232.432432428</v>
      </c>
      <c r="Q482">
        <v>30158558.558558561</v>
      </c>
      <c r="R482">
        <v>28146036.036036041</v>
      </c>
      <c r="S482">
        <v>9525</v>
      </c>
      <c r="T482">
        <v>9831</v>
      </c>
    </row>
    <row r="483" spans="1:20" x14ac:dyDescent="0.35">
      <c r="A483" s="7" t="s">
        <v>577</v>
      </c>
      <c r="B483" s="12" t="s">
        <v>309</v>
      </c>
      <c r="C483">
        <v>812393732.02496266</v>
      </c>
      <c r="D483">
        <v>838912933.93374658</v>
      </c>
      <c r="E483">
        <v>13442342.342342349</v>
      </c>
      <c r="F483">
        <v>13840090.09009009</v>
      </c>
      <c r="G483">
        <v>240</v>
      </c>
      <c r="H483">
        <v>331</v>
      </c>
      <c r="I483">
        <v>4</v>
      </c>
      <c r="K483">
        <v>323</v>
      </c>
      <c r="L483">
        <v>431</v>
      </c>
      <c r="M483">
        <v>745005495.49549556</v>
      </c>
      <c r="N483">
        <v>251362432.43243241</v>
      </c>
      <c r="O483">
        <v>324783732.88288289</v>
      </c>
      <c r="P483">
        <v>351983036.03603601</v>
      </c>
      <c r="Q483">
        <v>153727837.83783782</v>
      </c>
      <c r="R483">
        <v>122627927.92792793</v>
      </c>
      <c r="S483">
        <v>32883</v>
      </c>
      <c r="T483">
        <v>33902</v>
      </c>
    </row>
    <row r="484" spans="1:20" x14ac:dyDescent="0.35">
      <c r="A484" s="7" t="s">
        <v>10</v>
      </c>
      <c r="B484" s="12" t="s">
        <v>195</v>
      </c>
      <c r="C484">
        <v>129658555.7222601</v>
      </c>
      <c r="D484">
        <v>131385774.73431163</v>
      </c>
      <c r="G484">
        <v>17</v>
      </c>
      <c r="H484">
        <v>10</v>
      </c>
      <c r="K484">
        <v>18</v>
      </c>
      <c r="L484">
        <v>10</v>
      </c>
      <c r="O484">
        <v>78573169.369369373</v>
      </c>
      <c r="P484">
        <v>78657540.540540546</v>
      </c>
      <c r="Q484">
        <v>19639.639639640001</v>
      </c>
      <c r="R484">
        <v>512972.97297297203</v>
      </c>
      <c r="S484">
        <v>3719</v>
      </c>
      <c r="T484">
        <v>3595</v>
      </c>
    </row>
    <row r="485" spans="1:20" x14ac:dyDescent="0.35">
      <c r="A485" s="7" t="s">
        <v>578</v>
      </c>
      <c r="B485" s="12" t="s">
        <v>88</v>
      </c>
      <c r="C485">
        <v>2945883.219582377</v>
      </c>
      <c r="D485">
        <v>3410312.3804922928</v>
      </c>
      <c r="G485">
        <v>13</v>
      </c>
      <c r="H485">
        <v>3</v>
      </c>
      <c r="K485">
        <v>14</v>
      </c>
      <c r="L485">
        <v>5</v>
      </c>
      <c r="O485">
        <v>938349.54954955005</v>
      </c>
      <c r="P485">
        <v>1287027.027027027</v>
      </c>
      <c r="S485">
        <v>231</v>
      </c>
      <c r="T485">
        <v>190</v>
      </c>
    </row>
    <row r="486" spans="1:20" x14ac:dyDescent="0.35">
      <c r="A486" s="7" t="s">
        <v>579</v>
      </c>
      <c r="B486" s="12" t="s">
        <v>285</v>
      </c>
      <c r="C486">
        <v>180435997.86833149</v>
      </c>
      <c r="D486">
        <v>190808248.72928169</v>
      </c>
      <c r="E486">
        <v>296396.39639639598</v>
      </c>
      <c r="F486">
        <v>409009.00900900899</v>
      </c>
      <c r="G486">
        <v>19</v>
      </c>
      <c r="H486">
        <v>7</v>
      </c>
      <c r="K486">
        <v>20</v>
      </c>
      <c r="L486">
        <v>14</v>
      </c>
      <c r="M486">
        <v>16116216.216216216</v>
      </c>
      <c r="N486">
        <v>19021621.62162162</v>
      </c>
      <c r="O486">
        <v>29559522.52252252</v>
      </c>
      <c r="P486">
        <v>31316432.432432432</v>
      </c>
      <c r="Q486">
        <v>15907567.567567568</v>
      </c>
      <c r="R486">
        <v>16201441.441441443</v>
      </c>
      <c r="S486">
        <v>3353</v>
      </c>
      <c r="T486">
        <v>3552</v>
      </c>
    </row>
    <row r="487" spans="1:20" x14ac:dyDescent="0.35">
      <c r="A487" s="7" t="s">
        <v>580</v>
      </c>
      <c r="B487" s="12" t="s">
        <v>309</v>
      </c>
      <c r="C487">
        <v>772504058.93258202</v>
      </c>
      <c r="D487">
        <v>810600438.33105373</v>
      </c>
      <c r="E487">
        <v>360961711.71171176</v>
      </c>
      <c r="F487">
        <v>198612162.16216215</v>
      </c>
      <c r="G487">
        <v>322</v>
      </c>
      <c r="H487">
        <v>220</v>
      </c>
      <c r="K487">
        <v>389</v>
      </c>
      <c r="L487">
        <v>262</v>
      </c>
      <c r="M487">
        <v>113568198.1981982</v>
      </c>
      <c r="N487">
        <v>225062342.34234235</v>
      </c>
      <c r="O487">
        <v>324492423.42342341</v>
      </c>
      <c r="P487">
        <v>339417054.05405408</v>
      </c>
      <c r="Q487">
        <v>81116666.666666657</v>
      </c>
      <c r="R487">
        <v>91451351.351351365</v>
      </c>
      <c r="S487">
        <v>38578</v>
      </c>
      <c r="T487">
        <v>38886</v>
      </c>
    </row>
    <row r="488" spans="1:20" x14ac:dyDescent="0.35">
      <c r="A488" s="7" t="s">
        <v>581</v>
      </c>
      <c r="B488" s="12" t="s">
        <v>332</v>
      </c>
      <c r="C488">
        <v>724252717.59797108</v>
      </c>
      <c r="D488">
        <v>741061219.07522643</v>
      </c>
      <c r="E488">
        <v>6443693.6936936984</v>
      </c>
      <c r="F488">
        <v>4951351.3513513552</v>
      </c>
      <c r="G488">
        <v>282</v>
      </c>
      <c r="H488">
        <v>241</v>
      </c>
      <c r="I488">
        <v>14</v>
      </c>
      <c r="K488">
        <v>339</v>
      </c>
      <c r="L488">
        <v>307</v>
      </c>
      <c r="M488">
        <v>64001801.801801801</v>
      </c>
      <c r="N488">
        <v>76537477.477477476</v>
      </c>
      <c r="O488">
        <v>156885585.58558559</v>
      </c>
      <c r="P488">
        <v>164871484.68468466</v>
      </c>
      <c r="Q488">
        <v>64903243.24324324</v>
      </c>
      <c r="R488">
        <v>69795045.045045048</v>
      </c>
      <c r="S488">
        <v>27922</v>
      </c>
      <c r="T488">
        <v>27797</v>
      </c>
    </row>
    <row r="489" spans="1:20" x14ac:dyDescent="0.35">
      <c r="A489" s="7" t="s">
        <v>582</v>
      </c>
      <c r="B489" s="12" t="s">
        <v>67</v>
      </c>
      <c r="C489">
        <v>110269866.77026425</v>
      </c>
      <c r="D489">
        <v>109725772.34243673</v>
      </c>
      <c r="E489">
        <v>50450.450450450997</v>
      </c>
      <c r="F489">
        <v>68468.468468467996</v>
      </c>
      <c r="G489">
        <v>17</v>
      </c>
      <c r="H489">
        <v>9</v>
      </c>
      <c r="K489">
        <v>20</v>
      </c>
      <c r="L489">
        <v>9</v>
      </c>
      <c r="M489">
        <v>2829279.2792792791</v>
      </c>
      <c r="N489">
        <v>2308558.5585585558</v>
      </c>
      <c r="O489">
        <v>28714725.225225225</v>
      </c>
      <c r="P489">
        <v>27334576.576576576</v>
      </c>
      <c r="Q489">
        <v>2843603.6036036038</v>
      </c>
      <c r="R489">
        <v>2756306.3063063039</v>
      </c>
      <c r="S489">
        <v>3305</v>
      </c>
      <c r="T489">
        <v>3113</v>
      </c>
    </row>
    <row r="490" spans="1:20" x14ac:dyDescent="0.35">
      <c r="A490" s="7" t="s">
        <v>583</v>
      </c>
      <c r="B490" s="12" t="s">
        <v>238</v>
      </c>
      <c r="C490">
        <v>12011.332970474001</v>
      </c>
      <c r="D490">
        <v>14066.836493274001</v>
      </c>
      <c r="P490">
        <v>34234.234234233998</v>
      </c>
    </row>
    <row r="491" spans="1:20" x14ac:dyDescent="0.35">
      <c r="A491" s="7" t="s">
        <v>584</v>
      </c>
      <c r="B491" s="12" t="s">
        <v>63</v>
      </c>
      <c r="C491">
        <v>286261735.7981261</v>
      </c>
      <c r="D491">
        <v>298107612.06905502</v>
      </c>
      <c r="E491">
        <v>2433333.3333333442</v>
      </c>
      <c r="F491">
        <v>1379279.2792792839</v>
      </c>
      <c r="G491">
        <v>166</v>
      </c>
      <c r="H491">
        <v>33</v>
      </c>
      <c r="K491">
        <v>167</v>
      </c>
      <c r="L491">
        <v>71</v>
      </c>
      <c r="M491">
        <v>24352972.972972974</v>
      </c>
      <c r="N491">
        <v>27894234.234234232</v>
      </c>
      <c r="O491">
        <v>65388990.990990989</v>
      </c>
      <c r="P491">
        <v>74005162.162162155</v>
      </c>
      <c r="Q491">
        <v>25464954.954954952</v>
      </c>
      <c r="R491">
        <v>26238738.738738742</v>
      </c>
      <c r="S491">
        <v>6712</v>
      </c>
      <c r="T491">
        <v>6793</v>
      </c>
    </row>
    <row r="492" spans="1:20" x14ac:dyDescent="0.35">
      <c r="A492" s="7" t="s">
        <v>585</v>
      </c>
      <c r="B492" s="12" t="s">
        <v>49</v>
      </c>
      <c r="C492">
        <v>262637008.68398824</v>
      </c>
      <c r="D492">
        <v>248696575.75707456</v>
      </c>
      <c r="E492">
        <v>860855.85585585702</v>
      </c>
      <c r="F492">
        <v>3844144.1441441439</v>
      </c>
      <c r="G492">
        <v>37</v>
      </c>
      <c r="H492">
        <v>4</v>
      </c>
      <c r="K492">
        <v>38</v>
      </c>
      <c r="L492">
        <v>8</v>
      </c>
      <c r="M492">
        <v>76046936.93693693</v>
      </c>
      <c r="N492">
        <v>25584684.684684683</v>
      </c>
      <c r="O492">
        <v>38372684.684684686</v>
      </c>
      <c r="P492">
        <v>42875675.675675683</v>
      </c>
      <c r="Q492">
        <v>71155855.855855852</v>
      </c>
      <c r="R492">
        <v>53499549.54954955</v>
      </c>
      <c r="S492">
        <v>5039</v>
      </c>
      <c r="T492">
        <v>5901</v>
      </c>
    </row>
    <row r="493" spans="1:20" x14ac:dyDescent="0.35">
      <c r="A493" s="7" t="s">
        <v>586</v>
      </c>
      <c r="B493" s="12" t="s">
        <v>55</v>
      </c>
      <c r="C493">
        <v>51877042.238833018</v>
      </c>
      <c r="D493">
        <v>51165228.359482937</v>
      </c>
      <c r="E493">
        <v>475675.67567567498</v>
      </c>
      <c r="F493">
        <v>2152702.702702703</v>
      </c>
      <c r="G493">
        <v>18</v>
      </c>
      <c r="H493">
        <v>44</v>
      </c>
      <c r="K493">
        <v>38</v>
      </c>
      <c r="L493">
        <v>153</v>
      </c>
      <c r="M493">
        <v>8334324.3243243229</v>
      </c>
      <c r="N493">
        <v>13711801.801801801</v>
      </c>
      <c r="O493">
        <v>13690903.153153151</v>
      </c>
      <c r="P493">
        <v>15229027.027027028</v>
      </c>
      <c r="Q493">
        <v>7067027.0270270258</v>
      </c>
      <c r="R493">
        <v>10507297.297297295</v>
      </c>
      <c r="S493">
        <v>2005</v>
      </c>
      <c r="T493">
        <v>2051</v>
      </c>
    </row>
    <row r="494" spans="1:20" x14ac:dyDescent="0.35">
      <c r="A494" s="7" t="s">
        <v>587</v>
      </c>
      <c r="B494" s="12" t="s">
        <v>71</v>
      </c>
      <c r="C494">
        <v>132678632.28510478</v>
      </c>
      <c r="D494">
        <v>128982395.71735252</v>
      </c>
      <c r="E494">
        <v>94594.594594594004</v>
      </c>
      <c r="F494">
        <v>797747.74774774804</v>
      </c>
      <c r="G494">
        <v>34</v>
      </c>
      <c r="H494">
        <v>10</v>
      </c>
      <c r="I494">
        <v>2</v>
      </c>
      <c r="K494">
        <v>35</v>
      </c>
      <c r="L494">
        <v>13</v>
      </c>
      <c r="M494">
        <v>1053153.1531531541</v>
      </c>
      <c r="N494">
        <v>3347297.297297298</v>
      </c>
      <c r="O494">
        <v>60145459.459459454</v>
      </c>
      <c r="P494">
        <v>58601666.666666664</v>
      </c>
      <c r="Q494">
        <v>1282882.882882884</v>
      </c>
      <c r="R494">
        <v>2586936.9369369349</v>
      </c>
      <c r="S494">
        <v>3619</v>
      </c>
      <c r="T494">
        <v>3555</v>
      </c>
    </row>
    <row r="495" spans="1:20" x14ac:dyDescent="0.35">
      <c r="A495" s="7" t="s">
        <v>588</v>
      </c>
      <c r="B495" s="12" t="s">
        <v>332</v>
      </c>
      <c r="C495">
        <v>490094016.79136181</v>
      </c>
      <c r="D495">
        <v>479970012.70687014</v>
      </c>
      <c r="E495">
        <v>4656756.7567567565</v>
      </c>
      <c r="F495">
        <v>1886486.486486492</v>
      </c>
      <c r="G495">
        <v>210</v>
      </c>
      <c r="H495">
        <v>207</v>
      </c>
      <c r="K495">
        <v>250</v>
      </c>
      <c r="L495">
        <v>249</v>
      </c>
      <c r="M495">
        <v>47049549.549549542</v>
      </c>
      <c r="N495">
        <v>41370045.045045048</v>
      </c>
      <c r="O495">
        <v>123734445.04504503</v>
      </c>
      <c r="P495">
        <v>127070951.35135137</v>
      </c>
      <c r="Q495">
        <v>44737297.297297299</v>
      </c>
      <c r="R495">
        <v>39144549.54954955</v>
      </c>
      <c r="S495">
        <v>22520</v>
      </c>
      <c r="T495">
        <v>19914</v>
      </c>
    </row>
    <row r="496" spans="1:20" x14ac:dyDescent="0.35">
      <c r="A496" s="7" t="s">
        <v>589</v>
      </c>
      <c r="B496" s="12" t="s">
        <v>67</v>
      </c>
      <c r="C496">
        <v>236207652.2683765</v>
      </c>
      <c r="D496">
        <v>256777525.05147421</v>
      </c>
      <c r="E496">
        <v>710740159.45945942</v>
      </c>
      <c r="F496">
        <v>727693527.02702713</v>
      </c>
      <c r="G496">
        <v>104</v>
      </c>
      <c r="H496">
        <v>83</v>
      </c>
      <c r="K496">
        <v>133</v>
      </c>
      <c r="L496">
        <v>97</v>
      </c>
      <c r="M496">
        <v>71686261.261261269</v>
      </c>
      <c r="N496">
        <v>160969572.97297296</v>
      </c>
      <c r="O496">
        <v>115622954.95495497</v>
      </c>
      <c r="P496">
        <v>128624621.62162161</v>
      </c>
      <c r="Q496">
        <v>44901486.48648648</v>
      </c>
      <c r="R496">
        <v>36394189.189189181</v>
      </c>
      <c r="S496">
        <v>11108</v>
      </c>
      <c r="T496">
        <v>10582</v>
      </c>
    </row>
    <row r="497" spans="1:20" x14ac:dyDescent="0.35">
      <c r="A497" s="7" t="s">
        <v>11</v>
      </c>
      <c r="B497" s="12" t="s">
        <v>195</v>
      </c>
      <c r="C497">
        <v>112175488.32540229</v>
      </c>
      <c r="D497">
        <v>106347405.56694141</v>
      </c>
      <c r="E497">
        <v>112612.612612615</v>
      </c>
      <c r="F497">
        <v>18018.018018018</v>
      </c>
      <c r="G497">
        <v>25</v>
      </c>
      <c r="H497">
        <v>25</v>
      </c>
      <c r="K497">
        <v>29</v>
      </c>
      <c r="L497">
        <v>27</v>
      </c>
      <c r="M497">
        <v>1914414.4144144161</v>
      </c>
      <c r="N497">
        <v>3081081.0810810812</v>
      </c>
      <c r="O497">
        <v>38266849.099099107</v>
      </c>
      <c r="P497">
        <v>42263036.036036029</v>
      </c>
      <c r="Q497">
        <v>2494684.684684685</v>
      </c>
      <c r="R497">
        <v>2301081.0810810812</v>
      </c>
      <c r="S497">
        <v>4093</v>
      </c>
      <c r="T497">
        <v>4108</v>
      </c>
    </row>
    <row r="498" spans="1:20" x14ac:dyDescent="0.35">
      <c r="A498" s="7" t="s">
        <v>12</v>
      </c>
      <c r="B498" s="12" t="s">
        <v>195</v>
      </c>
      <c r="C498">
        <v>72616138.710239813</v>
      </c>
      <c r="D498">
        <v>70314994.90189743</v>
      </c>
      <c r="E498">
        <v>2367567.5675675701</v>
      </c>
      <c r="F498">
        <v>140540.540540541</v>
      </c>
      <c r="G498">
        <v>9</v>
      </c>
      <c r="H498">
        <v>11</v>
      </c>
      <c r="K498">
        <v>10</v>
      </c>
      <c r="L498">
        <v>15</v>
      </c>
      <c r="M498">
        <v>5520720.7207207223</v>
      </c>
      <c r="N498">
        <v>590990.99099099101</v>
      </c>
      <c r="O498">
        <v>28820108.108108107</v>
      </c>
      <c r="P498">
        <v>31112270.270270273</v>
      </c>
      <c r="Q498">
        <v>8085315.3153153146</v>
      </c>
      <c r="R498">
        <v>2466216.2162162159</v>
      </c>
      <c r="S498">
        <v>2897</v>
      </c>
      <c r="T498">
        <v>3015</v>
      </c>
    </row>
    <row r="499" spans="1:20" x14ac:dyDescent="0.35">
      <c r="A499" s="7" t="s">
        <v>590</v>
      </c>
      <c r="B499" s="12" t="s">
        <v>61</v>
      </c>
      <c r="C499">
        <v>61217635.208832331</v>
      </c>
      <c r="D499">
        <v>61513951.322058953</v>
      </c>
      <c r="E499">
        <v>453153.15315315401</v>
      </c>
      <c r="F499">
        <v>1640090.090090092</v>
      </c>
      <c r="G499">
        <v>19</v>
      </c>
      <c r="H499">
        <v>18</v>
      </c>
      <c r="I499">
        <v>2</v>
      </c>
      <c r="K499">
        <v>30</v>
      </c>
      <c r="L499">
        <v>36</v>
      </c>
      <c r="M499">
        <v>9651351.3513513524</v>
      </c>
      <c r="N499">
        <v>14018468.468468469</v>
      </c>
      <c r="O499">
        <v>23188236.486486487</v>
      </c>
      <c r="P499">
        <v>23203448.648648649</v>
      </c>
      <c r="Q499">
        <v>9983243.2432432435</v>
      </c>
      <c r="R499">
        <v>11095358.558558557</v>
      </c>
      <c r="S499">
        <v>1763</v>
      </c>
      <c r="T499">
        <v>1851</v>
      </c>
    </row>
    <row r="500" spans="1:20" x14ac:dyDescent="0.35">
      <c r="A500" s="7" t="s">
        <v>591</v>
      </c>
      <c r="B500" s="12" t="s">
        <v>309</v>
      </c>
      <c r="C500">
        <v>1682555958.3381269</v>
      </c>
      <c r="D500">
        <v>1716779041.7502737</v>
      </c>
      <c r="E500">
        <v>978077956.75675678</v>
      </c>
      <c r="F500">
        <v>1262247395.4954953</v>
      </c>
      <c r="G500">
        <v>763</v>
      </c>
      <c r="H500">
        <v>441</v>
      </c>
      <c r="I500">
        <v>2</v>
      </c>
      <c r="K500">
        <v>913</v>
      </c>
      <c r="L500">
        <v>552</v>
      </c>
      <c r="M500">
        <v>464980180.18018013</v>
      </c>
      <c r="N500">
        <v>482933828.82882881</v>
      </c>
      <c r="O500">
        <v>537091599.09909904</v>
      </c>
      <c r="P500">
        <v>571822252.25225234</v>
      </c>
      <c r="Q500">
        <v>305306036.03603601</v>
      </c>
      <c r="R500">
        <v>289841891.8918919</v>
      </c>
      <c r="S500">
        <v>63371</v>
      </c>
      <c r="T500">
        <v>64418</v>
      </c>
    </row>
    <row r="501" spans="1:20" x14ac:dyDescent="0.35">
      <c r="A501" s="7" t="s">
        <v>592</v>
      </c>
      <c r="B501" s="12" t="s">
        <v>53</v>
      </c>
      <c r="C501">
        <v>402617061.46145064</v>
      </c>
      <c r="D501">
        <v>427302772.78350389</v>
      </c>
      <c r="E501">
        <v>6413513.5135135176</v>
      </c>
      <c r="F501">
        <v>10454954.954954958</v>
      </c>
      <c r="G501">
        <v>99</v>
      </c>
      <c r="H501">
        <v>212</v>
      </c>
      <c r="K501">
        <v>210</v>
      </c>
      <c r="L501">
        <v>339</v>
      </c>
      <c r="M501">
        <v>108651306.3063063</v>
      </c>
      <c r="N501">
        <v>181536036.03603604</v>
      </c>
      <c r="O501">
        <v>163440180.18018019</v>
      </c>
      <c r="P501">
        <v>180007000</v>
      </c>
      <c r="Q501">
        <v>121866801.80180179</v>
      </c>
      <c r="R501">
        <v>172746216.21621624</v>
      </c>
      <c r="S501">
        <v>14191</v>
      </c>
      <c r="T501">
        <v>13983</v>
      </c>
    </row>
    <row r="502" spans="1:20" x14ac:dyDescent="0.35">
      <c r="A502" s="7" t="s">
        <v>593</v>
      </c>
      <c r="B502" s="12" t="s">
        <v>55</v>
      </c>
      <c r="C502">
        <v>34891329.582353398</v>
      </c>
      <c r="D502">
        <v>33687810.279614173</v>
      </c>
      <c r="E502">
        <v>667567.56756756699</v>
      </c>
      <c r="F502">
        <v>1758558.558558559</v>
      </c>
      <c r="G502">
        <v>15</v>
      </c>
      <c r="H502">
        <v>31</v>
      </c>
      <c r="K502">
        <v>18</v>
      </c>
      <c r="L502">
        <v>39</v>
      </c>
      <c r="M502">
        <v>6063963.9639639631</v>
      </c>
      <c r="N502">
        <v>5864414.4144144151</v>
      </c>
      <c r="O502">
        <v>10923684.684684685</v>
      </c>
      <c r="P502">
        <v>11938013.513513513</v>
      </c>
      <c r="Q502">
        <v>6370630.630630631</v>
      </c>
      <c r="R502">
        <v>7701621.6216216227</v>
      </c>
      <c r="S502">
        <v>1599</v>
      </c>
      <c r="T502">
        <v>1580</v>
      </c>
    </row>
    <row r="503" spans="1:20" x14ac:dyDescent="0.35">
      <c r="A503" s="7" t="s">
        <v>594</v>
      </c>
      <c r="B503" s="12" t="s">
        <v>170</v>
      </c>
      <c r="C503">
        <v>972890813.69086969</v>
      </c>
      <c r="D503">
        <v>992827563.81297851</v>
      </c>
      <c r="E503">
        <v>4536261.2612612639</v>
      </c>
      <c r="F503">
        <v>17657479.279279288</v>
      </c>
      <c r="G503">
        <v>72</v>
      </c>
      <c r="H503">
        <v>75</v>
      </c>
      <c r="I503">
        <v>2</v>
      </c>
      <c r="K503">
        <v>86</v>
      </c>
      <c r="L503">
        <v>107</v>
      </c>
      <c r="M503">
        <v>193346845.04504505</v>
      </c>
      <c r="N503">
        <v>194392163.96396396</v>
      </c>
      <c r="O503">
        <v>330824869.36936933</v>
      </c>
      <c r="P503">
        <v>357675135.13513511</v>
      </c>
      <c r="Q503">
        <v>169970810.8108108</v>
      </c>
      <c r="R503">
        <v>153418738.73873875</v>
      </c>
      <c r="S503">
        <v>24350</v>
      </c>
      <c r="T503">
        <v>23317</v>
      </c>
    </row>
    <row r="504" spans="1:20" x14ac:dyDescent="0.35">
      <c r="A504" s="7" t="s">
        <v>595</v>
      </c>
      <c r="B504" s="12" t="s">
        <v>88</v>
      </c>
      <c r="C504">
        <v>4910816.6530665942</v>
      </c>
      <c r="D504">
        <v>4453284.7623691838</v>
      </c>
      <c r="G504">
        <v>2</v>
      </c>
      <c r="K504">
        <v>2</v>
      </c>
      <c r="O504">
        <v>1338693.693693694</v>
      </c>
      <c r="P504">
        <v>1906036.036036036</v>
      </c>
      <c r="S504">
        <v>294</v>
      </c>
      <c r="T504">
        <v>257</v>
      </c>
    </row>
    <row r="505" spans="1:20" x14ac:dyDescent="0.35">
      <c r="A505" s="7" t="s">
        <v>36</v>
      </c>
      <c r="B505" s="12" t="s">
        <v>159</v>
      </c>
      <c r="E505">
        <v>713734623.42342341</v>
      </c>
      <c r="F505">
        <v>787896980.18018019</v>
      </c>
      <c r="M505">
        <v>65077477.477477483</v>
      </c>
      <c r="N505">
        <v>63345045.045045048</v>
      </c>
    </row>
    <row r="506" spans="1:20" x14ac:dyDescent="0.35">
      <c r="A506" s="7" t="s">
        <v>596</v>
      </c>
      <c r="B506" s="12" t="s">
        <v>144</v>
      </c>
      <c r="C506">
        <v>71556998.738772243</v>
      </c>
      <c r="D506">
        <v>69958765.500310361</v>
      </c>
      <c r="E506">
        <v>167567.567567569</v>
      </c>
      <c r="F506">
        <v>108108.10810810899</v>
      </c>
      <c r="G506">
        <v>23</v>
      </c>
      <c r="H506">
        <v>3</v>
      </c>
      <c r="K506">
        <v>24</v>
      </c>
      <c r="L506">
        <v>3</v>
      </c>
      <c r="M506">
        <v>8545945.9459459465</v>
      </c>
      <c r="N506">
        <v>6774774.7747747749</v>
      </c>
      <c r="O506">
        <v>7610891.8918918921</v>
      </c>
      <c r="P506">
        <v>7415315.3153153146</v>
      </c>
      <c r="Q506">
        <v>3778468.4684684691</v>
      </c>
      <c r="R506">
        <v>3640630.6306306301</v>
      </c>
      <c r="S506">
        <v>1618</v>
      </c>
      <c r="T506">
        <v>1512</v>
      </c>
    </row>
    <row r="507" spans="1:20" x14ac:dyDescent="0.35">
      <c r="A507" s="7" t="s">
        <v>597</v>
      </c>
      <c r="B507" s="12" t="s">
        <v>292</v>
      </c>
      <c r="C507">
        <v>17903775.616505802</v>
      </c>
      <c r="D507">
        <v>17980767.162485942</v>
      </c>
      <c r="G507">
        <v>1</v>
      </c>
      <c r="H507">
        <v>9</v>
      </c>
      <c r="K507">
        <v>1</v>
      </c>
      <c r="L507">
        <v>11</v>
      </c>
      <c r="O507">
        <v>1136216.2162162161</v>
      </c>
      <c r="P507">
        <v>1106711.7117117119</v>
      </c>
      <c r="S507">
        <v>696</v>
      </c>
      <c r="T507">
        <v>796</v>
      </c>
    </row>
    <row r="508" spans="1:20" x14ac:dyDescent="0.35">
      <c r="A508" s="7" t="s">
        <v>598</v>
      </c>
      <c r="B508" s="12" t="s">
        <v>93</v>
      </c>
      <c r="C508">
        <v>23867712.564253781</v>
      </c>
      <c r="D508">
        <v>24383106.063408624</v>
      </c>
      <c r="E508">
        <v>1206306.306306307</v>
      </c>
      <c r="F508">
        <v>1420270.2702702701</v>
      </c>
      <c r="G508">
        <v>14</v>
      </c>
      <c r="H508">
        <v>7</v>
      </c>
      <c r="K508">
        <v>15</v>
      </c>
      <c r="L508">
        <v>8</v>
      </c>
      <c r="M508">
        <v>2197297.297297298</v>
      </c>
      <c r="N508">
        <v>6430180.1801801799</v>
      </c>
      <c r="O508">
        <v>4491297.297297297</v>
      </c>
      <c r="P508">
        <v>4787603.6036036033</v>
      </c>
      <c r="Q508">
        <v>2485315.315315316</v>
      </c>
      <c r="R508">
        <v>6353603.6036036033</v>
      </c>
      <c r="S508">
        <v>825</v>
      </c>
      <c r="T508">
        <v>720</v>
      </c>
    </row>
    <row r="509" spans="1:20" x14ac:dyDescent="0.35">
      <c r="A509" s="7" t="s">
        <v>599</v>
      </c>
      <c r="B509" s="12" t="s">
        <v>51</v>
      </c>
      <c r="C509">
        <v>83115091.44923161</v>
      </c>
      <c r="D509">
        <v>87259244.767670736</v>
      </c>
      <c r="E509">
        <v>1662837.837837839</v>
      </c>
      <c r="F509">
        <v>878378.37837837997</v>
      </c>
      <c r="G509">
        <v>8</v>
      </c>
      <c r="H509">
        <v>7</v>
      </c>
      <c r="K509">
        <v>8</v>
      </c>
      <c r="L509">
        <v>9</v>
      </c>
      <c r="M509">
        <v>3529279.2792792791</v>
      </c>
      <c r="N509">
        <v>4159099.0990990992</v>
      </c>
      <c r="O509">
        <v>17970140.540540539</v>
      </c>
      <c r="P509">
        <v>19256252.252252251</v>
      </c>
      <c r="Q509">
        <v>3311981.981981982</v>
      </c>
      <c r="R509">
        <v>7091261.2612612601</v>
      </c>
      <c r="S509">
        <v>1688</v>
      </c>
      <c r="T509">
        <v>1606</v>
      </c>
    </row>
    <row r="510" spans="1:20" x14ac:dyDescent="0.35">
      <c r="A510" s="7" t="s">
        <v>600</v>
      </c>
      <c r="B510" s="12" t="s">
        <v>90</v>
      </c>
      <c r="C510">
        <v>130167307.35060336</v>
      </c>
      <c r="D510">
        <v>134350231.76007134</v>
      </c>
      <c r="E510">
        <v>1704504.504504509</v>
      </c>
      <c r="F510">
        <v>3355855.8558558612</v>
      </c>
      <c r="G510">
        <v>28</v>
      </c>
      <c r="H510">
        <v>17</v>
      </c>
      <c r="I510">
        <v>1</v>
      </c>
      <c r="K510">
        <v>146</v>
      </c>
      <c r="L510">
        <v>22</v>
      </c>
      <c r="M510">
        <v>10126486.486486483</v>
      </c>
      <c r="N510">
        <v>29362162.162162159</v>
      </c>
      <c r="O510">
        <v>31453783.783783782</v>
      </c>
      <c r="P510">
        <v>37341090.090090089</v>
      </c>
      <c r="Q510">
        <v>9651891.8918918874</v>
      </c>
      <c r="R510">
        <v>28300540.540540539</v>
      </c>
      <c r="S510">
        <v>3548</v>
      </c>
      <c r="T510">
        <v>3599</v>
      </c>
    </row>
    <row r="511" spans="1:20" x14ac:dyDescent="0.35">
      <c r="A511" s="7" t="s">
        <v>601</v>
      </c>
      <c r="B511" s="12" t="s">
        <v>144</v>
      </c>
      <c r="C511">
        <v>50879312.439044625</v>
      </c>
      <c r="D511">
        <v>48716942.056701437</v>
      </c>
      <c r="E511">
        <v>838738.73873873905</v>
      </c>
      <c r="F511">
        <v>85585.585585585999</v>
      </c>
      <c r="G511">
        <v>1</v>
      </c>
      <c r="H511">
        <v>2</v>
      </c>
      <c r="K511">
        <v>1</v>
      </c>
      <c r="L511">
        <v>3</v>
      </c>
      <c r="M511">
        <v>4442342.3423423423</v>
      </c>
      <c r="N511">
        <v>1887387.387387387</v>
      </c>
      <c r="O511">
        <v>5029378.3783783782</v>
      </c>
      <c r="P511">
        <v>4288738.738738738</v>
      </c>
      <c r="Q511">
        <v>3585405.405405405</v>
      </c>
      <c r="R511">
        <v>2436396.3963963962</v>
      </c>
      <c r="S511">
        <v>1153</v>
      </c>
      <c r="T511">
        <v>1123</v>
      </c>
    </row>
    <row r="512" spans="1:20" x14ac:dyDescent="0.35">
      <c r="A512" s="7" t="s">
        <v>602</v>
      </c>
      <c r="B512" s="12" t="s">
        <v>126</v>
      </c>
      <c r="C512">
        <v>127753897.38300899</v>
      </c>
      <c r="D512">
        <v>136082211.07346138</v>
      </c>
      <c r="E512">
        <v>92792.792792794004</v>
      </c>
      <c r="F512">
        <v>300000.00000000099</v>
      </c>
      <c r="G512">
        <v>14</v>
      </c>
      <c r="H512">
        <v>17</v>
      </c>
      <c r="K512">
        <v>17</v>
      </c>
      <c r="L512">
        <v>20</v>
      </c>
      <c r="M512">
        <v>6079639.6396396412</v>
      </c>
      <c r="N512">
        <v>10109279.27927928</v>
      </c>
      <c r="O512">
        <v>48698774.774774775</v>
      </c>
      <c r="P512">
        <v>51424612.612612613</v>
      </c>
      <c r="Q512">
        <v>6609729.7297297297</v>
      </c>
      <c r="R512">
        <v>10018918.918918921</v>
      </c>
      <c r="S512">
        <v>3450</v>
      </c>
      <c r="T512">
        <v>3422</v>
      </c>
    </row>
    <row r="513" spans="1:20" x14ac:dyDescent="0.35">
      <c r="A513" s="7" t="s">
        <v>603</v>
      </c>
      <c r="B513" s="12" t="s">
        <v>51</v>
      </c>
      <c r="C513">
        <v>314661804.76121205</v>
      </c>
      <c r="D513">
        <v>342635033.69414645</v>
      </c>
      <c r="E513">
        <v>3338738.7387387389</v>
      </c>
      <c r="F513">
        <v>2506306.3063063091</v>
      </c>
      <c r="G513">
        <v>26</v>
      </c>
      <c r="H513">
        <v>30</v>
      </c>
      <c r="I513">
        <v>1</v>
      </c>
      <c r="K513">
        <v>28</v>
      </c>
      <c r="L513">
        <v>31</v>
      </c>
      <c r="M513">
        <v>36170720.720720723</v>
      </c>
      <c r="N513">
        <v>30788738.738738742</v>
      </c>
      <c r="O513">
        <v>132123018.01801802</v>
      </c>
      <c r="P513">
        <v>144247468.46846849</v>
      </c>
      <c r="Q513">
        <v>39173423.423423424</v>
      </c>
      <c r="R513">
        <v>31610540.540540539</v>
      </c>
      <c r="S513">
        <v>7750</v>
      </c>
      <c r="T513">
        <v>7734</v>
      </c>
    </row>
    <row r="514" spans="1:20" x14ac:dyDescent="0.35">
      <c r="A514" s="7" t="s">
        <v>604</v>
      </c>
      <c r="B514" s="12" t="s">
        <v>90</v>
      </c>
      <c r="C514">
        <v>92833902.760145649</v>
      </c>
      <c r="D514">
        <v>92919255.921389326</v>
      </c>
      <c r="E514">
        <v>756756.75675676297</v>
      </c>
      <c r="F514">
        <v>2714414.4144144151</v>
      </c>
      <c r="G514">
        <v>8</v>
      </c>
      <c r="H514">
        <v>8</v>
      </c>
      <c r="K514">
        <v>8</v>
      </c>
      <c r="L514">
        <v>8</v>
      </c>
      <c r="M514">
        <v>26509009.009009015</v>
      </c>
      <c r="N514">
        <v>32957489.189189188</v>
      </c>
      <c r="O514">
        <v>28440243.243243244</v>
      </c>
      <c r="P514">
        <v>30222342.342342343</v>
      </c>
      <c r="Q514">
        <v>24446126.126126129</v>
      </c>
      <c r="R514">
        <v>32490000</v>
      </c>
      <c r="S514">
        <v>2465</v>
      </c>
      <c r="T514">
        <v>2443</v>
      </c>
    </row>
    <row r="515" spans="1:20" x14ac:dyDescent="0.35">
      <c r="A515" s="7" t="s">
        <v>605</v>
      </c>
      <c r="B515" s="12" t="s">
        <v>88</v>
      </c>
      <c r="C515">
        <v>81885188.274024755</v>
      </c>
      <c r="D515">
        <v>83681464.877583846</v>
      </c>
      <c r="E515">
        <v>617117.11711711704</v>
      </c>
      <c r="F515">
        <v>599099.09909909999</v>
      </c>
      <c r="G515">
        <v>10</v>
      </c>
      <c r="H515">
        <v>9</v>
      </c>
      <c r="K515">
        <v>13</v>
      </c>
      <c r="L515">
        <v>10</v>
      </c>
      <c r="M515">
        <v>896396.39639639598</v>
      </c>
      <c r="N515">
        <v>1490990.990990991</v>
      </c>
      <c r="O515">
        <v>6309441.441441441</v>
      </c>
      <c r="P515">
        <v>9249819.8198198192</v>
      </c>
      <c r="Q515">
        <v>989189.189189189</v>
      </c>
      <c r="R515">
        <v>1508828.8288288291</v>
      </c>
      <c r="S515">
        <v>1206</v>
      </c>
      <c r="T515">
        <v>1226</v>
      </c>
    </row>
    <row r="516" spans="1:20" x14ac:dyDescent="0.35">
      <c r="A516" s="7" t="s">
        <v>606</v>
      </c>
      <c r="B516" s="12" t="s">
        <v>141</v>
      </c>
      <c r="C516">
        <v>663162493.42473161</v>
      </c>
      <c r="D516">
        <v>696966769.43585479</v>
      </c>
      <c r="E516">
        <v>309585894.5945946</v>
      </c>
      <c r="F516">
        <v>508497481.98198199</v>
      </c>
      <c r="G516">
        <v>246</v>
      </c>
      <c r="H516">
        <v>293</v>
      </c>
      <c r="I516">
        <v>8</v>
      </c>
      <c r="K516">
        <v>460</v>
      </c>
      <c r="L516">
        <v>452</v>
      </c>
      <c r="M516">
        <v>102135000</v>
      </c>
      <c r="N516">
        <v>146862972.97297299</v>
      </c>
      <c r="O516">
        <v>164556385.58558559</v>
      </c>
      <c r="P516">
        <v>181099852.25225225</v>
      </c>
      <c r="Q516">
        <v>112576666.66666667</v>
      </c>
      <c r="R516">
        <v>139160538.73873875</v>
      </c>
      <c r="S516">
        <v>18585</v>
      </c>
      <c r="T516">
        <v>19328</v>
      </c>
    </row>
    <row r="517" spans="1:20" x14ac:dyDescent="0.35">
      <c r="A517" s="7" t="s">
        <v>677</v>
      </c>
      <c r="B517" s="12" t="s">
        <v>216</v>
      </c>
      <c r="E517">
        <v>2477477.4774774769</v>
      </c>
      <c r="F517">
        <v>88153153.153153151</v>
      </c>
      <c r="M517">
        <v>19819.819819820001</v>
      </c>
      <c r="N517">
        <v>39639.639639640001</v>
      </c>
    </row>
    <row r="518" spans="1:20" x14ac:dyDescent="0.35">
      <c r="A518" s="7" t="s">
        <v>607</v>
      </c>
      <c r="B518" s="12" t="s">
        <v>226</v>
      </c>
      <c r="C518">
        <v>111226205.96275103</v>
      </c>
      <c r="D518">
        <v>126255143.91542041</v>
      </c>
      <c r="E518">
        <v>78378.378378377995</v>
      </c>
      <c r="F518">
        <v>1030630.630630631</v>
      </c>
      <c r="G518">
        <v>21</v>
      </c>
      <c r="H518">
        <v>18</v>
      </c>
      <c r="K518">
        <v>22</v>
      </c>
      <c r="L518">
        <v>19</v>
      </c>
      <c r="M518">
        <v>3952252.2522522518</v>
      </c>
      <c r="N518">
        <v>3544144.1441441439</v>
      </c>
      <c r="O518">
        <v>37459900.9009009</v>
      </c>
      <c r="P518">
        <v>46320936.936936937</v>
      </c>
      <c r="Q518">
        <v>3938108.1081081079</v>
      </c>
      <c r="R518">
        <v>4326576.5765765766</v>
      </c>
      <c r="S518">
        <v>3473</v>
      </c>
      <c r="T518">
        <v>3560</v>
      </c>
    </row>
    <row r="519" spans="1:20" x14ac:dyDescent="0.35">
      <c r="A519" s="7" t="s">
        <v>608</v>
      </c>
      <c r="B519" s="12" t="s">
        <v>226</v>
      </c>
      <c r="C519">
        <v>73103519.944586188</v>
      </c>
      <c r="D519">
        <v>81139064.430894494</v>
      </c>
      <c r="E519">
        <v>48648.648648649003</v>
      </c>
      <c r="F519">
        <v>9009.0090090089998</v>
      </c>
      <c r="G519">
        <v>22</v>
      </c>
      <c r="H519">
        <v>14</v>
      </c>
      <c r="K519">
        <v>23</v>
      </c>
      <c r="L519">
        <v>16</v>
      </c>
      <c r="M519">
        <v>2751351.351351351</v>
      </c>
      <c r="N519">
        <v>6441261.261261262</v>
      </c>
      <c r="O519">
        <v>21857045.045045044</v>
      </c>
      <c r="P519">
        <v>27466855.855855856</v>
      </c>
      <c r="Q519">
        <v>4266126.1261261264</v>
      </c>
      <c r="R519">
        <v>6149729.7297297297</v>
      </c>
      <c r="S519">
        <v>3011</v>
      </c>
      <c r="T519">
        <v>3104</v>
      </c>
    </row>
    <row r="520" spans="1:20" x14ac:dyDescent="0.35">
      <c r="A520" s="7" t="s">
        <v>609</v>
      </c>
      <c r="B520" s="12" t="s">
        <v>243</v>
      </c>
      <c r="C520">
        <v>60530192.716715902</v>
      </c>
      <c r="D520">
        <v>67394054.387681097</v>
      </c>
      <c r="E520">
        <v>104490671.17117117</v>
      </c>
      <c r="F520">
        <v>101855506.3063063</v>
      </c>
      <c r="G520">
        <v>33</v>
      </c>
      <c r="H520">
        <v>29</v>
      </c>
      <c r="K520">
        <v>38</v>
      </c>
      <c r="L520">
        <v>31</v>
      </c>
      <c r="M520">
        <v>15696846.846846849</v>
      </c>
      <c r="N520">
        <v>10466666.666666664</v>
      </c>
      <c r="O520">
        <v>19026792.792792793</v>
      </c>
      <c r="P520">
        <v>22328180.180180181</v>
      </c>
      <c r="Q520">
        <v>4033783.7837837841</v>
      </c>
      <c r="R520">
        <v>3166666.666666667</v>
      </c>
      <c r="S520">
        <v>2779</v>
      </c>
      <c r="T520">
        <v>2738</v>
      </c>
    </row>
    <row r="521" spans="1:20" x14ac:dyDescent="0.35">
      <c r="A521" s="7" t="s">
        <v>610</v>
      </c>
      <c r="B521" s="12" t="s">
        <v>141</v>
      </c>
      <c r="C521">
        <v>18680427.025024105</v>
      </c>
      <c r="D521">
        <v>18515842.489272617</v>
      </c>
      <c r="E521">
        <v>2702.7027027029999</v>
      </c>
      <c r="F521">
        <v>18918.918918919</v>
      </c>
      <c r="G521">
        <v>4</v>
      </c>
      <c r="H521">
        <v>1</v>
      </c>
      <c r="I521">
        <v>1</v>
      </c>
      <c r="K521">
        <v>4</v>
      </c>
      <c r="L521">
        <v>2</v>
      </c>
      <c r="M521">
        <v>227927.92792792799</v>
      </c>
      <c r="N521">
        <v>734234.23423423397</v>
      </c>
      <c r="O521">
        <v>2191027.0270270272</v>
      </c>
      <c r="P521">
        <v>3167792.7927927929</v>
      </c>
      <c r="Q521">
        <v>454864.86486486503</v>
      </c>
      <c r="R521">
        <v>736306.30630630697</v>
      </c>
      <c r="S521">
        <v>344</v>
      </c>
      <c r="T521">
        <v>342</v>
      </c>
    </row>
    <row r="522" spans="1:20" x14ac:dyDescent="0.35">
      <c r="A522" s="7" t="s">
        <v>611</v>
      </c>
      <c r="B522" s="12" t="s">
        <v>191</v>
      </c>
      <c r="C522">
        <v>70231129.122248694</v>
      </c>
      <c r="D522">
        <v>64535209.421557106</v>
      </c>
      <c r="E522">
        <v>29027706.306306303</v>
      </c>
      <c r="F522">
        <v>27440870.270270273</v>
      </c>
      <c r="G522">
        <v>47</v>
      </c>
      <c r="H522">
        <v>15</v>
      </c>
      <c r="K522">
        <v>52</v>
      </c>
      <c r="L522">
        <v>17</v>
      </c>
      <c r="M522">
        <v>20294815.315315317</v>
      </c>
      <c r="N522">
        <v>4522522.5225225231</v>
      </c>
      <c r="O522">
        <v>17548382.882882886</v>
      </c>
      <c r="P522">
        <v>15870405.405405404</v>
      </c>
      <c r="Q522">
        <v>4184054.054054054</v>
      </c>
      <c r="R522">
        <v>2915045.0450450452</v>
      </c>
      <c r="S522">
        <v>1551</v>
      </c>
      <c r="T522">
        <v>1477</v>
      </c>
    </row>
    <row r="523" spans="1:20" x14ac:dyDescent="0.35">
      <c r="A523" s="7" t="s">
        <v>612</v>
      </c>
      <c r="B523" s="12" t="s">
        <v>191</v>
      </c>
      <c r="C523">
        <v>207226912.26482728</v>
      </c>
      <c r="D523">
        <v>201270384.10458773</v>
      </c>
      <c r="E523">
        <v>175675.675675676</v>
      </c>
      <c r="F523">
        <v>94594.594594595997</v>
      </c>
      <c r="G523">
        <v>67</v>
      </c>
      <c r="H523">
        <v>68</v>
      </c>
      <c r="K523">
        <v>70</v>
      </c>
      <c r="L523">
        <v>70</v>
      </c>
      <c r="M523">
        <v>7968468.4684684677</v>
      </c>
      <c r="N523">
        <v>10545045.045045044</v>
      </c>
      <c r="O523">
        <v>36435927.927927926</v>
      </c>
      <c r="P523">
        <v>35329459.459459461</v>
      </c>
      <c r="Q523">
        <v>5420180.180180179</v>
      </c>
      <c r="R523">
        <v>5309459.4594594594</v>
      </c>
      <c r="S523">
        <v>4951</v>
      </c>
      <c r="T523">
        <v>5004</v>
      </c>
    </row>
    <row r="524" spans="1:20" x14ac:dyDescent="0.35">
      <c r="A524" s="7" t="s">
        <v>613</v>
      </c>
      <c r="B524" s="12" t="s">
        <v>191</v>
      </c>
      <c r="C524">
        <v>80547656.535958469</v>
      </c>
      <c r="D524">
        <v>90500790.223968118</v>
      </c>
      <c r="E524">
        <v>1770945.9459459491</v>
      </c>
      <c r="F524">
        <v>558558.55855855905</v>
      </c>
      <c r="G524">
        <v>17</v>
      </c>
      <c r="H524">
        <v>13</v>
      </c>
      <c r="K524">
        <v>17</v>
      </c>
      <c r="L524">
        <v>14</v>
      </c>
      <c r="M524">
        <v>9034234.2342342343</v>
      </c>
      <c r="N524">
        <v>7720720.7207207223</v>
      </c>
      <c r="O524">
        <v>9294765.7657657657</v>
      </c>
      <c r="P524">
        <v>13659531.531531531</v>
      </c>
      <c r="Q524">
        <v>7775675.6756756753</v>
      </c>
      <c r="R524">
        <v>5436936.9369369354</v>
      </c>
      <c r="S524">
        <v>1678</v>
      </c>
      <c r="T524">
        <v>1757</v>
      </c>
    </row>
    <row r="525" spans="1:20" x14ac:dyDescent="0.35">
      <c r="A525" s="7" t="s">
        <v>614</v>
      </c>
      <c r="B525" s="12" t="s">
        <v>191</v>
      </c>
      <c r="C525">
        <v>30504624.405018385</v>
      </c>
      <c r="D525">
        <v>35076886.962817937</v>
      </c>
      <c r="E525">
        <v>431981.981981983</v>
      </c>
      <c r="F525">
        <v>31531.531531533001</v>
      </c>
      <c r="G525">
        <v>10</v>
      </c>
      <c r="H525">
        <v>28</v>
      </c>
      <c r="K525">
        <v>13</v>
      </c>
      <c r="L525">
        <v>40</v>
      </c>
      <c r="M525">
        <v>5653513.5135135138</v>
      </c>
      <c r="N525">
        <v>8545045.0450450461</v>
      </c>
      <c r="O525">
        <v>5692387.3873873875</v>
      </c>
      <c r="P525">
        <v>7584090.0900900904</v>
      </c>
      <c r="Q525">
        <v>3616756.756756756</v>
      </c>
      <c r="R525">
        <v>3344054.054054054</v>
      </c>
      <c r="S525">
        <v>992</v>
      </c>
      <c r="T525">
        <v>991</v>
      </c>
    </row>
    <row r="526" spans="1:20" x14ac:dyDescent="0.35">
      <c r="A526" s="7" t="s">
        <v>615</v>
      </c>
      <c r="B526" s="12" t="s">
        <v>144</v>
      </c>
      <c r="C526">
        <v>216371057.32102871</v>
      </c>
      <c r="D526">
        <v>246716269.2292406</v>
      </c>
      <c r="E526">
        <v>951663.06306306401</v>
      </c>
      <c r="F526">
        <v>598940.54054054304</v>
      </c>
      <c r="G526">
        <v>120</v>
      </c>
      <c r="H526">
        <v>54</v>
      </c>
      <c r="K526">
        <v>140</v>
      </c>
      <c r="L526">
        <v>215</v>
      </c>
      <c r="M526">
        <v>10229729.729729732</v>
      </c>
      <c r="N526">
        <v>26828828.828828827</v>
      </c>
      <c r="O526">
        <v>27532653.153153151</v>
      </c>
      <c r="P526">
        <v>38583126.126126125</v>
      </c>
      <c r="Q526">
        <v>21293376.576576576</v>
      </c>
      <c r="R526">
        <v>23098648.648648649</v>
      </c>
      <c r="S526">
        <v>6116</v>
      </c>
      <c r="T526">
        <v>7264</v>
      </c>
    </row>
    <row r="527" spans="1:20" x14ac:dyDescent="0.35">
      <c r="A527" s="7" t="s">
        <v>616</v>
      </c>
      <c r="B527" s="12" t="s">
        <v>191</v>
      </c>
      <c r="C527">
        <v>265159855.52774158</v>
      </c>
      <c r="D527">
        <v>289713702.35451019</v>
      </c>
      <c r="E527">
        <v>1329504.5045045081</v>
      </c>
      <c r="F527">
        <v>1126126.1261261289</v>
      </c>
      <c r="G527">
        <v>87</v>
      </c>
      <c r="H527">
        <v>115</v>
      </c>
      <c r="K527">
        <v>123</v>
      </c>
      <c r="L527">
        <v>171</v>
      </c>
      <c r="M527">
        <v>10286306.306306306</v>
      </c>
      <c r="N527">
        <v>9103603.6036036033</v>
      </c>
      <c r="O527">
        <v>25853899.099099096</v>
      </c>
      <c r="P527">
        <v>31870738.738738734</v>
      </c>
      <c r="Q527">
        <v>8976709.9099099115</v>
      </c>
      <c r="R527">
        <v>7781801.8018018026</v>
      </c>
      <c r="S527">
        <v>7399</v>
      </c>
      <c r="T527">
        <v>7989</v>
      </c>
    </row>
    <row r="528" spans="1:20" x14ac:dyDescent="0.35">
      <c r="A528" s="7" t="s">
        <v>617</v>
      </c>
      <c r="B528" s="12" t="s">
        <v>55</v>
      </c>
      <c r="C528">
        <v>184807368.63259634</v>
      </c>
      <c r="D528">
        <v>186054810.84994426</v>
      </c>
      <c r="E528">
        <v>2922522.5225225259</v>
      </c>
      <c r="F528">
        <v>5680180.1801801808</v>
      </c>
      <c r="G528">
        <v>58</v>
      </c>
      <c r="H528">
        <v>40</v>
      </c>
      <c r="K528">
        <v>64</v>
      </c>
      <c r="L528">
        <v>57</v>
      </c>
      <c r="M528">
        <v>27805405.40540541</v>
      </c>
      <c r="N528">
        <v>36378378.378378376</v>
      </c>
      <c r="O528">
        <v>58345414.414414413</v>
      </c>
      <c r="P528">
        <v>61003486.486486487</v>
      </c>
      <c r="Q528">
        <v>29345585.585585583</v>
      </c>
      <c r="R528">
        <v>35047927.927927926</v>
      </c>
      <c r="S528">
        <v>6468</v>
      </c>
      <c r="T528">
        <v>6505</v>
      </c>
    </row>
    <row r="529" spans="1:20" x14ac:dyDescent="0.35">
      <c r="A529" s="7" t="s">
        <v>618</v>
      </c>
      <c r="B529" s="12" t="s">
        <v>55</v>
      </c>
      <c r="C529">
        <v>99316662.669514865</v>
      </c>
      <c r="D529">
        <v>104505372.43727681</v>
      </c>
      <c r="E529">
        <v>450450.45045045199</v>
      </c>
      <c r="F529">
        <v>273873.87387387402</v>
      </c>
      <c r="G529">
        <v>11</v>
      </c>
      <c r="H529">
        <v>8</v>
      </c>
      <c r="I529">
        <v>1</v>
      </c>
      <c r="K529">
        <v>15</v>
      </c>
      <c r="L529">
        <v>9</v>
      </c>
      <c r="M529">
        <v>2918918.9189189202</v>
      </c>
      <c r="N529">
        <v>2919819.8198198192</v>
      </c>
      <c r="O529">
        <v>16976774.774774775</v>
      </c>
      <c r="P529">
        <v>19312324.324324325</v>
      </c>
      <c r="Q529">
        <v>2921981.9819819829</v>
      </c>
      <c r="R529">
        <v>3482612.6126126121</v>
      </c>
      <c r="S529">
        <v>2604</v>
      </c>
      <c r="T529">
        <v>2872</v>
      </c>
    </row>
    <row r="530" spans="1:20" x14ac:dyDescent="0.35">
      <c r="A530" s="7" t="s">
        <v>619</v>
      </c>
      <c r="B530" s="12" t="s">
        <v>61</v>
      </c>
      <c r="C530">
        <v>155391391.82047135</v>
      </c>
      <c r="D530">
        <v>167993022.18198538</v>
      </c>
      <c r="E530">
        <v>2237837.8378378381</v>
      </c>
      <c r="F530">
        <v>2018018.0180180219</v>
      </c>
      <c r="G530">
        <v>71</v>
      </c>
      <c r="H530">
        <v>27</v>
      </c>
      <c r="K530">
        <v>119</v>
      </c>
      <c r="L530">
        <v>35</v>
      </c>
      <c r="M530">
        <v>22198198.198198199</v>
      </c>
      <c r="N530">
        <v>33351351.351351351</v>
      </c>
      <c r="O530">
        <v>51697495.495495498</v>
      </c>
      <c r="P530">
        <v>55199513.513513513</v>
      </c>
      <c r="Q530">
        <v>22695585.585585583</v>
      </c>
      <c r="R530">
        <v>28724684.684684683</v>
      </c>
      <c r="S530">
        <v>4293</v>
      </c>
      <c r="T530">
        <v>4365</v>
      </c>
    </row>
    <row r="531" spans="1:20" x14ac:dyDescent="0.35">
      <c r="A531" s="7" t="s">
        <v>620</v>
      </c>
      <c r="B531" s="12" t="s">
        <v>61</v>
      </c>
      <c r="C531">
        <v>164837751.37102079</v>
      </c>
      <c r="D531">
        <v>165839953.56797075</v>
      </c>
      <c r="E531">
        <v>1109909.909909914</v>
      </c>
      <c r="F531">
        <v>2236036.036036042</v>
      </c>
      <c r="G531">
        <v>43</v>
      </c>
      <c r="H531">
        <v>34</v>
      </c>
      <c r="K531">
        <v>49</v>
      </c>
      <c r="L531">
        <v>47</v>
      </c>
      <c r="M531">
        <v>17834234.234234236</v>
      </c>
      <c r="N531">
        <v>35677477.477477483</v>
      </c>
      <c r="O531">
        <v>87245581.081081092</v>
      </c>
      <c r="P531">
        <v>86387189.189189181</v>
      </c>
      <c r="Q531">
        <v>18872972.97297297</v>
      </c>
      <c r="R531">
        <v>30239189.189189188</v>
      </c>
      <c r="S531">
        <v>5471</v>
      </c>
      <c r="T531">
        <v>5444</v>
      </c>
    </row>
    <row r="532" spans="1:20" x14ac:dyDescent="0.35">
      <c r="A532" s="7" t="s">
        <v>621</v>
      </c>
      <c r="B532" s="12" t="s">
        <v>61</v>
      </c>
      <c r="C532">
        <v>210787012.59961954</v>
      </c>
      <c r="D532">
        <v>226293352.73349121</v>
      </c>
      <c r="E532">
        <v>2464864.86486487</v>
      </c>
      <c r="F532">
        <v>5720720.7207207214</v>
      </c>
      <c r="G532">
        <v>37</v>
      </c>
      <c r="H532">
        <v>15</v>
      </c>
      <c r="K532">
        <v>44</v>
      </c>
      <c r="L532">
        <v>29</v>
      </c>
      <c r="M532">
        <v>28547747.747747753</v>
      </c>
      <c r="N532">
        <v>51054054.054054059</v>
      </c>
      <c r="O532">
        <v>70331590.540540546</v>
      </c>
      <c r="P532">
        <v>75441351.351351365</v>
      </c>
      <c r="Q532">
        <v>28141621.621621627</v>
      </c>
      <c r="R532">
        <v>45876396.396396399</v>
      </c>
      <c r="S532">
        <v>5651</v>
      </c>
      <c r="T532">
        <v>5757</v>
      </c>
    </row>
    <row r="533" spans="1:20" x14ac:dyDescent="0.35">
      <c r="A533" s="7" t="s">
        <v>622</v>
      </c>
      <c r="B533" s="12" t="s">
        <v>623</v>
      </c>
      <c r="C533">
        <v>252289384.72353268</v>
      </c>
      <c r="D533">
        <v>257757861.10433462</v>
      </c>
      <c r="E533">
        <v>4294369.3693693718</v>
      </c>
      <c r="F533">
        <v>2268468.4684684761</v>
      </c>
      <c r="G533">
        <v>131</v>
      </c>
      <c r="H533">
        <v>58</v>
      </c>
      <c r="I533">
        <v>1</v>
      </c>
      <c r="K533">
        <v>273</v>
      </c>
      <c r="L533">
        <v>91</v>
      </c>
      <c r="M533">
        <v>12554954.954954954</v>
      </c>
      <c r="N533">
        <v>14534234.23423424</v>
      </c>
      <c r="O533">
        <v>29652117.117117122</v>
      </c>
      <c r="P533">
        <v>35172180.180180185</v>
      </c>
      <c r="Q533">
        <v>16578648.648648649</v>
      </c>
      <c r="R533">
        <v>15333603.603603598</v>
      </c>
      <c r="S533">
        <v>8965</v>
      </c>
      <c r="T533">
        <v>7478</v>
      </c>
    </row>
    <row r="534" spans="1:20" x14ac:dyDescent="0.35">
      <c r="A534" s="7" t="s">
        <v>624</v>
      </c>
      <c r="B534" s="12" t="s">
        <v>623</v>
      </c>
      <c r="C534">
        <v>183969168.24140564</v>
      </c>
      <c r="D534">
        <v>186632516.50850552</v>
      </c>
      <c r="E534">
        <v>3514414.4144144161</v>
      </c>
      <c r="F534">
        <v>39322522.522522531</v>
      </c>
      <c r="G534">
        <v>62</v>
      </c>
      <c r="H534">
        <v>58</v>
      </c>
      <c r="I534">
        <v>1</v>
      </c>
      <c r="K534">
        <v>80</v>
      </c>
      <c r="L534">
        <v>70</v>
      </c>
      <c r="M534">
        <v>16472522.522522522</v>
      </c>
      <c r="N534">
        <v>17369819.819819823</v>
      </c>
      <c r="O534">
        <v>29344691.891891889</v>
      </c>
      <c r="P534">
        <v>30996635.135135137</v>
      </c>
      <c r="Q534">
        <v>13431801.801801804</v>
      </c>
      <c r="R534">
        <v>15660450.450450452</v>
      </c>
      <c r="S534">
        <v>5798</v>
      </c>
      <c r="T534">
        <v>5605</v>
      </c>
    </row>
    <row r="535" spans="1:20" x14ac:dyDescent="0.35">
      <c r="A535" s="7" t="s">
        <v>625</v>
      </c>
      <c r="B535" s="12" t="s">
        <v>623</v>
      </c>
      <c r="C535">
        <v>192324379.20756489</v>
      </c>
      <c r="D535">
        <v>190038689.14771351</v>
      </c>
      <c r="E535">
        <v>38987125.225225233</v>
      </c>
      <c r="F535">
        <v>46647318.918918923</v>
      </c>
      <c r="G535">
        <v>75</v>
      </c>
      <c r="H535">
        <v>65</v>
      </c>
      <c r="K535">
        <v>92</v>
      </c>
      <c r="L535">
        <v>76</v>
      </c>
      <c r="M535">
        <v>13727404.504504504</v>
      </c>
      <c r="N535">
        <v>24541171.171171173</v>
      </c>
      <c r="O535">
        <v>30103418.918918919</v>
      </c>
      <c r="P535">
        <v>33703610.810810819</v>
      </c>
      <c r="Q535">
        <v>10017477.47747748</v>
      </c>
      <c r="R535">
        <v>10915268.468468469</v>
      </c>
      <c r="S535">
        <v>5571</v>
      </c>
      <c r="T535">
        <v>5170</v>
      </c>
    </row>
    <row r="536" spans="1:20" x14ac:dyDescent="0.35">
      <c r="A536" s="7" t="s">
        <v>626</v>
      </c>
      <c r="B536" s="12" t="s">
        <v>623</v>
      </c>
      <c r="C536">
        <v>141935929.16550994</v>
      </c>
      <c r="D536">
        <v>145138594.16354132</v>
      </c>
      <c r="E536">
        <v>394594.594594597</v>
      </c>
      <c r="F536">
        <v>1302702.7027027039</v>
      </c>
      <c r="G536">
        <v>32</v>
      </c>
      <c r="H536">
        <v>74</v>
      </c>
      <c r="I536">
        <v>4</v>
      </c>
      <c r="K536">
        <v>46</v>
      </c>
      <c r="L536">
        <v>83</v>
      </c>
      <c r="M536">
        <v>10018918.918918919</v>
      </c>
      <c r="N536">
        <v>11916666.666666668</v>
      </c>
      <c r="O536">
        <v>18330436.936936937</v>
      </c>
      <c r="P536">
        <v>21115547.747747749</v>
      </c>
      <c r="Q536">
        <v>11092522.522522522</v>
      </c>
      <c r="R536">
        <v>12655495.495495494</v>
      </c>
      <c r="S536">
        <v>3512</v>
      </c>
      <c r="T536">
        <v>3515</v>
      </c>
    </row>
    <row r="537" spans="1:20" x14ac:dyDescent="0.35">
      <c r="A537" s="7" t="s">
        <v>627</v>
      </c>
      <c r="B537" s="12" t="s">
        <v>262</v>
      </c>
      <c r="C537">
        <v>75386203.448471293</v>
      </c>
      <c r="D537">
        <v>81654708.120766565</v>
      </c>
      <c r="E537">
        <v>253869812.61261261</v>
      </c>
      <c r="F537">
        <v>303283122.52252251</v>
      </c>
      <c r="G537">
        <v>14</v>
      </c>
      <c r="K537">
        <v>14</v>
      </c>
      <c r="M537">
        <v>49667567.567567565</v>
      </c>
      <c r="N537">
        <v>42372792.79279279</v>
      </c>
      <c r="O537">
        <v>24325405.40540541</v>
      </c>
      <c r="P537">
        <v>27884504.504504506</v>
      </c>
      <c r="Q537">
        <v>7273243.2432432417</v>
      </c>
      <c r="R537">
        <v>8965135.1351351347</v>
      </c>
      <c r="S537">
        <v>1984</v>
      </c>
      <c r="T537">
        <v>2154</v>
      </c>
    </row>
    <row r="538" spans="1:20" x14ac:dyDescent="0.35">
      <c r="A538" s="7" t="s">
        <v>628</v>
      </c>
      <c r="B538" s="12" t="s">
        <v>53</v>
      </c>
      <c r="C538">
        <v>116172390.07851647</v>
      </c>
      <c r="D538">
        <v>117756228.95139222</v>
      </c>
      <c r="E538">
        <v>113513.513513515</v>
      </c>
      <c r="F538">
        <v>823423.42342342495</v>
      </c>
      <c r="G538">
        <v>35</v>
      </c>
      <c r="H538">
        <v>19</v>
      </c>
      <c r="K538">
        <v>69</v>
      </c>
      <c r="L538">
        <v>73</v>
      </c>
      <c r="M538">
        <v>1915315.3153153169</v>
      </c>
      <c r="N538">
        <v>4517117.117117119</v>
      </c>
      <c r="O538">
        <v>42004315.315315314</v>
      </c>
      <c r="P538">
        <v>41242540.540540546</v>
      </c>
      <c r="Q538">
        <v>2433423.4234234239</v>
      </c>
      <c r="R538">
        <v>3459639.6396396402</v>
      </c>
      <c r="S538">
        <v>5749</v>
      </c>
      <c r="T538">
        <v>4675</v>
      </c>
    </row>
    <row r="539" spans="1:20" x14ac:dyDescent="0.35">
      <c r="A539" s="7" t="s">
        <v>629</v>
      </c>
      <c r="B539" s="12" t="s">
        <v>97</v>
      </c>
      <c r="C539">
        <v>292231387.57409787</v>
      </c>
      <c r="D539">
        <v>270320233.28967988</v>
      </c>
      <c r="E539">
        <v>5218918.9189189225</v>
      </c>
      <c r="F539">
        <v>4123873.873873875</v>
      </c>
      <c r="G539">
        <v>133</v>
      </c>
      <c r="H539">
        <v>135</v>
      </c>
      <c r="K539">
        <v>167</v>
      </c>
      <c r="L539">
        <v>155</v>
      </c>
      <c r="M539">
        <v>54236036.036036037</v>
      </c>
      <c r="N539">
        <v>63371621.621621616</v>
      </c>
      <c r="O539">
        <v>97774203.153153151</v>
      </c>
      <c r="P539">
        <v>96273873.873873875</v>
      </c>
      <c r="Q539">
        <v>51801171.171171166</v>
      </c>
      <c r="R539">
        <v>63364684.684684686</v>
      </c>
      <c r="S539">
        <v>11350</v>
      </c>
      <c r="T539">
        <v>13330</v>
      </c>
    </row>
    <row r="540" spans="1:20" x14ac:dyDescent="0.35">
      <c r="A540" s="7" t="s">
        <v>630</v>
      </c>
      <c r="B540" s="12" t="s">
        <v>97</v>
      </c>
      <c r="C540">
        <v>480305462.71684659</v>
      </c>
      <c r="D540">
        <v>477910622.97234493</v>
      </c>
      <c r="E540">
        <v>2722522.5225225231</v>
      </c>
      <c r="F540">
        <v>4555855.855855857</v>
      </c>
      <c r="G540">
        <v>102</v>
      </c>
      <c r="H540">
        <v>113</v>
      </c>
      <c r="I540">
        <v>2</v>
      </c>
      <c r="K540">
        <v>126</v>
      </c>
      <c r="L540">
        <v>140</v>
      </c>
      <c r="M540">
        <v>105065135.13513513</v>
      </c>
      <c r="N540">
        <v>100794144.14414415</v>
      </c>
      <c r="O540">
        <v>196078083.33333334</v>
      </c>
      <c r="P540">
        <v>194621792.7927928</v>
      </c>
      <c r="Q540">
        <v>111218198.1981982</v>
      </c>
      <c r="R540">
        <v>107152342.34234233</v>
      </c>
      <c r="S540">
        <v>14127</v>
      </c>
      <c r="T540">
        <v>13759</v>
      </c>
    </row>
    <row r="541" spans="1:20" x14ac:dyDescent="0.35">
      <c r="A541" s="7" t="s">
        <v>631</v>
      </c>
      <c r="B541" s="12" t="s">
        <v>451</v>
      </c>
      <c r="C541">
        <v>351217343.58167756</v>
      </c>
      <c r="D541">
        <v>341660681.05851644</v>
      </c>
      <c r="E541">
        <v>161859302.7027027</v>
      </c>
      <c r="F541">
        <v>251733509.00900903</v>
      </c>
      <c r="G541">
        <v>122</v>
      </c>
      <c r="H541">
        <v>149</v>
      </c>
      <c r="I541">
        <v>1</v>
      </c>
      <c r="K541">
        <v>150</v>
      </c>
      <c r="L541">
        <v>214</v>
      </c>
      <c r="M541">
        <v>98071531.531531543</v>
      </c>
      <c r="N541">
        <v>88017567.567567572</v>
      </c>
      <c r="O541">
        <v>105720772.97297297</v>
      </c>
      <c r="P541">
        <v>113575387.38738739</v>
      </c>
      <c r="Q541">
        <v>103953063.06306306</v>
      </c>
      <c r="R541">
        <v>67104864.864864863</v>
      </c>
      <c r="S541">
        <v>11367</v>
      </c>
      <c r="T541">
        <v>10753</v>
      </c>
    </row>
    <row r="542" spans="1:20" x14ac:dyDescent="0.35">
      <c r="A542" s="7" t="s">
        <v>632</v>
      </c>
      <c r="B542" s="12" t="s">
        <v>79</v>
      </c>
      <c r="C542">
        <v>15634692.874188863</v>
      </c>
      <c r="D542">
        <v>17247274.299319711</v>
      </c>
      <c r="E542">
        <v>300000</v>
      </c>
      <c r="F542">
        <v>205405.405405406</v>
      </c>
      <c r="G542">
        <v>3</v>
      </c>
      <c r="K542">
        <v>3</v>
      </c>
      <c r="M542">
        <v>930630.63063062995</v>
      </c>
      <c r="N542">
        <v>1457657.657657658</v>
      </c>
      <c r="O542">
        <v>4379306.3063063063</v>
      </c>
      <c r="P542">
        <v>5457135.1351351347</v>
      </c>
      <c r="Q542">
        <v>885675.67567567597</v>
      </c>
      <c r="R542">
        <v>1057117.1171171169</v>
      </c>
      <c r="S542">
        <v>360</v>
      </c>
      <c r="T542">
        <v>371</v>
      </c>
    </row>
    <row r="543" spans="1:20" x14ac:dyDescent="0.35">
      <c r="A543" s="7" t="s">
        <v>633</v>
      </c>
      <c r="B543" s="12" t="s">
        <v>243</v>
      </c>
      <c r="C543">
        <v>92017740.722682327</v>
      </c>
      <c r="D543">
        <v>85837088.818370134</v>
      </c>
      <c r="E543">
        <v>331306.30630630802</v>
      </c>
      <c r="F543">
        <v>541441.44144144305</v>
      </c>
      <c r="G543">
        <v>35</v>
      </c>
      <c r="H543">
        <v>16</v>
      </c>
      <c r="K543">
        <v>41</v>
      </c>
      <c r="L543">
        <v>24</v>
      </c>
      <c r="M543">
        <v>7700720.7207207195</v>
      </c>
      <c r="N543">
        <v>16983603.603603605</v>
      </c>
      <c r="O543">
        <v>20827495.495495494</v>
      </c>
      <c r="P543">
        <v>21683261.261261258</v>
      </c>
      <c r="Q543">
        <v>7742162.1621621614</v>
      </c>
      <c r="R543">
        <v>15526126.126126127</v>
      </c>
      <c r="S543">
        <v>2696</v>
      </c>
      <c r="T543">
        <v>2923</v>
      </c>
    </row>
    <row r="544" spans="1:20" x14ac:dyDescent="0.35">
      <c r="A544" s="7" t="s">
        <v>634</v>
      </c>
      <c r="B544" s="12" t="s">
        <v>69</v>
      </c>
      <c r="C544">
        <v>406510291.77272862</v>
      </c>
      <c r="D544">
        <v>428264280.58588493</v>
      </c>
      <c r="E544">
        <v>4415090.0900900904</v>
      </c>
      <c r="F544">
        <v>2485585.5855855881</v>
      </c>
      <c r="G544">
        <v>240</v>
      </c>
      <c r="H544">
        <v>60</v>
      </c>
      <c r="K544">
        <v>275</v>
      </c>
      <c r="L544">
        <v>86</v>
      </c>
      <c r="M544">
        <v>41208108.108108103</v>
      </c>
      <c r="N544">
        <v>53002207.20720721</v>
      </c>
      <c r="O544">
        <v>69830381.981981978</v>
      </c>
      <c r="P544">
        <v>84812744.144144148</v>
      </c>
      <c r="Q544">
        <v>31563603.603603609</v>
      </c>
      <c r="R544">
        <v>35680405.40540541</v>
      </c>
      <c r="S544">
        <v>8873</v>
      </c>
      <c r="T544">
        <v>9013</v>
      </c>
    </row>
    <row r="545" spans="1:20" x14ac:dyDescent="0.35">
      <c r="A545" s="7" t="s">
        <v>635</v>
      </c>
      <c r="B545" s="12" t="s">
        <v>71</v>
      </c>
      <c r="C545">
        <v>2958005.5980569269</v>
      </c>
      <c r="D545">
        <v>3079253.5597741632</v>
      </c>
      <c r="E545">
        <v>40540.540540540998</v>
      </c>
      <c r="F545">
        <v>110810.810810811</v>
      </c>
      <c r="G545">
        <v>2</v>
      </c>
      <c r="K545">
        <v>2</v>
      </c>
      <c r="M545">
        <v>40540.540540540998</v>
      </c>
      <c r="N545">
        <v>164864.864864865</v>
      </c>
      <c r="O545">
        <v>1767702.702702703</v>
      </c>
      <c r="P545">
        <v>1878918.9189189191</v>
      </c>
      <c r="Q545">
        <v>164864.864864865</v>
      </c>
      <c r="S545">
        <v>177</v>
      </c>
      <c r="T545">
        <v>190</v>
      </c>
    </row>
    <row r="546" spans="1:20" x14ac:dyDescent="0.35">
      <c r="A546" s="7" t="s">
        <v>636</v>
      </c>
      <c r="B546" s="12" t="s">
        <v>61</v>
      </c>
      <c r="C546">
        <v>31296471.642768096</v>
      </c>
      <c r="D546">
        <v>31507051.813280672</v>
      </c>
      <c r="E546">
        <v>2702.7027027029999</v>
      </c>
      <c r="F546">
        <v>330180.18018018099</v>
      </c>
      <c r="G546">
        <v>10</v>
      </c>
      <c r="H546">
        <v>1</v>
      </c>
      <c r="K546">
        <v>10</v>
      </c>
      <c r="L546">
        <v>3</v>
      </c>
      <c r="M546">
        <v>1345045.045045045</v>
      </c>
      <c r="N546">
        <v>2357207.2072072071</v>
      </c>
      <c r="O546">
        <v>13239018.018018018</v>
      </c>
      <c r="P546">
        <v>11982513.513513513</v>
      </c>
      <c r="Q546">
        <v>202252.25225225199</v>
      </c>
      <c r="R546">
        <v>2130180.1801801808</v>
      </c>
      <c r="S546">
        <v>1043</v>
      </c>
      <c r="T546">
        <v>1056</v>
      </c>
    </row>
    <row r="547" spans="1:20" x14ac:dyDescent="0.35">
      <c r="A547" s="7" t="s">
        <v>637</v>
      </c>
      <c r="B547" s="12" t="s">
        <v>81</v>
      </c>
      <c r="C547">
        <v>318344870.11344492</v>
      </c>
      <c r="D547">
        <v>337053899.13472563</v>
      </c>
      <c r="E547">
        <v>2504504.5045045079</v>
      </c>
      <c r="F547">
        <v>2618018.0180180189</v>
      </c>
      <c r="G547">
        <v>41</v>
      </c>
      <c r="H547">
        <v>37</v>
      </c>
      <c r="I547">
        <v>1</v>
      </c>
      <c r="K547">
        <v>46</v>
      </c>
      <c r="L547">
        <v>47</v>
      </c>
      <c r="M547">
        <v>33994594.59459459</v>
      </c>
      <c r="N547">
        <v>47014414.414414413</v>
      </c>
      <c r="O547">
        <v>64015743.24324324</v>
      </c>
      <c r="P547">
        <v>69214873.873873875</v>
      </c>
      <c r="Q547">
        <v>30996756.756756756</v>
      </c>
      <c r="R547">
        <v>40808468.468468472</v>
      </c>
      <c r="S547">
        <v>6004</v>
      </c>
      <c r="T547">
        <v>6382</v>
      </c>
    </row>
    <row r="548" spans="1:20" x14ac:dyDescent="0.35">
      <c r="A548" s="7" t="s">
        <v>638</v>
      </c>
      <c r="B548" s="12" t="s">
        <v>135</v>
      </c>
      <c r="C548">
        <v>57436245.777038954</v>
      </c>
      <c r="D548">
        <v>60769565.213003039</v>
      </c>
      <c r="E548">
        <v>310810.810810811</v>
      </c>
      <c r="G548">
        <v>13</v>
      </c>
      <c r="H548">
        <v>6</v>
      </c>
      <c r="K548">
        <v>13</v>
      </c>
      <c r="L548">
        <v>6</v>
      </c>
      <c r="M548">
        <v>4698198.1981981983</v>
      </c>
      <c r="N548">
        <v>1162162.1621621619</v>
      </c>
      <c r="O548">
        <v>3008414.4144144151</v>
      </c>
      <c r="P548">
        <v>4362342.3423423432</v>
      </c>
      <c r="Q548">
        <v>4359459.4594594594</v>
      </c>
      <c r="R548">
        <v>535225.22522522497</v>
      </c>
      <c r="S548">
        <v>1442</v>
      </c>
      <c r="T548">
        <v>1522</v>
      </c>
    </row>
    <row r="549" spans="1:20" x14ac:dyDescent="0.35">
      <c r="A549" s="7" t="s">
        <v>639</v>
      </c>
      <c r="B549" s="12" t="s">
        <v>482</v>
      </c>
      <c r="C549">
        <v>173751910.22448078</v>
      </c>
      <c r="D549">
        <v>174270558.84059659</v>
      </c>
      <c r="E549">
        <v>1190090.090090096</v>
      </c>
      <c r="F549">
        <v>1090990.990990991</v>
      </c>
      <c r="G549">
        <v>38</v>
      </c>
      <c r="H549">
        <v>38</v>
      </c>
      <c r="K549">
        <v>43</v>
      </c>
      <c r="L549">
        <v>41</v>
      </c>
      <c r="M549">
        <v>36584684.684684686</v>
      </c>
      <c r="N549">
        <v>46178513.51351352</v>
      </c>
      <c r="O549">
        <v>60361112.612612605</v>
      </c>
      <c r="P549">
        <v>67070936.936936937</v>
      </c>
      <c r="Q549">
        <v>39754414.414414406</v>
      </c>
      <c r="R549">
        <v>50100405.40540541</v>
      </c>
      <c r="S549">
        <v>5936</v>
      </c>
      <c r="T549">
        <v>5711</v>
      </c>
    </row>
    <row r="550" spans="1:20" x14ac:dyDescent="0.35">
      <c r="A550" s="7" t="s">
        <v>640</v>
      </c>
      <c r="B550" s="12" t="s">
        <v>144</v>
      </c>
      <c r="C550">
        <v>297912189.36674148</v>
      </c>
      <c r="D550">
        <v>320151705.08229345</v>
      </c>
      <c r="E550">
        <v>3099549.5495495531</v>
      </c>
      <c r="F550">
        <v>1952252.2522522579</v>
      </c>
      <c r="G550">
        <v>64</v>
      </c>
      <c r="H550">
        <v>19</v>
      </c>
      <c r="K550">
        <v>84</v>
      </c>
      <c r="L550">
        <v>22</v>
      </c>
      <c r="M550">
        <v>19653153.153153151</v>
      </c>
      <c r="N550">
        <v>18996396.396396395</v>
      </c>
      <c r="O550">
        <v>36236790.540540546</v>
      </c>
      <c r="P550">
        <v>38049036.036036037</v>
      </c>
      <c r="Q550">
        <v>16280180.180180181</v>
      </c>
      <c r="R550">
        <v>15344594.594594592</v>
      </c>
      <c r="S550">
        <v>9416</v>
      </c>
      <c r="T550">
        <v>9519</v>
      </c>
    </row>
    <row r="551" spans="1:20" x14ac:dyDescent="0.35">
      <c r="A551" s="7" t="s">
        <v>641</v>
      </c>
      <c r="B551" s="12" t="s">
        <v>243</v>
      </c>
      <c r="C551">
        <v>318089477.97719258</v>
      </c>
      <c r="D551">
        <v>319843718.68611974</v>
      </c>
      <c r="E551">
        <v>1723423.4234234239</v>
      </c>
      <c r="F551">
        <v>4345945.9459459456</v>
      </c>
      <c r="G551">
        <v>177</v>
      </c>
      <c r="H551">
        <v>139</v>
      </c>
      <c r="K551">
        <v>209</v>
      </c>
      <c r="L551">
        <v>166</v>
      </c>
      <c r="M551">
        <v>16513153.153153151</v>
      </c>
      <c r="N551">
        <v>33091396.396396399</v>
      </c>
      <c r="O551">
        <v>102546917.11711712</v>
      </c>
      <c r="P551">
        <v>116255099.0990991</v>
      </c>
      <c r="Q551">
        <v>15158468.46846847</v>
      </c>
      <c r="R551">
        <v>29919144.144144151</v>
      </c>
      <c r="S551">
        <v>12844</v>
      </c>
      <c r="T551">
        <v>12926</v>
      </c>
    </row>
    <row r="552" spans="1:20" x14ac:dyDescent="0.35">
      <c r="A552" s="7" t="s">
        <v>642</v>
      </c>
      <c r="B552" s="12" t="s">
        <v>133</v>
      </c>
      <c r="C552">
        <v>118123755.84276724</v>
      </c>
      <c r="D552">
        <v>130757495.66388847</v>
      </c>
      <c r="E552">
        <v>89189.189189190001</v>
      </c>
      <c r="F552">
        <v>54954.954954954999</v>
      </c>
      <c r="G552">
        <v>52</v>
      </c>
      <c r="H552">
        <v>44</v>
      </c>
      <c r="K552">
        <v>59</v>
      </c>
      <c r="L552">
        <v>51</v>
      </c>
      <c r="M552">
        <v>3096396.3963963962</v>
      </c>
      <c r="N552">
        <v>2907432.4324324331</v>
      </c>
      <c r="O552">
        <v>44287477.477477483</v>
      </c>
      <c r="P552">
        <v>46886646.846846849</v>
      </c>
      <c r="Q552">
        <v>3224234.2342342339</v>
      </c>
      <c r="R552">
        <v>4143378.3783783782</v>
      </c>
      <c r="S552">
        <v>5582</v>
      </c>
      <c r="T552">
        <v>5608</v>
      </c>
    </row>
    <row r="553" spans="1:20" x14ac:dyDescent="0.35">
      <c r="A553" s="7" t="s">
        <v>643</v>
      </c>
      <c r="B553" s="12" t="s">
        <v>135</v>
      </c>
      <c r="C553">
        <v>368665930.47279847</v>
      </c>
      <c r="D553">
        <v>408548160.54572296</v>
      </c>
      <c r="E553">
        <v>188652072.07207206</v>
      </c>
      <c r="F553">
        <v>244618957.65765765</v>
      </c>
      <c r="G553">
        <v>59</v>
      </c>
      <c r="H553">
        <v>50</v>
      </c>
      <c r="K553">
        <v>66</v>
      </c>
      <c r="L553">
        <v>58</v>
      </c>
      <c r="M553">
        <v>65497477.477477469</v>
      </c>
      <c r="N553">
        <v>63604249.54954955</v>
      </c>
      <c r="O553">
        <v>48431052.252252258</v>
      </c>
      <c r="P553">
        <v>59726279.279279277</v>
      </c>
      <c r="Q553">
        <v>22817430.630630631</v>
      </c>
      <c r="R553">
        <v>28185405.405405402</v>
      </c>
      <c r="S553">
        <v>7447</v>
      </c>
      <c r="T553">
        <v>7646</v>
      </c>
    </row>
    <row r="554" spans="1:20" x14ac:dyDescent="0.35">
      <c r="A554" s="7" t="s">
        <v>644</v>
      </c>
      <c r="B554" s="12" t="s">
        <v>81</v>
      </c>
      <c r="C554">
        <v>197831636.26022598</v>
      </c>
      <c r="D554">
        <v>202803194.48435584</v>
      </c>
      <c r="E554">
        <v>1045945.945945947</v>
      </c>
      <c r="F554">
        <v>1154054.0540540561</v>
      </c>
      <c r="G554">
        <v>33</v>
      </c>
      <c r="H554">
        <v>22</v>
      </c>
      <c r="K554">
        <v>37</v>
      </c>
      <c r="L554">
        <v>47</v>
      </c>
      <c r="M554">
        <v>16609909.909909908</v>
      </c>
      <c r="N554">
        <v>27192792.792792793</v>
      </c>
      <c r="O554">
        <v>70429725.225225225</v>
      </c>
      <c r="P554">
        <v>74525097.297297299</v>
      </c>
      <c r="Q554">
        <v>18537117.117117122</v>
      </c>
      <c r="R554">
        <v>22533423.423423424</v>
      </c>
      <c r="S554">
        <v>5022</v>
      </c>
      <c r="T554">
        <v>4960</v>
      </c>
    </row>
    <row r="555" spans="1:20" x14ac:dyDescent="0.35">
      <c r="A555" s="7" t="s">
        <v>645</v>
      </c>
      <c r="B555" s="12" t="s">
        <v>170</v>
      </c>
      <c r="C555">
        <v>322616986.88093549</v>
      </c>
      <c r="D555">
        <v>351158226.75562507</v>
      </c>
      <c r="E555">
        <v>1105405.4054054059</v>
      </c>
      <c r="F555">
        <v>2126126.1261261259</v>
      </c>
      <c r="G555">
        <v>33</v>
      </c>
      <c r="H555">
        <v>37</v>
      </c>
      <c r="I555">
        <v>2</v>
      </c>
      <c r="K555">
        <v>34</v>
      </c>
      <c r="L555">
        <v>40</v>
      </c>
      <c r="M555">
        <v>22362357.657657657</v>
      </c>
      <c r="N555">
        <v>32216216.216216218</v>
      </c>
      <c r="O555">
        <v>115500882.88288288</v>
      </c>
      <c r="P555">
        <v>134844711.7117117</v>
      </c>
      <c r="Q555">
        <v>25938288.288288288</v>
      </c>
      <c r="R555">
        <v>31533153.153153151</v>
      </c>
      <c r="S555">
        <v>6994</v>
      </c>
      <c r="T555">
        <v>9052</v>
      </c>
    </row>
    <row r="556" spans="1:20" x14ac:dyDescent="0.35">
      <c r="A556" s="7" t="s">
        <v>646</v>
      </c>
      <c r="B556" s="12" t="s">
        <v>59</v>
      </c>
      <c r="C556">
        <v>552983876.28250122</v>
      </c>
      <c r="D556">
        <v>569457386.9788847</v>
      </c>
      <c r="E556">
        <v>5663063.0630630646</v>
      </c>
      <c r="F556">
        <v>3857657.6576576661</v>
      </c>
      <c r="G556">
        <v>140</v>
      </c>
      <c r="H556">
        <v>103</v>
      </c>
      <c r="K556">
        <v>171</v>
      </c>
      <c r="L556">
        <v>125</v>
      </c>
      <c r="M556">
        <v>36684234.234234229</v>
      </c>
      <c r="N556">
        <v>73959009.009009004</v>
      </c>
      <c r="O556">
        <v>113384617.11711712</v>
      </c>
      <c r="P556">
        <v>119624169.36936937</v>
      </c>
      <c r="Q556">
        <v>39935765.765765756</v>
      </c>
      <c r="R556">
        <v>78983243.243243247</v>
      </c>
      <c r="S556">
        <v>17978</v>
      </c>
      <c r="T556">
        <v>17430</v>
      </c>
    </row>
    <row r="557" spans="1:20" x14ac:dyDescent="0.35">
      <c r="A557" s="7" t="s">
        <v>647</v>
      </c>
      <c r="B557" s="12" t="s">
        <v>59</v>
      </c>
      <c r="C557">
        <v>698260873.61165631</v>
      </c>
      <c r="D557">
        <v>729282348.83751011</v>
      </c>
      <c r="E557">
        <v>174538863.06306309</v>
      </c>
      <c r="F557">
        <v>274863864.86486489</v>
      </c>
      <c r="G557">
        <v>357</v>
      </c>
      <c r="H557">
        <v>266</v>
      </c>
      <c r="I557">
        <v>1</v>
      </c>
      <c r="K557">
        <v>503</v>
      </c>
      <c r="L557">
        <v>404</v>
      </c>
      <c r="M557">
        <v>115915315.31531531</v>
      </c>
      <c r="N557">
        <v>166691891.8918919</v>
      </c>
      <c r="O557">
        <v>197831310.8108108</v>
      </c>
      <c r="P557">
        <v>208084500.9009009</v>
      </c>
      <c r="Q557">
        <v>105028198.1981982</v>
      </c>
      <c r="R557">
        <v>165266075.67567569</v>
      </c>
      <c r="S557">
        <v>21922</v>
      </c>
      <c r="T557">
        <v>22659</v>
      </c>
    </row>
    <row r="558" spans="1:20" x14ac:dyDescent="0.35">
      <c r="A558" s="7" t="s">
        <v>648</v>
      </c>
      <c r="B558" s="12" t="s">
        <v>309</v>
      </c>
      <c r="C558">
        <v>228400247.36490798</v>
      </c>
      <c r="D558">
        <v>219710452.70976624</v>
      </c>
      <c r="E558">
        <v>1540540.5405405411</v>
      </c>
      <c r="F558">
        <v>1645045.045045045</v>
      </c>
      <c r="G558">
        <v>15</v>
      </c>
      <c r="H558">
        <v>15</v>
      </c>
      <c r="K558">
        <v>17</v>
      </c>
      <c r="L558">
        <v>18</v>
      </c>
      <c r="M558">
        <v>4143243.2432432431</v>
      </c>
      <c r="N558">
        <v>4895045.0450450452</v>
      </c>
      <c r="O558">
        <v>38077445.945945941</v>
      </c>
      <c r="P558">
        <v>40049779.279279277</v>
      </c>
      <c r="Q558">
        <v>3794414.4144144142</v>
      </c>
      <c r="R558">
        <v>4894234.2342342343</v>
      </c>
      <c r="S558">
        <v>5091</v>
      </c>
      <c r="T558">
        <v>5206</v>
      </c>
    </row>
    <row r="559" spans="1:20" x14ac:dyDescent="0.35">
      <c r="A559" s="7" t="s">
        <v>13</v>
      </c>
      <c r="B559" s="12" t="s">
        <v>159</v>
      </c>
      <c r="C559">
        <v>257816845.62451848</v>
      </c>
      <c r="D559">
        <v>246469552.15097463</v>
      </c>
      <c r="E559">
        <v>1690990.990990995</v>
      </c>
      <c r="F559">
        <v>1499549.5495495489</v>
      </c>
      <c r="G559">
        <v>39</v>
      </c>
      <c r="H559">
        <v>82</v>
      </c>
      <c r="K559">
        <v>125</v>
      </c>
      <c r="L559">
        <v>129</v>
      </c>
      <c r="M559">
        <v>50571171.171171166</v>
      </c>
      <c r="N559">
        <v>61167567.567567565</v>
      </c>
      <c r="O559">
        <v>148688135.13513514</v>
      </c>
      <c r="P559">
        <v>142414693.6936937</v>
      </c>
      <c r="Q559">
        <v>54530763.963963963</v>
      </c>
      <c r="R559">
        <v>64580990.990990989</v>
      </c>
      <c r="S559">
        <v>7225</v>
      </c>
      <c r="T559">
        <v>7181</v>
      </c>
    </row>
    <row r="560" spans="1:20" x14ac:dyDescent="0.35">
      <c r="A560" s="7" t="s">
        <v>649</v>
      </c>
      <c r="B560" s="12" t="s">
        <v>122</v>
      </c>
      <c r="C560">
        <v>181350075.23458138</v>
      </c>
      <c r="D560">
        <v>185610940.80183539</v>
      </c>
      <c r="E560">
        <v>136036.03603603601</v>
      </c>
      <c r="F560">
        <v>45045.045045045001</v>
      </c>
      <c r="G560">
        <v>40</v>
      </c>
      <c r="H560">
        <v>56</v>
      </c>
      <c r="K560">
        <v>44</v>
      </c>
      <c r="L560">
        <v>57</v>
      </c>
      <c r="M560">
        <v>950450.450450451</v>
      </c>
      <c r="N560">
        <v>675675.67567567504</v>
      </c>
      <c r="O560">
        <v>15592222.972972972</v>
      </c>
      <c r="P560">
        <v>18749727.927927926</v>
      </c>
      <c r="Q560">
        <v>850810.81081081205</v>
      </c>
      <c r="R560">
        <v>553153.15315315302</v>
      </c>
      <c r="S560">
        <v>3280</v>
      </c>
      <c r="T560">
        <v>3325</v>
      </c>
    </row>
    <row r="561" spans="1:20" x14ac:dyDescent="0.35">
      <c r="A561" s="7" t="s">
        <v>650</v>
      </c>
      <c r="B561" s="12" t="s">
        <v>317</v>
      </c>
      <c r="C561">
        <v>62320382.321144804</v>
      </c>
      <c r="D561">
        <v>55700582.01489491</v>
      </c>
      <c r="E561">
        <v>81960143.243243247</v>
      </c>
      <c r="F561">
        <v>118928544.14414415</v>
      </c>
      <c r="G561">
        <v>19</v>
      </c>
      <c r="H561">
        <v>8</v>
      </c>
      <c r="K561">
        <v>20</v>
      </c>
      <c r="L561">
        <v>8</v>
      </c>
      <c r="M561">
        <v>11462162.162162161</v>
      </c>
      <c r="N561">
        <v>24904954.954954956</v>
      </c>
      <c r="O561">
        <v>15616180.180180181</v>
      </c>
      <c r="P561">
        <v>16219036.036036037</v>
      </c>
      <c r="Q561">
        <v>11495765.765765764</v>
      </c>
      <c r="R561">
        <v>15603963.963963967</v>
      </c>
      <c r="S561">
        <v>1219</v>
      </c>
      <c r="T561">
        <v>1330</v>
      </c>
    </row>
    <row r="562" spans="1:20" x14ac:dyDescent="0.35">
      <c r="A562" s="7" t="s">
        <v>651</v>
      </c>
      <c r="B562" s="12" t="s">
        <v>262</v>
      </c>
      <c r="C562">
        <v>163870302.52626255</v>
      </c>
      <c r="D562">
        <v>182368168.63571009</v>
      </c>
      <c r="E562">
        <v>805630.630630631</v>
      </c>
      <c r="F562">
        <v>528828.82882882899</v>
      </c>
      <c r="G562">
        <v>42</v>
      </c>
      <c r="H562">
        <v>29</v>
      </c>
      <c r="K562">
        <v>47</v>
      </c>
      <c r="L562">
        <v>32</v>
      </c>
      <c r="M562">
        <v>28168468.468468469</v>
      </c>
      <c r="N562">
        <v>30240540.540540539</v>
      </c>
      <c r="O562">
        <v>52946387.387387395</v>
      </c>
      <c r="P562">
        <v>62461657.657657653</v>
      </c>
      <c r="Q562">
        <v>28729009.009009007</v>
      </c>
      <c r="R562">
        <v>32026036.036036037</v>
      </c>
      <c r="S562">
        <v>4077</v>
      </c>
      <c r="T562">
        <v>4746</v>
      </c>
    </row>
    <row r="563" spans="1:20" x14ac:dyDescent="0.35">
      <c r="A563" s="7" t="s">
        <v>652</v>
      </c>
      <c r="B563" s="12" t="s">
        <v>226</v>
      </c>
      <c r="C563">
        <v>155588086.54210958</v>
      </c>
      <c r="D563">
        <v>192685679.04816833</v>
      </c>
      <c r="E563">
        <v>1269144.1441441451</v>
      </c>
      <c r="F563">
        <v>932432.43243243301</v>
      </c>
      <c r="G563">
        <v>45</v>
      </c>
      <c r="H563">
        <v>51</v>
      </c>
      <c r="K563">
        <v>52</v>
      </c>
      <c r="L563">
        <v>65</v>
      </c>
      <c r="M563">
        <v>11790630.630630635</v>
      </c>
      <c r="N563">
        <v>15755315.315315312</v>
      </c>
      <c r="O563">
        <v>36482153.153153151</v>
      </c>
      <c r="P563">
        <v>47674162.162162162</v>
      </c>
      <c r="Q563">
        <v>11136936.936936939</v>
      </c>
      <c r="R563">
        <v>13485855.855855854</v>
      </c>
      <c r="S563">
        <v>5424</v>
      </c>
      <c r="T563">
        <v>5805</v>
      </c>
    </row>
    <row r="564" spans="1:20" x14ac:dyDescent="0.35">
      <c r="A564" s="7" t="s">
        <v>653</v>
      </c>
      <c r="B564" s="12" t="s">
        <v>226</v>
      </c>
      <c r="C564">
        <v>126115710.16776209</v>
      </c>
      <c r="D564">
        <v>153168781.00751114</v>
      </c>
      <c r="E564">
        <v>49549.549549550997</v>
      </c>
      <c r="F564">
        <v>56756.756756757</v>
      </c>
      <c r="G564">
        <v>24</v>
      </c>
      <c r="H564">
        <v>29</v>
      </c>
      <c r="K564">
        <v>27</v>
      </c>
      <c r="L564">
        <v>30</v>
      </c>
      <c r="M564">
        <v>3022522.5225225212</v>
      </c>
      <c r="N564">
        <v>5788288.2882882869</v>
      </c>
      <c r="O564">
        <v>18967558.558558561</v>
      </c>
      <c r="P564">
        <v>24340171.17117117</v>
      </c>
      <c r="Q564">
        <v>2637837.8378378381</v>
      </c>
      <c r="R564">
        <v>4959369.3693693671</v>
      </c>
      <c r="S564">
        <v>3077</v>
      </c>
      <c r="T564">
        <v>3157</v>
      </c>
    </row>
    <row r="565" spans="1:20" x14ac:dyDescent="0.35">
      <c r="A565" s="7" t="s">
        <v>654</v>
      </c>
      <c r="B565" s="12" t="s">
        <v>226</v>
      </c>
      <c r="C565">
        <v>483898581.05285996</v>
      </c>
      <c r="D565">
        <v>570323157.64287078</v>
      </c>
      <c r="E565">
        <v>70983246.846846849</v>
      </c>
      <c r="F565">
        <v>167760365.76576576</v>
      </c>
      <c r="G565">
        <v>160</v>
      </c>
      <c r="H565">
        <v>176</v>
      </c>
      <c r="K565">
        <v>259</v>
      </c>
      <c r="L565">
        <v>219</v>
      </c>
      <c r="M565">
        <v>75404144.144144148</v>
      </c>
      <c r="N565">
        <v>97585315.315315306</v>
      </c>
      <c r="O565">
        <v>120400693.6936937</v>
      </c>
      <c r="P565">
        <v>145744000</v>
      </c>
      <c r="Q565">
        <v>60027567.567567565</v>
      </c>
      <c r="R565">
        <v>79741081.081081092</v>
      </c>
      <c r="S565">
        <v>19236</v>
      </c>
      <c r="T565">
        <v>18298</v>
      </c>
    </row>
    <row r="566" spans="1:20" x14ac:dyDescent="0.35">
      <c r="A566" s="7" t="s">
        <v>655</v>
      </c>
      <c r="B566" s="12" t="s">
        <v>226</v>
      </c>
      <c r="C566">
        <v>62301544.8229234</v>
      </c>
      <c r="D566">
        <v>71377129.029889196</v>
      </c>
      <c r="E566">
        <v>207207.207207208</v>
      </c>
      <c r="F566">
        <v>58558.558558559002</v>
      </c>
      <c r="G566">
        <v>13</v>
      </c>
      <c r="H566">
        <v>13</v>
      </c>
      <c r="K566">
        <v>14</v>
      </c>
      <c r="L566">
        <v>13</v>
      </c>
      <c r="M566">
        <v>1108108.1081081079</v>
      </c>
      <c r="N566">
        <v>2310810.81081081</v>
      </c>
      <c r="O566">
        <v>10288459.459459459</v>
      </c>
      <c r="P566">
        <v>13497169.369369367</v>
      </c>
      <c r="Q566">
        <v>1260810.8108108109</v>
      </c>
      <c r="R566">
        <v>1083333.333333333</v>
      </c>
      <c r="S566">
        <v>1736</v>
      </c>
      <c r="T566">
        <v>1759</v>
      </c>
    </row>
    <row r="567" spans="1:20" x14ac:dyDescent="0.35">
      <c r="A567" s="7" t="s">
        <v>656</v>
      </c>
      <c r="B567" s="12" t="s">
        <v>97</v>
      </c>
      <c r="C567">
        <v>309909210.15658551</v>
      </c>
      <c r="D567">
        <v>309048383.33268827</v>
      </c>
      <c r="E567">
        <v>730630.63063063298</v>
      </c>
      <c r="F567">
        <v>1213513.5135135141</v>
      </c>
      <c r="G567">
        <v>161</v>
      </c>
      <c r="H567">
        <v>69</v>
      </c>
      <c r="K567">
        <v>173</v>
      </c>
      <c r="L567">
        <v>85</v>
      </c>
      <c r="M567">
        <v>6692792.7927927943</v>
      </c>
      <c r="N567">
        <v>15630630.630630633</v>
      </c>
      <c r="O567">
        <v>44036747.747747742</v>
      </c>
      <c r="P567">
        <v>40410855.855855852</v>
      </c>
      <c r="Q567">
        <v>5383783.7837837832</v>
      </c>
      <c r="R567">
        <v>11499639.63963964</v>
      </c>
      <c r="S567">
        <v>8441</v>
      </c>
      <c r="T567">
        <v>8320</v>
      </c>
    </row>
    <row r="568" spans="1:20" x14ac:dyDescent="0.35">
      <c r="A568" s="7" t="s">
        <v>657</v>
      </c>
      <c r="B568" s="12" t="s">
        <v>67</v>
      </c>
      <c r="C568">
        <v>193275154.44886276</v>
      </c>
      <c r="D568">
        <v>175850750.13964742</v>
      </c>
      <c r="E568">
        <v>3045945.9459459451</v>
      </c>
      <c r="F568">
        <v>3582882.8828828819</v>
      </c>
      <c r="G568">
        <v>74</v>
      </c>
      <c r="H568">
        <v>37</v>
      </c>
      <c r="K568">
        <v>80</v>
      </c>
      <c r="L568">
        <v>39</v>
      </c>
      <c r="M568">
        <v>73264324.324324325</v>
      </c>
      <c r="N568">
        <v>60781036.036036029</v>
      </c>
      <c r="O568">
        <v>124865162.16216215</v>
      </c>
      <c r="P568">
        <v>116105468.46846846</v>
      </c>
      <c r="Q568">
        <v>47677837.837837838</v>
      </c>
      <c r="R568">
        <v>49236891.891891889</v>
      </c>
      <c r="S568">
        <v>5259</v>
      </c>
      <c r="T568">
        <v>5592</v>
      </c>
    </row>
    <row r="569" spans="1:20" x14ac:dyDescent="0.35">
      <c r="A569" s="7" t="s">
        <v>658</v>
      </c>
      <c r="B569" s="12" t="s">
        <v>69</v>
      </c>
      <c r="C569">
        <v>300738616.4619379</v>
      </c>
      <c r="D569">
        <v>315286171.68226177</v>
      </c>
      <c r="E569">
        <v>944144.144144146</v>
      </c>
      <c r="F569">
        <v>358558.55855855998</v>
      </c>
      <c r="G569">
        <v>58</v>
      </c>
      <c r="H569">
        <v>35</v>
      </c>
      <c r="K569">
        <v>62</v>
      </c>
      <c r="L569">
        <v>41</v>
      </c>
      <c r="M569">
        <v>12055855.855855856</v>
      </c>
      <c r="N569">
        <v>18997297.297297299</v>
      </c>
      <c r="O569">
        <v>41228288.288288288</v>
      </c>
      <c r="P569">
        <v>48045261.261261262</v>
      </c>
      <c r="Q569">
        <v>10740810.810810812</v>
      </c>
      <c r="R569">
        <v>14817657.657657661</v>
      </c>
      <c r="S569">
        <v>6091</v>
      </c>
      <c r="T569">
        <v>6912</v>
      </c>
    </row>
    <row r="570" spans="1:20" x14ac:dyDescent="0.35">
      <c r="A570" s="7" t="s">
        <v>14</v>
      </c>
      <c r="B570" s="12" t="s">
        <v>159</v>
      </c>
      <c r="C570">
        <v>132298469.86364251</v>
      </c>
      <c r="D570">
        <v>137635055.77657807</v>
      </c>
      <c r="E570">
        <v>830630.63063063298</v>
      </c>
      <c r="F570">
        <v>160360.36036036201</v>
      </c>
      <c r="G570">
        <v>19</v>
      </c>
      <c r="H570">
        <v>18</v>
      </c>
      <c r="K570">
        <v>22</v>
      </c>
      <c r="L570">
        <v>22</v>
      </c>
      <c r="M570">
        <v>29449549.549549554</v>
      </c>
      <c r="N570">
        <v>19658108.108108107</v>
      </c>
      <c r="O570">
        <v>45125450.45045045</v>
      </c>
      <c r="P570">
        <v>48412369.369369365</v>
      </c>
      <c r="Q570">
        <v>32098468.468468472</v>
      </c>
      <c r="R570">
        <v>20217927.927927926</v>
      </c>
      <c r="S570">
        <v>3806</v>
      </c>
      <c r="T570">
        <v>4089</v>
      </c>
    </row>
    <row r="571" spans="1:20" x14ac:dyDescent="0.35">
      <c r="A571" s="7" t="s">
        <v>659</v>
      </c>
      <c r="B571" s="12" t="s">
        <v>306</v>
      </c>
      <c r="C571">
        <v>143432369.34788302</v>
      </c>
      <c r="D571">
        <v>150073366.98743346</v>
      </c>
      <c r="E571">
        <v>578378.37837837695</v>
      </c>
      <c r="F571">
        <v>493693.69369369303</v>
      </c>
      <c r="G571">
        <v>24</v>
      </c>
      <c r="H571">
        <v>37</v>
      </c>
      <c r="K571">
        <v>28</v>
      </c>
      <c r="L571">
        <v>40</v>
      </c>
      <c r="M571">
        <v>21942342.342342343</v>
      </c>
      <c r="N571">
        <v>27106306.306306306</v>
      </c>
      <c r="O571">
        <v>36547806.306306303</v>
      </c>
      <c r="P571">
        <v>48923279.279279277</v>
      </c>
      <c r="Q571">
        <v>21219099.0990991</v>
      </c>
      <c r="R571">
        <v>24647837.837837841</v>
      </c>
      <c r="S571">
        <v>3070</v>
      </c>
      <c r="T571">
        <v>3084</v>
      </c>
    </row>
    <row r="572" spans="1:20" x14ac:dyDescent="0.35">
      <c r="A572" s="7" t="s">
        <v>660</v>
      </c>
      <c r="B572" s="12" t="s">
        <v>49</v>
      </c>
      <c r="C572">
        <v>173158008.08994815</v>
      </c>
      <c r="D572">
        <v>178064778.39322439</v>
      </c>
      <c r="E572">
        <v>863963.96396396495</v>
      </c>
      <c r="F572">
        <v>2760360.3603603649</v>
      </c>
      <c r="G572">
        <v>26</v>
      </c>
      <c r="H572">
        <v>9</v>
      </c>
      <c r="K572">
        <v>31</v>
      </c>
      <c r="L572">
        <v>9</v>
      </c>
      <c r="M572">
        <v>41685585.585585587</v>
      </c>
      <c r="N572">
        <v>17297297.297297295</v>
      </c>
      <c r="O572">
        <v>53455018.018018015</v>
      </c>
      <c r="P572">
        <v>55238369.369369365</v>
      </c>
      <c r="Q572">
        <v>37620630.630630635</v>
      </c>
      <c r="R572">
        <v>17836306.306306306</v>
      </c>
      <c r="S572">
        <v>3216</v>
      </c>
      <c r="T572">
        <v>3056</v>
      </c>
    </row>
    <row r="573" spans="1:20" x14ac:dyDescent="0.35">
      <c r="A573" s="7" t="s">
        <v>661</v>
      </c>
      <c r="B573" s="12" t="s">
        <v>55</v>
      </c>
      <c r="C573">
        <v>58499163.264758267</v>
      </c>
      <c r="D573">
        <v>59794834.12491186</v>
      </c>
      <c r="E573">
        <v>250450.45045045001</v>
      </c>
      <c r="F573">
        <v>2578378.3783783801</v>
      </c>
      <c r="H573">
        <v>9</v>
      </c>
      <c r="L573">
        <v>19</v>
      </c>
      <c r="M573">
        <v>4056756.7567567569</v>
      </c>
      <c r="N573">
        <v>7380180.1801801799</v>
      </c>
      <c r="O573">
        <v>13809774.774774777</v>
      </c>
      <c r="P573">
        <v>14329891.891891891</v>
      </c>
      <c r="Q573">
        <v>4280720.7207207223</v>
      </c>
      <c r="R573">
        <v>5291261.2612612611</v>
      </c>
      <c r="S573">
        <v>1497</v>
      </c>
      <c r="T573">
        <v>1598</v>
      </c>
    </row>
    <row r="574" spans="1:20" x14ac:dyDescent="0.35">
      <c r="A574" s="7" t="s">
        <v>662</v>
      </c>
      <c r="B574" s="12" t="s">
        <v>51</v>
      </c>
      <c r="C574">
        <v>253747315.66371119</v>
      </c>
      <c r="D574">
        <v>267983116.39670351</v>
      </c>
      <c r="E574">
        <v>1028828.828828831</v>
      </c>
      <c r="F574">
        <v>1212612.6126126121</v>
      </c>
      <c r="G574">
        <v>41</v>
      </c>
      <c r="H574">
        <v>9</v>
      </c>
      <c r="K574">
        <v>54</v>
      </c>
      <c r="L574">
        <v>14</v>
      </c>
      <c r="M574">
        <v>55152432.432432435</v>
      </c>
      <c r="N574">
        <v>50409279.279279277</v>
      </c>
      <c r="O574">
        <v>127004963.96396397</v>
      </c>
      <c r="P574">
        <v>135096540.54054055</v>
      </c>
      <c r="Q574">
        <v>50698918.918918923</v>
      </c>
      <c r="R574">
        <v>51922342.342342347</v>
      </c>
      <c r="S574">
        <v>5817</v>
      </c>
      <c r="T574">
        <v>5732</v>
      </c>
    </row>
    <row r="575" spans="1:20" x14ac:dyDescent="0.35">
      <c r="A575" s="7" t="s">
        <v>663</v>
      </c>
      <c r="B575" s="12" t="s">
        <v>84</v>
      </c>
      <c r="C575">
        <v>311422534.01624048</v>
      </c>
      <c r="D575">
        <v>308922578.58725983</v>
      </c>
      <c r="E575">
        <v>2315107.207207208</v>
      </c>
      <c r="F575">
        <v>3053153.1531531578</v>
      </c>
      <c r="G575">
        <v>98</v>
      </c>
      <c r="H575">
        <v>91</v>
      </c>
      <c r="K575">
        <v>114</v>
      </c>
      <c r="L575">
        <v>112</v>
      </c>
      <c r="M575">
        <v>53210722.522522531</v>
      </c>
      <c r="N575">
        <v>41858333.333333336</v>
      </c>
      <c r="O575">
        <v>80130225.225225225</v>
      </c>
      <c r="P575">
        <v>85384511.711711705</v>
      </c>
      <c r="Q575">
        <v>27515900.900900904</v>
      </c>
      <c r="R575">
        <v>31656351.351351351</v>
      </c>
      <c r="S575">
        <v>8825</v>
      </c>
      <c r="T575">
        <v>8921</v>
      </c>
    </row>
    <row r="576" spans="1:20" x14ac:dyDescent="0.35">
      <c r="A576" s="13" t="s">
        <v>667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2026-08-19T10:42:21Z</dcterms:modified>
</cp:coreProperties>
</file>