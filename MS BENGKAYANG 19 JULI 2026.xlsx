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Sheet1!$A$5:$K$11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7" i="2" l="1"/>
  <c r="K17" i="2"/>
  <c r="I17" i="2" l="1"/>
  <c r="H17" i="2"/>
  <c r="G17" i="2"/>
  <c r="F17" i="2"/>
  <c r="E17" i="2"/>
  <c r="D17" i="2"/>
  <c r="C17" i="2"/>
  <c r="B17" i="2"/>
  <c r="L7" i="1" l="1"/>
  <c r="L8" i="1"/>
  <c r="L9" i="1"/>
  <c r="L10" i="1"/>
  <c r="L11" i="1"/>
  <c r="L12" i="1"/>
  <c r="L13" i="1"/>
  <c r="L14" i="1"/>
  <c r="L15" i="1"/>
  <c r="L16" i="1"/>
  <c r="L17" i="1"/>
  <c r="L18" i="1"/>
  <c r="L19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L6" i="1"/>
  <c r="K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D6" i="1"/>
  <c r="C6" i="1"/>
</calcChain>
</file>

<file path=xl/sharedStrings.xml><?xml version="1.0" encoding="utf-8"?>
<sst xmlns="http://schemas.openxmlformats.org/spreadsheetml/2006/main" count="66" uniqueCount="40">
  <si>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</si>
  <si>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</si>
  <si>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</si>
  <si>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</si>
  <si>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</si>
  <si>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</si>
  <si>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</si>
  <si>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</si>
  <si>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</si>
  <si>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</si>
  <si>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</si>
  <si>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</si>
  <si>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</si>
  <si>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</si>
  <si>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</si>
  <si>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</si>
  <si>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</si>
  <si>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</si>
  <si>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</si>
  <si>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</si>
  <si>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</si>
  <si>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</si>
  <si>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</si>
  <si>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</si>
  <si>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</si>
  <si>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</si>
  <si>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</si>
  <si>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</si>
  <si>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Row Labels</t>
  </si>
  <si>
    <t>Sum of Trade Supply</t>
  </si>
  <si>
    <t>Sum of Tertiary B#</t>
  </si>
  <si>
    <t>Sum of Secondary</t>
  </si>
  <si>
    <t>Sum of Primary</t>
  </si>
  <si>
    <t>Sum of Prepaid Rev</t>
  </si>
  <si>
    <t>Grand Total</t>
  </si>
  <si>
    <t>Sum of Trade Supply2 LMTD</t>
  </si>
  <si>
    <t>Sum of Tertiary B#2 LMTD</t>
  </si>
  <si>
    <t xml:space="preserve"> LMTD Sum of Secondary2</t>
  </si>
  <si>
    <t>Sum of Primary2 LMTD</t>
  </si>
  <si>
    <t>Sum of Prepaid Rev2 LMTD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</si>
</sst>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3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0" fontId="1" fillId="3" borderId="1" xfId="0" applyNumberFormat="1" applyFont="1" applyFill="1" applyBorder="1" applyAlignment="1" applyProtection="1">
      <alignment horizontal="right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164" fontId="5" fillId="5" borderId="2" xfId="1" applyNumberFormat="1" applyFont="1" applyFill="1" applyBorder="1"/>
    <xf numFmtId="164" fontId="0" fillId="0" borderId="0" xfId="1" applyNumberFormat="1" applyFont="1" applyAlignment="1">
      <alignment horizontal="left"/>
    </xf>
    <xf numFmtId="164" fontId="0" fillId="0" borderId="0" xfId="1" applyNumberFormat="1" applyFont="1"/>
    <xf numFmtId="164" fontId="5" fillId="5" borderId="3" xfId="1" applyNumberFormat="1" applyFont="1" applyFill="1" applyBorder="1" applyAlignment="1">
      <alignment horizontal="left"/>
    </xf>
    <xf numFmtId="164" fontId="5" fillId="5" borderId="3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L19"/>
  <sheetViews>
    <sheetView topLeftCell="A5" zoomScale="44" workbookViewId="0">
      <selection activeCell="A16" sqref="A16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6" bestFit="1" customWidth="1"/>
    <col min="3" max="12" width="28.6328125" style="6" customWidth="1"/>
    <col min="13" max="16384" width="11.7265625" style="2"/>
  </cols>
  <sheetData>
    <row r="4" spans="1:12" ht="64.5" customHeight="1" x14ac:dyDescent="0.35"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19</v>
      </c>
      <c r="F5" s="3" t="s">
        <v>24</v>
      </c>
      <c r="G5" s="3" t="s">
        <v>20</v>
      </c>
      <c r="H5" s="3" t="s">
        <v>25</v>
      </c>
      <c r="I5" s="3" t="s">
        <v>21</v>
      </c>
      <c r="J5" s="3" t="s">
        <v>26</v>
      </c>
      <c r="K5" s="3" t="s">
        <v>22</v>
      </c>
      <c r="L5" s="3" t="s">
        <v>27</v>
      </c>
    </row>
    <row r="6" spans="1:12" ht="64.5" customHeight="1" x14ac:dyDescent="0.35">
      <c r="A6" s="4" t="s">
        <v>2</v>
      </c>
      <c r="B6" s="1" t="s">
        <v>17</v>
      </c>
      <c r="C6" s="5">
        <f>VLOOKUP(A:A,MASTER!A:J,10,0)</f>
        <v>7511420.9336513663</v>
      </c>
      <c r="D6" s="5">
        <f>VLOOKUP(A:A,MASTER!A:K,11,0)</f>
        <v>7507509.8967372607</v>
      </c>
      <c r="E6" s="5">
        <f>VLOOKUP(A:A,MASTER!A:H,8,0)</f>
        <v>229029889.1891892</v>
      </c>
      <c r="F6" s="5">
        <f>VLOOKUP(A:A,MASTER!A:I,9,0)</f>
        <v>99612883.783783779</v>
      </c>
      <c r="G6" s="5">
        <f>VLOOKUP(A:A,MASTER!A:F,6,0)</f>
        <v>0</v>
      </c>
      <c r="H6" s="5">
        <f>VLOOKUP(A:A,MASTER!A:G,7,0)</f>
        <v>90090.090090090001</v>
      </c>
      <c r="I6" s="5">
        <f>VLOOKUP(A:A,MASTER!A:D,4,0)</f>
        <v>4061855.8558558561</v>
      </c>
      <c r="J6" s="5">
        <f>VLOOKUP(A:A,MASTER!A:E,5,0)</f>
        <v>4088639.6396396402</v>
      </c>
      <c r="K6" s="5">
        <f>VLOOKUP(A:A,MASTER!A:B,2,0)</f>
        <v>157657.65765765801</v>
      </c>
      <c r="L6" s="5">
        <f>VLOOKUP(A:A,MASTER!A:C,3,0)</f>
        <v>118918.91891891899</v>
      </c>
    </row>
    <row r="7" spans="1:12" ht="64.5" customHeight="1" x14ac:dyDescent="0.35">
      <c r="A7" s="4" t="s">
        <v>6</v>
      </c>
      <c r="B7" s="1" t="s">
        <v>17</v>
      </c>
      <c r="C7" s="5">
        <f>VLOOKUP(A:A,MASTER!A:J,10,0)</f>
        <v>196176570.97486886</v>
      </c>
      <c r="D7" s="5">
        <f>VLOOKUP(A:A,MASTER!A:K,11,0)</f>
        <v>199414498.13007444</v>
      </c>
      <c r="E7" s="5">
        <f>VLOOKUP(A:A,MASTER!A:H,8,0)</f>
        <v>2845945.945945947</v>
      </c>
      <c r="F7" s="5">
        <f>VLOOKUP(A:A,MASTER!A:I,9,0)</f>
        <v>3820720.7207207172</v>
      </c>
      <c r="G7" s="5">
        <f>VLOOKUP(A:A,MASTER!A:F,6,0)</f>
        <v>68249549.54954955</v>
      </c>
      <c r="H7" s="5">
        <f>VLOOKUP(A:A,MASTER!A:G,7,0)</f>
        <v>154871801.8018018</v>
      </c>
      <c r="I7" s="5">
        <f>VLOOKUP(A:A,MASTER!A:D,4,0)</f>
        <v>131342459.45945945</v>
      </c>
      <c r="J7" s="5">
        <f>VLOOKUP(A:A,MASTER!A:E,5,0)</f>
        <v>130473117.11711712</v>
      </c>
      <c r="K7" s="5">
        <f>VLOOKUP(A:A,MASTER!A:B,2,0)</f>
        <v>59288558.558558561</v>
      </c>
      <c r="L7" s="5">
        <f>VLOOKUP(A:A,MASTER!A:C,3,0)</f>
        <v>136425855.85585585</v>
      </c>
    </row>
    <row r="8" spans="1:12" ht="64.5" customHeight="1" x14ac:dyDescent="0.35">
      <c r="A8" s="4" t="s">
        <v>7</v>
      </c>
      <c r="B8" s="1" t="s">
        <v>17</v>
      </c>
      <c r="C8" s="5">
        <f>VLOOKUP(A:A,MASTER!A:J,10,0)</f>
        <v>49393746.862353623</v>
      </c>
      <c r="D8" s="5">
        <f>VLOOKUP(A:A,MASTER!A:K,11,0)</f>
        <v>48616953.909952343</v>
      </c>
      <c r="E8" s="5">
        <f>VLOOKUP(A:A,MASTER!A:H,8,0)</f>
        <v>136936.936936938</v>
      </c>
      <c r="F8" s="5">
        <f>VLOOKUP(A:A,MASTER!A:I,9,0)</f>
        <v>27027.027027027001</v>
      </c>
      <c r="G8" s="5">
        <f>VLOOKUP(A:A,MASTER!A:F,6,0)</f>
        <v>6997297.2972972961</v>
      </c>
      <c r="H8" s="5">
        <f>VLOOKUP(A:A,MASTER!A:G,7,0)</f>
        <v>9277027.027027024</v>
      </c>
      <c r="I8" s="5">
        <f>VLOOKUP(A:A,MASTER!A:D,4,0)</f>
        <v>34849666.666666664</v>
      </c>
      <c r="J8" s="5">
        <f>VLOOKUP(A:A,MASTER!A:E,5,0)</f>
        <v>31194990.990990993</v>
      </c>
      <c r="K8" s="5">
        <f>VLOOKUP(A:A,MASTER!A:B,2,0)</f>
        <v>8593423.4234234225</v>
      </c>
      <c r="L8" s="5">
        <f>VLOOKUP(A:A,MASTER!A:C,3,0)</f>
        <v>9835315.3153153118</v>
      </c>
    </row>
    <row r="9" spans="1:12" ht="64.5" customHeight="1" x14ac:dyDescent="0.35">
      <c r="A9" s="4" t="s">
        <v>10</v>
      </c>
      <c r="B9" s="1" t="s">
        <v>17</v>
      </c>
      <c r="C9" s="5">
        <f>VLOOKUP(A:A,MASTER!A:J,10,0)</f>
        <v>52030457.127091497</v>
      </c>
      <c r="D9" s="5">
        <f>VLOOKUP(A:A,MASTER!A:K,11,0)</f>
        <v>57426483.631933667</v>
      </c>
      <c r="E9" s="5">
        <f>VLOOKUP(A:A,MASTER!A:H,8,0)</f>
        <v>3378378.3783783782</v>
      </c>
      <c r="F9" s="5">
        <f>VLOOKUP(A:A,MASTER!A:I,9,0)</f>
        <v>47477477.477477483</v>
      </c>
      <c r="G9" s="5">
        <f>VLOOKUP(A:A,MASTER!A:F,6,0)</f>
        <v>315540.540540541</v>
      </c>
      <c r="H9" s="5">
        <f>VLOOKUP(A:A,MASTER!A:G,7,0)</f>
        <v>14414.414414413999</v>
      </c>
      <c r="I9" s="5">
        <f>VLOOKUP(A:A,MASTER!A:D,4,0)</f>
        <v>31396702.702702705</v>
      </c>
      <c r="J9" s="5">
        <f>VLOOKUP(A:A,MASTER!A:E,5,0)</f>
        <v>34195801.801801801</v>
      </c>
      <c r="K9" s="5">
        <f>VLOOKUP(A:A,MASTER!A:B,2,0)</f>
        <v>11081.081081081</v>
      </c>
      <c r="L9" s="5">
        <f>VLOOKUP(A:A,MASTER!A:C,3,0)</f>
        <v>250720.72072072001</v>
      </c>
    </row>
    <row r="10" spans="1:12" ht="64.5" customHeight="1" x14ac:dyDescent="0.35">
      <c r="A10" s="4" t="s">
        <v>11</v>
      </c>
      <c r="B10" s="1" t="s">
        <v>17</v>
      </c>
      <c r="C10" s="5">
        <f>VLOOKUP(A:A,MASTER!A:J,10,0)</f>
        <v>45012979.346594982</v>
      </c>
      <c r="D10" s="5">
        <f>VLOOKUP(A:A,MASTER!A:K,11,0)</f>
        <v>45436787.487359814</v>
      </c>
      <c r="E10" s="5">
        <f>VLOOKUP(A:A,MASTER!A:H,8,0)</f>
        <v>18018.018018018</v>
      </c>
      <c r="F10" s="5">
        <f>VLOOKUP(A:A,MASTER!A:I,9,0)</f>
        <v>9009.0090090089998</v>
      </c>
      <c r="G10" s="5">
        <f>VLOOKUP(A:A,MASTER!A:F,6,0)</f>
        <v>1819819.8198198189</v>
      </c>
      <c r="H10" s="5">
        <f>VLOOKUP(A:A,MASTER!A:G,7,0)</f>
        <v>639639.63963963999</v>
      </c>
      <c r="I10" s="5">
        <f>VLOOKUP(A:A,MASTER!A:D,4,0)</f>
        <v>15800657.657657657</v>
      </c>
      <c r="J10" s="5">
        <f>VLOOKUP(A:A,MASTER!A:E,5,0)</f>
        <v>19452351.351351351</v>
      </c>
      <c r="K10" s="5">
        <f>VLOOKUP(A:A,MASTER!A:B,2,0)</f>
        <v>1335585.585585586</v>
      </c>
      <c r="L10" s="5">
        <f>VLOOKUP(A:A,MASTER!A:C,3,0)</f>
        <v>728108.10810810805</v>
      </c>
    </row>
    <row r="11" spans="1:12" ht="64.5" customHeight="1" x14ac:dyDescent="0.35">
      <c r="A11" s="4" t="s">
        <v>12</v>
      </c>
      <c r="B11" s="1" t="s">
        <v>17</v>
      </c>
      <c r="C11" s="5">
        <f>VLOOKUP(A:A,MASTER!A:J,10,0)</f>
        <v>28913433.219965655</v>
      </c>
      <c r="D11" s="5">
        <f>VLOOKUP(A:A,MASTER!A:K,11,0)</f>
        <v>31805391.81232474</v>
      </c>
      <c r="E11" s="5">
        <f>VLOOKUP(A:A,MASTER!A:H,8,0)</f>
        <v>54954.954954954999</v>
      </c>
      <c r="F11" s="5">
        <f>VLOOKUP(A:A,MASTER!A:I,9,0)</f>
        <v>63063.063063062997</v>
      </c>
      <c r="G11" s="5">
        <f>VLOOKUP(A:A,MASTER!A:F,6,0)</f>
        <v>54954.954954954999</v>
      </c>
      <c r="H11" s="5">
        <f>VLOOKUP(A:A,MASTER!A:G,7,0)</f>
        <v>513513.51351351303</v>
      </c>
      <c r="I11" s="5">
        <f>VLOOKUP(A:A,MASTER!A:D,4,0)</f>
        <v>12292441.441441439</v>
      </c>
      <c r="J11" s="5">
        <f>VLOOKUP(A:A,MASTER!A:E,5,0)</f>
        <v>14513405.405405408</v>
      </c>
      <c r="K11" s="5">
        <f>VLOOKUP(A:A,MASTER!A:B,2,0)</f>
        <v>1597837.837837839</v>
      </c>
      <c r="L11" s="5">
        <f>VLOOKUP(A:A,MASTER!A:C,3,0)</f>
        <v>821171.17117117206</v>
      </c>
    </row>
    <row r="12" spans="1:12" ht="64.5" customHeight="1" x14ac:dyDescent="0.35">
      <c r="A12" s="4" t="s">
        <v>1</v>
      </c>
      <c r="B12" s="1" t="s">
        <v>16</v>
      </c>
      <c r="C12" s="5">
        <f>VLOOKUP(A:A,MASTER!A:J,10,0)</f>
        <v>116267585.84095243</v>
      </c>
      <c r="D12" s="5">
        <f>VLOOKUP(A:A,MASTER!A:K,11,0)</f>
        <v>126507289.14125644</v>
      </c>
      <c r="E12" s="5">
        <f>VLOOKUP(A:A,MASTER!A:H,8,0)</f>
        <v>956756.75675675995</v>
      </c>
      <c r="F12" s="5">
        <f>VLOOKUP(A:A,MASTER!A:I,9,0)</f>
        <v>523423.423423425</v>
      </c>
      <c r="G12" s="5">
        <f>VLOOKUP(A:A,MASTER!A:F,6,0)</f>
        <v>20454324.324324325</v>
      </c>
      <c r="H12" s="5">
        <f>VLOOKUP(A:A,MASTER!A:G,7,0)</f>
        <v>18734459.459459461</v>
      </c>
      <c r="I12" s="5">
        <f>VLOOKUP(A:A,MASTER!A:D,4,0)</f>
        <v>56265009.009009011</v>
      </c>
      <c r="J12" s="5">
        <f>VLOOKUP(A:A,MASTER!A:E,5,0)</f>
        <v>57269711.711711712</v>
      </c>
      <c r="K12" s="5">
        <f>VLOOKUP(A:A,MASTER!A:B,2,0)</f>
        <v>15536576.576576579</v>
      </c>
      <c r="L12" s="5">
        <f>VLOOKUP(A:A,MASTER!A:C,3,0)</f>
        <v>16872207.207207207</v>
      </c>
    </row>
    <row r="13" spans="1:12" ht="64.5" customHeight="1" x14ac:dyDescent="0.35">
      <c r="A13" s="4" t="s">
        <v>3</v>
      </c>
      <c r="B13" s="1" t="s">
        <v>16</v>
      </c>
      <c r="C13" s="5">
        <f>VLOOKUP(A:A,MASTER!A:J,10,0)</f>
        <v>86248085.706081927</v>
      </c>
      <c r="D13" s="5">
        <f>VLOOKUP(A:A,MASTER!A:K,11,0)</f>
        <v>78619082.392572537</v>
      </c>
      <c r="E13" s="5">
        <f>VLOOKUP(A:A,MASTER!A:H,8,0)</f>
        <v>1017117.117117118</v>
      </c>
      <c r="F13" s="5">
        <f>VLOOKUP(A:A,MASTER!A:I,9,0)</f>
        <v>279279.27927927999</v>
      </c>
      <c r="G13" s="5">
        <f>VLOOKUP(A:A,MASTER!A:F,6,0)</f>
        <v>15818018.018018018</v>
      </c>
      <c r="H13" s="5">
        <f>VLOOKUP(A:A,MASTER!A:G,7,0)</f>
        <v>27872972.97297297</v>
      </c>
      <c r="I13" s="5">
        <f>VLOOKUP(A:A,MASTER!A:D,4,0)</f>
        <v>24560612.612612613</v>
      </c>
      <c r="J13" s="5">
        <f>VLOOKUP(A:A,MASTER!A:E,5,0)</f>
        <v>22512063.063063063</v>
      </c>
      <c r="K13" s="5">
        <f>VLOOKUP(A:A,MASTER!A:B,2,0)</f>
        <v>13959999.999999998</v>
      </c>
      <c r="L13" s="5">
        <f>VLOOKUP(A:A,MASTER!A:C,3,0)</f>
        <v>25294774.774774775</v>
      </c>
    </row>
    <row r="14" spans="1:12" ht="64.5" customHeight="1" x14ac:dyDescent="0.35">
      <c r="A14" s="4" t="s">
        <v>4</v>
      </c>
      <c r="B14" s="1" t="s">
        <v>16</v>
      </c>
      <c r="C14" s="5">
        <f>VLOOKUP(A:A,MASTER!A:J,10,0)</f>
        <v>54837497.224373043</v>
      </c>
      <c r="D14" s="5">
        <f>VLOOKUP(A:A,MASTER!A:K,11,0)</f>
        <v>52939180.99643144</v>
      </c>
      <c r="E14" s="5">
        <f>VLOOKUP(A:A,MASTER!A:H,8,0)</f>
        <v>76729729.729729727</v>
      </c>
      <c r="F14" s="5">
        <f>VLOOKUP(A:A,MASTER!A:I,9,0)</f>
        <v>22752252.252252251</v>
      </c>
      <c r="G14" s="5">
        <f>VLOOKUP(A:A,MASTER!A:F,6,0)</f>
        <v>26411261.261261266</v>
      </c>
      <c r="H14" s="5">
        <f>VLOOKUP(A:A,MASTER!A:G,7,0)</f>
        <v>18085135.135135133</v>
      </c>
      <c r="I14" s="5">
        <f>VLOOKUP(A:A,MASTER!A:D,4,0)</f>
        <v>18937099.0990991</v>
      </c>
      <c r="J14" s="5">
        <f>VLOOKUP(A:A,MASTER!A:E,5,0)</f>
        <v>20442684.684684683</v>
      </c>
      <c r="K14" s="5">
        <f>VLOOKUP(A:A,MASTER!A:B,2,0)</f>
        <v>17864054.054054052</v>
      </c>
      <c r="L14" s="5">
        <f>VLOOKUP(A:A,MASTER!A:C,3,0)</f>
        <v>7227522.5225225221</v>
      </c>
    </row>
    <row r="15" spans="1:12" ht="64.5" customHeight="1" x14ac:dyDescent="0.35">
      <c r="A15" s="4" t="s">
        <v>5</v>
      </c>
      <c r="B15" s="1" t="s">
        <v>16</v>
      </c>
      <c r="C15" s="5">
        <f>VLOOKUP(A:A,MASTER!A:J,10,0)</f>
        <v>58472443.376442537</v>
      </c>
      <c r="D15" s="5">
        <f>VLOOKUP(A:A,MASTER!A:K,11,0)</f>
        <v>59692394.781567022</v>
      </c>
      <c r="E15" s="5">
        <f>VLOOKUP(A:A,MASTER!A:H,8,0)</f>
        <v>111711.711711713</v>
      </c>
      <c r="F15" s="5">
        <f>VLOOKUP(A:A,MASTER!A:I,9,0)</f>
        <v>10810.810810810999</v>
      </c>
      <c r="G15" s="5">
        <f>VLOOKUP(A:A,MASTER!A:F,6,0)</f>
        <v>5398198.1981981983</v>
      </c>
      <c r="H15" s="5">
        <f>VLOOKUP(A:A,MASTER!A:G,7,0)</f>
        <v>10272072.072072072</v>
      </c>
      <c r="I15" s="5">
        <f>VLOOKUP(A:A,MASTER!A:D,4,0)</f>
        <v>23848630.630630631</v>
      </c>
      <c r="J15" s="5">
        <f>VLOOKUP(A:A,MASTER!A:E,5,0)</f>
        <v>23302198.198198199</v>
      </c>
      <c r="K15" s="5">
        <f>VLOOKUP(A:A,MASTER!A:B,2,0)</f>
        <v>4770270.2702702703</v>
      </c>
      <c r="L15" s="5">
        <f>VLOOKUP(A:A,MASTER!A:C,3,0)</f>
        <v>8657567.5675675683</v>
      </c>
    </row>
    <row r="16" spans="1:12" ht="64.5" customHeight="1" x14ac:dyDescent="0.35">
      <c r="A16" s="4" t="s">
        <v>8</v>
      </c>
      <c r="B16" s="1" t="s">
        <v>16</v>
      </c>
      <c r="C16" s="5">
        <f>VLOOKUP(A:A,MASTER!A:J,10,0)</f>
        <v>64742855.47537601</v>
      </c>
      <c r="D16" s="5">
        <f>VLOOKUP(A:A,MASTER!A:K,11,0)</f>
        <v>73291343.993570343</v>
      </c>
      <c r="E16" s="5">
        <f>VLOOKUP(A:A,MASTER!A:H,8,0)</f>
        <v>1016216.216216218</v>
      </c>
      <c r="F16" s="5">
        <f>VLOOKUP(A:A,MASTER!A:I,9,0)</f>
        <v>844144.14414414403</v>
      </c>
      <c r="G16" s="5">
        <f>VLOOKUP(A:A,MASTER!A:F,6,0)</f>
        <v>8817117.1171171181</v>
      </c>
      <c r="H16" s="5">
        <f>VLOOKUP(A:A,MASTER!A:G,7,0)</f>
        <v>11301351.351351352</v>
      </c>
      <c r="I16" s="5">
        <f>VLOOKUP(A:A,MASTER!A:D,4,0)</f>
        <v>18698747.747747749</v>
      </c>
      <c r="J16" s="5">
        <f>VLOOKUP(A:A,MASTER!A:E,5,0)</f>
        <v>21853468.468468469</v>
      </c>
      <c r="K16" s="5">
        <f>VLOOKUP(A:A,MASTER!A:B,2,0)</f>
        <v>7440900.9009009004</v>
      </c>
      <c r="L16" s="5">
        <f>VLOOKUP(A:A,MASTER!A:C,3,0)</f>
        <v>10503153.153153151</v>
      </c>
    </row>
    <row r="17" spans="1:12" ht="64.5" customHeight="1" x14ac:dyDescent="0.35">
      <c r="A17" s="4" t="s">
        <v>9</v>
      </c>
      <c r="B17" s="1" t="s">
        <v>16</v>
      </c>
      <c r="C17" s="5">
        <f>VLOOKUP(A:A,MASTER!A:J,10,0)</f>
        <v>127540408.71188343</v>
      </c>
      <c r="D17" s="5">
        <f>VLOOKUP(A:A,MASTER!A:K,11,0)</f>
        <v>131246451.07484853</v>
      </c>
      <c r="E17" s="5">
        <f>VLOOKUP(A:A,MASTER!A:H,8,0)</f>
        <v>966666.66666667</v>
      </c>
      <c r="F17" s="5">
        <f>VLOOKUP(A:A,MASTER!A:I,9,0)</f>
        <v>596396.39639639505</v>
      </c>
      <c r="G17" s="5">
        <f>VLOOKUP(A:A,MASTER!A:F,6,0)</f>
        <v>135054054.05405405</v>
      </c>
      <c r="H17" s="5">
        <f>VLOOKUP(A:A,MASTER!A:G,7,0)</f>
        <v>176228963.96396396</v>
      </c>
      <c r="I17" s="5">
        <f>VLOOKUP(A:A,MASTER!A:D,4,0)</f>
        <v>46387306.306306303</v>
      </c>
      <c r="J17" s="5">
        <f>VLOOKUP(A:A,MASTER!A:E,5,0)</f>
        <v>47068990.990990989</v>
      </c>
      <c r="K17" s="5">
        <f>VLOOKUP(A:A,MASTER!A:B,2,0)</f>
        <v>112215675.67567568</v>
      </c>
      <c r="L17" s="5">
        <f>VLOOKUP(A:A,MASTER!A:C,3,0)</f>
        <v>170740315.31531531</v>
      </c>
    </row>
    <row r="18" spans="1:12" ht="64.5" customHeight="1" x14ac:dyDescent="0.35">
      <c r="A18" s="4" t="s">
        <v>13</v>
      </c>
      <c r="B18" s="1" t="s">
        <v>16</v>
      </c>
      <c r="C18" s="5">
        <f>VLOOKUP(A:A,MASTER!A:J,10,0)</f>
        <v>104774965.49819887</v>
      </c>
      <c r="D18" s="5">
        <f>VLOOKUP(A:A,MASTER!A:K,11,0)</f>
        <v>107393975.116455</v>
      </c>
      <c r="E18" s="5">
        <f>VLOOKUP(A:A,MASTER!A:H,8,0)</f>
        <v>202123931.53153151</v>
      </c>
      <c r="F18" s="5">
        <f>VLOOKUP(A:A,MASTER!A:I,9,0)</f>
        <v>186233841.44144145</v>
      </c>
      <c r="G18" s="5">
        <f>VLOOKUP(A:A,MASTER!A:F,6,0)</f>
        <v>31365495.495495494</v>
      </c>
      <c r="H18" s="5">
        <f>VLOOKUP(A:A,MASTER!A:G,7,0)</f>
        <v>38459909.909909919</v>
      </c>
      <c r="I18" s="5">
        <f>VLOOKUP(A:A,MASTER!A:D,4,0)</f>
        <v>58596306.306306303</v>
      </c>
      <c r="J18" s="5">
        <f>VLOOKUP(A:A,MASTER!A:E,5,0)</f>
        <v>59852846.846846849</v>
      </c>
      <c r="K18" s="5">
        <f>VLOOKUP(A:A,MASTER!A:B,2,0)</f>
        <v>24503423.423423424</v>
      </c>
      <c r="L18" s="5">
        <f>VLOOKUP(A:A,MASTER!A:C,3,0)</f>
        <v>23350360.360360365</v>
      </c>
    </row>
    <row r="19" spans="1:12" ht="64.5" customHeight="1" x14ac:dyDescent="0.35">
      <c r="A19" s="4" t="s">
        <v>14</v>
      </c>
      <c r="B19" s="1" t="s">
        <v>16</v>
      </c>
      <c r="C19" s="5">
        <f>VLOOKUP(A:A,MASTER!A:J,10,0)</f>
        <v>53904115.230463743</v>
      </c>
      <c r="D19" s="5">
        <f>VLOOKUP(A:A,MASTER!A:K,11,0)</f>
        <v>61497440.916110247</v>
      </c>
      <c r="E19" s="5">
        <f>VLOOKUP(A:A,MASTER!A:H,8,0)</f>
        <v>657657.65765765903</v>
      </c>
      <c r="F19" s="5">
        <f>VLOOKUP(A:A,MASTER!A:I,9,0)</f>
        <v>81981.981981981997</v>
      </c>
      <c r="G19" s="5">
        <f>VLOOKUP(A:A,MASTER!A:F,6,0)</f>
        <v>22231531.531531531</v>
      </c>
      <c r="H19" s="5">
        <f>VLOOKUP(A:A,MASTER!A:G,7,0)</f>
        <v>4109009.0090090092</v>
      </c>
      <c r="I19" s="5">
        <f>VLOOKUP(A:A,MASTER!A:D,4,0)</f>
        <v>18543135.135135137</v>
      </c>
      <c r="J19" s="5">
        <f>VLOOKUP(A:A,MASTER!A:E,5,0)</f>
        <v>20923711.711711712</v>
      </c>
      <c r="K19" s="5">
        <f>VLOOKUP(A:A,MASTER!A:B,2,0)</f>
        <v>24953783.783783782</v>
      </c>
      <c r="L19" s="5">
        <f>VLOOKUP(A:A,MASTER!A:C,3,0)</f>
        <v>4320090.0900900885</v>
      </c>
    </row>
  </sheetData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7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" sqref="A2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0.363281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bestFit="1" customWidth="1"/>
    <col min="8" max="8" width="15" bestFit="1" customWidth="1"/>
    <col min="9" max="9" width="16" bestFit="1" customWidth="1"/>
    <col min="10" max="10" width="18.453125" bestFit="1" customWidth="1"/>
    <col min="11" max="11" width="19.453125" bestFit="1" customWidth="1"/>
  </cols>
  <sheetData>
    <row r="2" spans="1:11" x14ac:dyDescent="0.35">
      <c r="A2" s="8" t="s">
        <v>28</v>
      </c>
      <c r="B2" s="8" t="s">
        <v>29</v>
      </c>
      <c r="C2" s="8" t="s">
        <v>35</v>
      </c>
      <c r="D2" s="8" t="s">
        <v>30</v>
      </c>
      <c r="E2" s="8" t="s">
        <v>36</v>
      </c>
      <c r="F2" s="8" t="s">
        <v>31</v>
      </c>
      <c r="G2" s="8" t="s">
        <v>37</v>
      </c>
      <c r="H2" s="8" t="s">
        <v>32</v>
      </c>
      <c r="I2" s="8" t="s">
        <v>38</v>
      </c>
      <c r="J2" s="8" t="s">
        <v>33</v>
      </c>
      <c r="K2" s="8" t="s">
        <v>39</v>
      </c>
    </row>
    <row r="3" spans="1:11" x14ac:dyDescent="0.35">
      <c r="A3" s="9" t="s">
        <v>1</v>
      </c>
      <c r="B3" s="10">
        <v>15536576.576576579</v>
      </c>
      <c r="C3" s="10">
        <v>16872207.207207207</v>
      </c>
      <c r="D3" s="10">
        <v>56265009.009009011</v>
      </c>
      <c r="E3" s="10">
        <v>57269711.711711712</v>
      </c>
      <c r="F3" s="10">
        <v>20454324.324324325</v>
      </c>
      <c r="G3" s="10">
        <v>18734459.459459461</v>
      </c>
      <c r="H3" s="10">
        <v>956756.75675675995</v>
      </c>
      <c r="I3" s="10">
        <v>523423.423423425</v>
      </c>
      <c r="J3" s="10">
        <v>116267585.84095243</v>
      </c>
      <c r="K3" s="10">
        <v>126507289.14125644</v>
      </c>
    </row>
    <row r="4" spans="1:11" x14ac:dyDescent="0.35">
      <c r="A4" s="9" t="s">
        <v>2</v>
      </c>
      <c r="B4" s="10">
        <v>157657.65765765801</v>
      </c>
      <c r="C4" s="10">
        <v>118918.91891891899</v>
      </c>
      <c r="D4" s="10">
        <v>4061855.8558558561</v>
      </c>
      <c r="E4" s="10">
        <v>4088639.6396396402</v>
      </c>
      <c r="F4" s="10"/>
      <c r="G4" s="10">
        <v>90090.090090090001</v>
      </c>
      <c r="H4" s="10">
        <v>229029889.1891892</v>
      </c>
      <c r="I4" s="10">
        <v>99612883.783783779</v>
      </c>
      <c r="J4" s="10">
        <v>7511420.9336513663</v>
      </c>
      <c r="K4" s="10">
        <v>7507509.8967372607</v>
      </c>
    </row>
    <row r="5" spans="1:11" x14ac:dyDescent="0.35">
      <c r="A5" s="9" t="s">
        <v>3</v>
      </c>
      <c r="B5" s="10">
        <v>13959999.999999998</v>
      </c>
      <c r="C5" s="10">
        <v>25294774.774774775</v>
      </c>
      <c r="D5" s="10">
        <v>24560612.612612613</v>
      </c>
      <c r="E5" s="10">
        <v>22512063.063063063</v>
      </c>
      <c r="F5" s="10">
        <v>15818018.018018018</v>
      </c>
      <c r="G5" s="10">
        <v>27872972.97297297</v>
      </c>
      <c r="H5" s="10">
        <v>1017117.117117118</v>
      </c>
      <c r="I5" s="10">
        <v>279279.27927927999</v>
      </c>
      <c r="J5" s="10">
        <v>86248085.706081927</v>
      </c>
      <c r="K5" s="10">
        <v>78619082.392572537</v>
      </c>
    </row>
    <row r="6" spans="1:11" x14ac:dyDescent="0.35">
      <c r="A6" s="9" t="s">
        <v>4</v>
      </c>
      <c r="B6" s="10">
        <v>17864054.054054052</v>
      </c>
      <c r="C6" s="10">
        <v>7227522.5225225221</v>
      </c>
      <c r="D6" s="10">
        <v>18937099.0990991</v>
      </c>
      <c r="E6" s="10">
        <v>20442684.684684683</v>
      </c>
      <c r="F6" s="10">
        <v>26411261.261261266</v>
      </c>
      <c r="G6" s="10">
        <v>18085135.135135133</v>
      </c>
      <c r="H6" s="10">
        <v>76729729.729729727</v>
      </c>
      <c r="I6" s="10">
        <v>22752252.252252251</v>
      </c>
      <c r="J6" s="10">
        <v>54837497.224373043</v>
      </c>
      <c r="K6" s="10">
        <v>52939180.99643144</v>
      </c>
    </row>
    <row r="7" spans="1:11" x14ac:dyDescent="0.35">
      <c r="A7" s="9" t="s">
        <v>5</v>
      </c>
      <c r="B7" s="10">
        <v>4770270.2702702703</v>
      </c>
      <c r="C7" s="10">
        <v>8657567.5675675683</v>
      </c>
      <c r="D7" s="10">
        <v>23848630.630630631</v>
      </c>
      <c r="E7" s="10">
        <v>23302198.198198199</v>
      </c>
      <c r="F7" s="10">
        <v>5398198.1981981983</v>
      </c>
      <c r="G7" s="10">
        <v>10272072.072072072</v>
      </c>
      <c r="H7" s="10">
        <v>111711.711711713</v>
      </c>
      <c r="I7" s="10">
        <v>10810.810810810999</v>
      </c>
      <c r="J7" s="10">
        <v>58472443.376442537</v>
      </c>
      <c r="K7" s="10">
        <v>59692394.781567022</v>
      </c>
    </row>
    <row r="8" spans="1:11" x14ac:dyDescent="0.35">
      <c r="A8" s="9" t="s">
        <v>6</v>
      </c>
      <c r="B8" s="10">
        <v>59288558.558558561</v>
      </c>
      <c r="C8" s="10">
        <v>136425855.85585585</v>
      </c>
      <c r="D8" s="10">
        <v>131342459.45945945</v>
      </c>
      <c r="E8" s="10">
        <v>130473117.11711712</v>
      </c>
      <c r="F8" s="10">
        <v>68249549.54954955</v>
      </c>
      <c r="G8" s="10">
        <v>154871801.8018018</v>
      </c>
      <c r="H8" s="10">
        <v>2845945.945945947</v>
      </c>
      <c r="I8" s="10">
        <v>3820720.7207207172</v>
      </c>
      <c r="J8" s="10">
        <v>196176570.97486886</v>
      </c>
      <c r="K8" s="10">
        <v>199414498.13007444</v>
      </c>
    </row>
    <row r="9" spans="1:11" x14ac:dyDescent="0.35">
      <c r="A9" s="9" t="s">
        <v>7</v>
      </c>
      <c r="B9" s="10">
        <v>8593423.4234234225</v>
      </c>
      <c r="C9" s="10">
        <v>9835315.3153153118</v>
      </c>
      <c r="D9" s="10">
        <v>34849666.666666664</v>
      </c>
      <c r="E9" s="10">
        <v>31194990.990990993</v>
      </c>
      <c r="F9" s="10">
        <v>6997297.2972972961</v>
      </c>
      <c r="G9" s="10">
        <v>9277027.027027024</v>
      </c>
      <c r="H9" s="10">
        <v>136936.936936938</v>
      </c>
      <c r="I9" s="10">
        <v>27027.027027027001</v>
      </c>
      <c r="J9" s="10">
        <v>49393746.862353623</v>
      </c>
      <c r="K9" s="10">
        <v>48616953.909952343</v>
      </c>
    </row>
    <row r="10" spans="1:11" x14ac:dyDescent="0.35">
      <c r="A10" s="9" t="s">
        <v>8</v>
      </c>
      <c r="B10" s="10">
        <v>7440900.9009009004</v>
      </c>
      <c r="C10" s="10">
        <v>10503153.153153151</v>
      </c>
      <c r="D10" s="10">
        <v>18698747.747747749</v>
      </c>
      <c r="E10" s="10">
        <v>21853468.468468469</v>
      </c>
      <c r="F10" s="10">
        <v>8817117.1171171181</v>
      </c>
      <c r="G10" s="10">
        <v>11301351.351351352</v>
      </c>
      <c r="H10" s="10">
        <v>1016216.216216218</v>
      </c>
      <c r="I10" s="10">
        <v>844144.14414414403</v>
      </c>
      <c r="J10" s="10">
        <v>64742855.47537601</v>
      </c>
      <c r="K10" s="10">
        <v>73291343.993570343</v>
      </c>
    </row>
    <row r="11" spans="1:11" x14ac:dyDescent="0.35">
      <c r="A11" s="9" t="s">
        <v>9</v>
      </c>
      <c r="B11" s="10">
        <v>112215675.67567568</v>
      </c>
      <c r="C11" s="10">
        <v>170740315.31531531</v>
      </c>
      <c r="D11" s="10">
        <v>46387306.306306303</v>
      </c>
      <c r="E11" s="10">
        <v>47068990.990990989</v>
      </c>
      <c r="F11" s="10">
        <v>135054054.05405405</v>
      </c>
      <c r="G11" s="10">
        <v>176228963.96396396</v>
      </c>
      <c r="H11" s="10">
        <v>966666.66666667</v>
      </c>
      <c r="I11" s="10">
        <v>596396.39639639505</v>
      </c>
      <c r="J11" s="10">
        <v>127540408.71188343</v>
      </c>
      <c r="K11" s="10">
        <v>131246451.07484853</v>
      </c>
    </row>
    <row r="12" spans="1:11" x14ac:dyDescent="0.35">
      <c r="A12" s="9" t="s">
        <v>10</v>
      </c>
      <c r="B12" s="10">
        <v>11081.081081081</v>
      </c>
      <c r="C12" s="10">
        <v>250720.72072072001</v>
      </c>
      <c r="D12" s="10">
        <v>31396702.702702705</v>
      </c>
      <c r="E12" s="10">
        <v>34195801.801801801</v>
      </c>
      <c r="F12" s="10">
        <v>315540.540540541</v>
      </c>
      <c r="G12" s="10">
        <v>14414.414414413999</v>
      </c>
      <c r="H12" s="10">
        <v>3378378.3783783782</v>
      </c>
      <c r="I12" s="10">
        <v>47477477.477477483</v>
      </c>
      <c r="J12" s="10">
        <v>52030457.127091497</v>
      </c>
      <c r="K12" s="10">
        <v>57426483.631933667</v>
      </c>
    </row>
    <row r="13" spans="1:11" x14ac:dyDescent="0.35">
      <c r="A13" s="9" t="s">
        <v>11</v>
      </c>
      <c r="B13" s="10">
        <v>1335585.585585586</v>
      </c>
      <c r="C13" s="10">
        <v>728108.10810810805</v>
      </c>
      <c r="D13" s="10">
        <v>15800657.657657657</v>
      </c>
      <c r="E13" s="10">
        <v>19452351.351351351</v>
      </c>
      <c r="F13" s="10">
        <v>1819819.8198198189</v>
      </c>
      <c r="G13" s="10">
        <v>639639.63963963999</v>
      </c>
      <c r="H13" s="10">
        <v>18018.018018018</v>
      </c>
      <c r="I13" s="10">
        <v>9009.0090090089998</v>
      </c>
      <c r="J13" s="10">
        <v>45012979.346594982</v>
      </c>
      <c r="K13" s="10">
        <v>45436787.487359814</v>
      </c>
    </row>
    <row r="14" spans="1:11" x14ac:dyDescent="0.35">
      <c r="A14" s="9" t="s">
        <v>12</v>
      </c>
      <c r="B14" s="10">
        <v>1597837.837837839</v>
      </c>
      <c r="C14" s="10">
        <v>821171.17117117206</v>
      </c>
      <c r="D14" s="10">
        <v>12292441.441441439</v>
      </c>
      <c r="E14" s="10">
        <v>14513405.405405408</v>
      </c>
      <c r="F14" s="10">
        <v>54954.954954954999</v>
      </c>
      <c r="G14" s="10">
        <v>513513.51351351303</v>
      </c>
      <c r="H14" s="10">
        <v>54954.954954954999</v>
      </c>
      <c r="I14" s="10">
        <v>63063.063063062997</v>
      </c>
      <c r="J14" s="10">
        <v>28913433.219965655</v>
      </c>
      <c r="K14" s="10">
        <v>31805391.81232474</v>
      </c>
    </row>
    <row r="15" spans="1:11" x14ac:dyDescent="0.35">
      <c r="A15" s="9" t="s">
        <v>13</v>
      </c>
      <c r="B15" s="10">
        <v>24503423.423423424</v>
      </c>
      <c r="C15" s="10">
        <v>23350360.360360365</v>
      </c>
      <c r="D15" s="10">
        <v>58596306.306306303</v>
      </c>
      <c r="E15" s="10">
        <v>59852846.846846849</v>
      </c>
      <c r="F15" s="10">
        <v>31365495.495495494</v>
      </c>
      <c r="G15" s="10">
        <v>38459909.909909919</v>
      </c>
      <c r="H15" s="10">
        <v>202123931.53153151</v>
      </c>
      <c r="I15" s="10">
        <v>186233841.44144145</v>
      </c>
      <c r="J15" s="10">
        <v>104774965.49819887</v>
      </c>
      <c r="K15" s="10">
        <v>107393975.116455</v>
      </c>
    </row>
    <row r="16" spans="1:11" x14ac:dyDescent="0.35">
      <c r="A16" s="9" t="s">
        <v>14</v>
      </c>
      <c r="B16" s="10">
        <v>24953783.783783782</v>
      </c>
      <c r="C16" s="10">
        <v>4320090.0900900885</v>
      </c>
      <c r="D16" s="10">
        <v>18543135.135135137</v>
      </c>
      <c r="E16" s="10">
        <v>20923711.711711712</v>
      </c>
      <c r="F16" s="10">
        <v>22231531.531531531</v>
      </c>
      <c r="G16" s="10">
        <v>4109009.0090090092</v>
      </c>
      <c r="H16" s="10">
        <v>657657.65765765903</v>
      </c>
      <c r="I16" s="10">
        <v>81981.981981981997</v>
      </c>
      <c r="J16" s="10">
        <v>53904115.230463743</v>
      </c>
      <c r="K16" s="10">
        <v>61497440.916110247</v>
      </c>
    </row>
    <row r="17" spans="1:11" x14ac:dyDescent="0.35">
      <c r="A17" s="11" t="s">
        <v>34</v>
      </c>
      <c r="B17" s="12">
        <f>SUM(B3:B16)</f>
        <v>292228828.82882887</v>
      </c>
      <c r="C17" s="12">
        <f t="shared" ref="C17:K17" si="0">SUM(C3:C16)</f>
        <v>415146081.08108109</v>
      </c>
      <c r="D17" s="12">
        <f t="shared" si="0"/>
        <v>495580630.63063067</v>
      </c>
      <c r="E17" s="12">
        <f t="shared" si="0"/>
        <v>507143981.98198193</v>
      </c>
      <c r="F17" s="12">
        <f t="shared" si="0"/>
        <v>342987162.16216213</v>
      </c>
      <c r="G17" s="12">
        <f t="shared" si="0"/>
        <v>470470360.36036026</v>
      </c>
      <c r="H17" s="12">
        <f t="shared" si="0"/>
        <v>519043910.8108108</v>
      </c>
      <c r="I17" s="12">
        <f t="shared" si="0"/>
        <v>362332310.8108108</v>
      </c>
      <c r="J17" s="12">
        <f t="shared" si="0"/>
        <v>1045826565.528298</v>
      </c>
      <c r="K17" s="12">
        <f t="shared" si="0"/>
        <v>1081394783.2811937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2026-08-09T06:33:18Z</dcterms:modified>
</cp:coreProperties>
</file>