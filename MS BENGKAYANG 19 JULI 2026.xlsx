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 activeTab="1"/>
  </bookViews>
  <sheets>
    <sheet name="Sheet1" sheetId="1" r:id="rId1"/>
    <sheet name="MASTER" sheetId="2" r:id="rId2"/>
  </sheets>
  <definedNames>
    <definedName name="_xlnm._FilterDatabase" localSheetId="0" hidden="1">Sheet1!$A$5:$T$22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7" i="1" l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6" i="1"/>
  <c r="W13" i="1" l="1"/>
  <c r="W8" i="1"/>
  <c r="W7" i="1"/>
  <c r="W9" i="1"/>
  <c r="W11" i="1"/>
  <c r="W6" i="1"/>
  <c r="W10" i="1"/>
  <c r="W22" i="1"/>
  <c r="W21" i="1"/>
  <c r="W12" i="1"/>
  <c r="W20" i="1"/>
  <c r="W19" i="1"/>
  <c r="W17" i="1"/>
  <c r="W18" i="1"/>
  <c r="W16" i="1"/>
  <c r="W15" i="1"/>
  <c r="W14" i="1"/>
  <c r="R7" i="1"/>
  <c r="S7" i="1"/>
  <c r="R8" i="1"/>
  <c r="S8" i="1"/>
  <c r="R9" i="1"/>
  <c r="S9" i="1"/>
  <c r="R10" i="1"/>
  <c r="S10" i="1"/>
  <c r="R11" i="1"/>
  <c r="S11" i="1"/>
  <c r="R12" i="1"/>
  <c r="S12" i="1"/>
  <c r="R13" i="1"/>
  <c r="S13" i="1"/>
  <c r="R14" i="1"/>
  <c r="S14" i="1"/>
  <c r="R15" i="1"/>
  <c r="S15" i="1"/>
  <c r="R16" i="1"/>
  <c r="S16" i="1"/>
  <c r="R17" i="1"/>
  <c r="S17" i="1"/>
  <c r="R18" i="1"/>
  <c r="S18" i="1"/>
  <c r="R19" i="1"/>
  <c r="S19" i="1"/>
  <c r="R20" i="1"/>
  <c r="S20" i="1"/>
  <c r="R21" i="1"/>
  <c r="S21" i="1"/>
  <c r="R22" i="1"/>
  <c r="S22" i="1"/>
  <c r="O7" i="1"/>
  <c r="P7" i="1"/>
  <c r="O8" i="1"/>
  <c r="P8" i="1"/>
  <c r="O9" i="1"/>
  <c r="P9" i="1"/>
  <c r="O10" i="1"/>
  <c r="P10" i="1"/>
  <c r="O11" i="1"/>
  <c r="P11" i="1"/>
  <c r="O12" i="1"/>
  <c r="P12" i="1"/>
  <c r="O13" i="1"/>
  <c r="P13" i="1"/>
  <c r="O14" i="1"/>
  <c r="P14" i="1"/>
  <c r="O15" i="1"/>
  <c r="P15" i="1"/>
  <c r="O16" i="1"/>
  <c r="P16" i="1"/>
  <c r="O17" i="1"/>
  <c r="P17" i="1"/>
  <c r="O18" i="1"/>
  <c r="P18" i="1"/>
  <c r="O19" i="1"/>
  <c r="P19" i="1"/>
  <c r="O20" i="1"/>
  <c r="P20" i="1"/>
  <c r="O21" i="1"/>
  <c r="P21" i="1"/>
  <c r="O22" i="1"/>
  <c r="P22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R6" i="1"/>
  <c r="S6" i="1"/>
  <c r="P6" i="1"/>
  <c r="O6" i="1"/>
  <c r="M6" i="1"/>
  <c r="L6" i="1"/>
  <c r="J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6" i="1"/>
  <c r="C7" i="1"/>
  <c r="D7" i="1"/>
  <c r="C8" i="1"/>
  <c r="D8" i="1"/>
  <c r="C9" i="1"/>
  <c r="D9" i="1"/>
  <c r="C10" i="1"/>
  <c r="D10" i="1"/>
  <c r="C11" i="1"/>
  <c r="D11" i="1"/>
  <c r="C12" i="1"/>
  <c r="D12" i="1"/>
  <c r="C13" i="1"/>
  <c r="D13" i="1"/>
  <c r="C14" i="1"/>
  <c r="D14" i="1"/>
  <c r="C15" i="1"/>
  <c r="D15" i="1"/>
  <c r="C16" i="1"/>
  <c r="D16" i="1"/>
  <c r="C17" i="1"/>
  <c r="D17" i="1"/>
  <c r="C18" i="1"/>
  <c r="D18" i="1"/>
  <c r="C19" i="1"/>
  <c r="D19" i="1"/>
  <c r="C20" i="1"/>
  <c r="D20" i="1"/>
  <c r="C21" i="1"/>
  <c r="D21" i="1"/>
  <c r="C22" i="1"/>
  <c r="D22" i="1"/>
  <c r="D6" i="1"/>
  <c r="C6" i="1"/>
  <c r="T20" i="1" l="1"/>
  <c r="T22" i="1"/>
  <c r="K17" i="1"/>
  <c r="K16" i="1"/>
  <c r="T21" i="1"/>
  <c r="N21" i="1"/>
  <c r="N22" i="1"/>
  <c r="Q21" i="1"/>
  <c r="Q22" i="1"/>
  <c r="Q20" i="1"/>
  <c r="N20" i="1"/>
  <c r="K15" i="1"/>
  <c r="K13" i="1"/>
  <c r="K18" i="1"/>
  <c r="K12" i="1"/>
  <c r="K11" i="1"/>
  <c r="K22" i="1"/>
  <c r="K10" i="1"/>
  <c r="K21" i="1"/>
  <c r="K9" i="1"/>
  <c r="K14" i="1"/>
  <c r="K20" i="1"/>
  <c r="K8" i="1"/>
  <c r="K19" i="1"/>
  <c r="K7" i="1"/>
  <c r="K6" i="1"/>
  <c r="H19" i="1"/>
  <c r="H7" i="1"/>
  <c r="H20" i="1"/>
  <c r="H8" i="1"/>
  <c r="H22" i="1"/>
  <c r="H10" i="1"/>
  <c r="H21" i="1"/>
  <c r="H9" i="1"/>
  <c r="H18" i="1"/>
  <c r="H6" i="1"/>
  <c r="H17" i="1"/>
  <c r="H16" i="1"/>
  <c r="H15" i="1"/>
  <c r="H14" i="1"/>
  <c r="H13" i="1"/>
  <c r="H12" i="1"/>
  <c r="H11" i="1"/>
  <c r="E20" i="1"/>
  <c r="E8" i="1"/>
  <c r="E13" i="1"/>
  <c r="E7" i="1"/>
  <c r="E18" i="1"/>
  <c r="E19" i="1"/>
  <c r="E17" i="1"/>
  <c r="E16" i="1"/>
  <c r="E15" i="1"/>
  <c r="E21" i="1"/>
  <c r="E9" i="1"/>
  <c r="E14" i="1"/>
  <c r="E12" i="1"/>
  <c r="E22" i="1"/>
  <c r="E10" i="1"/>
  <c r="E11" i="1"/>
  <c r="T15" i="1"/>
  <c r="T17" i="1"/>
  <c r="T14" i="1" l="1"/>
  <c r="T19" i="1"/>
  <c r="T7" i="1"/>
  <c r="T18" i="1"/>
  <c r="T16" i="1"/>
  <c r="T10" i="1"/>
  <c r="T11" i="1"/>
  <c r="T9" i="1"/>
  <c r="T8" i="1"/>
  <c r="T13" i="1"/>
  <c r="T12" i="1"/>
  <c r="T6" i="1"/>
  <c r="Q12" i="1" l="1"/>
  <c r="Q14" i="1"/>
  <c r="Q15" i="1"/>
  <c r="Q17" i="1"/>
  <c r="N10" i="1"/>
  <c r="N12" i="1"/>
  <c r="N6" i="1"/>
  <c r="Q16" i="1" l="1"/>
  <c r="N11" i="1"/>
  <c r="N8" i="1"/>
  <c r="Q10" i="1"/>
  <c r="Q19" i="1"/>
  <c r="Q7" i="1"/>
  <c r="N9" i="1"/>
  <c r="Q13" i="1"/>
  <c r="Q8" i="1"/>
  <c r="Q9" i="1"/>
  <c r="N16" i="1"/>
  <c r="N15" i="1"/>
  <c r="N19" i="1"/>
  <c r="N7" i="1"/>
  <c r="Q11" i="1"/>
  <c r="Q18" i="1"/>
  <c r="N18" i="1"/>
  <c r="N17" i="1"/>
  <c r="N14" i="1"/>
  <c r="N13" i="1"/>
  <c r="Q6" i="1"/>
  <c r="E6" i="1"/>
</calcChain>
</file>

<file path=xl/sharedStrings.xml><?xml version="1.0" encoding="utf-8"?>
<sst xmlns="http://schemas.openxmlformats.org/spreadsheetml/2006/main" count="1234" uniqueCount="675">
  <si>
    <t>KECAMATAN</t>
  </si>
  <si>
    <t>BENGKAYANG|BENGKAYANG</t>
  </si>
  <si>
    <t>CAPKALA|BENGKAYANG</t>
  </si>
  <si>
    <t>JAGOI BABANG|BENGKAYANG</t>
  </si>
  <si>
    <t>LEDO|BENGKAYANG</t>
  </si>
  <si>
    <t>LUMAR|BENGKAYANG</t>
  </si>
  <si>
    <t>MONTERADO|BENGKAYANG</t>
  </si>
  <si>
    <t>SAMALANTAN|BENGKAYANG</t>
  </si>
  <si>
    <t>SANGGAU LEDO|BENGKAYANG</t>
  </si>
  <si>
    <t>SELUAS|BENGKAYANG</t>
  </si>
  <si>
    <t>SUNGAI BETUNG|BENGKAYANG</t>
  </si>
  <si>
    <t>SUNGAI RAYA KEPULAUAN|BENGKAYANG</t>
  </si>
  <si>
    <t>SUNGAI RAYA|BENGKAYANG</t>
  </si>
  <si>
    <t>TERIAK|BENGKAYANG</t>
  </si>
  <si>
    <t>TUJUH BELAS|BENGKAYANG</t>
  </si>
  <si>
    <t>PARTNER</t>
  </si>
  <si>
    <t>SDP JAGOI BABANG</t>
  </si>
  <si>
    <t>SDP MONTERADO</t>
  </si>
  <si>
    <t>REVENUE MTD</t>
  </si>
  <si>
    <t>PRIMARY MTD</t>
  </si>
  <si>
    <t>SECONDARY MTD</t>
  </si>
  <si>
    <t>TERTIARY B# MTD</t>
  </si>
  <si>
    <t>TRADE SUPPLY MTD</t>
  </si>
  <si>
    <t>REVENUE LMTD</t>
  </si>
  <si>
    <t>PRIMARY LMTD</t>
  </si>
  <si>
    <t>SECONDARY LMTD</t>
  </si>
  <si>
    <t>TERTIARY B# LMTD</t>
  </si>
  <si>
    <t>TRADE SUPPLY LMTD</t>
  </si>
  <si>
    <t>VLR SUBS MTD</t>
  </si>
  <si>
    <t>VLR SUBS LMTD</t>
  </si>
  <si>
    <t>VLR_SUBS</t>
  </si>
  <si>
    <t>MTD</t>
  </si>
  <si>
    <t>LMTD</t>
  </si>
  <si>
    <t>GROWTH</t>
  </si>
  <si>
    <t>LEMBAH BAWANG|BENGKAYANG</t>
  </si>
  <si>
    <t>SIDING|BENGKAYANG</t>
  </si>
  <si>
    <t>SUTI SEMARANG|BENGKAYANG</t>
  </si>
  <si>
    <t>parameter</t>
  </si>
  <si>
    <t>Prepaid Rev</t>
  </si>
  <si>
    <t>Primary</t>
  </si>
  <si>
    <t>QSC 100MB</t>
  </si>
  <si>
    <t>RGUGA-Trad</t>
  </si>
  <si>
    <t>Secondary</t>
  </si>
  <si>
    <t>Tertiary B#</t>
  </si>
  <si>
    <t>Trade Supply</t>
  </si>
  <si>
    <t>kec_unik</t>
  </si>
  <si>
    <t>pt_id</t>
  </si>
  <si>
    <t>AIR UPAS|KETAPANG</t>
  </si>
  <si>
    <t>PT-PEMAHAN</t>
  </si>
  <si>
    <t>ALALAK|BARITO KUALA</t>
  </si>
  <si>
    <t>PT-MEKAR SARI</t>
  </si>
  <si>
    <t>ALUH-ALUH|BANJAR</t>
  </si>
  <si>
    <t>PT-MARTAPURA</t>
  </si>
  <si>
    <t>AMUNTAI SELATAN|HULU SUNGAI UTARA</t>
  </si>
  <si>
    <t>PT-TANJUNG</t>
  </si>
  <si>
    <t>AMUNTAI TENGAH|HULU SUNGAI UTARA</t>
  </si>
  <si>
    <t>AMUNTAI UTARA|HULU SUNGAI UTARA</t>
  </si>
  <si>
    <t>ANGGANA|KUTAI KARTANEGARA</t>
  </si>
  <si>
    <t>PT-TENGGARONG</t>
  </si>
  <si>
    <t>ANGKINANG|HULU SUNGAI SELATAN</t>
  </si>
  <si>
    <t>PT-KANDANGAN</t>
  </si>
  <si>
    <t>ANGSANA|TANAH BUMBU</t>
  </si>
  <si>
    <t>PT-BATULICIN</t>
  </si>
  <si>
    <t>ANJIR MUARA|BARITO KUALA</t>
  </si>
  <si>
    <t>ANJIR PASAR|BARITO KUALA</t>
  </si>
  <si>
    <t>ANJONGAN|MEMPAWAH</t>
  </si>
  <si>
    <t>PT-MEMPAWAH</t>
  </si>
  <si>
    <t>ANTANG KALANG|KOTAWARINGIN TIMUR</t>
  </si>
  <si>
    <t>PT-ANTANG KALANG</t>
  </si>
  <si>
    <t>ARANIO|BANJAR</t>
  </si>
  <si>
    <t>PT-KARANG INTAN</t>
  </si>
  <si>
    <t>ARUT SELATAN|KOTAWARINGIN BARAT</t>
  </si>
  <si>
    <t>PT-PANGKALANBUN</t>
  </si>
  <si>
    <t>ARUT UTARA|KOTAWARINGIN BARAT</t>
  </si>
  <si>
    <t>ASTAMBUL|BANJAR</t>
  </si>
  <si>
    <t>AWANG|BARITO TIMUR</t>
  </si>
  <si>
    <t>PT-SOUTH BARITO</t>
  </si>
  <si>
    <t>AWAYAN|BALANGAN</t>
  </si>
  <si>
    <t>PT-BARABAI</t>
  </si>
  <si>
    <t>BAAMANG|KOTAWARINGIN TIMUR</t>
  </si>
  <si>
    <t>PT-SAMPIT</t>
  </si>
  <si>
    <t>BABIRIK|HULU SUNGAI UTARA</t>
  </si>
  <si>
    <t>BABULU|PENAJAM PASER UTARA</t>
  </si>
  <si>
    <t>PT-PENAJAM</t>
  </si>
  <si>
    <t>BADAU|KAPUAS HULU</t>
  </si>
  <si>
    <t>PT-BADAU KAPUAS</t>
  </si>
  <si>
    <t>BAHAU HULU|MALINAU</t>
  </si>
  <si>
    <t>PT-MALINAU BARAT</t>
  </si>
  <si>
    <t>BAJUIN|TANAH LAUT</t>
  </si>
  <si>
    <t>PT-PELAIHARI</t>
  </si>
  <si>
    <t>BAKARANGAN|TAPIN</t>
  </si>
  <si>
    <t>BAKUMPAI|BARITO KUALA</t>
  </si>
  <si>
    <t>PT-MARABAHAN</t>
  </si>
  <si>
    <t>BALAI RIAM|SUKAMARA</t>
  </si>
  <si>
    <t>PT-LAMANDAU</t>
  </si>
  <si>
    <t>BALAI|SANGGAU</t>
  </si>
  <si>
    <t>PT-TAYAN HILIR</t>
  </si>
  <si>
    <t>BALIKPAPAN BARAT|KOTA BALIKPAPAN</t>
  </si>
  <si>
    <t>PT-BALIKPAPAN</t>
  </si>
  <si>
    <t>BALIKPAPAN KOTA|KOTA BALIKPAPAN</t>
  </si>
  <si>
    <t>BALIKPAPAN SELATAN|KOTA BALIKPAPAN</t>
  </si>
  <si>
    <t>BALIKPAPAN TENGAH|KOTA BALIKPAPAN</t>
  </si>
  <si>
    <t>BALIKPAPAN TIMUR|KOTA BALIKPAPAN</t>
  </si>
  <si>
    <t>BALIKPAPAN UTARA|KOTA BALIKPAPAN</t>
  </si>
  <si>
    <t>BANAMA TINGANG|PULANG PISAU</t>
  </si>
  <si>
    <t>PT-PULANG PISAU</t>
  </si>
  <si>
    <t>BANJANG|HULU SUNGAI UTARA</t>
  </si>
  <si>
    <t>BANJARBARU SELATAN|KOTA BANJARBARU</t>
  </si>
  <si>
    <t>PT-BANJARBARU</t>
  </si>
  <si>
    <t>BANJARBARU UTARA|KOTA BANJARBARU</t>
  </si>
  <si>
    <t>BANJARMASIN BARAT|KOTA BANJARMASIN</t>
  </si>
  <si>
    <t>PT-BANJARMASIN</t>
  </si>
  <si>
    <t>BANJARMASIN SELATAN|KOTA BANJARMASIN</t>
  </si>
  <si>
    <t>BANJARMASIN TENGAH|KOTA BANJARMASIN</t>
  </si>
  <si>
    <t>BANJARMASIN TIMUR|KOTA BANJARMASIN</t>
  </si>
  <si>
    <t>BANJARMASIN UTARA|KOTA BANJARMASIN</t>
  </si>
  <si>
    <t>BANUA LAWAS|TABALONG</t>
  </si>
  <si>
    <t>PT-LANDAK</t>
  </si>
  <si>
    <t>BARABAI|HULU SUNGAI TENGAH</t>
  </si>
  <si>
    <t>BARAMBAI|BARITO KUALA</t>
  </si>
  <si>
    <t>BARONG TONGKOK|KUTAI BARAT</t>
  </si>
  <si>
    <t>PT-MELAK</t>
  </si>
  <si>
    <t>BASARANG|KAPUAS</t>
  </si>
  <si>
    <t>PT-KAPUAS</t>
  </si>
  <si>
    <t>BATAGUH|KAPUAS</t>
  </si>
  <si>
    <t>PT-KAPUAS KUALA</t>
  </si>
  <si>
    <t>BATANG ALAI SELATAN|HULU SUNGAI TENGAH</t>
  </si>
  <si>
    <t>BATANG ALAI TIMUR|HULU SUNGAI TENGAH</t>
  </si>
  <si>
    <t>BATANG ALAI UTARA|HULU SUNGAI TENGAH</t>
  </si>
  <si>
    <t>BATANG LUPAR|KAPUAS HULU</t>
  </si>
  <si>
    <t>BATI - BATI|TANAH LAUT</t>
  </si>
  <si>
    <t>BATU AMPAR|KUBU RAYA</t>
  </si>
  <si>
    <t>PT-BATU AMPAR</t>
  </si>
  <si>
    <t>BATU AMPAR|KUTAI TIMUR</t>
  </si>
  <si>
    <t>PT-SANGATTA UTARA</t>
  </si>
  <si>
    <t>BATU AMPAR|SERUYAN</t>
  </si>
  <si>
    <t>PT-SERUYAN</t>
  </si>
  <si>
    <t>BATU AMPAR|TANAH LAUT</t>
  </si>
  <si>
    <t>BATU BENAWA|HULU SUNGAI TENGAH</t>
  </si>
  <si>
    <t>BATU ENGAU|PASER</t>
  </si>
  <si>
    <t>PT-GROGOT</t>
  </si>
  <si>
    <t>BATU LICIN|TANAH BUMBU</t>
  </si>
  <si>
    <t>BATU PUTIH|BERAU</t>
  </si>
  <si>
    <t>PT-BATU PUTIH</t>
  </si>
  <si>
    <t>BATU SOPANG|PASER</t>
  </si>
  <si>
    <t>BATUMANDI|BALANGAN</t>
  </si>
  <si>
    <t>BEDUWAI|SANGGAU</t>
  </si>
  <si>
    <t>PT-KEMBAYAN</t>
  </si>
  <si>
    <t>BELANTIKAN RAYA|LAMANDAU</t>
  </si>
  <si>
    <t>BELAWANG|BARITO KUALA</t>
  </si>
  <si>
    <t>BELIMBING HULU|MELAWI</t>
  </si>
  <si>
    <t>PT-BELIMBING</t>
  </si>
  <si>
    <t>BELIMBING|MELAWI</t>
  </si>
  <si>
    <t>BELITANG HILIR|SEKADAU</t>
  </si>
  <si>
    <t>PT-BELITANG</t>
  </si>
  <si>
    <t>BELITANG HULU|SEKADAU</t>
  </si>
  <si>
    <t>BELITANG|SEKADAU</t>
  </si>
  <si>
    <t>BENGALON|KUTAI TIMUR</t>
  </si>
  <si>
    <t>PT-JAGOI BABANG</t>
  </si>
  <si>
    <t>BENTIAN BESAR|KUTAI BARAT</t>
  </si>
  <si>
    <t>BENUA KAYONG|KETAPANG</t>
  </si>
  <si>
    <t>PT-KETAPANG</t>
  </si>
  <si>
    <t>BENUA LIMA|BARITO TIMUR</t>
  </si>
  <si>
    <t>BERUNTUNG BARU|BANJAR</t>
  </si>
  <si>
    <t>BETAYAU|TANA TIDUNG</t>
  </si>
  <si>
    <t>BIATAN|BERAU</t>
  </si>
  <si>
    <t>BIKA|KAPUAS HULU</t>
  </si>
  <si>
    <t>PT-PUTUSSIBAU</t>
  </si>
  <si>
    <t>BINJAI HULU|SINTANG</t>
  </si>
  <si>
    <t>PT-SINTANG</t>
  </si>
  <si>
    <t>BINTANG ARA|TABALONG</t>
  </si>
  <si>
    <t>BINUANG|TAPIN</t>
  </si>
  <si>
    <t>BONGAN|KUTAI BARAT</t>
  </si>
  <si>
    <t>BONTANG BARAT|KOTA BONTANG</t>
  </si>
  <si>
    <t>PT-BONTANG</t>
  </si>
  <si>
    <t>BONTANG SELATAN|KOTA BONTANG</t>
  </si>
  <si>
    <t>BONTANG UTARA|KOTA BONTANG</t>
  </si>
  <si>
    <t>BONTI|SANGGAU</t>
  </si>
  <si>
    <t>PT-SANGGAU</t>
  </si>
  <si>
    <t>BOYAN TANJUNG|KAPUAS HULU</t>
  </si>
  <si>
    <t>BUKIT BATU|KOTA PALANGKARAYA</t>
  </si>
  <si>
    <t>PT-PALANGKARAYA</t>
  </si>
  <si>
    <t>BULIK TIMUR|LAMANDAU</t>
  </si>
  <si>
    <t>BULIK|LAMANDAU</t>
  </si>
  <si>
    <t>BUMI MAKMUR|TANAH LAUT</t>
  </si>
  <si>
    <t>BUNGUR|TAPIN</t>
  </si>
  <si>
    <t>BUNUT HILIR|KAPUAS HULU</t>
  </si>
  <si>
    <t>BUNUT HULU|KAPUAS HULU</t>
  </si>
  <si>
    <t>BUNYU|BULUNGAN</t>
  </si>
  <si>
    <t>PT-TANJUNG SELOR</t>
  </si>
  <si>
    <t>BUSANG|KUTAI TIMUR</t>
  </si>
  <si>
    <t>CANDI LARAS SELATAN|TAPIN</t>
  </si>
  <si>
    <t>CANDI LARAS UTARA|TAPIN</t>
  </si>
  <si>
    <t>PT-MONTERADO</t>
  </si>
  <si>
    <t>CEMPAGA HULU|KOTAWARINGIN TIMUR</t>
  </si>
  <si>
    <t>PT-PARENGGEAN</t>
  </si>
  <si>
    <t>CEMPAGA|KOTAWARINGIN TIMUR</t>
  </si>
  <si>
    <t>CEMPAKA|KOTA BANJARBARU</t>
  </si>
  <si>
    <t>CERBON|BARITO KUALA</t>
  </si>
  <si>
    <t>DADAHUP|KAPUAS</t>
  </si>
  <si>
    <t>DAHA SELATAN|HULU SUNGAI SELATAN</t>
  </si>
  <si>
    <t>DAHA UTARA|HULU SUNGAI SELATAN</t>
  </si>
  <si>
    <t>DAMAI|KUTAI BARAT</t>
  </si>
  <si>
    <t>DANAU PANGGANG|HULU SUNGAI UTARA</t>
  </si>
  <si>
    <t>DANAU SELULUK|SERUYAN</t>
  </si>
  <si>
    <t>DANAU SEMBULUH|SERUYAN</t>
  </si>
  <si>
    <t>DEDAI|SINTANG</t>
  </si>
  <si>
    <t>DELTA PAWAN|KETAPANG</t>
  </si>
  <si>
    <t>DUSUN HILIR|BARITO SELATAN</t>
  </si>
  <si>
    <t>DUSUN SELATAN|BARITO SELATAN</t>
  </si>
  <si>
    <t>DUSUN TENGAH|BARITO TIMUR</t>
  </si>
  <si>
    <t>DUSUN TIMUR|BARITO TIMUR</t>
  </si>
  <si>
    <t>DUSUN UTARA|BARITO SELATAN</t>
  </si>
  <si>
    <t>ELLA HILIR|MELAWI</t>
  </si>
  <si>
    <t>PT-MELAWI</t>
  </si>
  <si>
    <t>EMBALOH HILIR|KAPUAS HULU</t>
  </si>
  <si>
    <t>EMBALOH HULU|KAPUAS HULU</t>
  </si>
  <si>
    <t>EMPANANG|KAPUAS HULU</t>
  </si>
  <si>
    <t>ENTIKONG|SANGGAU</t>
  </si>
  <si>
    <t>GALING|SAMBAS</t>
  </si>
  <si>
    <t>PT-SAMBAS</t>
  </si>
  <si>
    <t>GAMBUT|BANJAR</t>
  </si>
  <si>
    <t>GUNUNG BINTANG AWAI|BARITO SELATAN</t>
  </si>
  <si>
    <t>GUNUNG PUREI|BARITO UTARA</t>
  </si>
  <si>
    <t>PT-NORTH BARITO</t>
  </si>
  <si>
    <t>GUNUNG TABUR|BERAU</t>
  </si>
  <si>
    <t>GUNUNG TIMANG|BARITO UTARA</t>
  </si>
  <si>
    <t>HALONG|BALANGAN</t>
  </si>
  <si>
    <t>HANAU|SERUYAN</t>
  </si>
  <si>
    <t>HANTAKAN|HULU SUNGAI TENGAH</t>
  </si>
  <si>
    <t>HARUAI|TABALONG</t>
  </si>
  <si>
    <t>HARUYAN|HULU SUNGAI TENGAH</t>
  </si>
  <si>
    <t>HATUNGUN|TAPIN</t>
  </si>
  <si>
    <t>HAUR GADING|HULU SUNGAI UTARA</t>
  </si>
  <si>
    <t>HULU GURUNG|KAPUAS HULU</t>
  </si>
  <si>
    <t>HULU SUNGAI|KETAPANG</t>
  </si>
  <si>
    <t>PT-SANDAI</t>
  </si>
  <si>
    <t>JABIREN RAYA|PULANG PISAU</t>
  </si>
  <si>
    <t>JANGKANG|SANGGAU</t>
  </si>
  <si>
    <t>JARO|TABALONG</t>
  </si>
  <si>
    <t>JAWAI SELATAN|SAMBAS</t>
  </si>
  <si>
    <t>PT-JAWAI</t>
  </si>
  <si>
    <t>JAWAI|SAMBAS</t>
  </si>
  <si>
    <t>JEJANGKIT|BARITO KUALA</t>
  </si>
  <si>
    <t>JEKAN RAYA|KOTA PALANGKARAYA</t>
  </si>
  <si>
    <t>JELAI HULU|KETAPANG</t>
  </si>
  <si>
    <t>JELAI|SUKAMARA</t>
  </si>
  <si>
    <t>JELIMPO|LANDAK</t>
  </si>
  <si>
    <t>JEMPANG|KUTAI BARAT</t>
  </si>
  <si>
    <t>JENAMAS|BARITO SELATAN</t>
  </si>
  <si>
    <t>JONGKONG|KAPUAS HULU</t>
  </si>
  <si>
    <t>JORONG|TANAH LAUT</t>
  </si>
  <si>
    <t>JUAI|BALANGAN</t>
  </si>
  <si>
    <t>KAHAYAN HILIR|PULANG PISAU</t>
  </si>
  <si>
    <t>KAHAYAN KUALA|PULANG PISAU</t>
  </si>
  <si>
    <t>KAHAYAN TENGAH|PULANG PISAU</t>
  </si>
  <si>
    <t>KALIORANG|KUTAI TIMUR</t>
  </si>
  <si>
    <t>KALIS|KAPUAS HULU</t>
  </si>
  <si>
    <t>KALUMPANG|HULU SUNGAI SELATAN</t>
  </si>
  <si>
    <t>KAMIPANG|KATINGAN</t>
  </si>
  <si>
    <t>PT-BUKIT RAYA</t>
  </si>
  <si>
    <t>KANDANGAN|HULU SUNGAI SELATAN</t>
  </si>
  <si>
    <t>KAPUAS BARAT|KAPUAS</t>
  </si>
  <si>
    <t>KAPUAS HILIR|KAPUAS</t>
  </si>
  <si>
    <t>KAPUAS KUALA|KAPUAS</t>
  </si>
  <si>
    <t>KAPUAS MURUNG|KAPUAS</t>
  </si>
  <si>
    <t>KAPUAS TIMUR|KAPUAS</t>
  </si>
  <si>
    <t>KAPUAS|SANGGAU</t>
  </si>
  <si>
    <t>KARANG BINTANG|TANAH BUMBU</t>
  </si>
  <si>
    <t>KARANG INTAN|BANJAR</t>
  </si>
  <si>
    <t>KARANGAN|KUTAI TIMUR</t>
  </si>
  <si>
    <t>KARAU KUALA|BARITO SELATAN</t>
  </si>
  <si>
    <t>KARUSEN JANANG|BARITO TIMUR</t>
  </si>
  <si>
    <t>KATINGAN HILIR|KATINGAN</t>
  </si>
  <si>
    <t>KATINGAN KUALA|KATINGAN</t>
  </si>
  <si>
    <t>KATINGAN TENGAH|KATINGAN</t>
  </si>
  <si>
    <t>KAUBUN|KUTAI TIMUR</t>
  </si>
  <si>
    <t>KAYAN HILIR|SINTANG</t>
  </si>
  <si>
    <t>KAYAN HULU|SINTANG</t>
  </si>
  <si>
    <t>KAYAN SELATAN|MALINAU</t>
  </si>
  <si>
    <t>KELAM PERMAI|SINTANG</t>
  </si>
  <si>
    <t>KELUA|TABALONG</t>
  </si>
  <si>
    <t>KELUMPANG BARAT|KOTABARU</t>
  </si>
  <si>
    <t>PT-KOTABARU</t>
  </si>
  <si>
    <t>KELUMPANG HILIR|KOTABARU</t>
  </si>
  <si>
    <t>KELUMPANG HULU|KOTABARU</t>
  </si>
  <si>
    <t>KELUMPANG SELATAN|KOTABARU</t>
  </si>
  <si>
    <t>KELUMPANG TENGAH|KOTABARU</t>
  </si>
  <si>
    <t>KELUMPANG UTARA|KOTABARU</t>
  </si>
  <si>
    <t>KEMBANG JANGGUT|KUTAI KARTANEGARA</t>
  </si>
  <si>
    <t>PT-MUARA KAMAN</t>
  </si>
  <si>
    <t>KEMBAYAN|SANGGAU</t>
  </si>
  <si>
    <t>KENDAWANGAN|KETAPANG</t>
  </si>
  <si>
    <t>PT-KENDAWANGAN</t>
  </si>
  <si>
    <t>KENOHAN|KUTAI KARTANEGARA</t>
  </si>
  <si>
    <t>KERTAK HANYAR|BANJAR</t>
  </si>
  <si>
    <t>KETUNGAU HILIR|SINTANG</t>
  </si>
  <si>
    <t>KETUNGAU TENGAH|SINTANG</t>
  </si>
  <si>
    <t>KINTAP|TANAH LAUT</t>
  </si>
  <si>
    <t>KONGBENG|KUTAI TIMUR</t>
  </si>
  <si>
    <t>KOTA BANGUN|KUTAI KARTANEGARA</t>
  </si>
  <si>
    <t>KOTA BESI|KOTAWARINGIN TIMUR</t>
  </si>
  <si>
    <t>KOTAWARINGIN LAMA|KOTAWARINGIN BARAT</t>
  </si>
  <si>
    <t>KRAYAN BARAT|NUNUKAN</t>
  </si>
  <si>
    <t>PT-NUNUKAN</t>
  </si>
  <si>
    <t>KUALA BEHE|LANDAK</t>
  </si>
  <si>
    <t>KUALA MANDOR-B|KUBU RAYA</t>
  </si>
  <si>
    <t>PT-KUBU RAYA</t>
  </si>
  <si>
    <t>KUARO|PASER</t>
  </si>
  <si>
    <t>KUBU|KUBU RAYA</t>
  </si>
  <si>
    <t>KUMAI|KOTAWARINGIN BARAT</t>
  </si>
  <si>
    <t>KURANJI|TANAH BUMBU</t>
  </si>
  <si>
    <t>KURAU|TANAH LAUT</t>
  </si>
  <si>
    <t>KURIPAN|BARITO KUALA</t>
  </si>
  <si>
    <t>KURUN|GUNUNG MAS</t>
  </si>
  <si>
    <t>PT-RUNGAN</t>
  </si>
  <si>
    <t>KUSAN HILIR|TANAH BUMBU</t>
  </si>
  <si>
    <t>KUSAN HULU|TANAH BUMBU</t>
  </si>
  <si>
    <t>LABUAN AMAS SELATAN|HULU SUNGAI TENGAH</t>
  </si>
  <si>
    <t>LABUAN AMAS UTARA|HULU SUNGAI TENGAH</t>
  </si>
  <si>
    <t>LAHAM|MAHAKAM ULU</t>
  </si>
  <si>
    <t>LAHEI BARAT|BARITO UTARA</t>
  </si>
  <si>
    <t>LAHEI|BARITO UTARA</t>
  </si>
  <si>
    <t>LAMPIHONG|BALANGAN</t>
  </si>
  <si>
    <t>LANDASAN ULIN|KOTA BANJARBARU</t>
  </si>
  <si>
    <t>LAUNG TUHUP|MURUNG RAYA</t>
  </si>
  <si>
    <t>LIANG ANGGANG|KOTA BANJARBARU</t>
  </si>
  <si>
    <t>LIMPASU|HULU SUNGAI TENGAH</t>
  </si>
  <si>
    <t>LINGGANG BIGUNG|KUTAI BARAT</t>
  </si>
  <si>
    <t>LOA JANAN ILIR|KOTA SAMARINDA</t>
  </si>
  <si>
    <t>PT-SAMARINDA</t>
  </si>
  <si>
    <t>LOA JANAN|KUTAI KARTANEGARA</t>
  </si>
  <si>
    <t>LOA KULU|KUTAI KARTANEGARA</t>
  </si>
  <si>
    <t>LOKPAIKAT|TAPIN</t>
  </si>
  <si>
    <t>LOKSADO|HULU SUNGAI SELATAN</t>
  </si>
  <si>
    <t>LONG APARI|MAHAKAM ULU</t>
  </si>
  <si>
    <t>LONG BAGUN|MAHAKAM ULU</t>
  </si>
  <si>
    <t>LONG HUBUNG|MAHAKAM ULU</t>
  </si>
  <si>
    <t>LONG IKIS|PASER</t>
  </si>
  <si>
    <t>LONG IRAM|KUTAI BARAT</t>
  </si>
  <si>
    <t>LONG KALI|PASER</t>
  </si>
  <si>
    <t>LONG MESANGAT|KUTAI TIMUR</t>
  </si>
  <si>
    <t>LONG PAHANGAI|MAHAKAM ULU</t>
  </si>
  <si>
    <t>LUMBIS|NUNUKAN</t>
  </si>
  <si>
    <t>MALIKU|PULANG PISAU</t>
  </si>
  <si>
    <t>MALINAU BARAT|MALINAU</t>
  </si>
  <si>
    <t>MALINAU KOTA|MALINAU</t>
  </si>
  <si>
    <t>MALINAU SELATAN HILIR|MALINAU</t>
  </si>
  <si>
    <t>MALINAU SELATAN HULU|MALINAU</t>
  </si>
  <si>
    <t>MALINAU SELATAN|MALINAU</t>
  </si>
  <si>
    <t>MALINAU UTARA|MALINAU</t>
  </si>
  <si>
    <t>MANDASTANA|BARITO KUALA</t>
  </si>
  <si>
    <t>MANDAU TALAWANG|KAPUAS</t>
  </si>
  <si>
    <t>MANDOR|LANDAK</t>
  </si>
  <si>
    <t>PT-MANDOR</t>
  </si>
  <si>
    <t>MANIS MATA|KETAPANG</t>
  </si>
  <si>
    <t>MANTANGAI|KAPUAS</t>
  </si>
  <si>
    <t>MANTEWE|TANAH BUMBU</t>
  </si>
  <si>
    <t>MANUHING RAYA|GUNUNG MAS</t>
  </si>
  <si>
    <t>MANUHING|GUNUNG MAS</t>
  </si>
  <si>
    <t>MARABAHAN|BARITO KUALA</t>
  </si>
  <si>
    <t>MARANG KAYU|KUTAI KARTANEGARA</t>
  </si>
  <si>
    <t>MARAU|KETAPANG</t>
  </si>
  <si>
    <t>MARTAPURA BARAT|BANJAR</t>
  </si>
  <si>
    <t>MARTAPURA TIMUR|BANJAR</t>
  </si>
  <si>
    <t>MARTAPURA|BANJAR</t>
  </si>
  <si>
    <t>MATAN HILIR SELATAN|KETAPANG</t>
  </si>
  <si>
    <t>MATAN HILIR UTARA|KETAPANG</t>
  </si>
  <si>
    <t>PT-MUARA PAWAN</t>
  </si>
  <si>
    <t>MATARAMAN|BANJAR</t>
  </si>
  <si>
    <t>MEKAR SARI|BARITO KUALA</t>
  </si>
  <si>
    <t>MELAK|KUTAI BARAT</t>
  </si>
  <si>
    <t>MELIAU|SANGGAU</t>
  </si>
  <si>
    <t>PT-MELIAU</t>
  </si>
  <si>
    <t>MEMPAWAH HILIR|MEMPAWAH</t>
  </si>
  <si>
    <t>MEMPAWAH HULU|LANDAK</t>
  </si>
  <si>
    <t>MEMPAWAH TIMUR|MEMPAWAH</t>
  </si>
  <si>
    <t>MENDAWAI|KATINGAN</t>
  </si>
  <si>
    <t>MENJALIN|LANDAK</t>
  </si>
  <si>
    <t>MENTARANG HULU|MALINAU</t>
  </si>
  <si>
    <t>MENTARANG|MALINAU</t>
  </si>
  <si>
    <t>MENTAWA BARU KETAPANG|KOTAWARINGIN TIMUR</t>
  </si>
  <si>
    <t>MENTAYA HILIR SELATAN|KOTAWARINGIN TIMUR</t>
  </si>
  <si>
    <t>MENTAYA HILIR UTARA|KOTAWARINGIN TIMUR</t>
  </si>
  <si>
    <t>MENTAYA HULU|KOTAWARINGIN TIMUR</t>
  </si>
  <si>
    <t>MENTEBAH|KAPUAS HULU</t>
  </si>
  <si>
    <t>MENTHOBI RAYA|LAMANDAU</t>
  </si>
  <si>
    <t>MENUKUNG|MELAWI</t>
  </si>
  <si>
    <t>MENYUKE|LANDAK</t>
  </si>
  <si>
    <t>MIHING RAYA|GUNUNG MAS</t>
  </si>
  <si>
    <t>MONTALLAT|BARITO UTARA</t>
  </si>
  <si>
    <t>MOOK MANAAR BULATN|KUTAI BARAT</t>
  </si>
  <si>
    <t>MUARA ANCALONG|KUTAI TIMUR</t>
  </si>
  <si>
    <t>MUARA BADAK|KUTAI KARTANEGARA</t>
  </si>
  <si>
    <t>MUARA BENGKAL|KUTAI TIMUR</t>
  </si>
  <si>
    <t>MUARA HARUS|TABALONG</t>
  </si>
  <si>
    <t>MUARA JAWA|KUTAI KARTANEGARA</t>
  </si>
  <si>
    <t>PT-SAMBOJA</t>
  </si>
  <si>
    <t>MUARA KAMAN|KUTAI KARTANEGARA</t>
  </si>
  <si>
    <t>PT-SEBULU</t>
  </si>
  <si>
    <t>MUARA KOMAM|PASER</t>
  </si>
  <si>
    <t>MUARA LAWA|KUTAI BARAT</t>
  </si>
  <si>
    <t>MUARA MUNTAI|KUTAI KARTANEGARA</t>
  </si>
  <si>
    <t>MUARA PAHU|KUTAI BARAT</t>
  </si>
  <si>
    <t>MUARA PAWAN|KETAPANG</t>
  </si>
  <si>
    <t>MUARA SAMU|PASER</t>
  </si>
  <si>
    <t>MUARA UYA|TABALONG</t>
  </si>
  <si>
    <t>MUARA WAHAU|KUTAI TIMUR</t>
  </si>
  <si>
    <t>MUARA WIS|KUTAI KARTANEGARA</t>
  </si>
  <si>
    <t>MUKOK|SANGGAU</t>
  </si>
  <si>
    <t>MURUNG PUDAK|TABALONG</t>
  </si>
  <si>
    <t>MURUNG|MURUNG RAYA</t>
  </si>
  <si>
    <t>NANGA MAHAP|SEKADAU</t>
  </si>
  <si>
    <t>PT-SEKADAU</t>
  </si>
  <si>
    <t>NANGA PINOH|MELAWI</t>
  </si>
  <si>
    <t>NANGA TAMAN|SEKADAU</t>
  </si>
  <si>
    <t>NANGA TAYAP|KETAPANG</t>
  </si>
  <si>
    <t>NGABANG|LANDAK</t>
  </si>
  <si>
    <t>NOYAN|SANGGAU</t>
  </si>
  <si>
    <t>NUNUKAN SELATAN|NUNUKAN</t>
  </si>
  <si>
    <t>NUNUKAN|NUNUKAN</t>
  </si>
  <si>
    <t>NYUATAN|KUTAI BARAT</t>
  </si>
  <si>
    <t>PADANG BATUNG|HULU SUNGAI SELATAN</t>
  </si>
  <si>
    <t>PAHANDUT|KOTA PALANGKARAYA</t>
  </si>
  <si>
    <t>PAJU EPAT|BARITO TIMUR</t>
  </si>
  <si>
    <t>PAKU|BARITO TIMUR</t>
  </si>
  <si>
    <t>PALARAN|KOTA SAMARINDA</t>
  </si>
  <si>
    <t>PALOH|SAMBAS</t>
  </si>
  <si>
    <t>PAMUKAN BARAT|KOTABARU</t>
  </si>
  <si>
    <t>PAMUKAN SELATAN|KOTABARU</t>
  </si>
  <si>
    <t>PAMUKAN UTARA|KOTABARU</t>
  </si>
  <si>
    <t>PANDAWAN|HULU SUNGAI TENGAH</t>
  </si>
  <si>
    <t>PANDIH BATU|PULANG PISAU</t>
  </si>
  <si>
    <t>PANGKALAN BANTENG|KOTAWARINGIN BARAT</t>
  </si>
  <si>
    <t>PANGKALAN LADA|KOTAWARINGIN BARAT</t>
  </si>
  <si>
    <t>PANTAI LUNCI|SUKAMARA</t>
  </si>
  <si>
    <t>PANYIPATAN|TANAH LAUT</t>
  </si>
  <si>
    <t>PARAMASAN|BANJAR</t>
  </si>
  <si>
    <t>PARENGGEAN|KOTAWARINGIN TIMUR</t>
  </si>
  <si>
    <t>PARINDU|SANGGAU</t>
  </si>
  <si>
    <t>PARINGIN SELATAN|BALANGAN</t>
  </si>
  <si>
    <t>PARINGIN|BALANGAN</t>
  </si>
  <si>
    <t>PASAK TALAWANG|KAPUAS</t>
  </si>
  <si>
    <t>PASER BELENGKONG|PASER</t>
  </si>
  <si>
    <t>PATANGKEP TUTUI|BARITO TIMUR</t>
  </si>
  <si>
    <t>PELAIHARI|TANAH LAUT</t>
  </si>
  <si>
    <t>PEMAHAN|KETAPANG</t>
  </si>
  <si>
    <t>PEMANGKAT|SAMBAS</t>
  </si>
  <si>
    <t>PT-PEMANGKAT</t>
  </si>
  <si>
    <t>PEMATANG KARAU|BARITO TIMUR</t>
  </si>
  <si>
    <t>PENAJAM|PENAJAM PASER UTARA</t>
  </si>
  <si>
    <t>PENGARON|BANJAR</t>
  </si>
  <si>
    <t>PENGKADAN|KAPUAS HULU</t>
  </si>
  <si>
    <t>PENYINGGAHAN|KUTAI BARAT</t>
  </si>
  <si>
    <t>PERMATA INTAN|MURUNG RAYA</t>
  </si>
  <si>
    <t>PERMATA KECUBUNG|SUKAMARA</t>
  </si>
  <si>
    <t>PIANI|TAPIN</t>
  </si>
  <si>
    <t>PINOH UTARA|MELAWI</t>
  </si>
  <si>
    <t>PONTIANAK BARAT|KOTA PONTIANAK</t>
  </si>
  <si>
    <t>PT-PONTIANAK</t>
  </si>
  <si>
    <t>PONTIANAK KOTA|KOTA PONTIANAK</t>
  </si>
  <si>
    <t>PONTIANAK SELATAN|KOTA PONTIANAK</t>
  </si>
  <si>
    <t>PONTIANAK TENGGARA|KOTA PONTIANAK</t>
  </si>
  <si>
    <t>PONTIANAK TIMUR|KOTA PONTIANAK</t>
  </si>
  <si>
    <t>PONTIANAK UTARA|KOTA PONTIANAK</t>
  </si>
  <si>
    <t>PUGAAN|TABALONG</t>
  </si>
  <si>
    <t>PUJUNGAN|MALINAU</t>
  </si>
  <si>
    <t>PULAU DERAWAN|BERAU</t>
  </si>
  <si>
    <t>PULAU HANAUT|KOTAWARINGIN TIMUR</t>
  </si>
  <si>
    <t>PULAU LAUT BARAT|KOTABARU</t>
  </si>
  <si>
    <t>PT-PULAU LAUT UTARA</t>
  </si>
  <si>
    <t>PULAU LAUT KEPULAUAN|KOTABARU</t>
  </si>
  <si>
    <t>PULAU LAUT SELATAN|KOTABARU</t>
  </si>
  <si>
    <t>PULAU LAUT TANJUNG SELAYAR|KOTABARU</t>
  </si>
  <si>
    <t>PULAU LAUT TENGAH|KOTABARU</t>
  </si>
  <si>
    <t>PULAU LAUT TIMUR|KOTABARU</t>
  </si>
  <si>
    <t>PULAU LAUT UTARA|KOTABARU</t>
  </si>
  <si>
    <t>PULAU MALAN|KATINGAN</t>
  </si>
  <si>
    <t>PULAU MAYA|KAYONG UTARA</t>
  </si>
  <si>
    <t>PT-KAYONG UTARA</t>
  </si>
  <si>
    <t>PULAU PETAK|KAPUAS</t>
  </si>
  <si>
    <t>PULAU SEBUKU|KOTABARU</t>
  </si>
  <si>
    <t>PUTUSSIBAU SELATAN|KAPUAS HULU</t>
  </si>
  <si>
    <t>PUTUSSIBAU UTARA|KAPUAS HULU</t>
  </si>
  <si>
    <t>RANTAU BADAUH|BARITO KUALA</t>
  </si>
  <si>
    <t>RANTAU PULUNG|KUTAI TIMUR</t>
  </si>
  <si>
    <t>RAREN BATUAH|BARITO TIMUR</t>
  </si>
  <si>
    <t>RASAU JAYA|KUBU RAYA</t>
  </si>
  <si>
    <t>RUNGAN|GUNUNG MAS</t>
  </si>
  <si>
    <t>SABANGAU|KOTA PALANGKARAYA</t>
  </si>
  <si>
    <t>SAJAD|SAMBAS</t>
  </si>
  <si>
    <t>SAJINGAN BESAR|SAMBAS</t>
  </si>
  <si>
    <t>SALAM BABARIS|TAPIN</t>
  </si>
  <si>
    <t>SALATIGA|SAMBAS</t>
  </si>
  <si>
    <t>SAMARINDA ILIR|KOTA SAMARINDA</t>
  </si>
  <si>
    <t>SAMARINDA KOTA|KOTA SAMARINDA</t>
  </si>
  <si>
    <t>SAMARINDA SEBERANG|KOTA SAMARINDA</t>
  </si>
  <si>
    <t>SAMARINDA ULU|KOTA SAMARINDA</t>
  </si>
  <si>
    <t>SAMARINDA UTARA|KOTA SAMARINDA</t>
  </si>
  <si>
    <t>SAMBALIUNG|BERAU</t>
  </si>
  <si>
    <t>SAMBAS|SAMBAS</t>
  </si>
  <si>
    <t>SAMBOJA|KUTAI KARTANEGARA</t>
  </si>
  <si>
    <t>SAMBUNG MAKMUR|BANJAR</t>
  </si>
  <si>
    <t>SAMBUTAN|KOTA SAMARINDA</t>
  </si>
  <si>
    <t>SAMPANAHAN|KOTABARU</t>
  </si>
  <si>
    <t>SANAMAN MANTIKEI|KATINGAN</t>
  </si>
  <si>
    <t>SANDAI|KETAPANG</t>
  </si>
  <si>
    <t>SANDARAN|KUTAI TIMUR</t>
  </si>
  <si>
    <t>SANGASANGA|KUTAI KARTANEGARA</t>
  </si>
  <si>
    <t>SANGATTA SELATAN|KUTAI TIMUR</t>
  </si>
  <si>
    <t>SANGATTA UTARA|KUTAI TIMUR</t>
  </si>
  <si>
    <t>SANGKULIRANG|KUTAI TIMUR</t>
  </si>
  <si>
    <t>SATUI|TANAH BUMBU</t>
  </si>
  <si>
    <t>SEBANGKI|LANDAK</t>
  </si>
  <si>
    <t>SEBATIK BARAT|NUNUKAN</t>
  </si>
  <si>
    <t>SEBATIK TIMUR|NUNUKAN</t>
  </si>
  <si>
    <t>SEBATIK UTARA|NUNUKAN</t>
  </si>
  <si>
    <t>SEBATIK|NUNUKAN</t>
  </si>
  <si>
    <t>SEBAWI|SAMBAS</t>
  </si>
  <si>
    <t>SEBERUANG|KAPUAS HULU</t>
  </si>
  <si>
    <t>SEBUKU|NUNUKAN</t>
  </si>
  <si>
    <t>SEBULU|KUTAI KARTANEGARA</t>
  </si>
  <si>
    <t>SEGAH|BERAU</t>
  </si>
  <si>
    <t>SEGEDONG|MEMPAWAH</t>
  </si>
  <si>
    <t>SEJANGKUNG|SAMBAS</t>
  </si>
  <si>
    <t>SEKADAU HILIR|SEKADAU</t>
  </si>
  <si>
    <t>SEKADAU HULU|SEKADAU</t>
  </si>
  <si>
    <t>SEKAYAM|SANGGAU</t>
  </si>
  <si>
    <t>SEKOLAQ DARAT|KUTAI BARAT</t>
  </si>
  <si>
    <t>SELAKAU TIMUR|SAMBAS</t>
  </si>
  <si>
    <t>SELAKAU|SAMBAS</t>
  </si>
  <si>
    <t>SELAT|KAPUAS</t>
  </si>
  <si>
    <t>SELIMBAU|KAPUAS HULU</t>
  </si>
  <si>
    <t>SEMATU JAYA|LAMANDAU</t>
  </si>
  <si>
    <t>SEMBAKUNG ATULAI|NUNUKAN</t>
  </si>
  <si>
    <t>SEMBAKUNG|NUNUKAN</t>
  </si>
  <si>
    <t>SEMITAU|KAPUAS HULU</t>
  </si>
  <si>
    <t>SEMPARUK|SAMBAS</t>
  </si>
  <si>
    <t>SENGAH TEMILA|LANDAK</t>
  </si>
  <si>
    <t>SEPAKU|PENAJAM PASER UTARA</t>
  </si>
  <si>
    <t>SEPANG SIMIN|GUNUNG MAS</t>
  </si>
  <si>
    <t>SEPAUK|SINTANG</t>
  </si>
  <si>
    <t>SEPONTI|KAYONG UTARA</t>
  </si>
  <si>
    <t>SERANAU|KOTAWARINGIN TIMUR</t>
  </si>
  <si>
    <t>SERAWAI|SINTANG</t>
  </si>
  <si>
    <t>SERIBU RIAM|MURUNG RAYA</t>
  </si>
  <si>
    <t>SERUYAN HILIR TIMUR|SERUYAN</t>
  </si>
  <si>
    <t>SERUYAN HILIR|SERUYAN</t>
  </si>
  <si>
    <t>SERUYAN RAYA|SERUYAN</t>
  </si>
  <si>
    <t>SERUYAN TENGAH|SERUYAN</t>
  </si>
  <si>
    <t>SESAYAP HILIR|TANA TIDUNG</t>
  </si>
  <si>
    <t>SESAYAP|TANA TIDUNG</t>
  </si>
  <si>
    <t>SIANTAN|MEMPAWAH</t>
  </si>
  <si>
    <t>SILAT HILIR|KAPUAS HULU</t>
  </si>
  <si>
    <t>PT-SILAT HILIR</t>
  </si>
  <si>
    <t>SILAT HULU|KAPUAS HULU</t>
  </si>
  <si>
    <t>SILUQ NGURAI|KUTAI BARAT</t>
  </si>
  <si>
    <t>SIMPANG EMPAT|BANJAR</t>
  </si>
  <si>
    <t>SIMPANG EMPAT|TANAH BUMBU</t>
  </si>
  <si>
    <t>SIMPANG HILIR|KAYONG UTARA</t>
  </si>
  <si>
    <t>SIMPANG HULU|KETAPANG</t>
  </si>
  <si>
    <t>SIMPUR|HULU SUNGAI SELATAN</t>
  </si>
  <si>
    <t>SINGKAWANG BARAT|KOTA SINGKAWANG</t>
  </si>
  <si>
    <t>PT-SINGKAWANG</t>
  </si>
  <si>
    <t>SINGKAWANG SELATAN|KOTA SINGKAWANG</t>
  </si>
  <si>
    <t>SINGKAWANG TENGAH|KOTA SINGKAWANG</t>
  </si>
  <si>
    <t>SINGKAWANG TIMUR|KOTA SINGKAWANG</t>
  </si>
  <si>
    <t>SINGKAWANG UTARA|KOTA SINGKAWANG</t>
  </si>
  <si>
    <t>SINGKUP|KETAPANG</t>
  </si>
  <si>
    <t>SINTANG|SINTANG</t>
  </si>
  <si>
    <t>SUBAH|SAMBAS</t>
  </si>
  <si>
    <t>SUHAID|KAPUAS HULU</t>
  </si>
  <si>
    <t>SUKADANA|KAYONG UTARA</t>
  </si>
  <si>
    <t>SUKAMARA|SUKAMARA</t>
  </si>
  <si>
    <t>SUNGAI AMBAWANG|KUBU RAYA</t>
  </si>
  <si>
    <t>SUNGAI BOH|MALINAU</t>
  </si>
  <si>
    <t>SUNGAI DURIAN|KOTABARU</t>
  </si>
  <si>
    <t>SUNGAI KAKAP|KUBU RAYA</t>
  </si>
  <si>
    <t>SUNGAI KUNJANG|KOTA SAMARINDA</t>
  </si>
  <si>
    <t>SUNGAI KUNYIT|MEMPAWAH</t>
  </si>
  <si>
    <t>SUNGAI LAUR|KETAPANG</t>
  </si>
  <si>
    <t>SUNGAI LOBAN|TANAH BUMBU</t>
  </si>
  <si>
    <t>SUNGAI MELAYU RAYAK|KETAPANG</t>
  </si>
  <si>
    <t>SUNGAI PANDAN|HULU SUNGAI UTARA</t>
  </si>
  <si>
    <t>SUNGAI PINANG|BANJAR</t>
  </si>
  <si>
    <t>SUNGAI PINANG|KOTA SAMARINDA</t>
  </si>
  <si>
    <t>SUNGAI PINYUH|MEMPAWAH</t>
  </si>
  <si>
    <t>SUNGAI RAYA|HULU SUNGAI SELATAN</t>
  </si>
  <si>
    <t>SUNGAI RAYA|KUBU RAYA</t>
  </si>
  <si>
    <t>SUNGAI TABUK|BANJAR</t>
  </si>
  <si>
    <t>SUNGAI TABUKAN|HULU SUNGAI UTARA</t>
  </si>
  <si>
    <t>SUNGAI TEBELIAN|SINTANG</t>
  </si>
  <si>
    <t>SUNGAI TUBU|MALINAU</t>
  </si>
  <si>
    <t>TABALAR|BERAU</t>
  </si>
  <si>
    <t>TABANG|KUTAI KARTANEGARA</t>
  </si>
  <si>
    <t>TABUKAN|BARITO KUALA</t>
  </si>
  <si>
    <t>TABUNGANEN|BARITO KUALA</t>
  </si>
  <si>
    <t>TAKISUNG|TANAH LAUT</t>
  </si>
  <si>
    <t>TALISAYAN|BERAU</t>
  </si>
  <si>
    <t>TAMBAN CATUR|KAPUAS</t>
  </si>
  <si>
    <t>TAMBAN|BARITO KUALA</t>
  </si>
  <si>
    <t>TAMBANG ULANG|TANAH LAUT</t>
  </si>
  <si>
    <t>TANA LIA|TANA TIDUNG</t>
  </si>
  <si>
    <t>TANAH GROGOT|PASER</t>
  </si>
  <si>
    <t>TANAH SIANG SELATAN|MURUNG RAYA</t>
  </si>
  <si>
    <t>TANAH SIANG|MURUNG RAYA</t>
  </si>
  <si>
    <t>TANGARAN|SAMBAS</t>
  </si>
  <si>
    <t>TANJUNG HARAPAN|PASER</t>
  </si>
  <si>
    <t>TANJUNG PALAS TENGAH|BULUNGAN</t>
  </si>
  <si>
    <t>TANJUNG PALAS TIMUR|BULUNGAN</t>
  </si>
  <si>
    <t>TANJUNG PALAS UTARA|BULUNGAN</t>
  </si>
  <si>
    <t>TANJUNG PALAS|BULUNGAN</t>
  </si>
  <si>
    <t>TANJUNG REDEB|BERAU</t>
  </si>
  <si>
    <t>TANJUNG SELOR|BULUNGAN</t>
  </si>
  <si>
    <t>TANJUNG|TABALONG</t>
  </si>
  <si>
    <t>TANTA|TABALONG</t>
  </si>
  <si>
    <t>TAPIN SELATAN|TAPIN</t>
  </si>
  <si>
    <t>TAPIN TENGAH|TAPIN</t>
  </si>
  <si>
    <t>TAPIN UTARA|TAPIN</t>
  </si>
  <si>
    <t>TARAKAN BARAT|KOTA TARAKAN</t>
  </si>
  <si>
    <t>PT-TARAKAN BARAT</t>
  </si>
  <si>
    <t>TARAKAN TENGAH|KOTA TARAKAN</t>
  </si>
  <si>
    <t>TARAKAN TIMUR|KOTA TARAKAN</t>
  </si>
  <si>
    <t>TARAKAN UTARA|KOTA TARAKAN</t>
  </si>
  <si>
    <t>TASIK PAYAWAN|KATINGAN</t>
  </si>
  <si>
    <t>TATAH MAKMUR|BANJAR</t>
  </si>
  <si>
    <t>TAYAN HILIR|SANGGAU</t>
  </si>
  <si>
    <t>TAYAN HULU|SANGGAU</t>
  </si>
  <si>
    <t>TEBAS|SAMBAS</t>
  </si>
  <si>
    <t>TEBING TINGGI|BALANGAN</t>
  </si>
  <si>
    <t>TEKARANG|SAMBAS</t>
  </si>
  <si>
    <t>TELAGA ANTANG|KOTAWARINGIN TIMUR</t>
  </si>
  <si>
    <t>TELAGA BAUNTUNG|BANJAR</t>
  </si>
  <si>
    <t>TELAGA LANGSAT|HULU SUNGAI SELATAN</t>
  </si>
  <si>
    <t>TELAWANG|KOTAWARINGIN TIMUR</t>
  </si>
  <si>
    <t>TELEN|KUTAI TIMUR</t>
  </si>
  <si>
    <t>TELUK BATANG|KAYONG UTARA</t>
  </si>
  <si>
    <t>TELUK BAYUR|BERAU</t>
  </si>
  <si>
    <t>TELUK KERAMAT|SAMBAS</t>
  </si>
  <si>
    <t>TELUK PAKEDAI|KUBU RAYA</t>
  </si>
  <si>
    <t>TELUK PANDAN|KUTAI TIMUR</t>
  </si>
  <si>
    <t>TELUK SAMPIT|KOTAWARINGIN TIMUR</t>
  </si>
  <si>
    <t>TEMPUNAK|SINTANG</t>
  </si>
  <si>
    <t>TENGGARONG SEBERANG|KUTAI KARTANEGARA</t>
  </si>
  <si>
    <t>TENGGARONG|KUTAI KARTANEGARA</t>
  </si>
  <si>
    <t>TERENTANG|KUBU RAYA</t>
  </si>
  <si>
    <t>TERING|KUTAI BARAT</t>
  </si>
  <si>
    <t>TEWAH|GUNUNG MAS</t>
  </si>
  <si>
    <t>TEWANG SANGALANG GARING|KATINGAN</t>
  </si>
  <si>
    <t>TEWEH BARU|BARITO UTARA</t>
  </si>
  <si>
    <t>TEWEH SELATAN|BARITO UTARA</t>
  </si>
  <si>
    <t>TEWEH TENGAH|BARITO UTARA</t>
  </si>
  <si>
    <t>TEWEH TIMUR|BARITO UTARA</t>
  </si>
  <si>
    <t>TOBA|SANGGAU</t>
  </si>
  <si>
    <t>TOHO|MEMPAWAH</t>
  </si>
  <si>
    <t>TUALAN HULU|KOTAWARINGIN TIMUR</t>
  </si>
  <si>
    <t>TULIN ONSOI|NUNUKAN</t>
  </si>
  <si>
    <t>TUMBANG TITI|KETAPANG</t>
  </si>
  <si>
    <t>UPAU|TABALONG</t>
  </si>
  <si>
    <t>WANARAYA|BARITO KUALA</t>
  </si>
  <si>
    <t>WARU|PENAJAM PASER UTARA</t>
  </si>
  <si>
    <t>SEKATAK|BULUNGAN</t>
  </si>
  <si>
    <t>RGUGA TRADE MTD</t>
  </si>
  <si>
    <t>RGUGA TRADE LMTD</t>
  </si>
  <si>
    <t>RGUGA FWA ALL CHANNEL</t>
  </si>
  <si>
    <t>Total</t>
  </si>
  <si>
    <t>HAMPANG|KOTABARU</t>
  </si>
  <si>
    <t>LAMANDAU|LAMANDAU</t>
  </si>
  <si>
    <t>MURUK RIAN|TANA TIDUNG</t>
  </si>
  <si>
    <t>BIDUK BIDUK|BERAU</t>
  </si>
  <si>
    <t>BUKIT SANTUAI|KOTAWARINGIN TIMUR</t>
  </si>
  <si>
    <t>DAMANG BATU|GUNUNG MAS</t>
  </si>
  <si>
    <t>KAYAN HILIR|MALINAU</t>
  </si>
  <si>
    <t>MARATUA|BERAU</t>
  </si>
  <si>
    <t>TANJUNG PALAS BARAT|BULUNGAN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</si>
</sst>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>
    <font>
      <sz val="11"/>
      <color theme="1"/>
      <name val="Calibri"/>
      <family val="2"/>
      <scheme val="minor"/>
    </font>
    <font>
      <sz val="14"/>
      <color indexed="8"/>
      <name val="Century Gothic"/>
      <family val="2"/>
    </font>
    <font>
      <sz val="14"/>
      <color theme="1"/>
      <name val="Calibri"/>
      <family val="2"/>
      <scheme val="minor"/>
    </font>
    <font>
      <b/>
      <sz val="14"/>
      <color indexed="9"/>
      <name val="Century Gothic"/>
      <family val="2"/>
    </font>
    <font>
      <sz val="11"/>
      <color theme="1"/>
      <name val="Calibri"/>
      <family val="2"/>
      <scheme val="minor"/>
    </font>
    <font>
      <sz val="11"/>
      <color indexed="8"/>
      <name val="Century Gothic"/>
      <family val="2"/>
    </font>
    <font>
      <sz val="14"/>
      <color theme="1"/>
      <name val="Century Gothic"/>
      <family val="2"/>
    </font>
    <font>
      <b/>
      <sz val="11"/>
      <name val="Calibri"/>
    </font>
    <font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95959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/>
      <bottom/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0" fontId="8" fillId="0" borderId="0"/>
  </cellStyleXfs>
  <cellXfs count="17">
    <xf numFmtId="0" fontId="0" fillId="0" borderId="0" xfId="0"/>
    <xf numFmtId="0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vertical="center"/>
    </xf>
    <xf numFmtId="0" fontId="3" fillId="4" borderId="1" xfId="0" applyNumberFormat="1" applyFont="1" applyFill="1" applyBorder="1" applyAlignment="1" applyProtection="1">
      <alignment horizontal="center" vertical="center"/>
    </xf>
    <xf numFmtId="3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horizontal="center" vertical="center"/>
    </xf>
    <xf numFmtId="3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vertical="top"/>
    </xf>
    <xf numFmtId="10" fontId="1" fillId="3" borderId="1" xfId="1" applyNumberFormat="1" applyFont="1" applyFill="1" applyBorder="1" applyAlignment="1" applyProtection="1">
      <alignment horizontal="center" vertical="center"/>
    </xf>
    <xf numFmtId="0" fontId="5" fillId="3" borderId="3" xfId="0" applyNumberFormat="1" applyFont="1" applyFill="1" applyBorder="1" applyAlignment="1" applyProtection="1">
      <alignment horizontal="right" vertical="center" inden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/>
    </xf>
    <xf numFmtId="0" fontId="7" fillId="0" borderId="0" xfId="0" applyFont="1" applyAlignment="1">
      <alignment vertical="top"/>
    </xf>
    <xf numFmtId="0" fontId="0" fillId="0" borderId="4" xfId="0" applyBorder="1" applyAlignment="1"/>
    <xf numFmtId="0" fontId="7" fillId="0" borderId="0" xfId="0" applyFont="1"/>
    <xf numFmtId="0" fontId="0" fillId="0" borderId="2" xfId="0" applyBorder="1"/>
    <xf numFmtId="0" fontId="0" fillId="0" borderId="4" xfId="0" applyBorder="1"/>
  </cellXfs>
  <cellStyles count="3">
    <cellStyle name="Normal" xfId="0" builtinId="0"/>
    <cellStyle name="Normal 2" xfId="2"/>
    <cellStyle name="Percent" xfId="1" builtinId="5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W22"/>
  <sheetViews>
    <sheetView zoomScale="44" workbookViewId="0">
      <pane xSplit="1" ySplit="5" topLeftCell="Q18" activePane="bottomRight" state="frozen"/>
      <selection pane="topRight" activeCell="B1" sqref="B1"/>
      <selection pane="bottomLeft" activeCell="A6" sqref="A6"/>
      <selection pane="bottomRight" activeCell="A5" sqref="A5:W22"/>
    </sheetView>
  </sheetViews>
  <sheetFormatPr defaultColWidth="11.7265625" defaultRowHeight="64.5" customHeight="1"/>
  <cols>
    <col min="1" max="1" width="60.6328125" style="2" bestFit="1" customWidth="1"/>
    <col min="2" max="2" width="29.54296875" style="5" bestFit="1" customWidth="1"/>
    <col min="3" max="17" width="40.7265625" style="5" customWidth="1"/>
    <col min="18" max="20" width="40.7265625" style="2" customWidth="1"/>
    <col min="21" max="23" width="40.7265625" style="5" customWidth="1"/>
    <col min="24" max="25" width="34.90625" style="2" customWidth="1"/>
    <col min="26" max="16384" width="11.7265625" style="2"/>
  </cols>
  <sheetData>
    <row r="4" spans="1:23" ht="64.5" customHeight="1"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</row>
    <row r="5" spans="1:23" ht="64.5" customHeight="1">
      <c r="A5" s="3" t="s">
        <v>0</v>
      </c>
      <c r="B5" s="3" t="s">
        <v>15</v>
      </c>
      <c r="C5" s="3" t="s">
        <v>18</v>
      </c>
      <c r="D5" s="3" t="s">
        <v>23</v>
      </c>
      <c r="E5" s="3" t="s">
        <v>33</v>
      </c>
      <c r="F5" s="3" t="s">
        <v>19</v>
      </c>
      <c r="G5" s="3" t="s">
        <v>24</v>
      </c>
      <c r="H5" s="3" t="s">
        <v>33</v>
      </c>
      <c r="I5" s="3" t="s">
        <v>20</v>
      </c>
      <c r="J5" s="3" t="s">
        <v>25</v>
      </c>
      <c r="K5" s="3" t="s">
        <v>33</v>
      </c>
      <c r="L5" s="3" t="s">
        <v>21</v>
      </c>
      <c r="M5" s="3" t="s">
        <v>26</v>
      </c>
      <c r="N5" s="3" t="s">
        <v>33</v>
      </c>
      <c r="O5" s="3" t="s">
        <v>22</v>
      </c>
      <c r="P5" s="3" t="s">
        <v>27</v>
      </c>
      <c r="Q5" s="3" t="s">
        <v>33</v>
      </c>
      <c r="R5" s="3" t="s">
        <v>28</v>
      </c>
      <c r="S5" s="3" t="s">
        <v>29</v>
      </c>
      <c r="T5" s="3" t="s">
        <v>33</v>
      </c>
      <c r="U5" s="3" t="s">
        <v>662</v>
      </c>
      <c r="V5" s="3" t="s">
        <v>663</v>
      </c>
      <c r="W5" s="3" t="s">
        <v>33</v>
      </c>
    </row>
    <row r="6" spans="1:23" ht="64.5" customHeight="1">
      <c r="A6" s="9" t="s">
        <v>1</v>
      </c>
      <c r="B6" s="1" t="s">
        <v>16</v>
      </c>
      <c r="C6" s="4">
        <f>IFERROR(VLOOKUP($A:$A,MASTER!$A:$T,3,0),0)</f>
        <v>290744440.20768487</v>
      </c>
      <c r="D6" s="4">
        <f>IFERROR(VLOOKUP($A:$A,MASTER!$A:$T,4,0),0)</f>
        <v>281823501.23799759</v>
      </c>
      <c r="E6" s="8">
        <f>IFERROR(C6/D6-1,0)</f>
        <v>3.1654347243928571E-2</v>
      </c>
      <c r="F6" s="4">
        <f>IFERROR(VLOOKUP(A:A,MASTER!A:E,5,0),0)</f>
        <v>558108.10810811096</v>
      </c>
      <c r="G6" s="4">
        <f>IFERROR(VLOOKUP(A:A,MASTER!A:F,6,0),0)</f>
        <v>1419819.8198198241</v>
      </c>
      <c r="H6" s="8">
        <f>IFERROR(F6/G6-1,0)</f>
        <v>-0.60691624365482144</v>
      </c>
      <c r="I6" s="4">
        <f>IFERROR(VLOOKUP(A:A,MASTER!A:M,13,0),0)</f>
        <v>26482432.432432432</v>
      </c>
      <c r="J6" s="4">
        <f>IFERROR(VLOOKUP($A:$A,MASTER!$A:$T,14,0),0)</f>
        <v>34351981.981981978</v>
      </c>
      <c r="K6" s="8">
        <f>IFERROR(I6/J6-1,0)</f>
        <v>-0.22908574980265239</v>
      </c>
      <c r="L6" s="4">
        <f>IFERROR(VLOOKUP($A:$A,MASTER!$A:$T,15,0),0)</f>
        <v>135166259.45945945</v>
      </c>
      <c r="M6" s="4">
        <f>IFERROR(VLOOKUP($A:$A,MASTER!$A:$T,16,0),0)</f>
        <v>134809468.46846846</v>
      </c>
      <c r="N6" s="8">
        <f>IFERROR(L6/M6-1,0)</f>
        <v>2.6466315388999906E-3</v>
      </c>
      <c r="O6" s="4">
        <f>IFERROR(VLOOKUP($A:$A,MASTER!$A:$T,17,0),0)</f>
        <v>27420540.540540542</v>
      </c>
      <c r="P6" s="4">
        <f>IFERROR(VLOOKUP($A:$A,MASTER!$A:$T,18,0),0)</f>
        <v>32096036.036036033</v>
      </c>
      <c r="Q6" s="8">
        <f>IFERROR(O6/P6-1,0)</f>
        <v>-0.14567205402704708</v>
      </c>
      <c r="R6" s="4">
        <f>IFERROR(VLOOKUP($A:$A,MASTER!$A:$T,19,0),0)</f>
        <v>7309</v>
      </c>
      <c r="S6" s="4">
        <f>IFERROR(VLOOKUP($A:$A,MASTER!$A:$T,20,0),0)</f>
        <v>8349</v>
      </c>
      <c r="T6" s="8">
        <f>IFERROR(R6/S6-1,0)</f>
        <v>-0.12456581626542096</v>
      </c>
      <c r="U6" s="11">
        <f>IFERROR(VLOOKUP(A:A,MASTER!A:K,11,0),0)</f>
        <v>439</v>
      </c>
      <c r="V6" s="11">
        <f>IFERROR(VLOOKUP(A:A,MASTER!A:L,12,0),0)</f>
        <v>148</v>
      </c>
      <c r="W6" s="8">
        <f>IFERROR(U6/V6-1,0)</f>
        <v>1.9662162162162162</v>
      </c>
    </row>
    <row r="7" spans="1:23" ht="64.5" customHeight="1">
      <c r="A7" s="9" t="s">
        <v>2</v>
      </c>
      <c r="B7" s="1" t="s">
        <v>17</v>
      </c>
      <c r="C7" s="4">
        <f>IFERROR(VLOOKUP($A:$A,MASTER!$A:$T,3,0),0)</f>
        <v>35041852.324905545</v>
      </c>
      <c r="D7" s="4">
        <f>IFERROR(VLOOKUP($A:$A,MASTER!$A:$T,4,0),0)</f>
        <v>25128238.575954139</v>
      </c>
      <c r="E7" s="8">
        <f t="shared" ref="E7:E22" si="0">IFERROR(C7/D7-1,0)</f>
        <v>0.3945208383383465</v>
      </c>
      <c r="F7" s="4">
        <f>IFERROR(VLOOKUP(A:A,MASTER!A:E,5,0),0)</f>
        <v>57657.657657657001</v>
      </c>
      <c r="G7" s="4">
        <f>IFERROR(VLOOKUP(A:A,MASTER!A:F,6,0),0)</f>
        <v>40540.540540542002</v>
      </c>
      <c r="H7" s="8">
        <f t="shared" ref="H7:H22" si="1">IFERROR(F7/G7-1,0)</f>
        <v>0.42222222222215477</v>
      </c>
      <c r="I7" s="4">
        <f>IFERROR(VLOOKUP(A:A,MASTER!A:M,13,0),0)</f>
        <v>324324.32432432403</v>
      </c>
      <c r="J7" s="4">
        <f>IFERROR(VLOOKUP($A:$A,MASTER!$A:$T,14,0),0)</f>
        <v>40540.540540542002</v>
      </c>
      <c r="K7" s="8">
        <f t="shared" ref="K7:K22" si="2">IFERROR(I7/J7-1,0)</f>
        <v>6.9999999999997042</v>
      </c>
      <c r="L7" s="4">
        <f>IFERROR(VLOOKUP($A:$A,MASTER!$A:$T,15,0),0)</f>
        <v>18146621.621621624</v>
      </c>
      <c r="M7" s="4">
        <f>IFERROR(VLOOKUP($A:$A,MASTER!$A:$T,16,0),0)</f>
        <v>14583684.684684685</v>
      </c>
      <c r="N7" s="8">
        <f t="shared" ref="N7:N22" si="3">IFERROR(L7/M7-1,0)</f>
        <v>0.24430978960198035</v>
      </c>
      <c r="O7" s="4">
        <f>IFERROR(VLOOKUP($A:$A,MASTER!$A:$T,17,0),0)</f>
        <v>266666.66666666698</v>
      </c>
      <c r="P7" s="4">
        <f>IFERROR(VLOOKUP($A:$A,MASTER!$A:$T,18,0),0)</f>
        <v>157657.65765765801</v>
      </c>
      <c r="Q7" s="8">
        <f t="shared" ref="Q7:Q22" si="4">IFERROR(O7/P7-1,0)</f>
        <v>0.69142857142856951</v>
      </c>
      <c r="R7" s="4">
        <f>IFERROR(VLOOKUP($A:$A,MASTER!$A:$T,19,0),0)</f>
        <v>1270</v>
      </c>
      <c r="S7" s="4">
        <f>IFERROR(VLOOKUP($A:$A,MASTER!$A:$T,20,0),0)</f>
        <v>1101</v>
      </c>
      <c r="T7" s="8">
        <f t="shared" ref="T7:T22" si="5">IFERROR(R7/S7-1,0)</f>
        <v>0.15349682107175289</v>
      </c>
      <c r="U7" s="11">
        <f>IFERROR(VLOOKUP(A:A,MASTER!A:K,11,0),0)</f>
        <v>8</v>
      </c>
      <c r="V7" s="11">
        <f>IFERROR(VLOOKUP(A:A,MASTER!A:L,12,0),0)</f>
        <v>4</v>
      </c>
      <c r="W7" s="8">
        <f t="shared" ref="W7:W22" si="6">IFERROR(U7/V7-1,0)</f>
        <v>1</v>
      </c>
    </row>
    <row r="8" spans="1:23" ht="64.5" customHeight="1">
      <c r="A8" s="9" t="s">
        <v>3</v>
      </c>
      <c r="B8" s="1" t="s">
        <v>16</v>
      </c>
      <c r="C8" s="4">
        <f>IFERROR(VLOOKUP($A:$A,MASTER!$A:$T,3,0),0)</f>
        <v>217696201.82360268</v>
      </c>
      <c r="D8" s="4">
        <f>IFERROR(VLOOKUP($A:$A,MASTER!$A:$T,4,0),0)</f>
        <v>211076481.00149095</v>
      </c>
      <c r="E8" s="8">
        <f t="shared" si="0"/>
        <v>3.1361716808538942E-2</v>
      </c>
      <c r="F8" s="4">
        <f>IFERROR(VLOOKUP(A:A,MASTER!A:E,5,0),0)</f>
        <v>2410585.5855855872</v>
      </c>
      <c r="G8" s="4">
        <f>IFERROR(VLOOKUP(A:A,MASTER!A:F,6,0),0)</f>
        <v>2855855.855855858</v>
      </c>
      <c r="H8" s="8">
        <f t="shared" si="1"/>
        <v>-0.15591482649842281</v>
      </c>
      <c r="I8" s="4">
        <f>IFERROR(VLOOKUP(A:A,MASTER!A:M,13,0),0)</f>
        <v>46713063.063063063</v>
      </c>
      <c r="J8" s="4">
        <f>IFERROR(VLOOKUP($A:$A,MASTER!$A:$T,14,0),0)</f>
        <v>34886486.486486487</v>
      </c>
      <c r="K8" s="8">
        <f t="shared" si="2"/>
        <v>0.33900165272182625</v>
      </c>
      <c r="L8" s="4">
        <f>IFERROR(VLOOKUP($A:$A,MASTER!$A:$T,15,0),0)</f>
        <v>54910720.720720723</v>
      </c>
      <c r="M8" s="4">
        <f>IFERROR(VLOOKUP($A:$A,MASTER!$A:$T,16,0),0)</f>
        <v>60160522.522522517</v>
      </c>
      <c r="N8" s="8">
        <f t="shared" si="3"/>
        <v>-8.7263234787171351E-2</v>
      </c>
      <c r="O8" s="4">
        <f>IFERROR(VLOOKUP($A:$A,MASTER!$A:$T,17,0),0)</f>
        <v>42120720.720720723</v>
      </c>
      <c r="P8" s="4">
        <f>IFERROR(VLOOKUP($A:$A,MASTER!$A:$T,18,0),0)</f>
        <v>36592702.702702701</v>
      </c>
      <c r="Q8" s="8">
        <f t="shared" si="4"/>
        <v>0.15106886372756856</v>
      </c>
      <c r="R8" s="4">
        <f>IFERROR(VLOOKUP($A:$A,MASTER!$A:$T,19,0),0)</f>
        <v>3727</v>
      </c>
      <c r="S8" s="4">
        <f>IFERROR(VLOOKUP($A:$A,MASTER!$A:$T,20,0),0)</f>
        <v>3577</v>
      </c>
      <c r="T8" s="8">
        <f t="shared" si="5"/>
        <v>4.1934582051998959E-2</v>
      </c>
      <c r="U8" s="11">
        <f>IFERROR(VLOOKUP(A:A,MASTER!A:K,11,0),0)</f>
        <v>35</v>
      </c>
      <c r="V8" s="11">
        <f>IFERROR(VLOOKUP(A:A,MASTER!A:L,12,0),0)</f>
        <v>37</v>
      </c>
      <c r="W8" s="8">
        <f t="shared" si="6"/>
        <v>-5.4054054054054057E-2</v>
      </c>
    </row>
    <row r="9" spans="1:23" ht="64.5" customHeight="1">
      <c r="A9" s="9" t="s">
        <v>4</v>
      </c>
      <c r="B9" s="1" t="s">
        <v>16</v>
      </c>
      <c r="C9" s="4">
        <f>IFERROR(VLOOKUP($A:$A,MASTER!$A:$T,3,0),0)</f>
        <v>128240175.89649571</v>
      </c>
      <c r="D9" s="4">
        <f>IFERROR(VLOOKUP($A:$A,MASTER!$A:$T,4,0),0)</f>
        <v>127213322.07253473</v>
      </c>
      <c r="E9" s="8">
        <f t="shared" si="0"/>
        <v>8.0719047913511144E-3</v>
      </c>
      <c r="F9" s="4">
        <f>IFERROR(VLOOKUP(A:A,MASTER!A:E,5,0),0)</f>
        <v>942342.34234234202</v>
      </c>
      <c r="G9" s="4">
        <f>IFERROR(VLOOKUP(A:A,MASTER!A:F,6,0),0)</f>
        <v>1517117.117117119</v>
      </c>
      <c r="H9" s="8">
        <f t="shared" si="1"/>
        <v>-0.37885985748218631</v>
      </c>
      <c r="I9" s="4">
        <f>IFERROR(VLOOKUP(A:A,MASTER!A:M,13,0),0)</f>
        <v>16071621.621621622</v>
      </c>
      <c r="J9" s="4">
        <f>IFERROR(VLOOKUP($A:$A,MASTER!$A:$T,14,0),0)</f>
        <v>25015315.315315317</v>
      </c>
      <c r="K9" s="8">
        <f t="shared" si="2"/>
        <v>-0.35752872114380385</v>
      </c>
      <c r="L9" s="4">
        <f>IFERROR(VLOOKUP($A:$A,MASTER!$A:$T,15,0),0)</f>
        <v>46199414.414414413</v>
      </c>
      <c r="M9" s="4">
        <f>IFERROR(VLOOKUP($A:$A,MASTER!$A:$T,16,0),0)</f>
        <v>44490405.40540541</v>
      </c>
      <c r="N9" s="8">
        <f t="shared" si="3"/>
        <v>3.8412979010556958E-2</v>
      </c>
      <c r="O9" s="4">
        <f>IFERROR(VLOOKUP($A:$A,MASTER!$A:$T,17,0),0)</f>
        <v>22075945.945945945</v>
      </c>
      <c r="P9" s="4">
        <f>IFERROR(VLOOKUP($A:$A,MASTER!$A:$T,18,0),0)</f>
        <v>29412342.342342343</v>
      </c>
      <c r="Q9" s="8">
        <f t="shared" si="4"/>
        <v>-0.24943257871151725</v>
      </c>
      <c r="R9" s="4">
        <f>IFERROR(VLOOKUP($A:$A,MASTER!$A:$T,19,0),0)</f>
        <v>3666</v>
      </c>
      <c r="S9" s="4">
        <f>IFERROR(VLOOKUP($A:$A,MASTER!$A:$T,20,0),0)</f>
        <v>3495</v>
      </c>
      <c r="T9" s="8">
        <f t="shared" si="5"/>
        <v>4.8927038626609409E-2</v>
      </c>
      <c r="U9" s="11">
        <f>IFERROR(VLOOKUP(A:A,MASTER!A:K,11,0),0)</f>
        <v>12</v>
      </c>
      <c r="V9" s="11">
        <f>IFERROR(VLOOKUP(A:A,MASTER!A:L,12,0),0)</f>
        <v>12</v>
      </c>
      <c r="W9" s="8">
        <f t="shared" si="6"/>
        <v>0</v>
      </c>
    </row>
    <row r="10" spans="1:23" ht="64.5" customHeight="1">
      <c r="A10" s="9" t="s">
        <v>34</v>
      </c>
      <c r="B10" s="1" t="s">
        <v>17</v>
      </c>
      <c r="C10" s="4">
        <f>IFERROR(VLOOKUP($A:$A,MASTER!$A:$T,3,0),0)</f>
        <v>0</v>
      </c>
      <c r="D10" s="4">
        <f>IFERROR(VLOOKUP($A:$A,MASTER!$A:$T,4,0),0)</f>
        <v>0</v>
      </c>
      <c r="E10" s="8">
        <f t="shared" si="0"/>
        <v>0</v>
      </c>
      <c r="F10" s="4">
        <f>IFERROR(VLOOKUP(A:A,MASTER!A:E,5,0),0)</f>
        <v>39368693.693693697</v>
      </c>
      <c r="G10" s="4">
        <f>IFERROR(VLOOKUP(A:A,MASTER!A:F,6,0),0)</f>
        <v>22612612.612612613</v>
      </c>
      <c r="H10" s="8">
        <f t="shared" si="1"/>
        <v>0.7410059760956178</v>
      </c>
      <c r="I10" s="4">
        <f>IFERROR(VLOOKUP(A:A,MASTER!A:M,13,0),0)</f>
        <v>2183108.1081081079</v>
      </c>
      <c r="J10" s="4">
        <f>IFERROR(VLOOKUP($A:$A,MASTER!$A:$T,14,0),0)</f>
        <v>473648.64864864899</v>
      </c>
      <c r="K10" s="8">
        <f t="shared" si="2"/>
        <v>3.6091298145506379</v>
      </c>
      <c r="L10" s="4">
        <f>IFERROR(VLOOKUP($A:$A,MASTER!$A:$T,15,0),0)</f>
        <v>0</v>
      </c>
      <c r="M10" s="4">
        <f>IFERROR(VLOOKUP($A:$A,MASTER!$A:$T,16,0),0)</f>
        <v>0</v>
      </c>
      <c r="N10" s="8">
        <f t="shared" si="3"/>
        <v>0</v>
      </c>
      <c r="O10" s="4">
        <f>IFERROR(VLOOKUP($A:$A,MASTER!$A:$T,17,0),0)</f>
        <v>0</v>
      </c>
      <c r="P10" s="4">
        <f>IFERROR(VLOOKUP($A:$A,MASTER!$A:$T,18,0),0)</f>
        <v>0</v>
      </c>
      <c r="Q10" s="8">
        <f t="shared" si="4"/>
        <v>0</v>
      </c>
      <c r="R10" s="4">
        <f>IFERROR(VLOOKUP($A:$A,MASTER!$A:$T,19,0),0)</f>
        <v>0</v>
      </c>
      <c r="S10" s="4">
        <f>IFERROR(VLOOKUP($A:$A,MASTER!$A:$T,20,0),0)</f>
        <v>0</v>
      </c>
      <c r="T10" s="8">
        <f t="shared" si="5"/>
        <v>0</v>
      </c>
      <c r="U10" s="11">
        <f>IFERROR(VLOOKUP(A:A,MASTER!A:K,11,0),0)</f>
        <v>0</v>
      </c>
      <c r="V10" s="11">
        <f>IFERROR(VLOOKUP(A:A,MASTER!A:L,12,0),0)</f>
        <v>0</v>
      </c>
      <c r="W10" s="8">
        <f t="shared" si="6"/>
        <v>0</v>
      </c>
    </row>
    <row r="11" spans="1:23" ht="64.5" customHeight="1">
      <c r="A11" s="9" t="s">
        <v>5</v>
      </c>
      <c r="B11" s="1" t="s">
        <v>16</v>
      </c>
      <c r="C11" s="4">
        <f>IFERROR(VLOOKUP($A:$A,MASTER!$A:$T,3,0),0)</f>
        <v>128609254.70106146</v>
      </c>
      <c r="D11" s="4">
        <f>IFERROR(VLOOKUP($A:$A,MASTER!$A:$T,4,0),0)</f>
        <v>131112192.1916094</v>
      </c>
      <c r="E11" s="8">
        <f t="shared" si="0"/>
        <v>-1.9090043791580524E-2</v>
      </c>
      <c r="F11" s="4">
        <f>IFERROR(VLOOKUP(A:A,MASTER!A:E,5,0),0)</f>
        <v>1783333.333333334</v>
      </c>
      <c r="G11" s="4">
        <f>IFERROR(VLOOKUP(A:A,MASTER!A:F,6,0),0)</f>
        <v>462162.16216216201</v>
      </c>
      <c r="H11" s="8">
        <f t="shared" si="1"/>
        <v>2.8586744639376245</v>
      </c>
      <c r="I11" s="4">
        <f>IFERROR(VLOOKUP(A:A,MASTER!A:M,13,0),0)</f>
        <v>8015045.0450450452</v>
      </c>
      <c r="J11" s="4">
        <f>IFERROR(VLOOKUP($A:$A,MASTER!$A:$T,14,0),0)</f>
        <v>9208108.1081081089</v>
      </c>
      <c r="K11" s="8">
        <f t="shared" si="2"/>
        <v>-0.1295665786126603</v>
      </c>
      <c r="L11" s="4">
        <f>IFERROR(VLOOKUP($A:$A,MASTER!$A:$T,15,0),0)</f>
        <v>56285450.45045045</v>
      </c>
      <c r="M11" s="4">
        <f>IFERROR(VLOOKUP($A:$A,MASTER!$A:$T,16,0),0)</f>
        <v>55623108.108108111</v>
      </c>
      <c r="N11" s="8">
        <f t="shared" si="3"/>
        <v>1.1907683063215879E-2</v>
      </c>
      <c r="O11" s="4">
        <f>IFERROR(VLOOKUP($A:$A,MASTER!$A:$T,17,0),0)</f>
        <v>7182162.1621621624</v>
      </c>
      <c r="P11" s="4">
        <f>IFERROR(VLOOKUP($A:$A,MASTER!$A:$T,18,0),0)</f>
        <v>8852882.8828828819</v>
      </c>
      <c r="Q11" s="8">
        <f t="shared" si="4"/>
        <v>-0.18872052672819961</v>
      </c>
      <c r="R11" s="4">
        <f>IFERROR(VLOOKUP($A:$A,MASTER!$A:$T,19,0),0)</f>
        <v>3117</v>
      </c>
      <c r="S11" s="4">
        <f>IFERROR(VLOOKUP($A:$A,MASTER!$A:$T,20,0),0)</f>
        <v>3019</v>
      </c>
      <c r="T11" s="8">
        <f t="shared" si="5"/>
        <v>3.2461079827757588E-2</v>
      </c>
      <c r="U11" s="11">
        <f>IFERROR(VLOOKUP(A:A,MASTER!A:K,11,0),0)</f>
        <v>12</v>
      </c>
      <c r="V11" s="11">
        <f>IFERROR(VLOOKUP(A:A,MASTER!A:L,12,0),0)</f>
        <v>17</v>
      </c>
      <c r="W11" s="8">
        <f t="shared" si="6"/>
        <v>-0.29411764705882348</v>
      </c>
    </row>
    <row r="12" spans="1:23" ht="64.5" customHeight="1">
      <c r="A12" s="9" t="s">
        <v>6</v>
      </c>
      <c r="B12" s="1" t="s">
        <v>17</v>
      </c>
      <c r="C12" s="4">
        <f>IFERROR(VLOOKUP($A:$A,MASTER!$A:$T,3,0),0)</f>
        <v>502600666.82401145</v>
      </c>
      <c r="D12" s="4">
        <f>IFERROR(VLOOKUP($A:$A,MASTER!$A:$T,4,0),0)</f>
        <v>478388557.9726398</v>
      </c>
      <c r="E12" s="8">
        <f t="shared" si="0"/>
        <v>5.0611805921905839E-2</v>
      </c>
      <c r="F12" s="4">
        <f>IFERROR(VLOOKUP(A:A,MASTER!A:E,5,0),0)</f>
        <v>6329279.2792792721</v>
      </c>
      <c r="G12" s="4">
        <f>IFERROR(VLOOKUP(A:A,MASTER!A:F,6,0),0)</f>
        <v>6032096.3963964051</v>
      </c>
      <c r="H12" s="8">
        <f t="shared" si="1"/>
        <v>4.9266931984111695E-2</v>
      </c>
      <c r="I12" s="4">
        <f>IFERROR(VLOOKUP(A:A,MASTER!A:M,13,0),0)</f>
        <v>189644594.5945946</v>
      </c>
      <c r="J12" s="4">
        <f>IFERROR(VLOOKUP($A:$A,MASTER!$A:$T,14,0),0)</f>
        <v>186650120.72072074</v>
      </c>
      <c r="K12" s="8">
        <f t="shared" si="2"/>
        <v>1.604324638157828E-2</v>
      </c>
      <c r="L12" s="4">
        <f>IFERROR(VLOOKUP($A:$A,MASTER!$A:$T,15,0),0)</f>
        <v>329152612.61261261</v>
      </c>
      <c r="M12" s="4">
        <f>IFERROR(VLOOKUP($A:$A,MASTER!$A:$T,16,0),0)</f>
        <v>326874324.32432437</v>
      </c>
      <c r="N12" s="8">
        <f t="shared" si="3"/>
        <v>6.969921216656072E-3</v>
      </c>
      <c r="O12" s="4">
        <f>IFERROR(VLOOKUP($A:$A,MASTER!$A:$T,17,0),0)</f>
        <v>167986486.48648649</v>
      </c>
      <c r="P12" s="4">
        <f>IFERROR(VLOOKUP($A:$A,MASTER!$A:$T,18,0),0)</f>
        <v>155261981.98198199</v>
      </c>
      <c r="Q12" s="8">
        <f t="shared" si="4"/>
        <v>8.1955056492716727E-2</v>
      </c>
      <c r="R12" s="4">
        <f>IFERROR(VLOOKUP($A:$A,MASTER!$A:$T,19,0),0)</f>
        <v>13325</v>
      </c>
      <c r="S12" s="4">
        <f>IFERROR(VLOOKUP($A:$A,MASTER!$A:$T,20,0),0)</f>
        <v>12793</v>
      </c>
      <c r="T12" s="8">
        <f t="shared" si="5"/>
        <v>4.1585241929180006E-2</v>
      </c>
      <c r="U12" s="11">
        <f>IFERROR(VLOOKUP(A:A,MASTER!A:K,11,0),0)</f>
        <v>673</v>
      </c>
      <c r="V12" s="11">
        <f>IFERROR(VLOOKUP(A:A,MASTER!A:L,12,0),0)</f>
        <v>613</v>
      </c>
      <c r="W12" s="8">
        <f t="shared" si="6"/>
        <v>9.7879282218596986E-2</v>
      </c>
    </row>
    <row r="13" spans="1:23" ht="64.5" customHeight="1">
      <c r="A13" s="9" t="s">
        <v>7</v>
      </c>
      <c r="B13" s="1" t="s">
        <v>17</v>
      </c>
      <c r="C13" s="4">
        <f>IFERROR(VLOOKUP($A:$A,MASTER!$A:$T,3,0),0)</f>
        <v>107490837.23283726</v>
      </c>
      <c r="D13" s="4">
        <f>IFERROR(VLOOKUP($A:$A,MASTER!$A:$T,4,0),0)</f>
        <v>114231138.27093026</v>
      </c>
      <c r="E13" s="8">
        <f t="shared" si="0"/>
        <v>-5.9005811726278501E-2</v>
      </c>
      <c r="F13" s="4">
        <f>IFERROR(VLOOKUP(A:A,MASTER!A:E,5,0),0)</f>
        <v>143567092.7927928</v>
      </c>
      <c r="G13" s="4">
        <f>IFERROR(VLOOKUP(A:A,MASTER!A:F,6,0),0)</f>
        <v>283691654.95495492</v>
      </c>
      <c r="H13" s="8">
        <f t="shared" si="1"/>
        <v>-0.49393261914740272</v>
      </c>
      <c r="I13" s="4">
        <f>IFERROR(VLOOKUP(A:A,MASTER!A:M,13,0),0)</f>
        <v>26419369.369369373</v>
      </c>
      <c r="J13" s="4">
        <f>IFERROR(VLOOKUP($A:$A,MASTER!$A:$T,14,0),0)</f>
        <v>18212612.612612613</v>
      </c>
      <c r="K13" s="8">
        <f t="shared" si="2"/>
        <v>0.45060842896715503</v>
      </c>
      <c r="L13" s="4">
        <f>IFERROR(VLOOKUP($A:$A,MASTER!$A:$T,15,0),0)</f>
        <v>73060945.945945948</v>
      </c>
      <c r="M13" s="4">
        <f>IFERROR(VLOOKUP($A:$A,MASTER!$A:$T,16,0),0)</f>
        <v>80049108.108108118</v>
      </c>
      <c r="N13" s="8">
        <f t="shared" si="3"/>
        <v>-8.7298438762421937E-2</v>
      </c>
      <c r="O13" s="4">
        <f>IFERROR(VLOOKUP($A:$A,MASTER!$A:$T,17,0),0)</f>
        <v>26493693.693693697</v>
      </c>
      <c r="P13" s="4">
        <f>IFERROR(VLOOKUP($A:$A,MASTER!$A:$T,18,0),0)</f>
        <v>20641531.531531531</v>
      </c>
      <c r="Q13" s="8">
        <f t="shared" si="4"/>
        <v>0.28351395114371902</v>
      </c>
      <c r="R13" s="4">
        <f>IFERROR(VLOOKUP($A:$A,MASTER!$A:$T,19,0),0)</f>
        <v>4755</v>
      </c>
      <c r="S13" s="4">
        <f>IFERROR(VLOOKUP($A:$A,MASTER!$A:$T,20,0),0)</f>
        <v>5030</v>
      </c>
      <c r="T13" s="8">
        <f t="shared" si="5"/>
        <v>-5.4671968190854847E-2</v>
      </c>
      <c r="U13" s="11">
        <f>IFERROR(VLOOKUP(A:A,MASTER!A:K,11,0),0)</f>
        <v>34</v>
      </c>
      <c r="V13" s="11">
        <f>IFERROR(VLOOKUP(A:A,MASTER!A:L,12,0),0)</f>
        <v>44</v>
      </c>
      <c r="W13" s="8">
        <f t="shared" si="6"/>
        <v>-0.22727272727272729</v>
      </c>
    </row>
    <row r="14" spans="1:23" ht="64.5" customHeight="1">
      <c r="A14" s="9" t="s">
        <v>8</v>
      </c>
      <c r="B14" s="1" t="s">
        <v>16</v>
      </c>
      <c r="C14" s="4">
        <f>IFERROR(VLOOKUP($A:$A,MASTER!$A:$T,3,0),0)</f>
        <v>159291111.02030593</v>
      </c>
      <c r="D14" s="4">
        <f>IFERROR(VLOOKUP($A:$A,MASTER!$A:$T,4,0),0)</f>
        <v>157756743.83150497</v>
      </c>
      <c r="E14" s="8">
        <f t="shared" si="0"/>
        <v>9.7261590949149213E-3</v>
      </c>
      <c r="F14" s="4">
        <f>IFERROR(VLOOKUP(A:A,MASTER!A:E,5,0),0)</f>
        <v>1788288.2882882911</v>
      </c>
      <c r="G14" s="4">
        <f>IFERROR(VLOOKUP(A:A,MASTER!A:F,6,0),0)</f>
        <v>2563963.9639639659</v>
      </c>
      <c r="H14" s="8">
        <f t="shared" si="1"/>
        <v>-0.30252986647926861</v>
      </c>
      <c r="I14" s="4">
        <f>IFERROR(VLOOKUP(A:A,MASTER!A:M,13,0),0)</f>
        <v>21957657.657657661</v>
      </c>
      <c r="J14" s="4">
        <f>IFERROR(VLOOKUP($A:$A,MASTER!$A:$T,14,0),0)</f>
        <v>22359459.459459461</v>
      </c>
      <c r="K14" s="8">
        <f t="shared" si="2"/>
        <v>-1.7970103549699745E-2</v>
      </c>
      <c r="L14" s="4">
        <f>IFERROR(VLOOKUP($A:$A,MASTER!$A:$T,15,0),0)</f>
        <v>46785225.225225225</v>
      </c>
      <c r="M14" s="4">
        <f>IFERROR(VLOOKUP($A:$A,MASTER!$A:$T,16,0),0)</f>
        <v>46888846.846846849</v>
      </c>
      <c r="N14" s="8">
        <f t="shared" si="3"/>
        <v>-2.2099417791203724E-3</v>
      </c>
      <c r="O14" s="4">
        <f>IFERROR(VLOOKUP($A:$A,MASTER!$A:$T,17,0),0)</f>
        <v>19681981.981981982</v>
      </c>
      <c r="P14" s="4">
        <f>IFERROR(VLOOKUP($A:$A,MASTER!$A:$T,18,0),0)</f>
        <v>20437387.387387387</v>
      </c>
      <c r="Q14" s="8">
        <f t="shared" si="4"/>
        <v>-3.696193603843867E-2</v>
      </c>
      <c r="R14" s="4">
        <f>IFERROR(VLOOKUP($A:$A,MASTER!$A:$T,19,0),0)</f>
        <v>3815</v>
      </c>
      <c r="S14" s="4">
        <f>IFERROR(VLOOKUP($A:$A,MASTER!$A:$T,20,0),0)</f>
        <v>3887</v>
      </c>
      <c r="T14" s="8">
        <f t="shared" si="5"/>
        <v>-1.8523282737329505E-2</v>
      </c>
      <c r="U14" s="11">
        <f>IFERROR(VLOOKUP(A:A,MASTER!A:K,11,0),0)</f>
        <v>17</v>
      </c>
      <c r="V14" s="11">
        <f>IFERROR(VLOOKUP(A:A,MASTER!A:L,12,0),0)</f>
        <v>7</v>
      </c>
      <c r="W14" s="8">
        <f t="shared" si="6"/>
        <v>1.4285714285714284</v>
      </c>
    </row>
    <row r="15" spans="1:23" ht="64.5" customHeight="1">
      <c r="A15" s="9" t="s">
        <v>9</v>
      </c>
      <c r="B15" s="1" t="s">
        <v>16</v>
      </c>
      <c r="C15" s="4">
        <f>IFERROR(VLOOKUP($A:$A,MASTER!$A:$T,3,0),0)</f>
        <v>326044233.44172883</v>
      </c>
      <c r="D15" s="4">
        <f>IFERROR(VLOOKUP($A:$A,MASTER!$A:$T,4,0),0)</f>
        <v>309784550.44216049</v>
      </c>
      <c r="E15" s="8">
        <f t="shared" si="0"/>
        <v>5.2487068759112132E-2</v>
      </c>
      <c r="F15" s="4">
        <f>IFERROR(VLOOKUP(A:A,MASTER!A:E,5,0),0)</f>
        <v>579176597.29729724</v>
      </c>
      <c r="G15" s="4">
        <f>IFERROR(VLOOKUP(A:A,MASTER!A:F,6,0),0)</f>
        <v>625413250.45045042</v>
      </c>
      <c r="H15" s="8">
        <f t="shared" si="1"/>
        <v>-7.3929762632709672E-2</v>
      </c>
      <c r="I15" s="4">
        <f>IFERROR(VLOOKUP(A:A,MASTER!A:M,13,0),0)</f>
        <v>551195379.27927935</v>
      </c>
      <c r="J15" s="4">
        <f>IFERROR(VLOOKUP($A:$A,MASTER!$A:$T,14,0),0)</f>
        <v>444005572.07207209</v>
      </c>
      <c r="K15" s="8">
        <f t="shared" si="2"/>
        <v>0.24141545500651507</v>
      </c>
      <c r="L15" s="4">
        <f>IFERROR(VLOOKUP($A:$A,MASTER!$A:$T,15,0),0)</f>
        <v>114610846.84684685</v>
      </c>
      <c r="M15" s="4">
        <f>IFERROR(VLOOKUP($A:$A,MASTER!$A:$T,16,0),0)</f>
        <v>112948252.25225225</v>
      </c>
      <c r="N15" s="8">
        <f t="shared" si="3"/>
        <v>1.4719967431469971E-2</v>
      </c>
      <c r="O15" s="4">
        <f>IFERROR(VLOOKUP($A:$A,MASTER!$A:$T,17,0),0)</f>
        <v>437902252.25225222</v>
      </c>
      <c r="P15" s="4">
        <f>IFERROR(VLOOKUP($A:$A,MASTER!$A:$T,18,0),0)</f>
        <v>338766216.21621621</v>
      </c>
      <c r="Q15" s="8">
        <f t="shared" si="4"/>
        <v>0.29263849607944037</v>
      </c>
      <c r="R15" s="4">
        <f>IFERROR(VLOOKUP($A:$A,MASTER!$A:$T,19,0),0)</f>
        <v>7339</v>
      </c>
      <c r="S15" s="4">
        <f>IFERROR(VLOOKUP($A:$A,MASTER!$A:$T,20,0),0)</f>
        <v>7306</v>
      </c>
      <c r="T15" s="8">
        <f t="shared" si="5"/>
        <v>4.5168354776896624E-3</v>
      </c>
      <c r="U15" s="11">
        <f>IFERROR(VLOOKUP(A:A,MASTER!A:K,11,0),0)</f>
        <v>67</v>
      </c>
      <c r="V15" s="11">
        <f>IFERROR(VLOOKUP(A:A,MASTER!A:L,12,0),0)</f>
        <v>53</v>
      </c>
      <c r="W15" s="8">
        <f t="shared" si="6"/>
        <v>0.26415094339622636</v>
      </c>
    </row>
    <row r="16" spans="1:23" ht="64.5" customHeight="1">
      <c r="A16" s="9" t="s">
        <v>35</v>
      </c>
      <c r="B16" s="1" t="s">
        <v>16</v>
      </c>
      <c r="C16" s="4">
        <f>IFERROR(VLOOKUP($A:$A,MASTER!$A:$T,3,0),0)</f>
        <v>0</v>
      </c>
      <c r="D16" s="4">
        <f>IFERROR(VLOOKUP($A:$A,MASTER!$A:$T,4,0),0)</f>
        <v>0</v>
      </c>
      <c r="E16" s="8">
        <f t="shared" si="0"/>
        <v>0</v>
      </c>
      <c r="F16" s="4">
        <f>IFERROR(VLOOKUP(A:A,MASTER!A:E,5,0),0)</f>
        <v>3378378.3783783782</v>
      </c>
      <c r="G16" s="4">
        <f>IFERROR(VLOOKUP(A:A,MASTER!A:F,6,0),0)</f>
        <v>91959459.459459454</v>
      </c>
      <c r="H16" s="8">
        <f t="shared" si="1"/>
        <v>-0.96326230712711247</v>
      </c>
      <c r="I16" s="4">
        <f>IFERROR(VLOOKUP(A:A,MASTER!A:M,13,0),0)</f>
        <v>30784684.684684683</v>
      </c>
      <c r="J16" s="4">
        <f>IFERROR(VLOOKUP($A:$A,MASTER!$A:$T,14,0),0)</f>
        <v>16190090.09009009</v>
      </c>
      <c r="K16" s="8">
        <f t="shared" si="2"/>
        <v>0.90145233988091911</v>
      </c>
      <c r="L16" s="4">
        <f>IFERROR(VLOOKUP($A:$A,MASTER!$A:$T,15,0),0)</f>
        <v>0</v>
      </c>
      <c r="M16" s="4">
        <f>IFERROR(VLOOKUP($A:$A,MASTER!$A:$T,16,0),0)</f>
        <v>0</v>
      </c>
      <c r="N16" s="8">
        <f t="shared" si="3"/>
        <v>0</v>
      </c>
      <c r="O16" s="4">
        <f>IFERROR(VLOOKUP($A:$A,MASTER!$A:$T,17,0),0)</f>
        <v>0</v>
      </c>
      <c r="P16" s="4">
        <f>IFERROR(VLOOKUP($A:$A,MASTER!$A:$T,18,0),0)</f>
        <v>0</v>
      </c>
      <c r="Q16" s="8">
        <f t="shared" si="4"/>
        <v>0</v>
      </c>
      <c r="R16" s="4">
        <f>IFERROR(VLOOKUP($A:$A,MASTER!$A:$T,19,0),0)</f>
        <v>0</v>
      </c>
      <c r="S16" s="4">
        <f>IFERROR(VLOOKUP($A:$A,MASTER!$A:$T,20,0),0)</f>
        <v>0</v>
      </c>
      <c r="T16" s="8">
        <f t="shared" si="5"/>
        <v>0</v>
      </c>
      <c r="U16" s="11">
        <f>IFERROR(VLOOKUP(A:A,MASTER!A:K,11,0),0)</f>
        <v>0</v>
      </c>
      <c r="V16" s="11">
        <f>IFERROR(VLOOKUP(A:A,MASTER!A:L,12,0),0)</f>
        <v>0</v>
      </c>
      <c r="W16" s="8">
        <f t="shared" si="6"/>
        <v>0</v>
      </c>
    </row>
    <row r="17" spans="1:23" ht="64.5" customHeight="1">
      <c r="A17" s="9" t="s">
        <v>10</v>
      </c>
      <c r="B17" s="1" t="s">
        <v>17</v>
      </c>
      <c r="C17" s="4">
        <f>IFERROR(VLOOKUP($A:$A,MASTER!$A:$T,3,0),0)</f>
        <v>136044352.23832113</v>
      </c>
      <c r="D17" s="4">
        <f>IFERROR(VLOOKUP($A:$A,MASTER!$A:$T,4,0),0)</f>
        <v>129699076.86727166</v>
      </c>
      <c r="E17" s="8">
        <f t="shared" si="0"/>
        <v>4.8923057313221552E-2</v>
      </c>
      <c r="F17" s="4">
        <f>IFERROR(VLOOKUP(A:A,MASTER!A:E,5,0),0)</f>
        <v>0</v>
      </c>
      <c r="G17" s="4">
        <f>IFERROR(VLOOKUP(A:A,MASTER!A:F,6,0),0)</f>
        <v>0</v>
      </c>
      <c r="H17" s="8">
        <f t="shared" si="1"/>
        <v>0</v>
      </c>
      <c r="I17" s="4">
        <f>IFERROR(VLOOKUP(A:A,MASTER!A:M,13,0),0)</f>
        <v>0</v>
      </c>
      <c r="J17" s="4">
        <f>IFERROR(VLOOKUP($A:$A,MASTER!$A:$T,14,0),0)</f>
        <v>0</v>
      </c>
      <c r="K17" s="8">
        <f t="shared" si="2"/>
        <v>0</v>
      </c>
      <c r="L17" s="4">
        <f>IFERROR(VLOOKUP($A:$A,MASTER!$A:$T,15,0),0)</f>
        <v>78213738.738738731</v>
      </c>
      <c r="M17" s="4">
        <f>IFERROR(VLOOKUP($A:$A,MASTER!$A:$T,16,0),0)</f>
        <v>78573169.369369373</v>
      </c>
      <c r="N17" s="8">
        <f t="shared" si="3"/>
        <v>-4.5744703123908881E-3</v>
      </c>
      <c r="O17" s="4">
        <f>IFERROR(VLOOKUP($A:$A,MASTER!$A:$T,17,0),0)</f>
        <v>0</v>
      </c>
      <c r="P17" s="4">
        <f>IFERROR(VLOOKUP($A:$A,MASTER!$A:$T,18,0),0)</f>
        <v>19639.639639640001</v>
      </c>
      <c r="Q17" s="8">
        <f t="shared" si="4"/>
        <v>-1</v>
      </c>
      <c r="R17" s="4">
        <f>IFERROR(VLOOKUP($A:$A,MASTER!$A:$T,19,0),0)</f>
        <v>3815</v>
      </c>
      <c r="S17" s="4">
        <f>IFERROR(VLOOKUP($A:$A,MASTER!$A:$T,20,0),0)</f>
        <v>3719</v>
      </c>
      <c r="T17" s="8">
        <f t="shared" si="5"/>
        <v>2.5813390696423744E-2</v>
      </c>
      <c r="U17" s="11">
        <f>IFERROR(VLOOKUP(A:A,MASTER!A:K,11,0),0)</f>
        <v>9</v>
      </c>
      <c r="V17" s="11">
        <f>IFERROR(VLOOKUP(A:A,MASTER!A:L,12,0),0)</f>
        <v>18</v>
      </c>
      <c r="W17" s="8">
        <f t="shared" si="6"/>
        <v>-0.5</v>
      </c>
    </row>
    <row r="18" spans="1:23" ht="64.5" customHeight="1">
      <c r="A18" s="9" t="s">
        <v>11</v>
      </c>
      <c r="B18" s="1" t="s">
        <v>17</v>
      </c>
      <c r="C18" s="4">
        <f>IFERROR(VLOOKUP($A:$A,MASTER!$A:$T,3,0),0)</f>
        <v>107018908.1393573</v>
      </c>
      <c r="D18" s="4">
        <f>IFERROR(VLOOKUP($A:$A,MASTER!$A:$T,4,0),0)</f>
        <v>112209898.657382</v>
      </c>
      <c r="E18" s="8">
        <f t="shared" si="0"/>
        <v>-4.6261431300946954E-2</v>
      </c>
      <c r="F18" s="4">
        <f>IFERROR(VLOOKUP(A:A,MASTER!A:E,5,0),0)</f>
        <v>341441.44144144101</v>
      </c>
      <c r="G18" s="4">
        <f>IFERROR(VLOOKUP(A:A,MASTER!A:F,6,0),0)</f>
        <v>112612.612612615</v>
      </c>
      <c r="H18" s="8">
        <f t="shared" si="1"/>
        <v>2.0319999999999316</v>
      </c>
      <c r="I18" s="4">
        <f>IFERROR(VLOOKUP(A:A,MASTER!A:M,13,0),0)</f>
        <v>2620720.7207207209</v>
      </c>
      <c r="J18" s="4">
        <f>IFERROR(VLOOKUP($A:$A,MASTER!$A:$T,14,0),0)</f>
        <v>1914414.4144144161</v>
      </c>
      <c r="K18" s="8">
        <f t="shared" si="2"/>
        <v>0.36894117647058722</v>
      </c>
      <c r="L18" s="4">
        <f>IFERROR(VLOOKUP($A:$A,MASTER!$A:$T,15,0),0)</f>
        <v>35240495.495495498</v>
      </c>
      <c r="M18" s="4">
        <f>IFERROR(VLOOKUP($A:$A,MASTER!$A:$T,16,0),0)</f>
        <v>38275858.108108111</v>
      </c>
      <c r="N18" s="8">
        <f t="shared" si="3"/>
        <v>-7.930227466199169E-2</v>
      </c>
      <c r="O18" s="4">
        <f>IFERROR(VLOOKUP($A:$A,MASTER!$A:$T,17,0),0)</f>
        <v>3386396.3963963948</v>
      </c>
      <c r="P18" s="4">
        <f>IFERROR(VLOOKUP($A:$A,MASTER!$A:$T,18,0),0)</f>
        <v>2436126.1261261259</v>
      </c>
      <c r="Q18" s="8">
        <f t="shared" si="4"/>
        <v>0.39007433157057747</v>
      </c>
      <c r="R18" s="4">
        <f>IFERROR(VLOOKUP($A:$A,MASTER!$A:$T,19,0),0)</f>
        <v>3927</v>
      </c>
      <c r="S18" s="4">
        <f>IFERROR(VLOOKUP($A:$A,MASTER!$A:$T,20,0),0)</f>
        <v>4093</v>
      </c>
      <c r="T18" s="8">
        <f t="shared" si="5"/>
        <v>-4.0557048619594416E-2</v>
      </c>
      <c r="U18" s="11">
        <f>IFERROR(VLOOKUP(A:A,MASTER!A:K,11,0),0)</f>
        <v>39</v>
      </c>
      <c r="V18" s="11">
        <f>IFERROR(VLOOKUP(A:A,MASTER!A:L,12,0),0)</f>
        <v>30</v>
      </c>
      <c r="W18" s="8">
        <f t="shared" si="6"/>
        <v>0.30000000000000004</v>
      </c>
    </row>
    <row r="19" spans="1:23" ht="64.5" customHeight="1">
      <c r="A19" s="9" t="s">
        <v>12</v>
      </c>
      <c r="B19" s="1" t="s">
        <v>17</v>
      </c>
      <c r="C19" s="4">
        <f>IFERROR(VLOOKUP($A:$A,MASTER!$A:$T,3,0),0)</f>
        <v>75032698.944957301</v>
      </c>
      <c r="D19" s="4">
        <f>IFERROR(VLOOKUP($A:$A,MASTER!$A:$T,4,0),0)</f>
        <v>72638652.044019669</v>
      </c>
      <c r="E19" s="8">
        <f t="shared" si="0"/>
        <v>3.2958305717000647E-2</v>
      </c>
      <c r="F19" s="4">
        <f>IFERROR(VLOOKUP(A:A,MASTER!A:E,5,0),0)</f>
        <v>63963.963963964001</v>
      </c>
      <c r="G19" s="4">
        <f>IFERROR(VLOOKUP(A:A,MASTER!A:F,6,0),0)</f>
        <v>2367567.5675675701</v>
      </c>
      <c r="H19" s="8">
        <f t="shared" si="1"/>
        <v>-0.97298325722983259</v>
      </c>
      <c r="I19" s="4">
        <f>IFERROR(VLOOKUP(A:A,MASTER!A:M,13,0),0)</f>
        <v>6633783.7837837841</v>
      </c>
      <c r="J19" s="4">
        <f>IFERROR(VLOOKUP($A:$A,MASTER!$A:$T,14,0),0)</f>
        <v>5520720.7207207223</v>
      </c>
      <c r="K19" s="8">
        <f t="shared" si="2"/>
        <v>0.20161553524804154</v>
      </c>
      <c r="L19" s="4">
        <f>IFERROR(VLOOKUP($A:$A,MASTER!$A:$T,15,0),0)</f>
        <v>29502603.603603605</v>
      </c>
      <c r="M19" s="4">
        <f>IFERROR(VLOOKUP($A:$A,MASTER!$A:$T,16,0),0)</f>
        <v>28815603.603603605</v>
      </c>
      <c r="N19" s="8">
        <f t="shared" si="3"/>
        <v>2.3841249673287601E-2</v>
      </c>
      <c r="O19" s="4">
        <f>IFERROR(VLOOKUP($A:$A,MASTER!$A:$T,17,0),0)</f>
        <v>3786036.036036035</v>
      </c>
      <c r="P19" s="4">
        <f>IFERROR(VLOOKUP($A:$A,MASTER!$A:$T,18,0),0)</f>
        <v>8085315.3153153146</v>
      </c>
      <c r="Q19" s="8">
        <f t="shared" si="4"/>
        <v>-0.53173922248097438</v>
      </c>
      <c r="R19" s="4">
        <f>IFERROR(VLOOKUP($A:$A,MASTER!$A:$T,19,0),0)</f>
        <v>2801</v>
      </c>
      <c r="S19" s="4">
        <f>IFERROR(VLOOKUP($A:$A,MASTER!$A:$T,20,0),0)</f>
        <v>2897</v>
      </c>
      <c r="T19" s="8">
        <f t="shared" si="5"/>
        <v>-3.3137728684846435E-2</v>
      </c>
      <c r="U19" s="11">
        <f>IFERROR(VLOOKUP(A:A,MASTER!A:K,11,0),0)</f>
        <v>25</v>
      </c>
      <c r="V19" s="11">
        <f>IFERROR(VLOOKUP(A:A,MASTER!A:L,12,0),0)</f>
        <v>10</v>
      </c>
      <c r="W19" s="8">
        <f t="shared" si="6"/>
        <v>1.5</v>
      </c>
    </row>
    <row r="20" spans="1:23" ht="64.5" customHeight="1">
      <c r="A20" s="9" t="s">
        <v>36</v>
      </c>
      <c r="B20" s="1" t="s">
        <v>16</v>
      </c>
      <c r="C20" s="4">
        <f>IFERROR(VLOOKUP($A:$A,MASTER!$A:$T,3,0),0)</f>
        <v>0</v>
      </c>
      <c r="D20" s="4">
        <f>IFERROR(VLOOKUP($A:$A,MASTER!$A:$T,4,0),0)</f>
        <v>0</v>
      </c>
      <c r="E20" s="8">
        <f t="shared" si="0"/>
        <v>0</v>
      </c>
      <c r="F20" s="4">
        <f>IFERROR(VLOOKUP(A:A,MASTER!A:E,5,0),0)</f>
        <v>0</v>
      </c>
      <c r="G20" s="4">
        <f>IFERROR(VLOOKUP(A:A,MASTER!A:F,6,0),0)</f>
        <v>0</v>
      </c>
      <c r="H20" s="8">
        <f t="shared" si="1"/>
        <v>0</v>
      </c>
      <c r="I20" s="4">
        <f>IFERROR(VLOOKUP(A:A,MASTER!A:M,13,0),0)</f>
        <v>0</v>
      </c>
      <c r="J20" s="4">
        <f>IFERROR(VLOOKUP($A:$A,MASTER!$A:$T,14,0),0)</f>
        <v>0</v>
      </c>
      <c r="K20" s="8">
        <f t="shared" si="2"/>
        <v>0</v>
      </c>
      <c r="L20" s="4">
        <f>IFERROR(VLOOKUP($A:$A,MASTER!$A:$T,15,0),0)</f>
        <v>0</v>
      </c>
      <c r="M20" s="4">
        <f>IFERROR(VLOOKUP($A:$A,MASTER!$A:$T,16,0),0)</f>
        <v>0</v>
      </c>
      <c r="N20" s="8">
        <f t="shared" si="3"/>
        <v>0</v>
      </c>
      <c r="O20" s="4">
        <f>IFERROR(VLOOKUP($A:$A,MASTER!$A:$T,17,0),0)</f>
        <v>0</v>
      </c>
      <c r="P20" s="4">
        <f>IFERROR(VLOOKUP($A:$A,MASTER!$A:$T,18,0),0)</f>
        <v>0</v>
      </c>
      <c r="Q20" s="8">
        <f t="shared" si="4"/>
        <v>0</v>
      </c>
      <c r="R20" s="4">
        <f>IFERROR(VLOOKUP($A:$A,MASTER!$A:$T,19,0),0)</f>
        <v>0</v>
      </c>
      <c r="S20" s="4">
        <f>IFERROR(VLOOKUP($A:$A,MASTER!$A:$T,20,0),0)</f>
        <v>0</v>
      </c>
      <c r="T20" s="8">
        <f t="shared" si="5"/>
        <v>0</v>
      </c>
      <c r="U20" s="11">
        <f>IFERROR(VLOOKUP(A:A,MASTER!A:K,11,0),0)</f>
        <v>0</v>
      </c>
      <c r="V20" s="11">
        <f>IFERROR(VLOOKUP(A:A,MASTER!A:L,12,0),0)</f>
        <v>0</v>
      </c>
      <c r="W20" s="8">
        <f t="shared" si="6"/>
        <v>0</v>
      </c>
    </row>
    <row r="21" spans="1:23" ht="64.5" customHeight="1">
      <c r="A21" s="9" t="s">
        <v>13</v>
      </c>
      <c r="B21" s="1" t="s">
        <v>16</v>
      </c>
      <c r="C21" s="4">
        <f>IFERROR(VLOOKUP($A:$A,MASTER!$A:$T,3,0),0)</f>
        <v>274022042.54435277</v>
      </c>
      <c r="D21" s="4">
        <f>IFERROR(VLOOKUP($A:$A,MASTER!$A:$T,4,0),0)</f>
        <v>257896973.58365551</v>
      </c>
      <c r="E21" s="8">
        <f t="shared" si="0"/>
        <v>6.2525235316368333E-2</v>
      </c>
      <c r="F21" s="4">
        <f>IFERROR(VLOOKUP(A:A,MASTER!A:E,5,0),0)</f>
        <v>858558.55855856405</v>
      </c>
      <c r="G21" s="4">
        <f>IFERROR(VLOOKUP(A:A,MASTER!A:F,6,0),0)</f>
        <v>1690990.990990995</v>
      </c>
      <c r="H21" s="8">
        <f t="shared" si="1"/>
        <v>-0.49227490676611407</v>
      </c>
      <c r="I21" s="4">
        <f>IFERROR(VLOOKUP(A:A,MASTER!A:M,13,0),0)</f>
        <v>44193333.333333336</v>
      </c>
      <c r="J21" s="4">
        <f>IFERROR(VLOOKUP($A:$A,MASTER!$A:$T,14,0),0)</f>
        <v>50571171.171171166</v>
      </c>
      <c r="K21" s="8">
        <f t="shared" si="2"/>
        <v>-0.12611607938147984</v>
      </c>
      <c r="L21" s="4">
        <f>IFERROR(VLOOKUP($A:$A,MASTER!$A:$T,15,0),0)</f>
        <v>157858067.56756756</v>
      </c>
      <c r="M21" s="4">
        <f>IFERROR(VLOOKUP($A:$A,MASTER!$A:$T,16,0),0)</f>
        <v>148652099.0990991</v>
      </c>
      <c r="N21" s="8">
        <f t="shared" si="3"/>
        <v>6.192962308814276E-2</v>
      </c>
      <c r="O21" s="4">
        <f>IFERROR(VLOOKUP($A:$A,MASTER!$A:$T,17,0),0)</f>
        <v>48600720.720720723</v>
      </c>
      <c r="P21" s="4">
        <f>IFERROR(VLOOKUP($A:$A,MASTER!$A:$T,18,0),0)</f>
        <v>54530763.963963963</v>
      </c>
      <c r="Q21" s="8">
        <f t="shared" si="4"/>
        <v>-0.10874674793043504</v>
      </c>
      <c r="R21" s="4">
        <f>IFERROR(VLOOKUP($A:$A,MASTER!$A:$T,19,0),0)</f>
        <v>8200</v>
      </c>
      <c r="S21" s="4">
        <f>IFERROR(VLOOKUP($A:$A,MASTER!$A:$T,20,0),0)</f>
        <v>7225</v>
      </c>
      <c r="T21" s="8">
        <f t="shared" si="5"/>
        <v>0.13494809688581322</v>
      </c>
      <c r="U21" s="11">
        <f>IFERROR(VLOOKUP(A:A,MASTER!A:K,11,0),0)</f>
        <v>344</v>
      </c>
      <c r="V21" s="11">
        <f>IFERROR(VLOOKUP(A:A,MASTER!A:L,12,0),0)</f>
        <v>125</v>
      </c>
      <c r="W21" s="8">
        <f t="shared" si="6"/>
        <v>1.7519999999999998</v>
      </c>
    </row>
    <row r="22" spans="1:23" ht="64.5" customHeight="1">
      <c r="A22" s="9" t="s">
        <v>14</v>
      </c>
      <c r="B22" s="1" t="s">
        <v>16</v>
      </c>
      <c r="C22" s="4">
        <f>IFERROR(VLOOKUP($A:$A,MASTER!$A:$T,3,0),0)</f>
        <v>141136292.28974947</v>
      </c>
      <c r="D22" s="4">
        <f>IFERROR(VLOOKUP($A:$A,MASTER!$A:$T,4,0),0)</f>
        <v>132337613.65806945</v>
      </c>
      <c r="E22" s="8">
        <f t="shared" si="0"/>
        <v>6.6486604892346257E-2</v>
      </c>
      <c r="F22" s="4">
        <f>IFERROR(VLOOKUP(A:A,MASTER!A:E,5,0),0)</f>
        <v>91891.891891894993</v>
      </c>
      <c r="G22" s="4">
        <f>IFERROR(VLOOKUP(A:A,MASTER!A:F,6,0),0)</f>
        <v>830630.63063063298</v>
      </c>
      <c r="H22" s="8">
        <f t="shared" si="1"/>
        <v>-0.88937093275487733</v>
      </c>
      <c r="I22" s="4">
        <f>IFERROR(VLOOKUP(A:A,MASTER!A:M,13,0),0)</f>
        <v>12289909.909909911</v>
      </c>
      <c r="J22" s="4">
        <f>IFERROR(VLOOKUP($A:$A,MASTER!$A:$T,14,0),0)</f>
        <v>29449549.549549554</v>
      </c>
      <c r="K22" s="8">
        <f t="shared" si="2"/>
        <v>-0.58267918871791735</v>
      </c>
      <c r="L22" s="4">
        <f>IFERROR(VLOOKUP($A:$A,MASTER!$A:$T,15,0),0)</f>
        <v>46046162.162162162</v>
      </c>
      <c r="M22" s="4">
        <f>IFERROR(VLOOKUP($A:$A,MASTER!$A:$T,16,0),0)</f>
        <v>45179504.504504502</v>
      </c>
      <c r="N22" s="8">
        <f t="shared" si="3"/>
        <v>1.9182540117748559E-2</v>
      </c>
      <c r="O22" s="4">
        <f>IFERROR(VLOOKUP($A:$A,MASTER!$A:$T,17,0),0)</f>
        <v>12679279.279279279</v>
      </c>
      <c r="P22" s="4">
        <f>IFERROR(VLOOKUP($A:$A,MASTER!$A:$T,18,0),0)</f>
        <v>32098468.468468472</v>
      </c>
      <c r="Q22" s="8">
        <f t="shared" si="4"/>
        <v>-0.60498802951503405</v>
      </c>
      <c r="R22" s="4">
        <f>IFERROR(VLOOKUP($A:$A,MASTER!$A:$T,19,0),0)</f>
        <v>3945</v>
      </c>
      <c r="S22" s="4">
        <f>IFERROR(VLOOKUP($A:$A,MASTER!$A:$T,20,0),0)</f>
        <v>3806</v>
      </c>
      <c r="T22" s="8">
        <f t="shared" si="5"/>
        <v>3.652128218602213E-2</v>
      </c>
      <c r="U22" s="11">
        <f>IFERROR(VLOOKUP(A:A,MASTER!A:K,11,0),0)</f>
        <v>13</v>
      </c>
      <c r="V22" s="11">
        <f>IFERROR(VLOOKUP(A:A,MASTER!A:L,12,0),0)</f>
        <v>22</v>
      </c>
      <c r="W22" s="8">
        <f t="shared" si="6"/>
        <v>-0.40909090909090906</v>
      </c>
    </row>
  </sheetData>
  <autoFilter ref="A5:T22"/>
  <conditionalFormatting sqref="E6:E22">
    <cfRule type="cellIs" dxfId="6" priority="12" operator="lessThan">
      <formula>0</formula>
    </cfRule>
  </conditionalFormatting>
  <conditionalFormatting sqref="H6:H22">
    <cfRule type="cellIs" dxfId="5" priority="6" operator="lessThan">
      <formula>0</formula>
    </cfRule>
  </conditionalFormatting>
  <conditionalFormatting sqref="K6:K22">
    <cfRule type="cellIs" dxfId="4" priority="5" operator="lessThan">
      <formula>0</formula>
    </cfRule>
  </conditionalFormatting>
  <conditionalFormatting sqref="N6:N22">
    <cfRule type="cellIs" dxfId="3" priority="4" operator="lessThan">
      <formula>0</formula>
    </cfRule>
  </conditionalFormatting>
  <conditionalFormatting sqref="Q6:Q22">
    <cfRule type="cellIs" dxfId="2" priority="3" operator="lessThan">
      <formula>0</formula>
    </cfRule>
  </conditionalFormatting>
  <conditionalFormatting sqref="T6:T22">
    <cfRule type="cellIs" dxfId="1" priority="2" operator="lessThan">
      <formula>0</formula>
    </cfRule>
  </conditionalFormatting>
  <conditionalFormatting sqref="W6:W22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74"/>
  <sheetViews>
    <sheetView tabSelected="1" workbookViewId="0">
      <pane xSplit="1" ySplit="3" topLeftCell="B559" activePane="bottomRight" state="frozen"/>
      <selection pane="topRight" activeCell="B1" sqref="B1"/>
      <selection pane="bottomLeft" activeCell="A4" sqref="A4"/>
      <selection pane="bottomRight" activeCell="A3" sqref="A3:T571"/>
    </sheetView>
  </sheetViews>
  <sheetFormatPr defaultRowHeight="14.5"/>
  <cols>
    <col min="1" max="1" width="36.90625" bestFit="1" customWidth="1"/>
    <col min="2" max="2" width="19.36328125" bestFit="1" customWidth="1"/>
    <col min="3" max="3" width="25.81640625" bestFit="1" customWidth="1"/>
    <col min="4" max="4" width="17.6328125" bestFit="1" customWidth="1"/>
    <col min="5" max="5" width="18.6328125" bestFit="1" customWidth="1"/>
    <col min="6" max="6" width="11.81640625" bestFit="1" customWidth="1"/>
    <col min="7" max="8" width="10.453125" bestFit="1" customWidth="1"/>
    <col min="9" max="10" width="10.453125" customWidth="1"/>
    <col min="11" max="12" width="11.36328125" bestFit="1" customWidth="1"/>
    <col min="13" max="18" width="11.81640625" bestFit="1" customWidth="1"/>
  </cols>
  <sheetData>
    <row r="1" spans="1:20">
      <c r="L1" s="7"/>
      <c r="M1" s="7"/>
    </row>
    <row r="2" spans="1:20">
      <c r="A2" s="7" t="s">
        <v>37</v>
      </c>
      <c r="B2" s="10"/>
      <c r="C2" s="7" t="s">
        <v>38</v>
      </c>
      <c r="D2" s="7" t="s">
        <v>38</v>
      </c>
      <c r="E2" s="7" t="s">
        <v>39</v>
      </c>
      <c r="F2" s="7" t="s">
        <v>39</v>
      </c>
      <c r="G2" s="7" t="s">
        <v>40</v>
      </c>
      <c r="H2" s="7" t="s">
        <v>40</v>
      </c>
      <c r="I2" s="7" t="s">
        <v>664</v>
      </c>
      <c r="J2" s="7" t="s">
        <v>664</v>
      </c>
      <c r="K2" s="7" t="s">
        <v>41</v>
      </c>
      <c r="L2" s="7" t="s">
        <v>41</v>
      </c>
      <c r="M2" s="7" t="s">
        <v>42</v>
      </c>
      <c r="N2" s="7" t="s">
        <v>42</v>
      </c>
      <c r="O2" s="7" t="s">
        <v>43</v>
      </c>
      <c r="P2" s="7" t="s">
        <v>43</v>
      </c>
      <c r="Q2" s="7" t="s">
        <v>44</v>
      </c>
      <c r="R2" s="7" t="s">
        <v>44</v>
      </c>
      <c r="S2" s="7" t="s">
        <v>30</v>
      </c>
      <c r="T2" s="7" t="s">
        <v>30</v>
      </c>
    </row>
    <row r="3" spans="1:20">
      <c r="A3" s="15" t="s">
        <v>45</v>
      </c>
      <c r="B3" s="15" t="s">
        <v>46</v>
      </c>
      <c r="C3" s="15" t="s">
        <v>31</v>
      </c>
      <c r="D3" s="15" t="s">
        <v>32</v>
      </c>
      <c r="E3" s="15" t="s">
        <v>31</v>
      </c>
      <c r="F3" s="15" t="s">
        <v>32</v>
      </c>
      <c r="G3" s="15" t="s">
        <v>31</v>
      </c>
      <c r="H3" s="15" t="s">
        <v>32</v>
      </c>
      <c r="I3" s="15" t="s">
        <v>31</v>
      </c>
      <c r="J3" s="15" t="s">
        <v>32</v>
      </c>
      <c r="K3" s="15" t="s">
        <v>31</v>
      </c>
      <c r="L3" s="15" t="s">
        <v>32</v>
      </c>
      <c r="M3" s="15" t="s">
        <v>31</v>
      </c>
      <c r="N3" s="15" t="s">
        <v>32</v>
      </c>
      <c r="O3" s="15" t="s">
        <v>31</v>
      </c>
      <c r="P3" s="15" t="s">
        <v>32</v>
      </c>
      <c r="Q3" s="15" t="s">
        <v>31</v>
      </c>
      <c r="R3" s="15" t="s">
        <v>32</v>
      </c>
      <c r="S3" s="15" t="s">
        <v>31</v>
      </c>
      <c r="T3" s="15" t="s">
        <v>32</v>
      </c>
    </row>
    <row r="4" spans="1:20">
      <c r="A4" s="7" t="s">
        <v>47</v>
      </c>
      <c r="B4" s="16" t="s">
        <v>48</v>
      </c>
      <c r="C4">
        <v>379150508.20995927</v>
      </c>
      <c r="D4">
        <v>408594095.09929293</v>
      </c>
      <c r="E4">
        <v>1512837.8378378381</v>
      </c>
      <c r="F4">
        <v>1762837.837837839</v>
      </c>
      <c r="G4">
        <v>15</v>
      </c>
      <c r="H4">
        <v>44</v>
      </c>
      <c r="K4">
        <v>18</v>
      </c>
      <c r="L4">
        <v>75</v>
      </c>
      <c r="M4">
        <v>22127927.927927922</v>
      </c>
      <c r="N4">
        <v>45899279.279279277</v>
      </c>
      <c r="O4">
        <v>45526216.216216214</v>
      </c>
      <c r="P4">
        <v>51005601.801801801</v>
      </c>
      <c r="Q4">
        <v>14237297.297297295</v>
      </c>
      <c r="R4">
        <v>39892972.972972974</v>
      </c>
      <c r="S4">
        <v>7764</v>
      </c>
      <c r="T4">
        <v>8403</v>
      </c>
    </row>
    <row r="5" spans="1:20">
      <c r="A5" s="7" t="s">
        <v>49</v>
      </c>
      <c r="B5" s="16" t="s">
        <v>50</v>
      </c>
      <c r="C5">
        <v>649631791.49127042</v>
      </c>
      <c r="D5">
        <v>617828388.59372604</v>
      </c>
      <c r="E5">
        <v>4979009.0090090157</v>
      </c>
      <c r="F5">
        <v>5619819.8198198248</v>
      </c>
      <c r="G5">
        <v>337</v>
      </c>
      <c r="H5">
        <v>401</v>
      </c>
      <c r="I5">
        <v>10</v>
      </c>
      <c r="K5">
        <v>382</v>
      </c>
      <c r="L5">
        <v>664</v>
      </c>
      <c r="M5">
        <v>136573243.24324325</v>
      </c>
      <c r="N5">
        <v>98097117.117117122</v>
      </c>
      <c r="O5">
        <v>195491986.48648649</v>
      </c>
      <c r="P5">
        <v>195879603.6036036</v>
      </c>
      <c r="Q5">
        <v>130584954.95495497</v>
      </c>
      <c r="R5">
        <v>98589189.189189181</v>
      </c>
      <c r="S5">
        <v>20651</v>
      </c>
      <c r="T5">
        <v>20739</v>
      </c>
    </row>
    <row r="6" spans="1:20">
      <c r="A6" s="7" t="s">
        <v>51</v>
      </c>
      <c r="B6" s="16" t="s">
        <v>52</v>
      </c>
      <c r="C6">
        <v>152907869.69307443</v>
      </c>
      <c r="D6">
        <v>156068026.55828893</v>
      </c>
      <c r="E6">
        <v>1950225.2252252251</v>
      </c>
      <c r="F6">
        <v>4016216.2162162168</v>
      </c>
      <c r="G6">
        <v>29</v>
      </c>
      <c r="H6">
        <v>83</v>
      </c>
      <c r="K6">
        <v>30</v>
      </c>
      <c r="L6">
        <v>96</v>
      </c>
      <c r="M6">
        <v>27051801.801801801</v>
      </c>
      <c r="N6">
        <v>48432882.882882878</v>
      </c>
      <c r="O6">
        <v>54519081.081081077</v>
      </c>
      <c r="P6">
        <v>51066837.837837838</v>
      </c>
      <c r="Q6">
        <v>13934504.504504502</v>
      </c>
      <c r="R6">
        <v>44875585.585585594</v>
      </c>
      <c r="S6">
        <v>4503</v>
      </c>
      <c r="T6">
        <v>4480</v>
      </c>
    </row>
    <row r="7" spans="1:20">
      <c r="A7" s="7" t="s">
        <v>53</v>
      </c>
      <c r="B7" s="16" t="s">
        <v>54</v>
      </c>
      <c r="C7">
        <v>83964348.282653034</v>
      </c>
      <c r="D7">
        <v>84506359.003926754</v>
      </c>
      <c r="E7">
        <v>862612.61261261394</v>
      </c>
      <c r="F7">
        <v>709009.00900901097</v>
      </c>
      <c r="G7">
        <v>21</v>
      </c>
      <c r="H7">
        <v>23</v>
      </c>
      <c r="K7">
        <v>24</v>
      </c>
      <c r="L7">
        <v>34</v>
      </c>
      <c r="M7">
        <v>9835135.1351351347</v>
      </c>
      <c r="N7">
        <v>7176036.036036036</v>
      </c>
      <c r="O7">
        <v>27884558.558558561</v>
      </c>
      <c r="P7">
        <v>26712876.126126129</v>
      </c>
      <c r="Q7">
        <v>9720000</v>
      </c>
      <c r="R7">
        <v>7887387.3873873875</v>
      </c>
      <c r="S7">
        <v>3734</v>
      </c>
      <c r="T7">
        <v>3642</v>
      </c>
    </row>
    <row r="8" spans="1:20">
      <c r="A8" s="7" t="s">
        <v>55</v>
      </c>
      <c r="B8" s="16" t="s">
        <v>54</v>
      </c>
      <c r="C8">
        <v>140451846.08642331</v>
      </c>
      <c r="D8">
        <v>138142722.57380331</v>
      </c>
      <c r="E8">
        <v>568018.01801801997</v>
      </c>
      <c r="F8">
        <v>2801801.8018018031</v>
      </c>
      <c r="G8">
        <v>48</v>
      </c>
      <c r="H8">
        <v>52</v>
      </c>
      <c r="K8">
        <v>71</v>
      </c>
      <c r="L8">
        <v>114</v>
      </c>
      <c r="M8">
        <v>31705855.855855852</v>
      </c>
      <c r="N8">
        <v>22331531.531531531</v>
      </c>
      <c r="O8">
        <v>36250657.657657653</v>
      </c>
      <c r="P8">
        <v>39545918.918918923</v>
      </c>
      <c r="Q8">
        <v>31506486.486486487</v>
      </c>
      <c r="R8">
        <v>45464054.054054059</v>
      </c>
      <c r="S8">
        <v>4319</v>
      </c>
      <c r="T8">
        <v>4429</v>
      </c>
    </row>
    <row r="9" spans="1:20">
      <c r="A9" s="7" t="s">
        <v>56</v>
      </c>
      <c r="B9" s="16" t="s">
        <v>54</v>
      </c>
      <c r="C9">
        <v>70628153.703555003</v>
      </c>
      <c r="D9">
        <v>67546972.646580502</v>
      </c>
      <c r="E9">
        <v>550630.630630631</v>
      </c>
      <c r="F9">
        <v>1081081.0810810809</v>
      </c>
      <c r="G9">
        <v>10</v>
      </c>
      <c r="H9">
        <v>15</v>
      </c>
      <c r="K9">
        <v>14</v>
      </c>
      <c r="L9">
        <v>18</v>
      </c>
      <c r="M9">
        <v>5668648.6486486467</v>
      </c>
      <c r="N9">
        <v>7285405.4054054059</v>
      </c>
      <c r="O9">
        <v>21340405.405405402</v>
      </c>
      <c r="P9">
        <v>20804171.17117117</v>
      </c>
      <c r="Q9">
        <v>4805495.4954954954</v>
      </c>
      <c r="R9">
        <v>6171801.8018018026</v>
      </c>
      <c r="S9">
        <v>2078</v>
      </c>
      <c r="T9">
        <v>2044</v>
      </c>
    </row>
    <row r="10" spans="1:20">
      <c r="A10" s="7" t="s">
        <v>57</v>
      </c>
      <c r="B10" s="16" t="s">
        <v>58</v>
      </c>
      <c r="C10">
        <v>182902571.7636697</v>
      </c>
      <c r="D10">
        <v>183848806.19242251</v>
      </c>
      <c r="E10">
        <v>1809009.0090090099</v>
      </c>
      <c r="F10">
        <v>121621.621621623</v>
      </c>
      <c r="G10">
        <v>53</v>
      </c>
      <c r="H10">
        <v>60</v>
      </c>
      <c r="K10">
        <v>62</v>
      </c>
      <c r="L10">
        <v>69</v>
      </c>
      <c r="M10">
        <v>4529729.7297297297</v>
      </c>
      <c r="N10">
        <v>3364864.8648648649</v>
      </c>
      <c r="O10">
        <v>32779909.909909908</v>
      </c>
      <c r="P10">
        <v>34317081.081081077</v>
      </c>
      <c r="Q10">
        <v>3739729.729729732</v>
      </c>
      <c r="R10">
        <v>3205855.855855857</v>
      </c>
      <c r="S10">
        <v>5689</v>
      </c>
      <c r="T10">
        <v>5411</v>
      </c>
    </row>
    <row r="11" spans="1:20">
      <c r="A11" s="7" t="s">
        <v>59</v>
      </c>
      <c r="B11" s="16" t="s">
        <v>60</v>
      </c>
      <c r="C11">
        <v>77739259.035012588</v>
      </c>
      <c r="D11">
        <v>78767595.548392221</v>
      </c>
      <c r="E11">
        <v>202342.34234234301</v>
      </c>
      <c r="F11">
        <v>546846.84684684896</v>
      </c>
      <c r="G11">
        <v>14</v>
      </c>
      <c r="H11">
        <v>35</v>
      </c>
      <c r="K11">
        <v>17</v>
      </c>
      <c r="L11">
        <v>54</v>
      </c>
      <c r="M11">
        <v>9832972.9729729705</v>
      </c>
      <c r="N11">
        <v>10357657.657657657</v>
      </c>
      <c r="O11">
        <v>36323729.729729727</v>
      </c>
      <c r="P11">
        <v>36430684.684684686</v>
      </c>
      <c r="Q11">
        <v>8066666.6666666651</v>
      </c>
      <c r="R11">
        <v>8568828.8288288303</v>
      </c>
      <c r="S11">
        <v>2758</v>
      </c>
      <c r="T11">
        <v>3036</v>
      </c>
    </row>
    <row r="12" spans="1:20">
      <c r="A12" s="7" t="s">
        <v>61</v>
      </c>
      <c r="B12" s="16" t="s">
        <v>62</v>
      </c>
      <c r="C12">
        <v>368429853.97266084</v>
      </c>
      <c r="D12">
        <v>356834014.12199503</v>
      </c>
      <c r="E12">
        <v>72972.972972977004</v>
      </c>
      <c r="F12">
        <v>3486036.0360360448</v>
      </c>
      <c r="G12">
        <v>80</v>
      </c>
      <c r="H12">
        <v>42</v>
      </c>
      <c r="K12">
        <v>90</v>
      </c>
      <c r="L12">
        <v>47</v>
      </c>
      <c r="M12">
        <v>8428288.2882882897</v>
      </c>
      <c r="N12">
        <v>54049729.729729734</v>
      </c>
      <c r="O12">
        <v>39583243.24324324</v>
      </c>
      <c r="P12">
        <v>37697151.351351351</v>
      </c>
      <c r="Q12">
        <v>8922522.5225225259</v>
      </c>
      <c r="R12">
        <v>52318018.018018007</v>
      </c>
      <c r="S12">
        <v>8978</v>
      </c>
      <c r="T12">
        <v>8698</v>
      </c>
    </row>
    <row r="13" spans="1:20">
      <c r="A13" s="7" t="s">
        <v>63</v>
      </c>
      <c r="B13" s="16" t="s">
        <v>50</v>
      </c>
      <c r="C13">
        <v>188866338.51029405</v>
      </c>
      <c r="D13">
        <v>192017685.6970517</v>
      </c>
      <c r="E13">
        <v>653153.15315315395</v>
      </c>
      <c r="F13">
        <v>2221621.621621625</v>
      </c>
      <c r="G13">
        <v>30</v>
      </c>
      <c r="H13">
        <v>68</v>
      </c>
      <c r="K13">
        <v>35</v>
      </c>
      <c r="L13">
        <v>107</v>
      </c>
      <c r="M13">
        <v>69772162.162162155</v>
      </c>
      <c r="N13">
        <v>47941981.981981985</v>
      </c>
      <c r="O13">
        <v>71479927.927927926</v>
      </c>
      <c r="P13">
        <v>72786855.855855852</v>
      </c>
      <c r="Q13">
        <v>69487747.747747749</v>
      </c>
      <c r="R13">
        <v>45853873.873873875</v>
      </c>
      <c r="S13">
        <v>5424</v>
      </c>
      <c r="T13">
        <v>5602</v>
      </c>
    </row>
    <row r="14" spans="1:20">
      <c r="A14" s="7" t="s">
        <v>64</v>
      </c>
      <c r="B14" s="16" t="s">
        <v>50</v>
      </c>
      <c r="C14">
        <v>197688032.01306242</v>
      </c>
      <c r="D14">
        <v>195385073.65906385</v>
      </c>
      <c r="E14">
        <v>1465315.315315315</v>
      </c>
      <c r="F14">
        <v>2873873.873873875</v>
      </c>
      <c r="G14">
        <v>27</v>
      </c>
      <c r="H14">
        <v>47</v>
      </c>
      <c r="K14">
        <v>32</v>
      </c>
      <c r="L14">
        <v>64</v>
      </c>
      <c r="M14">
        <v>46007567.567567565</v>
      </c>
      <c r="N14">
        <v>18757657.657657657</v>
      </c>
      <c r="O14">
        <v>75364432.432432428</v>
      </c>
      <c r="P14">
        <v>74441675.675675675</v>
      </c>
      <c r="Q14">
        <v>42799729.729729727</v>
      </c>
      <c r="R14">
        <v>17837117.117117114</v>
      </c>
      <c r="S14">
        <v>5347</v>
      </c>
      <c r="T14">
        <v>5542</v>
      </c>
    </row>
    <row r="15" spans="1:20">
      <c r="A15" s="7" t="s">
        <v>65</v>
      </c>
      <c r="B15" s="16" t="s">
        <v>66</v>
      </c>
      <c r="C15">
        <v>205029498.81461978</v>
      </c>
      <c r="D15">
        <v>197487141.67904934</v>
      </c>
      <c r="E15">
        <v>1610000.0000000021</v>
      </c>
      <c r="F15">
        <v>2909909.9099099119</v>
      </c>
      <c r="G15">
        <v>87</v>
      </c>
      <c r="H15">
        <v>50</v>
      </c>
      <c r="K15">
        <v>98</v>
      </c>
      <c r="L15">
        <v>65</v>
      </c>
      <c r="M15">
        <v>46007207.20720721</v>
      </c>
      <c r="N15">
        <v>82794144.144144148</v>
      </c>
      <c r="O15">
        <v>100803864.86486487</v>
      </c>
      <c r="P15">
        <v>100252927.92792794</v>
      </c>
      <c r="Q15">
        <v>39481711.711711712</v>
      </c>
      <c r="R15">
        <v>57592792.79279279</v>
      </c>
      <c r="S15">
        <v>5613</v>
      </c>
      <c r="T15">
        <v>5557</v>
      </c>
    </row>
    <row r="16" spans="1:20">
      <c r="A16" s="7" t="s">
        <v>67</v>
      </c>
      <c r="B16" s="16" t="s">
        <v>68</v>
      </c>
      <c r="C16">
        <v>118289464.76957889</v>
      </c>
      <c r="D16">
        <v>113745038.19158708</v>
      </c>
      <c r="E16">
        <v>85013165.765765756</v>
      </c>
      <c r="F16">
        <v>71898018.918918923</v>
      </c>
      <c r="G16">
        <v>49</v>
      </c>
      <c r="H16">
        <v>42</v>
      </c>
      <c r="K16">
        <v>56</v>
      </c>
      <c r="L16">
        <v>52</v>
      </c>
      <c r="M16">
        <v>17040045.045045044</v>
      </c>
      <c r="N16">
        <v>21116216.216216218</v>
      </c>
      <c r="O16">
        <v>30747972.97297297</v>
      </c>
      <c r="P16">
        <v>31482495.495495494</v>
      </c>
      <c r="Q16">
        <v>15485225.225225223</v>
      </c>
      <c r="R16">
        <v>14136486.486486483</v>
      </c>
      <c r="S16">
        <v>3426</v>
      </c>
      <c r="T16">
        <v>3242</v>
      </c>
    </row>
    <row r="17" spans="1:20">
      <c r="A17" s="7" t="s">
        <v>69</v>
      </c>
      <c r="B17" s="16" t="s">
        <v>70</v>
      </c>
      <c r="C17">
        <v>8827280.0748540927</v>
      </c>
      <c r="D17">
        <v>9143174.0536516961</v>
      </c>
      <c r="E17">
        <v>48548328.828828834</v>
      </c>
      <c r="F17">
        <v>52617918.018018015</v>
      </c>
      <c r="G17">
        <v>2</v>
      </c>
      <c r="H17">
        <v>2</v>
      </c>
      <c r="K17">
        <v>2</v>
      </c>
      <c r="L17">
        <v>2</v>
      </c>
      <c r="M17">
        <v>37578644.144144148</v>
      </c>
      <c r="N17">
        <v>36088298.198198199</v>
      </c>
      <c r="O17">
        <v>1870090.0900900899</v>
      </c>
      <c r="P17">
        <v>2582783.7837837841</v>
      </c>
      <c r="Q17">
        <v>298828.828828828</v>
      </c>
      <c r="R17">
        <v>194594.59459459499</v>
      </c>
      <c r="S17">
        <v>356</v>
      </c>
      <c r="T17">
        <v>308</v>
      </c>
    </row>
    <row r="18" spans="1:20">
      <c r="A18" s="7" t="s">
        <v>71</v>
      </c>
      <c r="B18" s="16" t="s">
        <v>72</v>
      </c>
      <c r="C18">
        <v>1627855702.9268727</v>
      </c>
      <c r="D18">
        <v>1567074299.4712446</v>
      </c>
      <c r="E18">
        <v>458498161.26126122</v>
      </c>
      <c r="F18">
        <v>503234524.32432437</v>
      </c>
      <c r="G18">
        <v>488</v>
      </c>
      <c r="H18">
        <v>448</v>
      </c>
      <c r="I18">
        <v>19</v>
      </c>
      <c r="K18">
        <v>740</v>
      </c>
      <c r="L18">
        <v>728</v>
      </c>
      <c r="M18">
        <v>187551809.009009</v>
      </c>
      <c r="N18">
        <v>167550007.2072072</v>
      </c>
      <c r="O18">
        <v>310148897.2972973</v>
      </c>
      <c r="P18">
        <v>315049099.0990991</v>
      </c>
      <c r="Q18">
        <v>159110900.9009009</v>
      </c>
      <c r="R18">
        <v>145047520.72072074</v>
      </c>
      <c r="S18">
        <v>45571</v>
      </c>
      <c r="T18">
        <v>45223</v>
      </c>
    </row>
    <row r="19" spans="1:20">
      <c r="A19" s="7" t="s">
        <v>73</v>
      </c>
      <c r="B19" s="16" t="s">
        <v>72</v>
      </c>
      <c r="C19">
        <v>163588734.74874875</v>
      </c>
      <c r="D19">
        <v>148474287.77050847</v>
      </c>
      <c r="E19">
        <v>3603.603603604</v>
      </c>
      <c r="F19">
        <v>109909.909909911</v>
      </c>
      <c r="G19">
        <v>42</v>
      </c>
      <c r="H19">
        <v>40</v>
      </c>
      <c r="K19">
        <v>45</v>
      </c>
      <c r="L19">
        <v>42</v>
      </c>
      <c r="M19">
        <v>3327927.9279279271</v>
      </c>
      <c r="N19">
        <v>4299099.0990990987</v>
      </c>
      <c r="O19">
        <v>21359729.729729727</v>
      </c>
      <c r="P19">
        <v>21778351.351351351</v>
      </c>
      <c r="Q19">
        <v>2989189.1891891882</v>
      </c>
      <c r="R19">
        <v>4188648.648648649</v>
      </c>
      <c r="S19">
        <v>3918</v>
      </c>
      <c r="T19">
        <v>3390</v>
      </c>
    </row>
    <row r="20" spans="1:20">
      <c r="A20" s="7" t="s">
        <v>74</v>
      </c>
      <c r="B20" s="16" t="s">
        <v>70</v>
      </c>
      <c r="C20">
        <v>160206565.78944468</v>
      </c>
      <c r="D20">
        <v>158796431.4731504</v>
      </c>
      <c r="E20">
        <v>1460450.450450453</v>
      </c>
      <c r="F20">
        <v>4048648.6486486532</v>
      </c>
      <c r="G20">
        <v>41</v>
      </c>
      <c r="H20">
        <v>54</v>
      </c>
      <c r="K20">
        <v>50</v>
      </c>
      <c r="L20">
        <v>71</v>
      </c>
      <c r="M20">
        <v>27975765.765765768</v>
      </c>
      <c r="N20">
        <v>34300000.000000007</v>
      </c>
      <c r="O20">
        <v>54695927.927927926</v>
      </c>
      <c r="P20">
        <v>56740207.20720721</v>
      </c>
      <c r="Q20">
        <v>40650090.090090096</v>
      </c>
      <c r="R20">
        <v>33003333.333333336</v>
      </c>
      <c r="S20">
        <v>4338</v>
      </c>
      <c r="T20">
        <v>4484</v>
      </c>
    </row>
    <row r="21" spans="1:20">
      <c r="A21" s="7" t="s">
        <v>75</v>
      </c>
      <c r="B21" s="16" t="s">
        <v>76</v>
      </c>
      <c r="C21">
        <v>45287920.474711061</v>
      </c>
      <c r="D21">
        <v>45948237.207551986</v>
      </c>
      <c r="E21">
        <v>79279.279279280003</v>
      </c>
      <c r="F21">
        <v>412612.61261261301</v>
      </c>
      <c r="G21">
        <v>12</v>
      </c>
      <c r="H21">
        <v>8</v>
      </c>
      <c r="K21">
        <v>12</v>
      </c>
      <c r="L21">
        <v>10</v>
      </c>
      <c r="M21">
        <v>5402702.7027027039</v>
      </c>
      <c r="N21">
        <v>5349729.7297297297</v>
      </c>
      <c r="O21">
        <v>11648738.73873874</v>
      </c>
      <c r="P21">
        <v>11957621.62162162</v>
      </c>
      <c r="Q21">
        <v>4605765.7657657657</v>
      </c>
      <c r="R21">
        <v>3834594.5945945941</v>
      </c>
      <c r="S21">
        <v>1490</v>
      </c>
      <c r="T21">
        <v>1488</v>
      </c>
    </row>
    <row r="22" spans="1:20">
      <c r="A22" s="7" t="s">
        <v>77</v>
      </c>
      <c r="B22" s="16" t="s">
        <v>78</v>
      </c>
      <c r="C22">
        <v>105335448.91398704</v>
      </c>
      <c r="D22">
        <v>96960369.750373006</v>
      </c>
      <c r="E22">
        <v>464954.95495495398</v>
      </c>
      <c r="F22">
        <v>1407207.2072072071</v>
      </c>
      <c r="G22">
        <v>22</v>
      </c>
      <c r="H22">
        <v>21</v>
      </c>
      <c r="K22">
        <v>24</v>
      </c>
      <c r="L22">
        <v>24</v>
      </c>
      <c r="M22">
        <v>11663153.153153151</v>
      </c>
      <c r="N22">
        <v>10803603.603603603</v>
      </c>
      <c r="O22">
        <v>32580261.261261266</v>
      </c>
      <c r="P22">
        <v>31788495.495495494</v>
      </c>
      <c r="Q22">
        <v>10287837.837837836</v>
      </c>
      <c r="R22">
        <v>11954774.774774777</v>
      </c>
      <c r="S22">
        <v>2504</v>
      </c>
      <c r="T22">
        <v>2480</v>
      </c>
    </row>
    <row r="23" spans="1:20">
      <c r="A23" s="7" t="s">
        <v>79</v>
      </c>
      <c r="B23" s="16" t="s">
        <v>80</v>
      </c>
      <c r="C23">
        <v>953775584.55287993</v>
      </c>
      <c r="D23">
        <v>920028405.52914405</v>
      </c>
      <c r="E23">
        <v>3182657.6576576638</v>
      </c>
      <c r="F23">
        <v>5557657.6576576671</v>
      </c>
      <c r="G23">
        <v>311</v>
      </c>
      <c r="H23">
        <v>645</v>
      </c>
      <c r="I23">
        <v>3</v>
      </c>
      <c r="K23">
        <v>391</v>
      </c>
      <c r="L23">
        <v>781</v>
      </c>
      <c r="M23">
        <v>408694414.41441441</v>
      </c>
      <c r="N23">
        <v>90086036.036036029</v>
      </c>
      <c r="O23">
        <v>232390680.18018019</v>
      </c>
      <c r="P23">
        <v>238749686.93693691</v>
      </c>
      <c r="Q23">
        <v>80557027.027027026</v>
      </c>
      <c r="R23">
        <v>80311981.981981978</v>
      </c>
      <c r="S23">
        <v>26193</v>
      </c>
      <c r="T23">
        <v>26697</v>
      </c>
    </row>
    <row r="24" spans="1:20">
      <c r="A24" s="7" t="s">
        <v>81</v>
      </c>
      <c r="B24" s="16" t="s">
        <v>54</v>
      </c>
      <c r="C24">
        <v>27554770.362469383</v>
      </c>
      <c r="D24">
        <v>28522514.356907632</v>
      </c>
      <c r="E24">
        <v>141441.441441442</v>
      </c>
      <c r="F24">
        <v>333333.333333335</v>
      </c>
      <c r="G24">
        <v>8</v>
      </c>
      <c r="H24">
        <v>10</v>
      </c>
      <c r="K24">
        <v>10</v>
      </c>
      <c r="L24">
        <v>16</v>
      </c>
      <c r="M24">
        <v>3087837.8378378358</v>
      </c>
      <c r="N24">
        <v>2058558.55855856</v>
      </c>
      <c r="O24">
        <v>6017027.0270270268</v>
      </c>
      <c r="P24">
        <v>6455990.9909909898</v>
      </c>
      <c r="Q24">
        <v>2737207.2072072062</v>
      </c>
      <c r="R24">
        <v>1770270.270270271</v>
      </c>
      <c r="S24">
        <v>1339</v>
      </c>
      <c r="T24">
        <v>1383</v>
      </c>
    </row>
    <row r="25" spans="1:20">
      <c r="A25" s="7" t="s">
        <v>82</v>
      </c>
      <c r="B25" s="16" t="s">
        <v>83</v>
      </c>
      <c r="C25">
        <v>659090830.02902281</v>
      </c>
      <c r="D25">
        <v>659591144.76747108</v>
      </c>
      <c r="E25">
        <v>5525990.9909909936</v>
      </c>
      <c r="F25">
        <v>7093018.0180180203</v>
      </c>
      <c r="G25">
        <v>107</v>
      </c>
      <c r="H25">
        <v>117</v>
      </c>
      <c r="I25">
        <v>1</v>
      </c>
      <c r="K25">
        <v>121</v>
      </c>
      <c r="L25">
        <v>143</v>
      </c>
      <c r="M25">
        <v>118065855.85585585</v>
      </c>
      <c r="N25">
        <v>144305855.85585585</v>
      </c>
      <c r="O25">
        <v>185181421.62162164</v>
      </c>
      <c r="P25">
        <v>193450033.78378376</v>
      </c>
      <c r="Q25">
        <v>103457207.20720722</v>
      </c>
      <c r="R25">
        <v>102488648.64864865</v>
      </c>
      <c r="S25">
        <v>15302</v>
      </c>
      <c r="T25">
        <v>14951</v>
      </c>
    </row>
    <row r="26" spans="1:20">
      <c r="A26" s="7" t="s">
        <v>84</v>
      </c>
      <c r="B26" s="16" t="s">
        <v>85</v>
      </c>
      <c r="C26">
        <v>69485657.472785607</v>
      </c>
      <c r="D26">
        <v>60397800.586121067</v>
      </c>
      <c r="E26">
        <v>274324.32432432502</v>
      </c>
      <c r="F26">
        <v>1299774.7747747761</v>
      </c>
      <c r="G26">
        <v>28</v>
      </c>
      <c r="H26">
        <v>35</v>
      </c>
      <c r="K26">
        <v>36</v>
      </c>
      <c r="L26">
        <v>44</v>
      </c>
      <c r="M26">
        <v>63275225.225225225</v>
      </c>
      <c r="N26">
        <v>99279279.279279277</v>
      </c>
      <c r="O26">
        <v>23102927.927927926</v>
      </c>
      <c r="P26">
        <v>21830090.090090089</v>
      </c>
      <c r="Q26">
        <v>48065225.225225225</v>
      </c>
      <c r="R26">
        <v>76851261.261261269</v>
      </c>
      <c r="S26">
        <v>2343</v>
      </c>
      <c r="T26">
        <v>5139</v>
      </c>
    </row>
    <row r="27" spans="1:20">
      <c r="A27" s="7" t="s">
        <v>86</v>
      </c>
      <c r="B27" s="16" t="s">
        <v>87</v>
      </c>
      <c r="C27">
        <v>2721147.3362449072</v>
      </c>
      <c r="D27">
        <v>2219081.9639505581</v>
      </c>
      <c r="G27">
        <v>2</v>
      </c>
      <c r="H27">
        <v>1</v>
      </c>
      <c r="K27">
        <v>3</v>
      </c>
      <c r="L27">
        <v>1</v>
      </c>
      <c r="O27">
        <v>824819.81981981895</v>
      </c>
      <c r="P27">
        <v>943072.072072073</v>
      </c>
      <c r="S27">
        <v>144</v>
      </c>
      <c r="T27">
        <v>145</v>
      </c>
    </row>
    <row r="28" spans="1:20">
      <c r="A28" s="7" t="s">
        <v>88</v>
      </c>
      <c r="B28" s="16" t="s">
        <v>89</v>
      </c>
      <c r="C28">
        <v>134945300.82165325</v>
      </c>
      <c r="D28">
        <v>133465567.8994558</v>
      </c>
      <c r="E28">
        <v>551126.12612612802</v>
      </c>
      <c r="F28">
        <v>1280180.180180182</v>
      </c>
      <c r="G28">
        <v>16</v>
      </c>
      <c r="H28">
        <v>17</v>
      </c>
      <c r="K28">
        <v>18</v>
      </c>
      <c r="L28">
        <v>19</v>
      </c>
      <c r="M28">
        <v>12898738.73873874</v>
      </c>
      <c r="N28">
        <v>15209189.189189188</v>
      </c>
      <c r="O28">
        <v>46473513.513513513</v>
      </c>
      <c r="P28">
        <v>46646495.495495498</v>
      </c>
      <c r="Q28">
        <v>10473243.243243242</v>
      </c>
      <c r="R28">
        <v>16703243.24324324</v>
      </c>
      <c r="S28">
        <v>3399</v>
      </c>
      <c r="T28">
        <v>3430</v>
      </c>
    </row>
    <row r="29" spans="1:20">
      <c r="A29" s="7" t="s">
        <v>90</v>
      </c>
      <c r="B29" s="16" t="s">
        <v>60</v>
      </c>
      <c r="C29">
        <v>43695905.633825555</v>
      </c>
      <c r="D29">
        <v>48402371.847416148</v>
      </c>
      <c r="E29">
        <v>60360.360360361003</v>
      </c>
      <c r="F29">
        <v>98198.198198198996</v>
      </c>
      <c r="G29">
        <v>18</v>
      </c>
      <c r="H29">
        <v>10</v>
      </c>
      <c r="K29">
        <v>84</v>
      </c>
      <c r="L29">
        <v>103</v>
      </c>
      <c r="M29">
        <v>4663963.9639639622</v>
      </c>
      <c r="N29">
        <v>3359459.4594594599</v>
      </c>
      <c r="O29">
        <v>25414684.684684683</v>
      </c>
      <c r="P29">
        <v>29513468.468468469</v>
      </c>
      <c r="Q29">
        <v>5168468.4684684696</v>
      </c>
      <c r="R29">
        <v>3650900.9009008999</v>
      </c>
      <c r="S29">
        <v>1570</v>
      </c>
      <c r="T29">
        <v>1580</v>
      </c>
    </row>
    <row r="30" spans="1:20">
      <c r="A30" s="7" t="s">
        <v>91</v>
      </c>
      <c r="B30" s="16" t="s">
        <v>92</v>
      </c>
      <c r="C30">
        <v>40291348.610153407</v>
      </c>
      <c r="D30">
        <v>40085941.346892253</v>
      </c>
      <c r="E30">
        <v>413288.28828828997</v>
      </c>
      <c r="F30">
        <v>1957657.657657658</v>
      </c>
      <c r="G30">
        <v>14</v>
      </c>
      <c r="H30">
        <v>11</v>
      </c>
      <c r="K30">
        <v>16</v>
      </c>
      <c r="L30">
        <v>14</v>
      </c>
      <c r="M30">
        <v>757477.47747747705</v>
      </c>
      <c r="N30">
        <v>11110810.810810812</v>
      </c>
      <c r="O30">
        <v>13429504.504504504</v>
      </c>
      <c r="P30">
        <v>12828612.612612613</v>
      </c>
      <c r="Q30">
        <v>552972.97297297302</v>
      </c>
      <c r="R30">
        <v>11529279.27927928</v>
      </c>
      <c r="S30">
        <v>1053</v>
      </c>
      <c r="T30">
        <v>1034</v>
      </c>
    </row>
    <row r="31" spans="1:20">
      <c r="A31" s="7" t="s">
        <v>93</v>
      </c>
      <c r="B31" s="16" t="s">
        <v>94</v>
      </c>
      <c r="C31">
        <v>180496728.15813851</v>
      </c>
      <c r="D31">
        <v>174372207.39244419</v>
      </c>
      <c r="E31">
        <v>582882.88288288401</v>
      </c>
      <c r="F31">
        <v>362162.162162163</v>
      </c>
      <c r="G31">
        <v>43</v>
      </c>
      <c r="H31">
        <v>29</v>
      </c>
      <c r="K31">
        <v>47</v>
      </c>
      <c r="L31">
        <v>37</v>
      </c>
      <c r="M31">
        <v>21162162.162162162</v>
      </c>
      <c r="N31">
        <v>18880180.180180181</v>
      </c>
      <c r="O31">
        <v>25013234.234234232</v>
      </c>
      <c r="P31">
        <v>24560340.540540539</v>
      </c>
      <c r="Q31">
        <v>18359459.459459461</v>
      </c>
      <c r="R31">
        <v>16461981.981981982</v>
      </c>
      <c r="S31">
        <v>4405</v>
      </c>
      <c r="T31">
        <v>4419</v>
      </c>
    </row>
    <row r="32" spans="1:20">
      <c r="A32" s="7" t="s">
        <v>95</v>
      </c>
      <c r="B32" s="16" t="s">
        <v>96</v>
      </c>
      <c r="C32">
        <v>184667666.3775785</v>
      </c>
      <c r="D32">
        <v>181104558.57366562</v>
      </c>
      <c r="E32">
        <v>216216.216216217</v>
      </c>
      <c r="F32">
        <v>849549.54954955203</v>
      </c>
      <c r="G32">
        <v>46</v>
      </c>
      <c r="H32">
        <v>38</v>
      </c>
      <c r="K32">
        <v>51</v>
      </c>
      <c r="L32">
        <v>43</v>
      </c>
      <c r="M32">
        <v>21986756.756756756</v>
      </c>
      <c r="N32">
        <v>34591891.891891889</v>
      </c>
      <c r="O32">
        <v>88463144.144144148</v>
      </c>
      <c r="P32">
        <v>90894900.9009009</v>
      </c>
      <c r="Q32">
        <v>27161711.711711712</v>
      </c>
      <c r="R32">
        <v>30984684.684684683</v>
      </c>
      <c r="S32">
        <v>6024</v>
      </c>
      <c r="T32">
        <v>6341</v>
      </c>
    </row>
    <row r="33" spans="1:20">
      <c r="A33" s="7" t="s">
        <v>97</v>
      </c>
      <c r="B33" s="16" t="s">
        <v>98</v>
      </c>
      <c r="C33">
        <v>639532031.47551668</v>
      </c>
      <c r="D33">
        <v>633703642.75615156</v>
      </c>
      <c r="E33">
        <v>2250315.3153153178</v>
      </c>
      <c r="F33">
        <v>6663963.9639639668</v>
      </c>
      <c r="G33">
        <v>297</v>
      </c>
      <c r="H33">
        <v>251</v>
      </c>
      <c r="K33">
        <v>342</v>
      </c>
      <c r="L33">
        <v>333</v>
      </c>
      <c r="M33">
        <v>89950270.270270273</v>
      </c>
      <c r="N33">
        <v>124523873.87387387</v>
      </c>
      <c r="O33">
        <v>166183196.3963964</v>
      </c>
      <c r="P33">
        <v>163715922.07207206</v>
      </c>
      <c r="Q33">
        <v>88956306.306306303</v>
      </c>
      <c r="R33">
        <v>79947927.927927926</v>
      </c>
      <c r="S33">
        <v>22666</v>
      </c>
      <c r="T33">
        <v>22494</v>
      </c>
    </row>
    <row r="34" spans="1:20">
      <c r="A34" s="7" t="s">
        <v>99</v>
      </c>
      <c r="B34" s="16" t="s">
        <v>98</v>
      </c>
      <c r="C34">
        <v>1062958717.9177208</v>
      </c>
      <c r="D34">
        <v>1027760701.9117597</v>
      </c>
      <c r="E34">
        <v>928643.24324324995</v>
      </c>
      <c r="F34">
        <v>4254823.423423429</v>
      </c>
      <c r="G34">
        <v>301</v>
      </c>
      <c r="H34">
        <v>304</v>
      </c>
      <c r="K34">
        <v>364</v>
      </c>
      <c r="L34">
        <v>505</v>
      </c>
      <c r="M34">
        <v>65002477.477477469</v>
      </c>
      <c r="N34">
        <v>54628828.828828834</v>
      </c>
      <c r="O34">
        <v>201072202.7027027</v>
      </c>
      <c r="P34">
        <v>197943925.67567569</v>
      </c>
      <c r="Q34">
        <v>64467972.972972974</v>
      </c>
      <c r="R34">
        <v>51463063.063063063</v>
      </c>
      <c r="S34">
        <v>28004</v>
      </c>
      <c r="T34">
        <v>27839</v>
      </c>
    </row>
    <row r="35" spans="1:20">
      <c r="A35" s="7" t="s">
        <v>100</v>
      </c>
      <c r="B35" s="16" t="s">
        <v>98</v>
      </c>
      <c r="C35">
        <v>1194387829.3456981</v>
      </c>
      <c r="D35">
        <v>1189529162.1383426</v>
      </c>
      <c r="E35">
        <v>121525180.18018018</v>
      </c>
      <c r="F35">
        <v>54996756.756756768</v>
      </c>
      <c r="G35">
        <v>230</v>
      </c>
      <c r="H35">
        <v>250</v>
      </c>
      <c r="I35">
        <v>7</v>
      </c>
      <c r="K35">
        <v>371</v>
      </c>
      <c r="L35">
        <v>581</v>
      </c>
      <c r="M35">
        <v>683673603.6036036</v>
      </c>
      <c r="N35">
        <v>280595045.04504508</v>
      </c>
      <c r="O35">
        <v>379883980.18018013</v>
      </c>
      <c r="P35">
        <v>433763948.1981982</v>
      </c>
      <c r="Q35">
        <v>570152520.72072065</v>
      </c>
      <c r="R35">
        <v>83922477.477477476</v>
      </c>
      <c r="S35">
        <v>33233</v>
      </c>
      <c r="T35">
        <v>32648</v>
      </c>
    </row>
    <row r="36" spans="1:20">
      <c r="A36" s="7" t="s">
        <v>101</v>
      </c>
      <c r="B36" s="16" t="s">
        <v>98</v>
      </c>
      <c r="C36">
        <v>607362715.94663954</v>
      </c>
      <c r="D36">
        <v>590816691.11462247</v>
      </c>
      <c r="E36">
        <v>912387.38738738897</v>
      </c>
      <c r="F36">
        <v>2817117.117117119</v>
      </c>
      <c r="G36">
        <v>200</v>
      </c>
      <c r="H36">
        <v>171</v>
      </c>
      <c r="I36">
        <v>1</v>
      </c>
      <c r="K36">
        <v>246</v>
      </c>
      <c r="L36">
        <v>213</v>
      </c>
      <c r="M36">
        <v>36653873.873873875</v>
      </c>
      <c r="N36">
        <v>45935135.135135137</v>
      </c>
      <c r="O36">
        <v>131528691.89189188</v>
      </c>
      <c r="P36">
        <v>130335288.2882883</v>
      </c>
      <c r="Q36">
        <v>40577927.927927926</v>
      </c>
      <c r="R36">
        <v>41988198.198198199</v>
      </c>
      <c r="S36">
        <v>21516</v>
      </c>
      <c r="T36">
        <v>21598</v>
      </c>
    </row>
    <row r="37" spans="1:20">
      <c r="A37" s="7" t="s">
        <v>102</v>
      </c>
      <c r="B37" s="16" t="s">
        <v>98</v>
      </c>
      <c r="C37">
        <v>670502938.01859534</v>
      </c>
      <c r="D37">
        <v>672288178.46186483</v>
      </c>
      <c r="E37">
        <v>4335630.6306306319</v>
      </c>
      <c r="F37">
        <v>6177477.4774774807</v>
      </c>
      <c r="G37">
        <v>129</v>
      </c>
      <c r="H37">
        <v>158</v>
      </c>
      <c r="I37">
        <v>2</v>
      </c>
      <c r="K37">
        <v>147</v>
      </c>
      <c r="L37">
        <v>224</v>
      </c>
      <c r="M37">
        <v>90316486.48648648</v>
      </c>
      <c r="N37">
        <v>87872072.072072074</v>
      </c>
      <c r="O37">
        <v>190239619.81981981</v>
      </c>
      <c r="P37">
        <v>194153518.01801801</v>
      </c>
      <c r="Q37">
        <v>79134414.414414421</v>
      </c>
      <c r="R37">
        <v>98599009.009009004</v>
      </c>
      <c r="S37">
        <v>24919</v>
      </c>
      <c r="T37">
        <v>25247</v>
      </c>
    </row>
    <row r="38" spans="1:20">
      <c r="A38" s="7" t="s">
        <v>103</v>
      </c>
      <c r="B38" s="16" t="s">
        <v>98</v>
      </c>
      <c r="C38">
        <v>1734520710.8565652</v>
      </c>
      <c r="D38">
        <v>1722269040.6245422</v>
      </c>
      <c r="E38">
        <v>676105448.64864874</v>
      </c>
      <c r="F38">
        <v>498784566.66666669</v>
      </c>
      <c r="G38">
        <v>516</v>
      </c>
      <c r="H38">
        <v>474</v>
      </c>
      <c r="I38">
        <v>16</v>
      </c>
      <c r="K38">
        <v>641</v>
      </c>
      <c r="L38">
        <v>688</v>
      </c>
      <c r="M38">
        <v>264351621.62162164</v>
      </c>
      <c r="N38">
        <v>161065168.46846849</v>
      </c>
      <c r="O38">
        <v>350804998.1981982</v>
      </c>
      <c r="P38">
        <v>368927610.8108108</v>
      </c>
      <c r="Q38">
        <v>164819592.7927928</v>
      </c>
      <c r="R38">
        <v>157357027.02702704</v>
      </c>
      <c r="S38">
        <v>55285</v>
      </c>
      <c r="T38">
        <v>55138</v>
      </c>
    </row>
    <row r="39" spans="1:20">
      <c r="A39" s="7" t="s">
        <v>104</v>
      </c>
      <c r="B39" s="16" t="s">
        <v>105</v>
      </c>
      <c r="C39">
        <v>132745448.0197302</v>
      </c>
      <c r="D39">
        <v>121014906.06451051</v>
      </c>
      <c r="E39">
        <v>371171.17117117101</v>
      </c>
      <c r="F39">
        <v>809909.90990991006</v>
      </c>
      <c r="G39">
        <v>36</v>
      </c>
      <c r="H39">
        <v>20</v>
      </c>
      <c r="K39">
        <v>39</v>
      </c>
      <c r="L39">
        <v>22</v>
      </c>
      <c r="M39">
        <v>1213513.5135135129</v>
      </c>
      <c r="N39">
        <v>1260360.36036036</v>
      </c>
      <c r="O39">
        <v>25396441.441441439</v>
      </c>
      <c r="P39">
        <v>25141333.333333332</v>
      </c>
      <c r="Q39">
        <v>1254414.414414414</v>
      </c>
      <c r="R39">
        <v>604054.05405405501</v>
      </c>
      <c r="S39">
        <v>2556</v>
      </c>
      <c r="T39">
        <v>2364</v>
      </c>
    </row>
    <row r="40" spans="1:20">
      <c r="A40" s="7" t="s">
        <v>106</v>
      </c>
      <c r="B40" s="16" t="s">
        <v>54</v>
      </c>
      <c r="C40">
        <v>42382537.045219712</v>
      </c>
      <c r="D40">
        <v>40183204.784256548</v>
      </c>
      <c r="E40">
        <v>140540.540540541</v>
      </c>
      <c r="F40">
        <v>35135.135135135999</v>
      </c>
      <c r="G40">
        <v>23</v>
      </c>
      <c r="H40">
        <v>26</v>
      </c>
      <c r="K40">
        <v>42</v>
      </c>
      <c r="L40">
        <v>29</v>
      </c>
      <c r="M40">
        <v>2397747.7477477472</v>
      </c>
      <c r="N40">
        <v>970630.630630631</v>
      </c>
      <c r="O40">
        <v>10730450.450450452</v>
      </c>
      <c r="P40">
        <v>10466648.648648648</v>
      </c>
      <c r="Q40">
        <v>2242972.9729729742</v>
      </c>
      <c r="R40">
        <v>1334414.414414414</v>
      </c>
      <c r="S40">
        <v>1383</v>
      </c>
      <c r="T40">
        <v>1362</v>
      </c>
    </row>
    <row r="41" spans="1:20">
      <c r="A41" s="7" t="s">
        <v>107</v>
      </c>
      <c r="B41" s="16" t="s">
        <v>108</v>
      </c>
      <c r="C41">
        <v>348830572.21816754</v>
      </c>
      <c r="D41">
        <v>331043243.27785182</v>
      </c>
      <c r="E41">
        <v>1293873.8738738741</v>
      </c>
      <c r="F41">
        <v>3781081.0810810858</v>
      </c>
      <c r="G41">
        <v>94</v>
      </c>
      <c r="H41">
        <v>97</v>
      </c>
      <c r="K41">
        <v>119</v>
      </c>
      <c r="L41">
        <v>112</v>
      </c>
      <c r="M41">
        <v>45678108.108108103</v>
      </c>
      <c r="N41">
        <v>46011891.891891897</v>
      </c>
      <c r="O41">
        <v>71292924.324324325</v>
      </c>
      <c r="P41">
        <v>74174315.315315306</v>
      </c>
      <c r="Q41">
        <v>37012342.342342339</v>
      </c>
      <c r="R41">
        <v>40439009.009009011</v>
      </c>
      <c r="S41">
        <v>10239</v>
      </c>
      <c r="T41">
        <v>9954</v>
      </c>
    </row>
    <row r="42" spans="1:20">
      <c r="A42" s="7" t="s">
        <v>109</v>
      </c>
      <c r="B42" s="16" t="s">
        <v>108</v>
      </c>
      <c r="C42">
        <v>473971879.70530486</v>
      </c>
      <c r="D42">
        <v>471170547.17078322</v>
      </c>
      <c r="E42">
        <v>46259909.909909911</v>
      </c>
      <c r="F42">
        <v>89518236.036036044</v>
      </c>
      <c r="G42">
        <v>112</v>
      </c>
      <c r="H42">
        <v>158</v>
      </c>
      <c r="K42">
        <v>210</v>
      </c>
      <c r="L42">
        <v>251</v>
      </c>
      <c r="M42">
        <v>268573423.42342341</v>
      </c>
      <c r="N42">
        <v>33859461.261261262</v>
      </c>
      <c r="O42">
        <v>119474527.02702703</v>
      </c>
      <c r="P42">
        <v>140195486.48648649</v>
      </c>
      <c r="Q42">
        <v>214889549.54954955</v>
      </c>
      <c r="R42">
        <v>120126846.84684685</v>
      </c>
      <c r="S42">
        <v>13893</v>
      </c>
      <c r="T42">
        <v>13545</v>
      </c>
    </row>
    <row r="43" spans="1:20">
      <c r="A43" s="7" t="s">
        <v>110</v>
      </c>
      <c r="B43" s="16" t="s">
        <v>111</v>
      </c>
      <c r="C43">
        <v>571983264.65681636</v>
      </c>
      <c r="D43">
        <v>534641012.95293325</v>
      </c>
      <c r="E43">
        <v>29094234.234234236</v>
      </c>
      <c r="F43">
        <v>88610720.720720723</v>
      </c>
      <c r="G43">
        <v>87</v>
      </c>
      <c r="H43">
        <v>162</v>
      </c>
      <c r="I43">
        <v>1</v>
      </c>
      <c r="K43">
        <v>105</v>
      </c>
      <c r="L43">
        <v>367</v>
      </c>
      <c r="M43">
        <v>46368063.063063055</v>
      </c>
      <c r="N43">
        <v>51218763.063063055</v>
      </c>
      <c r="O43">
        <v>179974612.61261261</v>
      </c>
      <c r="P43">
        <v>187391315.31531534</v>
      </c>
      <c r="Q43">
        <v>44514954.954954959</v>
      </c>
      <c r="R43">
        <v>46459099.0990991</v>
      </c>
      <c r="S43">
        <v>19886</v>
      </c>
      <c r="T43">
        <v>18860</v>
      </c>
    </row>
    <row r="44" spans="1:20">
      <c r="A44" s="7" t="s">
        <v>112</v>
      </c>
      <c r="B44" s="16" t="s">
        <v>111</v>
      </c>
      <c r="C44">
        <v>708281315.06559634</v>
      </c>
      <c r="D44">
        <v>701154115.1244756</v>
      </c>
      <c r="E44">
        <v>11893153.153153153</v>
      </c>
      <c r="F44">
        <v>9813513.5135135185</v>
      </c>
      <c r="G44">
        <v>141</v>
      </c>
      <c r="H44">
        <v>289</v>
      </c>
      <c r="I44">
        <v>3</v>
      </c>
      <c r="K44">
        <v>166</v>
      </c>
      <c r="L44">
        <v>431</v>
      </c>
      <c r="M44">
        <v>56685405.405405395</v>
      </c>
      <c r="N44">
        <v>54444967.567567565</v>
      </c>
      <c r="O44">
        <v>241159882.88288289</v>
      </c>
      <c r="P44">
        <v>258662256.75675678</v>
      </c>
      <c r="Q44">
        <v>52620180.180180177</v>
      </c>
      <c r="R44">
        <v>56190630.630630627</v>
      </c>
      <c r="S44">
        <v>27428</v>
      </c>
      <c r="T44">
        <v>27115</v>
      </c>
    </row>
    <row r="45" spans="1:20">
      <c r="A45" s="7" t="s">
        <v>113</v>
      </c>
      <c r="B45" s="16" t="s">
        <v>111</v>
      </c>
      <c r="C45">
        <v>481649779.81219202</v>
      </c>
      <c r="D45">
        <v>902494525.29391122</v>
      </c>
      <c r="E45">
        <v>12510720.720720725</v>
      </c>
      <c r="F45">
        <v>5278153.1531531606</v>
      </c>
      <c r="G45">
        <v>137</v>
      </c>
      <c r="H45">
        <v>212</v>
      </c>
      <c r="I45">
        <v>6</v>
      </c>
      <c r="K45">
        <v>168</v>
      </c>
      <c r="L45">
        <v>447</v>
      </c>
      <c r="M45">
        <v>491569909.9099099</v>
      </c>
      <c r="N45">
        <v>480436772.07207209</v>
      </c>
      <c r="O45">
        <v>146026414.41441441</v>
      </c>
      <c r="P45">
        <v>581711601.8018018</v>
      </c>
      <c r="Q45">
        <v>42183333.333333328</v>
      </c>
      <c r="R45">
        <v>29405315.315315321</v>
      </c>
      <c r="S45">
        <v>13924</v>
      </c>
      <c r="T45">
        <v>13320</v>
      </c>
    </row>
    <row r="46" spans="1:20">
      <c r="A46" s="7" t="s">
        <v>114</v>
      </c>
      <c r="B46" s="16" t="s">
        <v>111</v>
      </c>
      <c r="C46">
        <v>557051545.65242124</v>
      </c>
      <c r="D46">
        <v>560266585.29370248</v>
      </c>
      <c r="E46">
        <v>4361261.2612612611</v>
      </c>
      <c r="F46">
        <v>6032207.2072072178</v>
      </c>
      <c r="G46">
        <v>618</v>
      </c>
      <c r="H46">
        <v>224</v>
      </c>
      <c r="I46">
        <v>17</v>
      </c>
      <c r="K46">
        <v>1720</v>
      </c>
      <c r="L46">
        <v>578</v>
      </c>
      <c r="M46">
        <v>48409009.009009004</v>
      </c>
      <c r="N46">
        <v>48481441.441441447</v>
      </c>
      <c r="O46">
        <v>169498189.1891892</v>
      </c>
      <c r="P46">
        <v>163159531.53153151</v>
      </c>
      <c r="Q46">
        <v>47483423.423423424</v>
      </c>
      <c r="R46">
        <v>44902882.882882878</v>
      </c>
      <c r="S46">
        <v>21206</v>
      </c>
      <c r="T46">
        <v>19066</v>
      </c>
    </row>
    <row r="47" spans="1:20">
      <c r="A47" s="7" t="s">
        <v>115</v>
      </c>
      <c r="B47" s="16" t="s">
        <v>111</v>
      </c>
      <c r="C47">
        <v>742593975.50089562</v>
      </c>
      <c r="D47">
        <v>689742523.82369149</v>
      </c>
      <c r="E47">
        <v>918510482.88288295</v>
      </c>
      <c r="F47">
        <v>1230487245.9459457</v>
      </c>
      <c r="G47">
        <v>243</v>
      </c>
      <c r="H47">
        <v>302</v>
      </c>
      <c r="I47">
        <v>1</v>
      </c>
      <c r="K47">
        <v>293</v>
      </c>
      <c r="L47">
        <v>519</v>
      </c>
      <c r="M47">
        <v>622891518.01801801</v>
      </c>
      <c r="N47">
        <v>642921630.63063061</v>
      </c>
      <c r="O47">
        <v>183767072.07207206</v>
      </c>
      <c r="P47">
        <v>212753575.22522521</v>
      </c>
      <c r="Q47">
        <v>116237837.83783785</v>
      </c>
      <c r="R47">
        <v>117218825.22522523</v>
      </c>
      <c r="S47">
        <v>24385</v>
      </c>
      <c r="T47">
        <v>23168</v>
      </c>
    </row>
    <row r="48" spans="1:20">
      <c r="A48" s="7" t="s">
        <v>116</v>
      </c>
      <c r="B48" s="16" t="s">
        <v>54</v>
      </c>
      <c r="C48">
        <v>38257488.986471549</v>
      </c>
      <c r="D48">
        <v>37319118.34123835</v>
      </c>
      <c r="E48">
        <v>793018.01801801706</v>
      </c>
      <c r="F48">
        <v>912387.38738738699</v>
      </c>
      <c r="G48">
        <v>3</v>
      </c>
      <c r="H48">
        <v>10</v>
      </c>
      <c r="K48">
        <v>3</v>
      </c>
      <c r="L48">
        <v>11</v>
      </c>
      <c r="M48">
        <v>3898198.1981981969</v>
      </c>
      <c r="N48">
        <v>3209909.9099099091</v>
      </c>
      <c r="O48">
        <v>8919225.2252252251</v>
      </c>
      <c r="P48">
        <v>8927765.7657657657</v>
      </c>
      <c r="Q48">
        <v>3599549.5495495498</v>
      </c>
      <c r="R48">
        <v>3073783.7837837832</v>
      </c>
      <c r="S48">
        <v>965</v>
      </c>
      <c r="T48">
        <v>1019</v>
      </c>
    </row>
    <row r="49" spans="1:20">
      <c r="A49" s="7" t="s">
        <v>118</v>
      </c>
      <c r="B49" s="16" t="s">
        <v>78</v>
      </c>
      <c r="C49">
        <v>336816393.19332558</v>
      </c>
      <c r="D49">
        <v>318283484.08992141</v>
      </c>
      <c r="E49">
        <v>264833392.7927928</v>
      </c>
      <c r="F49">
        <v>268160702.70270273</v>
      </c>
      <c r="G49">
        <v>102</v>
      </c>
      <c r="H49">
        <v>116</v>
      </c>
      <c r="I49">
        <v>1</v>
      </c>
      <c r="K49">
        <v>136</v>
      </c>
      <c r="L49">
        <v>150</v>
      </c>
      <c r="M49">
        <v>56303333.333333328</v>
      </c>
      <c r="N49">
        <v>71295945.945945948</v>
      </c>
      <c r="O49">
        <v>125621061.26126127</v>
      </c>
      <c r="P49">
        <v>127441768.01801802</v>
      </c>
      <c r="Q49">
        <v>56723556.75675676</v>
      </c>
      <c r="R49">
        <v>69548198.198198199</v>
      </c>
      <c r="S49">
        <v>11515</v>
      </c>
      <c r="T49">
        <v>12880</v>
      </c>
    </row>
    <row r="50" spans="1:20">
      <c r="A50" s="7" t="s">
        <v>119</v>
      </c>
      <c r="B50" s="16" t="s">
        <v>50</v>
      </c>
      <c r="C50">
        <v>105279408.67714497</v>
      </c>
      <c r="D50">
        <v>101471513.91101754</v>
      </c>
      <c r="E50">
        <v>414639.63963963999</v>
      </c>
      <c r="F50">
        <v>2104504.504504506</v>
      </c>
      <c r="G50">
        <v>49</v>
      </c>
      <c r="H50">
        <v>37</v>
      </c>
      <c r="K50">
        <v>49</v>
      </c>
      <c r="L50">
        <v>39</v>
      </c>
      <c r="M50">
        <v>70486756.756756753</v>
      </c>
      <c r="N50">
        <v>39132432.432432435</v>
      </c>
      <c r="O50">
        <v>36317342.342342347</v>
      </c>
      <c r="P50">
        <v>36934072.072072074</v>
      </c>
      <c r="Q50">
        <v>70067297.297297299</v>
      </c>
      <c r="R50">
        <v>36767927.927927926</v>
      </c>
      <c r="S50">
        <v>2503</v>
      </c>
      <c r="T50">
        <v>2495</v>
      </c>
    </row>
    <row r="51" spans="1:20">
      <c r="A51" s="7" t="s">
        <v>120</v>
      </c>
      <c r="B51" s="16" t="s">
        <v>121</v>
      </c>
      <c r="C51">
        <v>379413245.43478197</v>
      </c>
      <c r="D51">
        <v>344290503.12387282</v>
      </c>
      <c r="E51">
        <v>15518243.243243242</v>
      </c>
      <c r="F51">
        <v>7902027.0270270286</v>
      </c>
      <c r="G51">
        <v>148</v>
      </c>
      <c r="H51">
        <v>122</v>
      </c>
      <c r="K51">
        <v>160</v>
      </c>
      <c r="L51">
        <v>145</v>
      </c>
      <c r="M51">
        <v>14609909.909909908</v>
      </c>
      <c r="N51">
        <v>12099099.0990991</v>
      </c>
      <c r="O51">
        <v>25490567.567567568</v>
      </c>
      <c r="P51">
        <v>27391765.765765764</v>
      </c>
      <c r="Q51">
        <v>13522252.252252251</v>
      </c>
      <c r="R51">
        <v>10311081.081081079</v>
      </c>
      <c r="S51">
        <v>7995</v>
      </c>
      <c r="T51">
        <v>7993</v>
      </c>
    </row>
    <row r="52" spans="1:20">
      <c r="A52" s="7" t="s">
        <v>122</v>
      </c>
      <c r="B52" s="16" t="s">
        <v>123</v>
      </c>
      <c r="C52">
        <v>170412265.26323581</v>
      </c>
      <c r="D52">
        <v>179369848.43362138</v>
      </c>
      <c r="E52">
        <v>346396.39639639598</v>
      </c>
      <c r="F52">
        <v>764639.63963963999</v>
      </c>
      <c r="G52">
        <v>18</v>
      </c>
      <c r="H52">
        <v>24</v>
      </c>
      <c r="K52">
        <v>21</v>
      </c>
      <c r="L52">
        <v>37</v>
      </c>
      <c r="M52">
        <v>37375405.405405402</v>
      </c>
      <c r="N52">
        <v>31251351.351351351</v>
      </c>
      <c r="O52">
        <v>75116845.045045033</v>
      </c>
      <c r="P52">
        <v>79545274.774774775</v>
      </c>
      <c r="Q52">
        <v>35113243.243243247</v>
      </c>
      <c r="R52">
        <v>33114954.954954952</v>
      </c>
      <c r="S52">
        <v>4362</v>
      </c>
      <c r="T52">
        <v>4889</v>
      </c>
    </row>
    <row r="53" spans="1:20">
      <c r="A53" s="7" t="s">
        <v>124</v>
      </c>
      <c r="B53" s="16" t="s">
        <v>125</v>
      </c>
      <c r="C53">
        <v>251760084.7632508</v>
      </c>
      <c r="D53">
        <v>236107309.85796276</v>
      </c>
      <c r="E53">
        <v>319684.68468468502</v>
      </c>
      <c r="F53">
        <v>2413063.0630630669</v>
      </c>
      <c r="G53">
        <v>40</v>
      </c>
      <c r="H53">
        <v>52</v>
      </c>
      <c r="K53">
        <v>46</v>
      </c>
      <c r="L53">
        <v>70</v>
      </c>
      <c r="M53">
        <v>59604054.054054059</v>
      </c>
      <c r="N53">
        <v>73465945.945945948</v>
      </c>
      <c r="O53">
        <v>73643727.927927941</v>
      </c>
      <c r="P53">
        <v>74674101.801801801</v>
      </c>
      <c r="Q53">
        <v>61177657.657657653</v>
      </c>
      <c r="R53">
        <v>84138151.351351351</v>
      </c>
      <c r="S53">
        <v>6404</v>
      </c>
      <c r="T53">
        <v>6380</v>
      </c>
    </row>
    <row r="54" spans="1:20">
      <c r="A54" s="7" t="s">
        <v>126</v>
      </c>
      <c r="B54" s="16" t="s">
        <v>78</v>
      </c>
      <c r="C54">
        <v>159548102.60861909</v>
      </c>
      <c r="D54">
        <v>152681096.44736671</v>
      </c>
      <c r="E54">
        <v>2013243.2432432449</v>
      </c>
      <c r="F54">
        <v>3354954.9549549571</v>
      </c>
      <c r="G54">
        <v>32</v>
      </c>
      <c r="H54">
        <v>42</v>
      </c>
      <c r="K54">
        <v>35</v>
      </c>
      <c r="L54">
        <v>50</v>
      </c>
      <c r="M54">
        <v>33157387.387387384</v>
      </c>
      <c r="N54">
        <v>26170270.270270273</v>
      </c>
      <c r="O54">
        <v>62820594.59459459</v>
      </c>
      <c r="P54">
        <v>62045909.909909911</v>
      </c>
      <c r="Q54">
        <v>32979189.189189188</v>
      </c>
      <c r="R54">
        <v>24220180.180180181</v>
      </c>
      <c r="S54">
        <v>4949</v>
      </c>
      <c r="T54">
        <v>5155</v>
      </c>
    </row>
    <row r="55" spans="1:20">
      <c r="A55" s="7" t="s">
        <v>127</v>
      </c>
      <c r="B55" s="16" t="s">
        <v>78</v>
      </c>
      <c r="C55">
        <v>28716480.994098231</v>
      </c>
      <c r="D55">
        <v>25693142.092611551</v>
      </c>
      <c r="E55">
        <v>13063.063063064001</v>
      </c>
      <c r="F55">
        <v>476576.57657657698</v>
      </c>
      <c r="G55">
        <v>12</v>
      </c>
      <c r="H55">
        <v>10</v>
      </c>
      <c r="I55">
        <v>1</v>
      </c>
      <c r="K55">
        <v>13</v>
      </c>
      <c r="L55">
        <v>11</v>
      </c>
      <c r="M55">
        <v>7004054.0540540544</v>
      </c>
      <c r="N55">
        <v>8089189.18918919</v>
      </c>
      <c r="O55">
        <v>15128468.468468469</v>
      </c>
      <c r="P55">
        <v>14830630.630630629</v>
      </c>
      <c r="Q55">
        <v>6580540.5405405406</v>
      </c>
      <c r="R55">
        <v>9245855.8558558561</v>
      </c>
      <c r="S55">
        <v>1213</v>
      </c>
      <c r="T55">
        <v>1350</v>
      </c>
    </row>
    <row r="56" spans="1:20">
      <c r="A56" s="7" t="s">
        <v>128</v>
      </c>
      <c r="B56" s="16" t="s">
        <v>78</v>
      </c>
      <c r="C56">
        <v>154075702.87431765</v>
      </c>
      <c r="D56">
        <v>147913081.38798133</v>
      </c>
      <c r="E56">
        <v>1078603.603603604</v>
      </c>
      <c r="F56">
        <v>1364864.8648648669</v>
      </c>
      <c r="G56">
        <v>59</v>
      </c>
      <c r="H56">
        <v>107</v>
      </c>
      <c r="I56">
        <v>1</v>
      </c>
      <c r="K56">
        <v>66</v>
      </c>
      <c r="L56">
        <v>142</v>
      </c>
      <c r="M56">
        <v>18648648.648648649</v>
      </c>
      <c r="N56">
        <v>16283783.783783784</v>
      </c>
      <c r="O56">
        <v>57440909.909909911</v>
      </c>
      <c r="P56">
        <v>58873072.072072074</v>
      </c>
      <c r="Q56">
        <v>18528738.738738742</v>
      </c>
      <c r="R56">
        <v>15558648.648648648</v>
      </c>
      <c r="S56">
        <v>5861</v>
      </c>
      <c r="T56">
        <v>5849</v>
      </c>
    </row>
    <row r="57" spans="1:20">
      <c r="A57" s="7" t="s">
        <v>129</v>
      </c>
      <c r="B57" s="16" t="s">
        <v>85</v>
      </c>
      <c r="C57">
        <v>49658825.133021057</v>
      </c>
      <c r="D57">
        <v>42786538.178214446</v>
      </c>
      <c r="E57">
        <v>39639.639639640001</v>
      </c>
      <c r="F57">
        <v>136936.93693693701</v>
      </c>
      <c r="G57">
        <v>17</v>
      </c>
      <c r="H57">
        <v>11</v>
      </c>
      <c r="K57">
        <v>17</v>
      </c>
      <c r="L57">
        <v>12</v>
      </c>
      <c r="M57">
        <v>24427027.02702703</v>
      </c>
      <c r="N57">
        <v>32569189.189189192</v>
      </c>
      <c r="O57">
        <v>21587072.072072074</v>
      </c>
      <c r="P57">
        <v>20901288.288288288</v>
      </c>
      <c r="Q57">
        <v>15836756.756756756</v>
      </c>
      <c r="R57">
        <v>25966576.576576576</v>
      </c>
      <c r="S57">
        <v>1218</v>
      </c>
      <c r="T57">
        <v>1706</v>
      </c>
    </row>
    <row r="58" spans="1:20">
      <c r="A58" s="7" t="s">
        <v>130</v>
      </c>
      <c r="B58" s="16" t="s">
        <v>89</v>
      </c>
      <c r="C58">
        <v>412169931.00944191</v>
      </c>
      <c r="D58">
        <v>401301937.03062361</v>
      </c>
      <c r="E58">
        <v>1838063.0630630651</v>
      </c>
      <c r="F58">
        <v>3023873.8738738829</v>
      </c>
      <c r="G58">
        <v>50</v>
      </c>
      <c r="H58">
        <v>53</v>
      </c>
      <c r="K58">
        <v>54</v>
      </c>
      <c r="L58">
        <v>80</v>
      </c>
      <c r="M58">
        <v>26319819.819819819</v>
      </c>
      <c r="N58">
        <v>23847477.47747748</v>
      </c>
      <c r="O58">
        <v>121204718.91891891</v>
      </c>
      <c r="P58">
        <v>127737432.43243243</v>
      </c>
      <c r="Q58">
        <v>24596169.369369369</v>
      </c>
      <c r="R58">
        <v>24914774.774774775</v>
      </c>
      <c r="S58">
        <v>10744</v>
      </c>
      <c r="T58">
        <v>10565</v>
      </c>
    </row>
    <row r="59" spans="1:20">
      <c r="A59" s="7" t="s">
        <v>131</v>
      </c>
      <c r="B59" s="16" t="s">
        <v>132</v>
      </c>
      <c r="C59">
        <v>240962926.20532131</v>
      </c>
      <c r="D59">
        <v>214503186.49382415</v>
      </c>
      <c r="E59">
        <v>52553145.945945941</v>
      </c>
      <c r="F59">
        <v>44858700.9009009</v>
      </c>
      <c r="G59">
        <v>93</v>
      </c>
      <c r="H59">
        <v>121</v>
      </c>
      <c r="I59">
        <v>1</v>
      </c>
      <c r="K59">
        <v>102</v>
      </c>
      <c r="L59">
        <v>136</v>
      </c>
      <c r="M59">
        <v>23073873.873873871</v>
      </c>
      <c r="N59">
        <v>22166666.666666664</v>
      </c>
      <c r="O59">
        <v>74074576.576576576</v>
      </c>
      <c r="P59">
        <v>67439907.657657653</v>
      </c>
      <c r="Q59">
        <v>15635405.405405408</v>
      </c>
      <c r="R59">
        <v>19670720.72072072</v>
      </c>
      <c r="S59">
        <v>7270</v>
      </c>
      <c r="T59">
        <v>7315</v>
      </c>
    </row>
    <row r="60" spans="1:20">
      <c r="A60" s="7" t="s">
        <v>133</v>
      </c>
      <c r="B60" s="16" t="s">
        <v>134</v>
      </c>
      <c r="C60">
        <v>37766200.874659441</v>
      </c>
      <c r="D60">
        <v>20027997.24846372</v>
      </c>
      <c r="E60">
        <v>19819819.819819819</v>
      </c>
      <c r="F60">
        <v>13963963.963963963</v>
      </c>
      <c r="G60">
        <v>5</v>
      </c>
      <c r="H60">
        <v>1</v>
      </c>
      <c r="K60">
        <v>6</v>
      </c>
      <c r="L60">
        <v>1</v>
      </c>
      <c r="O60">
        <v>4800081.0810810812</v>
      </c>
      <c r="P60">
        <v>3910754.9549549548</v>
      </c>
      <c r="S60">
        <v>2211</v>
      </c>
      <c r="T60">
        <v>2213</v>
      </c>
    </row>
    <row r="61" spans="1:20">
      <c r="A61" s="7" t="s">
        <v>135</v>
      </c>
      <c r="B61" s="16" t="s">
        <v>136</v>
      </c>
      <c r="C61">
        <v>200049135.03732833</v>
      </c>
      <c r="D61">
        <v>182451064.75641376</v>
      </c>
      <c r="E61">
        <v>456756.75675675803</v>
      </c>
      <c r="F61">
        <v>822522.52252252598</v>
      </c>
      <c r="G61">
        <v>73</v>
      </c>
      <c r="H61">
        <v>55</v>
      </c>
      <c r="K61">
        <v>77</v>
      </c>
      <c r="L61">
        <v>60</v>
      </c>
      <c r="M61">
        <v>20195495.495495494</v>
      </c>
      <c r="N61">
        <v>11678378.378378378</v>
      </c>
      <c r="O61">
        <v>34550756.756756753</v>
      </c>
      <c r="P61">
        <v>29017054.054054055</v>
      </c>
      <c r="Q61">
        <v>18311081.081081081</v>
      </c>
      <c r="R61">
        <v>13078198.198198199</v>
      </c>
      <c r="S61">
        <v>3541</v>
      </c>
      <c r="T61">
        <v>3564</v>
      </c>
    </row>
    <row r="62" spans="1:20">
      <c r="A62" s="7" t="s">
        <v>137</v>
      </c>
      <c r="B62" s="16" t="s">
        <v>89</v>
      </c>
      <c r="C62">
        <v>208633480.71705046</v>
      </c>
      <c r="D62">
        <v>196297677.27742022</v>
      </c>
      <c r="E62">
        <v>323648.648648653</v>
      </c>
      <c r="F62">
        <v>1788063.063063069</v>
      </c>
      <c r="G62">
        <v>21</v>
      </c>
      <c r="H62">
        <v>42</v>
      </c>
      <c r="I62">
        <v>4</v>
      </c>
      <c r="K62">
        <v>83</v>
      </c>
      <c r="L62">
        <v>98</v>
      </c>
      <c r="M62">
        <v>26534324.324324321</v>
      </c>
      <c r="N62">
        <v>21589189.189189188</v>
      </c>
      <c r="O62">
        <v>71714234.234234229</v>
      </c>
      <c r="P62">
        <v>69973250.45045045</v>
      </c>
      <c r="Q62">
        <v>26948918.918918919</v>
      </c>
      <c r="R62">
        <v>22817927.927927934</v>
      </c>
      <c r="S62">
        <v>4861</v>
      </c>
      <c r="T62">
        <v>4968</v>
      </c>
    </row>
    <row r="63" spans="1:20">
      <c r="A63" s="7" t="s">
        <v>138</v>
      </c>
      <c r="B63" s="16" t="s">
        <v>78</v>
      </c>
      <c r="C63">
        <v>148757645.12188935</v>
      </c>
      <c r="D63">
        <v>143819669.09259579</v>
      </c>
      <c r="E63">
        <v>1808738.7387387401</v>
      </c>
      <c r="F63">
        <v>3817117.11711712</v>
      </c>
      <c r="G63">
        <v>46</v>
      </c>
      <c r="H63">
        <v>63</v>
      </c>
      <c r="I63">
        <v>3</v>
      </c>
      <c r="K63">
        <v>55</v>
      </c>
      <c r="L63">
        <v>74</v>
      </c>
      <c r="M63">
        <v>20993423.423423421</v>
      </c>
      <c r="N63">
        <v>16006306.306306304</v>
      </c>
      <c r="O63">
        <v>60455090.090090089</v>
      </c>
      <c r="P63">
        <v>62178921.171171166</v>
      </c>
      <c r="Q63">
        <v>17394324.324324325</v>
      </c>
      <c r="R63">
        <v>16263243.243243244</v>
      </c>
      <c r="S63">
        <v>5206</v>
      </c>
      <c r="T63">
        <v>5194</v>
      </c>
    </row>
    <row r="64" spans="1:20">
      <c r="A64" s="7" t="s">
        <v>139</v>
      </c>
      <c r="B64" s="16" t="s">
        <v>140</v>
      </c>
      <c r="C64">
        <v>192919257.19156298</v>
      </c>
      <c r="D64">
        <v>200251190.87955287</v>
      </c>
      <c r="E64">
        <v>1814414.4144144149</v>
      </c>
      <c r="F64">
        <v>1839639.63963964</v>
      </c>
      <c r="G64">
        <v>21</v>
      </c>
      <c r="H64">
        <v>21</v>
      </c>
      <c r="K64">
        <v>23</v>
      </c>
      <c r="L64">
        <v>21</v>
      </c>
      <c r="M64">
        <v>17843693.693693694</v>
      </c>
      <c r="N64">
        <v>18498018.018018015</v>
      </c>
      <c r="O64">
        <v>33457252.252252251</v>
      </c>
      <c r="P64">
        <v>38041342.342342347</v>
      </c>
      <c r="Q64">
        <v>16538918.918918919</v>
      </c>
      <c r="R64">
        <v>16901891.891891893</v>
      </c>
      <c r="S64">
        <v>4424</v>
      </c>
      <c r="T64">
        <v>5361</v>
      </c>
    </row>
    <row r="65" spans="1:20">
      <c r="A65" s="7" t="s">
        <v>141</v>
      </c>
      <c r="B65" s="16" t="s">
        <v>62</v>
      </c>
      <c r="C65">
        <v>135612688.47870392</v>
      </c>
      <c r="D65">
        <v>133883139.67614976</v>
      </c>
      <c r="E65">
        <v>1214414.4144144161</v>
      </c>
      <c r="F65">
        <v>1358558.558558559</v>
      </c>
      <c r="G65">
        <v>43</v>
      </c>
      <c r="H65">
        <v>60</v>
      </c>
      <c r="K65">
        <v>50</v>
      </c>
      <c r="L65">
        <v>71</v>
      </c>
      <c r="M65">
        <v>79978468.468468457</v>
      </c>
      <c r="N65">
        <v>66922522.522522531</v>
      </c>
      <c r="O65">
        <v>29028018.018018018</v>
      </c>
      <c r="P65">
        <v>28964756.756756756</v>
      </c>
      <c r="Q65">
        <v>78524594.594594598</v>
      </c>
      <c r="R65">
        <v>69824054.054054052</v>
      </c>
      <c r="S65">
        <v>3960</v>
      </c>
      <c r="T65">
        <v>3825</v>
      </c>
    </row>
    <row r="66" spans="1:20">
      <c r="A66" s="7" t="s">
        <v>142</v>
      </c>
      <c r="B66" s="16" t="s">
        <v>143</v>
      </c>
      <c r="C66">
        <v>1629320.863004131</v>
      </c>
      <c r="D66">
        <v>1304357.222976953</v>
      </c>
      <c r="E66">
        <v>18018.018018018</v>
      </c>
      <c r="H66">
        <v>1</v>
      </c>
      <c r="L66">
        <v>1</v>
      </c>
      <c r="M66">
        <v>18018.018018018</v>
      </c>
      <c r="O66">
        <v>127927.927927928</v>
      </c>
      <c r="P66">
        <v>108198.19819819801</v>
      </c>
      <c r="S66">
        <v>141</v>
      </c>
      <c r="T66">
        <v>129</v>
      </c>
    </row>
    <row r="67" spans="1:20">
      <c r="A67" s="7" t="s">
        <v>144</v>
      </c>
      <c r="B67" s="16" t="s">
        <v>140</v>
      </c>
      <c r="C67">
        <v>286483317.07749331</v>
      </c>
      <c r="D67">
        <v>286984172.47982734</v>
      </c>
      <c r="E67">
        <v>109729.729729732</v>
      </c>
      <c r="F67">
        <v>1281531.5315315321</v>
      </c>
      <c r="G67">
        <v>52</v>
      </c>
      <c r="H67">
        <v>61</v>
      </c>
      <c r="I67">
        <v>1</v>
      </c>
      <c r="K67">
        <v>58</v>
      </c>
      <c r="L67">
        <v>84</v>
      </c>
      <c r="M67">
        <v>36430000</v>
      </c>
      <c r="N67">
        <v>30429189.189189188</v>
      </c>
      <c r="O67">
        <v>53043918.918918923</v>
      </c>
      <c r="P67">
        <v>53278900.9009009</v>
      </c>
      <c r="Q67">
        <v>31452702.702702701</v>
      </c>
      <c r="R67">
        <v>29116846.846846845</v>
      </c>
      <c r="S67">
        <v>8254</v>
      </c>
      <c r="T67">
        <v>7407</v>
      </c>
    </row>
    <row r="68" spans="1:20">
      <c r="A68" s="7" t="s">
        <v>145</v>
      </c>
      <c r="B68" s="16" t="s">
        <v>78</v>
      </c>
      <c r="C68">
        <v>201511539.3371011</v>
      </c>
      <c r="D68">
        <v>201922383.95922476</v>
      </c>
      <c r="E68">
        <v>1568288.288288289</v>
      </c>
      <c r="F68">
        <v>2527927.9279279299</v>
      </c>
      <c r="G68">
        <v>42</v>
      </c>
      <c r="H68">
        <v>63</v>
      </c>
      <c r="K68">
        <v>48</v>
      </c>
      <c r="L68">
        <v>69</v>
      </c>
      <c r="M68">
        <v>24185405.405405402</v>
      </c>
      <c r="N68">
        <v>19122522.522522528</v>
      </c>
      <c r="O68">
        <v>52587441.441441439</v>
      </c>
      <c r="P68">
        <v>57804882.882882878</v>
      </c>
      <c r="Q68">
        <v>23806486.486486487</v>
      </c>
      <c r="R68">
        <v>20326486.486486487</v>
      </c>
      <c r="S68">
        <v>6344</v>
      </c>
      <c r="T68">
        <v>6421</v>
      </c>
    </row>
    <row r="69" spans="1:20">
      <c r="A69" s="7" t="s">
        <v>146</v>
      </c>
      <c r="B69" s="16" t="s">
        <v>147</v>
      </c>
      <c r="C69">
        <v>143358959.88204023</v>
      </c>
      <c r="D69">
        <v>131706531.23498902</v>
      </c>
      <c r="E69">
        <v>89189.189189190001</v>
      </c>
      <c r="F69">
        <v>3123423.4234234262</v>
      </c>
      <c r="G69">
        <v>33</v>
      </c>
      <c r="H69">
        <v>26</v>
      </c>
      <c r="K69">
        <v>34</v>
      </c>
      <c r="L69">
        <v>34</v>
      </c>
      <c r="M69">
        <v>12356936.936936935</v>
      </c>
      <c r="N69">
        <v>41259813.513513513</v>
      </c>
      <c r="O69">
        <v>38639405.40540541</v>
      </c>
      <c r="P69">
        <v>42418171.171171166</v>
      </c>
      <c r="Q69">
        <v>13442432.43243243</v>
      </c>
      <c r="R69">
        <v>41437927.927927926</v>
      </c>
      <c r="S69">
        <v>3786</v>
      </c>
      <c r="T69">
        <v>3713</v>
      </c>
    </row>
    <row r="70" spans="1:20">
      <c r="A70" s="7" t="s">
        <v>148</v>
      </c>
      <c r="B70" s="16" t="s">
        <v>94</v>
      </c>
      <c r="D70">
        <v>17.531949365999999</v>
      </c>
    </row>
    <row r="71" spans="1:20">
      <c r="A71" s="7" t="s">
        <v>149</v>
      </c>
      <c r="B71" s="16" t="s">
        <v>50</v>
      </c>
      <c r="C71">
        <v>114856346.9041798</v>
      </c>
      <c r="D71">
        <v>117335381.60819392</v>
      </c>
      <c r="E71">
        <v>227027.02702702701</v>
      </c>
      <c r="F71">
        <v>239639.63963964101</v>
      </c>
      <c r="G71">
        <v>26</v>
      </c>
      <c r="H71">
        <v>24</v>
      </c>
      <c r="K71">
        <v>31</v>
      </c>
      <c r="L71">
        <v>28</v>
      </c>
      <c r="M71">
        <v>14444504.504504504</v>
      </c>
      <c r="N71">
        <v>6279909.9099099096</v>
      </c>
      <c r="O71">
        <v>51623378.378378376</v>
      </c>
      <c r="P71">
        <v>52680405.40540541</v>
      </c>
      <c r="Q71">
        <v>14951441.441441439</v>
      </c>
      <c r="R71">
        <v>6745135.1351351338</v>
      </c>
      <c r="S71">
        <v>3357</v>
      </c>
      <c r="T71">
        <v>3510</v>
      </c>
    </row>
    <row r="72" spans="1:20">
      <c r="A72" s="7" t="s">
        <v>150</v>
      </c>
      <c r="B72" s="16" t="s">
        <v>151</v>
      </c>
      <c r="C72">
        <v>35835863.532477148</v>
      </c>
      <c r="D72">
        <v>36676693.463698938</v>
      </c>
      <c r="E72">
        <v>169860772.97297296</v>
      </c>
      <c r="F72">
        <v>528210662.16216218</v>
      </c>
      <c r="G72">
        <v>11</v>
      </c>
      <c r="H72">
        <v>6</v>
      </c>
      <c r="K72">
        <v>13</v>
      </c>
      <c r="L72">
        <v>8</v>
      </c>
      <c r="M72">
        <v>83781441.441441447</v>
      </c>
      <c r="N72">
        <v>48939639.639639638</v>
      </c>
      <c r="O72">
        <v>8317927.927927928</v>
      </c>
      <c r="P72">
        <v>9145531.5315315314</v>
      </c>
      <c r="Q72">
        <v>40393423.423423424</v>
      </c>
      <c r="R72">
        <v>10364324.324324325</v>
      </c>
      <c r="S72">
        <v>653</v>
      </c>
      <c r="T72">
        <v>672</v>
      </c>
    </row>
    <row r="73" spans="1:20">
      <c r="A73" s="7" t="s">
        <v>152</v>
      </c>
      <c r="B73" s="16" t="s">
        <v>151</v>
      </c>
      <c r="C73">
        <v>351618596.25389969</v>
      </c>
      <c r="D73">
        <v>347827912.96128058</v>
      </c>
      <c r="E73">
        <v>1338738.738738738</v>
      </c>
      <c r="F73">
        <v>6634459.4594594622</v>
      </c>
      <c r="G73">
        <v>145</v>
      </c>
      <c r="H73">
        <v>180</v>
      </c>
      <c r="K73">
        <v>157</v>
      </c>
      <c r="L73">
        <v>216</v>
      </c>
      <c r="M73">
        <v>362241351.35135138</v>
      </c>
      <c r="N73">
        <v>224800072.07207206</v>
      </c>
      <c r="O73">
        <v>119595304.5045045</v>
      </c>
      <c r="P73">
        <v>121573324.32432432</v>
      </c>
      <c r="Q73">
        <v>315587336.93693697</v>
      </c>
      <c r="R73">
        <v>187417290.09009007</v>
      </c>
      <c r="S73">
        <v>8304</v>
      </c>
      <c r="T73">
        <v>8048</v>
      </c>
    </row>
    <row r="74" spans="1:20">
      <c r="A74" s="7" t="s">
        <v>153</v>
      </c>
      <c r="B74" s="16" t="s">
        <v>154</v>
      </c>
      <c r="C74">
        <v>319405387.70898342</v>
      </c>
      <c r="D74">
        <v>308338997.4009102</v>
      </c>
      <c r="E74">
        <v>126419630.63063063</v>
      </c>
      <c r="F74">
        <v>181459554.05405405</v>
      </c>
      <c r="G74">
        <v>15</v>
      </c>
      <c r="H74">
        <v>43</v>
      </c>
      <c r="K74">
        <v>17</v>
      </c>
      <c r="L74">
        <v>48</v>
      </c>
      <c r="M74">
        <v>57867702.702702701</v>
      </c>
      <c r="N74">
        <v>54457657.657657661</v>
      </c>
      <c r="O74">
        <v>138121439.63963965</v>
      </c>
      <c r="P74">
        <v>126950873.87387387</v>
      </c>
      <c r="Q74">
        <v>39738018.018018015</v>
      </c>
      <c r="R74">
        <v>37805945.945945948</v>
      </c>
      <c r="S74">
        <v>7237</v>
      </c>
      <c r="T74">
        <v>6973</v>
      </c>
    </row>
    <row r="75" spans="1:20">
      <c r="A75" s="7" t="s">
        <v>155</v>
      </c>
      <c r="B75" s="16" t="s">
        <v>154</v>
      </c>
      <c r="C75">
        <v>46494149.263977386</v>
      </c>
      <c r="D75">
        <v>35506561.942366555</v>
      </c>
      <c r="E75">
        <v>27927.927927928002</v>
      </c>
      <c r="F75">
        <v>13513.513513514001</v>
      </c>
      <c r="G75">
        <v>12</v>
      </c>
      <c r="H75">
        <v>7</v>
      </c>
      <c r="K75">
        <v>13</v>
      </c>
      <c r="L75">
        <v>9</v>
      </c>
      <c r="M75">
        <v>298198.19819819799</v>
      </c>
      <c r="N75">
        <v>4279279.2792792786</v>
      </c>
      <c r="O75">
        <v>12562747.747747747</v>
      </c>
      <c r="P75">
        <v>9147828.8288288284</v>
      </c>
      <c r="Q75">
        <v>631531.53153153195</v>
      </c>
      <c r="R75">
        <v>2764864.8648648639</v>
      </c>
      <c r="S75">
        <v>1957</v>
      </c>
      <c r="T75">
        <v>1955</v>
      </c>
    </row>
    <row r="76" spans="1:20">
      <c r="A76" s="7" t="s">
        <v>156</v>
      </c>
      <c r="B76" s="16" t="s">
        <v>154</v>
      </c>
      <c r="C76">
        <v>419752284.47908133</v>
      </c>
      <c r="D76">
        <v>337780714.34672785</v>
      </c>
      <c r="E76">
        <v>4283783.7837837832</v>
      </c>
      <c r="F76">
        <v>2167792.7927927962</v>
      </c>
      <c r="G76">
        <v>74</v>
      </c>
      <c r="H76">
        <v>20</v>
      </c>
      <c r="K76">
        <v>129</v>
      </c>
      <c r="L76">
        <v>24</v>
      </c>
      <c r="M76">
        <v>82190387.387387395</v>
      </c>
      <c r="N76">
        <v>61330630.630630635</v>
      </c>
      <c r="O76">
        <v>158574900.9009009</v>
      </c>
      <c r="P76">
        <v>130778585.58558558</v>
      </c>
      <c r="Q76">
        <v>74570090.090090081</v>
      </c>
      <c r="R76">
        <v>62948558.558558561</v>
      </c>
      <c r="S76">
        <v>7967</v>
      </c>
      <c r="T76">
        <v>7966</v>
      </c>
    </row>
    <row r="77" spans="1:20">
      <c r="A77" s="7" t="s">
        <v>157</v>
      </c>
      <c r="B77" s="16" t="s">
        <v>134</v>
      </c>
      <c r="C77">
        <v>159444363.064015</v>
      </c>
      <c r="D77">
        <v>157223893.69652143</v>
      </c>
      <c r="E77">
        <v>444144.144144146</v>
      </c>
      <c r="F77">
        <v>556756.75675675902</v>
      </c>
      <c r="G77">
        <v>36</v>
      </c>
      <c r="H77">
        <v>30</v>
      </c>
      <c r="I77">
        <v>1</v>
      </c>
      <c r="K77">
        <v>41</v>
      </c>
      <c r="L77">
        <v>35</v>
      </c>
      <c r="M77">
        <v>16777477.47747748</v>
      </c>
      <c r="N77">
        <v>14948656.756756758</v>
      </c>
      <c r="O77">
        <v>13947657.657657659</v>
      </c>
      <c r="P77">
        <v>17080909.909909911</v>
      </c>
      <c r="Q77">
        <v>7373603.6036036042</v>
      </c>
      <c r="R77">
        <v>5119369.3693693709</v>
      </c>
      <c r="S77">
        <v>4407</v>
      </c>
      <c r="T77">
        <v>4401</v>
      </c>
    </row>
    <row r="78" spans="1:20">
      <c r="A78" s="7" t="s">
        <v>1</v>
      </c>
      <c r="B78" s="16" t="s">
        <v>158</v>
      </c>
      <c r="C78">
        <v>290744440.20768487</v>
      </c>
      <c r="D78">
        <v>281823501.23799759</v>
      </c>
      <c r="E78">
        <v>558108.10810811096</v>
      </c>
      <c r="F78">
        <v>1419819.8198198241</v>
      </c>
      <c r="G78">
        <v>161</v>
      </c>
      <c r="H78">
        <v>45</v>
      </c>
      <c r="I78">
        <v>2</v>
      </c>
      <c r="K78">
        <v>439</v>
      </c>
      <c r="L78">
        <v>148</v>
      </c>
      <c r="M78">
        <v>26482432.432432432</v>
      </c>
      <c r="N78">
        <v>34351981.981981978</v>
      </c>
      <c r="O78">
        <v>135166259.45945945</v>
      </c>
      <c r="P78">
        <v>134809468.46846846</v>
      </c>
      <c r="Q78">
        <v>27420540.540540542</v>
      </c>
      <c r="R78">
        <v>32096036.036036033</v>
      </c>
      <c r="S78">
        <v>7309</v>
      </c>
      <c r="T78">
        <v>8349</v>
      </c>
    </row>
    <row r="79" spans="1:20">
      <c r="A79" s="7" t="s">
        <v>159</v>
      </c>
      <c r="B79" s="16" t="s">
        <v>121</v>
      </c>
      <c r="C79">
        <v>11798079.089223851</v>
      </c>
      <c r="D79">
        <v>10953545.376471449</v>
      </c>
      <c r="G79">
        <v>3</v>
      </c>
      <c r="H79">
        <v>4</v>
      </c>
      <c r="K79">
        <v>3</v>
      </c>
      <c r="L79">
        <v>5</v>
      </c>
      <c r="M79">
        <v>900900.90090090095</v>
      </c>
      <c r="O79">
        <v>1151891.8918918921</v>
      </c>
      <c r="P79">
        <v>1046216.216216216</v>
      </c>
      <c r="Q79">
        <v>276396.39639639598</v>
      </c>
      <c r="R79">
        <v>29729.729729729999</v>
      </c>
      <c r="S79">
        <v>626</v>
      </c>
      <c r="T79">
        <v>481</v>
      </c>
    </row>
    <row r="80" spans="1:20">
      <c r="A80" s="7" t="s">
        <v>160</v>
      </c>
      <c r="B80" s="16" t="s">
        <v>161</v>
      </c>
      <c r="C80">
        <v>145301778.99415398</v>
      </c>
      <c r="D80">
        <v>149827845.16911092</v>
      </c>
      <c r="E80">
        <v>1189009.0090090169</v>
      </c>
      <c r="F80">
        <v>3318018.0180180292</v>
      </c>
      <c r="G80">
        <v>74</v>
      </c>
      <c r="H80">
        <v>94</v>
      </c>
      <c r="K80">
        <v>98</v>
      </c>
      <c r="L80">
        <v>164</v>
      </c>
      <c r="M80">
        <v>38164556.756756753</v>
      </c>
      <c r="N80">
        <v>27692072.072072081</v>
      </c>
      <c r="O80">
        <v>61448963.963963963</v>
      </c>
      <c r="P80">
        <v>64646369.369369365</v>
      </c>
      <c r="Q80">
        <v>39787927.927927919</v>
      </c>
      <c r="R80">
        <v>28055405.405405413</v>
      </c>
      <c r="S80">
        <v>5958</v>
      </c>
      <c r="T80">
        <v>6705</v>
      </c>
    </row>
    <row r="81" spans="1:20">
      <c r="A81" s="7" t="s">
        <v>162</v>
      </c>
      <c r="B81" s="16" t="s">
        <v>76</v>
      </c>
      <c r="C81">
        <v>68459241.859314114</v>
      </c>
      <c r="D81">
        <v>65617980.524739541</v>
      </c>
      <c r="E81">
        <v>191891.89189189201</v>
      </c>
      <c r="F81">
        <v>284684.68468468502</v>
      </c>
      <c r="G81">
        <v>14</v>
      </c>
      <c r="H81">
        <v>12</v>
      </c>
      <c r="K81">
        <v>16</v>
      </c>
      <c r="L81">
        <v>13</v>
      </c>
      <c r="M81">
        <v>1106306.306306306</v>
      </c>
      <c r="N81">
        <v>1248648.648648649</v>
      </c>
      <c r="O81">
        <v>4031846.8468468459</v>
      </c>
      <c r="P81">
        <v>3085045.0450450452</v>
      </c>
      <c r="Q81">
        <v>1177657.6576576571</v>
      </c>
      <c r="R81">
        <v>1070720.7207207209</v>
      </c>
      <c r="S81">
        <v>982</v>
      </c>
      <c r="T81">
        <v>1540</v>
      </c>
    </row>
    <row r="82" spans="1:20">
      <c r="A82" s="7" t="s">
        <v>163</v>
      </c>
      <c r="B82" s="16" t="s">
        <v>52</v>
      </c>
      <c r="C82">
        <v>52024656.865693137</v>
      </c>
      <c r="D82">
        <v>52748500.631609574</v>
      </c>
      <c r="E82">
        <v>808783.78378378402</v>
      </c>
      <c r="F82">
        <v>742342.34234234202</v>
      </c>
      <c r="G82">
        <v>10</v>
      </c>
      <c r="H82">
        <v>24</v>
      </c>
      <c r="K82">
        <v>11</v>
      </c>
      <c r="L82">
        <v>27</v>
      </c>
      <c r="M82">
        <v>1731531.5315315321</v>
      </c>
      <c r="N82">
        <v>904504.50450450403</v>
      </c>
      <c r="O82">
        <v>25225540.540540539</v>
      </c>
      <c r="P82">
        <v>25800180.180180181</v>
      </c>
      <c r="Q82">
        <v>1335495.4954954961</v>
      </c>
      <c r="R82">
        <v>997297.29729729798</v>
      </c>
      <c r="S82">
        <v>1538</v>
      </c>
      <c r="T82">
        <v>1590</v>
      </c>
    </row>
    <row r="83" spans="1:20">
      <c r="A83" s="7" t="s">
        <v>164</v>
      </c>
      <c r="B83" s="16" t="s">
        <v>87</v>
      </c>
      <c r="C83">
        <v>45217938.436961114</v>
      </c>
      <c r="D83">
        <v>26640461.693454653</v>
      </c>
      <c r="E83">
        <v>43243.243243243</v>
      </c>
      <c r="F83">
        <v>40540.540540540998</v>
      </c>
      <c r="G83">
        <v>67</v>
      </c>
      <c r="H83">
        <v>9</v>
      </c>
      <c r="K83">
        <v>72</v>
      </c>
      <c r="L83">
        <v>10</v>
      </c>
      <c r="M83">
        <v>1908108.1081081079</v>
      </c>
      <c r="N83">
        <v>251351.35135135101</v>
      </c>
      <c r="O83">
        <v>4602207.2072072066</v>
      </c>
      <c r="P83">
        <v>2450675.6756756762</v>
      </c>
      <c r="Q83">
        <v>2334594.594594595</v>
      </c>
      <c r="R83">
        <v>258918.918918918</v>
      </c>
      <c r="S83">
        <v>1236</v>
      </c>
      <c r="T83">
        <v>1057</v>
      </c>
    </row>
    <row r="84" spans="1:20">
      <c r="A84" s="7" t="s">
        <v>165</v>
      </c>
      <c r="B84" s="16" t="s">
        <v>143</v>
      </c>
      <c r="C84">
        <v>8454424.9458129983</v>
      </c>
      <c r="D84">
        <v>9475277.3393250275</v>
      </c>
      <c r="E84">
        <v>14414.414414413999</v>
      </c>
      <c r="F84">
        <v>94594.594594594993</v>
      </c>
      <c r="G84">
        <v>5</v>
      </c>
      <c r="H84">
        <v>8</v>
      </c>
      <c r="K84">
        <v>7</v>
      </c>
      <c r="L84">
        <v>8</v>
      </c>
      <c r="M84">
        <v>1924324.324324324</v>
      </c>
      <c r="N84">
        <v>545045.04504504497</v>
      </c>
      <c r="O84">
        <v>1008378.378378378</v>
      </c>
      <c r="P84">
        <v>1160963.963963964</v>
      </c>
      <c r="Q84">
        <v>1470270.2702702689</v>
      </c>
      <c r="R84">
        <v>274954.95495495503</v>
      </c>
      <c r="S84">
        <v>338</v>
      </c>
      <c r="T84">
        <v>399</v>
      </c>
    </row>
    <row r="85" spans="1:20">
      <c r="A85" s="7" t="s">
        <v>669</v>
      </c>
      <c r="B85" s="16" t="s">
        <v>143</v>
      </c>
      <c r="E85">
        <v>116993484.68468469</v>
      </c>
      <c r="F85">
        <v>73847985.585585579</v>
      </c>
      <c r="M85">
        <v>7657657.6576576577</v>
      </c>
      <c r="N85">
        <v>7207207.2072072066</v>
      </c>
    </row>
    <row r="86" spans="1:20">
      <c r="A86" s="7" t="s">
        <v>166</v>
      </c>
      <c r="B86" s="16" t="s">
        <v>167</v>
      </c>
      <c r="C86">
        <v>33755110.370260254</v>
      </c>
      <c r="D86">
        <v>37677857.123884693</v>
      </c>
      <c r="E86">
        <v>2038738.7387387389</v>
      </c>
      <c r="F86">
        <v>6235135.1351351356</v>
      </c>
      <c r="G86">
        <v>22</v>
      </c>
      <c r="H86">
        <v>9</v>
      </c>
      <c r="K86">
        <v>26</v>
      </c>
      <c r="L86">
        <v>9</v>
      </c>
      <c r="M86">
        <v>4372477.4774774797</v>
      </c>
      <c r="N86">
        <v>3452702.702702703</v>
      </c>
      <c r="O86">
        <v>16219504.504504504</v>
      </c>
      <c r="P86">
        <v>17804917.117117114</v>
      </c>
      <c r="Q86">
        <v>4143333.3333333358</v>
      </c>
      <c r="R86">
        <v>3404504.5045045041</v>
      </c>
      <c r="S86">
        <v>1349</v>
      </c>
      <c r="T86">
        <v>1464</v>
      </c>
    </row>
    <row r="87" spans="1:20">
      <c r="A87" s="7" t="s">
        <v>168</v>
      </c>
      <c r="B87" s="16" t="s">
        <v>169</v>
      </c>
      <c r="C87">
        <v>164485524.54512176</v>
      </c>
      <c r="D87">
        <v>170558353.19407436</v>
      </c>
      <c r="E87">
        <v>337387.38738738699</v>
      </c>
      <c r="F87">
        <v>1220720.7207207221</v>
      </c>
      <c r="G87">
        <v>27</v>
      </c>
      <c r="H87">
        <v>36</v>
      </c>
      <c r="I87">
        <v>1</v>
      </c>
      <c r="K87">
        <v>41</v>
      </c>
      <c r="L87">
        <v>43</v>
      </c>
      <c r="M87">
        <v>18247297.297297295</v>
      </c>
      <c r="N87">
        <v>25266015.315315314</v>
      </c>
      <c r="O87">
        <v>45942234.234234229</v>
      </c>
      <c r="P87">
        <v>53647380.630630635</v>
      </c>
      <c r="Q87">
        <v>19875945.945945945</v>
      </c>
      <c r="R87">
        <v>26053603.603603605</v>
      </c>
      <c r="S87">
        <v>6272</v>
      </c>
      <c r="T87">
        <v>6445</v>
      </c>
    </row>
    <row r="88" spans="1:20">
      <c r="A88" s="7" t="s">
        <v>170</v>
      </c>
      <c r="B88" s="16" t="s">
        <v>54</v>
      </c>
      <c r="C88">
        <v>25415609.776189681</v>
      </c>
      <c r="D88">
        <v>25405890.796030771</v>
      </c>
      <c r="E88">
        <v>42342.342342342999</v>
      </c>
      <c r="F88">
        <v>367567.56756756798</v>
      </c>
      <c r="G88">
        <v>1</v>
      </c>
      <c r="H88">
        <v>1</v>
      </c>
      <c r="K88">
        <v>3</v>
      </c>
      <c r="L88">
        <v>2</v>
      </c>
      <c r="M88">
        <v>3938738.7387387389</v>
      </c>
      <c r="N88">
        <v>1718918.9189189191</v>
      </c>
      <c r="O88">
        <v>4019684.684684685</v>
      </c>
      <c r="P88">
        <v>3939774.7747747758</v>
      </c>
      <c r="Q88">
        <v>2938018.018018018</v>
      </c>
      <c r="R88">
        <v>2722162.1621621619</v>
      </c>
      <c r="S88">
        <v>676</v>
      </c>
      <c r="T88">
        <v>683</v>
      </c>
    </row>
    <row r="89" spans="1:20">
      <c r="A89" s="7" t="s">
        <v>171</v>
      </c>
      <c r="B89" s="16" t="s">
        <v>60</v>
      </c>
      <c r="C89">
        <v>548096784.77777803</v>
      </c>
      <c r="D89">
        <v>531190999.68092901</v>
      </c>
      <c r="E89">
        <v>3336261.261261262</v>
      </c>
      <c r="F89">
        <v>6772072.0720720738</v>
      </c>
      <c r="G89">
        <v>121</v>
      </c>
      <c r="H89">
        <v>127</v>
      </c>
      <c r="K89">
        <v>132</v>
      </c>
      <c r="L89">
        <v>150</v>
      </c>
      <c r="M89">
        <v>31260360.360360362</v>
      </c>
      <c r="N89">
        <v>24119819.819819815</v>
      </c>
      <c r="O89">
        <v>185336869.36936939</v>
      </c>
      <c r="P89">
        <v>196600261.26126125</v>
      </c>
      <c r="Q89">
        <v>32400540.540540539</v>
      </c>
      <c r="R89">
        <v>26149459.459459458</v>
      </c>
      <c r="S89">
        <v>12125</v>
      </c>
      <c r="T89">
        <v>11923</v>
      </c>
    </row>
    <row r="90" spans="1:20">
      <c r="A90" s="7" t="s">
        <v>172</v>
      </c>
      <c r="B90" s="16" t="s">
        <v>121</v>
      </c>
      <c r="C90">
        <v>222035134.2343162</v>
      </c>
      <c r="D90">
        <v>220090309.11635765</v>
      </c>
      <c r="E90">
        <v>1144144.144144146</v>
      </c>
      <c r="F90">
        <v>1462162.1621621631</v>
      </c>
      <c r="G90">
        <v>132</v>
      </c>
      <c r="H90">
        <v>86</v>
      </c>
      <c r="K90">
        <v>147</v>
      </c>
      <c r="L90">
        <v>97</v>
      </c>
      <c r="M90">
        <v>16460360.360360358</v>
      </c>
      <c r="N90">
        <v>12243243.243243242</v>
      </c>
      <c r="O90">
        <v>31534549.549549554</v>
      </c>
      <c r="P90">
        <v>29907105.855855856</v>
      </c>
      <c r="Q90">
        <v>11741531.531531531</v>
      </c>
      <c r="R90">
        <v>9078738.7387387399</v>
      </c>
      <c r="S90">
        <v>5923</v>
      </c>
      <c r="T90">
        <v>5672</v>
      </c>
    </row>
    <row r="91" spans="1:20">
      <c r="A91" s="7" t="s">
        <v>173</v>
      </c>
      <c r="B91" s="16" t="s">
        <v>174</v>
      </c>
      <c r="C91">
        <v>164945233.92637599</v>
      </c>
      <c r="D91">
        <v>156846908.58767286</v>
      </c>
      <c r="E91">
        <v>2467792.7927927952</v>
      </c>
      <c r="F91">
        <v>2508783.7837837841</v>
      </c>
      <c r="G91">
        <v>52</v>
      </c>
      <c r="H91">
        <v>79</v>
      </c>
      <c r="I91">
        <v>5</v>
      </c>
      <c r="K91">
        <v>59</v>
      </c>
      <c r="L91">
        <v>141</v>
      </c>
      <c r="M91">
        <v>22772522.52252252</v>
      </c>
      <c r="N91">
        <v>18034684.684684679</v>
      </c>
      <c r="O91">
        <v>19869837.837837841</v>
      </c>
      <c r="P91">
        <v>19293972.97297297</v>
      </c>
      <c r="Q91">
        <v>17821081.081081081</v>
      </c>
      <c r="R91">
        <v>17818108.108108107</v>
      </c>
      <c r="S91">
        <v>4848</v>
      </c>
      <c r="T91">
        <v>4447</v>
      </c>
    </row>
    <row r="92" spans="1:20">
      <c r="A92" s="7" t="s">
        <v>175</v>
      </c>
      <c r="B92" s="16" t="s">
        <v>174</v>
      </c>
      <c r="C92">
        <v>247653968.86920762</v>
      </c>
      <c r="D92">
        <v>247452457.25904432</v>
      </c>
      <c r="E92">
        <v>11487387.387387391</v>
      </c>
      <c r="F92">
        <v>12788063.063063065</v>
      </c>
      <c r="G92">
        <v>105</v>
      </c>
      <c r="H92">
        <v>102</v>
      </c>
      <c r="I92">
        <v>1</v>
      </c>
      <c r="K92">
        <v>131</v>
      </c>
      <c r="L92">
        <v>151</v>
      </c>
      <c r="M92">
        <v>45669819.819819823</v>
      </c>
      <c r="N92">
        <v>27244594.59459459</v>
      </c>
      <c r="O92">
        <v>44946149.54954955</v>
      </c>
      <c r="P92">
        <v>42081765.765765771</v>
      </c>
      <c r="Q92">
        <v>37265311.711711712</v>
      </c>
      <c r="R92">
        <v>24275225.225225225</v>
      </c>
      <c r="S92">
        <v>8550</v>
      </c>
      <c r="T92">
        <v>8590</v>
      </c>
    </row>
    <row r="93" spans="1:20">
      <c r="A93" s="7" t="s">
        <v>176</v>
      </c>
      <c r="B93" s="16" t="s">
        <v>174</v>
      </c>
      <c r="C93">
        <v>338400538.67526662</v>
      </c>
      <c r="D93">
        <v>335060649.98130089</v>
      </c>
      <c r="E93">
        <v>116320047.74774775</v>
      </c>
      <c r="F93">
        <v>62541466.666666672</v>
      </c>
      <c r="G93">
        <v>168</v>
      </c>
      <c r="H93">
        <v>154</v>
      </c>
      <c r="I93">
        <v>4</v>
      </c>
      <c r="K93">
        <v>232</v>
      </c>
      <c r="L93">
        <v>208</v>
      </c>
      <c r="M93">
        <v>60381538.738738738</v>
      </c>
      <c r="N93">
        <v>46321621.621621624</v>
      </c>
      <c r="O93">
        <v>59815779.279279277</v>
      </c>
      <c r="P93">
        <v>50758103.603603601</v>
      </c>
      <c r="Q93">
        <v>34759279.279279277</v>
      </c>
      <c r="R93">
        <v>26493153.153153151</v>
      </c>
      <c r="S93">
        <v>11330</v>
      </c>
      <c r="T93">
        <v>11906</v>
      </c>
    </row>
    <row r="94" spans="1:20">
      <c r="A94" s="7" t="s">
        <v>177</v>
      </c>
      <c r="B94" s="16" t="s">
        <v>178</v>
      </c>
      <c r="C94">
        <v>118808991.71549495</v>
      </c>
      <c r="D94">
        <v>111323050.53241922</v>
      </c>
      <c r="E94">
        <v>540540.54054054106</v>
      </c>
      <c r="F94">
        <v>184684.68468468499</v>
      </c>
      <c r="G94">
        <v>26</v>
      </c>
      <c r="H94">
        <v>16</v>
      </c>
      <c r="K94">
        <v>34</v>
      </c>
      <c r="L94">
        <v>23</v>
      </c>
      <c r="M94">
        <v>6183869.3693693681</v>
      </c>
      <c r="N94">
        <v>8023873.8738738718</v>
      </c>
      <c r="O94">
        <v>39419054.054054059</v>
      </c>
      <c r="P94">
        <v>46774628.828828834</v>
      </c>
      <c r="Q94">
        <v>2577387.387387387</v>
      </c>
      <c r="R94">
        <v>8402702.7027027011</v>
      </c>
      <c r="S94">
        <v>3602</v>
      </c>
      <c r="T94">
        <v>4175</v>
      </c>
    </row>
    <row r="95" spans="1:20">
      <c r="A95" s="7" t="s">
        <v>179</v>
      </c>
      <c r="B95" s="16" t="s">
        <v>167</v>
      </c>
      <c r="C95">
        <v>151962669.40657768</v>
      </c>
      <c r="D95">
        <v>132086044.95612209</v>
      </c>
      <c r="E95">
        <v>339639.63963963999</v>
      </c>
      <c r="F95">
        <v>950225.22522522602</v>
      </c>
      <c r="G95">
        <v>51</v>
      </c>
      <c r="H95">
        <v>22</v>
      </c>
      <c r="K95">
        <v>59</v>
      </c>
      <c r="L95">
        <v>33</v>
      </c>
      <c r="M95">
        <v>5410270.2702702712</v>
      </c>
      <c r="N95">
        <v>2277477.4774774779</v>
      </c>
      <c r="O95">
        <v>36954486.486486487</v>
      </c>
      <c r="P95">
        <v>33805054.054054052</v>
      </c>
      <c r="Q95">
        <v>6937747.747747751</v>
      </c>
      <c r="R95">
        <v>1153603.603603604</v>
      </c>
      <c r="S95">
        <v>4493</v>
      </c>
      <c r="T95">
        <v>4342</v>
      </c>
    </row>
    <row r="96" spans="1:20">
      <c r="A96" s="7" t="s">
        <v>180</v>
      </c>
      <c r="B96" s="16" t="s">
        <v>181</v>
      </c>
      <c r="C96">
        <v>113846198.17358436</v>
      </c>
      <c r="D96">
        <v>107839051.2863903</v>
      </c>
      <c r="E96">
        <v>3603.603603604</v>
      </c>
      <c r="F96">
        <v>283783.78378378501</v>
      </c>
      <c r="G96">
        <v>15</v>
      </c>
      <c r="H96">
        <v>20</v>
      </c>
      <c r="K96">
        <v>16</v>
      </c>
      <c r="L96">
        <v>22</v>
      </c>
      <c r="M96">
        <v>8531981.9819819815</v>
      </c>
      <c r="N96">
        <v>3995495.4954954949</v>
      </c>
      <c r="O96">
        <v>23633108.108108107</v>
      </c>
      <c r="P96">
        <v>27206939.189189188</v>
      </c>
      <c r="Q96">
        <v>9332882.8828828819</v>
      </c>
      <c r="R96">
        <v>7311171.1711711707</v>
      </c>
      <c r="S96">
        <v>2939</v>
      </c>
      <c r="T96">
        <v>2991</v>
      </c>
    </row>
    <row r="97" spans="1:20">
      <c r="A97" s="7" t="s">
        <v>670</v>
      </c>
      <c r="B97" s="16" t="s">
        <v>68</v>
      </c>
      <c r="T97">
        <v>2</v>
      </c>
    </row>
    <row r="98" spans="1:20">
      <c r="A98" s="7" t="s">
        <v>182</v>
      </c>
      <c r="B98" s="16" t="s">
        <v>94</v>
      </c>
      <c r="C98">
        <v>94312403.022284955</v>
      </c>
      <c r="D98">
        <v>107025150.62477472</v>
      </c>
      <c r="E98">
        <v>140540.54054054001</v>
      </c>
      <c r="F98">
        <v>13513.513513514001</v>
      </c>
      <c r="G98">
        <v>35</v>
      </c>
      <c r="H98">
        <v>35</v>
      </c>
      <c r="K98">
        <v>41</v>
      </c>
      <c r="L98">
        <v>44</v>
      </c>
      <c r="M98">
        <v>140540.54054054001</v>
      </c>
      <c r="N98">
        <v>4436936.9369369363</v>
      </c>
      <c r="O98">
        <v>8366756.7567567583</v>
      </c>
      <c r="P98">
        <v>11691072.072072072</v>
      </c>
      <c r="Q98">
        <v>594594.59459459502</v>
      </c>
      <c r="R98">
        <v>1246576.5765765761</v>
      </c>
      <c r="S98">
        <v>3691</v>
      </c>
      <c r="T98">
        <v>4076</v>
      </c>
    </row>
    <row r="99" spans="1:20">
      <c r="A99" s="7" t="s">
        <v>183</v>
      </c>
      <c r="B99" s="16" t="s">
        <v>94</v>
      </c>
      <c r="C99">
        <v>685357534.21022177</v>
      </c>
      <c r="D99">
        <v>652092366.41970909</v>
      </c>
      <c r="E99">
        <v>543914788.28828835</v>
      </c>
      <c r="F99">
        <v>960856714.41441441</v>
      </c>
      <c r="G99">
        <v>159</v>
      </c>
      <c r="H99">
        <v>133</v>
      </c>
      <c r="I99">
        <v>1</v>
      </c>
      <c r="K99">
        <v>185</v>
      </c>
      <c r="L99">
        <v>169</v>
      </c>
      <c r="M99">
        <v>37874324.324324317</v>
      </c>
      <c r="N99">
        <v>42023873.873873875</v>
      </c>
      <c r="O99">
        <v>78381013.51351352</v>
      </c>
      <c r="P99">
        <v>79216853.603603601</v>
      </c>
      <c r="Q99">
        <v>31745225.225225225</v>
      </c>
      <c r="R99">
        <v>36599099.099099107</v>
      </c>
      <c r="S99">
        <v>16199</v>
      </c>
      <c r="T99">
        <v>16106</v>
      </c>
    </row>
    <row r="100" spans="1:20">
      <c r="A100" s="7" t="s">
        <v>184</v>
      </c>
      <c r="B100" s="16" t="s">
        <v>89</v>
      </c>
      <c r="C100">
        <v>60251393.789437577</v>
      </c>
      <c r="D100">
        <v>58459863.828447938</v>
      </c>
      <c r="E100">
        <v>25056306.306306303</v>
      </c>
      <c r="F100">
        <v>135021396.3963964</v>
      </c>
      <c r="G100">
        <v>9</v>
      </c>
      <c r="H100">
        <v>14</v>
      </c>
      <c r="K100">
        <v>11</v>
      </c>
      <c r="L100">
        <v>16</v>
      </c>
      <c r="M100">
        <v>2731081.0810810812</v>
      </c>
      <c r="N100">
        <v>2577477.4774774769</v>
      </c>
      <c r="O100">
        <v>18901126.126126129</v>
      </c>
      <c r="P100">
        <v>19706063.063063063</v>
      </c>
      <c r="Q100">
        <v>2458738.7387387399</v>
      </c>
      <c r="R100">
        <v>2058648.648648649</v>
      </c>
      <c r="S100">
        <v>1843</v>
      </c>
      <c r="T100">
        <v>1668</v>
      </c>
    </row>
    <row r="101" spans="1:20">
      <c r="A101" s="7" t="s">
        <v>185</v>
      </c>
      <c r="B101" s="16" t="s">
        <v>60</v>
      </c>
      <c r="C101">
        <v>33763426.721570343</v>
      </c>
      <c r="D101">
        <v>34738494.105519585</v>
      </c>
      <c r="E101">
        <v>36373873.873873875</v>
      </c>
      <c r="F101">
        <v>29514414.414414417</v>
      </c>
      <c r="G101">
        <v>5</v>
      </c>
      <c r="H101">
        <v>9</v>
      </c>
      <c r="K101">
        <v>5</v>
      </c>
      <c r="L101">
        <v>9</v>
      </c>
      <c r="M101">
        <v>4956306.3063063072</v>
      </c>
      <c r="N101">
        <v>1343243.2432432449</v>
      </c>
      <c r="O101">
        <v>12058468.468468469</v>
      </c>
      <c r="P101">
        <v>12015470.72072072</v>
      </c>
      <c r="Q101">
        <v>1686486.486486485</v>
      </c>
      <c r="R101">
        <v>574774.77477477503</v>
      </c>
      <c r="S101">
        <v>838</v>
      </c>
      <c r="T101">
        <v>793</v>
      </c>
    </row>
    <row r="102" spans="1:20">
      <c r="A102" s="7" t="s">
        <v>186</v>
      </c>
      <c r="B102" s="16" t="s">
        <v>167</v>
      </c>
      <c r="C102">
        <v>82551568.93317534</v>
      </c>
      <c r="D102">
        <v>87229621.9513423</v>
      </c>
      <c r="E102">
        <v>6306.3063063070003</v>
      </c>
      <c r="F102">
        <v>873648.64864865004</v>
      </c>
      <c r="G102">
        <v>14</v>
      </c>
      <c r="H102">
        <v>3</v>
      </c>
      <c r="K102">
        <v>22</v>
      </c>
      <c r="L102">
        <v>4</v>
      </c>
      <c r="M102">
        <v>267567.56756756699</v>
      </c>
      <c r="N102">
        <v>914414.41441441502</v>
      </c>
      <c r="O102">
        <v>20853513.513513513</v>
      </c>
      <c r="P102">
        <v>23325972.97297297</v>
      </c>
      <c r="Q102">
        <v>396396.39639639598</v>
      </c>
      <c r="R102">
        <v>253063.06306306299</v>
      </c>
      <c r="S102">
        <v>2717</v>
      </c>
      <c r="T102">
        <v>2764</v>
      </c>
    </row>
    <row r="103" spans="1:20">
      <c r="A103" s="7" t="s">
        <v>187</v>
      </c>
      <c r="B103" s="16" t="s">
        <v>167</v>
      </c>
      <c r="C103">
        <v>244189326.73742977</v>
      </c>
      <c r="D103">
        <v>230867421.43510368</v>
      </c>
      <c r="E103">
        <v>20720.720720722002</v>
      </c>
      <c r="F103">
        <v>433333.33333333698</v>
      </c>
      <c r="G103">
        <v>60</v>
      </c>
      <c r="H103">
        <v>23</v>
      </c>
      <c r="K103">
        <v>67</v>
      </c>
      <c r="L103">
        <v>25</v>
      </c>
      <c r="M103">
        <v>6300000.0000000028</v>
      </c>
      <c r="N103">
        <v>8332914.4144144161</v>
      </c>
      <c r="O103">
        <v>47498387.387387395</v>
      </c>
      <c r="P103">
        <v>46939918.918918923</v>
      </c>
      <c r="Q103">
        <v>5857117.1171171162</v>
      </c>
      <c r="R103">
        <v>6161531.531531537</v>
      </c>
      <c r="S103">
        <v>5850</v>
      </c>
      <c r="T103">
        <v>4989</v>
      </c>
    </row>
    <row r="104" spans="1:20">
      <c r="A104" s="7" t="s">
        <v>188</v>
      </c>
      <c r="B104" s="16" t="s">
        <v>189</v>
      </c>
      <c r="C104">
        <v>107523148.29790331</v>
      </c>
      <c r="D104">
        <v>102381344.07476717</v>
      </c>
      <c r="E104">
        <v>630630.630630631</v>
      </c>
      <c r="F104">
        <v>3873873.8738738741</v>
      </c>
      <c r="G104">
        <v>13</v>
      </c>
      <c r="H104">
        <v>19</v>
      </c>
      <c r="K104">
        <v>15</v>
      </c>
      <c r="L104">
        <v>19</v>
      </c>
      <c r="M104">
        <v>1981981.981981982</v>
      </c>
      <c r="N104">
        <v>1171171.1711711709</v>
      </c>
      <c r="O104">
        <v>8644009.0090090092</v>
      </c>
      <c r="P104">
        <v>7232648.6486486495</v>
      </c>
      <c r="Q104">
        <v>2041441.441441441</v>
      </c>
      <c r="R104">
        <v>1169819.8198198201</v>
      </c>
      <c r="S104">
        <v>1836</v>
      </c>
      <c r="T104">
        <v>1709</v>
      </c>
    </row>
    <row r="105" spans="1:20">
      <c r="A105" s="7" t="s">
        <v>190</v>
      </c>
      <c r="B105" s="16" t="s">
        <v>134</v>
      </c>
      <c r="C105">
        <v>23384628.703968879</v>
      </c>
      <c r="D105">
        <v>24784245.018509448</v>
      </c>
      <c r="F105">
        <v>13513.513513514001</v>
      </c>
      <c r="G105">
        <v>12</v>
      </c>
      <c r="H105">
        <v>17</v>
      </c>
      <c r="K105">
        <v>12</v>
      </c>
      <c r="L105">
        <v>17</v>
      </c>
      <c r="M105">
        <v>45045.045045045001</v>
      </c>
      <c r="N105">
        <v>13513.513513514001</v>
      </c>
      <c r="O105">
        <v>1962657.6576576571</v>
      </c>
      <c r="P105">
        <v>1919279.2792792791</v>
      </c>
      <c r="Q105">
        <v>45045.045045045001</v>
      </c>
      <c r="R105">
        <v>121621.62162162201</v>
      </c>
      <c r="S105">
        <v>1007</v>
      </c>
      <c r="T105">
        <v>933</v>
      </c>
    </row>
    <row r="106" spans="1:20">
      <c r="A106" s="7" t="s">
        <v>191</v>
      </c>
      <c r="B106" s="16" t="s">
        <v>60</v>
      </c>
      <c r="C106">
        <v>154594275.5492374</v>
      </c>
      <c r="D106">
        <v>146082959.92624995</v>
      </c>
      <c r="E106">
        <v>1330630.630630631</v>
      </c>
      <c r="F106">
        <v>1459234.234234235</v>
      </c>
      <c r="G106">
        <v>34</v>
      </c>
      <c r="H106">
        <v>17</v>
      </c>
      <c r="K106">
        <v>58</v>
      </c>
      <c r="L106">
        <v>48</v>
      </c>
      <c r="M106">
        <v>12663963.963963963</v>
      </c>
      <c r="N106">
        <v>12306306.306306308</v>
      </c>
      <c r="O106">
        <v>51183720.720720723</v>
      </c>
      <c r="P106">
        <v>47635801.801801801</v>
      </c>
      <c r="Q106">
        <v>13117117.117117116</v>
      </c>
      <c r="R106">
        <v>11561261.26126126</v>
      </c>
      <c r="S106">
        <v>4057</v>
      </c>
      <c r="T106">
        <v>3878</v>
      </c>
    </row>
    <row r="107" spans="1:20">
      <c r="A107" s="7" t="s">
        <v>192</v>
      </c>
      <c r="B107" s="16" t="s">
        <v>60</v>
      </c>
      <c r="C107">
        <v>265792274.89279169</v>
      </c>
      <c r="D107">
        <v>250019898.52798897</v>
      </c>
      <c r="E107">
        <v>2079279.2792792791</v>
      </c>
      <c r="F107">
        <v>2098198.1981981988</v>
      </c>
      <c r="G107">
        <v>47</v>
      </c>
      <c r="H107">
        <v>21</v>
      </c>
      <c r="K107">
        <v>53</v>
      </c>
      <c r="L107">
        <v>28</v>
      </c>
      <c r="M107">
        <v>11696396.396396397</v>
      </c>
      <c r="N107">
        <v>14368468.468468469</v>
      </c>
      <c r="O107">
        <v>61463918.918918923</v>
      </c>
      <c r="P107">
        <v>62343423.423423424</v>
      </c>
      <c r="Q107">
        <v>10460630.630630633</v>
      </c>
      <c r="R107">
        <v>13192342.342342343</v>
      </c>
      <c r="S107">
        <v>6547</v>
      </c>
      <c r="T107">
        <v>6406</v>
      </c>
    </row>
    <row r="108" spans="1:20">
      <c r="A108" s="7" t="s">
        <v>2</v>
      </c>
      <c r="B108" s="16" t="s">
        <v>193</v>
      </c>
      <c r="C108">
        <v>35041852.324905545</v>
      </c>
      <c r="D108">
        <v>25128238.575954139</v>
      </c>
      <c r="E108">
        <v>57657.657657657001</v>
      </c>
      <c r="F108">
        <v>40540.540540542002</v>
      </c>
      <c r="G108">
        <v>8</v>
      </c>
      <c r="H108">
        <v>3</v>
      </c>
      <c r="K108">
        <v>8</v>
      </c>
      <c r="L108">
        <v>4</v>
      </c>
      <c r="M108">
        <v>324324.32432432403</v>
      </c>
      <c r="N108">
        <v>40540.540540542002</v>
      </c>
      <c r="O108">
        <v>18146621.621621624</v>
      </c>
      <c r="P108">
        <v>14583684.684684685</v>
      </c>
      <c r="Q108">
        <v>266666.66666666698</v>
      </c>
      <c r="R108">
        <v>157657.65765765801</v>
      </c>
      <c r="S108">
        <v>1270</v>
      </c>
      <c r="T108">
        <v>1101</v>
      </c>
    </row>
    <row r="109" spans="1:20">
      <c r="A109" s="7" t="s">
        <v>194</v>
      </c>
      <c r="B109" s="16" t="s">
        <v>195</v>
      </c>
      <c r="C109">
        <v>880344805.86215401</v>
      </c>
      <c r="D109">
        <v>898875698.81251526</v>
      </c>
      <c r="E109">
        <v>1582432.4324324329</v>
      </c>
      <c r="F109">
        <v>2966441.4414414428</v>
      </c>
      <c r="G109">
        <v>187</v>
      </c>
      <c r="H109">
        <v>225</v>
      </c>
      <c r="K109">
        <v>216</v>
      </c>
      <c r="L109">
        <v>309</v>
      </c>
      <c r="M109">
        <v>32917117.117117114</v>
      </c>
      <c r="N109">
        <v>37302702.702702701</v>
      </c>
      <c r="O109">
        <v>157763324.32432431</v>
      </c>
      <c r="P109">
        <v>174208378.37837836</v>
      </c>
      <c r="Q109">
        <v>35541351.351351351</v>
      </c>
      <c r="R109">
        <v>32333963.963963963</v>
      </c>
      <c r="S109">
        <v>17960</v>
      </c>
      <c r="T109">
        <v>18126</v>
      </c>
    </row>
    <row r="110" spans="1:20">
      <c r="A110" s="7" t="s">
        <v>196</v>
      </c>
      <c r="B110" s="16" t="s">
        <v>80</v>
      </c>
      <c r="C110">
        <v>275391425.12389976</v>
      </c>
      <c r="D110">
        <v>273725080.83873564</v>
      </c>
      <c r="E110">
        <v>227927.92792793</v>
      </c>
      <c r="F110">
        <v>1515315.315315316</v>
      </c>
      <c r="G110">
        <v>69</v>
      </c>
      <c r="H110">
        <v>63</v>
      </c>
      <c r="K110">
        <v>75</v>
      </c>
      <c r="L110">
        <v>70</v>
      </c>
      <c r="M110">
        <v>38727027.027027026</v>
      </c>
      <c r="N110">
        <v>34803603.603603601</v>
      </c>
      <c r="O110">
        <v>71051025.225225225</v>
      </c>
      <c r="P110">
        <v>74119540.540540546</v>
      </c>
      <c r="Q110">
        <v>37175178.378378376</v>
      </c>
      <c r="R110">
        <v>37653693.693693697</v>
      </c>
      <c r="S110">
        <v>6645</v>
      </c>
      <c r="T110">
        <v>6631</v>
      </c>
    </row>
    <row r="111" spans="1:20">
      <c r="A111" s="7" t="s">
        <v>197</v>
      </c>
      <c r="B111" s="16" t="s">
        <v>108</v>
      </c>
      <c r="C111">
        <v>209288685.27138788</v>
      </c>
      <c r="D111">
        <v>219650037.74236256</v>
      </c>
      <c r="E111">
        <v>921891.89189189405</v>
      </c>
      <c r="F111">
        <v>2045945.945945946</v>
      </c>
      <c r="G111">
        <v>52</v>
      </c>
      <c r="H111">
        <v>73</v>
      </c>
      <c r="K111">
        <v>65</v>
      </c>
      <c r="L111">
        <v>86</v>
      </c>
      <c r="M111">
        <v>15509729.729729729</v>
      </c>
      <c r="N111">
        <v>11542342.342342339</v>
      </c>
      <c r="O111">
        <v>60294954.954954952</v>
      </c>
      <c r="P111">
        <v>68187144.144144148</v>
      </c>
      <c r="Q111">
        <v>13659279.279279277</v>
      </c>
      <c r="R111">
        <v>11079099.099099098</v>
      </c>
      <c r="S111">
        <v>7166</v>
      </c>
      <c r="T111">
        <v>7343</v>
      </c>
    </row>
    <row r="112" spans="1:20">
      <c r="A112" s="7" t="s">
        <v>198</v>
      </c>
      <c r="B112" s="16" t="s">
        <v>92</v>
      </c>
      <c r="C112">
        <v>119399764.10824434</v>
      </c>
      <c r="D112">
        <v>116839366.94175872</v>
      </c>
      <c r="E112">
        <v>2764144.1441441458</v>
      </c>
      <c r="F112">
        <v>4031531.5315315332</v>
      </c>
      <c r="G112">
        <v>27</v>
      </c>
      <c r="H112">
        <v>144</v>
      </c>
      <c r="K112">
        <v>27</v>
      </c>
      <c r="L112">
        <v>236</v>
      </c>
      <c r="M112">
        <v>16485225.225225225</v>
      </c>
      <c r="N112">
        <v>32377927.927927926</v>
      </c>
      <c r="O112">
        <v>30877117.117117122</v>
      </c>
      <c r="P112">
        <v>32391000</v>
      </c>
      <c r="Q112">
        <v>16889639.639639638</v>
      </c>
      <c r="R112">
        <v>31614414.414414417</v>
      </c>
      <c r="S112">
        <v>2770</v>
      </c>
      <c r="T112">
        <v>4112</v>
      </c>
    </row>
    <row r="113" spans="1:20">
      <c r="A113" s="7" t="s">
        <v>199</v>
      </c>
      <c r="B113" s="16" t="s">
        <v>123</v>
      </c>
      <c r="C113">
        <v>118496800.88125977</v>
      </c>
      <c r="D113">
        <v>105714915.60243438</v>
      </c>
      <c r="E113">
        <v>490090.09009009099</v>
      </c>
      <c r="F113">
        <v>89189.189189190001</v>
      </c>
      <c r="G113">
        <v>53</v>
      </c>
      <c r="H113">
        <v>19</v>
      </c>
      <c r="K113">
        <v>57</v>
      </c>
      <c r="L113">
        <v>20</v>
      </c>
      <c r="M113">
        <v>6864864.8648648653</v>
      </c>
      <c r="N113">
        <v>2316396.3963963962</v>
      </c>
      <c r="O113">
        <v>24419189.189189188</v>
      </c>
      <c r="P113">
        <v>18458981.981981985</v>
      </c>
      <c r="Q113">
        <v>4777477.4774774779</v>
      </c>
      <c r="R113">
        <v>3255045.0450450452</v>
      </c>
      <c r="S113">
        <v>2573</v>
      </c>
      <c r="T113">
        <v>2522</v>
      </c>
    </row>
    <row r="114" spans="1:20">
      <c r="A114" s="7" t="s">
        <v>200</v>
      </c>
      <c r="B114" s="16" t="s">
        <v>60</v>
      </c>
      <c r="C114">
        <v>78779606.212262094</v>
      </c>
      <c r="D114">
        <v>76898567.599228859</v>
      </c>
      <c r="E114">
        <v>52252.252252252998</v>
      </c>
      <c r="F114">
        <v>1377477.4774774781</v>
      </c>
      <c r="G114">
        <v>16</v>
      </c>
      <c r="H114">
        <v>15</v>
      </c>
      <c r="K114">
        <v>28</v>
      </c>
      <c r="L114">
        <v>17</v>
      </c>
      <c r="M114">
        <v>9160360.3603603579</v>
      </c>
      <c r="N114">
        <v>10260360.36036036</v>
      </c>
      <c r="O114">
        <v>12829630.630630629</v>
      </c>
      <c r="P114">
        <v>14515869.369369367</v>
      </c>
      <c r="Q114">
        <v>7350090.0900900867</v>
      </c>
      <c r="R114">
        <v>5830450.4504504511</v>
      </c>
      <c r="S114">
        <v>3485</v>
      </c>
      <c r="T114">
        <v>3595</v>
      </c>
    </row>
    <row r="115" spans="1:20">
      <c r="A115" s="7" t="s">
        <v>201</v>
      </c>
      <c r="B115" s="16" t="s">
        <v>60</v>
      </c>
      <c r="C115">
        <v>26680660.167002451</v>
      </c>
      <c r="D115">
        <v>25801715.872992955</v>
      </c>
      <c r="E115">
        <v>222702.70270270301</v>
      </c>
      <c r="F115">
        <v>5405.4054054050002</v>
      </c>
      <c r="G115">
        <v>9</v>
      </c>
      <c r="H115">
        <v>8</v>
      </c>
      <c r="K115">
        <v>9</v>
      </c>
      <c r="L115">
        <v>10</v>
      </c>
      <c r="M115">
        <v>988468.46846846805</v>
      </c>
      <c r="N115">
        <v>1527927.9279279271</v>
      </c>
      <c r="O115">
        <v>5362882.8828828828</v>
      </c>
      <c r="P115">
        <v>4873360.3603603607</v>
      </c>
      <c r="Q115">
        <v>1313963.963963964</v>
      </c>
      <c r="R115">
        <v>443243.24324324302</v>
      </c>
      <c r="S115">
        <v>1105</v>
      </c>
      <c r="T115">
        <v>1163</v>
      </c>
    </row>
    <row r="116" spans="1:20">
      <c r="A116" s="7" t="s">
        <v>202</v>
      </c>
      <c r="B116" s="16" t="s">
        <v>121</v>
      </c>
      <c r="C116">
        <v>54564241.936557241</v>
      </c>
      <c r="D116">
        <v>50512516.480945595</v>
      </c>
      <c r="E116">
        <v>117117.117117117</v>
      </c>
      <c r="F116">
        <v>220720.720720721</v>
      </c>
      <c r="G116">
        <v>34</v>
      </c>
      <c r="H116">
        <v>32</v>
      </c>
      <c r="K116">
        <v>40</v>
      </c>
      <c r="L116">
        <v>37</v>
      </c>
      <c r="M116">
        <v>288288.28828828898</v>
      </c>
      <c r="N116">
        <v>225225.22522522599</v>
      </c>
      <c r="O116">
        <v>5296126.1261261264</v>
      </c>
      <c r="P116">
        <v>4777774.7747747749</v>
      </c>
      <c r="Q116">
        <v>290720.720720721</v>
      </c>
      <c r="S116">
        <v>1527</v>
      </c>
      <c r="T116">
        <v>1354</v>
      </c>
    </row>
    <row r="117" spans="1:20">
      <c r="A117" s="7" t="s">
        <v>671</v>
      </c>
      <c r="B117" s="16" t="s">
        <v>181</v>
      </c>
      <c r="M117">
        <v>432432.43243243202</v>
      </c>
      <c r="N117">
        <v>965765.76576576603</v>
      </c>
    </row>
    <row r="118" spans="1:20">
      <c r="A118" s="7" t="s">
        <v>203</v>
      </c>
      <c r="B118" s="16" t="s">
        <v>54</v>
      </c>
      <c r="C118">
        <v>83437414.850779295</v>
      </c>
      <c r="D118">
        <v>80034899.430625901</v>
      </c>
      <c r="E118">
        <v>457657.65765765798</v>
      </c>
      <c r="F118">
        <v>329729.72972973</v>
      </c>
      <c r="G118">
        <v>17</v>
      </c>
      <c r="H118">
        <v>20</v>
      </c>
      <c r="K118">
        <v>18</v>
      </c>
      <c r="L118">
        <v>21</v>
      </c>
      <c r="M118">
        <v>5232432.4324324317</v>
      </c>
      <c r="N118">
        <v>3361261.261261262</v>
      </c>
      <c r="O118">
        <v>21501396.396396395</v>
      </c>
      <c r="P118">
        <v>20585756.756756756</v>
      </c>
      <c r="Q118">
        <v>4666126.1261261273</v>
      </c>
      <c r="R118">
        <v>3960450.4504504502</v>
      </c>
      <c r="S118">
        <v>3799</v>
      </c>
      <c r="T118">
        <v>3927</v>
      </c>
    </row>
    <row r="119" spans="1:20">
      <c r="A119" s="7" t="s">
        <v>204</v>
      </c>
      <c r="B119" s="16" t="s">
        <v>136</v>
      </c>
      <c r="C119">
        <v>325270012.55088687</v>
      </c>
      <c r="D119">
        <v>283836762.44419789</v>
      </c>
      <c r="E119">
        <v>35469819.819819823</v>
      </c>
      <c r="F119">
        <v>13265765.765765766</v>
      </c>
      <c r="G119">
        <v>78</v>
      </c>
      <c r="H119">
        <v>35</v>
      </c>
      <c r="K119">
        <v>86</v>
      </c>
      <c r="L119">
        <v>41</v>
      </c>
      <c r="M119">
        <v>36502432.432432435</v>
      </c>
      <c r="N119">
        <v>25846846.846846845</v>
      </c>
      <c r="O119">
        <v>53698468.468468472</v>
      </c>
      <c r="P119">
        <v>51133963.963963971</v>
      </c>
      <c r="Q119">
        <v>29348468.468468472</v>
      </c>
      <c r="R119">
        <v>21187747.747747749</v>
      </c>
      <c r="S119">
        <v>5875</v>
      </c>
      <c r="T119">
        <v>5687</v>
      </c>
    </row>
    <row r="120" spans="1:20">
      <c r="A120" s="7" t="s">
        <v>205</v>
      </c>
      <c r="B120" s="16" t="s">
        <v>136</v>
      </c>
      <c r="C120">
        <v>157279303.28041402</v>
      </c>
      <c r="D120">
        <v>147249455.27761948</v>
      </c>
      <c r="E120">
        <v>277477.47747747699</v>
      </c>
      <c r="F120">
        <v>358558.55855855899</v>
      </c>
      <c r="G120">
        <v>43</v>
      </c>
      <c r="H120">
        <v>23</v>
      </c>
      <c r="K120">
        <v>48</v>
      </c>
      <c r="L120">
        <v>28</v>
      </c>
      <c r="M120">
        <v>6355855.8558558561</v>
      </c>
      <c r="N120">
        <v>5025225.2252252242</v>
      </c>
      <c r="O120">
        <v>26414234.234234232</v>
      </c>
      <c r="P120">
        <v>29118718.918918919</v>
      </c>
      <c r="Q120">
        <v>5273243.2432432435</v>
      </c>
      <c r="R120">
        <v>2862252.2522522528</v>
      </c>
      <c r="S120">
        <v>3158</v>
      </c>
      <c r="T120">
        <v>3102</v>
      </c>
    </row>
    <row r="121" spans="1:20">
      <c r="A121" s="7" t="s">
        <v>206</v>
      </c>
      <c r="B121" s="16" t="s">
        <v>169</v>
      </c>
      <c r="C121">
        <v>335996612.55927259</v>
      </c>
      <c r="D121">
        <v>340008553.37553424</v>
      </c>
      <c r="E121">
        <v>68920720.720720723</v>
      </c>
      <c r="F121">
        <v>76142342.342342332</v>
      </c>
      <c r="G121">
        <v>33</v>
      </c>
      <c r="H121">
        <v>12</v>
      </c>
      <c r="K121">
        <v>34</v>
      </c>
      <c r="L121">
        <v>14</v>
      </c>
      <c r="M121">
        <v>2733923243.2432432</v>
      </c>
      <c r="N121">
        <v>2276055968.4684687</v>
      </c>
      <c r="O121">
        <v>157589450.45045045</v>
      </c>
      <c r="P121">
        <v>159834054.05405405</v>
      </c>
      <c r="Q121">
        <v>930707372.97297287</v>
      </c>
      <c r="R121">
        <v>558230313.51351357</v>
      </c>
      <c r="S121">
        <v>7371</v>
      </c>
      <c r="T121">
        <v>7705</v>
      </c>
    </row>
    <row r="122" spans="1:20">
      <c r="A122" s="7" t="s">
        <v>207</v>
      </c>
      <c r="B122" s="16" t="s">
        <v>161</v>
      </c>
      <c r="C122">
        <v>370721991.69062972</v>
      </c>
      <c r="D122">
        <v>378527713.24578023</v>
      </c>
      <c r="E122">
        <v>97749893.693693697</v>
      </c>
      <c r="F122">
        <v>73900281.081081092</v>
      </c>
      <c r="G122">
        <v>172</v>
      </c>
      <c r="H122">
        <v>252</v>
      </c>
      <c r="K122">
        <v>244</v>
      </c>
      <c r="L122">
        <v>369</v>
      </c>
      <c r="M122">
        <v>55907439.639639631</v>
      </c>
      <c r="N122">
        <v>41966117.117117129</v>
      </c>
      <c r="O122">
        <v>106144801.8018018</v>
      </c>
      <c r="P122">
        <v>108719626.12612613</v>
      </c>
      <c r="Q122">
        <v>44334634.234234221</v>
      </c>
      <c r="R122">
        <v>35573059.459459461</v>
      </c>
      <c r="S122">
        <v>12209</v>
      </c>
      <c r="T122">
        <v>12064</v>
      </c>
    </row>
    <row r="123" spans="1:20">
      <c r="A123" s="7" t="s">
        <v>208</v>
      </c>
      <c r="B123" s="16" t="s">
        <v>76</v>
      </c>
      <c r="C123">
        <v>15390306.620680729</v>
      </c>
      <c r="D123">
        <v>11132454.528448831</v>
      </c>
      <c r="G123">
        <v>4</v>
      </c>
      <c r="K123">
        <v>4</v>
      </c>
      <c r="O123">
        <v>592432.43243243301</v>
      </c>
      <c r="P123">
        <v>867432.43243243196</v>
      </c>
      <c r="S123">
        <v>522</v>
      </c>
      <c r="T123">
        <v>517</v>
      </c>
    </row>
    <row r="124" spans="1:20">
      <c r="A124" s="7" t="s">
        <v>209</v>
      </c>
      <c r="B124" s="16" t="s">
        <v>76</v>
      </c>
      <c r="C124">
        <v>177403444.3004564</v>
      </c>
      <c r="D124">
        <v>163261564.32433298</v>
      </c>
      <c r="E124">
        <v>132124375.67567568</v>
      </c>
      <c r="F124">
        <v>32939987.387387391</v>
      </c>
      <c r="G124">
        <v>58</v>
      </c>
      <c r="H124">
        <v>75</v>
      </c>
      <c r="I124">
        <v>5</v>
      </c>
      <c r="K124">
        <v>72</v>
      </c>
      <c r="L124">
        <v>84</v>
      </c>
      <c r="M124">
        <v>14600990.990990991</v>
      </c>
      <c r="N124">
        <v>18457117.117117114</v>
      </c>
      <c r="O124">
        <v>23016801.801801804</v>
      </c>
      <c r="P124">
        <v>25063378.37837838</v>
      </c>
      <c r="Q124">
        <v>14065315.315315319</v>
      </c>
      <c r="R124">
        <v>17731441.441441443</v>
      </c>
      <c r="S124">
        <v>4494</v>
      </c>
      <c r="T124">
        <v>4399</v>
      </c>
    </row>
    <row r="125" spans="1:20">
      <c r="A125" s="7" t="s">
        <v>210</v>
      </c>
      <c r="B125" s="16" t="s">
        <v>76</v>
      </c>
      <c r="C125">
        <v>215925943.16871965</v>
      </c>
      <c r="D125">
        <v>209081168.41467762</v>
      </c>
      <c r="E125">
        <v>72902702.702702701</v>
      </c>
      <c r="F125">
        <v>67959459.459459469</v>
      </c>
      <c r="G125">
        <v>99</v>
      </c>
      <c r="H125">
        <v>125</v>
      </c>
      <c r="I125">
        <v>7</v>
      </c>
      <c r="K125">
        <v>121</v>
      </c>
      <c r="L125">
        <v>167</v>
      </c>
      <c r="M125">
        <v>74337837.837837845</v>
      </c>
      <c r="N125">
        <v>68107027.027027026</v>
      </c>
      <c r="O125">
        <v>65088086.486486487</v>
      </c>
      <c r="P125">
        <v>64383869.369369365</v>
      </c>
      <c r="Q125">
        <v>57022248.648648649</v>
      </c>
      <c r="R125">
        <v>54840090.090090096</v>
      </c>
      <c r="S125">
        <v>7022</v>
      </c>
      <c r="T125">
        <v>6981</v>
      </c>
    </row>
    <row r="126" spans="1:20">
      <c r="A126" s="7" t="s">
        <v>211</v>
      </c>
      <c r="B126" s="16" t="s">
        <v>76</v>
      </c>
      <c r="C126">
        <v>146327425.0842889</v>
      </c>
      <c r="D126">
        <v>153860524.78782269</v>
      </c>
      <c r="E126">
        <v>1180855.855855857</v>
      </c>
      <c r="F126">
        <v>2054729.729729736</v>
      </c>
      <c r="G126">
        <v>60</v>
      </c>
      <c r="H126">
        <v>67</v>
      </c>
      <c r="K126">
        <v>75</v>
      </c>
      <c r="L126">
        <v>77</v>
      </c>
      <c r="M126">
        <v>12758108.108108109</v>
      </c>
      <c r="N126">
        <v>11773333.333333336</v>
      </c>
      <c r="O126">
        <v>20923450.450450446</v>
      </c>
      <c r="P126">
        <v>23902353.603603605</v>
      </c>
      <c r="Q126">
        <v>12547207.207207208</v>
      </c>
      <c r="R126">
        <v>12046756.756756758</v>
      </c>
      <c r="S126">
        <v>4010</v>
      </c>
      <c r="T126">
        <v>3971</v>
      </c>
    </row>
    <row r="127" spans="1:20">
      <c r="A127" s="7" t="s">
        <v>212</v>
      </c>
      <c r="B127" s="16" t="s">
        <v>76</v>
      </c>
      <c r="C127">
        <v>60048170.026744962</v>
      </c>
      <c r="D127">
        <v>55988228.561303943</v>
      </c>
      <c r="E127">
        <v>19369.369369370001</v>
      </c>
      <c r="F127">
        <v>33333.333333333001</v>
      </c>
      <c r="G127">
        <v>16</v>
      </c>
      <c r="H127">
        <v>7</v>
      </c>
      <c r="K127">
        <v>17</v>
      </c>
      <c r="L127">
        <v>8</v>
      </c>
      <c r="M127">
        <v>1010360.3603603611</v>
      </c>
      <c r="N127">
        <v>1238018.0180180159</v>
      </c>
      <c r="O127">
        <v>8446351.3513513505</v>
      </c>
      <c r="P127">
        <v>8376675.6756756762</v>
      </c>
      <c r="Q127">
        <v>710540.54054054001</v>
      </c>
      <c r="R127">
        <v>1570180.1801801799</v>
      </c>
      <c r="S127">
        <v>1753</v>
      </c>
      <c r="T127">
        <v>2072</v>
      </c>
    </row>
    <row r="128" spans="1:20">
      <c r="A128" s="7" t="s">
        <v>213</v>
      </c>
      <c r="B128" s="16" t="s">
        <v>214</v>
      </c>
      <c r="C128">
        <v>70100346.849911332</v>
      </c>
      <c r="D128">
        <v>80154568.606996417</v>
      </c>
      <c r="E128">
        <v>213963.96396396399</v>
      </c>
      <c r="F128">
        <v>612612.61261261196</v>
      </c>
      <c r="G128">
        <v>16</v>
      </c>
      <c r="H128">
        <v>29</v>
      </c>
      <c r="K128">
        <v>17</v>
      </c>
      <c r="L128">
        <v>30</v>
      </c>
      <c r="M128">
        <v>12629459.459459461</v>
      </c>
      <c r="N128">
        <v>8774342.3423423432</v>
      </c>
      <c r="O128">
        <v>33215360.360360362</v>
      </c>
      <c r="P128">
        <v>35430351.351351351</v>
      </c>
      <c r="Q128">
        <v>9663693.6936936956</v>
      </c>
      <c r="R128">
        <v>7602702.702702702</v>
      </c>
      <c r="S128">
        <v>2324</v>
      </c>
      <c r="T128">
        <v>2233</v>
      </c>
    </row>
    <row r="129" spans="1:20">
      <c r="A129" s="7" t="s">
        <v>215</v>
      </c>
      <c r="B129" s="16" t="s">
        <v>167</v>
      </c>
      <c r="C129">
        <v>62801641.740298823</v>
      </c>
      <c r="D129">
        <v>88994048.667630062</v>
      </c>
      <c r="E129">
        <v>7207.207207208</v>
      </c>
      <c r="F129">
        <v>536036.03603603703</v>
      </c>
      <c r="G129">
        <v>8</v>
      </c>
      <c r="H129">
        <v>6</v>
      </c>
      <c r="K129">
        <v>9</v>
      </c>
      <c r="L129">
        <v>7</v>
      </c>
      <c r="M129">
        <v>7207.207207208</v>
      </c>
      <c r="N129">
        <v>986486.48648648697</v>
      </c>
      <c r="O129">
        <v>11407477.477477478</v>
      </c>
      <c r="P129">
        <v>15873063.063063065</v>
      </c>
      <c r="Q129">
        <v>747297.29729729902</v>
      </c>
      <c r="R129">
        <v>61711.711711712</v>
      </c>
      <c r="S129">
        <v>1887</v>
      </c>
      <c r="T129">
        <v>1910</v>
      </c>
    </row>
    <row r="130" spans="1:20">
      <c r="A130" s="7" t="s">
        <v>216</v>
      </c>
      <c r="B130" s="16" t="s">
        <v>85</v>
      </c>
      <c r="C130">
        <v>15692020.383863183</v>
      </c>
      <c r="D130">
        <v>20792977.754328664</v>
      </c>
      <c r="E130">
        <v>9909.9099099110008</v>
      </c>
      <c r="F130">
        <v>202702.70270270301</v>
      </c>
      <c r="G130">
        <v>2</v>
      </c>
      <c r="H130">
        <v>7</v>
      </c>
      <c r="K130">
        <v>2</v>
      </c>
      <c r="L130">
        <v>9</v>
      </c>
      <c r="M130">
        <v>35163063.063063063</v>
      </c>
      <c r="N130">
        <v>25668468.468468469</v>
      </c>
      <c r="O130">
        <v>4573369.3693693699</v>
      </c>
      <c r="P130">
        <v>6136441.4414414419</v>
      </c>
      <c r="Q130">
        <v>16480180.180180181</v>
      </c>
      <c r="R130">
        <v>19561081.081081081</v>
      </c>
      <c r="S130">
        <v>634</v>
      </c>
      <c r="T130">
        <v>720</v>
      </c>
    </row>
    <row r="131" spans="1:20">
      <c r="A131" s="7" t="s">
        <v>217</v>
      </c>
      <c r="B131" s="16" t="s">
        <v>85</v>
      </c>
      <c r="C131">
        <v>80782794.811475486</v>
      </c>
      <c r="D131">
        <v>77994676.178007782</v>
      </c>
      <c r="E131">
        <v>47747.747747747999</v>
      </c>
      <c r="F131">
        <v>259459.45945945999</v>
      </c>
      <c r="G131">
        <v>37</v>
      </c>
      <c r="H131">
        <v>26</v>
      </c>
      <c r="K131">
        <v>45</v>
      </c>
      <c r="L131">
        <v>28</v>
      </c>
      <c r="M131">
        <v>22173873.873873871</v>
      </c>
      <c r="N131">
        <v>12490270.270270271</v>
      </c>
      <c r="O131">
        <v>14819234.234234234</v>
      </c>
      <c r="P131">
        <v>15486972.972972972</v>
      </c>
      <c r="Q131">
        <v>13353963.963963963</v>
      </c>
      <c r="R131">
        <v>12369549.549549548</v>
      </c>
      <c r="S131">
        <v>2467</v>
      </c>
      <c r="T131">
        <v>2428</v>
      </c>
    </row>
    <row r="132" spans="1:20">
      <c r="A132" s="7" t="s">
        <v>218</v>
      </c>
      <c r="B132" s="16" t="s">
        <v>147</v>
      </c>
      <c r="C132">
        <v>78162542.753774971</v>
      </c>
      <c r="D132">
        <v>74592580.342227951</v>
      </c>
      <c r="E132">
        <v>571171.17117117206</v>
      </c>
      <c r="F132">
        <v>4649549.5495495489</v>
      </c>
      <c r="G132">
        <v>18</v>
      </c>
      <c r="H132">
        <v>63</v>
      </c>
      <c r="K132">
        <v>21</v>
      </c>
      <c r="L132">
        <v>82</v>
      </c>
      <c r="M132">
        <v>3423063.0630630599</v>
      </c>
      <c r="N132">
        <v>39578134.234234229</v>
      </c>
      <c r="O132">
        <v>20785972.97297297</v>
      </c>
      <c r="P132">
        <v>25549882.882882878</v>
      </c>
      <c r="Q132">
        <v>5090270.2702702666</v>
      </c>
      <c r="R132">
        <v>39695315.315315314</v>
      </c>
      <c r="S132">
        <v>2511</v>
      </c>
      <c r="T132">
        <v>2408</v>
      </c>
    </row>
    <row r="133" spans="1:20">
      <c r="A133" s="7" t="s">
        <v>219</v>
      </c>
      <c r="B133" s="16" t="s">
        <v>220</v>
      </c>
      <c r="C133">
        <v>153193671.60680071</v>
      </c>
      <c r="D133">
        <v>149044487.05853674</v>
      </c>
      <c r="E133">
        <v>3686172.0720720729</v>
      </c>
      <c r="F133">
        <v>1720720.7207207221</v>
      </c>
      <c r="G133">
        <v>55</v>
      </c>
      <c r="H133">
        <v>42</v>
      </c>
      <c r="K133">
        <v>67</v>
      </c>
      <c r="L133">
        <v>56</v>
      </c>
      <c r="M133">
        <v>170602438.73873875</v>
      </c>
      <c r="N133">
        <v>114134324.32432432</v>
      </c>
      <c r="O133">
        <v>41448108.108108103</v>
      </c>
      <c r="P133">
        <v>37966849.0990991</v>
      </c>
      <c r="Q133">
        <v>264758648.64864865</v>
      </c>
      <c r="R133">
        <v>198507207.2072072</v>
      </c>
      <c r="S133">
        <v>6191</v>
      </c>
      <c r="T133">
        <v>6160</v>
      </c>
    </row>
    <row r="134" spans="1:20">
      <c r="A134" s="7" t="s">
        <v>221</v>
      </c>
      <c r="B134" s="16" t="s">
        <v>52</v>
      </c>
      <c r="C134">
        <v>366977735.34342635</v>
      </c>
      <c r="D134">
        <v>345076493.43145287</v>
      </c>
      <c r="E134">
        <v>2202477.4774774788</v>
      </c>
      <c r="F134">
        <v>3248648.6486486499</v>
      </c>
      <c r="G134">
        <v>73</v>
      </c>
      <c r="H134">
        <v>81</v>
      </c>
      <c r="K134">
        <v>104</v>
      </c>
      <c r="L134">
        <v>109</v>
      </c>
      <c r="M134">
        <v>25515585.585585583</v>
      </c>
      <c r="N134">
        <v>24735135.135135137</v>
      </c>
      <c r="O134">
        <v>117314810.81081082</v>
      </c>
      <c r="P134">
        <v>111454711.7117117</v>
      </c>
      <c r="Q134">
        <v>21028738.738738742</v>
      </c>
      <c r="R134">
        <v>31589369.369369369</v>
      </c>
      <c r="S134">
        <v>10891</v>
      </c>
      <c r="T134">
        <v>10518</v>
      </c>
    </row>
    <row r="135" spans="1:20">
      <c r="A135" s="7" t="s">
        <v>222</v>
      </c>
      <c r="B135" s="16" t="s">
        <v>76</v>
      </c>
      <c r="C135">
        <v>285221020.02693194</v>
      </c>
      <c r="D135">
        <v>268255481.42501926</v>
      </c>
      <c r="E135">
        <v>135000.00000000099</v>
      </c>
      <c r="F135">
        <v>814414.41441442003</v>
      </c>
      <c r="G135">
        <v>77</v>
      </c>
      <c r="H135">
        <v>70</v>
      </c>
      <c r="I135">
        <v>5</v>
      </c>
      <c r="K135">
        <v>84</v>
      </c>
      <c r="L135">
        <v>79</v>
      </c>
      <c r="M135">
        <v>19829369.369369369</v>
      </c>
      <c r="N135">
        <v>18914054.054054052</v>
      </c>
      <c r="O135">
        <v>52603178.378378376</v>
      </c>
      <c r="P135">
        <v>50992263.963963971</v>
      </c>
      <c r="Q135">
        <v>16113873.873873875</v>
      </c>
      <c r="R135">
        <v>15683063.063063061</v>
      </c>
      <c r="S135">
        <v>7092</v>
      </c>
      <c r="T135">
        <v>6953</v>
      </c>
    </row>
    <row r="136" spans="1:20">
      <c r="A136" s="7" t="s">
        <v>223</v>
      </c>
      <c r="B136" s="16" t="s">
        <v>224</v>
      </c>
      <c r="C136">
        <v>27436690.251123164</v>
      </c>
      <c r="D136">
        <v>24851489.752446916</v>
      </c>
      <c r="G136">
        <v>24</v>
      </c>
      <c r="H136">
        <v>1</v>
      </c>
      <c r="K136">
        <v>25</v>
      </c>
      <c r="L136">
        <v>1</v>
      </c>
      <c r="M136">
        <v>400000</v>
      </c>
      <c r="O136">
        <v>6962387.3873873875</v>
      </c>
      <c r="P136">
        <v>6085657.6576576577</v>
      </c>
      <c r="Q136">
        <v>1149909.9099099101</v>
      </c>
      <c r="R136">
        <v>486846.84684684698</v>
      </c>
      <c r="S136">
        <v>872</v>
      </c>
      <c r="T136">
        <v>846</v>
      </c>
    </row>
    <row r="137" spans="1:20">
      <c r="A137" s="7" t="s">
        <v>225</v>
      </c>
      <c r="B137" s="16" t="s">
        <v>143</v>
      </c>
      <c r="C137">
        <v>231751749.72176668</v>
      </c>
      <c r="D137">
        <v>224112858.38272548</v>
      </c>
      <c r="E137">
        <v>444144.14414414699</v>
      </c>
      <c r="F137">
        <v>2550450.4504504539</v>
      </c>
      <c r="G137">
        <v>54</v>
      </c>
      <c r="H137">
        <v>79</v>
      </c>
      <c r="K137">
        <v>64</v>
      </c>
      <c r="L137">
        <v>91</v>
      </c>
      <c r="M137">
        <v>11200900.9009009</v>
      </c>
      <c r="N137">
        <v>10824324.324324327</v>
      </c>
      <c r="O137">
        <v>24293477.47747748</v>
      </c>
      <c r="P137">
        <v>29357528.37837838</v>
      </c>
      <c r="Q137">
        <v>8104144.1441441402</v>
      </c>
      <c r="R137">
        <v>7730720.7207207177</v>
      </c>
      <c r="S137">
        <v>5613</v>
      </c>
      <c r="T137">
        <v>6398</v>
      </c>
    </row>
    <row r="138" spans="1:20">
      <c r="A138" s="7" t="s">
        <v>226</v>
      </c>
      <c r="B138" s="16" t="s">
        <v>224</v>
      </c>
      <c r="C138">
        <v>27327741.350676235</v>
      </c>
      <c r="D138">
        <v>25172020.93317619</v>
      </c>
      <c r="E138">
        <v>2702.7027027029999</v>
      </c>
      <c r="F138">
        <v>121621.62162162201</v>
      </c>
      <c r="G138">
        <v>5</v>
      </c>
      <c r="H138">
        <v>10</v>
      </c>
      <c r="K138">
        <v>7</v>
      </c>
      <c r="L138">
        <v>12</v>
      </c>
      <c r="M138">
        <v>3715495.4954954949</v>
      </c>
      <c r="N138">
        <v>3539639.6396396402</v>
      </c>
      <c r="O138">
        <v>5840180.1801801799</v>
      </c>
      <c r="P138">
        <v>7547824.3243243238</v>
      </c>
      <c r="Q138">
        <v>2574324.3243243238</v>
      </c>
      <c r="R138">
        <v>2833693.6936936942</v>
      </c>
      <c r="S138">
        <v>753</v>
      </c>
      <c r="T138">
        <v>790</v>
      </c>
    </row>
    <row r="139" spans="1:20">
      <c r="A139" s="7" t="s">
        <v>227</v>
      </c>
      <c r="B139" s="16" t="s">
        <v>78</v>
      </c>
      <c r="C139">
        <v>216334861.38441935</v>
      </c>
      <c r="D139">
        <v>207201722.24231678</v>
      </c>
      <c r="E139">
        <v>1023423.423423426</v>
      </c>
      <c r="F139">
        <v>2337837.83783784</v>
      </c>
      <c r="G139">
        <v>32</v>
      </c>
      <c r="H139">
        <v>38</v>
      </c>
      <c r="K139">
        <v>35</v>
      </c>
      <c r="L139">
        <v>40</v>
      </c>
      <c r="M139">
        <v>20064864.864864863</v>
      </c>
      <c r="N139">
        <v>21529189.189189192</v>
      </c>
      <c r="O139">
        <v>80892106.306306303</v>
      </c>
      <c r="P139">
        <v>83144135.135135129</v>
      </c>
      <c r="Q139">
        <v>17200133.333333336</v>
      </c>
      <c r="R139">
        <v>17272252.252252251</v>
      </c>
      <c r="S139">
        <v>4944</v>
      </c>
      <c r="T139">
        <v>5013</v>
      </c>
    </row>
    <row r="140" spans="1:20">
      <c r="A140" s="7" t="s">
        <v>666</v>
      </c>
      <c r="B140" s="16" t="s">
        <v>283</v>
      </c>
      <c r="E140">
        <v>99224109.909909904</v>
      </c>
      <c r="F140">
        <v>177017481.98198199</v>
      </c>
      <c r="M140">
        <v>8252972.9729729732</v>
      </c>
      <c r="N140">
        <v>18686820.72072072</v>
      </c>
    </row>
    <row r="141" spans="1:20">
      <c r="A141" s="7" t="s">
        <v>228</v>
      </c>
      <c r="B141" s="16" t="s">
        <v>136</v>
      </c>
      <c r="C141">
        <v>300352155.37965614</v>
      </c>
      <c r="D141">
        <v>276002998.9897387</v>
      </c>
      <c r="E141">
        <v>703828.82882882899</v>
      </c>
      <c r="F141">
        <v>1932882.8828828861</v>
      </c>
      <c r="G141">
        <v>74</v>
      </c>
      <c r="H141">
        <v>67</v>
      </c>
      <c r="K141">
        <v>85</v>
      </c>
      <c r="L141">
        <v>82</v>
      </c>
      <c r="M141">
        <v>42697387.387387395</v>
      </c>
      <c r="N141">
        <v>31731531.531531528</v>
      </c>
      <c r="O141">
        <v>63456338.738738738</v>
      </c>
      <c r="P141">
        <v>65731815.315315314</v>
      </c>
      <c r="Q141">
        <v>37835495.495495498</v>
      </c>
      <c r="R141">
        <v>25629459.459459461</v>
      </c>
      <c r="S141">
        <v>7607</v>
      </c>
      <c r="T141">
        <v>7506</v>
      </c>
    </row>
    <row r="142" spans="1:20">
      <c r="A142" s="7" t="s">
        <v>229</v>
      </c>
      <c r="B142" s="16" t="s">
        <v>78</v>
      </c>
      <c r="C142">
        <v>77218425.305101305</v>
      </c>
      <c r="D142">
        <v>79851958.063839942</v>
      </c>
      <c r="E142">
        <v>2215765.7657657652</v>
      </c>
      <c r="F142">
        <v>2242792.792792792</v>
      </c>
      <c r="G142">
        <v>20</v>
      </c>
      <c r="H142">
        <v>28</v>
      </c>
      <c r="K142">
        <v>21</v>
      </c>
      <c r="L142">
        <v>33</v>
      </c>
      <c r="M142">
        <v>14549099.0990991</v>
      </c>
      <c r="N142">
        <v>15164864.864864863</v>
      </c>
      <c r="O142">
        <v>34306756.756756753</v>
      </c>
      <c r="P142">
        <v>38635684.684684686</v>
      </c>
      <c r="Q142">
        <v>12763243.243243244</v>
      </c>
      <c r="R142">
        <v>16430450.45045045</v>
      </c>
      <c r="S142">
        <v>2516</v>
      </c>
      <c r="T142">
        <v>2465</v>
      </c>
    </row>
    <row r="143" spans="1:20">
      <c r="A143" s="7" t="s">
        <v>230</v>
      </c>
      <c r="B143" s="16" t="s">
        <v>54</v>
      </c>
      <c r="C143">
        <v>235929067.95552379</v>
      </c>
      <c r="D143">
        <v>225499493.33195022</v>
      </c>
      <c r="E143">
        <v>621846.84684684803</v>
      </c>
      <c r="F143">
        <v>887387.38738738804</v>
      </c>
      <c r="G143">
        <v>30</v>
      </c>
      <c r="H143">
        <v>26</v>
      </c>
      <c r="K143">
        <v>39</v>
      </c>
      <c r="L143">
        <v>37</v>
      </c>
      <c r="M143">
        <v>7192792.7927927924</v>
      </c>
      <c r="N143">
        <v>17414414.414414417</v>
      </c>
      <c r="O143">
        <v>53615720.720720723</v>
      </c>
      <c r="P143">
        <v>56578133.333333336</v>
      </c>
      <c r="Q143">
        <v>7214234.2342342362</v>
      </c>
      <c r="R143">
        <v>21561081.081081081</v>
      </c>
      <c r="S143">
        <v>6867</v>
      </c>
      <c r="T143">
        <v>7244</v>
      </c>
    </row>
    <row r="144" spans="1:20">
      <c r="A144" s="7" t="s">
        <v>231</v>
      </c>
      <c r="B144" s="16" t="s">
        <v>78</v>
      </c>
      <c r="C144">
        <v>89793530.774762586</v>
      </c>
      <c r="D144">
        <v>85532897.775432348</v>
      </c>
      <c r="E144">
        <v>312612.61261261301</v>
      </c>
      <c r="F144">
        <v>2214414.4144144179</v>
      </c>
      <c r="G144">
        <v>42</v>
      </c>
      <c r="H144">
        <v>38</v>
      </c>
      <c r="K144">
        <v>47</v>
      </c>
      <c r="L144">
        <v>59</v>
      </c>
      <c r="M144">
        <v>25093693.693693694</v>
      </c>
      <c r="N144">
        <v>18397297.297297295</v>
      </c>
      <c r="O144">
        <v>40933603.603603601</v>
      </c>
      <c r="P144">
        <v>40590747.747747742</v>
      </c>
      <c r="Q144">
        <v>23569819.819819819</v>
      </c>
      <c r="R144">
        <v>20466126.126126125</v>
      </c>
      <c r="S144">
        <v>4062</v>
      </c>
      <c r="T144">
        <v>3998</v>
      </c>
    </row>
    <row r="145" spans="1:20">
      <c r="A145" s="7" t="s">
        <v>232</v>
      </c>
      <c r="B145" s="16" t="s">
        <v>60</v>
      </c>
      <c r="C145">
        <v>77674484.514153555</v>
      </c>
      <c r="D145">
        <v>79337283.787633151</v>
      </c>
      <c r="G145">
        <v>26</v>
      </c>
      <c r="H145">
        <v>22</v>
      </c>
      <c r="K145">
        <v>28</v>
      </c>
      <c r="L145">
        <v>25</v>
      </c>
      <c r="M145">
        <v>81081.081081081007</v>
      </c>
      <c r="O145">
        <v>30409414.414414417</v>
      </c>
      <c r="P145">
        <v>33594144.144144148</v>
      </c>
      <c r="Q145">
        <v>81081.081081081007</v>
      </c>
      <c r="S145">
        <v>1926</v>
      </c>
      <c r="T145">
        <v>1906</v>
      </c>
    </row>
    <row r="146" spans="1:20">
      <c r="A146" s="7" t="s">
        <v>233</v>
      </c>
      <c r="B146" s="16" t="s">
        <v>54</v>
      </c>
      <c r="C146">
        <v>37875701.117901318</v>
      </c>
      <c r="D146">
        <v>37976809.907430083</v>
      </c>
      <c r="E146">
        <v>573873.87387387396</v>
      </c>
      <c r="F146">
        <v>86486.486486487003</v>
      </c>
      <c r="G146">
        <v>19</v>
      </c>
      <c r="H146">
        <v>17</v>
      </c>
      <c r="K146">
        <v>42</v>
      </c>
      <c r="L146">
        <v>58</v>
      </c>
      <c r="M146">
        <v>1821621.6216216211</v>
      </c>
      <c r="N146">
        <v>1450450.4504504499</v>
      </c>
      <c r="O146">
        <v>8092297.297297297</v>
      </c>
      <c r="P146">
        <v>7919864.8648648653</v>
      </c>
      <c r="Q146">
        <v>2383603.6036036019</v>
      </c>
      <c r="R146">
        <v>1663963.963963965</v>
      </c>
      <c r="S146">
        <v>1055</v>
      </c>
      <c r="T146">
        <v>1066</v>
      </c>
    </row>
    <row r="147" spans="1:20">
      <c r="A147" s="7" t="s">
        <v>234</v>
      </c>
      <c r="B147" s="16" t="s">
        <v>167</v>
      </c>
      <c r="C147">
        <v>188728235.78048792</v>
      </c>
      <c r="D147">
        <v>177564312.70419136</v>
      </c>
      <c r="E147">
        <v>26126.126126126001</v>
      </c>
      <c r="F147">
        <v>364864.86486486503</v>
      </c>
      <c r="G147">
        <v>47</v>
      </c>
      <c r="H147">
        <v>14</v>
      </c>
      <c r="K147">
        <v>55</v>
      </c>
      <c r="L147">
        <v>16</v>
      </c>
      <c r="M147">
        <v>15600900.900900902</v>
      </c>
      <c r="N147">
        <v>12012060.36036036</v>
      </c>
      <c r="O147">
        <v>49755630.630630635</v>
      </c>
      <c r="P147">
        <v>50387130.630630635</v>
      </c>
      <c r="Q147">
        <v>10295268.468468469</v>
      </c>
      <c r="R147">
        <v>8436396.3963963967</v>
      </c>
      <c r="S147">
        <v>4863</v>
      </c>
      <c r="T147">
        <v>5258</v>
      </c>
    </row>
    <row r="148" spans="1:20">
      <c r="A148" s="7" t="s">
        <v>235</v>
      </c>
      <c r="B148" s="16" t="s">
        <v>236</v>
      </c>
      <c r="C148">
        <v>6185.0602862180003</v>
      </c>
      <c r="D148">
        <v>83.347957742000006</v>
      </c>
      <c r="E148">
        <v>30337162.162162159</v>
      </c>
      <c r="F148">
        <v>79752252.252252251</v>
      </c>
      <c r="M148">
        <v>844144.14414414403</v>
      </c>
      <c r="N148">
        <v>444144.14414414403</v>
      </c>
      <c r="P148">
        <v>9009.0090090089998</v>
      </c>
    </row>
    <row r="149" spans="1:20">
      <c r="A149" s="7" t="s">
        <v>237</v>
      </c>
      <c r="B149" s="16" t="s">
        <v>105</v>
      </c>
      <c r="C149">
        <v>108971704.20895389</v>
      </c>
      <c r="D149">
        <v>104191320.6519535</v>
      </c>
      <c r="E149">
        <v>264324.32432432403</v>
      </c>
      <c r="F149">
        <v>410810.810810811</v>
      </c>
      <c r="G149">
        <v>23</v>
      </c>
      <c r="H149">
        <v>13</v>
      </c>
      <c r="K149">
        <v>25</v>
      </c>
      <c r="L149">
        <v>14</v>
      </c>
      <c r="M149">
        <v>15097927.927927928</v>
      </c>
      <c r="N149">
        <v>14720720.720720721</v>
      </c>
      <c r="O149">
        <v>30696252.252252251</v>
      </c>
      <c r="P149">
        <v>30530225.225225225</v>
      </c>
      <c r="Q149">
        <v>12038738.738738738</v>
      </c>
      <c r="R149">
        <v>14997837.837837839</v>
      </c>
      <c r="S149">
        <v>2029</v>
      </c>
      <c r="T149">
        <v>1956</v>
      </c>
    </row>
    <row r="150" spans="1:20">
      <c r="A150" s="7" t="s">
        <v>3</v>
      </c>
      <c r="B150" s="16" t="s">
        <v>158</v>
      </c>
      <c r="C150">
        <v>217696201.82360268</v>
      </c>
      <c r="D150">
        <v>211076481.00149095</v>
      </c>
      <c r="E150">
        <v>2410585.5855855872</v>
      </c>
      <c r="F150">
        <v>2855855.855855858</v>
      </c>
      <c r="G150">
        <v>29</v>
      </c>
      <c r="H150">
        <v>34</v>
      </c>
      <c r="K150">
        <v>35</v>
      </c>
      <c r="L150">
        <v>37</v>
      </c>
      <c r="M150">
        <v>46713063.063063063</v>
      </c>
      <c r="N150">
        <v>34886486.486486487</v>
      </c>
      <c r="O150">
        <v>54910720.720720723</v>
      </c>
      <c r="P150">
        <v>60160522.522522517</v>
      </c>
      <c r="Q150">
        <v>42120720.720720723</v>
      </c>
      <c r="R150">
        <v>36592702.702702701</v>
      </c>
      <c r="S150">
        <v>3727</v>
      </c>
      <c r="T150">
        <v>3577</v>
      </c>
    </row>
    <row r="151" spans="1:20">
      <c r="A151" s="7" t="s">
        <v>238</v>
      </c>
      <c r="B151" s="16" t="s">
        <v>178</v>
      </c>
      <c r="C151">
        <v>186857176.14112812</v>
      </c>
      <c r="D151">
        <v>165287137.96080124</v>
      </c>
      <c r="E151">
        <v>2748648.648648649</v>
      </c>
      <c r="F151">
        <v>468468.46846846899</v>
      </c>
      <c r="G151">
        <v>29</v>
      </c>
      <c r="H151">
        <v>34</v>
      </c>
      <c r="K151">
        <v>37</v>
      </c>
      <c r="L151">
        <v>46</v>
      </c>
      <c r="M151">
        <v>21353754.954954956</v>
      </c>
      <c r="N151">
        <v>26414414.414414417</v>
      </c>
      <c r="O151">
        <v>56359432.432432435</v>
      </c>
      <c r="P151">
        <v>54026918.918918923</v>
      </c>
      <c r="Q151">
        <v>14907927.927927928</v>
      </c>
      <c r="R151">
        <v>21441621.62162162</v>
      </c>
      <c r="S151">
        <v>5507</v>
      </c>
      <c r="T151">
        <v>5684</v>
      </c>
    </row>
    <row r="152" spans="1:20">
      <c r="A152" s="7" t="s">
        <v>239</v>
      </c>
      <c r="B152" s="16" t="s">
        <v>54</v>
      </c>
      <c r="C152">
        <v>125927165.85423125</v>
      </c>
      <c r="D152">
        <v>117352444.48467782</v>
      </c>
      <c r="E152">
        <v>1094009.009009009</v>
      </c>
      <c r="F152">
        <v>3200000.0000000009</v>
      </c>
      <c r="G152">
        <v>11</v>
      </c>
      <c r="H152">
        <v>22</v>
      </c>
      <c r="K152">
        <v>15</v>
      </c>
      <c r="L152">
        <v>22</v>
      </c>
      <c r="M152">
        <v>15339279.27927928</v>
      </c>
      <c r="N152">
        <v>15867027.027027028</v>
      </c>
      <c r="O152">
        <v>34469221.621621624</v>
      </c>
      <c r="P152">
        <v>32433581.981981985</v>
      </c>
      <c r="Q152">
        <v>14615899.0990991</v>
      </c>
      <c r="R152">
        <v>14054140.540540541</v>
      </c>
      <c r="S152">
        <v>3467</v>
      </c>
      <c r="T152">
        <v>3531</v>
      </c>
    </row>
    <row r="153" spans="1:20">
      <c r="A153" s="7" t="s">
        <v>240</v>
      </c>
      <c r="B153" s="16" t="s">
        <v>241</v>
      </c>
      <c r="C153">
        <v>107718065.62565511</v>
      </c>
      <c r="D153">
        <v>100919947.59509054</v>
      </c>
      <c r="E153">
        <v>156756.756756758</v>
      </c>
      <c r="F153">
        <v>716216.21621621703</v>
      </c>
      <c r="G153">
        <v>56</v>
      </c>
      <c r="H153">
        <v>49</v>
      </c>
      <c r="K153">
        <v>64</v>
      </c>
      <c r="L153">
        <v>52</v>
      </c>
      <c r="M153">
        <v>77528468.468468457</v>
      </c>
      <c r="N153">
        <v>6240720.7207207233</v>
      </c>
      <c r="O153">
        <v>26393828.828828827</v>
      </c>
      <c r="P153">
        <v>23777790.990990993</v>
      </c>
      <c r="Q153">
        <v>67761711.711711705</v>
      </c>
      <c r="R153">
        <v>7364324.3243243266</v>
      </c>
      <c r="S153">
        <v>3095</v>
      </c>
      <c r="T153">
        <v>2848</v>
      </c>
    </row>
    <row r="154" spans="1:20">
      <c r="A154" s="7" t="s">
        <v>242</v>
      </c>
      <c r="B154" s="16" t="s">
        <v>241</v>
      </c>
      <c r="C154">
        <v>278708131.1037907</v>
      </c>
      <c r="D154">
        <v>264058231.82220611</v>
      </c>
      <c r="E154">
        <v>765765.76576576603</v>
      </c>
      <c r="F154">
        <v>2527927.9279279299</v>
      </c>
      <c r="G154">
        <v>144</v>
      </c>
      <c r="H154">
        <v>105</v>
      </c>
      <c r="I154">
        <v>1</v>
      </c>
      <c r="K154">
        <v>159</v>
      </c>
      <c r="L154">
        <v>118</v>
      </c>
      <c r="M154">
        <v>71096216.216216221</v>
      </c>
      <c r="N154">
        <v>64817477.477477483</v>
      </c>
      <c r="O154">
        <v>85114279.279279277</v>
      </c>
      <c r="P154">
        <v>78950981.981981978</v>
      </c>
      <c r="Q154">
        <v>71069909.909909919</v>
      </c>
      <c r="R154">
        <v>58888828.828828834</v>
      </c>
      <c r="S154">
        <v>6865</v>
      </c>
      <c r="T154">
        <v>6857</v>
      </c>
    </row>
    <row r="155" spans="1:20">
      <c r="A155" s="7" t="s">
        <v>243</v>
      </c>
      <c r="B155" s="16" t="s">
        <v>50</v>
      </c>
      <c r="C155">
        <v>50796225.441821337</v>
      </c>
      <c r="D155">
        <v>45302416.995550483</v>
      </c>
      <c r="E155">
        <v>3503378.3783783792</v>
      </c>
      <c r="F155">
        <v>913513.51351351396</v>
      </c>
      <c r="G155">
        <v>13</v>
      </c>
      <c r="H155">
        <v>7</v>
      </c>
      <c r="K155">
        <v>13</v>
      </c>
      <c r="L155">
        <v>8</v>
      </c>
      <c r="M155">
        <v>8823423.4234234244</v>
      </c>
      <c r="N155">
        <v>3527207.2072072071</v>
      </c>
      <c r="O155">
        <v>18302747.747747749</v>
      </c>
      <c r="P155">
        <v>14333972.972972972</v>
      </c>
      <c r="Q155">
        <v>7605945.9459459446</v>
      </c>
      <c r="R155">
        <v>3334774.7747747768</v>
      </c>
      <c r="S155">
        <v>1163</v>
      </c>
      <c r="T155">
        <v>1187</v>
      </c>
    </row>
    <row r="156" spans="1:20">
      <c r="A156" s="7" t="s">
        <v>244</v>
      </c>
      <c r="B156" s="16" t="s">
        <v>181</v>
      </c>
      <c r="C156">
        <v>1554465698.0295429</v>
      </c>
      <c r="D156">
        <v>1438018412.3453975</v>
      </c>
      <c r="E156">
        <v>186626795.49549553</v>
      </c>
      <c r="F156">
        <v>86386411.711711735</v>
      </c>
      <c r="G156">
        <v>652</v>
      </c>
      <c r="H156">
        <v>573</v>
      </c>
      <c r="I156">
        <v>15</v>
      </c>
      <c r="K156">
        <v>802</v>
      </c>
      <c r="L156">
        <v>1177</v>
      </c>
      <c r="M156">
        <v>150037477.47747746</v>
      </c>
      <c r="N156">
        <v>159254234.23423421</v>
      </c>
      <c r="O156">
        <v>305839050.45045042</v>
      </c>
      <c r="P156">
        <v>325677651.35135138</v>
      </c>
      <c r="Q156">
        <v>139138288.2882883</v>
      </c>
      <c r="R156">
        <v>156196126.12612611</v>
      </c>
      <c r="S156">
        <v>44396</v>
      </c>
      <c r="T156">
        <v>46090</v>
      </c>
    </row>
    <row r="157" spans="1:20">
      <c r="A157" s="7" t="s">
        <v>245</v>
      </c>
      <c r="B157" s="16" t="s">
        <v>48</v>
      </c>
      <c r="C157">
        <v>67133331.956806868</v>
      </c>
      <c r="D157">
        <v>62270553.755298384</v>
      </c>
      <c r="E157">
        <v>271171.17117117101</v>
      </c>
      <c r="F157">
        <v>1205630.630630631</v>
      </c>
      <c r="G157">
        <v>5</v>
      </c>
      <c r="H157">
        <v>3</v>
      </c>
      <c r="K157">
        <v>5</v>
      </c>
      <c r="L157">
        <v>6</v>
      </c>
      <c r="M157">
        <v>8723963.9639639668</v>
      </c>
      <c r="N157">
        <v>17667747.747747749</v>
      </c>
      <c r="O157">
        <v>15842288.288288288</v>
      </c>
      <c r="P157">
        <v>13986918.918918919</v>
      </c>
      <c r="Q157">
        <v>8876396.3963963985</v>
      </c>
      <c r="R157">
        <v>19524864.864864863</v>
      </c>
      <c r="S157">
        <v>1801</v>
      </c>
      <c r="T157">
        <v>1791</v>
      </c>
    </row>
    <row r="158" spans="1:20">
      <c r="A158" s="7" t="s">
        <v>246</v>
      </c>
      <c r="B158" s="16" t="s">
        <v>94</v>
      </c>
      <c r="C158">
        <v>28123750.10108085</v>
      </c>
      <c r="D158">
        <v>17217570.922599826</v>
      </c>
      <c r="E158">
        <v>58851351.351351351</v>
      </c>
      <c r="F158">
        <v>35020270.270270273</v>
      </c>
      <c r="G158">
        <v>3</v>
      </c>
      <c r="H158">
        <v>1</v>
      </c>
      <c r="K158">
        <v>3</v>
      </c>
      <c r="L158">
        <v>1</v>
      </c>
      <c r="M158">
        <v>4834684.6846846854</v>
      </c>
      <c r="N158">
        <v>5345945.9459459456</v>
      </c>
      <c r="O158">
        <v>4736441.441441441</v>
      </c>
      <c r="P158">
        <v>3314405.405405405</v>
      </c>
      <c r="S158">
        <v>714</v>
      </c>
      <c r="T158">
        <v>666</v>
      </c>
    </row>
    <row r="159" spans="1:20">
      <c r="A159" s="7" t="s">
        <v>247</v>
      </c>
      <c r="B159" s="16" t="s">
        <v>117</v>
      </c>
      <c r="C159">
        <v>57713364.704865128</v>
      </c>
      <c r="D159">
        <v>58677218.328905217</v>
      </c>
      <c r="E159">
        <v>695310.81081081298</v>
      </c>
      <c r="F159">
        <v>963036.93693693797</v>
      </c>
      <c r="G159">
        <v>18</v>
      </c>
      <c r="H159">
        <v>7</v>
      </c>
      <c r="K159">
        <v>24</v>
      </c>
      <c r="L159">
        <v>9</v>
      </c>
      <c r="M159">
        <v>12830917.117117118</v>
      </c>
      <c r="N159">
        <v>6318940.5405405434</v>
      </c>
      <c r="O159">
        <v>26724504.504504506</v>
      </c>
      <c r="P159">
        <v>28682234.234234232</v>
      </c>
      <c r="Q159">
        <v>12110360.36036036</v>
      </c>
      <c r="R159">
        <v>9271441.4414414391</v>
      </c>
      <c r="S159">
        <v>1714</v>
      </c>
      <c r="T159">
        <v>1822</v>
      </c>
    </row>
    <row r="160" spans="1:20">
      <c r="A160" s="7" t="s">
        <v>248</v>
      </c>
      <c r="B160" s="16" t="s">
        <v>121</v>
      </c>
      <c r="C160">
        <v>97152316.482029915</v>
      </c>
      <c r="D160">
        <v>98574687.251449689</v>
      </c>
      <c r="E160">
        <v>99549.549549550007</v>
      </c>
      <c r="F160">
        <v>746846.84684684698</v>
      </c>
      <c r="G160">
        <v>70</v>
      </c>
      <c r="H160">
        <v>63</v>
      </c>
      <c r="K160">
        <v>79</v>
      </c>
      <c r="L160">
        <v>72</v>
      </c>
      <c r="M160">
        <v>4570270.2702702694</v>
      </c>
      <c r="N160">
        <v>3954954.9549549548</v>
      </c>
      <c r="O160">
        <v>10367198.198198197</v>
      </c>
      <c r="P160">
        <v>11362261.26126126</v>
      </c>
      <c r="Q160">
        <v>4438738.738738738</v>
      </c>
      <c r="R160">
        <v>3049369.3693693699</v>
      </c>
      <c r="S160">
        <v>2336</v>
      </c>
      <c r="T160">
        <v>2313</v>
      </c>
    </row>
    <row r="161" spans="1:20">
      <c r="A161" s="7" t="s">
        <v>249</v>
      </c>
      <c r="B161" s="16" t="s">
        <v>76</v>
      </c>
      <c r="C161">
        <v>46237302.848154046</v>
      </c>
      <c r="D161">
        <v>40908074.343895547</v>
      </c>
      <c r="G161">
        <v>5</v>
      </c>
      <c r="H161">
        <v>4</v>
      </c>
      <c r="K161">
        <v>7</v>
      </c>
      <c r="L161">
        <v>4</v>
      </c>
      <c r="O161">
        <v>4859981.9819819815</v>
      </c>
      <c r="P161">
        <v>4014369.369369369</v>
      </c>
      <c r="S161">
        <v>1597</v>
      </c>
      <c r="T161">
        <v>1628</v>
      </c>
    </row>
    <row r="162" spans="1:20">
      <c r="A162" s="7" t="s">
        <v>250</v>
      </c>
      <c r="B162" s="16" t="s">
        <v>167</v>
      </c>
      <c r="C162">
        <v>141922915.80774918</v>
      </c>
      <c r="D162">
        <v>135043985.10208973</v>
      </c>
      <c r="G162">
        <v>15</v>
      </c>
      <c r="H162">
        <v>32</v>
      </c>
      <c r="K162">
        <v>20</v>
      </c>
      <c r="L162">
        <v>42</v>
      </c>
      <c r="M162">
        <v>4951351.3513513524</v>
      </c>
      <c r="N162">
        <v>1828828.8288288291</v>
      </c>
      <c r="O162">
        <v>25162927.927927926</v>
      </c>
      <c r="P162">
        <v>26721936.936936937</v>
      </c>
      <c r="Q162">
        <v>1893513.5135135141</v>
      </c>
      <c r="R162">
        <v>1189729.7297297311</v>
      </c>
      <c r="S162">
        <v>3615</v>
      </c>
      <c r="T162">
        <v>3688</v>
      </c>
    </row>
    <row r="163" spans="1:20">
      <c r="A163" s="7" t="s">
        <v>251</v>
      </c>
      <c r="B163" s="16" t="s">
        <v>89</v>
      </c>
      <c r="C163">
        <v>404477177.16484004</v>
      </c>
      <c r="D163">
        <v>402423347.94725174</v>
      </c>
      <c r="E163">
        <v>5638198.1981982058</v>
      </c>
      <c r="F163">
        <v>1796396.396396399</v>
      </c>
      <c r="G163">
        <v>47</v>
      </c>
      <c r="H163">
        <v>74</v>
      </c>
      <c r="K163">
        <v>52</v>
      </c>
      <c r="L163">
        <v>85</v>
      </c>
      <c r="M163">
        <v>31214234.234234236</v>
      </c>
      <c r="N163">
        <v>26791171.17117117</v>
      </c>
      <c r="O163">
        <v>95814082.882882878</v>
      </c>
      <c r="P163">
        <v>98716306.306306303</v>
      </c>
      <c r="Q163">
        <v>33462162.162162159</v>
      </c>
      <c r="R163">
        <v>28294954.954954952</v>
      </c>
      <c r="S163">
        <v>10395</v>
      </c>
      <c r="T163">
        <v>10519</v>
      </c>
    </row>
    <row r="164" spans="1:20">
      <c r="A164" s="7" t="s">
        <v>252</v>
      </c>
      <c r="B164" s="16" t="s">
        <v>78</v>
      </c>
      <c r="C164">
        <v>119614687.05850844</v>
      </c>
      <c r="D164">
        <v>116376199.07056992</v>
      </c>
      <c r="E164">
        <v>419819.81981982</v>
      </c>
      <c r="F164">
        <v>1348648.6486486511</v>
      </c>
      <c r="G164">
        <v>26</v>
      </c>
      <c r="H164">
        <v>19</v>
      </c>
      <c r="K164">
        <v>29</v>
      </c>
      <c r="L164">
        <v>22</v>
      </c>
      <c r="M164">
        <v>15681891.891891891</v>
      </c>
      <c r="N164">
        <v>19938288.288288288</v>
      </c>
      <c r="O164">
        <v>33005666.666666664</v>
      </c>
      <c r="P164">
        <v>33804063.063063063</v>
      </c>
      <c r="Q164">
        <v>13477027.027027028</v>
      </c>
      <c r="R164">
        <v>19100450.450450458</v>
      </c>
      <c r="S164">
        <v>2866</v>
      </c>
      <c r="T164">
        <v>2626</v>
      </c>
    </row>
    <row r="165" spans="1:20">
      <c r="A165" s="7" t="s">
        <v>253</v>
      </c>
      <c r="B165" s="16" t="s">
        <v>105</v>
      </c>
      <c r="C165">
        <v>234362089.24820757</v>
      </c>
      <c r="D165">
        <v>232184957.11967322</v>
      </c>
      <c r="E165">
        <v>2412052.2522522518</v>
      </c>
      <c r="F165">
        <v>88804480.180180192</v>
      </c>
      <c r="G165">
        <v>54</v>
      </c>
      <c r="H165">
        <v>63</v>
      </c>
      <c r="I165">
        <v>1</v>
      </c>
      <c r="K165">
        <v>61</v>
      </c>
      <c r="L165">
        <v>93</v>
      </c>
      <c r="M165">
        <v>30756216.216216218</v>
      </c>
      <c r="N165">
        <v>35246306.306306303</v>
      </c>
      <c r="O165">
        <v>68467909.909909919</v>
      </c>
      <c r="P165">
        <v>66248675.675675683</v>
      </c>
      <c r="Q165">
        <v>28575315.315315321</v>
      </c>
      <c r="R165">
        <v>36904234.234234229</v>
      </c>
      <c r="S165">
        <v>5409</v>
      </c>
      <c r="T165">
        <v>5336</v>
      </c>
    </row>
    <row r="166" spans="1:20">
      <c r="A166" s="7" t="s">
        <v>254</v>
      </c>
      <c r="B166" s="16" t="s">
        <v>105</v>
      </c>
      <c r="C166">
        <v>151712267.54195842</v>
      </c>
      <c r="D166">
        <v>146700011.58021772</v>
      </c>
      <c r="E166">
        <v>1478378.3783783789</v>
      </c>
      <c r="F166">
        <v>1513513.513513515</v>
      </c>
      <c r="G166">
        <v>18</v>
      </c>
      <c r="H166">
        <v>13</v>
      </c>
      <c r="K166">
        <v>19</v>
      </c>
      <c r="L166">
        <v>15</v>
      </c>
      <c r="M166">
        <v>11504864.864864862</v>
      </c>
      <c r="N166">
        <v>10681441.441441439</v>
      </c>
      <c r="O166">
        <v>44988376.576576576</v>
      </c>
      <c r="P166">
        <v>45271027.027027026</v>
      </c>
      <c r="Q166">
        <v>9005135.1351351347</v>
      </c>
      <c r="R166">
        <v>9642972.9729729723</v>
      </c>
      <c r="S166">
        <v>3809</v>
      </c>
      <c r="T166">
        <v>3888</v>
      </c>
    </row>
    <row r="167" spans="1:20">
      <c r="A167" s="7" t="s">
        <v>255</v>
      </c>
      <c r="B167" s="16" t="s">
        <v>105</v>
      </c>
      <c r="C167">
        <v>126382801.14819074</v>
      </c>
      <c r="D167">
        <v>128221253.78699657</v>
      </c>
      <c r="E167">
        <v>982882.88288288296</v>
      </c>
      <c r="F167">
        <v>103603.603603604</v>
      </c>
      <c r="G167">
        <v>17</v>
      </c>
      <c r="H167">
        <v>19</v>
      </c>
      <c r="K167">
        <v>18</v>
      </c>
      <c r="L167">
        <v>24</v>
      </c>
      <c r="M167">
        <v>2018918.9189189191</v>
      </c>
      <c r="N167">
        <v>1454954.954954955</v>
      </c>
      <c r="O167">
        <v>25647117.117117122</v>
      </c>
      <c r="P167">
        <v>27582313.513513513</v>
      </c>
      <c r="Q167">
        <v>1336306.306306306</v>
      </c>
      <c r="R167">
        <v>1132882.8828828831</v>
      </c>
      <c r="S167">
        <v>2105</v>
      </c>
      <c r="T167">
        <v>1997</v>
      </c>
    </row>
    <row r="168" spans="1:20">
      <c r="A168" s="7" t="s">
        <v>256</v>
      </c>
      <c r="B168" s="16" t="s">
        <v>134</v>
      </c>
      <c r="C168">
        <v>201775505.98906213</v>
      </c>
      <c r="D168">
        <v>196847664.86804003</v>
      </c>
      <c r="E168">
        <v>272972.97297297302</v>
      </c>
      <c r="F168">
        <v>729729.72972973005</v>
      </c>
      <c r="G168">
        <v>23</v>
      </c>
      <c r="H168">
        <v>18</v>
      </c>
      <c r="K168">
        <v>24</v>
      </c>
      <c r="L168">
        <v>19</v>
      </c>
      <c r="M168">
        <v>4822522.5225225221</v>
      </c>
      <c r="N168">
        <v>3351351.351351351</v>
      </c>
      <c r="O168">
        <v>13644585.585585589</v>
      </c>
      <c r="P168">
        <v>13904981.98198198</v>
      </c>
      <c r="Q168">
        <v>3947207.207207208</v>
      </c>
      <c r="R168">
        <v>3888738.7387387389</v>
      </c>
      <c r="S168">
        <v>4113</v>
      </c>
      <c r="T168">
        <v>4086</v>
      </c>
    </row>
    <row r="169" spans="1:20">
      <c r="A169" s="7" t="s">
        <v>257</v>
      </c>
      <c r="B169" s="16" t="s">
        <v>167</v>
      </c>
      <c r="C169">
        <v>76264329.793194965</v>
      </c>
      <c r="D169">
        <v>65897469.688288152</v>
      </c>
      <c r="F169">
        <v>1171171.1711711709</v>
      </c>
      <c r="G169">
        <v>45</v>
      </c>
      <c r="H169">
        <v>14</v>
      </c>
      <c r="K169">
        <v>49</v>
      </c>
      <c r="L169">
        <v>18</v>
      </c>
      <c r="M169">
        <v>4907657.6576576587</v>
      </c>
      <c r="N169">
        <v>3123215.315315315</v>
      </c>
      <c r="O169">
        <v>26515135.135135137</v>
      </c>
      <c r="P169">
        <v>22939247.747747749</v>
      </c>
      <c r="Q169">
        <v>4914234.2342342362</v>
      </c>
      <c r="R169">
        <v>3642072.072072072</v>
      </c>
      <c r="S169">
        <v>2463</v>
      </c>
      <c r="T169">
        <v>2454</v>
      </c>
    </row>
    <row r="170" spans="1:20">
      <c r="A170" s="7" t="s">
        <v>258</v>
      </c>
      <c r="B170" s="16" t="s">
        <v>60</v>
      </c>
      <c r="C170">
        <v>30123945.108930305</v>
      </c>
      <c r="D170">
        <v>26684621.746761944</v>
      </c>
      <c r="E170">
        <v>15765.765765766</v>
      </c>
      <c r="F170">
        <v>247747.74774774801</v>
      </c>
      <c r="G170">
        <v>10</v>
      </c>
      <c r="H170">
        <v>16</v>
      </c>
      <c r="I170">
        <v>2</v>
      </c>
      <c r="K170">
        <v>32</v>
      </c>
      <c r="L170">
        <v>22</v>
      </c>
      <c r="M170">
        <v>7547297.297297297</v>
      </c>
      <c r="N170">
        <v>4653153.1531531541</v>
      </c>
      <c r="O170">
        <v>11514189.189189188</v>
      </c>
      <c r="P170">
        <v>9308234.2342342343</v>
      </c>
      <c r="Q170">
        <v>5613873.8738738727</v>
      </c>
      <c r="R170">
        <v>5352792.7927927934</v>
      </c>
      <c r="S170">
        <v>677</v>
      </c>
      <c r="T170">
        <v>622</v>
      </c>
    </row>
    <row r="171" spans="1:20">
      <c r="A171" s="7" t="s">
        <v>259</v>
      </c>
      <c r="B171" s="16" t="s">
        <v>260</v>
      </c>
      <c r="C171">
        <v>14928107.331116809</v>
      </c>
      <c r="D171">
        <v>16510162.029785359</v>
      </c>
      <c r="E171">
        <v>19369369.369369369</v>
      </c>
      <c r="F171">
        <v>66903603.603603601</v>
      </c>
      <c r="G171">
        <v>9</v>
      </c>
      <c r="H171">
        <v>4</v>
      </c>
      <c r="K171">
        <v>9</v>
      </c>
      <c r="L171">
        <v>5</v>
      </c>
      <c r="M171">
        <v>10894594.594594596</v>
      </c>
      <c r="N171">
        <v>4947297.297297298</v>
      </c>
      <c r="O171">
        <v>2974774.7747747749</v>
      </c>
      <c r="P171">
        <v>2869261.261261262</v>
      </c>
      <c r="Q171">
        <v>4242432.4324324327</v>
      </c>
      <c r="R171">
        <v>1760180.1801801799</v>
      </c>
      <c r="S171">
        <v>614</v>
      </c>
      <c r="T171">
        <v>514</v>
      </c>
    </row>
    <row r="172" spans="1:20">
      <c r="A172" s="7" t="s">
        <v>261</v>
      </c>
      <c r="B172" s="16" t="s">
        <v>60</v>
      </c>
      <c r="C172">
        <v>253598410.86303583</v>
      </c>
      <c r="D172">
        <v>255391139.67654672</v>
      </c>
      <c r="E172">
        <v>148244529.72972974</v>
      </c>
      <c r="F172">
        <v>233586920.72072074</v>
      </c>
      <c r="G172">
        <v>108</v>
      </c>
      <c r="H172">
        <v>214</v>
      </c>
      <c r="I172">
        <v>12</v>
      </c>
      <c r="K172">
        <v>145</v>
      </c>
      <c r="L172">
        <v>290</v>
      </c>
      <c r="M172">
        <v>50627117.117117114</v>
      </c>
      <c r="N172">
        <v>52862612.612612605</v>
      </c>
      <c r="O172">
        <v>87705792.792792797</v>
      </c>
      <c r="P172">
        <v>93253069.819819823</v>
      </c>
      <c r="Q172">
        <v>50015945.945945941</v>
      </c>
      <c r="R172">
        <v>62404144.144144148</v>
      </c>
      <c r="S172">
        <v>6211</v>
      </c>
      <c r="T172">
        <v>6126</v>
      </c>
    </row>
    <row r="173" spans="1:20">
      <c r="A173" s="7" t="s">
        <v>262</v>
      </c>
      <c r="B173" s="16" t="s">
        <v>123</v>
      </c>
      <c r="C173">
        <v>204542221.37200314</v>
      </c>
      <c r="D173">
        <v>195557899.21552309</v>
      </c>
      <c r="E173">
        <v>303153.15315315401</v>
      </c>
      <c r="F173">
        <v>293693.69369369501</v>
      </c>
      <c r="G173">
        <v>31</v>
      </c>
      <c r="H173">
        <v>37</v>
      </c>
      <c r="I173">
        <v>1</v>
      </c>
      <c r="K173">
        <v>37</v>
      </c>
      <c r="L173">
        <v>50</v>
      </c>
      <c r="M173">
        <v>9778828.8288288284</v>
      </c>
      <c r="N173">
        <v>11416036.036036037</v>
      </c>
      <c r="O173">
        <v>77043369.369369373</v>
      </c>
      <c r="P173">
        <v>76942810.810810819</v>
      </c>
      <c r="Q173">
        <v>9059729.7297297325</v>
      </c>
      <c r="R173">
        <v>10408288.288288288</v>
      </c>
      <c r="S173">
        <v>5547</v>
      </c>
      <c r="T173">
        <v>5621</v>
      </c>
    </row>
    <row r="174" spans="1:20">
      <c r="A174" s="7" t="s">
        <v>263</v>
      </c>
      <c r="B174" s="16" t="s">
        <v>123</v>
      </c>
      <c r="C174">
        <v>88652113.750815392</v>
      </c>
      <c r="D174">
        <v>83335080.834791824</v>
      </c>
      <c r="E174">
        <v>394594.59459459502</v>
      </c>
      <c r="F174">
        <v>896621.62162162305</v>
      </c>
      <c r="G174">
        <v>31</v>
      </c>
      <c r="H174">
        <v>29</v>
      </c>
      <c r="I174">
        <v>2</v>
      </c>
      <c r="K174">
        <v>37</v>
      </c>
      <c r="L174">
        <v>89</v>
      </c>
      <c r="M174">
        <v>15587837.837837836</v>
      </c>
      <c r="N174">
        <v>16202792.792792792</v>
      </c>
      <c r="O174">
        <v>37165081.081081077</v>
      </c>
      <c r="P174">
        <v>34491792.79279279</v>
      </c>
      <c r="Q174">
        <v>19432252.252252255</v>
      </c>
      <c r="R174">
        <v>16936396.396396395</v>
      </c>
      <c r="S174">
        <v>2456</v>
      </c>
      <c r="T174">
        <v>2360</v>
      </c>
    </row>
    <row r="175" spans="1:20">
      <c r="A175" s="7" t="s">
        <v>264</v>
      </c>
      <c r="B175" s="16" t="s">
        <v>125</v>
      </c>
      <c r="C175">
        <v>206209102.81073955</v>
      </c>
      <c r="D175">
        <v>208028875.45661718</v>
      </c>
      <c r="E175">
        <v>546396.39639639796</v>
      </c>
      <c r="F175">
        <v>1990990.9909909901</v>
      </c>
      <c r="G175">
        <v>25</v>
      </c>
      <c r="H175">
        <v>58</v>
      </c>
      <c r="K175">
        <v>27</v>
      </c>
      <c r="L175">
        <v>60</v>
      </c>
      <c r="M175">
        <v>26488738.738738734</v>
      </c>
      <c r="N175">
        <v>16009009.009009007</v>
      </c>
      <c r="O175">
        <v>70860225.225225225</v>
      </c>
      <c r="P175">
        <v>75478563.963963971</v>
      </c>
      <c r="Q175">
        <v>20510630.630630631</v>
      </c>
      <c r="R175">
        <v>15920720.72072072</v>
      </c>
      <c r="S175">
        <v>4316</v>
      </c>
      <c r="T175">
        <v>4438</v>
      </c>
    </row>
    <row r="176" spans="1:20">
      <c r="A176" s="7" t="s">
        <v>265</v>
      </c>
      <c r="B176" s="16" t="s">
        <v>123</v>
      </c>
      <c r="C176">
        <v>211472431.60639334</v>
      </c>
      <c r="D176">
        <v>199587151.39975551</v>
      </c>
      <c r="E176">
        <v>103753153.15315315</v>
      </c>
      <c r="F176">
        <v>136784504.5045045</v>
      </c>
      <c r="G176">
        <v>60</v>
      </c>
      <c r="H176">
        <v>24</v>
      </c>
      <c r="K176">
        <v>64</v>
      </c>
      <c r="L176">
        <v>26</v>
      </c>
      <c r="M176">
        <v>21335450.450450446</v>
      </c>
      <c r="N176">
        <v>17227882.882882882</v>
      </c>
      <c r="O176">
        <v>73695540.540540546</v>
      </c>
      <c r="P176">
        <v>69814032.432432428</v>
      </c>
      <c r="Q176">
        <v>16612522.52252252</v>
      </c>
      <c r="R176">
        <v>17844324.324324325</v>
      </c>
      <c r="S176">
        <v>4757</v>
      </c>
      <c r="T176">
        <v>4850</v>
      </c>
    </row>
    <row r="177" spans="1:20">
      <c r="A177" s="7" t="s">
        <v>266</v>
      </c>
      <c r="B177" s="16" t="s">
        <v>123</v>
      </c>
      <c r="C177">
        <v>206780719.02343842</v>
      </c>
      <c r="D177">
        <v>210652508.72587642</v>
      </c>
      <c r="E177">
        <v>1568468.4684684691</v>
      </c>
      <c r="F177">
        <v>2400450.450450452</v>
      </c>
      <c r="G177">
        <v>28</v>
      </c>
      <c r="H177">
        <v>39</v>
      </c>
      <c r="K177">
        <v>29</v>
      </c>
      <c r="L177">
        <v>44</v>
      </c>
      <c r="M177">
        <v>25679099.099099096</v>
      </c>
      <c r="N177">
        <v>21381081.081081081</v>
      </c>
      <c r="O177">
        <v>80149225.225225225</v>
      </c>
      <c r="P177">
        <v>86164657.657657668</v>
      </c>
      <c r="Q177">
        <v>23626036.036036037</v>
      </c>
      <c r="R177">
        <v>22508018.018018015</v>
      </c>
      <c r="S177">
        <v>5563</v>
      </c>
      <c r="T177">
        <v>5581</v>
      </c>
    </row>
    <row r="178" spans="1:20">
      <c r="A178" s="7" t="s">
        <v>267</v>
      </c>
      <c r="B178" s="16" t="s">
        <v>178</v>
      </c>
      <c r="C178">
        <v>1105816766.7100325</v>
      </c>
      <c r="D178">
        <v>1059602588.3510842</v>
      </c>
      <c r="E178">
        <v>542658945.94594598</v>
      </c>
      <c r="F178">
        <v>391713672.97297299</v>
      </c>
      <c r="G178">
        <v>515</v>
      </c>
      <c r="H178">
        <v>430</v>
      </c>
      <c r="I178">
        <v>4</v>
      </c>
      <c r="K178">
        <v>793</v>
      </c>
      <c r="L178">
        <v>842</v>
      </c>
      <c r="M178">
        <v>167072970.27027026</v>
      </c>
      <c r="N178">
        <v>138131735.13513514</v>
      </c>
      <c r="O178">
        <v>312241027.02702701</v>
      </c>
      <c r="P178">
        <v>319924191.8918919</v>
      </c>
      <c r="Q178">
        <v>151611351.35135135</v>
      </c>
      <c r="R178">
        <v>128877747.74774776</v>
      </c>
      <c r="S178">
        <v>31113</v>
      </c>
      <c r="T178">
        <v>34433</v>
      </c>
    </row>
    <row r="179" spans="1:20">
      <c r="A179" s="7" t="s">
        <v>268</v>
      </c>
      <c r="B179" s="16" t="s">
        <v>62</v>
      </c>
      <c r="C179">
        <v>165676082.71521923</v>
      </c>
      <c r="D179">
        <v>174956487.83827224</v>
      </c>
      <c r="E179">
        <v>234979795.4954955</v>
      </c>
      <c r="F179">
        <v>357483538.73873878</v>
      </c>
      <c r="G179">
        <v>30</v>
      </c>
      <c r="H179">
        <v>49</v>
      </c>
      <c r="K179">
        <v>37</v>
      </c>
      <c r="L179">
        <v>61</v>
      </c>
      <c r="M179">
        <v>46923036.936936937</v>
      </c>
      <c r="N179">
        <v>105627512.61261261</v>
      </c>
      <c r="O179">
        <v>54087567.567567565</v>
      </c>
      <c r="P179">
        <v>56141621.621621624</v>
      </c>
      <c r="Q179">
        <v>14409279.279279277</v>
      </c>
      <c r="R179">
        <v>46817477.477477469</v>
      </c>
      <c r="S179">
        <v>4708</v>
      </c>
      <c r="T179">
        <v>4780</v>
      </c>
    </row>
    <row r="180" spans="1:20">
      <c r="A180" s="7" t="s">
        <v>269</v>
      </c>
      <c r="B180" s="16" t="s">
        <v>70</v>
      </c>
      <c r="C180">
        <v>222062189.25732538</v>
      </c>
      <c r="D180">
        <v>226059245.69911158</v>
      </c>
      <c r="E180">
        <v>4138288.2882882869</v>
      </c>
      <c r="F180">
        <v>2069369.369369372</v>
      </c>
      <c r="G180">
        <v>51</v>
      </c>
      <c r="H180">
        <v>71</v>
      </c>
      <c r="K180">
        <v>55</v>
      </c>
      <c r="L180">
        <v>125</v>
      </c>
      <c r="M180">
        <v>33318918.918918919</v>
      </c>
      <c r="N180">
        <v>16012612.612612618</v>
      </c>
      <c r="O180">
        <v>99118540.540540546</v>
      </c>
      <c r="P180">
        <v>102287468.46846846</v>
      </c>
      <c r="Q180">
        <v>31773153.153153151</v>
      </c>
      <c r="R180">
        <v>15050990.990990996</v>
      </c>
      <c r="S180">
        <v>6913</v>
      </c>
      <c r="T180">
        <v>7027</v>
      </c>
    </row>
    <row r="181" spans="1:20">
      <c r="A181" s="7" t="s">
        <v>270</v>
      </c>
      <c r="B181" s="16" t="s">
        <v>134</v>
      </c>
      <c r="C181">
        <v>2881304.1747198761</v>
      </c>
      <c r="D181">
        <v>3405158.2510281568</v>
      </c>
      <c r="G181">
        <v>2</v>
      </c>
      <c r="K181">
        <v>3</v>
      </c>
      <c r="O181">
        <v>183783.783783783</v>
      </c>
      <c r="P181">
        <v>158198.19819819799</v>
      </c>
      <c r="S181">
        <v>259</v>
      </c>
      <c r="T181">
        <v>263</v>
      </c>
    </row>
    <row r="182" spans="1:20">
      <c r="A182" s="7" t="s">
        <v>271</v>
      </c>
      <c r="B182" s="16" t="s">
        <v>76</v>
      </c>
      <c r="C182">
        <v>106741491.8251663</v>
      </c>
      <c r="D182">
        <v>105374358.37090914</v>
      </c>
      <c r="E182">
        <v>9009.0090090089998</v>
      </c>
      <c r="F182">
        <v>67567.567567567996</v>
      </c>
      <c r="G182">
        <v>28</v>
      </c>
      <c r="H182">
        <v>15</v>
      </c>
      <c r="K182">
        <v>32</v>
      </c>
      <c r="L182">
        <v>17</v>
      </c>
      <c r="M182">
        <v>99099.099099098996</v>
      </c>
      <c r="N182">
        <v>157657.65765765801</v>
      </c>
      <c r="O182">
        <v>6515720.7207207214</v>
      </c>
      <c r="P182">
        <v>6844319.819819821</v>
      </c>
      <c r="Q182">
        <v>261261.26126126101</v>
      </c>
      <c r="R182">
        <v>201801.80180180201</v>
      </c>
      <c r="S182">
        <v>2413</v>
      </c>
      <c r="T182">
        <v>2438</v>
      </c>
    </row>
    <row r="183" spans="1:20">
      <c r="A183" s="7" t="s">
        <v>272</v>
      </c>
      <c r="B183" s="16" t="s">
        <v>76</v>
      </c>
      <c r="C183">
        <v>38525877.968553491</v>
      </c>
      <c r="D183">
        <v>35506846.842199855</v>
      </c>
      <c r="E183">
        <v>56306.306306306004</v>
      </c>
      <c r="F183">
        <v>150450.450450451</v>
      </c>
      <c r="G183">
        <v>15</v>
      </c>
      <c r="H183">
        <v>3</v>
      </c>
      <c r="K183">
        <v>17</v>
      </c>
      <c r="L183">
        <v>4</v>
      </c>
      <c r="M183">
        <v>11452702.702702701</v>
      </c>
      <c r="N183">
        <v>8781261.2612612601</v>
      </c>
      <c r="O183">
        <v>11483828.828828828</v>
      </c>
      <c r="P183">
        <v>9666765.7657657657</v>
      </c>
      <c r="Q183">
        <v>7904504.5045045028</v>
      </c>
      <c r="R183">
        <v>7703063.0630630637</v>
      </c>
      <c r="S183">
        <v>810</v>
      </c>
      <c r="T183">
        <v>1029</v>
      </c>
    </row>
    <row r="184" spans="1:20">
      <c r="A184" s="7" t="s">
        <v>273</v>
      </c>
      <c r="B184" s="16" t="s">
        <v>260</v>
      </c>
      <c r="C184">
        <v>806487844.50416386</v>
      </c>
      <c r="D184">
        <v>754606486.29981875</v>
      </c>
      <c r="E184">
        <v>295010595.4954955</v>
      </c>
      <c r="F184">
        <v>261989632.43243244</v>
      </c>
      <c r="G184">
        <v>141</v>
      </c>
      <c r="H184">
        <v>213</v>
      </c>
      <c r="I184">
        <v>1</v>
      </c>
      <c r="K184">
        <v>166</v>
      </c>
      <c r="L184">
        <v>309</v>
      </c>
      <c r="M184">
        <v>134896846.84684685</v>
      </c>
      <c r="N184">
        <v>195022522.52252254</v>
      </c>
      <c r="O184">
        <v>222383351.35135135</v>
      </c>
      <c r="P184">
        <v>232086815.31531534</v>
      </c>
      <c r="Q184">
        <v>133436756.75675675</v>
      </c>
      <c r="R184">
        <v>130310720.72072072</v>
      </c>
      <c r="S184">
        <v>19535</v>
      </c>
      <c r="T184">
        <v>18509</v>
      </c>
    </row>
    <row r="185" spans="1:20">
      <c r="A185" s="7" t="s">
        <v>274</v>
      </c>
      <c r="B185" s="16" t="s">
        <v>260</v>
      </c>
      <c r="C185">
        <v>185867961.24066415</v>
      </c>
      <c r="D185">
        <v>162648708.19581974</v>
      </c>
      <c r="E185">
        <v>1404504.5045045051</v>
      </c>
      <c r="F185">
        <v>1236486.486486489</v>
      </c>
      <c r="G185">
        <v>15</v>
      </c>
      <c r="H185">
        <v>8</v>
      </c>
      <c r="K185">
        <v>16</v>
      </c>
      <c r="L185">
        <v>10</v>
      </c>
      <c r="M185">
        <v>9295495.4954954945</v>
      </c>
      <c r="N185">
        <v>12319369.369369367</v>
      </c>
      <c r="O185">
        <v>33093234.234234232</v>
      </c>
      <c r="P185">
        <v>33135027.027027026</v>
      </c>
      <c r="Q185">
        <v>8127837.8378378386</v>
      </c>
      <c r="R185">
        <v>10422342.342342341</v>
      </c>
      <c r="S185">
        <v>3823</v>
      </c>
      <c r="T185">
        <v>3880</v>
      </c>
    </row>
    <row r="186" spans="1:20">
      <c r="A186" s="7" t="s">
        <v>275</v>
      </c>
      <c r="B186" s="16" t="s">
        <v>260</v>
      </c>
      <c r="C186">
        <v>193948572.25047818</v>
      </c>
      <c r="D186">
        <v>182735992.70074102</v>
      </c>
      <c r="E186">
        <v>6275585.5855855849</v>
      </c>
      <c r="F186">
        <v>4632882.8828828838</v>
      </c>
      <c r="G186">
        <v>26</v>
      </c>
      <c r="H186">
        <v>19</v>
      </c>
      <c r="K186">
        <v>28</v>
      </c>
      <c r="L186">
        <v>24</v>
      </c>
      <c r="M186">
        <v>34853153.153153151</v>
      </c>
      <c r="N186">
        <v>35370270.270270273</v>
      </c>
      <c r="O186">
        <v>43271576.576576576</v>
      </c>
      <c r="P186">
        <v>40301198.198198199</v>
      </c>
      <c r="Q186">
        <v>34677837.837837838</v>
      </c>
      <c r="R186">
        <v>33386306.306306306</v>
      </c>
      <c r="S186">
        <v>5959</v>
      </c>
      <c r="T186">
        <v>5835</v>
      </c>
    </row>
    <row r="187" spans="1:20">
      <c r="A187" s="7" t="s">
        <v>276</v>
      </c>
      <c r="B187" s="16" t="s">
        <v>134</v>
      </c>
      <c r="C187">
        <v>229508060.62222347</v>
      </c>
      <c r="D187">
        <v>236455760.44114554</v>
      </c>
      <c r="E187">
        <v>27027.027027027001</v>
      </c>
      <c r="F187">
        <v>297297.29729729902</v>
      </c>
      <c r="G187">
        <v>39</v>
      </c>
      <c r="H187">
        <v>51</v>
      </c>
      <c r="K187">
        <v>40</v>
      </c>
      <c r="L187">
        <v>57</v>
      </c>
      <c r="M187">
        <v>9576576.5765765756</v>
      </c>
      <c r="N187">
        <v>14261261.261261262</v>
      </c>
      <c r="O187">
        <v>20883540.540540539</v>
      </c>
      <c r="P187">
        <v>20198716.216216218</v>
      </c>
      <c r="Q187">
        <v>6323693.6936936928</v>
      </c>
      <c r="R187">
        <v>5498288.2882882887</v>
      </c>
      <c r="S187">
        <v>5428</v>
      </c>
      <c r="T187">
        <v>5400</v>
      </c>
    </row>
    <row r="188" spans="1:20">
      <c r="A188" s="7" t="s">
        <v>672</v>
      </c>
      <c r="B188" s="16" t="s">
        <v>87</v>
      </c>
      <c r="M188">
        <v>135135.135135135</v>
      </c>
      <c r="N188">
        <v>729729.72972973005</v>
      </c>
    </row>
    <row r="189" spans="1:20">
      <c r="A189" s="7" t="s">
        <v>277</v>
      </c>
      <c r="B189" s="16" t="s">
        <v>169</v>
      </c>
      <c r="C189">
        <v>176153743.58304831</v>
      </c>
      <c r="D189">
        <v>143104235.86077487</v>
      </c>
      <c r="E189">
        <v>581981.98198198201</v>
      </c>
      <c r="F189">
        <v>474774.77477477601</v>
      </c>
      <c r="G189">
        <v>30</v>
      </c>
      <c r="H189">
        <v>26</v>
      </c>
      <c r="K189">
        <v>30</v>
      </c>
      <c r="L189">
        <v>42</v>
      </c>
      <c r="M189">
        <v>14996396.396396397</v>
      </c>
      <c r="N189">
        <v>10422972.972972972</v>
      </c>
      <c r="O189">
        <v>71327324.324324325</v>
      </c>
      <c r="P189">
        <v>64027385.135135137</v>
      </c>
      <c r="Q189">
        <v>11604144.144144144</v>
      </c>
      <c r="R189">
        <v>8425855.8558558542</v>
      </c>
      <c r="S189">
        <v>3305</v>
      </c>
      <c r="T189">
        <v>3431</v>
      </c>
    </row>
    <row r="190" spans="1:20">
      <c r="A190" s="7" t="s">
        <v>278</v>
      </c>
      <c r="B190" s="16" t="s">
        <v>169</v>
      </c>
      <c r="C190">
        <v>75179053.697232589</v>
      </c>
      <c r="D190">
        <v>77404943.96777977</v>
      </c>
      <c r="E190">
        <v>900.900900901</v>
      </c>
      <c r="F190">
        <v>3603.603603604</v>
      </c>
      <c r="G190">
        <v>4</v>
      </c>
      <c r="H190">
        <v>10</v>
      </c>
      <c r="K190">
        <v>4</v>
      </c>
      <c r="L190">
        <v>12</v>
      </c>
      <c r="M190">
        <v>2253153.1531531531</v>
      </c>
      <c r="N190">
        <v>2739301.8018018021</v>
      </c>
      <c r="O190">
        <v>28552450.450450446</v>
      </c>
      <c r="P190">
        <v>34395337.837837838</v>
      </c>
      <c r="Q190">
        <v>3381171.1711711711</v>
      </c>
      <c r="R190">
        <v>3964414.4144144142</v>
      </c>
      <c r="S190">
        <v>2018</v>
      </c>
      <c r="T190">
        <v>2531</v>
      </c>
    </row>
    <row r="191" spans="1:20">
      <c r="A191" s="7" t="s">
        <v>279</v>
      </c>
      <c r="B191" s="16" t="s">
        <v>87</v>
      </c>
      <c r="C191">
        <v>2059914.2372776321</v>
      </c>
      <c r="D191">
        <v>1914861.773919425</v>
      </c>
      <c r="G191">
        <v>3</v>
      </c>
      <c r="H191">
        <v>3</v>
      </c>
      <c r="K191">
        <v>5</v>
      </c>
      <c r="L191">
        <v>3</v>
      </c>
      <c r="O191">
        <v>1093691.8918918921</v>
      </c>
      <c r="P191">
        <v>700279.27927927906</v>
      </c>
      <c r="S191">
        <v>189</v>
      </c>
      <c r="T191">
        <v>146</v>
      </c>
    </row>
    <row r="192" spans="1:20">
      <c r="A192" s="7" t="s">
        <v>280</v>
      </c>
      <c r="B192" s="16" t="s">
        <v>169</v>
      </c>
      <c r="C192">
        <v>135095691.37308666</v>
      </c>
      <c r="D192">
        <v>136078003.15906155</v>
      </c>
      <c r="E192">
        <v>893918.918918918</v>
      </c>
      <c r="F192">
        <v>596396.39639639703</v>
      </c>
      <c r="G192">
        <v>22</v>
      </c>
      <c r="H192">
        <v>31</v>
      </c>
      <c r="K192">
        <v>25</v>
      </c>
      <c r="L192">
        <v>33</v>
      </c>
      <c r="M192">
        <v>15961711.71171171</v>
      </c>
      <c r="N192">
        <v>18193513.513513513</v>
      </c>
      <c r="O192">
        <v>51683738.738738738</v>
      </c>
      <c r="P192">
        <v>55831162.162162162</v>
      </c>
      <c r="Q192">
        <v>14099099.099099098</v>
      </c>
      <c r="R192">
        <v>16976936.936936937</v>
      </c>
      <c r="S192">
        <v>4100</v>
      </c>
      <c r="T192">
        <v>4281</v>
      </c>
    </row>
    <row r="193" spans="1:20">
      <c r="A193" s="7" t="s">
        <v>281</v>
      </c>
      <c r="B193" s="16" t="s">
        <v>54</v>
      </c>
      <c r="C193">
        <v>105337196.02934879</v>
      </c>
      <c r="D193">
        <v>101533368.72296941</v>
      </c>
      <c r="E193">
        <v>584909.90990991204</v>
      </c>
      <c r="F193">
        <v>1210810.8108108139</v>
      </c>
      <c r="G193">
        <v>40</v>
      </c>
      <c r="H193">
        <v>32</v>
      </c>
      <c r="K193">
        <v>47</v>
      </c>
      <c r="L193">
        <v>39</v>
      </c>
      <c r="M193">
        <v>11366216.216216216</v>
      </c>
      <c r="N193">
        <v>9961261.261261262</v>
      </c>
      <c r="O193">
        <v>22227684.684684686</v>
      </c>
      <c r="P193">
        <v>21948639.639639638</v>
      </c>
      <c r="Q193">
        <v>11266486.486486487</v>
      </c>
      <c r="R193">
        <v>10571711.71171171</v>
      </c>
      <c r="S193">
        <v>3724</v>
      </c>
      <c r="T193">
        <v>3746</v>
      </c>
    </row>
    <row r="194" spans="1:20">
      <c r="A194" s="7" t="s">
        <v>282</v>
      </c>
      <c r="B194" s="16" t="s">
        <v>283</v>
      </c>
      <c r="C194">
        <v>171579886.56504306</v>
      </c>
      <c r="D194">
        <v>132211633.65561529</v>
      </c>
      <c r="E194">
        <v>51801.801801802001</v>
      </c>
      <c r="F194">
        <v>312612.612612614</v>
      </c>
      <c r="G194">
        <v>78</v>
      </c>
      <c r="H194">
        <v>38</v>
      </c>
      <c r="K194">
        <v>80</v>
      </c>
      <c r="L194">
        <v>67</v>
      </c>
      <c r="M194">
        <v>4997747.7477477482</v>
      </c>
      <c r="N194">
        <v>6898198.1981982002</v>
      </c>
      <c r="O194">
        <v>20613513.513513513</v>
      </c>
      <c r="P194">
        <v>22019180.180180181</v>
      </c>
      <c r="Q194">
        <v>5822882.8828828847</v>
      </c>
      <c r="R194">
        <v>7329099.0990991006</v>
      </c>
      <c r="S194">
        <v>3379</v>
      </c>
      <c r="T194">
        <v>3208</v>
      </c>
    </row>
    <row r="195" spans="1:20">
      <c r="A195" s="7" t="s">
        <v>284</v>
      </c>
      <c r="B195" s="16" t="s">
        <v>283</v>
      </c>
      <c r="C195">
        <v>279968484.0498482</v>
      </c>
      <c r="D195">
        <v>291353972.01589215</v>
      </c>
      <c r="E195">
        <v>1449324.3243243259</v>
      </c>
      <c r="F195">
        <v>2330180.1801801859</v>
      </c>
      <c r="G195">
        <v>65</v>
      </c>
      <c r="H195">
        <v>52</v>
      </c>
      <c r="K195">
        <v>69</v>
      </c>
      <c r="L195">
        <v>81</v>
      </c>
      <c r="M195">
        <v>34836936.936936937</v>
      </c>
      <c r="N195">
        <v>30584684.684684686</v>
      </c>
      <c r="O195">
        <v>54473360.360360362</v>
      </c>
      <c r="P195">
        <v>61242756.75675676</v>
      </c>
      <c r="Q195">
        <v>28392702.702702705</v>
      </c>
      <c r="R195">
        <v>29853873.873873875</v>
      </c>
      <c r="S195">
        <v>8122</v>
      </c>
      <c r="T195">
        <v>8035</v>
      </c>
    </row>
    <row r="196" spans="1:20">
      <c r="A196" s="7" t="s">
        <v>285</v>
      </c>
      <c r="B196" s="16" t="s">
        <v>283</v>
      </c>
      <c r="C196">
        <v>149560018.09166387</v>
      </c>
      <c r="D196">
        <v>154197050.06840163</v>
      </c>
      <c r="E196">
        <v>1366666.6666666679</v>
      </c>
      <c r="F196">
        <v>1184684.684684688</v>
      </c>
      <c r="G196">
        <v>58</v>
      </c>
      <c r="H196">
        <v>32</v>
      </c>
      <c r="K196">
        <v>59</v>
      </c>
      <c r="L196">
        <v>50</v>
      </c>
      <c r="M196">
        <v>37121621.621621616</v>
      </c>
      <c r="N196">
        <v>37507207.20720721</v>
      </c>
      <c r="O196">
        <v>48946963.963963971</v>
      </c>
      <c r="P196">
        <v>48743009.009009011</v>
      </c>
      <c r="Q196">
        <v>32238828.82882883</v>
      </c>
      <c r="R196">
        <v>34425675.675675675</v>
      </c>
      <c r="S196">
        <v>4718</v>
      </c>
      <c r="T196">
        <v>4570</v>
      </c>
    </row>
    <row r="197" spans="1:20">
      <c r="A197" s="7" t="s">
        <v>286</v>
      </c>
      <c r="B197" s="16" t="s">
        <v>283</v>
      </c>
      <c r="C197">
        <v>106746592.73013452</v>
      </c>
      <c r="D197">
        <v>114205333.87486604</v>
      </c>
      <c r="E197">
        <v>33809009.009009011</v>
      </c>
      <c r="F197">
        <v>73248648.648648649</v>
      </c>
      <c r="G197">
        <v>17</v>
      </c>
      <c r="H197">
        <v>7</v>
      </c>
      <c r="K197">
        <v>18</v>
      </c>
      <c r="L197">
        <v>9</v>
      </c>
      <c r="M197">
        <v>20178378.37837838</v>
      </c>
      <c r="N197">
        <v>28578378.37837838</v>
      </c>
      <c r="O197">
        <v>17468459.459459461</v>
      </c>
      <c r="P197">
        <v>22517216.216216218</v>
      </c>
      <c r="Q197">
        <v>4100990.9909909889</v>
      </c>
      <c r="R197">
        <v>28658378.378378376</v>
      </c>
      <c r="S197">
        <v>2415</v>
      </c>
      <c r="T197">
        <v>2518</v>
      </c>
    </row>
    <row r="198" spans="1:20">
      <c r="A198" s="7" t="s">
        <v>287</v>
      </c>
      <c r="B198" s="16" t="s">
        <v>283</v>
      </c>
      <c r="C198">
        <v>53091268.81785325</v>
      </c>
      <c r="D198">
        <v>57883401.334651493</v>
      </c>
      <c r="E198">
        <v>77477.477477477994</v>
      </c>
      <c r="F198">
        <v>451351.35135135398</v>
      </c>
      <c r="G198">
        <v>5</v>
      </c>
      <c r="H198">
        <v>1</v>
      </c>
      <c r="K198">
        <v>5</v>
      </c>
      <c r="L198">
        <v>2</v>
      </c>
      <c r="M198">
        <v>77477.477477477994</v>
      </c>
      <c r="N198">
        <v>12397297.297297295</v>
      </c>
      <c r="O198">
        <v>9607837.8378378376</v>
      </c>
      <c r="P198">
        <v>10586819.819819819</v>
      </c>
      <c r="R198">
        <v>12069189.18918919</v>
      </c>
      <c r="S198">
        <v>1360</v>
      </c>
      <c r="T198">
        <v>1414</v>
      </c>
    </row>
    <row r="199" spans="1:20">
      <c r="A199" s="7" t="s">
        <v>288</v>
      </c>
      <c r="B199" s="16" t="s">
        <v>283</v>
      </c>
      <c r="C199">
        <v>8943694.1880957633</v>
      </c>
      <c r="D199">
        <v>9456978.5046407636</v>
      </c>
      <c r="E199">
        <v>5180.1801801800002</v>
      </c>
      <c r="F199">
        <v>193693.69369369399</v>
      </c>
      <c r="G199">
        <v>3</v>
      </c>
      <c r="K199">
        <v>3</v>
      </c>
      <c r="M199">
        <v>793693.69369369396</v>
      </c>
      <c r="N199">
        <v>18319819.819819819</v>
      </c>
      <c r="O199">
        <v>1314639.63963964</v>
      </c>
      <c r="P199">
        <v>1363117.1171171169</v>
      </c>
      <c r="Q199">
        <v>788288.28828828805</v>
      </c>
      <c r="R199">
        <v>18126126.126126129</v>
      </c>
      <c r="S199">
        <v>326</v>
      </c>
      <c r="T199">
        <v>296</v>
      </c>
    </row>
    <row r="200" spans="1:20">
      <c r="A200" s="7" t="s">
        <v>289</v>
      </c>
      <c r="B200" s="16" t="s">
        <v>290</v>
      </c>
      <c r="C200">
        <v>118610980.79995061</v>
      </c>
      <c r="D200">
        <v>118484139.77646311</v>
      </c>
      <c r="E200">
        <v>30630.630630631</v>
      </c>
      <c r="F200">
        <v>115315.31531531599</v>
      </c>
      <c r="G200">
        <v>45</v>
      </c>
      <c r="H200">
        <v>30</v>
      </c>
      <c r="K200">
        <v>54</v>
      </c>
      <c r="L200">
        <v>33</v>
      </c>
      <c r="M200">
        <v>1517117.1171171181</v>
      </c>
      <c r="N200">
        <v>621621.62162162201</v>
      </c>
      <c r="O200">
        <v>10624859.459459459</v>
      </c>
      <c r="P200">
        <v>10871794.594594596</v>
      </c>
      <c r="Q200">
        <v>1133963.963963965</v>
      </c>
      <c r="R200">
        <v>628468.46846846899</v>
      </c>
      <c r="S200">
        <v>3978</v>
      </c>
      <c r="T200">
        <v>4207</v>
      </c>
    </row>
    <row r="201" spans="1:20">
      <c r="A201" s="7" t="s">
        <v>291</v>
      </c>
      <c r="B201" s="16" t="s">
        <v>147</v>
      </c>
      <c r="C201">
        <v>275508310.92059219</v>
      </c>
      <c r="D201">
        <v>273585111.72695619</v>
      </c>
      <c r="E201">
        <v>116277202.7027027</v>
      </c>
      <c r="F201">
        <v>299346582.88288289</v>
      </c>
      <c r="G201">
        <v>46</v>
      </c>
      <c r="H201">
        <v>72</v>
      </c>
      <c r="I201">
        <v>1</v>
      </c>
      <c r="K201">
        <v>58</v>
      </c>
      <c r="L201">
        <v>84</v>
      </c>
      <c r="M201">
        <v>44895945.945945941</v>
      </c>
      <c r="N201">
        <v>108135461.26126127</v>
      </c>
      <c r="O201">
        <v>92041171.171171173</v>
      </c>
      <c r="P201">
        <v>110669486.48648648</v>
      </c>
      <c r="Q201">
        <v>35130180.180180177</v>
      </c>
      <c r="R201">
        <v>95375495.495495483</v>
      </c>
      <c r="S201">
        <v>7573</v>
      </c>
      <c r="T201">
        <v>9239</v>
      </c>
    </row>
    <row r="202" spans="1:20">
      <c r="A202" s="7" t="s">
        <v>292</v>
      </c>
      <c r="B202" s="16" t="s">
        <v>293</v>
      </c>
      <c r="C202">
        <v>141628618.36734846</v>
      </c>
      <c r="D202">
        <v>130764485.29080804</v>
      </c>
      <c r="E202">
        <v>63963.963963968003</v>
      </c>
      <c r="F202">
        <v>1327027.0270270279</v>
      </c>
      <c r="G202">
        <v>13</v>
      </c>
      <c r="H202">
        <v>10</v>
      </c>
      <c r="K202">
        <v>22</v>
      </c>
      <c r="L202">
        <v>14</v>
      </c>
      <c r="M202">
        <v>18391531.531531528</v>
      </c>
      <c r="N202">
        <v>23095225.225225225</v>
      </c>
      <c r="O202">
        <v>17177693.693693697</v>
      </c>
      <c r="P202">
        <v>17847603.603603605</v>
      </c>
      <c r="Q202">
        <v>18916576.576576572</v>
      </c>
      <c r="R202">
        <v>23765405.405405398</v>
      </c>
      <c r="S202">
        <v>3722</v>
      </c>
      <c r="T202">
        <v>3437</v>
      </c>
    </row>
    <row r="203" spans="1:20">
      <c r="A203" s="7" t="s">
        <v>294</v>
      </c>
      <c r="B203" s="16" t="s">
        <v>290</v>
      </c>
      <c r="C203">
        <v>40275180.360024437</v>
      </c>
      <c r="D203">
        <v>28076653.584432449</v>
      </c>
      <c r="E203">
        <v>433333.33333333302</v>
      </c>
      <c r="F203">
        <v>639639.63963963999</v>
      </c>
      <c r="G203">
        <v>19</v>
      </c>
      <c r="H203">
        <v>8</v>
      </c>
      <c r="K203">
        <v>20</v>
      </c>
      <c r="L203">
        <v>8</v>
      </c>
      <c r="M203">
        <v>1334234.2342342341</v>
      </c>
      <c r="N203">
        <v>2487387.387387387</v>
      </c>
      <c r="O203">
        <v>4462252.2522522518</v>
      </c>
      <c r="P203">
        <v>4122430.630630631</v>
      </c>
      <c r="Q203">
        <v>1406396.3963963969</v>
      </c>
      <c r="R203">
        <v>1802702.702702703</v>
      </c>
      <c r="S203">
        <v>1251</v>
      </c>
      <c r="T203">
        <v>1217</v>
      </c>
    </row>
    <row r="204" spans="1:20">
      <c r="A204" s="7" t="s">
        <v>295</v>
      </c>
      <c r="B204" s="16" t="s">
        <v>52</v>
      </c>
      <c r="C204">
        <v>383087746.2542389</v>
      </c>
      <c r="D204">
        <v>379916286.23881137</v>
      </c>
      <c r="E204">
        <v>4646570.2702702703</v>
      </c>
      <c r="F204">
        <v>3861261.2612612671</v>
      </c>
      <c r="G204">
        <v>73</v>
      </c>
      <c r="H204">
        <v>107</v>
      </c>
      <c r="K204">
        <v>94</v>
      </c>
      <c r="L204">
        <v>164</v>
      </c>
      <c r="M204">
        <v>271353386.48648649</v>
      </c>
      <c r="N204">
        <v>229663783.78378376</v>
      </c>
      <c r="O204">
        <v>99878288.288288295</v>
      </c>
      <c r="P204">
        <v>103094855.85585585</v>
      </c>
      <c r="Q204">
        <v>284631801.8018018</v>
      </c>
      <c r="R204">
        <v>232388648.64864865</v>
      </c>
      <c r="S204">
        <v>11779</v>
      </c>
      <c r="T204">
        <v>11528</v>
      </c>
    </row>
    <row r="205" spans="1:20">
      <c r="A205" s="7" t="s">
        <v>296</v>
      </c>
      <c r="B205" s="16" t="s">
        <v>169</v>
      </c>
      <c r="C205">
        <v>123076955.07122408</v>
      </c>
      <c r="D205">
        <v>106073007.78403483</v>
      </c>
      <c r="E205">
        <v>1801.801801802</v>
      </c>
      <c r="F205">
        <v>13513.513513514001</v>
      </c>
      <c r="G205">
        <v>16</v>
      </c>
      <c r="H205">
        <v>18</v>
      </c>
      <c r="I205">
        <v>1</v>
      </c>
      <c r="K205">
        <v>19</v>
      </c>
      <c r="L205">
        <v>23</v>
      </c>
      <c r="M205">
        <v>3920720.7207207209</v>
      </c>
      <c r="N205">
        <v>8436936.9369369373</v>
      </c>
      <c r="O205">
        <v>25565648.648648649</v>
      </c>
      <c r="P205">
        <v>25370531.531531531</v>
      </c>
      <c r="Q205">
        <v>4609279.2792792786</v>
      </c>
      <c r="R205">
        <v>7003423.4234234244</v>
      </c>
      <c r="S205">
        <v>4427</v>
      </c>
      <c r="T205">
        <v>4278</v>
      </c>
    </row>
    <row r="206" spans="1:20">
      <c r="A206" s="7" t="s">
        <v>297</v>
      </c>
      <c r="B206" s="16" t="s">
        <v>169</v>
      </c>
      <c r="C206">
        <v>110854379.77917223</v>
      </c>
      <c r="D206">
        <v>147876681.8860985</v>
      </c>
      <c r="E206">
        <v>900.900900901</v>
      </c>
      <c r="F206">
        <v>103603.603603604</v>
      </c>
      <c r="G206">
        <v>13</v>
      </c>
      <c r="H206">
        <v>25</v>
      </c>
      <c r="K206">
        <v>14</v>
      </c>
      <c r="L206">
        <v>43</v>
      </c>
      <c r="M206">
        <v>979289189.1891892</v>
      </c>
      <c r="N206">
        <v>1829015597.2972975</v>
      </c>
      <c r="O206">
        <v>39037603.603603601</v>
      </c>
      <c r="P206">
        <v>54544963.963963971</v>
      </c>
      <c r="Q206">
        <v>885935935.13513505</v>
      </c>
      <c r="R206">
        <v>1824391254.0540543</v>
      </c>
      <c r="S206">
        <v>2869</v>
      </c>
      <c r="T206">
        <v>2844</v>
      </c>
    </row>
    <row r="207" spans="1:20">
      <c r="A207" s="7" t="s">
        <v>298</v>
      </c>
      <c r="B207" s="16" t="s">
        <v>89</v>
      </c>
      <c r="C207">
        <v>446500502.49753654</v>
      </c>
      <c r="D207">
        <v>432187144.87808168</v>
      </c>
      <c r="E207">
        <v>1743558.5585585651</v>
      </c>
      <c r="F207">
        <v>2317904.5045045102</v>
      </c>
      <c r="G207">
        <v>72</v>
      </c>
      <c r="H207">
        <v>84</v>
      </c>
      <c r="I207">
        <v>2</v>
      </c>
      <c r="K207">
        <v>82</v>
      </c>
      <c r="L207">
        <v>144</v>
      </c>
      <c r="M207">
        <v>28514774.774774775</v>
      </c>
      <c r="N207">
        <v>22535252.252252251</v>
      </c>
      <c r="O207">
        <v>81807792.792792797</v>
      </c>
      <c r="P207">
        <v>85461072.072072059</v>
      </c>
      <c r="Q207">
        <v>27977837.837837841</v>
      </c>
      <c r="R207">
        <v>28407477.47747748</v>
      </c>
      <c r="S207">
        <v>11019</v>
      </c>
      <c r="T207">
        <v>10739</v>
      </c>
    </row>
    <row r="208" spans="1:20">
      <c r="A208" s="7" t="s">
        <v>299</v>
      </c>
      <c r="B208" s="16" t="s">
        <v>134</v>
      </c>
      <c r="C208">
        <v>219135171.74706468</v>
      </c>
      <c r="D208">
        <v>238775611.50557411</v>
      </c>
      <c r="E208">
        <v>1393918.918918923</v>
      </c>
      <c r="F208">
        <v>1736936.9369369389</v>
      </c>
      <c r="G208">
        <v>76</v>
      </c>
      <c r="H208">
        <v>58</v>
      </c>
      <c r="K208">
        <v>101</v>
      </c>
      <c r="L208">
        <v>78</v>
      </c>
      <c r="M208">
        <v>25656756.756756753</v>
      </c>
      <c r="N208">
        <v>16313513.513513513</v>
      </c>
      <c r="O208">
        <v>28991962.162162159</v>
      </c>
      <c r="P208">
        <v>29257414.414414417</v>
      </c>
      <c r="Q208">
        <v>20511484.684684683</v>
      </c>
      <c r="R208">
        <v>14803963.963963961</v>
      </c>
      <c r="S208">
        <v>6903</v>
      </c>
      <c r="T208">
        <v>6990</v>
      </c>
    </row>
    <row r="209" spans="1:20">
      <c r="A209" s="7" t="s">
        <v>300</v>
      </c>
      <c r="B209" s="16" t="s">
        <v>290</v>
      </c>
      <c r="C209">
        <v>178963361.29933071</v>
      </c>
      <c r="D209">
        <v>164115343.57260311</v>
      </c>
      <c r="E209">
        <v>19777927.927927926</v>
      </c>
      <c r="F209">
        <v>8767567.5675675683</v>
      </c>
      <c r="G209">
        <v>90</v>
      </c>
      <c r="H209">
        <v>58</v>
      </c>
      <c r="K209">
        <v>95</v>
      </c>
      <c r="L209">
        <v>66</v>
      </c>
      <c r="M209">
        <v>18572522.522522524</v>
      </c>
      <c r="N209">
        <v>12282882.882882884</v>
      </c>
      <c r="O209">
        <v>24276081.081081081</v>
      </c>
      <c r="P209">
        <v>22822471.171171173</v>
      </c>
      <c r="Q209">
        <v>16883243.243243244</v>
      </c>
      <c r="R209">
        <v>12040990.990990989</v>
      </c>
      <c r="S209">
        <v>4359</v>
      </c>
      <c r="T209">
        <v>4346</v>
      </c>
    </row>
    <row r="210" spans="1:20">
      <c r="A210" s="7" t="s">
        <v>301</v>
      </c>
      <c r="B210" s="16" t="s">
        <v>80</v>
      </c>
      <c r="C210">
        <v>259855466.80378407</v>
      </c>
      <c r="D210">
        <v>241283070.78806615</v>
      </c>
      <c r="E210">
        <v>1214864.8648648651</v>
      </c>
      <c r="F210">
        <v>3671846.8468468478</v>
      </c>
      <c r="G210">
        <v>69</v>
      </c>
      <c r="H210">
        <v>39</v>
      </c>
      <c r="K210">
        <v>74</v>
      </c>
      <c r="L210">
        <v>48</v>
      </c>
      <c r="M210">
        <v>23635765.765765768</v>
      </c>
      <c r="N210">
        <v>22174774.774774771</v>
      </c>
      <c r="O210">
        <v>57161716.216216214</v>
      </c>
      <c r="P210">
        <v>50452540.540540546</v>
      </c>
      <c r="Q210">
        <v>22790360.360360354</v>
      </c>
      <c r="R210">
        <v>20812702.702702701</v>
      </c>
      <c r="S210">
        <v>5767</v>
      </c>
      <c r="T210">
        <v>5675</v>
      </c>
    </row>
    <row r="211" spans="1:20">
      <c r="A211" s="7" t="s">
        <v>302</v>
      </c>
      <c r="B211" s="16" t="s">
        <v>72</v>
      </c>
      <c r="C211">
        <v>377851062.20925117</v>
      </c>
      <c r="D211">
        <v>371689264.09370196</v>
      </c>
      <c r="E211">
        <v>191891.891891893</v>
      </c>
      <c r="F211">
        <v>1227927.9279279299</v>
      </c>
      <c r="G211">
        <v>75</v>
      </c>
      <c r="H211">
        <v>98</v>
      </c>
      <c r="I211">
        <v>3</v>
      </c>
      <c r="K211">
        <v>81</v>
      </c>
      <c r="L211">
        <v>108</v>
      </c>
      <c r="M211">
        <v>28848108.108108107</v>
      </c>
      <c r="N211">
        <v>20454954.954954956</v>
      </c>
      <c r="O211">
        <v>51207198.198198199</v>
      </c>
      <c r="P211">
        <v>57028369.369369365</v>
      </c>
      <c r="Q211">
        <v>20931621.621621624</v>
      </c>
      <c r="R211">
        <v>19905585.585585583</v>
      </c>
      <c r="S211">
        <v>9071</v>
      </c>
      <c r="T211">
        <v>8989</v>
      </c>
    </row>
    <row r="212" spans="1:20">
      <c r="A212" s="7" t="s">
        <v>303</v>
      </c>
      <c r="B212" s="16" t="s">
        <v>304</v>
      </c>
      <c r="C212">
        <v>1294877.4442082411</v>
      </c>
      <c r="D212">
        <v>1322839.9069018089</v>
      </c>
      <c r="O212">
        <v>651576.57657657703</v>
      </c>
      <c r="P212">
        <v>560450.45045044995</v>
      </c>
      <c r="S212">
        <v>62</v>
      </c>
      <c r="T212">
        <v>67</v>
      </c>
    </row>
    <row r="213" spans="1:20">
      <c r="A213" s="7" t="s">
        <v>305</v>
      </c>
      <c r="B213" s="16" t="s">
        <v>117</v>
      </c>
      <c r="C213">
        <v>55458615.824868806</v>
      </c>
      <c r="D213">
        <v>48174859.508227885</v>
      </c>
      <c r="E213">
        <v>16216.216216217999</v>
      </c>
      <c r="F213">
        <v>308108.10810810601</v>
      </c>
      <c r="G213">
        <v>8</v>
      </c>
      <c r="H213">
        <v>6</v>
      </c>
      <c r="K213">
        <v>10</v>
      </c>
      <c r="L213">
        <v>6</v>
      </c>
      <c r="M213">
        <v>2134324.3243243229</v>
      </c>
      <c r="N213">
        <v>2049369.3693693669</v>
      </c>
      <c r="O213">
        <v>21537612.612612613</v>
      </c>
      <c r="P213">
        <v>20594369.369369369</v>
      </c>
      <c r="Q213">
        <v>2424414.4144144119</v>
      </c>
      <c r="R213">
        <v>2577747.7477477472</v>
      </c>
      <c r="S213">
        <v>1882</v>
      </c>
      <c r="T213">
        <v>1550</v>
      </c>
    </row>
    <row r="214" spans="1:20">
      <c r="A214" s="7" t="s">
        <v>306</v>
      </c>
      <c r="B214" s="16" t="s">
        <v>307</v>
      </c>
      <c r="C214">
        <v>61570669.718040884</v>
      </c>
      <c r="D214">
        <v>60648315.184014067</v>
      </c>
      <c r="E214">
        <v>43243.243243243996</v>
      </c>
      <c r="F214">
        <v>271171.17117117101</v>
      </c>
      <c r="G214">
        <v>27</v>
      </c>
      <c r="H214">
        <v>35</v>
      </c>
      <c r="K214">
        <v>32</v>
      </c>
      <c r="L214">
        <v>44</v>
      </c>
      <c r="M214">
        <v>913873.87387387303</v>
      </c>
      <c r="N214">
        <v>753153.15315315302</v>
      </c>
      <c r="O214">
        <v>30868288.288288288</v>
      </c>
      <c r="P214">
        <v>31762036.036036037</v>
      </c>
      <c r="Q214">
        <v>899099.09909909801</v>
      </c>
      <c r="R214">
        <v>662342.34234234295</v>
      </c>
      <c r="S214">
        <v>4490</v>
      </c>
      <c r="T214">
        <v>4761</v>
      </c>
    </row>
    <row r="215" spans="1:20">
      <c r="A215" s="7" t="s">
        <v>308</v>
      </c>
      <c r="B215" s="16" t="s">
        <v>140</v>
      </c>
      <c r="C215">
        <v>380066224.07337314</v>
      </c>
      <c r="D215">
        <v>390710366.32120687</v>
      </c>
      <c r="E215">
        <v>553513.513513515</v>
      </c>
      <c r="F215">
        <v>1358108.1081081161</v>
      </c>
      <c r="G215">
        <v>33</v>
      </c>
      <c r="H215">
        <v>65</v>
      </c>
      <c r="K215">
        <v>48</v>
      </c>
      <c r="L215">
        <v>78</v>
      </c>
      <c r="M215">
        <v>63989639.639639638</v>
      </c>
      <c r="N215">
        <v>74529279.279279277</v>
      </c>
      <c r="O215">
        <v>79421980.180180177</v>
      </c>
      <c r="P215">
        <v>86493324.324324325</v>
      </c>
      <c r="Q215">
        <v>38095315.315315314</v>
      </c>
      <c r="R215">
        <v>40455315.315315321</v>
      </c>
      <c r="S215">
        <v>8060</v>
      </c>
      <c r="T215">
        <v>8185</v>
      </c>
    </row>
    <row r="216" spans="1:20">
      <c r="A216" s="7" t="s">
        <v>309</v>
      </c>
      <c r="B216" s="16" t="s">
        <v>132</v>
      </c>
      <c r="C216">
        <v>453522676.50591904</v>
      </c>
      <c r="D216">
        <v>377754480.84003544</v>
      </c>
      <c r="E216">
        <v>9398198.1981981993</v>
      </c>
      <c r="F216">
        <v>22662162.162162162</v>
      </c>
      <c r="G216">
        <v>130</v>
      </c>
      <c r="H216">
        <v>113</v>
      </c>
      <c r="K216">
        <v>151</v>
      </c>
      <c r="L216">
        <v>141</v>
      </c>
      <c r="M216">
        <v>28996171.171171173</v>
      </c>
      <c r="N216">
        <v>19377702.702702705</v>
      </c>
      <c r="O216">
        <v>122980441.44144145</v>
      </c>
      <c r="P216">
        <v>101282045.04504506</v>
      </c>
      <c r="Q216">
        <v>21537072.072072074</v>
      </c>
      <c r="R216">
        <v>13264594.594594596</v>
      </c>
      <c r="S216">
        <v>12056</v>
      </c>
      <c r="T216">
        <v>12528</v>
      </c>
    </row>
    <row r="217" spans="1:20">
      <c r="A217" s="7" t="s">
        <v>310</v>
      </c>
      <c r="B217" s="16" t="s">
        <v>72</v>
      </c>
      <c r="C217">
        <v>661503917.4578048</v>
      </c>
      <c r="D217">
        <v>631929690.58568597</v>
      </c>
      <c r="E217">
        <v>1514729.7297297369</v>
      </c>
      <c r="F217">
        <v>5419144.1441441532</v>
      </c>
      <c r="G217">
        <v>155</v>
      </c>
      <c r="H217">
        <v>137</v>
      </c>
      <c r="K217">
        <v>183</v>
      </c>
      <c r="L217">
        <v>174</v>
      </c>
      <c r="M217">
        <v>89486846.846846849</v>
      </c>
      <c r="N217">
        <v>84899099.0990991</v>
      </c>
      <c r="O217">
        <v>155938547.74774775</v>
      </c>
      <c r="P217">
        <v>155842281.98198199</v>
      </c>
      <c r="Q217">
        <v>80576756.756756753</v>
      </c>
      <c r="R217">
        <v>79262342.342342332</v>
      </c>
      <c r="S217">
        <v>16907</v>
      </c>
      <c r="T217">
        <v>16752</v>
      </c>
    </row>
    <row r="218" spans="1:20">
      <c r="A218" s="7" t="s">
        <v>311</v>
      </c>
      <c r="B218" s="16" t="s">
        <v>62</v>
      </c>
      <c r="C218">
        <v>112612984.26823795</v>
      </c>
      <c r="D218">
        <v>109799280.23162524</v>
      </c>
      <c r="E218">
        <v>203603.60360360399</v>
      </c>
      <c r="F218">
        <v>575675.67567567795</v>
      </c>
      <c r="G218">
        <v>12</v>
      </c>
      <c r="H218">
        <v>15</v>
      </c>
      <c r="K218">
        <v>13</v>
      </c>
      <c r="L218">
        <v>16</v>
      </c>
      <c r="M218">
        <v>19470810.810810808</v>
      </c>
      <c r="N218">
        <v>21546306.306306306</v>
      </c>
      <c r="O218">
        <v>29845171.171171173</v>
      </c>
      <c r="P218">
        <v>30366558.558558561</v>
      </c>
      <c r="Q218">
        <v>17597837.837837838</v>
      </c>
      <c r="R218">
        <v>19190900.9009009</v>
      </c>
      <c r="S218">
        <v>1889</v>
      </c>
      <c r="T218">
        <v>2255</v>
      </c>
    </row>
    <row r="219" spans="1:20">
      <c r="A219" s="7" t="s">
        <v>312</v>
      </c>
      <c r="B219" s="16" t="s">
        <v>89</v>
      </c>
      <c r="C219">
        <v>36980359.977038115</v>
      </c>
      <c r="D219">
        <v>37446475.556417979</v>
      </c>
      <c r="E219">
        <v>36936.936936938</v>
      </c>
      <c r="F219">
        <v>500900.900900901</v>
      </c>
      <c r="G219">
        <v>8</v>
      </c>
      <c r="H219">
        <v>10</v>
      </c>
      <c r="K219">
        <v>9</v>
      </c>
      <c r="L219">
        <v>12</v>
      </c>
      <c r="M219">
        <v>2360360.3603603598</v>
      </c>
      <c r="N219">
        <v>4762342.3423423423</v>
      </c>
      <c r="O219">
        <v>10751576.576576576</v>
      </c>
      <c r="P219">
        <v>13267639.63963964</v>
      </c>
      <c r="Q219">
        <v>1845495.495495494</v>
      </c>
      <c r="R219">
        <v>4864234.2342342334</v>
      </c>
      <c r="S219">
        <v>1146</v>
      </c>
      <c r="T219">
        <v>1237</v>
      </c>
    </row>
    <row r="220" spans="1:20">
      <c r="A220" s="7" t="s">
        <v>313</v>
      </c>
      <c r="B220" s="16" t="s">
        <v>92</v>
      </c>
      <c r="C220">
        <v>17410007.813223924</v>
      </c>
      <c r="D220">
        <v>16706341.295565439</v>
      </c>
      <c r="E220">
        <v>40837736.936936937</v>
      </c>
      <c r="F220">
        <v>78348115.315315306</v>
      </c>
      <c r="G220">
        <v>4</v>
      </c>
      <c r="H220">
        <v>3</v>
      </c>
      <c r="K220">
        <v>4</v>
      </c>
      <c r="L220">
        <v>3</v>
      </c>
      <c r="M220">
        <v>5612612.6126126125</v>
      </c>
      <c r="N220">
        <v>9063063.0630630646</v>
      </c>
      <c r="O220">
        <v>1370360.36036036</v>
      </c>
      <c r="P220">
        <v>1231531.5315315321</v>
      </c>
      <c r="Q220">
        <v>27027.027027027001</v>
      </c>
      <c r="R220">
        <v>145045.045045045</v>
      </c>
      <c r="S220">
        <v>527</v>
      </c>
      <c r="T220">
        <v>803</v>
      </c>
    </row>
    <row r="221" spans="1:20">
      <c r="A221" s="7" t="s">
        <v>314</v>
      </c>
      <c r="B221" s="16" t="s">
        <v>315</v>
      </c>
      <c r="C221">
        <v>138810160.97580299</v>
      </c>
      <c r="D221">
        <v>127960021.62931512</v>
      </c>
      <c r="E221">
        <v>80646545.945945948</v>
      </c>
      <c r="F221">
        <v>81434467.567567572</v>
      </c>
      <c r="G221">
        <v>41</v>
      </c>
      <c r="H221">
        <v>24</v>
      </c>
      <c r="K221">
        <v>45</v>
      </c>
      <c r="L221">
        <v>29</v>
      </c>
      <c r="M221">
        <v>38743693.69369369</v>
      </c>
      <c r="N221">
        <v>18283783.783783782</v>
      </c>
      <c r="O221">
        <v>21706234.234234236</v>
      </c>
      <c r="P221">
        <v>19891711.711711712</v>
      </c>
      <c r="Q221">
        <v>5380090.0900900885</v>
      </c>
      <c r="R221">
        <v>15256666.666666666</v>
      </c>
      <c r="S221">
        <v>3486</v>
      </c>
      <c r="T221">
        <v>3427</v>
      </c>
    </row>
    <row r="222" spans="1:20">
      <c r="A222" s="7" t="s">
        <v>316</v>
      </c>
      <c r="B222" s="16" t="s">
        <v>62</v>
      </c>
      <c r="C222">
        <v>209829457.06626654</v>
      </c>
      <c r="D222">
        <v>217593575.89655817</v>
      </c>
      <c r="E222">
        <v>1036486.486486491</v>
      </c>
      <c r="F222">
        <v>3991891.8918918981</v>
      </c>
      <c r="G222">
        <v>69</v>
      </c>
      <c r="H222">
        <v>83</v>
      </c>
      <c r="K222">
        <v>97</v>
      </c>
      <c r="L222">
        <v>147</v>
      </c>
      <c r="M222">
        <v>14017657.657657659</v>
      </c>
      <c r="N222">
        <v>35477297.297297299</v>
      </c>
      <c r="O222">
        <v>74210171.171171173</v>
      </c>
      <c r="P222">
        <v>75709261.261261269</v>
      </c>
      <c r="Q222">
        <v>14326216.216216212</v>
      </c>
      <c r="R222">
        <v>34121351.351351351</v>
      </c>
      <c r="S222">
        <v>8728</v>
      </c>
      <c r="T222">
        <v>8752</v>
      </c>
    </row>
    <row r="223" spans="1:20">
      <c r="A223" s="7" t="s">
        <v>317</v>
      </c>
      <c r="B223" s="16" t="s">
        <v>62</v>
      </c>
      <c r="C223">
        <v>212221332.25815791</v>
      </c>
      <c r="D223">
        <v>200923674.01189759</v>
      </c>
      <c r="E223">
        <v>868918.91891892196</v>
      </c>
      <c r="F223">
        <v>1403603.6036036049</v>
      </c>
      <c r="G223">
        <v>85</v>
      </c>
      <c r="H223">
        <v>33</v>
      </c>
      <c r="K223">
        <v>110</v>
      </c>
      <c r="L223">
        <v>40</v>
      </c>
      <c r="M223">
        <v>20706216.216216218</v>
      </c>
      <c r="N223">
        <v>29151171.17117117</v>
      </c>
      <c r="O223">
        <v>69901576.576576576</v>
      </c>
      <c r="P223">
        <v>70487540.540540546</v>
      </c>
      <c r="Q223">
        <v>20203963.963963963</v>
      </c>
      <c r="R223">
        <v>25942882.882882878</v>
      </c>
      <c r="S223">
        <v>5771</v>
      </c>
      <c r="T223">
        <v>5370</v>
      </c>
    </row>
    <row r="224" spans="1:20">
      <c r="A224" s="7" t="s">
        <v>318</v>
      </c>
      <c r="B224" s="16" t="s">
        <v>78</v>
      </c>
      <c r="C224">
        <v>218879587.82427683</v>
      </c>
      <c r="D224">
        <v>208853539.39423284</v>
      </c>
      <c r="E224">
        <v>33070135.135135137</v>
      </c>
      <c r="F224">
        <v>66156756.75675676</v>
      </c>
      <c r="G224">
        <v>60</v>
      </c>
      <c r="H224">
        <v>74</v>
      </c>
      <c r="K224">
        <v>71</v>
      </c>
      <c r="L224">
        <v>111</v>
      </c>
      <c r="M224">
        <v>46725765.765765756</v>
      </c>
      <c r="N224">
        <v>46635135.135135137</v>
      </c>
      <c r="O224">
        <v>90102252.252252251</v>
      </c>
      <c r="P224">
        <v>92220653.153153151</v>
      </c>
      <c r="Q224">
        <v>46685855.855855852</v>
      </c>
      <c r="R224">
        <v>51762702.702702701</v>
      </c>
      <c r="S224">
        <v>8728</v>
      </c>
      <c r="T224">
        <v>8740</v>
      </c>
    </row>
    <row r="225" spans="1:20">
      <c r="A225" s="7" t="s">
        <v>319</v>
      </c>
      <c r="B225" s="16" t="s">
        <v>78</v>
      </c>
      <c r="C225">
        <v>130024017.58681336</v>
      </c>
      <c r="D225">
        <v>124034334.65332754</v>
      </c>
      <c r="E225">
        <v>2180360.3603603621</v>
      </c>
      <c r="F225">
        <v>1990990.9909909919</v>
      </c>
      <c r="G225">
        <v>21</v>
      </c>
      <c r="H225">
        <v>44</v>
      </c>
      <c r="I225">
        <v>1</v>
      </c>
      <c r="K225">
        <v>28</v>
      </c>
      <c r="L225">
        <v>86</v>
      </c>
      <c r="M225">
        <v>16166846.846846847</v>
      </c>
      <c r="N225">
        <v>10117117.117117116</v>
      </c>
      <c r="O225">
        <v>45405423.423423424</v>
      </c>
      <c r="P225">
        <v>47122945.945945941</v>
      </c>
      <c r="Q225">
        <v>14381531.531531531</v>
      </c>
      <c r="R225">
        <v>10049459.459459459</v>
      </c>
      <c r="S225">
        <v>5733</v>
      </c>
      <c r="T225">
        <v>5674</v>
      </c>
    </row>
    <row r="226" spans="1:20">
      <c r="A226" s="7" t="s">
        <v>320</v>
      </c>
      <c r="B226" s="16" t="s">
        <v>121</v>
      </c>
      <c r="C226">
        <v>962417.521426728</v>
      </c>
      <c r="D226">
        <v>913089.77169574995</v>
      </c>
      <c r="E226">
        <v>37553761.261261262</v>
      </c>
      <c r="F226">
        <v>37142908.108108111</v>
      </c>
      <c r="G226">
        <v>1</v>
      </c>
      <c r="K226">
        <v>3</v>
      </c>
      <c r="M226">
        <v>3180440.5405405411</v>
      </c>
      <c r="N226">
        <v>13364937.837837838</v>
      </c>
      <c r="O226">
        <v>281081.08108108101</v>
      </c>
      <c r="P226">
        <v>54819.819819819997</v>
      </c>
      <c r="S226">
        <v>59</v>
      </c>
      <c r="T226">
        <v>57</v>
      </c>
    </row>
    <row r="227" spans="1:20">
      <c r="A227" s="7" t="s">
        <v>321</v>
      </c>
      <c r="B227" s="16" t="s">
        <v>224</v>
      </c>
      <c r="C227">
        <v>166091731.77776995</v>
      </c>
      <c r="D227">
        <v>141283254.54015261</v>
      </c>
      <c r="E227">
        <v>1801.801801802</v>
      </c>
      <c r="F227">
        <v>28828.828828828999</v>
      </c>
      <c r="G227">
        <v>42</v>
      </c>
      <c r="H227">
        <v>30</v>
      </c>
      <c r="K227">
        <v>44</v>
      </c>
      <c r="L227">
        <v>41</v>
      </c>
      <c r="M227">
        <v>5096936.9369369363</v>
      </c>
      <c r="N227">
        <v>3640360.3603603588</v>
      </c>
      <c r="O227">
        <v>61079954.954954952</v>
      </c>
      <c r="P227">
        <v>57929800</v>
      </c>
      <c r="Q227">
        <v>4688378.3783783782</v>
      </c>
      <c r="R227">
        <v>4172612.6126126111</v>
      </c>
      <c r="S227">
        <v>3860</v>
      </c>
      <c r="T227">
        <v>3876</v>
      </c>
    </row>
    <row r="228" spans="1:20">
      <c r="A228" s="7" t="s">
        <v>322</v>
      </c>
      <c r="B228" s="16" t="s">
        <v>224</v>
      </c>
      <c r="C228">
        <v>118080654.42168655</v>
      </c>
      <c r="D228">
        <v>100548742.45641065</v>
      </c>
      <c r="E228">
        <v>105365540.54054055</v>
      </c>
      <c r="F228">
        <v>112698738.73873873</v>
      </c>
      <c r="G228">
        <v>14</v>
      </c>
      <c r="H228">
        <v>6</v>
      </c>
      <c r="K228">
        <v>15</v>
      </c>
      <c r="L228">
        <v>7</v>
      </c>
      <c r="M228">
        <v>17870540.540540539</v>
      </c>
      <c r="N228">
        <v>11842747.747747745</v>
      </c>
      <c r="O228">
        <v>32769819.819819819</v>
      </c>
      <c r="P228">
        <v>30479459.459459461</v>
      </c>
      <c r="Q228">
        <v>10183873.873873875</v>
      </c>
      <c r="R228">
        <v>6821351.3513513505</v>
      </c>
      <c r="S228">
        <v>2251</v>
      </c>
      <c r="T228">
        <v>2189</v>
      </c>
    </row>
    <row r="229" spans="1:20">
      <c r="A229" s="7" t="s">
        <v>667</v>
      </c>
      <c r="B229" s="16" t="s">
        <v>94</v>
      </c>
      <c r="T229">
        <v>7</v>
      </c>
    </row>
    <row r="230" spans="1:20">
      <c r="A230" s="7" t="s">
        <v>323</v>
      </c>
      <c r="B230" s="16" t="s">
        <v>78</v>
      </c>
      <c r="C230">
        <v>158223723.65139121</v>
      </c>
      <c r="D230">
        <v>157993102.90003705</v>
      </c>
      <c r="E230">
        <v>766216.21621621796</v>
      </c>
      <c r="F230">
        <v>855855.85585585795</v>
      </c>
      <c r="G230">
        <v>58</v>
      </c>
      <c r="H230">
        <v>93</v>
      </c>
      <c r="K230">
        <v>67</v>
      </c>
      <c r="L230">
        <v>130</v>
      </c>
      <c r="M230">
        <v>19158108.108108103</v>
      </c>
      <c r="N230">
        <v>17450450.45045045</v>
      </c>
      <c r="O230">
        <v>45410472.972972974</v>
      </c>
      <c r="P230">
        <v>47016432.432432435</v>
      </c>
      <c r="Q230">
        <v>15725855.855855856</v>
      </c>
      <c r="R230">
        <v>16292972.972972972</v>
      </c>
      <c r="S230">
        <v>4596</v>
      </c>
      <c r="T230">
        <v>4675</v>
      </c>
    </row>
    <row r="231" spans="1:20">
      <c r="A231" s="7" t="s">
        <v>324</v>
      </c>
      <c r="B231" s="16" t="s">
        <v>108</v>
      </c>
      <c r="C231">
        <v>744653896.01200795</v>
      </c>
      <c r="D231">
        <v>725318406.54092729</v>
      </c>
      <c r="E231">
        <v>1561564957.6576576</v>
      </c>
      <c r="F231">
        <v>1335764745.0450449</v>
      </c>
      <c r="G231">
        <v>173</v>
      </c>
      <c r="H231">
        <v>215</v>
      </c>
      <c r="I231">
        <v>1</v>
      </c>
      <c r="K231">
        <v>279</v>
      </c>
      <c r="L231">
        <v>334</v>
      </c>
      <c r="M231">
        <v>515883873.87387383</v>
      </c>
      <c r="N231">
        <v>535056756.75675672</v>
      </c>
      <c r="O231">
        <v>180167490.99099097</v>
      </c>
      <c r="P231">
        <v>186822225.22522521</v>
      </c>
      <c r="Q231">
        <v>68238198.198198199</v>
      </c>
      <c r="R231">
        <v>86380900.9009009</v>
      </c>
      <c r="S231">
        <v>21963</v>
      </c>
      <c r="T231">
        <v>22208</v>
      </c>
    </row>
    <row r="232" spans="1:20">
      <c r="A232" s="7" t="s">
        <v>325</v>
      </c>
      <c r="B232" s="16" t="s">
        <v>224</v>
      </c>
      <c r="C232">
        <v>171674692.56742951</v>
      </c>
      <c r="D232">
        <v>147974722.76245156</v>
      </c>
      <c r="E232">
        <v>541081.08108108002</v>
      </c>
      <c r="F232">
        <v>445945.94594594598</v>
      </c>
      <c r="G232">
        <v>43</v>
      </c>
      <c r="H232">
        <v>19</v>
      </c>
      <c r="K232">
        <v>47</v>
      </c>
      <c r="L232">
        <v>21</v>
      </c>
      <c r="M232">
        <v>12223963.963963963</v>
      </c>
      <c r="N232">
        <v>13151891.891891891</v>
      </c>
      <c r="O232">
        <v>32238936.936936937</v>
      </c>
      <c r="P232">
        <v>30692189.189189188</v>
      </c>
      <c r="Q232">
        <v>11990540.540540541</v>
      </c>
      <c r="R232">
        <v>12800630.630630629</v>
      </c>
      <c r="S232">
        <v>4274</v>
      </c>
      <c r="T232">
        <v>4153</v>
      </c>
    </row>
    <row r="233" spans="1:20">
      <c r="A233" s="7" t="s">
        <v>4</v>
      </c>
      <c r="B233" s="16" t="s">
        <v>158</v>
      </c>
      <c r="C233">
        <v>128240175.89649571</v>
      </c>
      <c r="D233">
        <v>127213322.07253473</v>
      </c>
      <c r="E233">
        <v>942342.34234234202</v>
      </c>
      <c r="F233">
        <v>1517117.117117119</v>
      </c>
      <c r="G233">
        <v>12</v>
      </c>
      <c r="H233">
        <v>9</v>
      </c>
      <c r="K233">
        <v>12</v>
      </c>
      <c r="L233">
        <v>12</v>
      </c>
      <c r="M233">
        <v>16071621.621621622</v>
      </c>
      <c r="N233">
        <v>25015315.315315317</v>
      </c>
      <c r="O233">
        <v>46199414.414414413</v>
      </c>
      <c r="P233">
        <v>44490405.40540541</v>
      </c>
      <c r="Q233">
        <v>22075945.945945945</v>
      </c>
      <c r="R233">
        <v>29412342.342342343</v>
      </c>
      <c r="S233">
        <v>3666</v>
      </c>
      <c r="T233">
        <v>3495</v>
      </c>
    </row>
    <row r="234" spans="1:20">
      <c r="A234" s="7" t="s">
        <v>34</v>
      </c>
      <c r="B234" s="16" t="s">
        <v>193</v>
      </c>
      <c r="E234">
        <v>39368693.693693697</v>
      </c>
      <c r="F234">
        <v>22612612.612612613</v>
      </c>
      <c r="M234">
        <v>2183108.1081081079</v>
      </c>
      <c r="N234">
        <v>473648.64864864899</v>
      </c>
    </row>
    <row r="235" spans="1:20">
      <c r="A235" s="7" t="s">
        <v>326</v>
      </c>
      <c r="B235" s="16" t="s">
        <v>108</v>
      </c>
      <c r="C235">
        <v>587387404.27716231</v>
      </c>
      <c r="D235">
        <v>592553182.69078183</v>
      </c>
      <c r="E235">
        <v>18854550.450450458</v>
      </c>
      <c r="F235">
        <v>6176801.8018018091</v>
      </c>
      <c r="G235">
        <v>232</v>
      </c>
      <c r="H235">
        <v>177</v>
      </c>
      <c r="K235">
        <v>414</v>
      </c>
      <c r="L235">
        <v>268</v>
      </c>
      <c r="M235">
        <v>549084225.22522521</v>
      </c>
      <c r="N235">
        <v>524364324.32432437</v>
      </c>
      <c r="O235">
        <v>171940630.63063061</v>
      </c>
      <c r="P235">
        <v>183931975.22522521</v>
      </c>
      <c r="Q235">
        <v>80984414.414414421</v>
      </c>
      <c r="R235">
        <v>77055225.225225225</v>
      </c>
      <c r="S235">
        <v>19862</v>
      </c>
      <c r="T235">
        <v>19590</v>
      </c>
    </row>
    <row r="236" spans="1:20">
      <c r="A236" s="7" t="s">
        <v>327</v>
      </c>
      <c r="B236" s="16" t="s">
        <v>78</v>
      </c>
      <c r="C236">
        <v>61282961.329067625</v>
      </c>
      <c r="D236">
        <v>62168536.394593045</v>
      </c>
      <c r="E236">
        <v>153153.15315315401</v>
      </c>
      <c r="F236">
        <v>467567.56756756903</v>
      </c>
      <c r="G236">
        <v>32</v>
      </c>
      <c r="H236">
        <v>24</v>
      </c>
      <c r="K236">
        <v>34</v>
      </c>
      <c r="L236">
        <v>26</v>
      </c>
      <c r="M236">
        <v>4504504.5045045037</v>
      </c>
      <c r="N236">
        <v>3981081.0810810821</v>
      </c>
      <c r="O236">
        <v>18347702.702702705</v>
      </c>
      <c r="P236">
        <v>21054324.324324325</v>
      </c>
      <c r="Q236">
        <v>4745855.8558558552</v>
      </c>
      <c r="R236">
        <v>5016936.9369369373</v>
      </c>
      <c r="S236">
        <v>1986</v>
      </c>
      <c r="T236">
        <v>1905</v>
      </c>
    </row>
    <row r="237" spans="1:20">
      <c r="A237" s="7" t="s">
        <v>328</v>
      </c>
      <c r="B237" s="16" t="s">
        <v>121</v>
      </c>
      <c r="C237">
        <v>173778255.62199304</v>
      </c>
      <c r="D237">
        <v>161912215.64327642</v>
      </c>
      <c r="E237">
        <v>451351.35135135101</v>
      </c>
      <c r="F237">
        <v>678153.15315315302</v>
      </c>
      <c r="G237">
        <v>61</v>
      </c>
      <c r="H237">
        <v>53</v>
      </c>
      <c r="K237">
        <v>72</v>
      </c>
      <c r="L237">
        <v>60</v>
      </c>
      <c r="M237">
        <v>9724324.3243243247</v>
      </c>
      <c r="N237">
        <v>11288288.288288288</v>
      </c>
      <c r="O237">
        <v>23818387.387387387</v>
      </c>
      <c r="P237">
        <v>24894531.531531531</v>
      </c>
      <c r="Q237">
        <v>7889369.3693693709</v>
      </c>
      <c r="R237">
        <v>9297297.2972972989</v>
      </c>
      <c r="S237">
        <v>4087</v>
      </c>
      <c r="T237">
        <v>3987</v>
      </c>
    </row>
    <row r="238" spans="1:20">
      <c r="A238" s="7" t="s">
        <v>329</v>
      </c>
      <c r="B238" s="16" t="s">
        <v>330</v>
      </c>
      <c r="C238">
        <v>403921545.36902928</v>
      </c>
      <c r="D238">
        <v>381403041.42916125</v>
      </c>
      <c r="E238">
        <v>2434009.0090090092</v>
      </c>
      <c r="F238">
        <v>4233558.558558559</v>
      </c>
      <c r="G238">
        <v>158</v>
      </c>
      <c r="H238">
        <v>156</v>
      </c>
      <c r="I238">
        <v>7</v>
      </c>
      <c r="K238">
        <v>200</v>
      </c>
      <c r="L238">
        <v>179</v>
      </c>
      <c r="M238">
        <v>21946396.396396395</v>
      </c>
      <c r="N238">
        <v>54500900.9009009</v>
      </c>
      <c r="O238">
        <v>85054990.990990996</v>
      </c>
      <c r="P238">
        <v>80034939.189189181</v>
      </c>
      <c r="Q238">
        <v>22944864.864864863</v>
      </c>
      <c r="R238">
        <v>51966756.75675676</v>
      </c>
      <c r="S238">
        <v>14228</v>
      </c>
      <c r="T238">
        <v>13505</v>
      </c>
    </row>
    <row r="239" spans="1:20">
      <c r="A239" s="7" t="s">
        <v>331</v>
      </c>
      <c r="B239" s="16" t="s">
        <v>290</v>
      </c>
      <c r="C239">
        <v>587627581.63708198</v>
      </c>
      <c r="D239">
        <v>567947421.37591791</v>
      </c>
      <c r="E239">
        <v>1162162.1621621649</v>
      </c>
      <c r="F239">
        <v>2913963.9639639691</v>
      </c>
      <c r="G239">
        <v>181</v>
      </c>
      <c r="H239">
        <v>187</v>
      </c>
      <c r="I239">
        <v>6</v>
      </c>
      <c r="K239">
        <v>216</v>
      </c>
      <c r="L239">
        <v>220</v>
      </c>
      <c r="M239">
        <v>53875675.675675683</v>
      </c>
      <c r="N239">
        <v>48227927.927927926</v>
      </c>
      <c r="O239">
        <v>108575360.36036037</v>
      </c>
      <c r="P239">
        <v>101941061.26126127</v>
      </c>
      <c r="Q239">
        <v>52180673.873873875</v>
      </c>
      <c r="R239">
        <v>47167207.20720721</v>
      </c>
      <c r="S239">
        <v>17050</v>
      </c>
      <c r="T239">
        <v>17001</v>
      </c>
    </row>
    <row r="240" spans="1:20">
      <c r="A240" s="7" t="s">
        <v>332</v>
      </c>
      <c r="B240" s="16" t="s">
        <v>290</v>
      </c>
      <c r="C240">
        <v>433204089.30264544</v>
      </c>
      <c r="D240">
        <v>431989510.09716916</v>
      </c>
      <c r="E240">
        <v>2743693.6936936988</v>
      </c>
      <c r="F240">
        <v>4391891.8918918986</v>
      </c>
      <c r="G240">
        <v>130</v>
      </c>
      <c r="H240">
        <v>109</v>
      </c>
      <c r="I240">
        <v>2</v>
      </c>
      <c r="K240">
        <v>150</v>
      </c>
      <c r="L240">
        <v>186</v>
      </c>
      <c r="M240">
        <v>53832882.882882886</v>
      </c>
      <c r="N240">
        <v>54149549.54954955</v>
      </c>
      <c r="O240">
        <v>108074990.990991</v>
      </c>
      <c r="P240">
        <v>115502288.2882883</v>
      </c>
      <c r="Q240">
        <v>55134054.054054059</v>
      </c>
      <c r="R240">
        <v>56653693.693693697</v>
      </c>
      <c r="S240">
        <v>14799</v>
      </c>
      <c r="T240">
        <v>14846</v>
      </c>
    </row>
    <row r="241" spans="1:20">
      <c r="A241" s="7" t="s">
        <v>333</v>
      </c>
      <c r="B241" s="16" t="s">
        <v>60</v>
      </c>
      <c r="C241">
        <v>59433014.888494857</v>
      </c>
      <c r="D241">
        <v>59316915.977221385</v>
      </c>
      <c r="E241">
        <v>1100675.675675676</v>
      </c>
      <c r="F241">
        <v>1659459.4594594601</v>
      </c>
      <c r="G241">
        <v>25</v>
      </c>
      <c r="H241">
        <v>65</v>
      </c>
      <c r="K241">
        <v>49</v>
      </c>
      <c r="L241">
        <v>103</v>
      </c>
      <c r="M241">
        <v>17683783.783783782</v>
      </c>
      <c r="N241">
        <v>20250450.45045045</v>
      </c>
      <c r="O241">
        <v>20410360.360360362</v>
      </c>
      <c r="P241">
        <v>21309666.666666664</v>
      </c>
      <c r="Q241">
        <v>16969369.369369369</v>
      </c>
      <c r="R241">
        <v>18713063.063063063</v>
      </c>
      <c r="S241">
        <v>2019</v>
      </c>
      <c r="T241">
        <v>1950</v>
      </c>
    </row>
    <row r="242" spans="1:20">
      <c r="A242" s="7" t="s">
        <v>334</v>
      </c>
      <c r="B242" s="16" t="s">
        <v>60</v>
      </c>
      <c r="C242">
        <v>8260141.8449193602</v>
      </c>
      <c r="D242">
        <v>12093942.267338628</v>
      </c>
      <c r="E242">
        <v>127027.027027028</v>
      </c>
      <c r="F242">
        <v>236936.93693693701</v>
      </c>
      <c r="G242">
        <v>4</v>
      </c>
      <c r="H242">
        <v>6</v>
      </c>
      <c r="K242">
        <v>5</v>
      </c>
      <c r="L242">
        <v>7</v>
      </c>
      <c r="M242">
        <v>840540.54054054001</v>
      </c>
      <c r="N242">
        <v>574324.32432432496</v>
      </c>
      <c r="O242">
        <v>5064504.5045045046</v>
      </c>
      <c r="P242">
        <v>6616711.7117117122</v>
      </c>
      <c r="Q242">
        <v>671171.17117117101</v>
      </c>
      <c r="R242">
        <v>790810.810810811</v>
      </c>
      <c r="S242">
        <v>880</v>
      </c>
      <c r="T242">
        <v>890</v>
      </c>
    </row>
    <row r="243" spans="1:20">
      <c r="A243" s="7" t="s">
        <v>335</v>
      </c>
      <c r="B243" s="16" t="s">
        <v>121</v>
      </c>
      <c r="C243">
        <v>58275.100712061998</v>
      </c>
      <c r="D243">
        <v>1371021.4462734279</v>
      </c>
      <c r="L243">
        <v>1</v>
      </c>
      <c r="O243">
        <v>34234.234234233998</v>
      </c>
      <c r="P243">
        <v>97747.747747747999</v>
      </c>
      <c r="T243">
        <v>148</v>
      </c>
    </row>
    <row r="244" spans="1:20">
      <c r="A244" s="7" t="s">
        <v>336</v>
      </c>
      <c r="B244" s="16" t="s">
        <v>121</v>
      </c>
      <c r="C244">
        <v>2226168.0458748182</v>
      </c>
      <c r="D244">
        <v>2154483.8032528721</v>
      </c>
      <c r="G244">
        <v>2</v>
      </c>
      <c r="H244">
        <v>1</v>
      </c>
      <c r="K244">
        <v>3</v>
      </c>
      <c r="L244">
        <v>1</v>
      </c>
      <c r="O244">
        <v>492612.61261261301</v>
      </c>
      <c r="P244">
        <v>429549.54954954999</v>
      </c>
      <c r="S244">
        <v>114</v>
      </c>
      <c r="T244">
        <v>167</v>
      </c>
    </row>
    <row r="245" spans="1:20">
      <c r="A245" s="7" t="s">
        <v>337</v>
      </c>
      <c r="B245" s="16" t="s">
        <v>121</v>
      </c>
      <c r="C245">
        <v>1815833.0800926529</v>
      </c>
      <c r="D245">
        <v>1697677.1753168311</v>
      </c>
      <c r="G245">
        <v>2</v>
      </c>
      <c r="K245">
        <v>2</v>
      </c>
      <c r="O245">
        <v>99774.774774774996</v>
      </c>
      <c r="P245">
        <v>14414.414414413999</v>
      </c>
      <c r="S245">
        <v>154</v>
      </c>
      <c r="T245">
        <v>142</v>
      </c>
    </row>
    <row r="246" spans="1:20">
      <c r="A246" s="7" t="s">
        <v>338</v>
      </c>
      <c r="B246" s="16" t="s">
        <v>140</v>
      </c>
      <c r="C246">
        <v>661770962.33431077</v>
      </c>
      <c r="D246">
        <v>649456018.86346865</v>
      </c>
      <c r="E246">
        <v>1055990.9909909959</v>
      </c>
      <c r="F246">
        <v>2404504.5045045121</v>
      </c>
      <c r="G246">
        <v>158</v>
      </c>
      <c r="H246">
        <v>179</v>
      </c>
      <c r="I246">
        <v>1</v>
      </c>
      <c r="K246">
        <v>177</v>
      </c>
      <c r="L246">
        <v>210</v>
      </c>
      <c r="M246">
        <v>69934152.252252251</v>
      </c>
      <c r="N246">
        <v>56549369.369369373</v>
      </c>
      <c r="O246">
        <v>126988592.7927928</v>
      </c>
      <c r="P246">
        <v>129972945.94594595</v>
      </c>
      <c r="Q246">
        <v>59143963.963963963</v>
      </c>
      <c r="R246">
        <v>53325855.855855852</v>
      </c>
      <c r="S246">
        <v>16220</v>
      </c>
      <c r="T246">
        <v>16186</v>
      </c>
    </row>
    <row r="247" spans="1:20">
      <c r="A247" s="7" t="s">
        <v>339</v>
      </c>
      <c r="B247" s="16" t="s">
        <v>121</v>
      </c>
      <c r="C247">
        <v>108714578.91541414</v>
      </c>
      <c r="D247">
        <v>101808045.39049378</v>
      </c>
      <c r="E247">
        <v>3603.603603604</v>
      </c>
      <c r="G247">
        <v>62</v>
      </c>
      <c r="H247">
        <v>29</v>
      </c>
      <c r="K247">
        <v>68</v>
      </c>
      <c r="L247">
        <v>34</v>
      </c>
      <c r="M247">
        <v>165765.765765766</v>
      </c>
      <c r="O247">
        <v>7352738.738738738</v>
      </c>
      <c r="P247">
        <v>7064972.9729729742</v>
      </c>
      <c r="Q247">
        <v>162162.16216216201</v>
      </c>
      <c r="S247">
        <v>2499</v>
      </c>
      <c r="T247">
        <v>2685</v>
      </c>
    </row>
    <row r="248" spans="1:20">
      <c r="A248" s="7" t="s">
        <v>340</v>
      </c>
      <c r="B248" s="16" t="s">
        <v>140</v>
      </c>
      <c r="C248">
        <v>331389096.95459133</v>
      </c>
      <c r="D248">
        <v>348561673.56049269</v>
      </c>
      <c r="E248">
        <v>626801.80180180096</v>
      </c>
      <c r="F248">
        <v>1732882.8828828849</v>
      </c>
      <c r="G248">
        <v>41</v>
      </c>
      <c r="H248">
        <v>70</v>
      </c>
      <c r="I248">
        <v>5</v>
      </c>
      <c r="K248">
        <v>75</v>
      </c>
      <c r="L248">
        <v>79</v>
      </c>
      <c r="M248">
        <v>56913063.063063063</v>
      </c>
      <c r="N248">
        <v>56836216.216216214</v>
      </c>
      <c r="O248">
        <v>91249612.612612605</v>
      </c>
      <c r="P248">
        <v>103620613.06306306</v>
      </c>
      <c r="Q248">
        <v>54354324.324324325</v>
      </c>
      <c r="R248">
        <v>55526036.036036037</v>
      </c>
      <c r="S248">
        <v>8580</v>
      </c>
      <c r="T248">
        <v>9006</v>
      </c>
    </row>
    <row r="249" spans="1:20">
      <c r="A249" s="7" t="s">
        <v>341</v>
      </c>
      <c r="B249" s="16" t="s">
        <v>134</v>
      </c>
      <c r="C249">
        <v>42963248.559987195</v>
      </c>
      <c r="D249">
        <v>37473499.38641616</v>
      </c>
      <c r="E249">
        <v>176530506.3063063</v>
      </c>
      <c r="F249">
        <v>187507927.92792794</v>
      </c>
      <c r="G249">
        <v>18</v>
      </c>
      <c r="H249">
        <v>8</v>
      </c>
      <c r="K249">
        <v>19</v>
      </c>
      <c r="L249">
        <v>9</v>
      </c>
      <c r="M249">
        <v>18609009.009009007</v>
      </c>
      <c r="N249">
        <v>37171171.171171166</v>
      </c>
      <c r="O249">
        <v>3915090.0900900899</v>
      </c>
      <c r="P249">
        <v>3624738.7387387389</v>
      </c>
      <c r="Q249">
        <v>1427837.8378378381</v>
      </c>
      <c r="R249">
        <v>1011531.531531531</v>
      </c>
      <c r="S249">
        <v>1355</v>
      </c>
      <c r="T249">
        <v>1295</v>
      </c>
    </row>
    <row r="250" spans="1:20">
      <c r="A250" s="7" t="s">
        <v>342</v>
      </c>
      <c r="B250" s="16" t="s">
        <v>121</v>
      </c>
      <c r="C250">
        <v>2014952.156083636</v>
      </c>
      <c r="D250">
        <v>1317092.551865024</v>
      </c>
      <c r="G250">
        <v>4</v>
      </c>
      <c r="H250">
        <v>5</v>
      </c>
      <c r="K250">
        <v>6</v>
      </c>
      <c r="L250">
        <v>10</v>
      </c>
      <c r="O250">
        <v>933738.73873873905</v>
      </c>
      <c r="P250">
        <v>638513.51351351396</v>
      </c>
      <c r="S250">
        <v>390</v>
      </c>
      <c r="T250">
        <v>385</v>
      </c>
    </row>
    <row r="251" spans="1:20">
      <c r="A251" s="7" t="s">
        <v>5</v>
      </c>
      <c r="B251" s="16" t="s">
        <v>158</v>
      </c>
      <c r="C251">
        <v>128609254.70106146</v>
      </c>
      <c r="D251">
        <v>131112192.1916094</v>
      </c>
      <c r="E251">
        <v>1783333.333333334</v>
      </c>
      <c r="F251">
        <v>462162.16216216201</v>
      </c>
      <c r="G251">
        <v>11</v>
      </c>
      <c r="H251">
        <v>17</v>
      </c>
      <c r="I251">
        <v>2</v>
      </c>
      <c r="K251">
        <v>12</v>
      </c>
      <c r="L251">
        <v>17</v>
      </c>
      <c r="M251">
        <v>8015045.0450450452</v>
      </c>
      <c r="N251">
        <v>9208108.1081081089</v>
      </c>
      <c r="O251">
        <v>56285450.45045045</v>
      </c>
      <c r="P251">
        <v>55623108.108108111</v>
      </c>
      <c r="Q251">
        <v>7182162.1621621624</v>
      </c>
      <c r="R251">
        <v>8852882.8828828819</v>
      </c>
      <c r="S251">
        <v>3117</v>
      </c>
      <c r="T251">
        <v>3019</v>
      </c>
    </row>
    <row r="252" spans="1:20">
      <c r="A252" s="7" t="s">
        <v>343</v>
      </c>
      <c r="B252" s="16" t="s">
        <v>304</v>
      </c>
      <c r="C252">
        <v>13458160.002942238</v>
      </c>
      <c r="D252">
        <v>14009173.476829585</v>
      </c>
      <c r="E252">
        <v>1801.801801802</v>
      </c>
      <c r="F252">
        <v>900900.90090090095</v>
      </c>
      <c r="G252">
        <v>20</v>
      </c>
      <c r="H252">
        <v>7</v>
      </c>
      <c r="K252">
        <v>24</v>
      </c>
      <c r="L252">
        <v>10</v>
      </c>
      <c r="M252">
        <v>452252.25225225202</v>
      </c>
      <c r="N252">
        <v>900900.90090090095</v>
      </c>
      <c r="O252">
        <v>3088108.1081081079</v>
      </c>
      <c r="P252">
        <v>2326315.315315315</v>
      </c>
      <c r="Q252">
        <v>328108.10810810799</v>
      </c>
      <c r="R252">
        <v>218018.01801801799</v>
      </c>
      <c r="S252">
        <v>553</v>
      </c>
      <c r="T252">
        <v>372</v>
      </c>
    </row>
    <row r="253" spans="1:20">
      <c r="A253" s="7" t="s">
        <v>344</v>
      </c>
      <c r="B253" s="16" t="s">
        <v>105</v>
      </c>
      <c r="C253">
        <v>275080113.4374907</v>
      </c>
      <c r="D253">
        <v>267078741.34124652</v>
      </c>
      <c r="E253">
        <v>239414.41441441499</v>
      </c>
      <c r="F253">
        <v>1399549.5495495501</v>
      </c>
      <c r="G253">
        <v>69</v>
      </c>
      <c r="H253">
        <v>44</v>
      </c>
      <c r="I253">
        <v>1</v>
      </c>
      <c r="K253">
        <v>73</v>
      </c>
      <c r="L253">
        <v>62</v>
      </c>
      <c r="M253">
        <v>34097117.117117114</v>
      </c>
      <c r="N253">
        <v>34588108.108108111</v>
      </c>
      <c r="O253">
        <v>67348774.774774775</v>
      </c>
      <c r="P253">
        <v>66003549.54954955</v>
      </c>
      <c r="Q253">
        <v>33053873.873873871</v>
      </c>
      <c r="R253">
        <v>34003423.423423424</v>
      </c>
      <c r="S253">
        <v>5882</v>
      </c>
      <c r="T253">
        <v>5952</v>
      </c>
    </row>
    <row r="254" spans="1:20">
      <c r="A254" s="7" t="s">
        <v>345</v>
      </c>
      <c r="B254" s="16" t="s">
        <v>87</v>
      </c>
      <c r="C254">
        <v>81808688.317352697</v>
      </c>
      <c r="D254">
        <v>80864108.896260038</v>
      </c>
      <c r="E254">
        <v>338738.73873873998</v>
      </c>
      <c r="F254">
        <v>594594.59459459502</v>
      </c>
      <c r="G254">
        <v>48</v>
      </c>
      <c r="H254">
        <v>32</v>
      </c>
      <c r="I254">
        <v>1</v>
      </c>
      <c r="K254">
        <v>52</v>
      </c>
      <c r="L254">
        <v>37</v>
      </c>
      <c r="M254">
        <v>19730630.630630631</v>
      </c>
      <c r="N254">
        <v>20581081.081081081</v>
      </c>
      <c r="O254">
        <v>18871689.189189192</v>
      </c>
      <c r="P254">
        <v>20356732.432432432</v>
      </c>
      <c r="Q254">
        <v>12859639.63963964</v>
      </c>
      <c r="R254">
        <v>15734727.927927928</v>
      </c>
      <c r="S254">
        <v>2236</v>
      </c>
      <c r="T254">
        <v>2280</v>
      </c>
    </row>
    <row r="255" spans="1:20">
      <c r="A255" s="7" t="s">
        <v>346</v>
      </c>
      <c r="B255" s="16" t="s">
        <v>87</v>
      </c>
      <c r="C255">
        <v>255831504.00550795</v>
      </c>
      <c r="D255">
        <v>223357923.03360221</v>
      </c>
      <c r="E255">
        <v>637162.16216216399</v>
      </c>
      <c r="F255">
        <v>2710810.8108108132</v>
      </c>
      <c r="G255">
        <v>192</v>
      </c>
      <c r="H255">
        <v>136</v>
      </c>
      <c r="I255">
        <v>1</v>
      </c>
      <c r="K255">
        <v>221</v>
      </c>
      <c r="L255">
        <v>165</v>
      </c>
      <c r="M255">
        <v>21250450.45045045</v>
      </c>
      <c r="N255">
        <v>21939639.639639638</v>
      </c>
      <c r="O255">
        <v>39912463.963963963</v>
      </c>
      <c r="P255">
        <v>38158574.774774775</v>
      </c>
      <c r="Q255">
        <v>17157387.387387391</v>
      </c>
      <c r="R255">
        <v>17002792.792792793</v>
      </c>
      <c r="S255">
        <v>6835</v>
      </c>
      <c r="T255">
        <v>6152</v>
      </c>
    </row>
    <row r="256" spans="1:20">
      <c r="A256" s="7" t="s">
        <v>347</v>
      </c>
      <c r="B256" s="16" t="s">
        <v>87</v>
      </c>
      <c r="C256">
        <v>6091393.0356102698</v>
      </c>
      <c r="D256">
        <v>6952167.6934833042</v>
      </c>
      <c r="G256">
        <v>3</v>
      </c>
      <c r="H256">
        <v>18</v>
      </c>
      <c r="K256">
        <v>7</v>
      </c>
      <c r="L256">
        <v>19</v>
      </c>
      <c r="O256">
        <v>3220450.4504504502</v>
      </c>
      <c r="P256">
        <v>2572423.423423423</v>
      </c>
      <c r="S256">
        <v>710</v>
      </c>
      <c r="T256">
        <v>824</v>
      </c>
    </row>
    <row r="257" spans="1:20">
      <c r="A257" s="7" t="s">
        <v>348</v>
      </c>
      <c r="B257" s="16" t="s">
        <v>87</v>
      </c>
      <c r="C257">
        <v>2714679.744865159</v>
      </c>
      <c r="D257">
        <v>3124285.8268789249</v>
      </c>
      <c r="G257">
        <v>1</v>
      </c>
      <c r="H257">
        <v>1</v>
      </c>
      <c r="K257">
        <v>1</v>
      </c>
      <c r="L257">
        <v>1</v>
      </c>
      <c r="O257">
        <v>518873.87387387297</v>
      </c>
      <c r="P257">
        <v>1205630.630630631</v>
      </c>
      <c r="S257">
        <v>383</v>
      </c>
      <c r="T257">
        <v>213</v>
      </c>
    </row>
    <row r="258" spans="1:20">
      <c r="A258" s="7" t="s">
        <v>349</v>
      </c>
      <c r="B258" s="16" t="s">
        <v>87</v>
      </c>
      <c r="C258">
        <v>2657050.8700223598</v>
      </c>
      <c r="D258">
        <v>2677322.137544313</v>
      </c>
      <c r="F258">
        <v>3603603.6036036038</v>
      </c>
      <c r="G258">
        <v>1</v>
      </c>
      <c r="H258">
        <v>5</v>
      </c>
      <c r="K258">
        <v>2</v>
      </c>
      <c r="L258">
        <v>9</v>
      </c>
      <c r="M258">
        <v>148648.64864864899</v>
      </c>
      <c r="O258">
        <v>1063828.8288288279</v>
      </c>
      <c r="P258">
        <v>1498612.612612613</v>
      </c>
      <c r="S258">
        <v>679</v>
      </c>
      <c r="T258">
        <v>650</v>
      </c>
    </row>
    <row r="259" spans="1:20">
      <c r="A259" s="7" t="s">
        <v>350</v>
      </c>
      <c r="B259" s="16" t="s">
        <v>87</v>
      </c>
      <c r="C259">
        <v>67156064.578660741</v>
      </c>
      <c r="D259">
        <v>73349739.567070171</v>
      </c>
      <c r="E259">
        <v>9009.0090090100002</v>
      </c>
      <c r="F259">
        <v>101801.801801803</v>
      </c>
      <c r="G259">
        <v>46</v>
      </c>
      <c r="H259">
        <v>35</v>
      </c>
      <c r="K259">
        <v>54</v>
      </c>
      <c r="L259">
        <v>40</v>
      </c>
      <c r="M259">
        <v>6775675.6756756771</v>
      </c>
      <c r="N259">
        <v>4556756.7567567592</v>
      </c>
      <c r="O259">
        <v>12912657.657657661</v>
      </c>
      <c r="P259">
        <v>14605090.09009009</v>
      </c>
      <c r="Q259">
        <v>4649369.369369369</v>
      </c>
      <c r="R259">
        <v>4805135.1351351338</v>
      </c>
      <c r="S259">
        <v>1960</v>
      </c>
      <c r="T259">
        <v>2002</v>
      </c>
    </row>
    <row r="260" spans="1:20">
      <c r="A260" s="7" t="s">
        <v>351</v>
      </c>
      <c r="B260" s="16" t="s">
        <v>50</v>
      </c>
      <c r="C260">
        <v>186336051.8890771</v>
      </c>
      <c r="D260">
        <v>198865737.69579539</v>
      </c>
      <c r="E260">
        <v>397747.747747752</v>
      </c>
      <c r="F260">
        <v>2381081.0810810849</v>
      </c>
      <c r="G260">
        <v>23</v>
      </c>
      <c r="H260">
        <v>55</v>
      </c>
      <c r="K260">
        <v>30</v>
      </c>
      <c r="L260">
        <v>63</v>
      </c>
      <c r="M260">
        <v>32062612.612612613</v>
      </c>
      <c r="N260">
        <v>23898738.738738742</v>
      </c>
      <c r="O260">
        <v>73920045.045045033</v>
      </c>
      <c r="P260">
        <v>77477563.063063055</v>
      </c>
      <c r="Q260">
        <v>30238558.558558561</v>
      </c>
      <c r="R260">
        <v>22706036.036036037</v>
      </c>
      <c r="S260">
        <v>5491</v>
      </c>
      <c r="T260">
        <v>5483</v>
      </c>
    </row>
    <row r="261" spans="1:20">
      <c r="A261" s="7" t="s">
        <v>352</v>
      </c>
      <c r="B261" s="16" t="s">
        <v>123</v>
      </c>
      <c r="C261">
        <v>1134678.743267711</v>
      </c>
      <c r="D261">
        <v>1216525.6656662261</v>
      </c>
      <c r="H261">
        <v>1</v>
      </c>
      <c r="K261">
        <v>1</v>
      </c>
      <c r="L261">
        <v>1</v>
      </c>
      <c r="O261">
        <v>418288.28828828799</v>
      </c>
      <c r="P261">
        <v>543333.33333333302</v>
      </c>
      <c r="S261">
        <v>106</v>
      </c>
      <c r="T261">
        <v>105</v>
      </c>
    </row>
    <row r="262" spans="1:20">
      <c r="A262" s="7" t="s">
        <v>353</v>
      </c>
      <c r="B262" s="16" t="s">
        <v>354</v>
      </c>
      <c r="C262">
        <v>363104963.63833046</v>
      </c>
      <c r="D262">
        <v>341846808.73713022</v>
      </c>
      <c r="E262">
        <v>2323423.423423423</v>
      </c>
      <c r="F262">
        <v>7746846.8468468478</v>
      </c>
      <c r="G262">
        <v>151</v>
      </c>
      <c r="H262">
        <v>300</v>
      </c>
      <c r="K262">
        <v>231</v>
      </c>
      <c r="L262">
        <v>483</v>
      </c>
      <c r="M262">
        <v>161729819.81981981</v>
      </c>
      <c r="N262">
        <v>228892702.7027027</v>
      </c>
      <c r="O262">
        <v>208823286.48648649</v>
      </c>
      <c r="P262">
        <v>203081837.83783782</v>
      </c>
      <c r="Q262">
        <v>147051981.98198199</v>
      </c>
      <c r="R262">
        <v>235396666.66666666</v>
      </c>
      <c r="S262">
        <v>9991</v>
      </c>
      <c r="T262">
        <v>9785</v>
      </c>
    </row>
    <row r="263" spans="1:20">
      <c r="A263" s="7" t="s">
        <v>355</v>
      </c>
      <c r="B263" s="16" t="s">
        <v>48</v>
      </c>
      <c r="C263">
        <v>234400196.55255008</v>
      </c>
      <c r="D263">
        <v>232175233.95230001</v>
      </c>
      <c r="E263">
        <v>9224324.3243243266</v>
      </c>
      <c r="F263">
        <v>58220720.720720723</v>
      </c>
      <c r="G263">
        <v>55</v>
      </c>
      <c r="H263">
        <v>17</v>
      </c>
      <c r="K263">
        <v>59</v>
      </c>
      <c r="L263">
        <v>21</v>
      </c>
      <c r="M263">
        <v>6159639.6396396384</v>
      </c>
      <c r="N263">
        <v>1200900.9009009011</v>
      </c>
      <c r="O263">
        <v>17106198.198198199</v>
      </c>
      <c r="P263">
        <v>17192450.45045045</v>
      </c>
      <c r="Q263">
        <v>927567.56756756501</v>
      </c>
      <c r="R263">
        <v>377027.02702702698</v>
      </c>
      <c r="S263">
        <v>5666</v>
      </c>
      <c r="T263">
        <v>5657</v>
      </c>
    </row>
    <row r="264" spans="1:20">
      <c r="A264" s="7" t="s">
        <v>356</v>
      </c>
      <c r="B264" s="16" t="s">
        <v>123</v>
      </c>
      <c r="C264">
        <v>266324790.21050191</v>
      </c>
      <c r="D264">
        <v>246374764.64736938</v>
      </c>
      <c r="E264">
        <v>65765.765765766002</v>
      </c>
      <c r="F264">
        <v>112612.612612614</v>
      </c>
      <c r="G264">
        <v>62</v>
      </c>
      <c r="H264">
        <v>46</v>
      </c>
      <c r="K264">
        <v>66</v>
      </c>
      <c r="L264">
        <v>48</v>
      </c>
      <c r="M264">
        <v>8263603.6036036033</v>
      </c>
      <c r="N264">
        <v>11840450.450450452</v>
      </c>
      <c r="O264">
        <v>58430169.369369365</v>
      </c>
      <c r="P264">
        <v>55308554.054054059</v>
      </c>
      <c r="Q264">
        <v>8210180.1801801799</v>
      </c>
      <c r="R264">
        <v>10735495.495495496</v>
      </c>
      <c r="S264">
        <v>5862</v>
      </c>
      <c r="T264">
        <v>5515</v>
      </c>
    </row>
    <row r="265" spans="1:20">
      <c r="A265" s="7" t="s">
        <v>357</v>
      </c>
      <c r="B265" s="16" t="s">
        <v>62</v>
      </c>
      <c r="C265">
        <v>144364968.25572994</v>
      </c>
      <c r="D265">
        <v>140567736.92363307</v>
      </c>
      <c r="E265">
        <v>72456981.981981978</v>
      </c>
      <c r="F265">
        <v>101607207.20720722</v>
      </c>
      <c r="G265">
        <v>26</v>
      </c>
      <c r="H265">
        <v>12</v>
      </c>
      <c r="K265">
        <v>31</v>
      </c>
      <c r="L265">
        <v>15</v>
      </c>
      <c r="M265">
        <v>12523513.513513515</v>
      </c>
      <c r="N265">
        <v>24961081.081081081</v>
      </c>
      <c r="O265">
        <v>37861531.531531535</v>
      </c>
      <c r="P265">
        <v>39892369.369369365</v>
      </c>
      <c r="Q265">
        <v>13122432.432432435</v>
      </c>
      <c r="R265">
        <v>23912972.97297297</v>
      </c>
      <c r="S265">
        <v>3892</v>
      </c>
      <c r="T265">
        <v>3798</v>
      </c>
    </row>
    <row r="266" spans="1:20">
      <c r="A266" s="7" t="s">
        <v>358</v>
      </c>
      <c r="B266" s="16" t="s">
        <v>315</v>
      </c>
      <c r="C266">
        <v>6278968.8816174464</v>
      </c>
      <c r="D266">
        <v>5660904.4928219477</v>
      </c>
      <c r="G266">
        <v>13</v>
      </c>
      <c r="H266">
        <v>10</v>
      </c>
      <c r="K266">
        <v>13</v>
      </c>
      <c r="L266">
        <v>11</v>
      </c>
      <c r="O266">
        <v>3757567.5675675669</v>
      </c>
      <c r="P266">
        <v>2291846.8468468469</v>
      </c>
      <c r="S266">
        <v>606</v>
      </c>
      <c r="T266">
        <v>599</v>
      </c>
    </row>
    <row r="267" spans="1:20">
      <c r="A267" s="7" t="s">
        <v>359</v>
      </c>
      <c r="B267" s="16" t="s">
        <v>315</v>
      </c>
      <c r="C267">
        <v>165906896.83294553</v>
      </c>
      <c r="D267">
        <v>138971211.34758005</v>
      </c>
      <c r="E267">
        <v>81081.081081081007</v>
      </c>
      <c r="F267">
        <v>994594.59459459595</v>
      </c>
      <c r="G267">
        <v>42</v>
      </c>
      <c r="H267">
        <v>35</v>
      </c>
      <c r="K267">
        <v>44</v>
      </c>
      <c r="L267">
        <v>43</v>
      </c>
      <c r="M267">
        <v>34990630.630630635</v>
      </c>
      <c r="N267">
        <v>20085405.40540541</v>
      </c>
      <c r="O267">
        <v>60014234.234234229</v>
      </c>
      <c r="P267">
        <v>51932423.423423424</v>
      </c>
      <c r="Q267">
        <v>34986036.036036037</v>
      </c>
      <c r="R267">
        <v>20563423.423423424</v>
      </c>
      <c r="S267">
        <v>3142</v>
      </c>
      <c r="T267">
        <v>3089</v>
      </c>
    </row>
    <row r="268" spans="1:20">
      <c r="A268" s="7" t="s">
        <v>360</v>
      </c>
      <c r="B268" s="16" t="s">
        <v>92</v>
      </c>
      <c r="C268">
        <v>264654701.3352879</v>
      </c>
      <c r="D268">
        <v>258278187.29143316</v>
      </c>
      <c r="E268">
        <v>11645990.990990993</v>
      </c>
      <c r="F268">
        <v>34681081.081081077</v>
      </c>
      <c r="G268">
        <v>86</v>
      </c>
      <c r="H268">
        <v>155</v>
      </c>
      <c r="K268">
        <v>128</v>
      </c>
      <c r="L268">
        <v>203</v>
      </c>
      <c r="M268">
        <v>40540180.180180185</v>
      </c>
      <c r="N268">
        <v>50300000</v>
      </c>
      <c r="O268">
        <v>77420126.126126125</v>
      </c>
      <c r="P268">
        <v>79442935.135135129</v>
      </c>
      <c r="Q268">
        <v>29179549.549549554</v>
      </c>
      <c r="R268">
        <v>47213736.936936937</v>
      </c>
      <c r="S268">
        <v>6835</v>
      </c>
      <c r="T268">
        <v>6813</v>
      </c>
    </row>
    <row r="269" spans="1:20">
      <c r="A269" s="7" t="s">
        <v>361</v>
      </c>
      <c r="B269" s="16" t="s">
        <v>58</v>
      </c>
      <c r="C269">
        <v>539239746.05375588</v>
      </c>
      <c r="D269">
        <v>507117983.66132343</v>
      </c>
      <c r="E269">
        <v>2297297.2972972989</v>
      </c>
      <c r="F269">
        <v>1365765.765765768</v>
      </c>
      <c r="G269">
        <v>77</v>
      </c>
      <c r="H269">
        <v>93</v>
      </c>
      <c r="K269">
        <v>85</v>
      </c>
      <c r="L269">
        <v>104</v>
      </c>
      <c r="M269">
        <v>31686486.486486487</v>
      </c>
      <c r="N269">
        <v>20776576.576576579</v>
      </c>
      <c r="O269">
        <v>81045306.306306303</v>
      </c>
      <c r="P269">
        <v>80016445.945945948</v>
      </c>
      <c r="Q269">
        <v>21442522.522522528</v>
      </c>
      <c r="R269">
        <v>20212162.162162159</v>
      </c>
      <c r="S269">
        <v>12958</v>
      </c>
      <c r="T269">
        <v>14318</v>
      </c>
    </row>
    <row r="270" spans="1:20">
      <c r="A270" s="7" t="s">
        <v>673</v>
      </c>
      <c r="B270" s="16" t="s">
        <v>143</v>
      </c>
      <c r="F270">
        <v>36846846.846846849</v>
      </c>
      <c r="M270">
        <v>508558.55855855899</v>
      </c>
      <c r="N270">
        <v>756756.75675675704</v>
      </c>
    </row>
    <row r="271" spans="1:20">
      <c r="A271" s="7" t="s">
        <v>362</v>
      </c>
      <c r="B271" s="16" t="s">
        <v>48</v>
      </c>
      <c r="C271">
        <v>188845135.98185971</v>
      </c>
      <c r="D271">
        <v>180637116.35725757</v>
      </c>
      <c r="E271">
        <v>219819.81981982</v>
      </c>
      <c r="F271">
        <v>161261.26126126101</v>
      </c>
      <c r="G271">
        <v>8</v>
      </c>
      <c r="H271">
        <v>9</v>
      </c>
      <c r="K271">
        <v>12</v>
      </c>
      <c r="L271">
        <v>26</v>
      </c>
      <c r="M271">
        <v>11976576.576576576</v>
      </c>
      <c r="N271">
        <v>27601081.081081081</v>
      </c>
      <c r="O271">
        <v>31964135.135135137</v>
      </c>
      <c r="P271">
        <v>30178324.324324325</v>
      </c>
      <c r="Q271">
        <v>13844324.324324325</v>
      </c>
      <c r="R271">
        <v>26402162.162162159</v>
      </c>
      <c r="S271">
        <v>3954</v>
      </c>
      <c r="T271">
        <v>3766</v>
      </c>
    </row>
    <row r="272" spans="1:20">
      <c r="A272" s="7" t="s">
        <v>363</v>
      </c>
      <c r="B272" s="16" t="s">
        <v>52</v>
      </c>
      <c r="C272">
        <v>73519574.996017143</v>
      </c>
      <c r="D272">
        <v>76604613.301248118</v>
      </c>
      <c r="E272">
        <v>360000.00000000099</v>
      </c>
      <c r="F272">
        <v>177477.47747747699</v>
      </c>
      <c r="G272">
        <v>9</v>
      </c>
      <c r="H272">
        <v>53</v>
      </c>
      <c r="K272">
        <v>10</v>
      </c>
      <c r="L272">
        <v>60</v>
      </c>
      <c r="M272">
        <v>6485675.6756756734</v>
      </c>
      <c r="N272">
        <v>1051351.3513513519</v>
      </c>
      <c r="O272">
        <v>35701351.351351351</v>
      </c>
      <c r="P272">
        <v>37110000</v>
      </c>
      <c r="Q272">
        <v>5853693.6936936909</v>
      </c>
      <c r="R272">
        <v>1281801.801801801</v>
      </c>
      <c r="S272">
        <v>2322</v>
      </c>
      <c r="T272">
        <v>2345</v>
      </c>
    </row>
    <row r="273" spans="1:20">
      <c r="A273" s="7" t="s">
        <v>364</v>
      </c>
      <c r="B273" s="16" t="s">
        <v>52</v>
      </c>
      <c r="C273">
        <v>59618882.507061996</v>
      </c>
      <c r="D273">
        <v>59148249.092455</v>
      </c>
      <c r="E273">
        <v>38695270.270270273</v>
      </c>
      <c r="F273">
        <v>161905405.4054054</v>
      </c>
      <c r="G273">
        <v>44</v>
      </c>
      <c r="H273">
        <v>68</v>
      </c>
      <c r="K273">
        <v>83</v>
      </c>
      <c r="L273">
        <v>163</v>
      </c>
      <c r="M273">
        <v>11477927.927927928</v>
      </c>
      <c r="N273">
        <v>5904504.5045045074</v>
      </c>
      <c r="O273">
        <v>32850162.162162159</v>
      </c>
      <c r="P273">
        <v>32709540.540540539</v>
      </c>
      <c r="Q273">
        <v>9469729.7297297288</v>
      </c>
      <c r="R273">
        <v>10399549.54954955</v>
      </c>
      <c r="S273">
        <v>2414</v>
      </c>
      <c r="T273">
        <v>2422</v>
      </c>
    </row>
    <row r="274" spans="1:20">
      <c r="A274" s="7" t="s">
        <v>365</v>
      </c>
      <c r="B274" s="16" t="s">
        <v>52</v>
      </c>
      <c r="C274">
        <v>635941833.34429467</v>
      </c>
      <c r="D274">
        <v>670684536.90444958</v>
      </c>
      <c r="E274">
        <v>171668164.86486486</v>
      </c>
      <c r="F274">
        <v>163228598.1981982</v>
      </c>
      <c r="G274">
        <v>152</v>
      </c>
      <c r="H274">
        <v>251</v>
      </c>
      <c r="K274">
        <v>193</v>
      </c>
      <c r="L274">
        <v>421</v>
      </c>
      <c r="M274">
        <v>50939369.369369358</v>
      </c>
      <c r="N274">
        <v>33050450.450450458</v>
      </c>
      <c r="O274">
        <v>225683896.3963964</v>
      </c>
      <c r="P274">
        <v>244716458.55855855</v>
      </c>
      <c r="Q274">
        <v>47110540.540540539</v>
      </c>
      <c r="R274">
        <v>55918288.288288288</v>
      </c>
      <c r="S274">
        <v>20666</v>
      </c>
      <c r="T274">
        <v>20489</v>
      </c>
    </row>
    <row r="275" spans="1:20">
      <c r="A275" s="7" t="s">
        <v>366</v>
      </c>
      <c r="B275" s="16" t="s">
        <v>293</v>
      </c>
      <c r="C275">
        <v>419406704.35747975</v>
      </c>
      <c r="D275">
        <v>379474580.91816759</v>
      </c>
      <c r="E275">
        <v>67853135.135135144</v>
      </c>
      <c r="F275">
        <v>98089463.063063055</v>
      </c>
      <c r="G275">
        <v>88</v>
      </c>
      <c r="H275">
        <v>126</v>
      </c>
      <c r="I275">
        <v>2</v>
      </c>
      <c r="K275">
        <v>113</v>
      </c>
      <c r="L275">
        <v>205</v>
      </c>
      <c r="M275">
        <v>48410990.990990981</v>
      </c>
      <c r="N275">
        <v>43947837.83783783</v>
      </c>
      <c r="O275">
        <v>129782522.52252252</v>
      </c>
      <c r="P275">
        <v>126347914.41441442</v>
      </c>
      <c r="Q275">
        <v>35184864.864864863</v>
      </c>
      <c r="R275">
        <v>43086126.126126118</v>
      </c>
      <c r="S275">
        <v>11207</v>
      </c>
      <c r="T275">
        <v>10786</v>
      </c>
    </row>
    <row r="276" spans="1:20">
      <c r="A276" s="7" t="s">
        <v>367</v>
      </c>
      <c r="B276" s="16" t="s">
        <v>368</v>
      </c>
      <c r="C276">
        <v>176606224.90050799</v>
      </c>
      <c r="D276">
        <v>161157789.755238</v>
      </c>
      <c r="E276">
        <v>50474697.297297299</v>
      </c>
      <c r="F276">
        <v>32869518.018018018</v>
      </c>
      <c r="G276">
        <v>23</v>
      </c>
      <c r="H276">
        <v>34</v>
      </c>
      <c r="I276">
        <v>1</v>
      </c>
      <c r="K276">
        <v>26</v>
      </c>
      <c r="L276">
        <v>39</v>
      </c>
      <c r="M276">
        <v>23794774.774774771</v>
      </c>
      <c r="N276">
        <v>33423783.783783782</v>
      </c>
      <c r="O276">
        <v>72630223.423423424</v>
      </c>
      <c r="P276">
        <v>67983648.648648649</v>
      </c>
      <c r="Q276">
        <v>21836126.126126125</v>
      </c>
      <c r="R276">
        <v>36944144.144144148</v>
      </c>
      <c r="S276">
        <v>3954</v>
      </c>
      <c r="T276">
        <v>3811</v>
      </c>
    </row>
    <row r="277" spans="1:20">
      <c r="A277" s="7" t="s">
        <v>369</v>
      </c>
      <c r="B277" s="16" t="s">
        <v>70</v>
      </c>
      <c r="C277">
        <v>46129913.262510017</v>
      </c>
      <c r="D277">
        <v>46903007.807609729</v>
      </c>
      <c r="E277">
        <v>1215990.990990991</v>
      </c>
      <c r="F277">
        <v>2011711.7117117131</v>
      </c>
      <c r="G277">
        <v>14</v>
      </c>
      <c r="H277">
        <v>30</v>
      </c>
      <c r="K277">
        <v>15</v>
      </c>
      <c r="L277">
        <v>40</v>
      </c>
      <c r="M277">
        <v>9127027.0270270277</v>
      </c>
      <c r="N277">
        <v>9566666.6666666679</v>
      </c>
      <c r="O277">
        <v>15007252.252252253</v>
      </c>
      <c r="P277">
        <v>16034108.108108109</v>
      </c>
      <c r="Q277">
        <v>7477297.2972972989</v>
      </c>
      <c r="R277">
        <v>8292882.8828828828</v>
      </c>
      <c r="S277">
        <v>1184</v>
      </c>
      <c r="T277">
        <v>1189</v>
      </c>
    </row>
    <row r="278" spans="1:20">
      <c r="A278" s="7" t="s">
        <v>370</v>
      </c>
      <c r="B278" s="16" t="s">
        <v>50</v>
      </c>
      <c r="C278">
        <v>99032189.00010623</v>
      </c>
      <c r="D278">
        <v>99170056.62801978</v>
      </c>
      <c r="E278">
        <v>482882.88288288302</v>
      </c>
      <c r="F278">
        <v>1032432.4324324341</v>
      </c>
      <c r="G278">
        <v>16</v>
      </c>
      <c r="H278">
        <v>22</v>
      </c>
      <c r="K278">
        <v>17</v>
      </c>
      <c r="L278">
        <v>25</v>
      </c>
      <c r="M278">
        <v>8117477.4774774779</v>
      </c>
      <c r="N278">
        <v>7178468.4684684677</v>
      </c>
      <c r="O278">
        <v>44973684.684684686</v>
      </c>
      <c r="P278">
        <v>44576090.090090089</v>
      </c>
      <c r="Q278">
        <v>8096126.1261261273</v>
      </c>
      <c r="R278">
        <v>6780450.4504504502</v>
      </c>
      <c r="S278">
        <v>2794</v>
      </c>
      <c r="T278">
        <v>2773</v>
      </c>
    </row>
    <row r="279" spans="1:20">
      <c r="A279" s="7" t="s">
        <v>371</v>
      </c>
      <c r="B279" s="16" t="s">
        <v>121</v>
      </c>
      <c r="C279">
        <v>103230581.48693004</v>
      </c>
      <c r="D279">
        <v>98476932.405790702</v>
      </c>
      <c r="E279">
        <v>129729.729729731</v>
      </c>
      <c r="F279">
        <v>692792.79279279395</v>
      </c>
      <c r="G279">
        <v>36</v>
      </c>
      <c r="H279">
        <v>42</v>
      </c>
      <c r="K279">
        <v>41</v>
      </c>
      <c r="L279">
        <v>50</v>
      </c>
      <c r="M279">
        <v>3030630.6306306319</v>
      </c>
      <c r="N279">
        <v>5256756.7567567565</v>
      </c>
      <c r="O279">
        <v>9351486.4864864834</v>
      </c>
      <c r="P279">
        <v>10354054.054054055</v>
      </c>
      <c r="Q279">
        <v>1496396.3963963969</v>
      </c>
      <c r="R279">
        <v>3434054.054054054</v>
      </c>
      <c r="S279">
        <v>2769</v>
      </c>
      <c r="T279">
        <v>2796</v>
      </c>
    </row>
    <row r="280" spans="1:20">
      <c r="A280" s="7" t="s">
        <v>372</v>
      </c>
      <c r="B280" s="16" t="s">
        <v>373</v>
      </c>
      <c r="C280">
        <v>265878669.23342752</v>
      </c>
      <c r="D280">
        <v>220511851.24899516</v>
      </c>
      <c r="E280">
        <v>47547854.954954959</v>
      </c>
      <c r="F280">
        <v>30921677.47747748</v>
      </c>
      <c r="G280">
        <v>405</v>
      </c>
      <c r="H280">
        <v>34</v>
      </c>
      <c r="I280">
        <v>1</v>
      </c>
      <c r="K280">
        <v>430</v>
      </c>
      <c r="L280">
        <v>39</v>
      </c>
      <c r="M280">
        <v>42328108.108108111</v>
      </c>
      <c r="N280">
        <v>37468468.468468465</v>
      </c>
      <c r="O280">
        <v>105014399.0990991</v>
      </c>
      <c r="P280">
        <v>82674342.342342332</v>
      </c>
      <c r="Q280">
        <v>50817070.270270273</v>
      </c>
      <c r="R280">
        <v>29143333.333333336</v>
      </c>
      <c r="S280">
        <v>10518</v>
      </c>
      <c r="T280">
        <v>10089</v>
      </c>
    </row>
    <row r="281" spans="1:20">
      <c r="A281" s="7" t="s">
        <v>374</v>
      </c>
      <c r="B281" s="16" t="s">
        <v>66</v>
      </c>
      <c r="C281">
        <v>162137309.07680988</v>
      </c>
      <c r="D281">
        <v>164503396.81619385</v>
      </c>
      <c r="E281">
        <v>109099099.0990991</v>
      </c>
      <c r="F281">
        <v>249655855.85585588</v>
      </c>
      <c r="G281">
        <v>68</v>
      </c>
      <c r="H281">
        <v>51</v>
      </c>
      <c r="K281">
        <v>84</v>
      </c>
      <c r="L281">
        <v>61</v>
      </c>
      <c r="M281">
        <v>52721801.801801808</v>
      </c>
      <c r="N281">
        <v>173519819.81981981</v>
      </c>
      <c r="O281">
        <v>58775837.837837838</v>
      </c>
      <c r="P281">
        <v>58947702.702702701</v>
      </c>
      <c r="Q281">
        <v>28772072.072072078</v>
      </c>
      <c r="R281">
        <v>87692072.072072059</v>
      </c>
      <c r="S281">
        <v>7066</v>
      </c>
      <c r="T281">
        <v>7124</v>
      </c>
    </row>
    <row r="282" spans="1:20">
      <c r="A282" s="7" t="s">
        <v>375</v>
      </c>
      <c r="B282" s="16" t="s">
        <v>354</v>
      </c>
      <c r="C282">
        <v>255947015.98860747</v>
      </c>
      <c r="D282">
        <v>247881252.66435835</v>
      </c>
      <c r="E282">
        <v>1441216.2162162161</v>
      </c>
      <c r="F282">
        <v>2475675.6756756771</v>
      </c>
      <c r="G282">
        <v>483</v>
      </c>
      <c r="H282">
        <v>304</v>
      </c>
      <c r="K282">
        <v>499</v>
      </c>
      <c r="L282">
        <v>310</v>
      </c>
      <c r="M282">
        <v>47826306.306306303</v>
      </c>
      <c r="N282">
        <v>44296306.306306303</v>
      </c>
      <c r="O282">
        <v>153776477.47747746</v>
      </c>
      <c r="P282">
        <v>151733855.85585585</v>
      </c>
      <c r="Q282">
        <v>50760270.270270273</v>
      </c>
      <c r="R282">
        <v>47622432.432432435</v>
      </c>
      <c r="S282">
        <v>7080</v>
      </c>
      <c r="T282">
        <v>7562</v>
      </c>
    </row>
    <row r="283" spans="1:20">
      <c r="A283" s="7" t="s">
        <v>376</v>
      </c>
      <c r="B283" s="16" t="s">
        <v>66</v>
      </c>
      <c r="C283">
        <v>88280047.937659204</v>
      </c>
      <c r="D283">
        <v>95342045.957119942</v>
      </c>
      <c r="E283">
        <v>40540.540540542002</v>
      </c>
      <c r="F283">
        <v>923423.42342342599</v>
      </c>
      <c r="G283">
        <v>30</v>
      </c>
      <c r="H283">
        <v>41</v>
      </c>
      <c r="K283">
        <v>32</v>
      </c>
      <c r="L283">
        <v>44</v>
      </c>
      <c r="M283">
        <v>7783873.8738738727</v>
      </c>
      <c r="N283">
        <v>6483783.7837837851</v>
      </c>
      <c r="O283">
        <v>38680646.846846849</v>
      </c>
      <c r="P283">
        <v>44981319.819819823</v>
      </c>
      <c r="Q283">
        <v>11882792.792792792</v>
      </c>
      <c r="R283">
        <v>9064774.7747747768</v>
      </c>
      <c r="S283">
        <v>4770</v>
      </c>
      <c r="T283">
        <v>5080</v>
      </c>
    </row>
    <row r="284" spans="1:20">
      <c r="A284" s="7" t="s">
        <v>377</v>
      </c>
      <c r="B284" s="16" t="s">
        <v>260</v>
      </c>
      <c r="C284">
        <v>85960528.517259806</v>
      </c>
      <c r="D284">
        <v>80154263.658312768</v>
      </c>
      <c r="E284">
        <v>181081.08108108101</v>
      </c>
      <c r="F284">
        <v>13513.513513514001</v>
      </c>
      <c r="G284">
        <v>3</v>
      </c>
      <c r="H284">
        <v>6</v>
      </c>
      <c r="K284">
        <v>3</v>
      </c>
      <c r="L284">
        <v>7</v>
      </c>
      <c r="M284">
        <v>3604504.5045045051</v>
      </c>
      <c r="N284">
        <v>3752252.2522522518</v>
      </c>
      <c r="O284">
        <v>13468198.198198197</v>
      </c>
      <c r="P284">
        <v>13556864.864864863</v>
      </c>
      <c r="Q284">
        <v>4694324.3243243247</v>
      </c>
      <c r="R284">
        <v>2771711.7117117122</v>
      </c>
      <c r="S284">
        <v>1685</v>
      </c>
      <c r="T284">
        <v>1689</v>
      </c>
    </row>
    <row r="285" spans="1:20">
      <c r="A285" s="7" t="s">
        <v>378</v>
      </c>
      <c r="B285" s="16" t="s">
        <v>354</v>
      </c>
      <c r="C285">
        <v>215598102.9556914</v>
      </c>
      <c r="D285">
        <v>206288631.57068986</v>
      </c>
      <c r="E285">
        <v>186365270.27027026</v>
      </c>
      <c r="F285">
        <v>243647538.73873875</v>
      </c>
      <c r="G285">
        <v>43</v>
      </c>
      <c r="H285">
        <v>49</v>
      </c>
      <c r="K285">
        <v>47</v>
      </c>
      <c r="L285">
        <v>52</v>
      </c>
      <c r="M285">
        <v>52949189.189189181</v>
      </c>
      <c r="N285">
        <v>43850360.360360369</v>
      </c>
      <c r="O285">
        <v>110907477.47747748</v>
      </c>
      <c r="P285">
        <v>114026772.97297297</v>
      </c>
      <c r="Q285">
        <v>47273873.873873875</v>
      </c>
      <c r="R285">
        <v>36052702.702702701</v>
      </c>
      <c r="S285">
        <v>4756</v>
      </c>
      <c r="T285">
        <v>4779</v>
      </c>
    </row>
    <row r="286" spans="1:20">
      <c r="A286" s="7" t="s">
        <v>379</v>
      </c>
      <c r="B286" s="16" t="s">
        <v>87</v>
      </c>
      <c r="C286">
        <v>4345914.294612024</v>
      </c>
      <c r="D286">
        <v>5876039.5479424484</v>
      </c>
      <c r="E286">
        <v>58149272.072072074</v>
      </c>
      <c r="F286">
        <v>46609920.720720723</v>
      </c>
      <c r="H286">
        <v>2</v>
      </c>
      <c r="L286">
        <v>3</v>
      </c>
      <c r="O286">
        <v>144819.81981982</v>
      </c>
      <c r="P286">
        <v>330090.09009009</v>
      </c>
      <c r="S286">
        <v>144</v>
      </c>
      <c r="T286">
        <v>235</v>
      </c>
    </row>
    <row r="287" spans="1:20">
      <c r="A287" s="7" t="s">
        <v>380</v>
      </c>
      <c r="B287" s="16" t="s">
        <v>87</v>
      </c>
      <c r="C287">
        <v>17914421.014948666</v>
      </c>
      <c r="D287">
        <v>8010997.3150611287</v>
      </c>
      <c r="E287">
        <v>13513.513513514001</v>
      </c>
      <c r="G287">
        <v>167</v>
      </c>
      <c r="H287">
        <v>15</v>
      </c>
      <c r="K287">
        <v>170</v>
      </c>
      <c r="L287">
        <v>18</v>
      </c>
      <c r="M287">
        <v>81081.081081081007</v>
      </c>
      <c r="O287">
        <v>3771171.1711711711</v>
      </c>
      <c r="P287">
        <v>899063.06306306296</v>
      </c>
      <c r="Q287">
        <v>67567.567567567996</v>
      </c>
      <c r="S287">
        <v>528</v>
      </c>
      <c r="T287">
        <v>356</v>
      </c>
    </row>
    <row r="288" spans="1:20">
      <c r="A288" s="7" t="s">
        <v>381</v>
      </c>
      <c r="B288" s="16" t="s">
        <v>80</v>
      </c>
      <c r="C288">
        <v>1430337509.9753826</v>
      </c>
      <c r="D288">
        <v>1405448241.8928223</v>
      </c>
      <c r="E288">
        <v>1288681005.4054055</v>
      </c>
      <c r="F288">
        <v>631759103.6036036</v>
      </c>
      <c r="G288">
        <v>401</v>
      </c>
      <c r="H288">
        <v>453</v>
      </c>
      <c r="I288">
        <v>1</v>
      </c>
      <c r="K288">
        <v>479</v>
      </c>
      <c r="L288">
        <v>617</v>
      </c>
      <c r="M288">
        <v>178557207.2072072</v>
      </c>
      <c r="N288">
        <v>160575675.67567569</v>
      </c>
      <c r="O288">
        <v>345726581.98198193</v>
      </c>
      <c r="P288">
        <v>361568185.13513511</v>
      </c>
      <c r="Q288">
        <v>148788828.82882884</v>
      </c>
      <c r="R288">
        <v>139520360.36036035</v>
      </c>
      <c r="S288">
        <v>36416</v>
      </c>
      <c r="T288">
        <v>36308</v>
      </c>
    </row>
    <row r="289" spans="1:20">
      <c r="A289" s="7" t="s">
        <v>382</v>
      </c>
      <c r="B289" s="16" t="s">
        <v>80</v>
      </c>
      <c r="C289">
        <v>380940258.56823403</v>
      </c>
      <c r="D289">
        <v>383746180.78589678</v>
      </c>
      <c r="E289">
        <v>2920720.72072072</v>
      </c>
      <c r="F289">
        <v>4653378.378378382</v>
      </c>
      <c r="G289">
        <v>94</v>
      </c>
      <c r="H289">
        <v>101</v>
      </c>
      <c r="I289">
        <v>1</v>
      </c>
      <c r="K289">
        <v>111</v>
      </c>
      <c r="L289">
        <v>175</v>
      </c>
      <c r="M289">
        <v>75539459.459459454</v>
      </c>
      <c r="N289">
        <v>72402702.702702701</v>
      </c>
      <c r="O289">
        <v>156055248.64864865</v>
      </c>
      <c r="P289">
        <v>156153438.2882883</v>
      </c>
      <c r="Q289">
        <v>69590990.990990996</v>
      </c>
      <c r="R289">
        <v>65434093.693693697</v>
      </c>
      <c r="S289">
        <v>9739</v>
      </c>
      <c r="T289">
        <v>10383</v>
      </c>
    </row>
    <row r="290" spans="1:20">
      <c r="A290" s="7" t="s">
        <v>383</v>
      </c>
      <c r="B290" s="16" t="s">
        <v>80</v>
      </c>
      <c r="C290">
        <v>535209719.71561044</v>
      </c>
      <c r="D290">
        <v>487810764.96277505</v>
      </c>
      <c r="E290">
        <v>66891.891891892999</v>
      </c>
      <c r="F290">
        <v>466736.03603603801</v>
      </c>
      <c r="G290">
        <v>105</v>
      </c>
      <c r="H290">
        <v>66</v>
      </c>
      <c r="K290">
        <v>117</v>
      </c>
      <c r="L290">
        <v>75</v>
      </c>
      <c r="M290">
        <v>26222702.702702705</v>
      </c>
      <c r="N290">
        <v>18414914.414414413</v>
      </c>
      <c r="O290">
        <v>96158237.837837845</v>
      </c>
      <c r="P290">
        <v>97607153.153153151</v>
      </c>
      <c r="Q290">
        <v>21952792.792792797</v>
      </c>
      <c r="R290">
        <v>25672702.702702705</v>
      </c>
      <c r="S290">
        <v>9951</v>
      </c>
      <c r="T290">
        <v>9219</v>
      </c>
    </row>
    <row r="291" spans="1:20">
      <c r="A291" s="7" t="s">
        <v>384</v>
      </c>
      <c r="B291" s="16" t="s">
        <v>68</v>
      </c>
      <c r="C291">
        <v>216488068.9950501</v>
      </c>
      <c r="D291">
        <v>213203015.27346927</v>
      </c>
      <c r="E291">
        <v>201891.89189189201</v>
      </c>
      <c r="F291">
        <v>1010810.8108108121</v>
      </c>
      <c r="G291">
        <v>59</v>
      </c>
      <c r="H291">
        <v>50</v>
      </c>
      <c r="K291">
        <v>66</v>
      </c>
      <c r="L291">
        <v>55</v>
      </c>
      <c r="M291">
        <v>10516936.936936935</v>
      </c>
      <c r="N291">
        <v>7512162.1621621614</v>
      </c>
      <c r="O291">
        <v>28902054.054054055</v>
      </c>
      <c r="P291">
        <v>30516117.117117122</v>
      </c>
      <c r="Q291">
        <v>10103333.333333332</v>
      </c>
      <c r="R291">
        <v>7243243.2432432426</v>
      </c>
      <c r="S291">
        <v>5033</v>
      </c>
      <c r="T291">
        <v>5960</v>
      </c>
    </row>
    <row r="292" spans="1:20">
      <c r="A292" s="7" t="s">
        <v>385</v>
      </c>
      <c r="B292" s="16" t="s">
        <v>167</v>
      </c>
      <c r="C292">
        <v>75469706.444812089</v>
      </c>
      <c r="D292">
        <v>79860330.183830142</v>
      </c>
      <c r="E292">
        <v>21621.621621622999</v>
      </c>
      <c r="F292">
        <v>926126.12612612697</v>
      </c>
      <c r="G292">
        <v>31</v>
      </c>
      <c r="H292">
        <v>25</v>
      </c>
      <c r="K292">
        <v>38</v>
      </c>
      <c r="L292">
        <v>30</v>
      </c>
      <c r="M292">
        <v>7455855.855855857</v>
      </c>
      <c r="N292">
        <v>20590606.306306303</v>
      </c>
      <c r="O292">
        <v>31132115.315315317</v>
      </c>
      <c r="P292">
        <v>33648576.576576576</v>
      </c>
      <c r="Q292">
        <v>9121981.9819819815</v>
      </c>
      <c r="R292">
        <v>14630540.540540541</v>
      </c>
      <c r="S292">
        <v>2435</v>
      </c>
      <c r="T292">
        <v>2388</v>
      </c>
    </row>
    <row r="293" spans="1:20">
      <c r="A293" s="7" t="s">
        <v>386</v>
      </c>
      <c r="B293" s="16" t="s">
        <v>94</v>
      </c>
      <c r="C293">
        <v>423613361.14972693</v>
      </c>
      <c r="D293">
        <v>435559832.58484745</v>
      </c>
      <c r="E293">
        <v>1257657.6576576571</v>
      </c>
      <c r="F293">
        <v>644144.14414414496</v>
      </c>
      <c r="G293">
        <v>91</v>
      </c>
      <c r="H293">
        <v>99</v>
      </c>
      <c r="I293">
        <v>1</v>
      </c>
      <c r="K293">
        <v>100</v>
      </c>
      <c r="L293">
        <v>112</v>
      </c>
      <c r="M293">
        <v>16080180.180180181</v>
      </c>
      <c r="N293">
        <v>17698198.198198199</v>
      </c>
      <c r="O293">
        <v>45587879.279279277</v>
      </c>
      <c r="P293">
        <v>53298567.567567565</v>
      </c>
      <c r="Q293">
        <v>10841801.801801803</v>
      </c>
      <c r="R293">
        <v>14005675.675675675</v>
      </c>
      <c r="S293">
        <v>8382</v>
      </c>
      <c r="T293">
        <v>8460</v>
      </c>
    </row>
    <row r="294" spans="1:20">
      <c r="A294" s="7" t="s">
        <v>387</v>
      </c>
      <c r="B294" s="16" t="s">
        <v>214</v>
      </c>
      <c r="C294">
        <v>71076988.303948179</v>
      </c>
      <c r="D294">
        <v>75145110.890355408</v>
      </c>
      <c r="E294">
        <v>11503603.603603603</v>
      </c>
      <c r="F294">
        <v>3126126.1261261259</v>
      </c>
      <c r="G294">
        <v>23</v>
      </c>
      <c r="H294">
        <v>35</v>
      </c>
      <c r="K294">
        <v>25</v>
      </c>
      <c r="L294">
        <v>39</v>
      </c>
      <c r="M294">
        <v>350450.45045045001</v>
      </c>
      <c r="N294">
        <v>2470270.2702702698</v>
      </c>
      <c r="O294">
        <v>33537342.342342343</v>
      </c>
      <c r="P294">
        <v>35911477.477477483</v>
      </c>
      <c r="Q294">
        <v>22072.072072071998</v>
      </c>
      <c r="R294">
        <v>1590990.990990991</v>
      </c>
      <c r="S294">
        <v>2266</v>
      </c>
      <c r="T294">
        <v>2286</v>
      </c>
    </row>
    <row r="295" spans="1:20">
      <c r="A295" s="7" t="s">
        <v>388</v>
      </c>
      <c r="B295" s="16" t="s">
        <v>117</v>
      </c>
      <c r="C295">
        <v>32236817.126101296</v>
      </c>
      <c r="D295">
        <v>31632038.35958961</v>
      </c>
      <c r="E295">
        <v>16375675.675675677</v>
      </c>
      <c r="F295">
        <v>5124324.3243243229</v>
      </c>
      <c r="G295">
        <v>22</v>
      </c>
      <c r="H295">
        <v>16</v>
      </c>
      <c r="K295">
        <v>26</v>
      </c>
      <c r="L295">
        <v>24</v>
      </c>
      <c r="M295">
        <v>6719903.6036036033</v>
      </c>
      <c r="N295">
        <v>10536601.801801803</v>
      </c>
      <c r="O295">
        <v>14497657.657657659</v>
      </c>
      <c r="P295">
        <v>14786810.810810812</v>
      </c>
      <c r="Q295">
        <v>1680720.7207207179</v>
      </c>
      <c r="R295">
        <v>6631891.8918918911</v>
      </c>
      <c r="S295">
        <v>1921</v>
      </c>
      <c r="T295">
        <v>2116</v>
      </c>
    </row>
    <row r="296" spans="1:20">
      <c r="A296" s="7" t="s">
        <v>389</v>
      </c>
      <c r="B296" s="16" t="s">
        <v>315</v>
      </c>
      <c r="C296">
        <v>138299026.90112564</v>
      </c>
      <c r="D296">
        <v>133907914.39408599</v>
      </c>
      <c r="E296">
        <v>2890540.5405405411</v>
      </c>
      <c r="F296">
        <v>381081.08108108101</v>
      </c>
      <c r="G296">
        <v>16</v>
      </c>
      <c r="H296">
        <v>12</v>
      </c>
      <c r="K296">
        <v>17</v>
      </c>
      <c r="L296">
        <v>15</v>
      </c>
      <c r="M296">
        <v>8791441.441441441</v>
      </c>
      <c r="N296">
        <v>4435135.1351351347</v>
      </c>
      <c r="O296">
        <v>27579099.0990991</v>
      </c>
      <c r="P296">
        <v>27613216.216216218</v>
      </c>
      <c r="Q296">
        <v>6295585.5855855849</v>
      </c>
      <c r="R296">
        <v>5566126.1261261273</v>
      </c>
      <c r="S296">
        <v>2722</v>
      </c>
      <c r="T296">
        <v>2585</v>
      </c>
    </row>
    <row r="297" spans="1:20">
      <c r="A297" s="7" t="s">
        <v>390</v>
      </c>
      <c r="B297" s="16" t="s">
        <v>224</v>
      </c>
      <c r="C297">
        <v>71772594.891940773</v>
      </c>
      <c r="D297">
        <v>57145688.662237845</v>
      </c>
      <c r="G297">
        <v>45</v>
      </c>
      <c r="H297">
        <v>6</v>
      </c>
      <c r="K297">
        <v>48</v>
      </c>
      <c r="L297">
        <v>6</v>
      </c>
      <c r="O297">
        <v>13506027.027027028</v>
      </c>
      <c r="P297">
        <v>10856801.801801803</v>
      </c>
      <c r="S297">
        <v>1498</v>
      </c>
      <c r="T297">
        <v>1437</v>
      </c>
    </row>
    <row r="298" spans="1:20">
      <c r="A298" s="7" t="s">
        <v>6</v>
      </c>
      <c r="B298" s="16" t="s">
        <v>193</v>
      </c>
      <c r="C298">
        <v>502600666.82401145</v>
      </c>
      <c r="D298">
        <v>478388557.9726398</v>
      </c>
      <c r="E298">
        <v>6329279.2792792721</v>
      </c>
      <c r="F298">
        <v>6032096.3963964051</v>
      </c>
      <c r="G298">
        <v>296</v>
      </c>
      <c r="H298">
        <v>222</v>
      </c>
      <c r="I298">
        <v>2</v>
      </c>
      <c r="K298">
        <v>673</v>
      </c>
      <c r="L298">
        <v>613</v>
      </c>
      <c r="M298">
        <v>189644594.5945946</v>
      </c>
      <c r="N298">
        <v>186650120.72072074</v>
      </c>
      <c r="O298">
        <v>329152612.61261261</v>
      </c>
      <c r="P298">
        <v>326874324.32432437</v>
      </c>
      <c r="Q298">
        <v>167986486.48648649</v>
      </c>
      <c r="R298">
        <v>155261981.98198199</v>
      </c>
      <c r="S298">
        <v>13325</v>
      </c>
      <c r="T298">
        <v>12793</v>
      </c>
    </row>
    <row r="299" spans="1:20">
      <c r="A299" s="7" t="s">
        <v>391</v>
      </c>
      <c r="B299" s="16" t="s">
        <v>121</v>
      </c>
      <c r="C299">
        <v>16938773.177775607</v>
      </c>
      <c r="D299">
        <v>22287889.220728412</v>
      </c>
      <c r="E299">
        <v>9009.0090090089998</v>
      </c>
      <c r="G299">
        <v>11</v>
      </c>
      <c r="H299">
        <v>8</v>
      </c>
      <c r="K299">
        <v>12</v>
      </c>
      <c r="L299">
        <v>8</v>
      </c>
      <c r="M299">
        <v>90090.090090090001</v>
      </c>
      <c r="N299">
        <v>3448218.9189189188</v>
      </c>
      <c r="O299">
        <v>1096846.8468468471</v>
      </c>
      <c r="P299">
        <v>1043468.4684684681</v>
      </c>
      <c r="Q299">
        <v>81081.081081081007</v>
      </c>
      <c r="S299">
        <v>537</v>
      </c>
      <c r="T299">
        <v>512</v>
      </c>
    </row>
    <row r="300" spans="1:20">
      <c r="A300" s="7" t="s">
        <v>392</v>
      </c>
      <c r="B300" s="16" t="s">
        <v>134</v>
      </c>
      <c r="C300">
        <v>64689338.120900787</v>
      </c>
      <c r="D300">
        <v>63912667.522043206</v>
      </c>
      <c r="E300">
        <v>3603.603603604</v>
      </c>
      <c r="F300">
        <v>27027.027027028002</v>
      </c>
      <c r="G300">
        <v>18</v>
      </c>
      <c r="H300">
        <v>17</v>
      </c>
      <c r="K300">
        <v>21</v>
      </c>
      <c r="L300">
        <v>21</v>
      </c>
      <c r="M300">
        <v>6778378.3783783773</v>
      </c>
      <c r="N300">
        <v>4081081.0810810812</v>
      </c>
      <c r="O300">
        <v>12730250.450450452</v>
      </c>
      <c r="P300">
        <v>13027664.864864863</v>
      </c>
      <c r="Q300">
        <v>2709009.0090090102</v>
      </c>
      <c r="R300">
        <v>1030360.360360362</v>
      </c>
      <c r="S300">
        <v>3453</v>
      </c>
      <c r="T300">
        <v>3560</v>
      </c>
    </row>
    <row r="301" spans="1:20">
      <c r="A301" s="7" t="s">
        <v>393</v>
      </c>
      <c r="B301" s="16" t="s">
        <v>58</v>
      </c>
      <c r="C301">
        <v>329629306.43481785</v>
      </c>
      <c r="D301">
        <v>312906967.80730271</v>
      </c>
      <c r="E301">
        <v>9348423.4234234244</v>
      </c>
      <c r="F301">
        <v>8939414.4144144189</v>
      </c>
      <c r="G301">
        <v>134</v>
      </c>
      <c r="H301">
        <v>108</v>
      </c>
      <c r="K301">
        <v>158</v>
      </c>
      <c r="L301">
        <v>149</v>
      </c>
      <c r="M301">
        <v>43549099.0990991</v>
      </c>
      <c r="N301">
        <v>31636936.936936941</v>
      </c>
      <c r="O301">
        <v>50000513.513513513</v>
      </c>
      <c r="P301">
        <v>50788693.693693697</v>
      </c>
      <c r="Q301">
        <v>33370630.630630631</v>
      </c>
      <c r="R301">
        <v>29115855.855855856</v>
      </c>
      <c r="S301">
        <v>9082</v>
      </c>
      <c r="T301">
        <v>8982</v>
      </c>
    </row>
    <row r="302" spans="1:20">
      <c r="A302" s="7" t="s">
        <v>394</v>
      </c>
      <c r="B302" s="16" t="s">
        <v>134</v>
      </c>
      <c r="C302">
        <v>115392558.18841432</v>
      </c>
      <c r="D302">
        <v>106898210.43884823</v>
      </c>
      <c r="E302">
        <v>38063.063063064998</v>
      </c>
      <c r="F302">
        <v>423423.42342342401</v>
      </c>
      <c r="G302">
        <v>25</v>
      </c>
      <c r="H302">
        <v>23</v>
      </c>
      <c r="K302">
        <v>27</v>
      </c>
      <c r="L302">
        <v>28</v>
      </c>
      <c r="M302">
        <v>11912612.612612614</v>
      </c>
      <c r="N302">
        <v>14270270.270270268</v>
      </c>
      <c r="O302">
        <v>20373124.324324325</v>
      </c>
      <c r="P302">
        <v>20181819.819819819</v>
      </c>
      <c r="Q302">
        <v>8932882.8828828819</v>
      </c>
      <c r="R302">
        <v>8730540.5405405406</v>
      </c>
      <c r="S302">
        <v>3895</v>
      </c>
      <c r="T302">
        <v>3930</v>
      </c>
    </row>
    <row r="303" spans="1:20">
      <c r="A303" s="7" t="s">
        <v>395</v>
      </c>
      <c r="B303" s="16" t="s">
        <v>54</v>
      </c>
      <c r="C303">
        <v>48076759.087956451</v>
      </c>
      <c r="D303">
        <v>45849979.357956834</v>
      </c>
      <c r="E303">
        <v>274774.77477477503</v>
      </c>
      <c r="F303">
        <v>41441.441441440998</v>
      </c>
      <c r="G303">
        <v>8</v>
      </c>
      <c r="H303">
        <v>12</v>
      </c>
      <c r="K303">
        <v>9</v>
      </c>
      <c r="L303">
        <v>14</v>
      </c>
      <c r="M303">
        <v>3554054.054054054</v>
      </c>
      <c r="N303">
        <v>2194594.594594595</v>
      </c>
      <c r="O303">
        <v>7993063.0630630627</v>
      </c>
      <c r="P303">
        <v>7731963.963963964</v>
      </c>
      <c r="Q303">
        <v>2830720.72072072</v>
      </c>
      <c r="R303">
        <v>2577387.387387387</v>
      </c>
      <c r="S303">
        <v>1580</v>
      </c>
      <c r="T303">
        <v>1617</v>
      </c>
    </row>
    <row r="304" spans="1:20">
      <c r="A304" s="7" t="s">
        <v>396</v>
      </c>
      <c r="B304" s="16" t="s">
        <v>397</v>
      </c>
      <c r="C304">
        <v>334996657.85782373</v>
      </c>
      <c r="D304">
        <v>322892445.44552433</v>
      </c>
      <c r="E304">
        <v>41167297.297297299</v>
      </c>
      <c r="F304">
        <v>53853153.153153151</v>
      </c>
      <c r="G304">
        <v>162</v>
      </c>
      <c r="H304">
        <v>133</v>
      </c>
      <c r="K304">
        <v>191</v>
      </c>
      <c r="L304">
        <v>228</v>
      </c>
      <c r="M304">
        <v>38405180.180180177</v>
      </c>
      <c r="N304">
        <v>35582882.882882878</v>
      </c>
      <c r="O304">
        <v>63034295.495495498</v>
      </c>
      <c r="P304">
        <v>63166948.648648649</v>
      </c>
      <c r="Q304">
        <v>35336396.396396399</v>
      </c>
      <c r="R304">
        <v>32785675.675675672</v>
      </c>
      <c r="S304">
        <v>9515</v>
      </c>
      <c r="T304">
        <v>10075</v>
      </c>
    </row>
    <row r="305" spans="1:20">
      <c r="A305" s="7" t="s">
        <v>398</v>
      </c>
      <c r="B305" s="16" t="s">
        <v>399</v>
      </c>
      <c r="C305">
        <v>382889003.51979303</v>
      </c>
      <c r="D305">
        <v>350858408.78233397</v>
      </c>
      <c r="E305">
        <v>210045062.16216218</v>
      </c>
      <c r="F305">
        <v>122562469.36936937</v>
      </c>
      <c r="G305">
        <v>110</v>
      </c>
      <c r="H305">
        <v>77</v>
      </c>
      <c r="I305">
        <v>1</v>
      </c>
      <c r="K305">
        <v>124</v>
      </c>
      <c r="L305">
        <v>85</v>
      </c>
      <c r="M305">
        <v>129948198.1981982</v>
      </c>
      <c r="N305">
        <v>50986486.486486487</v>
      </c>
      <c r="O305">
        <v>70286187.38738738</v>
      </c>
      <c r="P305">
        <v>65358459.459459454</v>
      </c>
      <c r="Q305">
        <v>107297027.02702703</v>
      </c>
      <c r="R305">
        <v>40685675.675675675</v>
      </c>
      <c r="S305">
        <v>11715</v>
      </c>
      <c r="T305">
        <v>11567</v>
      </c>
    </row>
    <row r="306" spans="1:20">
      <c r="A306" s="7" t="s">
        <v>400</v>
      </c>
      <c r="B306" s="16" t="s">
        <v>140</v>
      </c>
      <c r="C306">
        <v>120832225.973258</v>
      </c>
      <c r="D306">
        <v>112752709.17715053</v>
      </c>
      <c r="E306">
        <v>700900.90090090095</v>
      </c>
      <c r="F306">
        <v>1641441.4414414431</v>
      </c>
      <c r="G306">
        <v>32</v>
      </c>
      <c r="H306">
        <v>37</v>
      </c>
      <c r="K306">
        <v>39</v>
      </c>
      <c r="L306">
        <v>40</v>
      </c>
      <c r="M306">
        <v>27650450.450450446</v>
      </c>
      <c r="N306">
        <v>19801081.081081081</v>
      </c>
      <c r="O306">
        <v>35271801.801801801</v>
      </c>
      <c r="P306">
        <v>36208756.756756753</v>
      </c>
      <c r="Q306">
        <v>20481891.891891893</v>
      </c>
      <c r="R306">
        <v>22630810.810810808</v>
      </c>
      <c r="S306">
        <v>3341</v>
      </c>
      <c r="T306">
        <v>3175</v>
      </c>
    </row>
    <row r="307" spans="1:20">
      <c r="A307" s="7" t="s">
        <v>401</v>
      </c>
      <c r="B307" s="16" t="s">
        <v>121</v>
      </c>
      <c r="C307">
        <v>35098801.332942382</v>
      </c>
      <c r="D307">
        <v>30147737.827056896</v>
      </c>
      <c r="E307">
        <v>1801.801801802</v>
      </c>
      <c r="F307">
        <v>387387.38738738699</v>
      </c>
      <c r="G307">
        <v>22</v>
      </c>
      <c r="H307">
        <v>14</v>
      </c>
      <c r="K307">
        <v>27</v>
      </c>
      <c r="L307">
        <v>19</v>
      </c>
      <c r="M307">
        <v>1801.801801802</v>
      </c>
      <c r="N307">
        <v>2189189.1891891891</v>
      </c>
      <c r="O307">
        <v>2561891.8918918921</v>
      </c>
      <c r="P307">
        <v>3114921.1711711711</v>
      </c>
      <c r="Q307">
        <v>940180.18018018</v>
      </c>
      <c r="R307">
        <v>871081.08108108095</v>
      </c>
      <c r="S307">
        <v>1111</v>
      </c>
      <c r="T307">
        <v>1067</v>
      </c>
    </row>
    <row r="308" spans="1:20">
      <c r="A308" s="7" t="s">
        <v>402</v>
      </c>
      <c r="B308" s="16" t="s">
        <v>290</v>
      </c>
      <c r="C308">
        <v>65461437.710473709</v>
      </c>
      <c r="D308">
        <v>48389120.396771125</v>
      </c>
      <c r="E308">
        <v>70270.270270270994</v>
      </c>
      <c r="F308">
        <v>334684.68468468601</v>
      </c>
      <c r="G308">
        <v>45</v>
      </c>
      <c r="H308">
        <v>8</v>
      </c>
      <c r="K308">
        <v>47</v>
      </c>
      <c r="L308">
        <v>10</v>
      </c>
      <c r="M308">
        <v>4664864.8648648653</v>
      </c>
      <c r="N308">
        <v>1069369.369369369</v>
      </c>
      <c r="O308">
        <v>8584099.0990990996</v>
      </c>
      <c r="P308">
        <v>6346567.5675675673</v>
      </c>
      <c r="Q308">
        <v>4418738.7387387389</v>
      </c>
      <c r="R308">
        <v>1964504.5045045039</v>
      </c>
      <c r="S308">
        <v>1700</v>
      </c>
      <c r="T308">
        <v>1631</v>
      </c>
    </row>
    <row r="309" spans="1:20">
      <c r="A309" s="7" t="s">
        <v>403</v>
      </c>
      <c r="B309" s="16" t="s">
        <v>121</v>
      </c>
      <c r="C309">
        <v>58198711.769445442</v>
      </c>
      <c r="D309">
        <v>55477723.860211805</v>
      </c>
      <c r="F309">
        <v>55630.630630631</v>
      </c>
      <c r="G309">
        <v>8</v>
      </c>
      <c r="H309">
        <v>12</v>
      </c>
      <c r="K309">
        <v>9</v>
      </c>
      <c r="L309">
        <v>13</v>
      </c>
      <c r="M309">
        <v>162162.16216216201</v>
      </c>
      <c r="N309">
        <v>58558.558558559002</v>
      </c>
      <c r="O309">
        <v>4359099.0990990987</v>
      </c>
      <c r="P309">
        <v>4367198.1981981983</v>
      </c>
      <c r="Q309">
        <v>198198.19819819799</v>
      </c>
      <c r="S309">
        <v>1047</v>
      </c>
      <c r="T309">
        <v>1024</v>
      </c>
    </row>
    <row r="310" spans="1:20">
      <c r="A310" s="7" t="s">
        <v>404</v>
      </c>
      <c r="B310" s="16" t="s">
        <v>368</v>
      </c>
      <c r="C310">
        <v>139321134.91789261</v>
      </c>
      <c r="D310">
        <v>122425347.05355293</v>
      </c>
      <c r="E310">
        <v>24344144.144144144</v>
      </c>
      <c r="F310">
        <v>29937387.387387384</v>
      </c>
      <c r="G310">
        <v>30</v>
      </c>
      <c r="H310">
        <v>46</v>
      </c>
      <c r="I310">
        <v>1</v>
      </c>
      <c r="K310">
        <v>35</v>
      </c>
      <c r="L310">
        <v>116</v>
      </c>
      <c r="M310">
        <v>6069369.369369369</v>
      </c>
      <c r="N310">
        <v>23526126.126126129</v>
      </c>
      <c r="O310">
        <v>42730067.567567565</v>
      </c>
      <c r="P310">
        <v>44023297.297297299</v>
      </c>
      <c r="Q310">
        <v>5059009.0090090092</v>
      </c>
      <c r="R310">
        <v>23439099.0990991</v>
      </c>
      <c r="S310">
        <v>4337</v>
      </c>
      <c r="T310">
        <v>4101</v>
      </c>
    </row>
    <row r="311" spans="1:20">
      <c r="A311" s="7" t="s">
        <v>405</v>
      </c>
      <c r="B311" s="16" t="s">
        <v>140</v>
      </c>
      <c r="C311">
        <v>57671352.997287296</v>
      </c>
      <c r="D311">
        <v>59014268.008783229</v>
      </c>
      <c r="E311">
        <v>13963.963963964001</v>
      </c>
      <c r="F311">
        <v>189864.86486486401</v>
      </c>
      <c r="G311">
        <v>2</v>
      </c>
      <c r="H311">
        <v>11</v>
      </c>
      <c r="K311">
        <v>3</v>
      </c>
      <c r="L311">
        <v>14</v>
      </c>
      <c r="M311">
        <v>7617567.5675675673</v>
      </c>
      <c r="N311">
        <v>7578738.7387387389</v>
      </c>
      <c r="O311">
        <v>14348198.198198197</v>
      </c>
      <c r="P311">
        <v>16031837.837837838</v>
      </c>
      <c r="Q311">
        <v>8013783.7837837841</v>
      </c>
      <c r="R311">
        <v>8955945.9459459446</v>
      </c>
      <c r="S311">
        <v>526</v>
      </c>
      <c r="T311">
        <v>1386</v>
      </c>
    </row>
    <row r="312" spans="1:20">
      <c r="A312" s="7" t="s">
        <v>406</v>
      </c>
      <c r="B312" s="16" t="s">
        <v>54</v>
      </c>
      <c r="C312">
        <v>85026076.779005796</v>
      </c>
      <c r="D312">
        <v>81460187.712939501</v>
      </c>
      <c r="E312">
        <v>665900.90090090095</v>
      </c>
      <c r="F312">
        <v>1732432.4324324341</v>
      </c>
      <c r="G312">
        <v>4</v>
      </c>
      <c r="H312">
        <v>106</v>
      </c>
      <c r="K312">
        <v>4</v>
      </c>
      <c r="L312">
        <v>188</v>
      </c>
      <c r="M312">
        <v>5286666.6666666651</v>
      </c>
      <c r="N312">
        <v>8286486.486486488</v>
      </c>
      <c r="O312">
        <v>17384909.909909911</v>
      </c>
      <c r="P312">
        <v>19132252.252252251</v>
      </c>
      <c r="Q312">
        <v>4879909.9099099115</v>
      </c>
      <c r="R312">
        <v>9251621.6216216199</v>
      </c>
      <c r="S312">
        <v>2198</v>
      </c>
      <c r="T312">
        <v>2223</v>
      </c>
    </row>
    <row r="313" spans="1:20">
      <c r="A313" s="7" t="s">
        <v>407</v>
      </c>
      <c r="B313" s="16" t="s">
        <v>134</v>
      </c>
      <c r="C313">
        <v>34115907.770484626</v>
      </c>
      <c r="D313">
        <v>36798173.869405314</v>
      </c>
      <c r="E313">
        <v>13513.513513514001</v>
      </c>
      <c r="F313">
        <v>27027.027027027001</v>
      </c>
      <c r="G313">
        <v>9</v>
      </c>
      <c r="H313">
        <v>5</v>
      </c>
      <c r="K313">
        <v>12</v>
      </c>
      <c r="L313">
        <v>5</v>
      </c>
      <c r="M313">
        <v>1824324.324324324</v>
      </c>
      <c r="N313">
        <v>1594594.5945945941</v>
      </c>
      <c r="O313">
        <v>4054459.4594594589</v>
      </c>
      <c r="P313">
        <v>3544837.8378378381</v>
      </c>
      <c r="Q313">
        <v>1568558.5585585581</v>
      </c>
      <c r="R313">
        <v>990180.18018017896</v>
      </c>
      <c r="S313">
        <v>1032</v>
      </c>
      <c r="T313">
        <v>979</v>
      </c>
    </row>
    <row r="314" spans="1:20">
      <c r="A314" s="7" t="s">
        <v>408</v>
      </c>
      <c r="B314" s="16" t="s">
        <v>290</v>
      </c>
      <c r="C314">
        <v>23742882.037580486</v>
      </c>
      <c r="D314">
        <v>20281628.114242259</v>
      </c>
      <c r="E314">
        <v>104504.504504504</v>
      </c>
      <c r="F314">
        <v>334234.23423423502</v>
      </c>
      <c r="G314">
        <v>17</v>
      </c>
      <c r="H314">
        <v>8</v>
      </c>
      <c r="K314">
        <v>19</v>
      </c>
      <c r="L314">
        <v>9</v>
      </c>
      <c r="M314">
        <v>4230630.630630631</v>
      </c>
      <c r="N314">
        <v>4940540.5405405406</v>
      </c>
      <c r="O314">
        <v>4997423.4234234234</v>
      </c>
      <c r="P314">
        <v>3681585.5855855858</v>
      </c>
      <c r="Q314">
        <v>1988468.4684684691</v>
      </c>
      <c r="R314">
        <v>2329549.5495495489</v>
      </c>
      <c r="S314">
        <v>916</v>
      </c>
      <c r="T314">
        <v>886</v>
      </c>
    </row>
    <row r="315" spans="1:20">
      <c r="A315" s="7" t="s">
        <v>409</v>
      </c>
      <c r="B315" s="16" t="s">
        <v>178</v>
      </c>
      <c r="C315">
        <v>396625760.70439237</v>
      </c>
      <c r="D315">
        <v>366257147.71100229</v>
      </c>
      <c r="E315">
        <v>2460585.5855855858</v>
      </c>
      <c r="F315">
        <v>1413513.5135135171</v>
      </c>
      <c r="G315">
        <v>114</v>
      </c>
      <c r="H315">
        <v>96</v>
      </c>
      <c r="K315">
        <v>129</v>
      </c>
      <c r="L315">
        <v>263</v>
      </c>
      <c r="M315">
        <v>33112162.162162162</v>
      </c>
      <c r="N315">
        <v>37249630.630630635</v>
      </c>
      <c r="O315">
        <v>128613727.92792794</v>
      </c>
      <c r="P315">
        <v>128670657.65765767</v>
      </c>
      <c r="Q315">
        <v>31931261.261261258</v>
      </c>
      <c r="R315">
        <v>32607927.927927926</v>
      </c>
      <c r="S315">
        <v>9836</v>
      </c>
      <c r="T315">
        <v>9419</v>
      </c>
    </row>
    <row r="316" spans="1:20">
      <c r="A316" s="7" t="s">
        <v>668</v>
      </c>
      <c r="B316" s="16" t="s">
        <v>87</v>
      </c>
      <c r="S316">
        <v>2</v>
      </c>
    </row>
    <row r="317" spans="1:20">
      <c r="A317" s="7" t="s">
        <v>410</v>
      </c>
      <c r="B317" s="16" t="s">
        <v>54</v>
      </c>
      <c r="C317">
        <v>672845604.58486545</v>
      </c>
      <c r="D317">
        <v>670429755.89880955</v>
      </c>
      <c r="E317">
        <v>62307043.243243247</v>
      </c>
      <c r="F317">
        <v>112741065.76576577</v>
      </c>
      <c r="G317">
        <v>132</v>
      </c>
      <c r="H317">
        <v>234</v>
      </c>
      <c r="I317">
        <v>1</v>
      </c>
      <c r="K317">
        <v>161</v>
      </c>
      <c r="L317">
        <v>333</v>
      </c>
      <c r="M317">
        <v>47761981.981981985</v>
      </c>
      <c r="N317">
        <v>43526126.126126125</v>
      </c>
      <c r="O317">
        <v>129232502.7027027</v>
      </c>
      <c r="P317">
        <v>138505981.98198199</v>
      </c>
      <c r="Q317">
        <v>41622655.855855852</v>
      </c>
      <c r="R317">
        <v>42709459.459459461</v>
      </c>
      <c r="S317">
        <v>19090</v>
      </c>
      <c r="T317">
        <v>18981</v>
      </c>
    </row>
    <row r="318" spans="1:20">
      <c r="A318" s="7" t="s">
        <v>411</v>
      </c>
      <c r="B318" s="16" t="s">
        <v>224</v>
      </c>
      <c r="C318">
        <v>409551444.09507471</v>
      </c>
      <c r="D318">
        <v>343733538.86137199</v>
      </c>
      <c r="E318">
        <v>769729.72972973203</v>
      </c>
      <c r="F318">
        <v>1207207.207207212</v>
      </c>
      <c r="G318">
        <v>121</v>
      </c>
      <c r="H318">
        <v>123</v>
      </c>
      <c r="K318">
        <v>138</v>
      </c>
      <c r="L318">
        <v>141</v>
      </c>
      <c r="M318">
        <v>43643963.963963971</v>
      </c>
      <c r="N318">
        <v>32162882.882882886</v>
      </c>
      <c r="O318">
        <v>106146948.64864863</v>
      </c>
      <c r="P318">
        <v>101844951.35135137</v>
      </c>
      <c r="Q318">
        <v>42170810.810810804</v>
      </c>
      <c r="R318">
        <v>39277971.171171173</v>
      </c>
      <c r="S318">
        <v>13769</v>
      </c>
      <c r="T318">
        <v>14202</v>
      </c>
    </row>
    <row r="319" spans="1:20">
      <c r="A319" s="7" t="s">
        <v>412</v>
      </c>
      <c r="B319" s="16" t="s">
        <v>413</v>
      </c>
      <c r="C319">
        <v>130143805.05231892</v>
      </c>
      <c r="D319">
        <v>135752320.46968216</v>
      </c>
      <c r="E319">
        <v>18469369.369369369</v>
      </c>
      <c r="F319">
        <v>3287837.8378378409</v>
      </c>
      <c r="G319">
        <v>33</v>
      </c>
      <c r="H319">
        <v>6</v>
      </c>
      <c r="K319">
        <v>43</v>
      </c>
      <c r="L319">
        <v>8</v>
      </c>
      <c r="M319">
        <v>5619819.8198198183</v>
      </c>
      <c r="N319">
        <v>4786396.3963964004</v>
      </c>
      <c r="O319">
        <v>55909324.324324317</v>
      </c>
      <c r="P319">
        <v>55400594.59459459</v>
      </c>
      <c r="Q319">
        <v>2957837.8378378372</v>
      </c>
      <c r="R319">
        <v>2565225.225225226</v>
      </c>
      <c r="S319">
        <v>3991</v>
      </c>
      <c r="T319">
        <v>4369</v>
      </c>
    </row>
    <row r="320" spans="1:20">
      <c r="A320" s="7" t="s">
        <v>414</v>
      </c>
      <c r="B320" s="16" t="s">
        <v>214</v>
      </c>
      <c r="C320">
        <v>802151237.83646977</v>
      </c>
      <c r="D320">
        <v>862287826.73502576</v>
      </c>
      <c r="E320">
        <v>224020331.53153151</v>
      </c>
      <c r="F320">
        <v>318761233.33333331</v>
      </c>
      <c r="G320">
        <v>364</v>
      </c>
      <c r="H320">
        <v>953</v>
      </c>
      <c r="K320">
        <v>435</v>
      </c>
      <c r="L320">
        <v>1073</v>
      </c>
      <c r="M320">
        <v>108523873.87387387</v>
      </c>
      <c r="N320">
        <v>108623018.01801802</v>
      </c>
      <c r="O320">
        <v>339457780.18018013</v>
      </c>
      <c r="P320">
        <v>390447290.0900901</v>
      </c>
      <c r="Q320">
        <v>103451441.44144145</v>
      </c>
      <c r="R320">
        <v>109903783.78378378</v>
      </c>
      <c r="S320">
        <v>23831</v>
      </c>
      <c r="T320">
        <v>25545</v>
      </c>
    </row>
    <row r="321" spans="1:20">
      <c r="A321" s="7" t="s">
        <v>415</v>
      </c>
      <c r="B321" s="16" t="s">
        <v>413</v>
      </c>
      <c r="C321">
        <v>75930032.351612717</v>
      </c>
      <c r="D321">
        <v>76330287.47975795</v>
      </c>
      <c r="E321">
        <v>302702.70270270301</v>
      </c>
      <c r="F321">
        <v>642792.79279279395</v>
      </c>
      <c r="G321">
        <v>22</v>
      </c>
      <c r="H321">
        <v>22</v>
      </c>
      <c r="K321">
        <v>24</v>
      </c>
      <c r="L321">
        <v>26</v>
      </c>
      <c r="M321">
        <v>15749189.189189188</v>
      </c>
      <c r="N321">
        <v>12536614.414414415</v>
      </c>
      <c r="O321">
        <v>24879639.639639638</v>
      </c>
      <c r="P321">
        <v>28382407.657657657</v>
      </c>
      <c r="Q321">
        <v>10175585.585585587</v>
      </c>
      <c r="R321">
        <v>10051531.531531531</v>
      </c>
      <c r="S321">
        <v>2951</v>
      </c>
      <c r="T321">
        <v>3055</v>
      </c>
    </row>
    <row r="322" spans="1:20">
      <c r="A322" s="7" t="s">
        <v>416</v>
      </c>
      <c r="B322" s="16" t="s">
        <v>236</v>
      </c>
      <c r="C322">
        <v>568615090.94821894</v>
      </c>
      <c r="D322">
        <v>538201607.58884442</v>
      </c>
      <c r="E322">
        <v>547297.297297301</v>
      </c>
      <c r="F322">
        <v>2053153.1531531559</v>
      </c>
      <c r="G322">
        <v>200</v>
      </c>
      <c r="H322">
        <v>201</v>
      </c>
      <c r="I322">
        <v>3</v>
      </c>
      <c r="K322">
        <v>246</v>
      </c>
      <c r="L322">
        <v>333</v>
      </c>
      <c r="M322">
        <v>60675765.765765771</v>
      </c>
      <c r="N322">
        <v>61494144.144144148</v>
      </c>
      <c r="O322">
        <v>128588000</v>
      </c>
      <c r="P322">
        <v>127817864.86486487</v>
      </c>
      <c r="Q322">
        <v>48091441.441441439</v>
      </c>
      <c r="R322">
        <v>60229729.729729727</v>
      </c>
      <c r="S322">
        <v>10740</v>
      </c>
      <c r="T322">
        <v>10648</v>
      </c>
    </row>
    <row r="323" spans="1:20">
      <c r="A323" s="7" t="s">
        <v>417</v>
      </c>
      <c r="B323" s="16" t="s">
        <v>117</v>
      </c>
      <c r="C323">
        <v>544522227.22086287</v>
      </c>
      <c r="D323">
        <v>525595400.73450965</v>
      </c>
      <c r="E323">
        <v>356388416.21621627</v>
      </c>
      <c r="F323">
        <v>210138128.82882884</v>
      </c>
      <c r="G323">
        <v>364</v>
      </c>
      <c r="H323">
        <v>349</v>
      </c>
      <c r="I323">
        <v>3</v>
      </c>
      <c r="K323">
        <v>642</v>
      </c>
      <c r="L323">
        <v>703</v>
      </c>
      <c r="M323">
        <v>110748717.11711712</v>
      </c>
      <c r="N323">
        <v>116950419.81981982</v>
      </c>
      <c r="O323">
        <v>236793459.45945945</v>
      </c>
      <c r="P323">
        <v>238053624.32432431</v>
      </c>
      <c r="Q323">
        <v>104908648.64864863</v>
      </c>
      <c r="R323">
        <v>122060000</v>
      </c>
      <c r="S323">
        <v>17712</v>
      </c>
      <c r="T323">
        <v>17516</v>
      </c>
    </row>
    <row r="324" spans="1:20">
      <c r="A324" s="7" t="s">
        <v>418</v>
      </c>
      <c r="B324" s="16" t="s">
        <v>147</v>
      </c>
      <c r="C324">
        <v>14523222.326213283</v>
      </c>
      <c r="D324">
        <v>12408520.735845052</v>
      </c>
      <c r="G324">
        <v>3</v>
      </c>
      <c r="H324">
        <v>3</v>
      </c>
      <c r="K324">
        <v>3</v>
      </c>
      <c r="L324">
        <v>3</v>
      </c>
      <c r="O324">
        <v>4776666.666666667</v>
      </c>
      <c r="P324">
        <v>4729270.2702702703</v>
      </c>
      <c r="S324">
        <v>507</v>
      </c>
      <c r="T324">
        <v>415</v>
      </c>
    </row>
    <row r="325" spans="1:20">
      <c r="A325" s="7" t="s">
        <v>419</v>
      </c>
      <c r="B325" s="16" t="s">
        <v>304</v>
      </c>
      <c r="C325">
        <v>114729349.28650101</v>
      </c>
      <c r="D325">
        <v>113483695.73503806</v>
      </c>
      <c r="E325">
        <v>949099.09909910103</v>
      </c>
      <c r="F325">
        <v>2200225.2252252232</v>
      </c>
      <c r="G325">
        <v>47</v>
      </c>
      <c r="H325">
        <v>58</v>
      </c>
      <c r="K325">
        <v>55</v>
      </c>
      <c r="L325">
        <v>73</v>
      </c>
      <c r="M325">
        <v>19857657.657657657</v>
      </c>
      <c r="N325">
        <v>18955855.855855856</v>
      </c>
      <c r="O325">
        <v>21817972.97297297</v>
      </c>
      <c r="P325">
        <v>23471088.288288288</v>
      </c>
      <c r="Q325">
        <v>25308648.648648649</v>
      </c>
      <c r="R325">
        <v>17611441.441441439</v>
      </c>
      <c r="S325">
        <v>2536</v>
      </c>
      <c r="T325">
        <v>2292</v>
      </c>
    </row>
    <row r="326" spans="1:20">
      <c r="A326" s="7" t="s">
        <v>420</v>
      </c>
      <c r="B326" s="16" t="s">
        <v>304</v>
      </c>
      <c r="C326">
        <v>135000168.6749182</v>
      </c>
      <c r="D326">
        <v>130628946.64178</v>
      </c>
      <c r="E326">
        <v>1373648.648648649</v>
      </c>
      <c r="F326">
        <v>2126801.8018018012</v>
      </c>
      <c r="G326">
        <v>159</v>
      </c>
      <c r="H326">
        <v>89</v>
      </c>
      <c r="I326">
        <v>6</v>
      </c>
      <c r="K326">
        <v>198</v>
      </c>
      <c r="L326">
        <v>167</v>
      </c>
      <c r="M326">
        <v>20336936.93693693</v>
      </c>
      <c r="N326">
        <v>22801801.801801801</v>
      </c>
      <c r="O326">
        <v>31101034.234234232</v>
      </c>
      <c r="P326">
        <v>27786810.810810808</v>
      </c>
      <c r="Q326">
        <v>23324864.86486486</v>
      </c>
      <c r="R326">
        <v>17297387.38738738</v>
      </c>
      <c r="S326">
        <v>3238</v>
      </c>
      <c r="T326">
        <v>2960</v>
      </c>
    </row>
    <row r="327" spans="1:20">
      <c r="A327" s="7" t="s">
        <v>421</v>
      </c>
      <c r="B327" s="16" t="s">
        <v>121</v>
      </c>
      <c r="C327">
        <v>10149966.845112575</v>
      </c>
      <c r="D327">
        <v>4789498.9261182863</v>
      </c>
      <c r="E327">
        <v>12612.612612613</v>
      </c>
      <c r="F327">
        <v>13513.513513514001</v>
      </c>
      <c r="G327">
        <v>1</v>
      </c>
      <c r="H327">
        <v>2</v>
      </c>
      <c r="K327">
        <v>1</v>
      </c>
      <c r="L327">
        <v>3</v>
      </c>
      <c r="M327">
        <v>1363963.963963964</v>
      </c>
      <c r="N327">
        <v>13513.513513514001</v>
      </c>
      <c r="O327">
        <v>1114909.9099099101</v>
      </c>
      <c r="P327">
        <v>296072.07207207201</v>
      </c>
      <c r="Q327">
        <v>1351351.351351351</v>
      </c>
      <c r="S327">
        <v>354</v>
      </c>
      <c r="T327">
        <v>324</v>
      </c>
    </row>
    <row r="328" spans="1:20">
      <c r="A328" s="7" t="s">
        <v>422</v>
      </c>
      <c r="B328" s="16" t="s">
        <v>60</v>
      </c>
      <c r="C328">
        <v>66320033.212381743</v>
      </c>
      <c r="D328">
        <v>66520414.215941489</v>
      </c>
      <c r="E328">
        <v>272072.072072073</v>
      </c>
      <c r="F328">
        <v>845945.94594594697</v>
      </c>
      <c r="G328">
        <v>23</v>
      </c>
      <c r="H328">
        <v>39</v>
      </c>
      <c r="K328">
        <v>27</v>
      </c>
      <c r="L328">
        <v>42</v>
      </c>
      <c r="M328">
        <v>7563963.9639639631</v>
      </c>
      <c r="N328">
        <v>12928828.828828828</v>
      </c>
      <c r="O328">
        <v>21775495.495495494</v>
      </c>
      <c r="P328">
        <v>23413567.567567568</v>
      </c>
      <c r="Q328">
        <v>10605225.225225223</v>
      </c>
      <c r="R328">
        <v>13322792.792792792</v>
      </c>
      <c r="S328">
        <v>2092</v>
      </c>
      <c r="T328">
        <v>2076</v>
      </c>
    </row>
    <row r="329" spans="1:20">
      <c r="A329" s="7" t="s">
        <v>423</v>
      </c>
      <c r="B329" s="16" t="s">
        <v>181</v>
      </c>
      <c r="C329">
        <v>688965307.36822653</v>
      </c>
      <c r="D329">
        <v>660379711.15162504</v>
      </c>
      <c r="E329">
        <v>80760360.360360369</v>
      </c>
      <c r="F329">
        <v>48136936.936936945</v>
      </c>
      <c r="G329">
        <v>273</v>
      </c>
      <c r="H329">
        <v>238</v>
      </c>
      <c r="I329">
        <v>14</v>
      </c>
      <c r="K329">
        <v>371</v>
      </c>
      <c r="L329">
        <v>335</v>
      </c>
      <c r="M329">
        <v>76035495.495495483</v>
      </c>
      <c r="N329">
        <v>81393243.243243232</v>
      </c>
      <c r="O329">
        <v>185097729.72972974</v>
      </c>
      <c r="P329">
        <v>193340232.43243244</v>
      </c>
      <c r="Q329">
        <v>67377927.927927926</v>
      </c>
      <c r="R329">
        <v>78129729.729729727</v>
      </c>
      <c r="S329">
        <v>22351</v>
      </c>
      <c r="T329">
        <v>21641</v>
      </c>
    </row>
    <row r="330" spans="1:20">
      <c r="A330" s="7" t="s">
        <v>424</v>
      </c>
      <c r="B330" s="16" t="s">
        <v>76</v>
      </c>
      <c r="C330">
        <v>28888079.497336369</v>
      </c>
      <c r="D330">
        <v>19406307.916548666</v>
      </c>
      <c r="E330">
        <v>2702.7027027029999</v>
      </c>
      <c r="F330">
        <v>27027.027027028002</v>
      </c>
      <c r="G330">
        <v>8</v>
      </c>
      <c r="K330">
        <v>8</v>
      </c>
      <c r="M330">
        <v>3065765.7657657661</v>
      </c>
      <c r="N330">
        <v>927927.92792792805</v>
      </c>
      <c r="O330">
        <v>2649360.3603603598</v>
      </c>
      <c r="P330">
        <v>1701054.054054054</v>
      </c>
      <c r="Q330">
        <v>2488468.4684684682</v>
      </c>
      <c r="R330">
        <v>1562342.3423423429</v>
      </c>
      <c r="S330">
        <v>923</v>
      </c>
      <c r="T330">
        <v>834</v>
      </c>
    </row>
    <row r="331" spans="1:20">
      <c r="A331" s="7" t="s">
        <v>425</v>
      </c>
      <c r="B331" s="16" t="s">
        <v>76</v>
      </c>
      <c r="C331">
        <v>79828265.926699743</v>
      </c>
      <c r="D331">
        <v>76463827.157865345</v>
      </c>
      <c r="E331">
        <v>145045.04504504599</v>
      </c>
      <c r="F331">
        <v>139639.63963964101</v>
      </c>
      <c r="G331">
        <v>26</v>
      </c>
      <c r="H331">
        <v>18</v>
      </c>
      <c r="K331">
        <v>29</v>
      </c>
      <c r="L331">
        <v>20</v>
      </c>
      <c r="M331">
        <v>9810810.8108108118</v>
      </c>
      <c r="N331">
        <v>8806036.0360360369</v>
      </c>
      <c r="O331">
        <v>18164819.819819819</v>
      </c>
      <c r="P331">
        <v>17114477.477477476</v>
      </c>
      <c r="Q331">
        <v>6869009.0090090102</v>
      </c>
      <c r="R331">
        <v>7646036.0360360369</v>
      </c>
      <c r="S331">
        <v>1428</v>
      </c>
      <c r="T331">
        <v>1474</v>
      </c>
    </row>
    <row r="332" spans="1:20">
      <c r="A332" s="7" t="s">
        <v>426</v>
      </c>
      <c r="B332" s="16" t="s">
        <v>330</v>
      </c>
      <c r="C332">
        <v>380759088.95867914</v>
      </c>
      <c r="D332">
        <v>389748077.25772882</v>
      </c>
      <c r="E332">
        <v>1452657.657657661</v>
      </c>
      <c r="F332">
        <v>2593468.4684684728</v>
      </c>
      <c r="G332">
        <v>121</v>
      </c>
      <c r="H332">
        <v>144</v>
      </c>
      <c r="K332">
        <v>149</v>
      </c>
      <c r="L332">
        <v>167</v>
      </c>
      <c r="M332">
        <v>10162792.792792792</v>
      </c>
      <c r="N332">
        <v>20494594.59459459</v>
      </c>
      <c r="O332">
        <v>63803836.036036037</v>
      </c>
      <c r="P332">
        <v>67929885.135135129</v>
      </c>
      <c r="Q332">
        <v>11464684.684684685</v>
      </c>
      <c r="R332">
        <v>18131081.081081081</v>
      </c>
      <c r="S332">
        <v>11568</v>
      </c>
      <c r="T332">
        <v>11810</v>
      </c>
    </row>
    <row r="333" spans="1:20">
      <c r="A333" s="7" t="s">
        <v>427</v>
      </c>
      <c r="B333" s="16" t="s">
        <v>241</v>
      </c>
      <c r="C333">
        <v>99635102.316184878</v>
      </c>
      <c r="D333">
        <v>100824183.45783436</v>
      </c>
      <c r="E333">
        <v>11410810.810810812</v>
      </c>
      <c r="F333">
        <v>39073873.873873875</v>
      </c>
      <c r="G333">
        <v>43</v>
      </c>
      <c r="H333">
        <v>32</v>
      </c>
      <c r="I333">
        <v>1</v>
      </c>
      <c r="K333">
        <v>51</v>
      </c>
      <c r="L333">
        <v>35</v>
      </c>
      <c r="M333">
        <v>18097837.837837841</v>
      </c>
      <c r="N333">
        <v>9537297.2972972952</v>
      </c>
      <c r="O333">
        <v>38156585.585585587</v>
      </c>
      <c r="P333">
        <v>38046756.75675676</v>
      </c>
      <c r="Q333">
        <v>16946396.396396395</v>
      </c>
      <c r="R333">
        <v>10103423.423423421</v>
      </c>
      <c r="S333">
        <v>5270</v>
      </c>
      <c r="T333">
        <v>5374</v>
      </c>
    </row>
    <row r="334" spans="1:20">
      <c r="A334" s="7" t="s">
        <v>428</v>
      </c>
      <c r="B334" s="16" t="s">
        <v>283</v>
      </c>
      <c r="C334">
        <v>42735002.260045581</v>
      </c>
      <c r="D334">
        <v>42696081.512003221</v>
      </c>
      <c r="E334">
        <v>52477.477477478002</v>
      </c>
      <c r="F334">
        <v>502702.702702704</v>
      </c>
      <c r="G334">
        <v>17</v>
      </c>
      <c r="H334">
        <v>4</v>
      </c>
      <c r="K334">
        <v>18</v>
      </c>
      <c r="L334">
        <v>32</v>
      </c>
      <c r="M334">
        <v>2224324.3243243252</v>
      </c>
      <c r="N334">
        <v>24637837.837837841</v>
      </c>
      <c r="O334">
        <v>7568513.5135135138</v>
      </c>
      <c r="P334">
        <v>8447459.4594594594</v>
      </c>
      <c r="Q334">
        <v>1446846.8468468459</v>
      </c>
      <c r="R334">
        <v>25910630.630630631</v>
      </c>
      <c r="S334">
        <v>1264</v>
      </c>
      <c r="T334">
        <v>1186</v>
      </c>
    </row>
    <row r="335" spans="1:20">
      <c r="A335" s="7" t="s">
        <v>429</v>
      </c>
      <c r="B335" s="16" t="s">
        <v>283</v>
      </c>
      <c r="C335">
        <v>13147896.700229716</v>
      </c>
      <c r="D335">
        <v>13886313.76839092</v>
      </c>
      <c r="E335">
        <v>9909.9099099100004</v>
      </c>
      <c r="F335">
        <v>207207.20720720699</v>
      </c>
      <c r="K335">
        <v>1</v>
      </c>
      <c r="M335">
        <v>190090.09009009</v>
      </c>
      <c r="N335">
        <v>3090090.090090089</v>
      </c>
      <c r="O335">
        <v>1238018.018018018</v>
      </c>
      <c r="P335">
        <v>835990.99099099101</v>
      </c>
      <c r="Q335">
        <v>163513.51351351399</v>
      </c>
      <c r="R335">
        <v>2885855.8558558552</v>
      </c>
      <c r="S335">
        <v>490</v>
      </c>
      <c r="T335">
        <v>507</v>
      </c>
    </row>
    <row r="336" spans="1:20">
      <c r="A336" s="7" t="s">
        <v>430</v>
      </c>
      <c r="B336" s="16" t="s">
        <v>283</v>
      </c>
      <c r="C336">
        <v>25054405.130339287</v>
      </c>
      <c r="D336">
        <v>29737368.237765953</v>
      </c>
      <c r="E336">
        <v>9009.0090090089998</v>
      </c>
      <c r="F336">
        <v>198198.19819819799</v>
      </c>
      <c r="G336">
        <v>4</v>
      </c>
      <c r="H336">
        <v>4</v>
      </c>
      <c r="K336">
        <v>4</v>
      </c>
      <c r="L336">
        <v>4</v>
      </c>
      <c r="M336">
        <v>9009.0090090089998</v>
      </c>
      <c r="N336">
        <v>288288.28828828799</v>
      </c>
      <c r="O336">
        <v>2050585.5855855851</v>
      </c>
      <c r="P336">
        <v>2584639.6396396388</v>
      </c>
      <c r="R336">
        <v>173423.423423423</v>
      </c>
      <c r="S336">
        <v>833</v>
      </c>
      <c r="T336">
        <v>766</v>
      </c>
    </row>
    <row r="337" spans="1:20">
      <c r="A337" s="7" t="s">
        <v>431</v>
      </c>
      <c r="B337" s="16" t="s">
        <v>78</v>
      </c>
      <c r="C337">
        <v>171780703.02682135</v>
      </c>
      <c r="D337">
        <v>171889872.38373694</v>
      </c>
      <c r="E337">
        <v>1216216.216216217</v>
      </c>
      <c r="F337">
        <v>1910810.810810813</v>
      </c>
      <c r="G337">
        <v>30</v>
      </c>
      <c r="H337">
        <v>125</v>
      </c>
      <c r="K337">
        <v>33</v>
      </c>
      <c r="L337">
        <v>194</v>
      </c>
      <c r="M337">
        <v>14833333.333333332</v>
      </c>
      <c r="N337">
        <v>13676576.576576576</v>
      </c>
      <c r="O337">
        <v>71134036.036036029</v>
      </c>
      <c r="P337">
        <v>73341486.48648648</v>
      </c>
      <c r="Q337">
        <v>16578108.108108105</v>
      </c>
      <c r="R337">
        <v>15441711.71171171</v>
      </c>
      <c r="S337">
        <v>6302</v>
      </c>
      <c r="T337">
        <v>6554</v>
      </c>
    </row>
    <row r="338" spans="1:20">
      <c r="A338" s="7" t="s">
        <v>432</v>
      </c>
      <c r="B338" s="16" t="s">
        <v>105</v>
      </c>
      <c r="C338">
        <v>152769367.76790941</v>
      </c>
      <c r="D338">
        <v>153456573.98643687</v>
      </c>
      <c r="E338">
        <v>15823423.423423424</v>
      </c>
      <c r="F338">
        <v>418018.01801801799</v>
      </c>
      <c r="G338">
        <v>27</v>
      </c>
      <c r="H338">
        <v>19</v>
      </c>
      <c r="K338">
        <v>29</v>
      </c>
      <c r="L338">
        <v>22</v>
      </c>
      <c r="M338">
        <v>15189504.504504504</v>
      </c>
      <c r="N338">
        <v>16361666.666666666</v>
      </c>
      <c r="O338">
        <v>35273951.351351351</v>
      </c>
      <c r="P338">
        <v>37188666.666666664</v>
      </c>
      <c r="Q338">
        <v>13775675.675675675</v>
      </c>
      <c r="R338">
        <v>20255540.540540539</v>
      </c>
      <c r="S338">
        <v>3668</v>
      </c>
      <c r="T338">
        <v>3679</v>
      </c>
    </row>
    <row r="339" spans="1:20">
      <c r="A339" s="7" t="s">
        <v>433</v>
      </c>
      <c r="B339" s="16" t="s">
        <v>72</v>
      </c>
      <c r="C339">
        <v>862352928.6790483</v>
      </c>
      <c r="D339">
        <v>836434158.33287299</v>
      </c>
      <c r="E339">
        <v>2476126.1261261338</v>
      </c>
      <c r="F339">
        <v>5331081.0810810952</v>
      </c>
      <c r="G339">
        <v>220</v>
      </c>
      <c r="H339">
        <v>211</v>
      </c>
      <c r="I339">
        <v>1</v>
      </c>
      <c r="K339">
        <v>322</v>
      </c>
      <c r="L339">
        <v>325</v>
      </c>
      <c r="M339">
        <v>123005855.85585585</v>
      </c>
      <c r="N339">
        <v>109955405.4054054</v>
      </c>
      <c r="O339">
        <v>178238906.3063063</v>
      </c>
      <c r="P339">
        <v>175491250</v>
      </c>
      <c r="Q339">
        <v>94611574.774774775</v>
      </c>
      <c r="R339">
        <v>90648648.648648649</v>
      </c>
      <c r="S339">
        <v>18176</v>
      </c>
      <c r="T339">
        <v>18242</v>
      </c>
    </row>
    <row r="340" spans="1:20">
      <c r="A340" s="7" t="s">
        <v>434</v>
      </c>
      <c r="B340" s="16" t="s">
        <v>72</v>
      </c>
      <c r="C340">
        <v>601049579.33570957</v>
      </c>
      <c r="D340">
        <v>579547529.3425343</v>
      </c>
      <c r="E340">
        <v>1796396.3963963981</v>
      </c>
      <c r="F340">
        <v>3582207.2072072141</v>
      </c>
      <c r="G340">
        <v>129</v>
      </c>
      <c r="H340">
        <v>132</v>
      </c>
      <c r="K340">
        <v>143</v>
      </c>
      <c r="L340">
        <v>171</v>
      </c>
      <c r="M340">
        <v>77300360.360360354</v>
      </c>
      <c r="N340">
        <v>58529729.729729727</v>
      </c>
      <c r="O340">
        <v>104395995.49549548</v>
      </c>
      <c r="P340">
        <v>107867801.8018018</v>
      </c>
      <c r="Q340">
        <v>51989549.54954955</v>
      </c>
      <c r="R340">
        <v>47110000</v>
      </c>
      <c r="S340">
        <v>13589</v>
      </c>
      <c r="T340">
        <v>15188</v>
      </c>
    </row>
    <row r="341" spans="1:20">
      <c r="A341" s="7" t="s">
        <v>435</v>
      </c>
      <c r="B341" s="16" t="s">
        <v>94</v>
      </c>
      <c r="C341">
        <v>45681498.949478328</v>
      </c>
      <c r="D341">
        <v>40584938.354543023</v>
      </c>
      <c r="E341">
        <v>900.900900901</v>
      </c>
      <c r="F341">
        <v>13513.513513514001</v>
      </c>
      <c r="G341">
        <v>7</v>
      </c>
      <c r="H341">
        <v>3</v>
      </c>
      <c r="K341">
        <v>7</v>
      </c>
      <c r="L341">
        <v>3</v>
      </c>
      <c r="M341">
        <v>541441.44144144095</v>
      </c>
      <c r="N341">
        <v>554054.05405405397</v>
      </c>
      <c r="O341">
        <v>10492792.792792792</v>
      </c>
      <c r="P341">
        <v>9941954.9549549557</v>
      </c>
      <c r="Q341">
        <v>289459.459459459</v>
      </c>
      <c r="R341">
        <v>381801.80180180201</v>
      </c>
      <c r="S341">
        <v>940</v>
      </c>
      <c r="T341">
        <v>870</v>
      </c>
    </row>
    <row r="342" spans="1:20">
      <c r="A342" s="7" t="s">
        <v>436</v>
      </c>
      <c r="B342" s="16" t="s">
        <v>89</v>
      </c>
      <c r="C342">
        <v>205574861.36002654</v>
      </c>
      <c r="D342">
        <v>211317912.26654276</v>
      </c>
      <c r="E342">
        <v>2190945.9459459479</v>
      </c>
      <c r="F342">
        <v>2713513.5135135208</v>
      </c>
      <c r="G342">
        <v>51</v>
      </c>
      <c r="H342">
        <v>62</v>
      </c>
      <c r="K342">
        <v>51</v>
      </c>
      <c r="L342">
        <v>70</v>
      </c>
      <c r="M342">
        <v>31823603.603603605</v>
      </c>
      <c r="N342">
        <v>25812252.252252251</v>
      </c>
      <c r="O342">
        <v>86717117.117117122</v>
      </c>
      <c r="P342">
        <v>95253869.369369373</v>
      </c>
      <c r="Q342">
        <v>27111441.441441439</v>
      </c>
      <c r="R342">
        <v>26653423.423423424</v>
      </c>
      <c r="S342">
        <v>5309</v>
      </c>
      <c r="T342">
        <v>5490</v>
      </c>
    </row>
    <row r="343" spans="1:20">
      <c r="A343" s="7" t="s">
        <v>437</v>
      </c>
      <c r="B343" s="16" t="s">
        <v>70</v>
      </c>
      <c r="C343">
        <v>6811696.1088195862</v>
      </c>
      <c r="D343">
        <v>6427436.3491037488</v>
      </c>
      <c r="G343">
        <v>12</v>
      </c>
      <c r="H343">
        <v>5</v>
      </c>
      <c r="K343">
        <v>13</v>
      </c>
      <c r="L343">
        <v>5</v>
      </c>
      <c r="O343">
        <v>3923918.9189189188</v>
      </c>
      <c r="P343">
        <v>4227198.1981981993</v>
      </c>
      <c r="S343">
        <v>1161</v>
      </c>
      <c r="T343">
        <v>2539</v>
      </c>
    </row>
    <row r="344" spans="1:20">
      <c r="A344" s="7" t="s">
        <v>438</v>
      </c>
      <c r="B344" s="16" t="s">
        <v>195</v>
      </c>
      <c r="C344">
        <v>1018098694.3250564</v>
      </c>
      <c r="D344">
        <v>988565129.35904884</v>
      </c>
      <c r="E344">
        <v>115140657.65765767</v>
      </c>
      <c r="F344">
        <v>103155216.21621622</v>
      </c>
      <c r="G344">
        <v>255</v>
      </c>
      <c r="H344">
        <v>275</v>
      </c>
      <c r="K344">
        <v>298</v>
      </c>
      <c r="L344">
        <v>345</v>
      </c>
      <c r="M344">
        <v>90544594.594594598</v>
      </c>
      <c r="N344">
        <v>81312972.972972974</v>
      </c>
      <c r="O344">
        <v>159270009.00900903</v>
      </c>
      <c r="P344">
        <v>171171454.95495495</v>
      </c>
      <c r="Q344">
        <v>81686846.846846849</v>
      </c>
      <c r="R344">
        <v>77314774.77477479</v>
      </c>
      <c r="S344">
        <v>20756</v>
      </c>
      <c r="T344">
        <v>20611</v>
      </c>
    </row>
    <row r="345" spans="1:20">
      <c r="A345" s="7" t="s">
        <v>439</v>
      </c>
      <c r="B345" s="16" t="s">
        <v>178</v>
      </c>
      <c r="C345">
        <v>489668197.96061939</v>
      </c>
      <c r="D345">
        <v>492822689.36949545</v>
      </c>
      <c r="E345">
        <v>1339009.0090090099</v>
      </c>
      <c r="F345">
        <v>7976576.5765765822</v>
      </c>
      <c r="G345">
        <v>110</v>
      </c>
      <c r="H345">
        <v>69</v>
      </c>
      <c r="I345">
        <v>1</v>
      </c>
      <c r="K345">
        <v>129</v>
      </c>
      <c r="L345">
        <v>134</v>
      </c>
      <c r="M345">
        <v>95647889.189189196</v>
      </c>
      <c r="N345">
        <v>86770305.405405402</v>
      </c>
      <c r="O345">
        <v>187969270.27027026</v>
      </c>
      <c r="P345">
        <v>197728923.42342341</v>
      </c>
      <c r="Q345">
        <v>74091171.171171188</v>
      </c>
      <c r="R345">
        <v>73256621.621621609</v>
      </c>
      <c r="S345">
        <v>14732</v>
      </c>
      <c r="T345">
        <v>14103</v>
      </c>
    </row>
    <row r="346" spans="1:20">
      <c r="A346" s="7" t="s">
        <v>440</v>
      </c>
      <c r="B346" s="16" t="s">
        <v>78</v>
      </c>
      <c r="C346">
        <v>209508484.13538525</v>
      </c>
      <c r="D346">
        <v>212191722.96760902</v>
      </c>
      <c r="E346">
        <v>1870900.900900902</v>
      </c>
      <c r="F346">
        <v>2989189.18918919</v>
      </c>
      <c r="G346">
        <v>36</v>
      </c>
      <c r="H346">
        <v>50</v>
      </c>
      <c r="K346">
        <v>44</v>
      </c>
      <c r="L346">
        <v>70</v>
      </c>
      <c r="M346">
        <v>16360090.090090089</v>
      </c>
      <c r="N346">
        <v>18962162.162162159</v>
      </c>
      <c r="O346">
        <v>41602972.972972974</v>
      </c>
      <c r="P346">
        <v>43048117.117117122</v>
      </c>
      <c r="Q346">
        <v>18933423.423423424</v>
      </c>
      <c r="R346">
        <v>20409729.729729727</v>
      </c>
      <c r="S346">
        <v>4860</v>
      </c>
      <c r="T346">
        <v>4770</v>
      </c>
    </row>
    <row r="347" spans="1:20">
      <c r="A347" s="7" t="s">
        <v>441</v>
      </c>
      <c r="B347" s="16" t="s">
        <v>78</v>
      </c>
      <c r="C347">
        <v>94124702.253494665</v>
      </c>
      <c r="D347">
        <v>88511593.090725437</v>
      </c>
      <c r="E347">
        <v>334234.23423423601</v>
      </c>
      <c r="F347">
        <v>1356756.756756759</v>
      </c>
      <c r="G347">
        <v>20</v>
      </c>
      <c r="H347">
        <v>19</v>
      </c>
      <c r="K347">
        <v>21</v>
      </c>
      <c r="L347">
        <v>25</v>
      </c>
      <c r="M347">
        <v>14371081.081081079</v>
      </c>
      <c r="N347">
        <v>16079099.0990991</v>
      </c>
      <c r="O347">
        <v>18370675.675675675</v>
      </c>
      <c r="P347">
        <v>18572009.009009007</v>
      </c>
      <c r="Q347">
        <v>16375765.765765768</v>
      </c>
      <c r="R347">
        <v>16442072.072072074</v>
      </c>
      <c r="S347">
        <v>2305</v>
      </c>
      <c r="T347">
        <v>2378</v>
      </c>
    </row>
    <row r="348" spans="1:20">
      <c r="A348" s="7" t="s">
        <v>442</v>
      </c>
      <c r="B348" s="16" t="s">
        <v>123</v>
      </c>
      <c r="C348">
        <v>1434862.98165681</v>
      </c>
      <c r="D348">
        <v>1636263.0746395311</v>
      </c>
      <c r="G348">
        <v>1</v>
      </c>
      <c r="K348">
        <v>1</v>
      </c>
      <c r="O348">
        <v>610405.40540540498</v>
      </c>
      <c r="P348">
        <v>686891.89189189195</v>
      </c>
      <c r="S348">
        <v>373</v>
      </c>
      <c r="T348">
        <v>305</v>
      </c>
    </row>
    <row r="349" spans="1:20">
      <c r="A349" s="7" t="s">
        <v>443</v>
      </c>
      <c r="B349" s="16" t="s">
        <v>140</v>
      </c>
      <c r="C349">
        <v>208507722.52124551</v>
      </c>
      <c r="D349">
        <v>217127166.71949834</v>
      </c>
      <c r="E349">
        <v>1757432.432432431</v>
      </c>
      <c r="F349">
        <v>1156306.306306306</v>
      </c>
      <c r="G349">
        <v>17</v>
      </c>
      <c r="H349">
        <v>35</v>
      </c>
      <c r="I349">
        <v>1</v>
      </c>
      <c r="K349">
        <v>23</v>
      </c>
      <c r="L349">
        <v>42</v>
      </c>
      <c r="M349">
        <v>20294144.144144144</v>
      </c>
      <c r="N349">
        <v>22569729.729729727</v>
      </c>
      <c r="O349">
        <v>50461171.171171166</v>
      </c>
      <c r="P349">
        <v>60015945.945945948</v>
      </c>
      <c r="Q349">
        <v>18204414.414414417</v>
      </c>
      <c r="R349">
        <v>21096756.756756756</v>
      </c>
      <c r="S349">
        <v>5798</v>
      </c>
      <c r="T349">
        <v>5822</v>
      </c>
    </row>
    <row r="350" spans="1:20">
      <c r="A350" s="7" t="s">
        <v>444</v>
      </c>
      <c r="B350" s="16" t="s">
        <v>76</v>
      </c>
      <c r="C350">
        <v>23063660.788647592</v>
      </c>
      <c r="D350">
        <v>23684547.695941865</v>
      </c>
      <c r="E350">
        <v>175675.675675676</v>
      </c>
      <c r="F350">
        <v>218918.91891891899</v>
      </c>
      <c r="G350">
        <v>7</v>
      </c>
      <c r="H350">
        <v>3</v>
      </c>
      <c r="K350">
        <v>8</v>
      </c>
      <c r="L350">
        <v>4</v>
      </c>
      <c r="M350">
        <v>8049549.5495495507</v>
      </c>
      <c r="N350">
        <v>3417117.1171171172</v>
      </c>
      <c r="O350">
        <v>5090270.2702702703</v>
      </c>
      <c r="P350">
        <v>5355378.3783783782</v>
      </c>
      <c r="Q350">
        <v>5447927.927927928</v>
      </c>
      <c r="R350">
        <v>3568378.3783783782</v>
      </c>
      <c r="S350">
        <v>604</v>
      </c>
      <c r="T350">
        <v>598</v>
      </c>
    </row>
    <row r="351" spans="1:20">
      <c r="A351" s="7" t="s">
        <v>445</v>
      </c>
      <c r="B351" s="16" t="s">
        <v>89</v>
      </c>
      <c r="C351">
        <v>654979351.09704947</v>
      </c>
      <c r="D351">
        <v>663225836.86325967</v>
      </c>
      <c r="E351">
        <v>99513556.756756768</v>
      </c>
      <c r="F351">
        <v>406777563.06306309</v>
      </c>
      <c r="G351">
        <v>495</v>
      </c>
      <c r="H351">
        <v>264</v>
      </c>
      <c r="I351">
        <v>4</v>
      </c>
      <c r="K351">
        <v>564</v>
      </c>
      <c r="L351">
        <v>828</v>
      </c>
      <c r="M351">
        <v>71709639.639639646</v>
      </c>
      <c r="N351">
        <v>243915945.94594595</v>
      </c>
      <c r="O351">
        <v>198688594.5945946</v>
      </c>
      <c r="P351">
        <v>217587268.46846849</v>
      </c>
      <c r="Q351">
        <v>70585135.135135129</v>
      </c>
      <c r="R351">
        <v>139541621.62162161</v>
      </c>
      <c r="S351">
        <v>16355</v>
      </c>
      <c r="T351">
        <v>16888</v>
      </c>
    </row>
    <row r="352" spans="1:20">
      <c r="A352" s="7" t="s">
        <v>446</v>
      </c>
      <c r="B352" s="16" t="s">
        <v>48</v>
      </c>
      <c r="C352">
        <v>68111419.577749446</v>
      </c>
      <c r="D352">
        <v>65061546.481408067</v>
      </c>
      <c r="E352">
        <v>704504.50450450496</v>
      </c>
      <c r="F352">
        <v>1801801.8018018019</v>
      </c>
      <c r="G352">
        <v>2</v>
      </c>
      <c r="H352">
        <v>5</v>
      </c>
      <c r="K352">
        <v>2</v>
      </c>
      <c r="L352">
        <v>10</v>
      </c>
      <c r="M352">
        <v>7981441.4414414419</v>
      </c>
      <c r="N352">
        <v>17725945.945945945</v>
      </c>
      <c r="O352">
        <v>22668693.693693697</v>
      </c>
      <c r="P352">
        <v>22107054.054054055</v>
      </c>
      <c r="Q352">
        <v>7973783.7837837851</v>
      </c>
      <c r="R352">
        <v>17612522.522522524</v>
      </c>
      <c r="S352">
        <v>1100</v>
      </c>
      <c r="T352">
        <v>1131</v>
      </c>
    </row>
    <row r="353" spans="1:20">
      <c r="A353" s="7" t="s">
        <v>447</v>
      </c>
      <c r="B353" s="16" t="s">
        <v>448</v>
      </c>
      <c r="C353">
        <v>131938479.71893527</v>
      </c>
      <c r="D353">
        <v>129306312.39846082</v>
      </c>
      <c r="E353">
        <v>742117.11711711797</v>
      </c>
      <c r="F353">
        <v>2982882.8828828838</v>
      </c>
      <c r="G353">
        <v>536</v>
      </c>
      <c r="H353">
        <v>124</v>
      </c>
      <c r="K353">
        <v>557</v>
      </c>
      <c r="L353">
        <v>174</v>
      </c>
      <c r="M353">
        <v>15736936.936936935</v>
      </c>
      <c r="N353">
        <v>10996216.216216218</v>
      </c>
      <c r="O353">
        <v>52966126.126126125</v>
      </c>
      <c r="P353">
        <v>52852585.585585587</v>
      </c>
      <c r="Q353">
        <v>10243153.153153151</v>
      </c>
      <c r="R353">
        <v>12410540.540540542</v>
      </c>
      <c r="S353">
        <v>5535</v>
      </c>
      <c r="T353">
        <v>5611</v>
      </c>
    </row>
    <row r="354" spans="1:20">
      <c r="A354" s="7" t="s">
        <v>449</v>
      </c>
      <c r="B354" s="16" t="s">
        <v>76</v>
      </c>
      <c r="C354">
        <v>33713453.786429763</v>
      </c>
      <c r="D354">
        <v>30701024.512326494</v>
      </c>
      <c r="E354">
        <v>18918.918918920001</v>
      </c>
      <c r="F354">
        <v>514414.41441441601</v>
      </c>
      <c r="G354">
        <v>9</v>
      </c>
      <c r="H354">
        <v>21</v>
      </c>
      <c r="K354">
        <v>13</v>
      </c>
      <c r="L354">
        <v>21</v>
      </c>
      <c r="M354">
        <v>8400900.9009009022</v>
      </c>
      <c r="N354">
        <v>9080000</v>
      </c>
      <c r="O354">
        <v>12590180.180180181</v>
      </c>
      <c r="P354">
        <v>10998962.162162162</v>
      </c>
      <c r="Q354">
        <v>6306936.9369369382</v>
      </c>
      <c r="R354">
        <v>7249099.0990991006</v>
      </c>
      <c r="S354">
        <v>1874</v>
      </c>
      <c r="T354">
        <v>1870</v>
      </c>
    </row>
    <row r="355" spans="1:20">
      <c r="A355" s="7" t="s">
        <v>450</v>
      </c>
      <c r="B355" s="16" t="s">
        <v>83</v>
      </c>
      <c r="C355">
        <v>1185644118.4820147</v>
      </c>
      <c r="D355">
        <v>1183091782.3826082</v>
      </c>
      <c r="E355">
        <v>560974679.27927935</v>
      </c>
      <c r="F355">
        <v>266370916.21621624</v>
      </c>
      <c r="G355">
        <v>259</v>
      </c>
      <c r="H355">
        <v>273</v>
      </c>
      <c r="I355">
        <v>6</v>
      </c>
      <c r="K355">
        <v>332</v>
      </c>
      <c r="L355">
        <v>386</v>
      </c>
      <c r="M355">
        <v>131598378.37837839</v>
      </c>
      <c r="N355">
        <v>143874324.32432434</v>
      </c>
      <c r="O355">
        <v>249438819.81981981</v>
      </c>
      <c r="P355">
        <v>256919695.94594595</v>
      </c>
      <c r="Q355">
        <v>119057207.2072072</v>
      </c>
      <c r="R355">
        <v>140121531.53153154</v>
      </c>
      <c r="S355">
        <v>31360</v>
      </c>
      <c r="T355">
        <v>32147</v>
      </c>
    </row>
    <row r="356" spans="1:20">
      <c r="A356" s="7" t="s">
        <v>451</v>
      </c>
      <c r="B356" s="16" t="s">
        <v>70</v>
      </c>
      <c r="C356">
        <v>81943218.882073283</v>
      </c>
      <c r="D356">
        <v>76964382.987914875</v>
      </c>
      <c r="E356">
        <v>48255405.40540541</v>
      </c>
      <c r="F356">
        <v>76329729.729729727</v>
      </c>
      <c r="G356">
        <v>20</v>
      </c>
      <c r="H356">
        <v>19</v>
      </c>
      <c r="K356">
        <v>20</v>
      </c>
      <c r="L356">
        <v>20</v>
      </c>
      <c r="M356">
        <v>12052252.252252253</v>
      </c>
      <c r="N356">
        <v>21218243.243243244</v>
      </c>
      <c r="O356">
        <v>48439189.189189196</v>
      </c>
      <c r="P356">
        <v>47712558.558558561</v>
      </c>
      <c r="Q356">
        <v>2554774.7747747758</v>
      </c>
      <c r="R356">
        <v>1390900.900900902</v>
      </c>
      <c r="S356">
        <v>2864</v>
      </c>
      <c r="T356">
        <v>3469</v>
      </c>
    </row>
    <row r="357" spans="1:20">
      <c r="A357" s="7" t="s">
        <v>452</v>
      </c>
      <c r="B357" s="16" t="s">
        <v>167</v>
      </c>
      <c r="C357">
        <v>96234481.503271148</v>
      </c>
      <c r="D357">
        <v>93397289.456771314</v>
      </c>
      <c r="E357">
        <v>39639.639639640001</v>
      </c>
      <c r="F357">
        <v>495495.49549549498</v>
      </c>
      <c r="G357">
        <v>6</v>
      </c>
      <c r="H357">
        <v>4</v>
      </c>
      <c r="I357">
        <v>1</v>
      </c>
      <c r="K357">
        <v>8</v>
      </c>
      <c r="L357">
        <v>4</v>
      </c>
      <c r="M357">
        <v>5026666.666666666</v>
      </c>
      <c r="N357">
        <v>2371621.6216216241</v>
      </c>
      <c r="O357">
        <v>16580720.72072072</v>
      </c>
      <c r="P357">
        <v>17349828.828828827</v>
      </c>
      <c r="Q357">
        <v>6045765.7657657648</v>
      </c>
      <c r="R357">
        <v>3880630.6306306329</v>
      </c>
      <c r="S357">
        <v>2702</v>
      </c>
      <c r="T357">
        <v>2607</v>
      </c>
    </row>
    <row r="358" spans="1:20">
      <c r="A358" s="7" t="s">
        <v>453</v>
      </c>
      <c r="B358" s="16" t="s">
        <v>121</v>
      </c>
      <c r="C358">
        <v>5883001.8998784181</v>
      </c>
      <c r="D358">
        <v>3949261.8121647551</v>
      </c>
      <c r="E358">
        <v>14414.414414413999</v>
      </c>
      <c r="F358">
        <v>34234.234234233998</v>
      </c>
      <c r="G358">
        <v>4</v>
      </c>
      <c r="H358">
        <v>1</v>
      </c>
      <c r="K358">
        <v>4</v>
      </c>
      <c r="L358">
        <v>2</v>
      </c>
      <c r="M358">
        <v>158558.558558558</v>
      </c>
      <c r="N358">
        <v>36036.036036035999</v>
      </c>
      <c r="O358">
        <v>558738.73873873905</v>
      </c>
      <c r="P358">
        <v>397387.38738738699</v>
      </c>
      <c r="Q358">
        <v>144144.144144144</v>
      </c>
      <c r="S358">
        <v>135</v>
      </c>
      <c r="T358">
        <v>133</v>
      </c>
    </row>
    <row r="359" spans="1:20">
      <c r="A359" s="7" t="s">
        <v>454</v>
      </c>
      <c r="B359" s="16" t="s">
        <v>224</v>
      </c>
      <c r="C359">
        <v>35722102.02440431</v>
      </c>
      <c r="D359">
        <v>31576704.144311514</v>
      </c>
      <c r="G359">
        <v>1</v>
      </c>
      <c r="K359">
        <v>1</v>
      </c>
      <c r="L359">
        <v>1</v>
      </c>
      <c r="O359">
        <v>6270675.6756756762</v>
      </c>
      <c r="P359">
        <v>6186657.6576576568</v>
      </c>
      <c r="Q359">
        <v>149099.099099099</v>
      </c>
      <c r="R359">
        <v>138828.82882882899</v>
      </c>
      <c r="S359">
        <v>1286</v>
      </c>
      <c r="T359">
        <v>1235</v>
      </c>
    </row>
    <row r="360" spans="1:20">
      <c r="A360" s="7" t="s">
        <v>455</v>
      </c>
      <c r="B360" s="16" t="s">
        <v>94</v>
      </c>
      <c r="C360">
        <v>39552646.780546866</v>
      </c>
      <c r="D360">
        <v>52287009.881967925</v>
      </c>
      <c r="E360">
        <v>207207.207207208</v>
      </c>
      <c r="F360">
        <v>441441.441441442</v>
      </c>
      <c r="G360">
        <v>15</v>
      </c>
      <c r="H360">
        <v>15</v>
      </c>
      <c r="K360">
        <v>17</v>
      </c>
      <c r="L360">
        <v>16</v>
      </c>
      <c r="M360">
        <v>5185585.5855855858</v>
      </c>
      <c r="N360">
        <v>17252252.252252251</v>
      </c>
      <c r="O360">
        <v>7902837.8378378376</v>
      </c>
      <c r="P360">
        <v>12328986.486486487</v>
      </c>
      <c r="Q360">
        <v>5956756.7567567583</v>
      </c>
      <c r="R360">
        <v>17331981.981981982</v>
      </c>
      <c r="S360">
        <v>1856</v>
      </c>
      <c r="T360">
        <v>2009</v>
      </c>
    </row>
    <row r="361" spans="1:20">
      <c r="A361" s="7" t="s">
        <v>456</v>
      </c>
      <c r="B361" s="16" t="s">
        <v>60</v>
      </c>
      <c r="C361">
        <v>9263128.5680744369</v>
      </c>
      <c r="D361">
        <v>7019143.5491940053</v>
      </c>
      <c r="E361">
        <v>297297.29729729699</v>
      </c>
      <c r="F361">
        <v>170270.27027027</v>
      </c>
      <c r="G361">
        <v>5</v>
      </c>
      <c r="H361">
        <v>5</v>
      </c>
      <c r="K361">
        <v>5</v>
      </c>
      <c r="L361">
        <v>6</v>
      </c>
      <c r="M361">
        <v>2549549.5495495498</v>
      </c>
      <c r="N361">
        <v>1206306.306306307</v>
      </c>
      <c r="O361">
        <v>5411756.7567567574</v>
      </c>
      <c r="P361">
        <v>3120756.756756756</v>
      </c>
      <c r="Q361">
        <v>1558018.0180180171</v>
      </c>
      <c r="R361">
        <v>620270.27027026995</v>
      </c>
      <c r="S361">
        <v>658</v>
      </c>
      <c r="T361">
        <v>569</v>
      </c>
    </row>
    <row r="362" spans="1:20">
      <c r="A362" s="7" t="s">
        <v>457</v>
      </c>
      <c r="B362" s="16" t="s">
        <v>214</v>
      </c>
      <c r="C362">
        <v>120012130.03516738</v>
      </c>
      <c r="D362">
        <v>129908629.55103751</v>
      </c>
      <c r="F362">
        <v>396396.39639639598</v>
      </c>
      <c r="G362">
        <v>19</v>
      </c>
      <c r="H362">
        <v>31</v>
      </c>
      <c r="K362">
        <v>23</v>
      </c>
      <c r="L362">
        <v>40</v>
      </c>
      <c r="M362">
        <v>450450.45045045001</v>
      </c>
      <c r="N362">
        <v>936936.93693693704</v>
      </c>
      <c r="O362">
        <v>61351486.486486487</v>
      </c>
      <c r="P362">
        <v>66315009.009009011</v>
      </c>
      <c r="Q362">
        <v>432432.43243243202</v>
      </c>
      <c r="R362">
        <v>1704504.5045045051</v>
      </c>
      <c r="S362">
        <v>2989</v>
      </c>
      <c r="T362">
        <v>2867</v>
      </c>
    </row>
    <row r="363" spans="1:20">
      <c r="A363" s="7" t="s">
        <v>458</v>
      </c>
      <c r="B363" s="16" t="s">
        <v>459</v>
      </c>
      <c r="C363">
        <v>531441967.28019375</v>
      </c>
      <c r="D363">
        <v>503799884.58914644</v>
      </c>
      <c r="E363">
        <v>1962657.6576576589</v>
      </c>
      <c r="F363">
        <v>9602252.2522522602</v>
      </c>
      <c r="G363">
        <v>243</v>
      </c>
      <c r="H363">
        <v>322</v>
      </c>
      <c r="I363">
        <v>2</v>
      </c>
      <c r="K363">
        <v>314</v>
      </c>
      <c r="L363">
        <v>444</v>
      </c>
      <c r="M363">
        <v>57679009.009009011</v>
      </c>
      <c r="N363">
        <v>207091081.08108109</v>
      </c>
      <c r="O363">
        <v>171896324.32432431</v>
      </c>
      <c r="P363">
        <v>179401209.45945945</v>
      </c>
      <c r="Q363">
        <v>50973333.333333328</v>
      </c>
      <c r="R363">
        <v>105065585.58558558</v>
      </c>
      <c r="S363">
        <v>25246</v>
      </c>
      <c r="T363">
        <v>24233</v>
      </c>
    </row>
    <row r="364" spans="1:20">
      <c r="A364" s="7" t="s">
        <v>460</v>
      </c>
      <c r="B364" s="16" t="s">
        <v>459</v>
      </c>
      <c r="C364">
        <v>1341743442.4820068</v>
      </c>
      <c r="D364">
        <v>1455078740.0614879</v>
      </c>
      <c r="E364">
        <v>7024504.5045045093</v>
      </c>
      <c r="F364">
        <v>11479279.279279286</v>
      </c>
      <c r="G364">
        <v>431</v>
      </c>
      <c r="H364">
        <v>431</v>
      </c>
      <c r="I364">
        <v>2</v>
      </c>
      <c r="K364">
        <v>530</v>
      </c>
      <c r="L364">
        <v>570</v>
      </c>
      <c r="M364">
        <v>60521396.396396399</v>
      </c>
      <c r="N364">
        <v>82357792.792792782</v>
      </c>
      <c r="O364">
        <v>685083259.45945942</v>
      </c>
      <c r="P364">
        <v>846172887.83783782</v>
      </c>
      <c r="Q364">
        <v>54682207.207207203</v>
      </c>
      <c r="R364">
        <v>78613468.468468457</v>
      </c>
      <c r="S364">
        <v>31477</v>
      </c>
      <c r="T364">
        <v>29680</v>
      </c>
    </row>
    <row r="365" spans="1:20">
      <c r="A365" s="7" t="s">
        <v>461</v>
      </c>
      <c r="B365" s="16" t="s">
        <v>459</v>
      </c>
      <c r="C365">
        <v>783781831.90239799</v>
      </c>
      <c r="D365">
        <v>800002327.74967754</v>
      </c>
      <c r="E365">
        <v>22220512.612612616</v>
      </c>
      <c r="F365">
        <v>6770270.2702702759</v>
      </c>
      <c r="G365">
        <v>340</v>
      </c>
      <c r="H365">
        <v>358</v>
      </c>
      <c r="I365">
        <v>5</v>
      </c>
      <c r="K365">
        <v>423</v>
      </c>
      <c r="L365">
        <v>483</v>
      </c>
      <c r="M365">
        <v>920499776.57657647</v>
      </c>
      <c r="N365">
        <v>577853243.24324322</v>
      </c>
      <c r="O365">
        <v>202598076.57657659</v>
      </c>
      <c r="P365">
        <v>220147481.98198199</v>
      </c>
      <c r="Q365">
        <v>814310090.09009016</v>
      </c>
      <c r="R365">
        <v>298951891.8918919</v>
      </c>
      <c r="S365">
        <v>23572</v>
      </c>
      <c r="T365">
        <v>21709</v>
      </c>
    </row>
    <row r="366" spans="1:20">
      <c r="A366" s="7" t="s">
        <v>462</v>
      </c>
      <c r="B366" s="16" t="s">
        <v>459</v>
      </c>
      <c r="C366">
        <v>598706501.58078194</v>
      </c>
      <c r="D366">
        <v>580497046.84222341</v>
      </c>
      <c r="E366">
        <v>184755090.09009013</v>
      </c>
      <c r="F366">
        <v>312994774.77477479</v>
      </c>
      <c r="G366">
        <v>192</v>
      </c>
      <c r="H366">
        <v>192</v>
      </c>
      <c r="I366">
        <v>1</v>
      </c>
      <c r="K366">
        <v>258</v>
      </c>
      <c r="L366">
        <v>243</v>
      </c>
      <c r="M366">
        <v>42650675.675675683</v>
      </c>
      <c r="N366">
        <v>87214099.0990991</v>
      </c>
      <c r="O366">
        <v>131029700.9009009</v>
      </c>
      <c r="P366">
        <v>132507369.36936936</v>
      </c>
      <c r="Q366">
        <v>38807657.657657653</v>
      </c>
      <c r="R366">
        <v>52335630.630630635</v>
      </c>
      <c r="S366">
        <v>19364</v>
      </c>
      <c r="T366">
        <v>18836</v>
      </c>
    </row>
    <row r="367" spans="1:20">
      <c r="A367" s="7" t="s">
        <v>463</v>
      </c>
      <c r="B367" s="16" t="s">
        <v>459</v>
      </c>
      <c r="C367">
        <v>561630935.21379483</v>
      </c>
      <c r="D367">
        <v>564470386.50804758</v>
      </c>
      <c r="E367">
        <v>1391891.891891897</v>
      </c>
      <c r="F367">
        <v>9745270.2702702731</v>
      </c>
      <c r="G367">
        <v>233</v>
      </c>
      <c r="H367">
        <v>380</v>
      </c>
      <c r="K367">
        <v>298</v>
      </c>
      <c r="L367">
        <v>511</v>
      </c>
      <c r="M367">
        <v>40264594.59459459</v>
      </c>
      <c r="N367">
        <v>147562747.74774775</v>
      </c>
      <c r="O367">
        <v>209194648.64864865</v>
      </c>
      <c r="P367">
        <v>224777781.53153151</v>
      </c>
      <c r="Q367">
        <v>38649549.549549542</v>
      </c>
      <c r="R367">
        <v>92004819.819819823</v>
      </c>
      <c r="S367">
        <v>26453</v>
      </c>
      <c r="T367">
        <v>27394</v>
      </c>
    </row>
    <row r="368" spans="1:20">
      <c r="A368" s="7" t="s">
        <v>464</v>
      </c>
      <c r="B368" s="16" t="s">
        <v>459</v>
      </c>
      <c r="C368">
        <v>626287510.53982627</v>
      </c>
      <c r="D368">
        <v>652992400.05073571</v>
      </c>
      <c r="E368">
        <v>1093870136.9369369</v>
      </c>
      <c r="F368">
        <v>1499421027.0270269</v>
      </c>
      <c r="G368">
        <v>296</v>
      </c>
      <c r="H368">
        <v>247</v>
      </c>
      <c r="K368">
        <v>363</v>
      </c>
      <c r="L368">
        <v>313</v>
      </c>
      <c r="M368">
        <v>94916666.666666672</v>
      </c>
      <c r="N368">
        <v>82319806.306306303</v>
      </c>
      <c r="O368">
        <v>272078809.009009</v>
      </c>
      <c r="P368">
        <v>279038484.23423421</v>
      </c>
      <c r="Q368">
        <v>86523513.51351352</v>
      </c>
      <c r="R368">
        <v>84490135.135135129</v>
      </c>
      <c r="S368">
        <v>28059</v>
      </c>
      <c r="T368">
        <v>28726</v>
      </c>
    </row>
    <row r="369" spans="1:20">
      <c r="A369" s="7" t="s">
        <v>465</v>
      </c>
      <c r="B369" s="16" t="s">
        <v>54</v>
      </c>
      <c r="C369">
        <v>44217153.079876006</v>
      </c>
      <c r="D369">
        <v>42110643.546587244</v>
      </c>
      <c r="E369">
        <v>22712837.837837841</v>
      </c>
      <c r="F369">
        <v>51596846.846846849</v>
      </c>
      <c r="G369">
        <v>4</v>
      </c>
      <c r="H369">
        <v>12</v>
      </c>
      <c r="K369">
        <v>5</v>
      </c>
      <c r="L369">
        <v>13</v>
      </c>
      <c r="M369">
        <v>5172072.072072071</v>
      </c>
      <c r="N369">
        <v>3691711.7117117122</v>
      </c>
      <c r="O369">
        <v>9125765.7657657657</v>
      </c>
      <c r="P369">
        <v>8725801.8018018026</v>
      </c>
      <c r="Q369">
        <v>3911261.2612612611</v>
      </c>
      <c r="R369">
        <v>3791981.9819819801</v>
      </c>
      <c r="S369">
        <v>1222</v>
      </c>
      <c r="T369">
        <v>1236</v>
      </c>
    </row>
    <row r="370" spans="1:20">
      <c r="A370" s="7" t="s">
        <v>466</v>
      </c>
      <c r="B370" s="16" t="s">
        <v>87</v>
      </c>
      <c r="C370">
        <v>1889276.9355252599</v>
      </c>
      <c r="D370">
        <v>1587132.3633020851</v>
      </c>
      <c r="O370">
        <v>336486.48648648598</v>
      </c>
      <c r="P370">
        <v>295945.94594594598</v>
      </c>
      <c r="S370">
        <v>83</v>
      </c>
      <c r="T370">
        <v>81</v>
      </c>
    </row>
    <row r="371" spans="1:20">
      <c r="A371" s="7" t="s">
        <v>467</v>
      </c>
      <c r="B371" s="16" t="s">
        <v>143</v>
      </c>
      <c r="C371">
        <v>214842277.92776093</v>
      </c>
      <c r="D371">
        <v>207668328.82601187</v>
      </c>
      <c r="E371">
        <v>70270.270270270004</v>
      </c>
      <c r="F371">
        <v>239639.63963964101</v>
      </c>
      <c r="G371">
        <v>66</v>
      </c>
      <c r="H371">
        <v>60</v>
      </c>
      <c r="K371">
        <v>72</v>
      </c>
      <c r="L371">
        <v>69</v>
      </c>
      <c r="M371">
        <v>14700900.9009009</v>
      </c>
      <c r="N371">
        <v>8167567.5675675683</v>
      </c>
      <c r="O371">
        <v>33302468.468468469</v>
      </c>
      <c r="P371">
        <v>31254176.576576576</v>
      </c>
      <c r="Q371">
        <v>11456396.396396397</v>
      </c>
      <c r="R371">
        <v>7891711.7117117113</v>
      </c>
      <c r="S371">
        <v>4939</v>
      </c>
      <c r="T371">
        <v>5029</v>
      </c>
    </row>
    <row r="372" spans="1:20">
      <c r="A372" s="7" t="s">
        <v>468</v>
      </c>
      <c r="B372" s="16" t="s">
        <v>80</v>
      </c>
      <c r="C372">
        <v>188794908.24681482</v>
      </c>
      <c r="D372">
        <v>177975012.06061867</v>
      </c>
      <c r="E372">
        <v>239414.41441441499</v>
      </c>
      <c r="F372">
        <v>31081.081081082</v>
      </c>
      <c r="G372">
        <v>30</v>
      </c>
      <c r="H372">
        <v>32</v>
      </c>
      <c r="K372">
        <v>34</v>
      </c>
      <c r="L372">
        <v>36</v>
      </c>
      <c r="M372">
        <v>6944054.0540540554</v>
      </c>
      <c r="N372">
        <v>3840090.0900900899</v>
      </c>
      <c r="O372">
        <v>69631457.657657653</v>
      </c>
      <c r="P372">
        <v>66353891.891891889</v>
      </c>
      <c r="Q372">
        <v>6418288.2882882887</v>
      </c>
      <c r="R372">
        <v>4021351.3513513519</v>
      </c>
      <c r="S372">
        <v>5092</v>
      </c>
      <c r="T372">
        <v>5286</v>
      </c>
    </row>
    <row r="373" spans="1:20">
      <c r="A373" s="7" t="s">
        <v>469</v>
      </c>
      <c r="B373" s="16" t="s">
        <v>470</v>
      </c>
      <c r="C373">
        <v>206894396.08744836</v>
      </c>
      <c r="D373">
        <v>211371218.60852423</v>
      </c>
      <c r="E373">
        <v>1055585.585585586</v>
      </c>
      <c r="F373">
        <v>1284684.6846846871</v>
      </c>
      <c r="G373">
        <v>44</v>
      </c>
      <c r="H373">
        <v>20</v>
      </c>
      <c r="K373">
        <v>46</v>
      </c>
      <c r="L373">
        <v>22</v>
      </c>
      <c r="M373">
        <v>9092342.3423423432</v>
      </c>
      <c r="N373">
        <v>15915315.315315315</v>
      </c>
      <c r="O373">
        <v>62590837.837837838</v>
      </c>
      <c r="P373">
        <v>65057324.324324317</v>
      </c>
      <c r="Q373">
        <v>9750270.2702702712</v>
      </c>
      <c r="R373">
        <v>15910540.540540541</v>
      </c>
      <c r="S373">
        <v>5400</v>
      </c>
      <c r="T373">
        <v>5399</v>
      </c>
    </row>
    <row r="374" spans="1:20">
      <c r="A374" s="7" t="s">
        <v>471</v>
      </c>
      <c r="B374" s="16" t="s">
        <v>470</v>
      </c>
      <c r="C374">
        <v>19416829.959546041</v>
      </c>
      <c r="D374">
        <v>16750649.75922017</v>
      </c>
      <c r="E374">
        <v>61028482.882882878</v>
      </c>
      <c r="F374">
        <v>145084055.85585588</v>
      </c>
      <c r="G374">
        <v>3</v>
      </c>
      <c r="K374">
        <v>3</v>
      </c>
      <c r="L374">
        <v>1</v>
      </c>
      <c r="M374">
        <v>16166820.72072072</v>
      </c>
      <c r="N374">
        <v>25406001.801801801</v>
      </c>
      <c r="O374">
        <v>1452567.567567568</v>
      </c>
      <c r="P374">
        <v>1605225.2252252251</v>
      </c>
      <c r="Q374">
        <v>47567.567567568003</v>
      </c>
      <c r="R374">
        <v>1823423.4234234239</v>
      </c>
      <c r="S374">
        <v>632</v>
      </c>
      <c r="T374">
        <v>653</v>
      </c>
    </row>
    <row r="375" spans="1:20">
      <c r="A375" s="7" t="s">
        <v>472</v>
      </c>
      <c r="B375" s="16" t="s">
        <v>470</v>
      </c>
      <c r="C375">
        <v>2606098.7802189658</v>
      </c>
      <c r="D375">
        <v>2240957.7741070599</v>
      </c>
      <c r="E375">
        <v>1801.801801802</v>
      </c>
      <c r="F375">
        <v>237837.83783783799</v>
      </c>
      <c r="L375">
        <v>1</v>
      </c>
      <c r="M375">
        <v>96936.936936936996</v>
      </c>
      <c r="N375">
        <v>1931531.5315315321</v>
      </c>
      <c r="O375">
        <v>349099.099099099</v>
      </c>
      <c r="P375">
        <v>487207.20720720699</v>
      </c>
      <c r="Q375">
        <v>232072.072072073</v>
      </c>
      <c r="R375">
        <v>1693693.693693694</v>
      </c>
      <c r="S375">
        <v>346</v>
      </c>
      <c r="T375">
        <v>362</v>
      </c>
    </row>
    <row r="376" spans="1:20">
      <c r="A376" s="7" t="s">
        <v>473</v>
      </c>
      <c r="B376" s="16" t="s">
        <v>470</v>
      </c>
      <c r="C376">
        <v>70231400.409591883</v>
      </c>
      <c r="D376">
        <v>74022929.550286084</v>
      </c>
      <c r="E376">
        <v>370270.27027027</v>
      </c>
      <c r="F376">
        <v>293693.69369369402</v>
      </c>
      <c r="G376">
        <v>16</v>
      </c>
      <c r="H376">
        <v>11</v>
      </c>
      <c r="K376">
        <v>18</v>
      </c>
      <c r="L376">
        <v>12</v>
      </c>
      <c r="M376">
        <v>654594.59459459502</v>
      </c>
      <c r="N376">
        <v>24690090.090090089</v>
      </c>
      <c r="O376">
        <v>9636702.7027027011</v>
      </c>
      <c r="P376">
        <v>10329585.585585587</v>
      </c>
      <c r="Q376">
        <v>4753063.0630630627</v>
      </c>
      <c r="R376">
        <v>13446216.216216216</v>
      </c>
      <c r="S376">
        <v>2213</v>
      </c>
      <c r="T376">
        <v>2172</v>
      </c>
    </row>
    <row r="377" spans="1:20">
      <c r="A377" s="7" t="s">
        <v>474</v>
      </c>
      <c r="B377" s="16" t="s">
        <v>470</v>
      </c>
      <c r="C377">
        <v>100320965.14704461</v>
      </c>
      <c r="D377">
        <v>104604742.39863871</v>
      </c>
      <c r="E377">
        <v>32489954.954954956</v>
      </c>
      <c r="F377">
        <v>83872972.972972974</v>
      </c>
      <c r="G377">
        <v>20</v>
      </c>
      <c r="H377">
        <v>27</v>
      </c>
      <c r="K377">
        <v>22</v>
      </c>
      <c r="L377">
        <v>29</v>
      </c>
      <c r="M377">
        <v>14755135.135135137</v>
      </c>
      <c r="N377">
        <v>6727027.0270270268</v>
      </c>
      <c r="O377">
        <v>22786450.45045045</v>
      </c>
      <c r="P377">
        <v>23051090.090090089</v>
      </c>
      <c r="Q377">
        <v>3168018.0180180199</v>
      </c>
      <c r="R377">
        <v>6424774.7747747749</v>
      </c>
      <c r="S377">
        <v>2134</v>
      </c>
      <c r="T377">
        <v>2374</v>
      </c>
    </row>
    <row r="378" spans="1:20">
      <c r="A378" s="7" t="s">
        <v>475</v>
      </c>
      <c r="B378" s="16" t="s">
        <v>470</v>
      </c>
      <c r="C378">
        <v>38933214.546994127</v>
      </c>
      <c r="D378">
        <v>38295108.846436247</v>
      </c>
      <c r="E378">
        <v>5405.4054054050002</v>
      </c>
      <c r="F378">
        <v>306306.30630630697</v>
      </c>
      <c r="G378">
        <v>6</v>
      </c>
      <c r="H378">
        <v>4</v>
      </c>
      <c r="K378">
        <v>7</v>
      </c>
      <c r="L378">
        <v>4</v>
      </c>
      <c r="M378">
        <v>1463423.4234234251</v>
      </c>
      <c r="N378">
        <v>5513513.5135135148</v>
      </c>
      <c r="O378">
        <v>8582207.2072072085</v>
      </c>
      <c r="P378">
        <v>7986682.8828828819</v>
      </c>
      <c r="Q378">
        <v>2453423.4234234239</v>
      </c>
      <c r="R378">
        <v>5085765.7657657648</v>
      </c>
      <c r="S378">
        <v>1356</v>
      </c>
      <c r="T378">
        <v>1336</v>
      </c>
    </row>
    <row r="379" spans="1:20">
      <c r="A379" s="7" t="s">
        <v>476</v>
      </c>
      <c r="B379" s="16" t="s">
        <v>470</v>
      </c>
      <c r="C379">
        <v>384957533.622585</v>
      </c>
      <c r="D379">
        <v>395360514.76554334</v>
      </c>
      <c r="E379">
        <v>2251486.486486489</v>
      </c>
      <c r="F379">
        <v>6691891.8918918967</v>
      </c>
      <c r="G379">
        <v>154</v>
      </c>
      <c r="H379">
        <v>160</v>
      </c>
      <c r="K379">
        <v>169</v>
      </c>
      <c r="L379">
        <v>267</v>
      </c>
      <c r="M379">
        <v>68348108.108108118</v>
      </c>
      <c r="N379">
        <v>96384324.324324325</v>
      </c>
      <c r="O379">
        <v>94758994.594594598</v>
      </c>
      <c r="P379">
        <v>102707097.2972973</v>
      </c>
      <c r="Q379">
        <v>68807567.567567572</v>
      </c>
      <c r="R379">
        <v>92757297.297297299</v>
      </c>
      <c r="S379">
        <v>15895</v>
      </c>
      <c r="T379">
        <v>16778</v>
      </c>
    </row>
    <row r="380" spans="1:20">
      <c r="A380" s="7" t="s">
        <v>477</v>
      </c>
      <c r="B380" s="16" t="s">
        <v>260</v>
      </c>
      <c r="C380">
        <v>475994397.02569604</v>
      </c>
      <c r="D380">
        <v>491005498.85934424</v>
      </c>
      <c r="E380">
        <v>836126.12612612697</v>
      </c>
      <c r="F380">
        <v>2068693.693693693</v>
      </c>
      <c r="G380">
        <v>88</v>
      </c>
      <c r="H380">
        <v>99</v>
      </c>
      <c r="K380">
        <v>92</v>
      </c>
      <c r="L380">
        <v>116</v>
      </c>
      <c r="M380">
        <v>61997387.387387387</v>
      </c>
      <c r="N380">
        <v>54281081.081081077</v>
      </c>
      <c r="O380">
        <v>118316297.2972973</v>
      </c>
      <c r="P380">
        <v>128084950.45045045</v>
      </c>
      <c r="Q380">
        <v>62438018.018018015</v>
      </c>
      <c r="R380">
        <v>55247747.747747742</v>
      </c>
      <c r="S380">
        <v>11755</v>
      </c>
      <c r="T380">
        <v>10767</v>
      </c>
    </row>
    <row r="381" spans="1:20">
      <c r="A381" s="7" t="s">
        <v>478</v>
      </c>
      <c r="B381" s="16" t="s">
        <v>479</v>
      </c>
      <c r="C381">
        <v>38005593.461926006</v>
      </c>
      <c r="D381">
        <v>32096426.103266489</v>
      </c>
      <c r="E381">
        <v>100221782.88288288</v>
      </c>
      <c r="F381">
        <v>78117366.666666672</v>
      </c>
      <c r="G381">
        <v>14</v>
      </c>
      <c r="H381">
        <v>9</v>
      </c>
      <c r="K381">
        <v>14</v>
      </c>
      <c r="L381">
        <v>10</v>
      </c>
      <c r="M381">
        <v>28864331.531531531</v>
      </c>
      <c r="N381">
        <v>9912005.4054054059</v>
      </c>
      <c r="O381">
        <v>9033513.5135135148</v>
      </c>
      <c r="P381">
        <v>7787477.4774774769</v>
      </c>
      <c r="Q381">
        <v>20218918.918918919</v>
      </c>
      <c r="R381">
        <v>9468288.2882882878</v>
      </c>
      <c r="S381">
        <v>888</v>
      </c>
      <c r="T381">
        <v>775</v>
      </c>
    </row>
    <row r="382" spans="1:20">
      <c r="A382" s="7" t="s">
        <v>480</v>
      </c>
      <c r="B382" s="16" t="s">
        <v>123</v>
      </c>
      <c r="C382">
        <v>257281343.57721585</v>
      </c>
      <c r="D382">
        <v>249594981.79704273</v>
      </c>
      <c r="E382">
        <v>1470720.7207207209</v>
      </c>
      <c r="F382">
        <v>1546846.8468468471</v>
      </c>
      <c r="G382">
        <v>44</v>
      </c>
      <c r="H382">
        <v>51</v>
      </c>
      <c r="K382">
        <v>56</v>
      </c>
      <c r="L382">
        <v>55</v>
      </c>
      <c r="M382">
        <v>18952702.702702701</v>
      </c>
      <c r="N382">
        <v>14362972.972972972</v>
      </c>
      <c r="O382">
        <v>96221162.162162155</v>
      </c>
      <c r="P382">
        <v>93781914.414414421</v>
      </c>
      <c r="Q382">
        <v>17889549.549549554</v>
      </c>
      <c r="R382">
        <v>15318378.378378376</v>
      </c>
      <c r="S382">
        <v>5510</v>
      </c>
      <c r="T382">
        <v>5600</v>
      </c>
    </row>
    <row r="383" spans="1:20">
      <c r="A383" s="7" t="s">
        <v>481</v>
      </c>
      <c r="B383" s="16" t="s">
        <v>470</v>
      </c>
      <c r="C383">
        <v>20783809.568014052</v>
      </c>
      <c r="D383">
        <v>19621657.458980545</v>
      </c>
      <c r="E383">
        <v>24774.774774775</v>
      </c>
      <c r="F383">
        <v>70270.270270270004</v>
      </c>
      <c r="G383">
        <v>4</v>
      </c>
      <c r="H383">
        <v>2</v>
      </c>
      <c r="K383">
        <v>4</v>
      </c>
      <c r="L383">
        <v>3</v>
      </c>
      <c r="M383">
        <v>483333.33333333401</v>
      </c>
      <c r="N383">
        <v>1421621.621621622</v>
      </c>
      <c r="O383">
        <v>3124945.945945946</v>
      </c>
      <c r="P383">
        <v>3106252.2522522518</v>
      </c>
      <c r="Q383">
        <v>700450.45045044995</v>
      </c>
      <c r="R383">
        <v>741531.53153153101</v>
      </c>
      <c r="S383">
        <v>591</v>
      </c>
      <c r="T383">
        <v>588</v>
      </c>
    </row>
    <row r="384" spans="1:20">
      <c r="A384" s="7" t="s">
        <v>482</v>
      </c>
      <c r="B384" s="16" t="s">
        <v>167</v>
      </c>
      <c r="C384">
        <v>210824264.05075949</v>
      </c>
      <c r="D384">
        <v>204937784.85524824</v>
      </c>
      <c r="E384">
        <v>363063.06306306401</v>
      </c>
      <c r="F384">
        <v>1549549.5495495519</v>
      </c>
      <c r="G384">
        <v>129</v>
      </c>
      <c r="H384">
        <v>140</v>
      </c>
      <c r="K384">
        <v>166</v>
      </c>
      <c r="L384">
        <v>257</v>
      </c>
      <c r="M384">
        <v>14916216.216216216</v>
      </c>
      <c r="N384">
        <v>16736973.873873876</v>
      </c>
      <c r="O384">
        <v>83768554.954954967</v>
      </c>
      <c r="P384">
        <v>85342229.729729727</v>
      </c>
      <c r="Q384">
        <v>15499639.63963964</v>
      </c>
      <c r="R384">
        <v>17544324.324324325</v>
      </c>
      <c r="S384">
        <v>9146</v>
      </c>
      <c r="T384">
        <v>8539</v>
      </c>
    </row>
    <row r="385" spans="1:20">
      <c r="A385" s="7" t="s">
        <v>483</v>
      </c>
      <c r="B385" s="16" t="s">
        <v>167</v>
      </c>
      <c r="C385">
        <v>209995272.40608048</v>
      </c>
      <c r="D385">
        <v>232628130.74707314</v>
      </c>
      <c r="E385">
        <v>228559172.07207206</v>
      </c>
      <c r="F385">
        <v>259986203.6036036</v>
      </c>
      <c r="G385">
        <v>235</v>
      </c>
      <c r="H385">
        <v>264</v>
      </c>
      <c r="K385">
        <v>397</v>
      </c>
      <c r="L385">
        <v>822</v>
      </c>
      <c r="M385">
        <v>38795045.045045041</v>
      </c>
      <c r="N385">
        <v>29124550.45045045</v>
      </c>
      <c r="O385">
        <v>81831801.801801801</v>
      </c>
      <c r="P385">
        <v>88365795.495495483</v>
      </c>
      <c r="Q385">
        <v>37784774.774774767</v>
      </c>
      <c r="R385">
        <v>29421304.504504509</v>
      </c>
      <c r="S385">
        <v>9157</v>
      </c>
      <c r="T385">
        <v>9604</v>
      </c>
    </row>
    <row r="386" spans="1:20">
      <c r="A386" s="7" t="s">
        <v>484</v>
      </c>
      <c r="B386" s="16" t="s">
        <v>50</v>
      </c>
      <c r="C386">
        <v>144210852.85411423</v>
      </c>
      <c r="D386">
        <v>140250606.60088441</v>
      </c>
      <c r="E386">
        <v>915855.85585585795</v>
      </c>
      <c r="F386">
        <v>1613513.5135135159</v>
      </c>
      <c r="G386">
        <v>64</v>
      </c>
      <c r="H386">
        <v>42</v>
      </c>
      <c r="K386">
        <v>65</v>
      </c>
      <c r="L386">
        <v>46</v>
      </c>
      <c r="M386">
        <v>37578018.018018015</v>
      </c>
      <c r="N386">
        <v>18211531.531531531</v>
      </c>
      <c r="O386">
        <v>63156666.666666664</v>
      </c>
      <c r="P386">
        <v>62437054.054054059</v>
      </c>
      <c r="Q386">
        <v>36643063.063063063</v>
      </c>
      <c r="R386">
        <v>18618738.738738734</v>
      </c>
      <c r="S386">
        <v>3692</v>
      </c>
      <c r="T386">
        <v>3733</v>
      </c>
    </row>
    <row r="387" spans="1:20">
      <c r="A387" s="7" t="s">
        <v>485</v>
      </c>
      <c r="B387" s="16" t="s">
        <v>134</v>
      </c>
      <c r="C387">
        <v>200869542.34449714</v>
      </c>
      <c r="D387">
        <v>185772484.07810301</v>
      </c>
      <c r="E387">
        <v>616216.21621621703</v>
      </c>
      <c r="F387">
        <v>1065765.7657657671</v>
      </c>
      <c r="G387">
        <v>50</v>
      </c>
      <c r="H387">
        <v>32</v>
      </c>
      <c r="K387">
        <v>55</v>
      </c>
      <c r="L387">
        <v>34</v>
      </c>
      <c r="M387">
        <v>32377477.477477476</v>
      </c>
      <c r="N387">
        <v>29889189.189189192</v>
      </c>
      <c r="O387">
        <v>36399594.59459459</v>
      </c>
      <c r="P387">
        <v>36006331.531531535</v>
      </c>
      <c r="Q387">
        <v>20721351.351351351</v>
      </c>
      <c r="R387">
        <v>16175135.135135137</v>
      </c>
      <c r="S387">
        <v>4783</v>
      </c>
      <c r="T387">
        <v>4545</v>
      </c>
    </row>
    <row r="388" spans="1:20">
      <c r="A388" s="7" t="s">
        <v>486</v>
      </c>
      <c r="B388" s="16" t="s">
        <v>76</v>
      </c>
      <c r="C388">
        <v>49304180.899708942</v>
      </c>
      <c r="D388">
        <v>38607215.857702777</v>
      </c>
      <c r="E388">
        <v>1240540.5405405411</v>
      </c>
      <c r="F388">
        <v>900900.90090090199</v>
      </c>
      <c r="G388">
        <v>10</v>
      </c>
      <c r="H388">
        <v>9</v>
      </c>
      <c r="K388">
        <v>10</v>
      </c>
      <c r="L388">
        <v>11</v>
      </c>
      <c r="M388">
        <v>21317117.117117122</v>
      </c>
      <c r="N388">
        <v>9362252.2522522528</v>
      </c>
      <c r="O388">
        <v>18989202.702702705</v>
      </c>
      <c r="P388">
        <v>15754987.387387387</v>
      </c>
      <c r="Q388">
        <v>20491441.441441439</v>
      </c>
      <c r="R388">
        <v>8398284.6846846845</v>
      </c>
      <c r="S388">
        <v>1447</v>
      </c>
      <c r="T388">
        <v>1516</v>
      </c>
    </row>
    <row r="389" spans="1:20">
      <c r="A389" s="7" t="s">
        <v>487</v>
      </c>
      <c r="B389" s="16" t="s">
        <v>307</v>
      </c>
      <c r="C389">
        <v>304812194.08278048</v>
      </c>
      <c r="D389">
        <v>321357959.8106485</v>
      </c>
      <c r="E389">
        <v>132327252.25225225</v>
      </c>
      <c r="F389">
        <v>357491891.8918919</v>
      </c>
      <c r="G389">
        <v>121</v>
      </c>
      <c r="H389">
        <v>119</v>
      </c>
      <c r="K389">
        <v>138</v>
      </c>
      <c r="L389">
        <v>175</v>
      </c>
      <c r="M389">
        <v>52964324.324324317</v>
      </c>
      <c r="N389">
        <v>93101666.666666672</v>
      </c>
      <c r="O389">
        <v>124935565.76576576</v>
      </c>
      <c r="P389">
        <v>137718774.77477479</v>
      </c>
      <c r="Q389">
        <v>43917657.657657653</v>
      </c>
      <c r="R389">
        <v>64254459.459459454</v>
      </c>
      <c r="S389">
        <v>11429</v>
      </c>
      <c r="T389">
        <v>12311</v>
      </c>
    </row>
    <row r="390" spans="1:20">
      <c r="A390" s="7" t="s">
        <v>488</v>
      </c>
      <c r="B390" s="16" t="s">
        <v>315</v>
      </c>
      <c r="C390">
        <v>85445642.365057707</v>
      </c>
      <c r="D390">
        <v>71079641.995981917</v>
      </c>
      <c r="E390">
        <v>581081.08108108095</v>
      </c>
      <c r="F390">
        <v>1011711.711711713</v>
      </c>
      <c r="G390">
        <v>20</v>
      </c>
      <c r="H390">
        <v>5</v>
      </c>
      <c r="K390">
        <v>20</v>
      </c>
      <c r="L390">
        <v>6</v>
      </c>
      <c r="M390">
        <v>43052432.432432435</v>
      </c>
      <c r="N390">
        <v>25522882.882882886</v>
      </c>
      <c r="O390">
        <v>36275162.162162162</v>
      </c>
      <c r="P390">
        <v>30201126.126126129</v>
      </c>
      <c r="Q390">
        <v>42152522.522522517</v>
      </c>
      <c r="R390">
        <v>28065855.855855856</v>
      </c>
      <c r="S390">
        <v>1685</v>
      </c>
      <c r="T390">
        <v>1641</v>
      </c>
    </row>
    <row r="391" spans="1:20">
      <c r="A391" s="7" t="s">
        <v>489</v>
      </c>
      <c r="B391" s="16" t="s">
        <v>181</v>
      </c>
      <c r="C391">
        <v>176847095.16493386</v>
      </c>
      <c r="D391">
        <v>169465040.76272678</v>
      </c>
      <c r="E391">
        <v>71171.171171173002</v>
      </c>
      <c r="F391">
        <v>1033783.783783784</v>
      </c>
      <c r="G391">
        <v>91</v>
      </c>
      <c r="H391">
        <v>84</v>
      </c>
      <c r="K391">
        <v>100</v>
      </c>
      <c r="L391">
        <v>136</v>
      </c>
      <c r="M391">
        <v>9015765.7657657657</v>
      </c>
      <c r="N391">
        <v>11504144.144144144</v>
      </c>
      <c r="O391">
        <v>47111153.153153151</v>
      </c>
      <c r="P391">
        <v>50536108.108108111</v>
      </c>
      <c r="Q391">
        <v>7995675.6756756743</v>
      </c>
      <c r="R391">
        <v>11923603.603603601</v>
      </c>
      <c r="S391">
        <v>6578</v>
      </c>
      <c r="T391">
        <v>6855</v>
      </c>
    </row>
    <row r="392" spans="1:20">
      <c r="A392" s="7" t="s">
        <v>490</v>
      </c>
      <c r="B392" s="16" t="s">
        <v>220</v>
      </c>
      <c r="C392">
        <v>103293751.91862896</v>
      </c>
      <c r="D392">
        <v>96656649.862569883</v>
      </c>
      <c r="E392">
        <v>393129684.68468469</v>
      </c>
      <c r="F392">
        <v>331396628.82882881</v>
      </c>
      <c r="G392">
        <v>36</v>
      </c>
      <c r="H392">
        <v>31</v>
      </c>
      <c r="K392">
        <v>44</v>
      </c>
      <c r="L392">
        <v>41</v>
      </c>
      <c r="M392">
        <v>20212792.792792797</v>
      </c>
      <c r="N392">
        <v>13694414.414414413</v>
      </c>
      <c r="O392">
        <v>26202234.234234232</v>
      </c>
      <c r="P392">
        <v>23859962.162162162</v>
      </c>
      <c r="Q392">
        <v>3529459.4594594608</v>
      </c>
      <c r="R392">
        <v>1531981.9819819829</v>
      </c>
      <c r="S392">
        <v>3977</v>
      </c>
      <c r="T392">
        <v>3972</v>
      </c>
    </row>
    <row r="393" spans="1:20">
      <c r="A393" s="7" t="s">
        <v>491</v>
      </c>
      <c r="B393" s="16" t="s">
        <v>220</v>
      </c>
      <c r="C393">
        <v>28496869.234392509</v>
      </c>
      <c r="D393">
        <v>32722484.121759016</v>
      </c>
      <c r="E393">
        <v>56703828.828828834</v>
      </c>
      <c r="F393">
        <v>89465765.765765756</v>
      </c>
      <c r="G393">
        <v>26</v>
      </c>
      <c r="H393">
        <v>18</v>
      </c>
      <c r="K393">
        <v>29</v>
      </c>
      <c r="L393">
        <v>20</v>
      </c>
      <c r="M393">
        <v>72630180.180180177</v>
      </c>
      <c r="N393">
        <v>19004054.054054055</v>
      </c>
      <c r="O393">
        <v>9522162.1621621624</v>
      </c>
      <c r="P393">
        <v>9854585.5855855849</v>
      </c>
      <c r="Q393">
        <v>8326936.9369369363</v>
      </c>
      <c r="R393">
        <v>14534414.414414415</v>
      </c>
      <c r="S393">
        <v>1278</v>
      </c>
      <c r="T393">
        <v>1171</v>
      </c>
    </row>
    <row r="394" spans="1:20">
      <c r="A394" s="7" t="s">
        <v>492</v>
      </c>
      <c r="B394" s="16" t="s">
        <v>60</v>
      </c>
      <c r="C394">
        <v>124426624.97093272</v>
      </c>
      <c r="D394">
        <v>110678440.82989736</v>
      </c>
      <c r="E394">
        <v>892792.79279279499</v>
      </c>
      <c r="F394">
        <v>2737837.8378378442</v>
      </c>
      <c r="G394">
        <v>30</v>
      </c>
      <c r="H394">
        <v>23</v>
      </c>
      <c r="K394">
        <v>33</v>
      </c>
      <c r="L394">
        <v>76</v>
      </c>
      <c r="M394">
        <v>32898198.198198196</v>
      </c>
      <c r="N394">
        <v>21374954.954954952</v>
      </c>
      <c r="O394">
        <v>53550765.765765771</v>
      </c>
      <c r="P394">
        <v>50690405.40540541</v>
      </c>
      <c r="Q394">
        <v>27144864.864864863</v>
      </c>
      <c r="R394">
        <v>20485045.045045044</v>
      </c>
      <c r="S394">
        <v>3685</v>
      </c>
      <c r="T394">
        <v>3658</v>
      </c>
    </row>
    <row r="395" spans="1:20">
      <c r="A395" s="7" t="s">
        <v>493</v>
      </c>
      <c r="B395" s="16" t="s">
        <v>448</v>
      </c>
      <c r="C395">
        <v>148010089.75780785</v>
      </c>
      <c r="D395">
        <v>136383999.97385898</v>
      </c>
      <c r="E395">
        <v>52888288.288288288</v>
      </c>
      <c r="F395">
        <v>193834234.23423424</v>
      </c>
      <c r="G395">
        <v>90</v>
      </c>
      <c r="H395">
        <v>90</v>
      </c>
      <c r="K395">
        <v>98</v>
      </c>
      <c r="L395">
        <v>97</v>
      </c>
      <c r="M395">
        <v>17433783.783783782</v>
      </c>
      <c r="N395">
        <v>12481081.081081079</v>
      </c>
      <c r="O395">
        <v>53533243.24324324</v>
      </c>
      <c r="P395">
        <v>48743135.135135137</v>
      </c>
      <c r="Q395">
        <v>16363738.73873874</v>
      </c>
      <c r="R395">
        <v>10719549.549549552</v>
      </c>
      <c r="S395">
        <v>5046</v>
      </c>
      <c r="T395">
        <v>5074</v>
      </c>
    </row>
    <row r="396" spans="1:20">
      <c r="A396" s="7" t="s">
        <v>7</v>
      </c>
      <c r="B396" s="16" t="s">
        <v>193</v>
      </c>
      <c r="C396">
        <v>107490837.23283726</v>
      </c>
      <c r="D396">
        <v>114231138.27093026</v>
      </c>
      <c r="E396">
        <v>143567092.7927928</v>
      </c>
      <c r="F396">
        <v>283691654.95495492</v>
      </c>
      <c r="G396">
        <v>30</v>
      </c>
      <c r="H396">
        <v>37</v>
      </c>
      <c r="K396">
        <v>34</v>
      </c>
      <c r="L396">
        <v>44</v>
      </c>
      <c r="M396">
        <v>26419369.369369373</v>
      </c>
      <c r="N396">
        <v>18212612.612612613</v>
      </c>
      <c r="O396">
        <v>73060945.945945948</v>
      </c>
      <c r="P396">
        <v>80049108.108108118</v>
      </c>
      <c r="Q396">
        <v>26493693.693693697</v>
      </c>
      <c r="R396">
        <v>20641531.531531531</v>
      </c>
      <c r="S396">
        <v>4755</v>
      </c>
      <c r="T396">
        <v>5030</v>
      </c>
    </row>
    <row r="397" spans="1:20">
      <c r="A397" s="7" t="s">
        <v>494</v>
      </c>
      <c r="B397" s="16" t="s">
        <v>330</v>
      </c>
      <c r="C397">
        <v>135820471.96890333</v>
      </c>
      <c r="D397">
        <v>132265111.68556264</v>
      </c>
      <c r="E397">
        <v>14414.414414413999</v>
      </c>
      <c r="F397">
        <v>213513.51351351399</v>
      </c>
      <c r="G397">
        <v>70</v>
      </c>
      <c r="H397">
        <v>56</v>
      </c>
      <c r="K397">
        <v>79</v>
      </c>
      <c r="L397">
        <v>72</v>
      </c>
      <c r="M397">
        <v>6969369.3693693681</v>
      </c>
      <c r="N397">
        <v>5862162.1621621624</v>
      </c>
      <c r="O397">
        <v>35572936.936936937</v>
      </c>
      <c r="P397">
        <v>32383540.540540539</v>
      </c>
      <c r="Q397">
        <v>6844144.1441441439</v>
      </c>
      <c r="R397">
        <v>5487837.8378378367</v>
      </c>
      <c r="S397">
        <v>5874</v>
      </c>
      <c r="T397">
        <v>6320</v>
      </c>
    </row>
    <row r="398" spans="1:20">
      <c r="A398" s="7" t="s">
        <v>495</v>
      </c>
      <c r="B398" s="16" t="s">
        <v>330</v>
      </c>
      <c r="C398">
        <v>232553096.51000193</v>
      </c>
      <c r="D398">
        <v>223630974.96239871</v>
      </c>
      <c r="E398">
        <v>54954.954954954999</v>
      </c>
      <c r="F398">
        <v>941216.21621621901</v>
      </c>
      <c r="G398">
        <v>84</v>
      </c>
      <c r="H398">
        <v>106</v>
      </c>
      <c r="K398">
        <v>96</v>
      </c>
      <c r="L398">
        <v>122</v>
      </c>
      <c r="M398">
        <v>6870360.3603603588</v>
      </c>
      <c r="N398">
        <v>7127027.0270270268</v>
      </c>
      <c r="O398">
        <v>48185027.027027026</v>
      </c>
      <c r="P398">
        <v>52362954.954954952</v>
      </c>
      <c r="Q398">
        <v>6701711.7117117113</v>
      </c>
      <c r="R398">
        <v>7995405.4054054068</v>
      </c>
      <c r="S398">
        <v>7369</v>
      </c>
      <c r="T398">
        <v>6640</v>
      </c>
    </row>
    <row r="399" spans="1:20">
      <c r="A399" s="7" t="s">
        <v>496</v>
      </c>
      <c r="B399" s="16" t="s">
        <v>330</v>
      </c>
      <c r="C399">
        <v>237151611.02986929</v>
      </c>
      <c r="D399">
        <v>226693728.34525475</v>
      </c>
      <c r="E399">
        <v>1163738.738738741</v>
      </c>
      <c r="F399">
        <v>3398873.8738738769</v>
      </c>
      <c r="G399">
        <v>116</v>
      </c>
      <c r="H399">
        <v>96</v>
      </c>
      <c r="K399">
        <v>141</v>
      </c>
      <c r="L399">
        <v>112</v>
      </c>
      <c r="M399">
        <v>19029369.369369369</v>
      </c>
      <c r="N399">
        <v>30161261.261261266</v>
      </c>
      <c r="O399">
        <v>50777360.360360362</v>
      </c>
      <c r="P399">
        <v>49707117.117117122</v>
      </c>
      <c r="Q399">
        <v>19260450.45045045</v>
      </c>
      <c r="R399">
        <v>30728738.738738742</v>
      </c>
      <c r="S399">
        <v>8455</v>
      </c>
      <c r="T399">
        <v>8280</v>
      </c>
    </row>
    <row r="400" spans="1:20">
      <c r="A400" s="7" t="s">
        <v>497</v>
      </c>
      <c r="B400" s="16" t="s">
        <v>330</v>
      </c>
      <c r="C400">
        <v>1001722001.3643312</v>
      </c>
      <c r="D400">
        <v>859877350.31328166</v>
      </c>
      <c r="E400">
        <v>909771162.16216218</v>
      </c>
      <c r="F400">
        <v>670667995.49549556</v>
      </c>
      <c r="G400">
        <v>440</v>
      </c>
      <c r="H400">
        <v>674</v>
      </c>
      <c r="I400">
        <v>30</v>
      </c>
      <c r="K400">
        <v>520</v>
      </c>
      <c r="L400">
        <v>753</v>
      </c>
      <c r="M400">
        <v>229311441.44144145</v>
      </c>
      <c r="N400">
        <v>189536036.03603604</v>
      </c>
      <c r="O400">
        <v>243311909.90990993</v>
      </c>
      <c r="P400">
        <v>179064945.94594595</v>
      </c>
      <c r="Q400">
        <v>136293423.42342341</v>
      </c>
      <c r="R400">
        <v>137546126.12612614</v>
      </c>
      <c r="S400">
        <v>29559</v>
      </c>
      <c r="T400">
        <v>27455</v>
      </c>
    </row>
    <row r="401" spans="1:20">
      <c r="A401" s="7" t="s">
        <v>498</v>
      </c>
      <c r="B401" s="16" t="s">
        <v>330</v>
      </c>
      <c r="C401">
        <v>746912092.71504366</v>
      </c>
      <c r="D401">
        <v>687209159.23309374</v>
      </c>
      <c r="E401">
        <v>73898828.828828827</v>
      </c>
      <c r="F401">
        <v>189322972.97297299</v>
      </c>
      <c r="G401">
        <v>229</v>
      </c>
      <c r="H401">
        <v>274</v>
      </c>
      <c r="I401">
        <v>1</v>
      </c>
      <c r="K401">
        <v>280</v>
      </c>
      <c r="L401">
        <v>337</v>
      </c>
      <c r="M401">
        <v>156035315.31531531</v>
      </c>
      <c r="N401">
        <v>152675450.45045045</v>
      </c>
      <c r="O401">
        <v>181689918.91891891</v>
      </c>
      <c r="P401">
        <v>172001128.37837836</v>
      </c>
      <c r="Q401">
        <v>152179099.0990991</v>
      </c>
      <c r="R401">
        <v>153146126.12612611</v>
      </c>
      <c r="S401">
        <v>27380</v>
      </c>
      <c r="T401">
        <v>26257</v>
      </c>
    </row>
    <row r="402" spans="1:20">
      <c r="A402" s="7" t="s">
        <v>499</v>
      </c>
      <c r="B402" s="16" t="s">
        <v>143</v>
      </c>
      <c r="C402">
        <v>308523996.47030902</v>
      </c>
      <c r="D402">
        <v>293202933.77513736</v>
      </c>
      <c r="E402">
        <v>270045.04504504602</v>
      </c>
      <c r="F402">
        <v>1126351.3513513531</v>
      </c>
      <c r="G402">
        <v>216</v>
      </c>
      <c r="H402">
        <v>85</v>
      </c>
      <c r="K402">
        <v>236</v>
      </c>
      <c r="L402">
        <v>163</v>
      </c>
      <c r="M402">
        <v>24355855.855855856</v>
      </c>
      <c r="N402">
        <v>27667567.567567568</v>
      </c>
      <c r="O402">
        <v>44229106.306306303</v>
      </c>
      <c r="P402">
        <v>46652754.954954952</v>
      </c>
      <c r="Q402">
        <v>16820180.180180181</v>
      </c>
      <c r="R402">
        <v>17764234.234234229</v>
      </c>
      <c r="S402">
        <v>8457</v>
      </c>
      <c r="T402">
        <v>7987</v>
      </c>
    </row>
    <row r="403" spans="1:20">
      <c r="A403" s="7" t="s">
        <v>500</v>
      </c>
      <c r="B403" s="16" t="s">
        <v>220</v>
      </c>
      <c r="C403">
        <v>351058552.29513532</v>
      </c>
      <c r="D403">
        <v>345039917.81720006</v>
      </c>
      <c r="E403">
        <v>1406756.7567567611</v>
      </c>
      <c r="F403">
        <v>3746171.1711711758</v>
      </c>
      <c r="G403">
        <v>143</v>
      </c>
      <c r="H403">
        <v>148</v>
      </c>
      <c r="I403">
        <v>1</v>
      </c>
      <c r="K403">
        <v>175</v>
      </c>
      <c r="L403">
        <v>188</v>
      </c>
      <c r="M403">
        <v>69131081.081081077</v>
      </c>
      <c r="N403">
        <v>149772072.07207206</v>
      </c>
      <c r="O403">
        <v>102923522.52252252</v>
      </c>
      <c r="P403">
        <v>104877545.04504503</v>
      </c>
      <c r="Q403">
        <v>71905675.675675675</v>
      </c>
      <c r="R403">
        <v>150725315.31531531</v>
      </c>
      <c r="S403">
        <v>12267</v>
      </c>
      <c r="T403">
        <v>11991</v>
      </c>
    </row>
    <row r="404" spans="1:20">
      <c r="A404" s="7" t="s">
        <v>501</v>
      </c>
      <c r="B404" s="16" t="s">
        <v>397</v>
      </c>
      <c r="C404">
        <v>955318885.0810225</v>
      </c>
      <c r="D404">
        <v>985408806.38304543</v>
      </c>
      <c r="E404">
        <v>254910065.76576576</v>
      </c>
      <c r="F404">
        <v>8036740.540540548</v>
      </c>
      <c r="G404">
        <v>299</v>
      </c>
      <c r="H404">
        <v>311</v>
      </c>
      <c r="K404">
        <v>339</v>
      </c>
      <c r="L404">
        <v>393</v>
      </c>
      <c r="M404">
        <v>129496036.03603603</v>
      </c>
      <c r="N404">
        <v>103166441.44144145</v>
      </c>
      <c r="O404">
        <v>197123293.6936937</v>
      </c>
      <c r="P404">
        <v>208710372.07207206</v>
      </c>
      <c r="Q404">
        <v>116239729.72972973</v>
      </c>
      <c r="R404">
        <v>98078333.333333328</v>
      </c>
      <c r="S404">
        <v>26703</v>
      </c>
      <c r="T404">
        <v>26342</v>
      </c>
    </row>
    <row r="405" spans="1:20">
      <c r="A405" s="7" t="s">
        <v>502</v>
      </c>
      <c r="B405" s="16" t="s">
        <v>70</v>
      </c>
      <c r="C405">
        <v>14759866.13926626</v>
      </c>
      <c r="D405">
        <v>14992691.798098365</v>
      </c>
      <c r="E405">
        <v>77027.027027026998</v>
      </c>
      <c r="F405">
        <v>192792.79279279301</v>
      </c>
      <c r="G405">
        <v>6</v>
      </c>
      <c r="H405">
        <v>4</v>
      </c>
      <c r="K405">
        <v>7</v>
      </c>
      <c r="L405">
        <v>5</v>
      </c>
      <c r="M405">
        <v>576576.57657657703</v>
      </c>
      <c r="N405">
        <v>468468.46846846899</v>
      </c>
      <c r="O405">
        <v>10579504.504504504</v>
      </c>
      <c r="P405">
        <v>10651927.927927928</v>
      </c>
      <c r="Q405">
        <v>2044594.5945945941</v>
      </c>
      <c r="R405">
        <v>311081.08108108101</v>
      </c>
      <c r="S405">
        <v>670</v>
      </c>
      <c r="T405">
        <v>710</v>
      </c>
    </row>
    <row r="406" spans="1:20">
      <c r="A406" s="7" t="s">
        <v>503</v>
      </c>
      <c r="B406" s="16" t="s">
        <v>330</v>
      </c>
      <c r="C406">
        <v>411611299.68112087</v>
      </c>
      <c r="D406">
        <v>413201327.49353337</v>
      </c>
      <c r="E406">
        <v>1821621.621621625</v>
      </c>
      <c r="F406">
        <v>2977252.2522522542</v>
      </c>
      <c r="G406">
        <v>134</v>
      </c>
      <c r="H406">
        <v>164</v>
      </c>
      <c r="K406">
        <v>154</v>
      </c>
      <c r="L406">
        <v>187</v>
      </c>
      <c r="M406">
        <v>32436036.036036037</v>
      </c>
      <c r="N406">
        <v>38739639.639639638</v>
      </c>
      <c r="O406">
        <v>112202160.36036037</v>
      </c>
      <c r="P406">
        <v>106508452.7027027</v>
      </c>
      <c r="Q406">
        <v>30868558.558558557</v>
      </c>
      <c r="R406">
        <v>38648198.198198199</v>
      </c>
      <c r="S406">
        <v>16021</v>
      </c>
      <c r="T406">
        <v>16113</v>
      </c>
    </row>
    <row r="407" spans="1:20">
      <c r="A407" s="7" t="s">
        <v>504</v>
      </c>
      <c r="B407" s="16" t="s">
        <v>283</v>
      </c>
      <c r="C407">
        <v>127183783.05277118</v>
      </c>
      <c r="D407">
        <v>127893272.09558935</v>
      </c>
      <c r="E407">
        <v>299099.099099099</v>
      </c>
      <c r="F407">
        <v>269369.369369369</v>
      </c>
      <c r="G407">
        <v>51</v>
      </c>
      <c r="H407">
        <v>22</v>
      </c>
      <c r="K407">
        <v>54</v>
      </c>
      <c r="L407">
        <v>24</v>
      </c>
      <c r="M407">
        <v>8979279.2792792786</v>
      </c>
      <c r="N407">
        <v>10467567.567567568</v>
      </c>
      <c r="O407">
        <v>23818693.693693694</v>
      </c>
      <c r="P407">
        <v>23164441.441441439</v>
      </c>
      <c r="Q407">
        <v>9815765.7657657657</v>
      </c>
      <c r="R407">
        <v>11169909.90990991</v>
      </c>
      <c r="S407">
        <v>3133</v>
      </c>
      <c r="T407">
        <v>3054</v>
      </c>
    </row>
    <row r="408" spans="1:20">
      <c r="A408" s="7" t="s">
        <v>505</v>
      </c>
      <c r="B408" s="16" t="s">
        <v>260</v>
      </c>
      <c r="C408">
        <v>75928781.223576069</v>
      </c>
      <c r="D408">
        <v>77270602.221995667</v>
      </c>
      <c r="E408">
        <v>9009.0090090089998</v>
      </c>
      <c r="F408">
        <v>54954.954954954999</v>
      </c>
      <c r="G408">
        <v>3</v>
      </c>
      <c r="H408">
        <v>3</v>
      </c>
      <c r="I408">
        <v>1</v>
      </c>
      <c r="K408">
        <v>4</v>
      </c>
      <c r="L408">
        <v>5</v>
      </c>
      <c r="M408">
        <v>1360360.36036036</v>
      </c>
      <c r="N408">
        <v>1856756.7567567569</v>
      </c>
      <c r="O408">
        <v>17372882.882882882</v>
      </c>
      <c r="P408">
        <v>16802018.018018018</v>
      </c>
      <c r="Q408">
        <v>1118918.9189189191</v>
      </c>
      <c r="R408">
        <v>1362162.1621621619</v>
      </c>
      <c r="S408">
        <v>2221</v>
      </c>
      <c r="T408">
        <v>2117</v>
      </c>
    </row>
    <row r="409" spans="1:20">
      <c r="A409" s="7" t="s">
        <v>506</v>
      </c>
      <c r="B409" s="16" t="s">
        <v>236</v>
      </c>
      <c r="C409">
        <v>197777897.00625375</v>
      </c>
      <c r="D409">
        <v>190471977.93231076</v>
      </c>
      <c r="E409">
        <v>406846.84684684902</v>
      </c>
      <c r="F409">
        <v>555405.40540540696</v>
      </c>
      <c r="G409">
        <v>50</v>
      </c>
      <c r="H409">
        <v>22</v>
      </c>
      <c r="K409">
        <v>96</v>
      </c>
      <c r="L409">
        <v>85</v>
      </c>
      <c r="M409">
        <v>35373063.063063063</v>
      </c>
      <c r="N409">
        <v>38852792.79279279</v>
      </c>
      <c r="O409">
        <v>43304301.801801801</v>
      </c>
      <c r="P409">
        <v>42630909.909909911</v>
      </c>
      <c r="Q409">
        <v>34131801.801801801</v>
      </c>
      <c r="R409">
        <v>39735045.045045041</v>
      </c>
      <c r="S409">
        <v>4776</v>
      </c>
      <c r="T409">
        <v>4541</v>
      </c>
    </row>
    <row r="410" spans="1:20">
      <c r="A410" s="7" t="s">
        <v>507</v>
      </c>
      <c r="B410" s="16" t="s">
        <v>134</v>
      </c>
      <c r="C410">
        <v>30756902.892903239</v>
      </c>
      <c r="D410">
        <v>19975448.085178372</v>
      </c>
      <c r="G410">
        <v>1</v>
      </c>
      <c r="K410">
        <v>1</v>
      </c>
      <c r="M410">
        <v>45045.045045045001</v>
      </c>
      <c r="O410">
        <v>5074819.8198198201</v>
      </c>
      <c r="P410">
        <v>3455936.9369369368</v>
      </c>
      <c r="Q410">
        <v>45045.045045045001</v>
      </c>
      <c r="S410">
        <v>1301</v>
      </c>
      <c r="T410">
        <v>1246</v>
      </c>
    </row>
    <row r="411" spans="1:20">
      <c r="A411" s="7" t="s">
        <v>508</v>
      </c>
      <c r="B411" s="16" t="s">
        <v>397</v>
      </c>
      <c r="C411">
        <v>203026372.2574217</v>
      </c>
      <c r="D411">
        <v>198285320.61315152</v>
      </c>
      <c r="E411">
        <v>208558.55855855899</v>
      </c>
      <c r="F411">
        <v>780180.18018018198</v>
      </c>
      <c r="G411">
        <v>35</v>
      </c>
      <c r="H411">
        <v>30</v>
      </c>
      <c r="K411">
        <v>43</v>
      </c>
      <c r="L411">
        <v>58</v>
      </c>
      <c r="M411">
        <v>18838063.063063063</v>
      </c>
      <c r="N411">
        <v>21974324.324324325</v>
      </c>
      <c r="O411">
        <v>28372432.432432432</v>
      </c>
      <c r="P411">
        <v>31314981.981981985</v>
      </c>
      <c r="Q411">
        <v>16199324.324324328</v>
      </c>
      <c r="R411">
        <v>21993963.963963963</v>
      </c>
      <c r="S411">
        <v>4492</v>
      </c>
      <c r="T411">
        <v>4288</v>
      </c>
    </row>
    <row r="412" spans="1:20">
      <c r="A412" s="7" t="s">
        <v>509</v>
      </c>
      <c r="B412" s="16" t="s">
        <v>134</v>
      </c>
      <c r="C412">
        <v>221138931.45013353</v>
      </c>
      <c r="D412">
        <v>222081356.58295441</v>
      </c>
      <c r="E412">
        <v>1334009.009009012</v>
      </c>
      <c r="F412">
        <v>1415315.315315319</v>
      </c>
      <c r="G412">
        <v>68</v>
      </c>
      <c r="H412">
        <v>56</v>
      </c>
      <c r="I412">
        <v>2</v>
      </c>
      <c r="K412">
        <v>71</v>
      </c>
      <c r="L412">
        <v>64</v>
      </c>
      <c r="M412">
        <v>26206306.306306303</v>
      </c>
      <c r="N412">
        <v>21780180.180180181</v>
      </c>
      <c r="O412">
        <v>37523750.45045045</v>
      </c>
      <c r="P412">
        <v>35806250</v>
      </c>
      <c r="Q412">
        <v>20146576.576576576</v>
      </c>
      <c r="R412">
        <v>18020270.270270269</v>
      </c>
      <c r="S412">
        <v>5886</v>
      </c>
      <c r="T412">
        <v>6186</v>
      </c>
    </row>
    <row r="413" spans="1:20">
      <c r="A413" s="7" t="s">
        <v>510</v>
      </c>
      <c r="B413" s="16" t="s">
        <v>134</v>
      </c>
      <c r="C413">
        <v>610529876.97112691</v>
      </c>
      <c r="D413">
        <v>607041403.00402582</v>
      </c>
      <c r="E413">
        <v>1869324.324324331</v>
      </c>
      <c r="F413">
        <v>3381981.9819819899</v>
      </c>
      <c r="G413">
        <v>254</v>
      </c>
      <c r="H413">
        <v>131</v>
      </c>
      <c r="I413">
        <v>10</v>
      </c>
      <c r="K413">
        <v>299</v>
      </c>
      <c r="L413">
        <v>187</v>
      </c>
      <c r="M413">
        <v>45893063.063063063</v>
      </c>
      <c r="N413">
        <v>39948648.648648649</v>
      </c>
      <c r="O413">
        <v>66021099.099099107</v>
      </c>
      <c r="P413">
        <v>62822477.477477483</v>
      </c>
      <c r="Q413">
        <v>41653243.24324324</v>
      </c>
      <c r="R413">
        <v>40069639.639639638</v>
      </c>
      <c r="S413">
        <v>16139</v>
      </c>
      <c r="T413">
        <v>16364</v>
      </c>
    </row>
    <row r="414" spans="1:20">
      <c r="A414" s="7" t="s">
        <v>8</v>
      </c>
      <c r="B414" s="16" t="s">
        <v>158</v>
      </c>
      <c r="C414">
        <v>159291111.02030593</v>
      </c>
      <c r="D414">
        <v>157756743.83150497</v>
      </c>
      <c r="E414">
        <v>1788288.2882882911</v>
      </c>
      <c r="F414">
        <v>2563963.9639639659</v>
      </c>
      <c r="G414">
        <v>16</v>
      </c>
      <c r="H414">
        <v>7</v>
      </c>
      <c r="K414">
        <v>17</v>
      </c>
      <c r="L414">
        <v>7</v>
      </c>
      <c r="M414">
        <v>21957657.657657661</v>
      </c>
      <c r="N414">
        <v>22359459.459459461</v>
      </c>
      <c r="O414">
        <v>46785225.225225225</v>
      </c>
      <c r="P414">
        <v>46888846.846846849</v>
      </c>
      <c r="Q414">
        <v>19681981.981981982</v>
      </c>
      <c r="R414">
        <v>20437387.387387387</v>
      </c>
      <c r="S414">
        <v>3815</v>
      </c>
      <c r="T414">
        <v>3887</v>
      </c>
    </row>
    <row r="415" spans="1:20">
      <c r="A415" s="7" t="s">
        <v>511</v>
      </c>
      <c r="B415" s="16" t="s">
        <v>134</v>
      </c>
      <c r="C415">
        <v>100937543.16417962</v>
      </c>
      <c r="D415">
        <v>116344292.08368693</v>
      </c>
      <c r="E415">
        <v>137837.83783783799</v>
      </c>
      <c r="F415">
        <v>360360.360360361</v>
      </c>
      <c r="G415">
        <v>22</v>
      </c>
      <c r="H415">
        <v>7</v>
      </c>
      <c r="K415">
        <v>89</v>
      </c>
      <c r="L415">
        <v>9</v>
      </c>
      <c r="M415">
        <v>3020720.7207207209</v>
      </c>
      <c r="N415">
        <v>5765765.7657657666</v>
      </c>
      <c r="O415">
        <v>14113369.369369367</v>
      </c>
      <c r="P415">
        <v>16872495.495495494</v>
      </c>
      <c r="Q415">
        <v>2929909.9099099101</v>
      </c>
      <c r="R415">
        <v>3625945.945945947</v>
      </c>
      <c r="S415">
        <v>3743</v>
      </c>
      <c r="T415">
        <v>3866</v>
      </c>
    </row>
    <row r="416" spans="1:20">
      <c r="A416" s="7" t="s">
        <v>512</v>
      </c>
      <c r="B416" s="16" t="s">
        <v>62</v>
      </c>
      <c r="C416">
        <v>520987050.84768653</v>
      </c>
      <c r="D416">
        <v>505731829.998483</v>
      </c>
      <c r="E416">
        <v>2548648.6486486499</v>
      </c>
      <c r="F416">
        <v>2721621.6216216278</v>
      </c>
      <c r="G416">
        <v>120</v>
      </c>
      <c r="H416">
        <v>129</v>
      </c>
      <c r="K416">
        <v>134</v>
      </c>
      <c r="L416">
        <v>177</v>
      </c>
      <c r="M416">
        <v>22351351.351351351</v>
      </c>
      <c r="N416">
        <v>30544594.594594602</v>
      </c>
      <c r="O416">
        <v>98701378.378378391</v>
      </c>
      <c r="P416">
        <v>104749336.03603603</v>
      </c>
      <c r="Q416">
        <v>22448288.288288288</v>
      </c>
      <c r="R416">
        <v>30974774.774774775</v>
      </c>
      <c r="S416">
        <v>14465</v>
      </c>
      <c r="T416">
        <v>14216</v>
      </c>
    </row>
    <row r="417" spans="1:20">
      <c r="A417" s="7" t="s">
        <v>513</v>
      </c>
      <c r="B417" s="16" t="s">
        <v>117</v>
      </c>
      <c r="C417">
        <v>60393136.711816452</v>
      </c>
      <c r="D417">
        <v>51374613.989278078</v>
      </c>
      <c r="E417">
        <v>13513.513513514999</v>
      </c>
      <c r="F417">
        <v>266666.66666666698</v>
      </c>
      <c r="G417">
        <v>75</v>
      </c>
      <c r="H417">
        <v>25</v>
      </c>
      <c r="K417">
        <v>78</v>
      </c>
      <c r="L417">
        <v>25</v>
      </c>
      <c r="M417">
        <v>3274954.9549549548</v>
      </c>
      <c r="N417">
        <v>1965855.8558558561</v>
      </c>
      <c r="O417">
        <v>28975765.765765768</v>
      </c>
      <c r="P417">
        <v>21908036.036036037</v>
      </c>
      <c r="Q417">
        <v>3041171.1711711702</v>
      </c>
      <c r="R417">
        <v>1457297.2972972989</v>
      </c>
      <c r="S417">
        <v>2140</v>
      </c>
      <c r="T417">
        <v>2066</v>
      </c>
    </row>
    <row r="418" spans="1:20">
      <c r="A418" s="7" t="s">
        <v>514</v>
      </c>
      <c r="B418" s="16" t="s">
        <v>304</v>
      </c>
      <c r="C418">
        <v>102003256.66108163</v>
      </c>
      <c r="D418">
        <v>94666791.11788553</v>
      </c>
      <c r="E418">
        <v>153153.15315315401</v>
      </c>
      <c r="F418">
        <v>558558.55855855998</v>
      </c>
      <c r="G418">
        <v>33</v>
      </c>
      <c r="H418">
        <v>52</v>
      </c>
      <c r="K418">
        <v>35</v>
      </c>
      <c r="L418">
        <v>56</v>
      </c>
      <c r="M418">
        <v>2540540.5405405411</v>
      </c>
      <c r="N418">
        <v>8463513.5135135148</v>
      </c>
      <c r="O418">
        <v>8556486.4864864852</v>
      </c>
      <c r="P418">
        <v>9563783.7837837841</v>
      </c>
      <c r="Q418">
        <v>3452342.3423423432</v>
      </c>
      <c r="R418">
        <v>9449279.2792792805</v>
      </c>
      <c r="S418">
        <v>1450</v>
      </c>
      <c r="T418">
        <v>1457</v>
      </c>
    </row>
    <row r="419" spans="1:20">
      <c r="A419" s="7" t="s">
        <v>515</v>
      </c>
      <c r="B419" s="16" t="s">
        <v>304</v>
      </c>
      <c r="C419">
        <v>29140078.490219004</v>
      </c>
      <c r="D419">
        <v>24720589.005617231</v>
      </c>
      <c r="E419">
        <v>62220194.59459459</v>
      </c>
      <c r="F419">
        <v>88521794.594594598</v>
      </c>
      <c r="G419">
        <v>6</v>
      </c>
      <c r="H419">
        <v>6</v>
      </c>
      <c r="K419">
        <v>6</v>
      </c>
      <c r="L419">
        <v>7</v>
      </c>
      <c r="M419">
        <v>34558918.918918923</v>
      </c>
      <c r="N419">
        <v>2628828.8288288289</v>
      </c>
      <c r="O419">
        <v>4135180.1801801799</v>
      </c>
      <c r="P419">
        <v>3801450.4504504511</v>
      </c>
      <c r="Q419">
        <v>3612972.9729729719</v>
      </c>
      <c r="R419">
        <v>2243963.9639639631</v>
      </c>
      <c r="S419">
        <v>579</v>
      </c>
      <c r="T419">
        <v>586</v>
      </c>
    </row>
    <row r="420" spans="1:20">
      <c r="A420" s="7" t="s">
        <v>516</v>
      </c>
      <c r="B420" s="16" t="s">
        <v>304</v>
      </c>
      <c r="C420">
        <v>54638700.154046439</v>
      </c>
      <c r="D420">
        <v>57883337.15510942</v>
      </c>
      <c r="E420">
        <v>15855.855855856</v>
      </c>
      <c r="F420">
        <v>683783.78378378297</v>
      </c>
      <c r="G420">
        <v>24</v>
      </c>
      <c r="H420">
        <v>29</v>
      </c>
      <c r="K420">
        <v>27</v>
      </c>
      <c r="L420">
        <v>32</v>
      </c>
      <c r="M420">
        <v>3385225.2252252242</v>
      </c>
      <c r="N420">
        <v>3096396.3963963962</v>
      </c>
      <c r="O420">
        <v>7372612.6126126116</v>
      </c>
      <c r="P420">
        <v>8466135.1351351347</v>
      </c>
      <c r="Q420">
        <v>3647837.8378378381</v>
      </c>
      <c r="R420">
        <v>2574684.6846846859</v>
      </c>
      <c r="S420">
        <v>1104</v>
      </c>
      <c r="T420">
        <v>1081</v>
      </c>
    </row>
    <row r="421" spans="1:20">
      <c r="A421" s="7" t="s">
        <v>517</v>
      </c>
      <c r="B421" s="16" t="s">
        <v>304</v>
      </c>
      <c r="C421">
        <v>46227389.281524204</v>
      </c>
      <c r="D421">
        <v>44231286.150634483</v>
      </c>
      <c r="E421">
        <v>17117.117117116999</v>
      </c>
      <c r="F421">
        <v>94594.594594594993</v>
      </c>
      <c r="G421">
        <v>8</v>
      </c>
      <c r="H421">
        <v>17</v>
      </c>
      <c r="K421">
        <v>8</v>
      </c>
      <c r="L421">
        <v>18</v>
      </c>
      <c r="M421">
        <v>2107207.2072072071</v>
      </c>
      <c r="N421">
        <v>950450.450450451</v>
      </c>
      <c r="O421">
        <v>5831711.7117117113</v>
      </c>
      <c r="P421">
        <v>5761567.5675675673</v>
      </c>
      <c r="Q421">
        <v>1385585.5855855851</v>
      </c>
      <c r="R421">
        <v>835045.04504504497</v>
      </c>
      <c r="S421">
        <v>836</v>
      </c>
      <c r="T421">
        <v>811</v>
      </c>
    </row>
    <row r="422" spans="1:20">
      <c r="A422" s="7" t="s">
        <v>518</v>
      </c>
      <c r="B422" s="16" t="s">
        <v>448</v>
      </c>
      <c r="C422">
        <v>46872063.357078016</v>
      </c>
      <c r="D422">
        <v>44786716.828126989</v>
      </c>
      <c r="E422">
        <v>76576.576576577005</v>
      </c>
      <c r="F422">
        <v>260360.36036036001</v>
      </c>
      <c r="G422">
        <v>23</v>
      </c>
      <c r="H422">
        <v>9</v>
      </c>
      <c r="K422">
        <v>30</v>
      </c>
      <c r="L422">
        <v>11</v>
      </c>
      <c r="M422">
        <v>3074324.3243243238</v>
      </c>
      <c r="N422">
        <v>1814864.8648648651</v>
      </c>
      <c r="O422">
        <v>16462504.504504504</v>
      </c>
      <c r="P422">
        <v>14906623.873873876</v>
      </c>
      <c r="Q422">
        <v>3173243.2432432421</v>
      </c>
      <c r="R422">
        <v>2815135.1351351361</v>
      </c>
      <c r="S422">
        <v>1809</v>
      </c>
      <c r="T422">
        <v>1791</v>
      </c>
    </row>
    <row r="423" spans="1:20">
      <c r="A423" s="7" t="s">
        <v>519</v>
      </c>
      <c r="B423" s="16" t="s">
        <v>85</v>
      </c>
      <c r="C423">
        <v>139680519.59823063</v>
      </c>
      <c r="D423">
        <v>139251292.61318725</v>
      </c>
      <c r="E423">
        <v>216216.216216217</v>
      </c>
      <c r="F423">
        <v>1027027.027027028</v>
      </c>
      <c r="G423">
        <v>34</v>
      </c>
      <c r="H423">
        <v>20</v>
      </c>
      <c r="K423">
        <v>41</v>
      </c>
      <c r="L423">
        <v>27</v>
      </c>
      <c r="M423">
        <v>17405405.405405406</v>
      </c>
      <c r="N423">
        <v>23459459.459459458</v>
      </c>
      <c r="O423">
        <v>33607702.702702701</v>
      </c>
      <c r="P423">
        <v>35355423.423423424</v>
      </c>
      <c r="Q423">
        <v>9199549.549549548</v>
      </c>
      <c r="R423">
        <v>21921034.234234232</v>
      </c>
      <c r="S423">
        <v>4109</v>
      </c>
      <c r="T423">
        <v>4160</v>
      </c>
    </row>
    <row r="424" spans="1:20">
      <c r="A424" s="7" t="s">
        <v>520</v>
      </c>
      <c r="B424" s="16" t="s">
        <v>304</v>
      </c>
      <c r="C424">
        <v>72229570.417899415</v>
      </c>
      <c r="D424">
        <v>72793688.586900637</v>
      </c>
      <c r="E424">
        <v>9200900.9009009004</v>
      </c>
      <c r="F424">
        <v>7251351.3513513505</v>
      </c>
      <c r="G424">
        <v>29</v>
      </c>
      <c r="H424">
        <v>11</v>
      </c>
      <c r="K424">
        <v>32</v>
      </c>
      <c r="L424">
        <v>11</v>
      </c>
      <c r="M424">
        <v>5300000</v>
      </c>
      <c r="N424">
        <v>4269819.8198198201</v>
      </c>
      <c r="O424">
        <v>12620450.450450452</v>
      </c>
      <c r="P424">
        <v>11804927.927927928</v>
      </c>
      <c r="Q424">
        <v>2763603.6036036052</v>
      </c>
      <c r="R424">
        <v>2184144.1441441439</v>
      </c>
      <c r="S424">
        <v>1795</v>
      </c>
      <c r="T424">
        <v>1346</v>
      </c>
    </row>
    <row r="425" spans="1:20">
      <c r="A425" s="7" t="s">
        <v>521</v>
      </c>
      <c r="B425" s="16" t="s">
        <v>399</v>
      </c>
      <c r="C425">
        <v>505685141.29655898</v>
      </c>
      <c r="D425">
        <v>493011064.47863883</v>
      </c>
      <c r="E425">
        <v>6588018.0180180194</v>
      </c>
      <c r="F425">
        <v>23060360.360360365</v>
      </c>
      <c r="G425">
        <v>137</v>
      </c>
      <c r="H425">
        <v>208</v>
      </c>
      <c r="K425">
        <v>156</v>
      </c>
      <c r="L425">
        <v>598</v>
      </c>
      <c r="M425">
        <v>104881891.89189188</v>
      </c>
      <c r="N425">
        <v>86556981.981981978</v>
      </c>
      <c r="O425">
        <v>120297477.47747748</v>
      </c>
      <c r="P425">
        <v>125619360.36036037</v>
      </c>
      <c r="Q425">
        <v>95804144.144144148</v>
      </c>
      <c r="R425">
        <v>78697927.927927941</v>
      </c>
      <c r="S425">
        <v>13830</v>
      </c>
      <c r="T425">
        <v>14735</v>
      </c>
    </row>
    <row r="426" spans="1:20">
      <c r="A426" s="7" t="s">
        <v>522</v>
      </c>
      <c r="B426" s="16" t="s">
        <v>143</v>
      </c>
      <c r="C426">
        <v>144636430.70775136</v>
      </c>
      <c r="D426">
        <v>139014660.83329636</v>
      </c>
      <c r="E426">
        <v>20720.720720722002</v>
      </c>
      <c r="F426">
        <v>252252.25225225399</v>
      </c>
      <c r="G426">
        <v>31</v>
      </c>
      <c r="H426">
        <v>44</v>
      </c>
      <c r="K426">
        <v>36</v>
      </c>
      <c r="L426">
        <v>47</v>
      </c>
      <c r="M426">
        <v>9065765.7657657675</v>
      </c>
      <c r="N426">
        <v>6558558.5585585581</v>
      </c>
      <c r="O426">
        <v>16821747.747747749</v>
      </c>
      <c r="P426">
        <v>17590225.225225225</v>
      </c>
      <c r="Q426">
        <v>8326396.3963963958</v>
      </c>
      <c r="R426">
        <v>6957477.4774774769</v>
      </c>
      <c r="S426">
        <v>2991</v>
      </c>
      <c r="T426">
        <v>2986</v>
      </c>
    </row>
    <row r="427" spans="1:20">
      <c r="A427" s="7" t="s">
        <v>523</v>
      </c>
      <c r="B427" s="16" t="s">
        <v>66</v>
      </c>
      <c r="C427">
        <v>94661855.07397753</v>
      </c>
      <c r="D427">
        <v>96577693.534105554</v>
      </c>
      <c r="E427">
        <v>59099.099099099003</v>
      </c>
      <c r="F427">
        <v>1844144.1441441451</v>
      </c>
      <c r="G427">
        <v>21</v>
      </c>
      <c r="H427">
        <v>19</v>
      </c>
      <c r="I427">
        <v>1</v>
      </c>
      <c r="K427">
        <v>28</v>
      </c>
      <c r="L427">
        <v>25</v>
      </c>
      <c r="M427">
        <v>11921531.53153153</v>
      </c>
      <c r="N427">
        <v>56836576.576576576</v>
      </c>
      <c r="O427">
        <v>45166927.927927926</v>
      </c>
      <c r="P427">
        <v>45547738.738738738</v>
      </c>
      <c r="Q427">
        <v>11234414.414414413</v>
      </c>
      <c r="R427">
        <v>30747027.027027026</v>
      </c>
      <c r="S427">
        <v>3619</v>
      </c>
      <c r="T427">
        <v>3908</v>
      </c>
    </row>
    <row r="428" spans="1:20">
      <c r="A428" s="7" t="s">
        <v>524</v>
      </c>
      <c r="B428" s="16" t="s">
        <v>220</v>
      </c>
      <c r="C428">
        <v>132739436.02552949</v>
      </c>
      <c r="D428">
        <v>124522769.77940841</v>
      </c>
      <c r="E428">
        <v>430630.630630631</v>
      </c>
      <c r="F428">
        <v>545045.04504504497</v>
      </c>
      <c r="G428">
        <v>47</v>
      </c>
      <c r="H428">
        <v>37</v>
      </c>
      <c r="K428">
        <v>54</v>
      </c>
      <c r="L428">
        <v>43</v>
      </c>
      <c r="M428">
        <v>8790090.0900900885</v>
      </c>
      <c r="N428">
        <v>7876576.5765765766</v>
      </c>
      <c r="O428">
        <v>32414414.414414417</v>
      </c>
      <c r="P428">
        <v>31155216.216216218</v>
      </c>
      <c r="Q428">
        <v>6770090.0900900904</v>
      </c>
      <c r="R428">
        <v>5615225.225225226</v>
      </c>
      <c r="S428">
        <v>4407</v>
      </c>
      <c r="T428">
        <v>4440</v>
      </c>
    </row>
    <row r="429" spans="1:20">
      <c r="A429" s="7" t="s">
        <v>525</v>
      </c>
      <c r="B429" s="16" t="s">
        <v>413</v>
      </c>
      <c r="C429">
        <v>1417431323.6944544</v>
      </c>
      <c r="D429">
        <v>1371700541.4364882</v>
      </c>
      <c r="E429">
        <v>398819294.5945946</v>
      </c>
      <c r="F429">
        <v>206207580.18018019</v>
      </c>
      <c r="G429">
        <v>244</v>
      </c>
      <c r="H429">
        <v>294</v>
      </c>
      <c r="K429">
        <v>546</v>
      </c>
      <c r="L429">
        <v>824</v>
      </c>
      <c r="M429">
        <v>117772702.7027027</v>
      </c>
      <c r="N429">
        <v>104125891.89189188</v>
      </c>
      <c r="O429">
        <v>399316324.32432437</v>
      </c>
      <c r="P429">
        <v>399169364.86486489</v>
      </c>
      <c r="Q429">
        <v>101816349.54954955</v>
      </c>
      <c r="R429">
        <v>110970090.0900901</v>
      </c>
      <c r="S429">
        <v>32476</v>
      </c>
      <c r="T429">
        <v>32513</v>
      </c>
    </row>
    <row r="430" spans="1:20">
      <c r="A430" s="7" t="s">
        <v>526</v>
      </c>
      <c r="B430" s="16" t="s">
        <v>413</v>
      </c>
      <c r="C430">
        <v>167749278.2731531</v>
      </c>
      <c r="D430">
        <v>156048110.32290047</v>
      </c>
      <c r="E430">
        <v>15315.315315316</v>
      </c>
      <c r="F430">
        <v>296621.62162162201</v>
      </c>
      <c r="G430">
        <v>23</v>
      </c>
      <c r="H430">
        <v>29</v>
      </c>
      <c r="K430">
        <v>28</v>
      </c>
      <c r="L430">
        <v>37</v>
      </c>
      <c r="M430">
        <v>8331351.3513513505</v>
      </c>
      <c r="N430">
        <v>9256804.5045045055</v>
      </c>
      <c r="O430">
        <v>48064630.630630635</v>
      </c>
      <c r="P430">
        <v>49462954.954954952</v>
      </c>
      <c r="Q430">
        <v>7082792.7927927924</v>
      </c>
      <c r="R430">
        <v>7614234.2342342352</v>
      </c>
      <c r="S430">
        <v>4600</v>
      </c>
      <c r="T430">
        <v>4367</v>
      </c>
    </row>
    <row r="431" spans="1:20">
      <c r="A431" s="7" t="s">
        <v>661</v>
      </c>
      <c r="B431" s="16" t="s">
        <v>189</v>
      </c>
      <c r="C431">
        <v>2850086.344978096</v>
      </c>
      <c r="G431">
        <v>3</v>
      </c>
      <c r="K431">
        <v>3</v>
      </c>
      <c r="O431">
        <v>938288.28828828805</v>
      </c>
      <c r="S431">
        <v>119</v>
      </c>
    </row>
    <row r="432" spans="1:20">
      <c r="A432" s="7" t="s">
        <v>527</v>
      </c>
      <c r="B432" s="16" t="s">
        <v>147</v>
      </c>
      <c r="C432">
        <v>336781631.49884146</v>
      </c>
      <c r="D432">
        <v>319533088.82815218</v>
      </c>
      <c r="E432">
        <v>1161261.2612612629</v>
      </c>
      <c r="F432">
        <v>6086711.711711714</v>
      </c>
      <c r="G432">
        <v>44</v>
      </c>
      <c r="H432">
        <v>114</v>
      </c>
      <c r="K432">
        <v>56</v>
      </c>
      <c r="L432">
        <v>366</v>
      </c>
      <c r="M432">
        <v>18999099.099099088</v>
      </c>
      <c r="N432">
        <v>70149772.072072074</v>
      </c>
      <c r="O432">
        <v>104224945.94594595</v>
      </c>
      <c r="P432">
        <v>117840232.43243243</v>
      </c>
      <c r="Q432">
        <v>21767297.297297288</v>
      </c>
      <c r="R432">
        <v>71873873.873873875</v>
      </c>
      <c r="S432">
        <v>10062</v>
      </c>
      <c r="T432">
        <v>10568</v>
      </c>
    </row>
    <row r="433" spans="1:20">
      <c r="A433" s="7" t="s">
        <v>528</v>
      </c>
      <c r="B433" s="16" t="s">
        <v>121</v>
      </c>
      <c r="C433">
        <v>35876219.073995888</v>
      </c>
      <c r="D433">
        <v>35771930.341933377</v>
      </c>
      <c r="E433">
        <v>146621.62162162201</v>
      </c>
      <c r="F433">
        <v>315315.31531531602</v>
      </c>
      <c r="G433">
        <v>22</v>
      </c>
      <c r="H433">
        <v>22</v>
      </c>
      <c r="K433">
        <v>23</v>
      </c>
      <c r="L433">
        <v>23</v>
      </c>
      <c r="M433">
        <v>2340540.5405405411</v>
      </c>
      <c r="N433">
        <v>3355855.8558558561</v>
      </c>
      <c r="O433">
        <v>4103468.4684684682</v>
      </c>
      <c r="P433">
        <v>4121004.5045045041</v>
      </c>
      <c r="Q433">
        <v>1877927.927927928</v>
      </c>
      <c r="R433">
        <v>2807567.5675675678</v>
      </c>
      <c r="S433">
        <v>1193</v>
      </c>
      <c r="T433">
        <v>947</v>
      </c>
    </row>
    <row r="434" spans="1:20">
      <c r="A434" s="7" t="s">
        <v>529</v>
      </c>
      <c r="B434" s="16" t="s">
        <v>448</v>
      </c>
      <c r="C434">
        <v>83300733.765139237</v>
      </c>
      <c r="D434">
        <v>60508081.505181752</v>
      </c>
      <c r="E434">
        <v>908288.28828828898</v>
      </c>
      <c r="F434">
        <v>374774.77477477503</v>
      </c>
      <c r="G434">
        <v>38</v>
      </c>
      <c r="H434">
        <v>9</v>
      </c>
      <c r="K434">
        <v>40</v>
      </c>
      <c r="L434">
        <v>12</v>
      </c>
      <c r="M434">
        <v>6427477.4774774788</v>
      </c>
      <c r="N434">
        <v>1849549.5495495489</v>
      </c>
      <c r="O434">
        <v>38610477.477477483</v>
      </c>
      <c r="P434">
        <v>29372903.153153151</v>
      </c>
      <c r="Q434">
        <v>6354504.5045045055</v>
      </c>
      <c r="R434">
        <v>3586936.9369369359</v>
      </c>
      <c r="S434">
        <v>2202</v>
      </c>
      <c r="T434">
        <v>2123</v>
      </c>
    </row>
    <row r="435" spans="1:20">
      <c r="A435" s="7" t="s">
        <v>530</v>
      </c>
      <c r="B435" s="16" t="s">
        <v>448</v>
      </c>
      <c r="C435">
        <v>150981183.1496065</v>
      </c>
      <c r="D435">
        <v>147308497.92868367</v>
      </c>
      <c r="E435">
        <v>92792.792792793</v>
      </c>
      <c r="F435">
        <v>1069369.3693693699</v>
      </c>
      <c r="G435">
        <v>73</v>
      </c>
      <c r="H435">
        <v>54</v>
      </c>
      <c r="K435">
        <v>85</v>
      </c>
      <c r="L435">
        <v>65</v>
      </c>
      <c r="M435">
        <v>9602432.4324324336</v>
      </c>
      <c r="N435">
        <v>6883333.333333334</v>
      </c>
      <c r="O435">
        <v>71106216.216216221</v>
      </c>
      <c r="P435">
        <v>68361441.441441447</v>
      </c>
      <c r="Q435">
        <v>11371621.621621624</v>
      </c>
      <c r="R435">
        <v>6241261.2612612601</v>
      </c>
      <c r="S435">
        <v>5104</v>
      </c>
      <c r="T435">
        <v>5315</v>
      </c>
    </row>
    <row r="436" spans="1:20">
      <c r="A436" s="7" t="s">
        <v>531</v>
      </c>
      <c r="B436" s="16" t="s">
        <v>123</v>
      </c>
      <c r="C436">
        <v>391192050.50377381</v>
      </c>
      <c r="D436">
        <v>398009311.98723668</v>
      </c>
      <c r="E436">
        <v>96344287.387387395</v>
      </c>
      <c r="F436">
        <v>238147911.7117117</v>
      </c>
      <c r="G436">
        <v>110</v>
      </c>
      <c r="H436">
        <v>148</v>
      </c>
      <c r="I436">
        <v>6</v>
      </c>
      <c r="K436">
        <v>138</v>
      </c>
      <c r="L436">
        <v>312</v>
      </c>
      <c r="M436">
        <v>72215855.855855852</v>
      </c>
      <c r="N436">
        <v>109696486.48648649</v>
      </c>
      <c r="O436">
        <v>133283442.34234233</v>
      </c>
      <c r="P436">
        <v>139394736.93693694</v>
      </c>
      <c r="Q436">
        <v>77520720.720720723</v>
      </c>
      <c r="R436">
        <v>109639099.0990991</v>
      </c>
      <c r="S436">
        <v>11274</v>
      </c>
      <c r="T436">
        <v>11262</v>
      </c>
    </row>
    <row r="437" spans="1:20">
      <c r="A437" s="7" t="s">
        <v>532</v>
      </c>
      <c r="B437" s="16" t="s">
        <v>85</v>
      </c>
      <c r="C437">
        <v>124944470.99289399</v>
      </c>
      <c r="D437">
        <v>117351764.08226775</v>
      </c>
      <c r="E437">
        <v>278877619.81981981</v>
      </c>
      <c r="F437">
        <v>282249758.55855858</v>
      </c>
      <c r="G437">
        <v>11</v>
      </c>
      <c r="H437">
        <v>24</v>
      </c>
      <c r="K437">
        <v>11</v>
      </c>
      <c r="L437">
        <v>42</v>
      </c>
      <c r="M437">
        <v>19463063.063063063</v>
      </c>
      <c r="N437">
        <v>43526666.666666672</v>
      </c>
      <c r="O437">
        <v>27955585.585585583</v>
      </c>
      <c r="P437">
        <v>24988288.288288288</v>
      </c>
      <c r="Q437">
        <v>11000450.450450448</v>
      </c>
      <c r="R437">
        <v>7140630.6306306301</v>
      </c>
      <c r="S437">
        <v>3679</v>
      </c>
      <c r="T437">
        <v>3459</v>
      </c>
    </row>
    <row r="438" spans="1:20">
      <c r="A438" s="7" t="s">
        <v>9</v>
      </c>
      <c r="B438" s="16" t="s">
        <v>158</v>
      </c>
      <c r="C438">
        <v>326044233.44172883</v>
      </c>
      <c r="D438">
        <v>309784550.44216049</v>
      </c>
      <c r="E438">
        <v>579176597.29729724</v>
      </c>
      <c r="F438">
        <v>625413250.45045042</v>
      </c>
      <c r="G438">
        <v>58</v>
      </c>
      <c r="H438">
        <v>46</v>
      </c>
      <c r="I438">
        <v>4</v>
      </c>
      <c r="K438">
        <v>67</v>
      </c>
      <c r="L438">
        <v>53</v>
      </c>
      <c r="M438">
        <v>551195379.27927935</v>
      </c>
      <c r="N438">
        <v>444005572.07207209</v>
      </c>
      <c r="O438">
        <v>114610846.84684685</v>
      </c>
      <c r="P438">
        <v>112948252.25225225</v>
      </c>
      <c r="Q438">
        <v>437902252.25225222</v>
      </c>
      <c r="R438">
        <v>338766216.21621621</v>
      </c>
      <c r="S438">
        <v>7339</v>
      </c>
      <c r="T438">
        <v>7306</v>
      </c>
    </row>
    <row r="439" spans="1:20">
      <c r="A439" s="7" t="s">
        <v>533</v>
      </c>
      <c r="B439" s="16" t="s">
        <v>94</v>
      </c>
      <c r="C439">
        <v>311459121.03828686</v>
      </c>
      <c r="D439">
        <v>300212334.01422572</v>
      </c>
      <c r="E439">
        <v>274774.77477477601</v>
      </c>
      <c r="F439">
        <v>1066666.66666667</v>
      </c>
      <c r="G439">
        <v>53</v>
      </c>
      <c r="H439">
        <v>58</v>
      </c>
      <c r="I439">
        <v>1</v>
      </c>
      <c r="K439">
        <v>60</v>
      </c>
      <c r="L439">
        <v>65</v>
      </c>
      <c r="M439">
        <v>24828828.828828827</v>
      </c>
      <c r="N439">
        <v>24309909.909909911</v>
      </c>
      <c r="O439">
        <v>35095989.189189188</v>
      </c>
      <c r="P439">
        <v>41369405.40540541</v>
      </c>
      <c r="Q439">
        <v>18986576.576576576</v>
      </c>
      <c r="R439">
        <v>17532252.252252251</v>
      </c>
      <c r="S439">
        <v>6413</v>
      </c>
      <c r="T439">
        <v>6543</v>
      </c>
    </row>
    <row r="440" spans="1:20">
      <c r="A440" s="7" t="s">
        <v>534</v>
      </c>
      <c r="B440" s="16" t="s">
        <v>304</v>
      </c>
      <c r="C440">
        <v>8183909.6451699762</v>
      </c>
      <c r="D440">
        <v>7914406.6573588327</v>
      </c>
      <c r="G440">
        <v>5</v>
      </c>
      <c r="H440">
        <v>2</v>
      </c>
      <c r="K440">
        <v>5</v>
      </c>
      <c r="L440">
        <v>2</v>
      </c>
      <c r="O440">
        <v>804864.86486486497</v>
      </c>
      <c r="P440">
        <v>1264594.594594595</v>
      </c>
      <c r="S440">
        <v>233</v>
      </c>
      <c r="T440">
        <v>487</v>
      </c>
    </row>
    <row r="441" spans="1:20">
      <c r="A441" s="7" t="s">
        <v>535</v>
      </c>
      <c r="B441" s="16" t="s">
        <v>304</v>
      </c>
      <c r="C441">
        <v>130453877.81020647</v>
      </c>
      <c r="D441">
        <v>122653761.35173748</v>
      </c>
      <c r="E441">
        <v>1044144.144144145</v>
      </c>
      <c r="F441">
        <v>486486.48648648697</v>
      </c>
      <c r="G441">
        <v>31</v>
      </c>
      <c r="H441">
        <v>13</v>
      </c>
      <c r="K441">
        <v>35</v>
      </c>
      <c r="L441">
        <v>17</v>
      </c>
      <c r="M441">
        <v>8071171.1711711707</v>
      </c>
      <c r="N441">
        <v>11495495.495495496</v>
      </c>
      <c r="O441">
        <v>11541036.036036037</v>
      </c>
      <c r="P441">
        <v>11234324.324324325</v>
      </c>
      <c r="Q441">
        <v>5102792.7927927934</v>
      </c>
      <c r="R441">
        <v>3510180.1801801799</v>
      </c>
      <c r="S441">
        <v>2844</v>
      </c>
      <c r="T441">
        <v>2716</v>
      </c>
    </row>
    <row r="442" spans="1:20">
      <c r="A442" s="7" t="s">
        <v>536</v>
      </c>
      <c r="B442" s="16" t="s">
        <v>85</v>
      </c>
      <c r="C442">
        <v>107666498.26980639</v>
      </c>
      <c r="D442">
        <v>106034739.18222132</v>
      </c>
      <c r="E442">
        <v>295495.49549549603</v>
      </c>
      <c r="F442">
        <v>660360.36036036198</v>
      </c>
      <c r="G442">
        <v>79</v>
      </c>
      <c r="H442">
        <v>44</v>
      </c>
      <c r="K442">
        <v>83</v>
      </c>
      <c r="L442">
        <v>54</v>
      </c>
      <c r="M442">
        <v>32367567.567567568</v>
      </c>
      <c r="N442">
        <v>37020180.180180185</v>
      </c>
      <c r="O442">
        <v>48070495.495495498</v>
      </c>
      <c r="P442">
        <v>50189279.279279277</v>
      </c>
      <c r="Q442">
        <v>31613783.783783782</v>
      </c>
      <c r="R442">
        <v>30459099.0990991</v>
      </c>
      <c r="S442">
        <v>3098</v>
      </c>
      <c r="T442">
        <v>2959</v>
      </c>
    </row>
    <row r="443" spans="1:20">
      <c r="A443" s="7" t="s">
        <v>537</v>
      </c>
      <c r="B443" s="16" t="s">
        <v>448</v>
      </c>
      <c r="C443">
        <v>151594192.61154652</v>
      </c>
      <c r="D443">
        <v>149122529.61939213</v>
      </c>
      <c r="E443">
        <v>163063.063063065</v>
      </c>
      <c r="F443">
        <v>1434234.234234235</v>
      </c>
      <c r="G443">
        <v>129</v>
      </c>
      <c r="H443">
        <v>137</v>
      </c>
      <c r="K443">
        <v>135</v>
      </c>
      <c r="L443">
        <v>240</v>
      </c>
      <c r="M443">
        <v>7740540.5405405397</v>
      </c>
      <c r="N443">
        <v>12615945.945945945</v>
      </c>
      <c r="O443">
        <v>42848306.306306303</v>
      </c>
      <c r="P443">
        <v>41398827.027027026</v>
      </c>
      <c r="Q443">
        <v>7677927.927927929</v>
      </c>
      <c r="R443">
        <v>14348468.468468469</v>
      </c>
      <c r="S443">
        <v>5058</v>
      </c>
      <c r="T443">
        <v>5109</v>
      </c>
    </row>
    <row r="444" spans="1:20">
      <c r="A444" s="7" t="s">
        <v>538</v>
      </c>
      <c r="B444" s="16" t="s">
        <v>117</v>
      </c>
      <c r="C444">
        <v>345524409.94695872</v>
      </c>
      <c r="D444">
        <v>344509937.14463121</v>
      </c>
      <c r="E444">
        <v>1557702.702702713</v>
      </c>
      <c r="F444">
        <v>6118918.9189189291</v>
      </c>
      <c r="G444">
        <v>152</v>
      </c>
      <c r="H444">
        <v>94</v>
      </c>
      <c r="K444">
        <v>213</v>
      </c>
      <c r="L444">
        <v>127</v>
      </c>
      <c r="M444">
        <v>66432110.810810804</v>
      </c>
      <c r="N444">
        <v>65143692.792792797</v>
      </c>
      <c r="O444">
        <v>180702252.25225225</v>
      </c>
      <c r="P444">
        <v>195445130.63063061</v>
      </c>
      <c r="Q444">
        <v>64182522.522522531</v>
      </c>
      <c r="R444">
        <v>59141171.171171166</v>
      </c>
      <c r="S444">
        <v>11153</v>
      </c>
      <c r="T444">
        <v>12441</v>
      </c>
    </row>
    <row r="445" spans="1:20">
      <c r="A445" s="7" t="s">
        <v>539</v>
      </c>
      <c r="B445" s="16" t="s">
        <v>83</v>
      </c>
      <c r="C445">
        <v>1072030927.8723965</v>
      </c>
      <c r="D445">
        <v>1055905333.3109316</v>
      </c>
      <c r="E445">
        <v>1855630.6306306319</v>
      </c>
      <c r="F445">
        <v>5110888.2882882878</v>
      </c>
      <c r="G445">
        <v>167</v>
      </c>
      <c r="H445">
        <v>240</v>
      </c>
      <c r="I445">
        <v>1</v>
      </c>
      <c r="K445">
        <v>184</v>
      </c>
      <c r="L445">
        <v>272</v>
      </c>
      <c r="M445">
        <v>59232882.882882878</v>
      </c>
      <c r="N445">
        <v>59943774.774774775</v>
      </c>
      <c r="O445">
        <v>106340502.7027027</v>
      </c>
      <c r="P445">
        <v>115317516.66666667</v>
      </c>
      <c r="Q445">
        <v>54783016.216216214</v>
      </c>
      <c r="R445">
        <v>60968781.981981985</v>
      </c>
      <c r="S445">
        <v>21731</v>
      </c>
      <c r="T445">
        <v>21758</v>
      </c>
    </row>
    <row r="446" spans="1:20">
      <c r="A446" s="7" t="s">
        <v>540</v>
      </c>
      <c r="B446" s="16" t="s">
        <v>315</v>
      </c>
      <c r="C446">
        <v>126441444.73055339</v>
      </c>
      <c r="D446">
        <v>130221874.87473233</v>
      </c>
      <c r="E446">
        <v>3288378.3783783782</v>
      </c>
      <c r="F446">
        <v>1439864.8648648651</v>
      </c>
      <c r="G446">
        <v>15</v>
      </c>
      <c r="H446">
        <v>21</v>
      </c>
      <c r="K446">
        <v>16</v>
      </c>
      <c r="L446">
        <v>33</v>
      </c>
      <c r="M446">
        <v>13894594.594594594</v>
      </c>
      <c r="N446">
        <v>8064414.4144144142</v>
      </c>
      <c r="O446">
        <v>22495720.72072072</v>
      </c>
      <c r="P446">
        <v>25966306.306306306</v>
      </c>
      <c r="Q446">
        <v>9790720.7207207195</v>
      </c>
      <c r="R446">
        <v>6945315.3153153136</v>
      </c>
      <c r="S446">
        <v>2517</v>
      </c>
      <c r="T446">
        <v>2454</v>
      </c>
    </row>
    <row r="447" spans="1:20">
      <c r="A447" s="7" t="s">
        <v>541</v>
      </c>
      <c r="B447" s="16" t="s">
        <v>169</v>
      </c>
      <c r="C447">
        <v>929756071.16840017</v>
      </c>
      <c r="D447">
        <v>891268426.62326205</v>
      </c>
      <c r="E447">
        <v>1734684.684684684</v>
      </c>
      <c r="F447">
        <v>1915315.3153153181</v>
      </c>
      <c r="G447">
        <v>103</v>
      </c>
      <c r="H447">
        <v>115</v>
      </c>
      <c r="I447">
        <v>1</v>
      </c>
      <c r="K447">
        <v>144</v>
      </c>
      <c r="L447">
        <v>203</v>
      </c>
      <c r="M447">
        <v>40490900.9009009</v>
      </c>
      <c r="N447">
        <v>43358175.675675675</v>
      </c>
      <c r="O447">
        <v>325724081.08108109</v>
      </c>
      <c r="P447">
        <v>330973006.75675672</v>
      </c>
      <c r="Q447">
        <v>37904144.144144148</v>
      </c>
      <c r="R447">
        <v>46718378.378378376</v>
      </c>
      <c r="S447">
        <v>21380</v>
      </c>
      <c r="T447">
        <v>23508</v>
      </c>
    </row>
    <row r="448" spans="1:20">
      <c r="A448" s="7" t="s">
        <v>542</v>
      </c>
      <c r="B448" s="16" t="s">
        <v>479</v>
      </c>
      <c r="C448">
        <v>291893275.32638979</v>
      </c>
      <c r="D448">
        <v>280422265.58479846</v>
      </c>
      <c r="E448">
        <v>1036936.936936937</v>
      </c>
      <c r="F448">
        <v>81081.081081084005</v>
      </c>
      <c r="G448">
        <v>26</v>
      </c>
      <c r="H448">
        <v>26</v>
      </c>
      <c r="K448">
        <v>28</v>
      </c>
      <c r="L448">
        <v>32</v>
      </c>
      <c r="M448">
        <v>2000900.9009009011</v>
      </c>
      <c r="N448">
        <v>1000000.000000003</v>
      </c>
      <c r="O448">
        <v>37350756.75675676</v>
      </c>
      <c r="P448">
        <v>37001594.59459459</v>
      </c>
      <c r="Q448">
        <v>1665315.315315316</v>
      </c>
      <c r="R448">
        <v>464144.14414414403</v>
      </c>
      <c r="S448">
        <v>5830</v>
      </c>
      <c r="T448">
        <v>5329</v>
      </c>
    </row>
    <row r="449" spans="1:20">
      <c r="A449" s="7" t="s">
        <v>543</v>
      </c>
      <c r="B449" s="16" t="s">
        <v>80</v>
      </c>
      <c r="C449">
        <v>78720841.788098693</v>
      </c>
      <c r="D449">
        <v>65418268.227089666</v>
      </c>
      <c r="E449">
        <v>154054.054054054</v>
      </c>
      <c r="F449">
        <v>304054.05405405402</v>
      </c>
      <c r="G449">
        <v>21</v>
      </c>
      <c r="H449">
        <v>24</v>
      </c>
      <c r="K449">
        <v>22</v>
      </c>
      <c r="L449">
        <v>29</v>
      </c>
      <c r="M449">
        <v>8818018.0180180185</v>
      </c>
      <c r="N449">
        <v>5807207.2072072066</v>
      </c>
      <c r="O449">
        <v>27320900.9009009</v>
      </c>
      <c r="P449">
        <v>24930477.47747748</v>
      </c>
      <c r="Q449">
        <v>7668108.1081081089</v>
      </c>
      <c r="R449">
        <v>6176666.666666666</v>
      </c>
      <c r="S449">
        <v>2326</v>
      </c>
      <c r="T449">
        <v>4107</v>
      </c>
    </row>
    <row r="450" spans="1:20">
      <c r="A450" s="7" t="s">
        <v>544</v>
      </c>
      <c r="B450" s="16" t="s">
        <v>169</v>
      </c>
      <c r="C450">
        <v>85725520.379720867</v>
      </c>
      <c r="D450">
        <v>69584098.686174005</v>
      </c>
      <c r="F450">
        <v>271171.17117117101</v>
      </c>
      <c r="G450">
        <v>20</v>
      </c>
      <c r="H450">
        <v>13</v>
      </c>
      <c r="K450">
        <v>20</v>
      </c>
      <c r="L450">
        <v>13</v>
      </c>
      <c r="M450">
        <v>2702702.702702702</v>
      </c>
      <c r="N450">
        <v>1172072.072072071</v>
      </c>
      <c r="O450">
        <v>35058998.198198199</v>
      </c>
      <c r="P450">
        <v>30290484.684684683</v>
      </c>
      <c r="Q450">
        <v>1782252.2522522521</v>
      </c>
      <c r="R450">
        <v>382792.79279279202</v>
      </c>
      <c r="S450">
        <v>2540</v>
      </c>
      <c r="T450">
        <v>2464</v>
      </c>
    </row>
    <row r="451" spans="1:20">
      <c r="A451" s="7" t="s">
        <v>545</v>
      </c>
      <c r="B451" s="16" t="s">
        <v>224</v>
      </c>
      <c r="C451">
        <v>19626.833160090999</v>
      </c>
      <c r="D451">
        <v>4921.951882626</v>
      </c>
      <c r="O451">
        <v>10585.585585586001</v>
      </c>
    </row>
    <row r="452" spans="1:20">
      <c r="A452" s="7" t="s">
        <v>546</v>
      </c>
      <c r="B452" s="16" t="s">
        <v>136</v>
      </c>
      <c r="C452">
        <v>182797707.21834719</v>
      </c>
      <c r="D452">
        <v>176765583.0897558</v>
      </c>
      <c r="E452">
        <v>331081.08108108101</v>
      </c>
      <c r="F452">
        <v>737837.83783784101</v>
      </c>
      <c r="G452">
        <v>62</v>
      </c>
      <c r="H452">
        <v>57</v>
      </c>
      <c r="K452">
        <v>68</v>
      </c>
      <c r="L452">
        <v>65</v>
      </c>
      <c r="M452">
        <v>41510630.630630635</v>
      </c>
      <c r="N452">
        <v>37839639.639639638</v>
      </c>
      <c r="O452">
        <v>58711027.027027026</v>
      </c>
      <c r="P452">
        <v>58037502.702702701</v>
      </c>
      <c r="Q452">
        <v>33437117.117117114</v>
      </c>
      <c r="R452">
        <v>31750270.270270273</v>
      </c>
      <c r="S452">
        <v>4424</v>
      </c>
      <c r="T452">
        <v>4328</v>
      </c>
    </row>
    <row r="453" spans="1:20">
      <c r="A453" s="7" t="s">
        <v>547</v>
      </c>
      <c r="B453" s="16" t="s">
        <v>136</v>
      </c>
      <c r="C453">
        <v>336181577.45000798</v>
      </c>
      <c r="D453">
        <v>337767699.31440133</v>
      </c>
      <c r="E453">
        <v>155671292.7927928</v>
      </c>
      <c r="F453">
        <v>224374828.82882884</v>
      </c>
      <c r="G453">
        <v>180</v>
      </c>
      <c r="H453">
        <v>171</v>
      </c>
      <c r="K453">
        <v>200</v>
      </c>
      <c r="L453">
        <v>203</v>
      </c>
      <c r="M453">
        <v>80626576.576576561</v>
      </c>
      <c r="N453">
        <v>78705405.405405402</v>
      </c>
      <c r="O453">
        <v>104160176.57657658</v>
      </c>
      <c r="P453">
        <v>111085303.6036036</v>
      </c>
      <c r="Q453">
        <v>70458918.918918908</v>
      </c>
      <c r="R453">
        <v>70906389.189189196</v>
      </c>
      <c r="S453">
        <v>12575</v>
      </c>
      <c r="T453">
        <v>12828</v>
      </c>
    </row>
    <row r="454" spans="1:20">
      <c r="A454" s="7" t="s">
        <v>548</v>
      </c>
      <c r="B454" s="16" t="s">
        <v>136</v>
      </c>
      <c r="C454">
        <v>381028205.80968404</v>
      </c>
      <c r="D454">
        <v>373959452.14694476</v>
      </c>
      <c r="E454">
        <v>1271171.1711711721</v>
      </c>
      <c r="F454">
        <v>3252252.2522522518</v>
      </c>
      <c r="G454">
        <v>113</v>
      </c>
      <c r="H454">
        <v>56</v>
      </c>
      <c r="K454">
        <v>120</v>
      </c>
      <c r="L454">
        <v>64</v>
      </c>
      <c r="M454">
        <v>14525225.225225225</v>
      </c>
      <c r="N454">
        <v>15207207.207207205</v>
      </c>
      <c r="O454">
        <v>60202243.24324324</v>
      </c>
      <c r="P454">
        <v>62583908.108108111</v>
      </c>
      <c r="Q454">
        <v>13895225.225225229</v>
      </c>
      <c r="R454">
        <v>14261081.081081081</v>
      </c>
      <c r="S454">
        <v>8366</v>
      </c>
      <c r="T454">
        <v>9100</v>
      </c>
    </row>
    <row r="455" spans="1:20">
      <c r="A455" s="7" t="s">
        <v>549</v>
      </c>
      <c r="B455" s="16" t="s">
        <v>136</v>
      </c>
      <c r="C455">
        <v>181223367.31200209</v>
      </c>
      <c r="D455">
        <v>153454855.49120668</v>
      </c>
      <c r="E455">
        <v>347747.74774774798</v>
      </c>
      <c r="F455">
        <v>211711.711711713</v>
      </c>
      <c r="G455">
        <v>48</v>
      </c>
      <c r="H455">
        <v>27</v>
      </c>
      <c r="K455">
        <v>52</v>
      </c>
      <c r="L455">
        <v>30</v>
      </c>
      <c r="M455">
        <v>17600540.540540539</v>
      </c>
      <c r="N455">
        <v>11193693.693693692</v>
      </c>
      <c r="O455">
        <v>31057070.270270273</v>
      </c>
      <c r="P455">
        <v>26596279.27927928</v>
      </c>
      <c r="Q455">
        <v>13024457.657657661</v>
      </c>
      <c r="R455">
        <v>10320360.36036036</v>
      </c>
      <c r="S455">
        <v>3831</v>
      </c>
      <c r="T455">
        <v>3731</v>
      </c>
    </row>
    <row r="456" spans="1:20">
      <c r="A456" s="7" t="s">
        <v>550</v>
      </c>
      <c r="B456" s="16" t="s">
        <v>87</v>
      </c>
      <c r="C456">
        <v>74924090.392086625</v>
      </c>
      <c r="D456">
        <v>63196840.083840959</v>
      </c>
      <c r="E456">
        <v>907207.20720720803</v>
      </c>
      <c r="F456">
        <v>118918.91891891899</v>
      </c>
      <c r="G456">
        <v>47</v>
      </c>
      <c r="H456">
        <v>26</v>
      </c>
      <c r="K456">
        <v>50</v>
      </c>
      <c r="L456">
        <v>29</v>
      </c>
      <c r="M456">
        <v>4916216.2162162159</v>
      </c>
      <c r="N456">
        <v>3971171.1711711711</v>
      </c>
      <c r="O456">
        <v>13083448.648648648</v>
      </c>
      <c r="P456">
        <v>9940027.0270270277</v>
      </c>
      <c r="Q456">
        <v>4191351.3513513519</v>
      </c>
      <c r="R456">
        <v>3939549.5495495498</v>
      </c>
      <c r="S456">
        <v>1359</v>
      </c>
      <c r="T456">
        <v>1410</v>
      </c>
    </row>
    <row r="457" spans="1:20">
      <c r="A457" s="7" t="s">
        <v>551</v>
      </c>
      <c r="B457" s="16" t="s">
        <v>87</v>
      </c>
      <c r="C457">
        <v>109572983.48080149</v>
      </c>
      <c r="D457">
        <v>97034528.048202187</v>
      </c>
      <c r="E457">
        <v>45945.945945945998</v>
      </c>
      <c r="F457">
        <v>364864.86486486602</v>
      </c>
      <c r="G457">
        <v>104</v>
      </c>
      <c r="H457">
        <v>52</v>
      </c>
      <c r="I457">
        <v>1</v>
      </c>
      <c r="K457">
        <v>111</v>
      </c>
      <c r="L457">
        <v>61</v>
      </c>
      <c r="M457">
        <v>11910810.81081081</v>
      </c>
      <c r="N457">
        <v>5649549.5495495498</v>
      </c>
      <c r="O457">
        <v>15533693.693693692</v>
      </c>
      <c r="P457">
        <v>14730484.684684685</v>
      </c>
      <c r="Q457">
        <v>8116036.0360360369</v>
      </c>
      <c r="R457">
        <v>6488198.1981981983</v>
      </c>
      <c r="S457">
        <v>2720</v>
      </c>
      <c r="T457">
        <v>2632</v>
      </c>
    </row>
    <row r="458" spans="1:20">
      <c r="A458" s="7" t="s">
        <v>552</v>
      </c>
      <c r="B458" s="16" t="s">
        <v>66</v>
      </c>
      <c r="C458">
        <v>197351771.86454701</v>
      </c>
      <c r="D458">
        <v>192045836.96094629</v>
      </c>
      <c r="E458">
        <v>1893423.4234234251</v>
      </c>
      <c r="F458">
        <v>4663063.0630630637</v>
      </c>
      <c r="G458">
        <v>166</v>
      </c>
      <c r="H458">
        <v>56</v>
      </c>
      <c r="K458">
        <v>175</v>
      </c>
      <c r="L458">
        <v>67</v>
      </c>
      <c r="M458">
        <v>43403963.963963963</v>
      </c>
      <c r="N458">
        <v>179754864.86486486</v>
      </c>
      <c r="O458">
        <v>84066378.378378391</v>
      </c>
      <c r="P458">
        <v>80067056.306306303</v>
      </c>
      <c r="Q458">
        <v>40135405.40540541</v>
      </c>
      <c r="R458">
        <v>102174864.86486487</v>
      </c>
      <c r="S458">
        <v>8894</v>
      </c>
      <c r="T458">
        <v>9079</v>
      </c>
    </row>
    <row r="459" spans="1:20">
      <c r="A459" s="7" t="s">
        <v>35</v>
      </c>
      <c r="B459" s="16" t="s">
        <v>158</v>
      </c>
      <c r="E459">
        <v>3378378.3783783782</v>
      </c>
      <c r="F459">
        <v>91959459.459459454</v>
      </c>
      <c r="M459">
        <v>30784684.684684683</v>
      </c>
      <c r="N459">
        <v>16190090.09009009</v>
      </c>
    </row>
    <row r="460" spans="1:20">
      <c r="A460" s="7" t="s">
        <v>553</v>
      </c>
      <c r="B460" s="16" t="s">
        <v>554</v>
      </c>
      <c r="C460">
        <v>417558200.45798129</v>
      </c>
      <c r="D460">
        <v>381959320.05468726</v>
      </c>
      <c r="E460">
        <v>411711.711711713</v>
      </c>
      <c r="F460">
        <v>8667117.1171171162</v>
      </c>
      <c r="G460">
        <v>182</v>
      </c>
      <c r="H460">
        <v>58</v>
      </c>
      <c r="I460">
        <v>1</v>
      </c>
      <c r="K460">
        <v>310</v>
      </c>
      <c r="L460">
        <v>77</v>
      </c>
      <c r="M460">
        <v>36588378.378378376</v>
      </c>
      <c r="N460">
        <v>116581981.98198198</v>
      </c>
      <c r="O460">
        <v>112226873.87387387</v>
      </c>
      <c r="P460">
        <v>104863909.9099099</v>
      </c>
      <c r="Q460">
        <v>32682792.792792793</v>
      </c>
      <c r="R460">
        <v>113372702.7027027</v>
      </c>
      <c r="S460">
        <v>9199</v>
      </c>
      <c r="T460">
        <v>9180</v>
      </c>
    </row>
    <row r="461" spans="1:20">
      <c r="A461" s="7" t="s">
        <v>555</v>
      </c>
      <c r="B461" s="16" t="s">
        <v>554</v>
      </c>
      <c r="C461">
        <v>66024730.33789786</v>
      </c>
      <c r="D461">
        <v>58533018.308179051</v>
      </c>
      <c r="E461">
        <v>23696153.153153155</v>
      </c>
      <c r="F461">
        <v>105875406.3063063</v>
      </c>
      <c r="G461">
        <v>37</v>
      </c>
      <c r="H461">
        <v>22</v>
      </c>
      <c r="K461">
        <v>40</v>
      </c>
      <c r="L461">
        <v>24</v>
      </c>
      <c r="M461">
        <v>12465585.585585587</v>
      </c>
      <c r="N461">
        <v>9144144.1441441439</v>
      </c>
      <c r="O461">
        <v>23927207.207207207</v>
      </c>
      <c r="P461">
        <v>21394225.225225225</v>
      </c>
      <c r="Q461">
        <v>6752432.4324324317</v>
      </c>
      <c r="R461">
        <v>8494504.5045045037</v>
      </c>
      <c r="S461">
        <v>1639</v>
      </c>
      <c r="T461">
        <v>1576</v>
      </c>
    </row>
    <row r="462" spans="1:20">
      <c r="A462" s="7" t="s">
        <v>556</v>
      </c>
      <c r="B462" s="16" t="s">
        <v>121</v>
      </c>
      <c r="C462">
        <v>45779019.989374064</v>
      </c>
      <c r="D462">
        <v>44988266.716902629</v>
      </c>
      <c r="F462">
        <v>180180.18018018</v>
      </c>
      <c r="G462">
        <v>29</v>
      </c>
      <c r="H462">
        <v>19</v>
      </c>
      <c r="K462">
        <v>34</v>
      </c>
      <c r="L462">
        <v>23</v>
      </c>
      <c r="M462">
        <v>90090.090090090001</v>
      </c>
      <c r="N462">
        <v>180180.18018018</v>
      </c>
      <c r="O462">
        <v>3867927.927927928</v>
      </c>
      <c r="P462">
        <v>4222333.333333333</v>
      </c>
      <c r="Q462">
        <v>253153.15315315299</v>
      </c>
      <c r="R462">
        <v>118918.91891891899</v>
      </c>
      <c r="S462">
        <v>1424</v>
      </c>
      <c r="T462">
        <v>1308</v>
      </c>
    </row>
    <row r="463" spans="1:20">
      <c r="A463" s="7" t="s">
        <v>557</v>
      </c>
      <c r="B463" s="16" t="s">
        <v>70</v>
      </c>
      <c r="C463">
        <v>357185682.22622603</v>
      </c>
      <c r="D463">
        <v>355959901.50863326</v>
      </c>
      <c r="E463">
        <v>2193198.198198196</v>
      </c>
      <c r="F463">
        <v>3987387.3873873921</v>
      </c>
      <c r="G463">
        <v>98</v>
      </c>
      <c r="H463">
        <v>82</v>
      </c>
      <c r="K463">
        <v>105</v>
      </c>
      <c r="L463">
        <v>94</v>
      </c>
      <c r="M463">
        <v>45259639.639639638</v>
      </c>
      <c r="N463">
        <v>48796396.396396399</v>
      </c>
      <c r="O463">
        <v>144094396.3963964</v>
      </c>
      <c r="P463">
        <v>150972783.78378376</v>
      </c>
      <c r="Q463">
        <v>47397837.837837838</v>
      </c>
      <c r="R463">
        <v>43043603.603603601</v>
      </c>
      <c r="S463">
        <v>10225</v>
      </c>
      <c r="T463">
        <v>10373</v>
      </c>
    </row>
    <row r="464" spans="1:20">
      <c r="A464" s="7" t="s">
        <v>558</v>
      </c>
      <c r="B464" s="16" t="s">
        <v>62</v>
      </c>
      <c r="C464">
        <v>643944284.9761138</v>
      </c>
      <c r="D464">
        <v>644724044.20010877</v>
      </c>
      <c r="E464">
        <v>5172072.0720720766</v>
      </c>
      <c r="F464">
        <v>9851351.3513513561</v>
      </c>
      <c r="G464">
        <v>194</v>
      </c>
      <c r="H464">
        <v>213</v>
      </c>
      <c r="I464">
        <v>4</v>
      </c>
      <c r="K464">
        <v>227</v>
      </c>
      <c r="L464">
        <v>331</v>
      </c>
      <c r="M464">
        <v>49980990.990990989</v>
      </c>
      <c r="N464">
        <v>86857117.117117122</v>
      </c>
      <c r="O464">
        <v>146323583.78378376</v>
      </c>
      <c r="P464">
        <v>147930121.62162164</v>
      </c>
      <c r="Q464">
        <v>47416486.48648648</v>
      </c>
      <c r="R464">
        <v>86846756.756756753</v>
      </c>
      <c r="S464">
        <v>18242</v>
      </c>
      <c r="T464">
        <v>18330</v>
      </c>
    </row>
    <row r="465" spans="1:20">
      <c r="A465" s="7" t="s">
        <v>559</v>
      </c>
      <c r="B465" s="16" t="s">
        <v>479</v>
      </c>
      <c r="C465">
        <v>338149979.64672995</v>
      </c>
      <c r="D465">
        <v>301082512.79693615</v>
      </c>
      <c r="E465">
        <v>889189.18918919098</v>
      </c>
      <c r="F465">
        <v>2648648.6486486518</v>
      </c>
      <c r="G465">
        <v>163</v>
      </c>
      <c r="H465">
        <v>101</v>
      </c>
      <c r="I465">
        <v>2</v>
      </c>
      <c r="K465">
        <v>175</v>
      </c>
      <c r="L465">
        <v>133</v>
      </c>
      <c r="M465">
        <v>34494594.59459459</v>
      </c>
      <c r="N465">
        <v>32447567.567567572</v>
      </c>
      <c r="O465">
        <v>97473574.774774775</v>
      </c>
      <c r="P465">
        <v>91865926.126126125</v>
      </c>
      <c r="Q465">
        <v>34584414.414414413</v>
      </c>
      <c r="R465">
        <v>35872162.162162162</v>
      </c>
      <c r="S465">
        <v>7970</v>
      </c>
      <c r="T465">
        <v>7741</v>
      </c>
    </row>
    <row r="466" spans="1:20">
      <c r="A466" s="7" t="s">
        <v>560</v>
      </c>
      <c r="B466" s="16" t="s">
        <v>236</v>
      </c>
      <c r="C466">
        <v>50389079.293950871</v>
      </c>
      <c r="D466">
        <v>52778859.142910354</v>
      </c>
      <c r="E466">
        <v>36036.036036037003</v>
      </c>
      <c r="F466">
        <v>364864.86486486602</v>
      </c>
      <c r="G466">
        <v>18</v>
      </c>
      <c r="H466">
        <v>20</v>
      </c>
      <c r="K466">
        <v>22</v>
      </c>
      <c r="L466">
        <v>23</v>
      </c>
      <c r="M466">
        <v>5026126.1261261273</v>
      </c>
      <c r="N466">
        <v>2836666.6666666651</v>
      </c>
      <c r="O466">
        <v>18512387.387387387</v>
      </c>
      <c r="P466">
        <v>20453981.981981985</v>
      </c>
      <c r="Q466">
        <v>4831981.9819819815</v>
      </c>
      <c r="R466">
        <v>3557747.7477477472</v>
      </c>
      <c r="S466">
        <v>2202</v>
      </c>
      <c r="T466">
        <v>2418</v>
      </c>
    </row>
    <row r="467" spans="1:20">
      <c r="A467" s="7" t="s">
        <v>561</v>
      </c>
      <c r="B467" s="16" t="s">
        <v>60</v>
      </c>
      <c r="C467">
        <v>49093602.349907309</v>
      </c>
      <c r="D467">
        <v>49855128.562864736</v>
      </c>
      <c r="E467">
        <v>626576.57657657703</v>
      </c>
      <c r="F467">
        <v>1844144.1441441439</v>
      </c>
      <c r="G467">
        <v>14</v>
      </c>
      <c r="H467">
        <v>17</v>
      </c>
      <c r="K467">
        <v>15</v>
      </c>
      <c r="L467">
        <v>34</v>
      </c>
      <c r="M467">
        <v>11689639.63963964</v>
      </c>
      <c r="N467">
        <v>13573873.873873876</v>
      </c>
      <c r="O467">
        <v>17111801.801801801</v>
      </c>
      <c r="P467">
        <v>18185423.423423424</v>
      </c>
      <c r="Q467">
        <v>10731891.891891891</v>
      </c>
      <c r="R467">
        <v>13441441.441441443</v>
      </c>
      <c r="S467">
        <v>1245</v>
      </c>
      <c r="T467">
        <v>1280</v>
      </c>
    </row>
    <row r="468" spans="1:20">
      <c r="A468" s="7" t="s">
        <v>562</v>
      </c>
      <c r="B468" s="16" t="s">
        <v>563</v>
      </c>
      <c r="C468">
        <v>266035147.97074175</v>
      </c>
      <c r="D468">
        <v>278041933.71090639</v>
      </c>
      <c r="E468">
        <v>61861252.252252258</v>
      </c>
      <c r="F468">
        <v>459422063.06306303</v>
      </c>
      <c r="G468">
        <v>207</v>
      </c>
      <c r="H468">
        <v>222</v>
      </c>
      <c r="K468">
        <v>482</v>
      </c>
      <c r="L468">
        <v>599</v>
      </c>
      <c r="M468">
        <v>118911225.22522521</v>
      </c>
      <c r="N468">
        <v>418174789.1891892</v>
      </c>
      <c r="O468">
        <v>110030900.9009009</v>
      </c>
      <c r="P468">
        <v>115922153.15315315</v>
      </c>
      <c r="Q468">
        <v>137011227.02702701</v>
      </c>
      <c r="R468">
        <v>207206645.04504505</v>
      </c>
      <c r="S468">
        <v>8300</v>
      </c>
      <c r="T468">
        <v>8734</v>
      </c>
    </row>
    <row r="469" spans="1:20">
      <c r="A469" s="7" t="s">
        <v>564</v>
      </c>
      <c r="B469" s="16" t="s">
        <v>563</v>
      </c>
      <c r="C469">
        <v>379013860.00005031</v>
      </c>
      <c r="D469">
        <v>375353730.51591033</v>
      </c>
      <c r="E469">
        <v>1448108.1081081119</v>
      </c>
      <c r="F469">
        <v>3157657.657657661</v>
      </c>
      <c r="G469">
        <v>114</v>
      </c>
      <c r="H469">
        <v>137</v>
      </c>
      <c r="K469">
        <v>141</v>
      </c>
      <c r="L469">
        <v>150</v>
      </c>
      <c r="M469">
        <v>36783513.513513513</v>
      </c>
      <c r="N469">
        <v>31760136.936936937</v>
      </c>
      <c r="O469">
        <v>151586486.48648649</v>
      </c>
      <c r="P469">
        <v>155441135.13513514</v>
      </c>
      <c r="Q469">
        <v>40203963.963963963</v>
      </c>
      <c r="R469">
        <v>32527162.162162159</v>
      </c>
      <c r="S469">
        <v>11646</v>
      </c>
      <c r="T469">
        <v>13229</v>
      </c>
    </row>
    <row r="470" spans="1:20">
      <c r="A470" s="7" t="s">
        <v>565</v>
      </c>
      <c r="B470" s="16" t="s">
        <v>563</v>
      </c>
      <c r="C470">
        <v>272407442.89374006</v>
      </c>
      <c r="D470">
        <v>272571720.96650445</v>
      </c>
      <c r="E470">
        <v>2220450.4504504539</v>
      </c>
      <c r="F470">
        <v>3613513.5135135171</v>
      </c>
      <c r="G470">
        <v>84</v>
      </c>
      <c r="H470">
        <v>256</v>
      </c>
      <c r="I470">
        <v>1</v>
      </c>
      <c r="K470">
        <v>117</v>
      </c>
      <c r="L470">
        <v>359</v>
      </c>
      <c r="M470">
        <v>26406666.666666668</v>
      </c>
      <c r="N470">
        <v>29305271.171171173</v>
      </c>
      <c r="O470">
        <v>114872243.24324325</v>
      </c>
      <c r="P470">
        <v>122384315.31531531</v>
      </c>
      <c r="Q470">
        <v>27638648.648648649</v>
      </c>
      <c r="R470">
        <v>27123063.063063063</v>
      </c>
      <c r="S470">
        <v>12289</v>
      </c>
      <c r="T470">
        <v>11441</v>
      </c>
    </row>
    <row r="471" spans="1:20">
      <c r="A471" s="7" t="s">
        <v>566</v>
      </c>
      <c r="B471" s="16" t="s">
        <v>563</v>
      </c>
      <c r="C471">
        <v>176857793.34730113</v>
      </c>
      <c r="D471">
        <v>178828012.0415425</v>
      </c>
      <c r="E471">
        <v>36653153.153153151</v>
      </c>
      <c r="F471">
        <v>36321261.261261262</v>
      </c>
      <c r="G471">
        <v>29</v>
      </c>
      <c r="H471">
        <v>18</v>
      </c>
      <c r="K471">
        <v>36</v>
      </c>
      <c r="L471">
        <v>25</v>
      </c>
      <c r="M471">
        <v>36915678.378378376</v>
      </c>
      <c r="N471">
        <v>38758935.135135137</v>
      </c>
      <c r="O471">
        <v>100765711.7117117</v>
      </c>
      <c r="P471">
        <v>106198432.43243243</v>
      </c>
      <c r="Q471">
        <v>28846981.981981985</v>
      </c>
      <c r="R471">
        <v>26782927.927927926</v>
      </c>
      <c r="S471">
        <v>6625</v>
      </c>
      <c r="T471">
        <v>6284</v>
      </c>
    </row>
    <row r="472" spans="1:20">
      <c r="A472" s="7" t="s">
        <v>567</v>
      </c>
      <c r="B472" s="16" t="s">
        <v>563</v>
      </c>
      <c r="C472">
        <v>105042790.88719308</v>
      </c>
      <c r="D472">
        <v>106099412.94827512</v>
      </c>
      <c r="E472">
        <v>408558.55855856102</v>
      </c>
      <c r="F472">
        <v>2456756.7567567569</v>
      </c>
      <c r="G472">
        <v>30</v>
      </c>
      <c r="H472">
        <v>29</v>
      </c>
      <c r="I472">
        <v>3</v>
      </c>
      <c r="K472">
        <v>35</v>
      </c>
      <c r="L472">
        <v>39</v>
      </c>
      <c r="M472">
        <v>20308063.063063063</v>
      </c>
      <c r="N472">
        <v>19015353.153153151</v>
      </c>
      <c r="O472">
        <v>41755765.765765771</v>
      </c>
      <c r="P472">
        <v>43180349.54954955</v>
      </c>
      <c r="Q472">
        <v>23065720.72072072</v>
      </c>
      <c r="R472">
        <v>19417477.477477472</v>
      </c>
      <c r="S472">
        <v>4716</v>
      </c>
      <c r="T472">
        <v>4822</v>
      </c>
    </row>
    <row r="473" spans="1:20">
      <c r="A473" s="7" t="s">
        <v>568</v>
      </c>
      <c r="B473" s="16" t="s">
        <v>48</v>
      </c>
      <c r="C473">
        <v>251797675.54613006</v>
      </c>
      <c r="D473">
        <v>234064796.48585433</v>
      </c>
      <c r="E473">
        <v>199549.54954954999</v>
      </c>
      <c r="F473">
        <v>563063.06306306296</v>
      </c>
      <c r="G473">
        <v>9</v>
      </c>
      <c r="H473">
        <v>6</v>
      </c>
      <c r="K473">
        <v>10</v>
      </c>
      <c r="L473">
        <v>57</v>
      </c>
      <c r="M473">
        <v>13713063.063063065</v>
      </c>
      <c r="N473">
        <v>9572072.072072072</v>
      </c>
      <c r="O473">
        <v>27561430.630630631</v>
      </c>
      <c r="P473">
        <v>29060032.432432432</v>
      </c>
      <c r="Q473">
        <v>9124054.0540540516</v>
      </c>
      <c r="R473">
        <v>9774774.7747747749</v>
      </c>
      <c r="S473">
        <v>6057</v>
      </c>
      <c r="T473">
        <v>5891</v>
      </c>
    </row>
    <row r="474" spans="1:20">
      <c r="A474" s="7" t="s">
        <v>569</v>
      </c>
      <c r="B474" s="16" t="s">
        <v>169</v>
      </c>
      <c r="C474">
        <v>3839425813.4257197</v>
      </c>
      <c r="D474">
        <v>3877044101.9647694</v>
      </c>
      <c r="E474">
        <v>1369538978.3783784</v>
      </c>
      <c r="F474">
        <v>3006211617.1171169</v>
      </c>
      <c r="G474">
        <v>756</v>
      </c>
      <c r="H474">
        <v>1164</v>
      </c>
      <c r="I474">
        <v>6</v>
      </c>
      <c r="K474">
        <v>943</v>
      </c>
      <c r="L474">
        <v>1577</v>
      </c>
      <c r="M474">
        <v>401820992.79279286</v>
      </c>
      <c r="N474">
        <v>410576894.59459454</v>
      </c>
      <c r="O474">
        <v>2429463636.036036</v>
      </c>
      <c r="P474">
        <v>2670537342.3423424</v>
      </c>
      <c r="Q474">
        <v>364834727.92792791</v>
      </c>
      <c r="R474">
        <v>402256753.15315318</v>
      </c>
      <c r="S474">
        <v>57475</v>
      </c>
      <c r="T474">
        <v>54337</v>
      </c>
    </row>
    <row r="475" spans="1:20">
      <c r="A475" s="7" t="s">
        <v>570</v>
      </c>
      <c r="B475" s="16" t="s">
        <v>220</v>
      </c>
      <c r="C475">
        <v>232079158.21008509</v>
      </c>
      <c r="D475">
        <v>214095514.51536623</v>
      </c>
      <c r="E475">
        <v>687387.38738738897</v>
      </c>
      <c r="F475">
        <v>936936.93693693902</v>
      </c>
      <c r="G475">
        <v>28</v>
      </c>
      <c r="H475">
        <v>18</v>
      </c>
      <c r="K475">
        <v>29</v>
      </c>
      <c r="L475">
        <v>21</v>
      </c>
      <c r="M475">
        <v>10364414.414414415</v>
      </c>
      <c r="N475">
        <v>8243873.8738738708</v>
      </c>
      <c r="O475">
        <v>37472837.837837838</v>
      </c>
      <c r="P475">
        <v>35349945.945945948</v>
      </c>
      <c r="Q475">
        <v>11012342.342342341</v>
      </c>
      <c r="R475">
        <v>7456756.7567567537</v>
      </c>
      <c r="S475">
        <v>5297</v>
      </c>
      <c r="T475">
        <v>6383</v>
      </c>
    </row>
    <row r="476" spans="1:20">
      <c r="A476" s="7" t="s">
        <v>571</v>
      </c>
      <c r="B476" s="16" t="s">
        <v>85</v>
      </c>
      <c r="C476">
        <v>257511638.58895418</v>
      </c>
      <c r="D476">
        <v>256330912.72722057</v>
      </c>
      <c r="E476">
        <v>709009.00900900795</v>
      </c>
      <c r="F476">
        <v>225225.22522522701</v>
      </c>
      <c r="G476">
        <v>24</v>
      </c>
      <c r="H476">
        <v>23</v>
      </c>
      <c r="K476">
        <v>25</v>
      </c>
      <c r="L476">
        <v>24</v>
      </c>
      <c r="M476">
        <v>5736036.036036036</v>
      </c>
      <c r="N476">
        <v>21164042.342342347</v>
      </c>
      <c r="O476">
        <v>56514176.576576576</v>
      </c>
      <c r="P476">
        <v>59511781.981981985</v>
      </c>
      <c r="Q476">
        <v>7184774.774774774</v>
      </c>
      <c r="R476">
        <v>17058738.738738742</v>
      </c>
      <c r="S476">
        <v>4978</v>
      </c>
      <c r="T476">
        <v>5078</v>
      </c>
    </row>
    <row r="477" spans="1:20">
      <c r="A477" s="7" t="s">
        <v>572</v>
      </c>
      <c r="B477" s="16" t="s">
        <v>479</v>
      </c>
      <c r="C477">
        <v>126693103.42257316</v>
      </c>
      <c r="D477">
        <v>139112363.19255278</v>
      </c>
      <c r="E477">
        <v>2152252.2522522542</v>
      </c>
      <c r="F477">
        <v>2177477.4774774839</v>
      </c>
      <c r="G477">
        <v>64</v>
      </c>
      <c r="H477">
        <v>88</v>
      </c>
      <c r="K477">
        <v>85</v>
      </c>
      <c r="L477">
        <v>127</v>
      </c>
      <c r="M477">
        <v>21651891.891891889</v>
      </c>
      <c r="N477">
        <v>19995045.045045048</v>
      </c>
      <c r="O477">
        <v>44792432.432432435</v>
      </c>
      <c r="P477">
        <v>57365960.360360362</v>
      </c>
      <c r="Q477">
        <v>20658108.108108107</v>
      </c>
      <c r="R477">
        <v>19877747.747747753</v>
      </c>
      <c r="S477">
        <v>5226</v>
      </c>
      <c r="T477">
        <v>6339</v>
      </c>
    </row>
    <row r="478" spans="1:20">
      <c r="A478" s="7" t="s">
        <v>573</v>
      </c>
      <c r="B478" s="16" t="s">
        <v>94</v>
      </c>
      <c r="C478">
        <v>371675909.05933863</v>
      </c>
      <c r="D478">
        <v>352022502.85079724</v>
      </c>
      <c r="E478">
        <v>1395495.495495497</v>
      </c>
      <c r="F478">
        <v>1944144.1441441451</v>
      </c>
      <c r="G478">
        <v>104</v>
      </c>
      <c r="H478">
        <v>62</v>
      </c>
      <c r="K478">
        <v>125</v>
      </c>
      <c r="L478">
        <v>88</v>
      </c>
      <c r="M478">
        <v>478935135.13513517</v>
      </c>
      <c r="N478">
        <v>841223423.42342353</v>
      </c>
      <c r="O478">
        <v>81624905.405405402</v>
      </c>
      <c r="P478">
        <v>78731522.972972974</v>
      </c>
      <c r="Q478">
        <v>25275585.585585583</v>
      </c>
      <c r="R478">
        <v>30158558.558558561</v>
      </c>
      <c r="S478">
        <v>9811</v>
      </c>
      <c r="T478">
        <v>9525</v>
      </c>
    </row>
    <row r="479" spans="1:20">
      <c r="A479" s="7" t="s">
        <v>574</v>
      </c>
      <c r="B479" s="16" t="s">
        <v>307</v>
      </c>
      <c r="C479">
        <v>808965411.31319797</v>
      </c>
      <c r="D479">
        <v>812496396.31565833</v>
      </c>
      <c r="E479">
        <v>11535675.675675677</v>
      </c>
      <c r="F479">
        <v>13307207.207207212</v>
      </c>
      <c r="G479">
        <v>243</v>
      </c>
      <c r="H479">
        <v>240</v>
      </c>
      <c r="K479">
        <v>280</v>
      </c>
      <c r="L479">
        <v>365</v>
      </c>
      <c r="M479">
        <v>532916216.21621621</v>
      </c>
      <c r="N479">
        <v>743755945.94594598</v>
      </c>
      <c r="O479">
        <v>317123162.16216218</v>
      </c>
      <c r="P479">
        <v>325098822.97297299</v>
      </c>
      <c r="Q479">
        <v>72900945.945945948</v>
      </c>
      <c r="R479">
        <v>152464954.95495495</v>
      </c>
      <c r="S479">
        <v>32189</v>
      </c>
      <c r="T479">
        <v>32883</v>
      </c>
    </row>
    <row r="480" spans="1:20">
      <c r="A480" s="7" t="s">
        <v>10</v>
      </c>
      <c r="B480" s="16" t="s">
        <v>193</v>
      </c>
      <c r="C480">
        <v>136044352.23832113</v>
      </c>
      <c r="D480">
        <v>129699076.86727166</v>
      </c>
      <c r="G480">
        <v>9</v>
      </c>
      <c r="H480">
        <v>17</v>
      </c>
      <c r="K480">
        <v>9</v>
      </c>
      <c r="L480">
        <v>18</v>
      </c>
      <c r="O480">
        <v>78213738.738738731</v>
      </c>
      <c r="P480">
        <v>78573169.369369373</v>
      </c>
      <c r="R480">
        <v>19639.639639640001</v>
      </c>
      <c r="S480">
        <v>3815</v>
      </c>
      <c r="T480">
        <v>3719</v>
      </c>
    </row>
    <row r="481" spans="1:20">
      <c r="A481" s="7" t="s">
        <v>575</v>
      </c>
      <c r="B481" s="16" t="s">
        <v>87</v>
      </c>
      <c r="C481">
        <v>3190774.23936261</v>
      </c>
      <c r="D481">
        <v>2947718.8287132792</v>
      </c>
      <c r="G481">
        <v>3</v>
      </c>
      <c r="H481">
        <v>13</v>
      </c>
      <c r="K481">
        <v>3</v>
      </c>
      <c r="L481">
        <v>14</v>
      </c>
      <c r="O481">
        <v>1051801.8018018019</v>
      </c>
      <c r="P481">
        <v>938349.54954955005</v>
      </c>
      <c r="S481">
        <v>249</v>
      </c>
      <c r="T481">
        <v>231</v>
      </c>
    </row>
    <row r="482" spans="1:20">
      <c r="A482" s="7" t="s">
        <v>576</v>
      </c>
      <c r="B482" s="16" t="s">
        <v>283</v>
      </c>
      <c r="C482">
        <v>192038454.09114802</v>
      </c>
      <c r="D482">
        <v>180463770.43173298</v>
      </c>
      <c r="E482">
        <v>35135.135135135002</v>
      </c>
      <c r="F482">
        <v>296396.39639639598</v>
      </c>
      <c r="G482">
        <v>43</v>
      </c>
      <c r="H482">
        <v>19</v>
      </c>
      <c r="K482">
        <v>46</v>
      </c>
      <c r="L482">
        <v>20</v>
      </c>
      <c r="M482">
        <v>8323423.4234234234</v>
      </c>
      <c r="N482">
        <v>16116216.216216216</v>
      </c>
      <c r="O482">
        <v>27498648.648648649</v>
      </c>
      <c r="P482">
        <v>29575738.738738742</v>
      </c>
      <c r="Q482">
        <v>7880900.9009009004</v>
      </c>
      <c r="R482">
        <v>15907567.567567568</v>
      </c>
      <c r="S482">
        <v>3574</v>
      </c>
      <c r="T482">
        <v>3353</v>
      </c>
    </row>
    <row r="483" spans="1:20">
      <c r="A483" s="7" t="s">
        <v>577</v>
      </c>
      <c r="B483" s="16" t="s">
        <v>307</v>
      </c>
      <c r="C483">
        <v>803328588.28518546</v>
      </c>
      <c r="D483">
        <v>772602274.39870465</v>
      </c>
      <c r="E483">
        <v>1248918.9189189239</v>
      </c>
      <c r="F483">
        <v>6795045.0450450517</v>
      </c>
      <c r="G483">
        <v>360</v>
      </c>
      <c r="H483">
        <v>322</v>
      </c>
      <c r="K483">
        <v>444</v>
      </c>
      <c r="L483">
        <v>433</v>
      </c>
      <c r="M483">
        <v>79180045.045045033</v>
      </c>
      <c r="N483">
        <v>112490720.72072072</v>
      </c>
      <c r="O483">
        <v>307213126.12612617</v>
      </c>
      <c r="P483">
        <v>324670801.8018018</v>
      </c>
      <c r="Q483">
        <v>74604234.234234229</v>
      </c>
      <c r="R483">
        <v>80897747.747747749</v>
      </c>
      <c r="S483">
        <v>39073</v>
      </c>
      <c r="T483">
        <v>38578</v>
      </c>
    </row>
    <row r="484" spans="1:20">
      <c r="A484" s="7" t="s">
        <v>578</v>
      </c>
      <c r="B484" s="16" t="s">
        <v>330</v>
      </c>
      <c r="C484">
        <v>767158672.79342878</v>
      </c>
      <c r="D484">
        <v>724376233.61829937</v>
      </c>
      <c r="E484">
        <v>2253603.6036036061</v>
      </c>
      <c r="F484">
        <v>6443693.6936936984</v>
      </c>
      <c r="G484">
        <v>265</v>
      </c>
      <c r="H484">
        <v>282</v>
      </c>
      <c r="I484">
        <v>5</v>
      </c>
      <c r="K484">
        <v>358</v>
      </c>
      <c r="L484">
        <v>344</v>
      </c>
      <c r="M484">
        <v>144795315.31531534</v>
      </c>
      <c r="N484">
        <v>64001801.801801801</v>
      </c>
      <c r="O484">
        <v>150634639.63963965</v>
      </c>
      <c r="P484">
        <v>156878378.37837836</v>
      </c>
      <c r="Q484">
        <v>140931801.8018018</v>
      </c>
      <c r="R484">
        <v>64903243.24324324</v>
      </c>
      <c r="S484">
        <v>28454</v>
      </c>
      <c r="T484">
        <v>27922</v>
      </c>
    </row>
    <row r="485" spans="1:20">
      <c r="A485" s="7" t="s">
        <v>579</v>
      </c>
      <c r="B485" s="16" t="s">
        <v>66</v>
      </c>
      <c r="C485">
        <v>116056029.39379916</v>
      </c>
      <c r="D485">
        <v>110303665.16389753</v>
      </c>
      <c r="E485">
        <v>144594.59459459499</v>
      </c>
      <c r="F485">
        <v>50450.450450450997</v>
      </c>
      <c r="G485">
        <v>24</v>
      </c>
      <c r="H485">
        <v>17</v>
      </c>
      <c r="K485">
        <v>31</v>
      </c>
      <c r="L485">
        <v>21</v>
      </c>
      <c r="M485">
        <v>1779279.27927928</v>
      </c>
      <c r="N485">
        <v>2556306.3063063058</v>
      </c>
      <c r="O485">
        <v>28460405.405405402</v>
      </c>
      <c r="P485">
        <v>28660671.171171173</v>
      </c>
      <c r="Q485">
        <v>1988018.0180180189</v>
      </c>
      <c r="R485">
        <v>2570630.630630631</v>
      </c>
      <c r="S485">
        <v>3305</v>
      </c>
      <c r="T485">
        <v>3305</v>
      </c>
    </row>
    <row r="486" spans="1:20">
      <c r="A486" s="7" t="s">
        <v>580</v>
      </c>
      <c r="B486" s="16" t="s">
        <v>236</v>
      </c>
      <c r="C486">
        <v>3.9162587420000001</v>
      </c>
      <c r="D486">
        <v>12011.332970474001</v>
      </c>
      <c r="E486">
        <v>44712467.567567565</v>
      </c>
      <c r="F486">
        <v>27770041.441441439</v>
      </c>
      <c r="M486">
        <v>22342342.342342343</v>
      </c>
      <c r="N486">
        <v>22949549.549549554</v>
      </c>
    </row>
    <row r="487" spans="1:20">
      <c r="A487" s="7" t="s">
        <v>581</v>
      </c>
      <c r="B487" s="16" t="s">
        <v>62</v>
      </c>
      <c r="C487">
        <v>291243412.11629701</v>
      </c>
      <c r="D487">
        <v>286308340.87422222</v>
      </c>
      <c r="E487">
        <v>1529279.279279283</v>
      </c>
      <c r="F487">
        <v>2433333.3333333442</v>
      </c>
      <c r="G487">
        <v>101</v>
      </c>
      <c r="H487">
        <v>166</v>
      </c>
      <c r="K487">
        <v>108</v>
      </c>
      <c r="L487">
        <v>168</v>
      </c>
      <c r="M487">
        <v>26126576.576576579</v>
      </c>
      <c r="N487">
        <v>24352972.972972974</v>
      </c>
      <c r="O487">
        <v>64050711.711711712</v>
      </c>
      <c r="P487">
        <v>65336738.738738738</v>
      </c>
      <c r="Q487">
        <v>24101261.261261266</v>
      </c>
      <c r="R487">
        <v>25464954.954954952</v>
      </c>
      <c r="S487">
        <v>6912</v>
      </c>
      <c r="T487">
        <v>6712</v>
      </c>
    </row>
    <row r="488" spans="1:20">
      <c r="A488" s="7" t="s">
        <v>582</v>
      </c>
      <c r="B488" s="16" t="s">
        <v>48</v>
      </c>
      <c r="C488">
        <v>285491024.15261585</v>
      </c>
      <c r="D488">
        <v>262668516.8735815</v>
      </c>
      <c r="E488">
        <v>96303295.495495483</v>
      </c>
      <c r="F488">
        <v>112465363.06306307</v>
      </c>
      <c r="G488">
        <v>90</v>
      </c>
      <c r="H488">
        <v>37</v>
      </c>
      <c r="K488">
        <v>93</v>
      </c>
      <c r="L488">
        <v>48</v>
      </c>
      <c r="M488">
        <v>29892702.702702705</v>
      </c>
      <c r="N488">
        <v>89872934.234234244</v>
      </c>
      <c r="O488">
        <v>41388063.063063063</v>
      </c>
      <c r="P488">
        <v>38471783.783783786</v>
      </c>
      <c r="Q488">
        <v>25139729.729729731</v>
      </c>
      <c r="R488">
        <v>71155855.855855852</v>
      </c>
      <c r="S488">
        <v>5080</v>
      </c>
      <c r="T488">
        <v>5039</v>
      </c>
    </row>
    <row r="489" spans="1:20">
      <c r="A489" s="7" t="s">
        <v>583</v>
      </c>
      <c r="B489" s="16" t="s">
        <v>54</v>
      </c>
      <c r="C489">
        <v>51577813.605281211</v>
      </c>
      <c r="D489">
        <v>51890510.608410485</v>
      </c>
      <c r="E489">
        <v>757882.88288288401</v>
      </c>
      <c r="F489">
        <v>475675.67567567498</v>
      </c>
      <c r="G489">
        <v>10</v>
      </c>
      <c r="H489">
        <v>18</v>
      </c>
      <c r="K489">
        <v>14</v>
      </c>
      <c r="L489">
        <v>38</v>
      </c>
      <c r="M489">
        <v>8965765.765765762</v>
      </c>
      <c r="N489">
        <v>8334324.3243243229</v>
      </c>
      <c r="O489">
        <v>13006171.171171172</v>
      </c>
      <c r="P489">
        <v>13690903.153153151</v>
      </c>
      <c r="Q489">
        <v>8500720.7207207195</v>
      </c>
      <c r="R489">
        <v>7067027.0270270258</v>
      </c>
      <c r="S489">
        <v>2071</v>
      </c>
      <c r="T489">
        <v>2005</v>
      </c>
    </row>
    <row r="490" spans="1:20">
      <c r="A490" s="7" t="s">
        <v>584</v>
      </c>
      <c r="B490" s="16" t="s">
        <v>70</v>
      </c>
      <c r="C490">
        <v>135428215.18210384</v>
      </c>
      <c r="D490">
        <v>132713599.75597951</v>
      </c>
      <c r="E490">
        <v>864864.86486486497</v>
      </c>
      <c r="F490">
        <v>94594.594594594004</v>
      </c>
      <c r="G490">
        <v>21</v>
      </c>
      <c r="H490">
        <v>34</v>
      </c>
      <c r="K490">
        <v>25</v>
      </c>
      <c r="L490">
        <v>35</v>
      </c>
      <c r="M490">
        <v>1757657.657657658</v>
      </c>
      <c r="N490">
        <v>1053153.1531531541</v>
      </c>
      <c r="O490">
        <v>58823963.963963971</v>
      </c>
      <c r="P490">
        <v>60145459.459459454</v>
      </c>
      <c r="Q490">
        <v>1804054.0540540549</v>
      </c>
      <c r="R490">
        <v>1282882.882882884</v>
      </c>
      <c r="S490">
        <v>3634</v>
      </c>
      <c r="T490">
        <v>3619</v>
      </c>
    </row>
    <row r="491" spans="1:20">
      <c r="A491" s="7" t="s">
        <v>585</v>
      </c>
      <c r="B491" s="16" t="s">
        <v>330</v>
      </c>
      <c r="C491">
        <v>531206951.77066976</v>
      </c>
      <c r="D491">
        <v>490176327.82106125</v>
      </c>
      <c r="E491">
        <v>2243468.4684684682</v>
      </c>
      <c r="F491">
        <v>4656756.7567567565</v>
      </c>
      <c r="G491">
        <v>202</v>
      </c>
      <c r="H491">
        <v>210</v>
      </c>
      <c r="K491">
        <v>249</v>
      </c>
      <c r="L491">
        <v>256</v>
      </c>
      <c r="M491">
        <v>30556756.756756756</v>
      </c>
      <c r="N491">
        <v>47049549.549549542</v>
      </c>
      <c r="O491">
        <v>126142935.13513513</v>
      </c>
      <c r="P491">
        <v>123824535.13513513</v>
      </c>
      <c r="Q491">
        <v>26714504.504504506</v>
      </c>
      <c r="R491">
        <v>44556216.216216214</v>
      </c>
      <c r="S491">
        <v>20744</v>
      </c>
      <c r="T491">
        <v>22520</v>
      </c>
    </row>
    <row r="492" spans="1:20">
      <c r="A492" s="7" t="s">
        <v>586</v>
      </c>
      <c r="B492" s="16" t="s">
        <v>66</v>
      </c>
      <c r="C492">
        <v>229871910.59574664</v>
      </c>
      <c r="D492">
        <v>236281880.08527961</v>
      </c>
      <c r="E492">
        <v>124107294.5945946</v>
      </c>
      <c r="F492">
        <v>710740159.45945942</v>
      </c>
      <c r="G492">
        <v>96</v>
      </c>
      <c r="H492">
        <v>104</v>
      </c>
      <c r="K492">
        <v>114</v>
      </c>
      <c r="L492">
        <v>136</v>
      </c>
      <c r="M492">
        <v>28493423.423423421</v>
      </c>
      <c r="N492">
        <v>71497072.072072074</v>
      </c>
      <c r="O492">
        <v>115228261.26126127</v>
      </c>
      <c r="P492">
        <v>115708540.54054055</v>
      </c>
      <c r="Q492">
        <v>26669369.369369369</v>
      </c>
      <c r="R492">
        <v>44682567.567567557</v>
      </c>
      <c r="S492">
        <v>10274</v>
      </c>
      <c r="T492">
        <v>11108</v>
      </c>
    </row>
    <row r="493" spans="1:20">
      <c r="A493" s="7" t="s">
        <v>11</v>
      </c>
      <c r="B493" s="16" t="s">
        <v>193</v>
      </c>
      <c r="C493">
        <v>107018908.1393573</v>
      </c>
      <c r="D493">
        <v>112209898.657382</v>
      </c>
      <c r="E493">
        <v>341441.44144144101</v>
      </c>
      <c r="F493">
        <v>112612.612612615</v>
      </c>
      <c r="G493">
        <v>34</v>
      </c>
      <c r="H493">
        <v>25</v>
      </c>
      <c r="K493">
        <v>39</v>
      </c>
      <c r="L493">
        <v>30</v>
      </c>
      <c r="M493">
        <v>2620720.7207207209</v>
      </c>
      <c r="N493">
        <v>1914414.4144144161</v>
      </c>
      <c r="O493">
        <v>35240495.495495498</v>
      </c>
      <c r="P493">
        <v>38275858.108108111</v>
      </c>
      <c r="Q493">
        <v>3386396.3963963948</v>
      </c>
      <c r="R493">
        <v>2436126.1261261259</v>
      </c>
      <c r="S493">
        <v>3927</v>
      </c>
      <c r="T493">
        <v>4093</v>
      </c>
    </row>
    <row r="494" spans="1:20">
      <c r="A494" s="7" t="s">
        <v>12</v>
      </c>
      <c r="B494" s="16" t="s">
        <v>193</v>
      </c>
      <c r="C494">
        <v>75032698.944957301</v>
      </c>
      <c r="D494">
        <v>72638652.044019669</v>
      </c>
      <c r="E494">
        <v>63963.963963964001</v>
      </c>
      <c r="F494">
        <v>2367567.5675675701</v>
      </c>
      <c r="G494">
        <v>19</v>
      </c>
      <c r="H494">
        <v>9</v>
      </c>
      <c r="K494">
        <v>25</v>
      </c>
      <c r="L494">
        <v>10</v>
      </c>
      <c r="M494">
        <v>6633783.7837837841</v>
      </c>
      <c r="N494">
        <v>5520720.7207207223</v>
      </c>
      <c r="O494">
        <v>29502603.603603605</v>
      </c>
      <c r="P494">
        <v>28815603.603603605</v>
      </c>
      <c r="Q494">
        <v>3786036.036036035</v>
      </c>
      <c r="R494">
        <v>8085315.3153153146</v>
      </c>
      <c r="S494">
        <v>2801</v>
      </c>
      <c r="T494">
        <v>2897</v>
      </c>
    </row>
    <row r="495" spans="1:20">
      <c r="A495" s="7" t="s">
        <v>587</v>
      </c>
      <c r="B495" s="16" t="s">
        <v>60</v>
      </c>
      <c r="C495">
        <v>58037188.589128442</v>
      </c>
      <c r="D495">
        <v>61233602.838889882</v>
      </c>
      <c r="E495">
        <v>205405.405405408</v>
      </c>
      <c r="F495">
        <v>453153.15315315401</v>
      </c>
      <c r="G495">
        <v>26</v>
      </c>
      <c r="H495">
        <v>19</v>
      </c>
      <c r="K495">
        <v>39</v>
      </c>
      <c r="L495">
        <v>31</v>
      </c>
      <c r="M495">
        <v>9763963.9639639612</v>
      </c>
      <c r="N495">
        <v>9651351.3513513524</v>
      </c>
      <c r="O495">
        <v>22167252.252252251</v>
      </c>
      <c r="P495">
        <v>23183731.981981985</v>
      </c>
      <c r="Q495">
        <v>9266756.7567567565</v>
      </c>
      <c r="R495">
        <v>9983243.2432432435</v>
      </c>
      <c r="S495">
        <v>1802</v>
      </c>
      <c r="T495">
        <v>1763</v>
      </c>
    </row>
    <row r="496" spans="1:20">
      <c r="A496" s="7" t="s">
        <v>588</v>
      </c>
      <c r="B496" s="16" t="s">
        <v>307</v>
      </c>
      <c r="C496">
        <v>1739557350.2002735</v>
      </c>
      <c r="D496">
        <v>1682767844.9420826</v>
      </c>
      <c r="E496">
        <v>684435668.46846843</v>
      </c>
      <c r="F496">
        <v>978213091.89189184</v>
      </c>
      <c r="G496">
        <v>673</v>
      </c>
      <c r="H496">
        <v>763</v>
      </c>
      <c r="I496">
        <v>1</v>
      </c>
      <c r="K496">
        <v>817</v>
      </c>
      <c r="L496">
        <v>993</v>
      </c>
      <c r="M496">
        <v>181002747.74774775</v>
      </c>
      <c r="N496">
        <v>466229729.72972971</v>
      </c>
      <c r="O496">
        <v>529254072.07207209</v>
      </c>
      <c r="P496">
        <v>537797905.4054054</v>
      </c>
      <c r="Q496">
        <v>173232792.7927928</v>
      </c>
      <c r="R496">
        <v>303999909.9099099</v>
      </c>
      <c r="S496">
        <v>65073</v>
      </c>
      <c r="T496">
        <v>63371</v>
      </c>
    </row>
    <row r="497" spans="1:20">
      <c r="A497" s="7" t="s">
        <v>589</v>
      </c>
      <c r="B497" s="16" t="s">
        <v>52</v>
      </c>
      <c r="C497">
        <v>416881893.77699888</v>
      </c>
      <c r="D497">
        <v>402726294.49102259</v>
      </c>
      <c r="E497">
        <v>13975945.945945948</v>
      </c>
      <c r="F497">
        <v>6413513.5135135176</v>
      </c>
      <c r="G497">
        <v>69</v>
      </c>
      <c r="H497">
        <v>99</v>
      </c>
      <c r="K497">
        <v>105</v>
      </c>
      <c r="L497">
        <v>212</v>
      </c>
      <c r="M497">
        <v>41917477.477477483</v>
      </c>
      <c r="N497">
        <v>108651306.3063063</v>
      </c>
      <c r="O497">
        <v>164016761.26126125</v>
      </c>
      <c r="P497">
        <v>163422162.16216218</v>
      </c>
      <c r="Q497">
        <v>37597207.20720721</v>
      </c>
      <c r="R497">
        <v>121866801.80180179</v>
      </c>
      <c r="S497">
        <v>14300</v>
      </c>
      <c r="T497">
        <v>14191</v>
      </c>
    </row>
    <row r="498" spans="1:20">
      <c r="A498" s="7" t="s">
        <v>590</v>
      </c>
      <c r="B498" s="16" t="s">
        <v>54</v>
      </c>
      <c r="C498">
        <v>33473238.406459764</v>
      </c>
      <c r="D498">
        <v>34900277.283040404</v>
      </c>
      <c r="E498">
        <v>372747.74774774699</v>
      </c>
      <c r="F498">
        <v>667567.56756756699</v>
      </c>
      <c r="G498">
        <v>8</v>
      </c>
      <c r="H498">
        <v>15</v>
      </c>
      <c r="K498">
        <v>9</v>
      </c>
      <c r="L498">
        <v>18</v>
      </c>
      <c r="M498">
        <v>9761261.261261262</v>
      </c>
      <c r="N498">
        <v>6063963.9639639631</v>
      </c>
      <c r="O498">
        <v>11337063.063063065</v>
      </c>
      <c r="P498">
        <v>10923684.684684685</v>
      </c>
      <c r="Q498">
        <v>6100450.4504504511</v>
      </c>
      <c r="R498">
        <v>6370630.630630631</v>
      </c>
      <c r="S498">
        <v>1579</v>
      </c>
      <c r="T498">
        <v>1599</v>
      </c>
    </row>
    <row r="499" spans="1:20">
      <c r="A499" s="7" t="s">
        <v>591</v>
      </c>
      <c r="B499" s="16" t="s">
        <v>169</v>
      </c>
      <c r="C499">
        <v>1013395115.1838688</v>
      </c>
      <c r="D499">
        <v>973000094.88697088</v>
      </c>
      <c r="E499">
        <v>7003783.7837837869</v>
      </c>
      <c r="F499">
        <v>4536261.2612612639</v>
      </c>
      <c r="G499">
        <v>121</v>
      </c>
      <c r="H499">
        <v>72</v>
      </c>
      <c r="I499">
        <v>1</v>
      </c>
      <c r="K499">
        <v>149</v>
      </c>
      <c r="L499">
        <v>116</v>
      </c>
      <c r="M499">
        <v>144869909.90990993</v>
      </c>
      <c r="N499">
        <v>193337836.03603604</v>
      </c>
      <c r="O499">
        <v>336413331.53153151</v>
      </c>
      <c r="P499">
        <v>331592887.38738739</v>
      </c>
      <c r="Q499">
        <v>123046846.84684685</v>
      </c>
      <c r="R499">
        <v>169934774.77477479</v>
      </c>
      <c r="S499">
        <v>23495</v>
      </c>
      <c r="T499">
        <v>24350</v>
      </c>
    </row>
    <row r="500" spans="1:20">
      <c r="A500" s="7" t="s">
        <v>592</v>
      </c>
      <c r="B500" s="16" t="s">
        <v>87</v>
      </c>
      <c r="C500">
        <v>5776167.4456759905</v>
      </c>
      <c r="D500">
        <v>4914509.0286760116</v>
      </c>
      <c r="H500">
        <v>2</v>
      </c>
      <c r="L500">
        <v>2</v>
      </c>
      <c r="O500">
        <v>1131072.0720720729</v>
      </c>
      <c r="P500">
        <v>1338693.693693694</v>
      </c>
      <c r="S500">
        <v>341</v>
      </c>
      <c r="T500">
        <v>294</v>
      </c>
    </row>
    <row r="501" spans="1:20">
      <c r="A501" s="7" t="s">
        <v>593</v>
      </c>
      <c r="B501" s="16" t="s">
        <v>143</v>
      </c>
      <c r="C501">
        <v>72352203.935278192</v>
      </c>
      <c r="D501">
        <v>71615244.961885154</v>
      </c>
      <c r="E501">
        <v>26126.126126127001</v>
      </c>
      <c r="F501">
        <v>167567.567567569</v>
      </c>
      <c r="G501">
        <v>10</v>
      </c>
      <c r="H501">
        <v>23</v>
      </c>
      <c r="K501">
        <v>11</v>
      </c>
      <c r="L501">
        <v>25</v>
      </c>
      <c r="M501">
        <v>3611711.7117117108</v>
      </c>
      <c r="N501">
        <v>8545945.9459459465</v>
      </c>
      <c r="O501">
        <v>6426441.4414414419</v>
      </c>
      <c r="P501">
        <v>7646927.927927928</v>
      </c>
      <c r="Q501">
        <v>3438738.738738738</v>
      </c>
      <c r="R501">
        <v>3778468.4684684691</v>
      </c>
      <c r="S501">
        <v>1557</v>
      </c>
      <c r="T501">
        <v>1618</v>
      </c>
    </row>
    <row r="502" spans="1:20">
      <c r="A502" s="7" t="s">
        <v>594</v>
      </c>
      <c r="B502" s="16" t="s">
        <v>290</v>
      </c>
      <c r="C502">
        <v>19588452.233686525</v>
      </c>
      <c r="D502">
        <v>17907049.040187303</v>
      </c>
      <c r="E502">
        <v>103459690.990991</v>
      </c>
      <c r="F502">
        <v>113138100.9009009</v>
      </c>
      <c r="G502">
        <v>2</v>
      </c>
      <c r="H502">
        <v>1</v>
      </c>
      <c r="K502">
        <v>2</v>
      </c>
      <c r="L502">
        <v>1</v>
      </c>
      <c r="M502">
        <v>16445509.90990991</v>
      </c>
      <c r="N502">
        <v>15861660.36036036</v>
      </c>
      <c r="O502">
        <v>849414.41441441397</v>
      </c>
      <c r="P502">
        <v>1136216.2162162161</v>
      </c>
      <c r="S502">
        <v>590</v>
      </c>
      <c r="T502">
        <v>696</v>
      </c>
    </row>
    <row r="503" spans="1:20">
      <c r="A503" s="7" t="s">
        <v>595</v>
      </c>
      <c r="B503" s="16" t="s">
        <v>92</v>
      </c>
      <c r="C503">
        <v>25817651.833328336</v>
      </c>
      <c r="D503">
        <v>23871766.294648357</v>
      </c>
      <c r="E503">
        <v>371171.171171172</v>
      </c>
      <c r="F503">
        <v>1206306.306306307</v>
      </c>
      <c r="G503">
        <v>10</v>
      </c>
      <c r="H503">
        <v>14</v>
      </c>
      <c r="K503">
        <v>10</v>
      </c>
      <c r="L503">
        <v>21</v>
      </c>
      <c r="M503">
        <v>599999.99999999895</v>
      </c>
      <c r="N503">
        <v>2197297.297297298</v>
      </c>
      <c r="O503">
        <v>3828828.8288288289</v>
      </c>
      <c r="P503">
        <v>4522828.8288288293</v>
      </c>
      <c r="Q503">
        <v>611891.89189189195</v>
      </c>
      <c r="R503">
        <v>2485315.315315316</v>
      </c>
      <c r="S503">
        <v>569</v>
      </c>
      <c r="T503">
        <v>825</v>
      </c>
    </row>
    <row r="504" spans="1:20">
      <c r="A504" s="7" t="s">
        <v>596</v>
      </c>
      <c r="B504" s="16" t="s">
        <v>50</v>
      </c>
      <c r="C504">
        <v>91727670.136455879</v>
      </c>
      <c r="D504">
        <v>83128684.572348222</v>
      </c>
      <c r="E504">
        <v>657657.65765765903</v>
      </c>
      <c r="F504">
        <v>1662837.837837839</v>
      </c>
      <c r="G504">
        <v>9</v>
      </c>
      <c r="H504">
        <v>8</v>
      </c>
      <c r="K504">
        <v>9</v>
      </c>
      <c r="L504">
        <v>8</v>
      </c>
      <c r="M504">
        <v>12057657.657657661</v>
      </c>
      <c r="N504">
        <v>3529279.2792792791</v>
      </c>
      <c r="O504">
        <v>18767697.297297295</v>
      </c>
      <c r="P504">
        <v>17988158.558558557</v>
      </c>
      <c r="Q504">
        <v>13341801.801801803</v>
      </c>
      <c r="R504">
        <v>3311981.981981982</v>
      </c>
      <c r="S504">
        <v>1639</v>
      </c>
      <c r="T504">
        <v>1688</v>
      </c>
    </row>
    <row r="505" spans="1:20">
      <c r="A505" s="7" t="s">
        <v>597</v>
      </c>
      <c r="B505" s="16" t="s">
        <v>89</v>
      </c>
      <c r="C505">
        <v>126699829.79457873</v>
      </c>
      <c r="D505">
        <v>130188511.54176348</v>
      </c>
      <c r="E505">
        <v>932882.88288288203</v>
      </c>
      <c r="F505">
        <v>1704504.504504509</v>
      </c>
      <c r="G505">
        <v>24</v>
      </c>
      <c r="H505">
        <v>28</v>
      </c>
      <c r="K505">
        <v>25</v>
      </c>
      <c r="L505">
        <v>146</v>
      </c>
      <c r="M505">
        <v>10468468.468468465</v>
      </c>
      <c r="N505">
        <v>10126486.486486483</v>
      </c>
      <c r="O505">
        <v>29035268.468468469</v>
      </c>
      <c r="P505">
        <v>31458288.288288288</v>
      </c>
      <c r="Q505">
        <v>10286216.216216216</v>
      </c>
      <c r="R505">
        <v>9651891.8918918874</v>
      </c>
      <c r="S505">
        <v>3422</v>
      </c>
      <c r="T505">
        <v>3548</v>
      </c>
    </row>
    <row r="506" spans="1:20">
      <c r="A506" s="7" t="s">
        <v>598</v>
      </c>
      <c r="B506" s="16" t="s">
        <v>143</v>
      </c>
      <c r="C506">
        <v>50275970.086412959</v>
      </c>
      <c r="D506">
        <v>50920060.777781904</v>
      </c>
      <c r="E506">
        <v>1254054.054054053</v>
      </c>
      <c r="F506">
        <v>838738.73873873905</v>
      </c>
      <c r="G506">
        <v>12</v>
      </c>
      <c r="H506">
        <v>1</v>
      </c>
      <c r="K506">
        <v>12</v>
      </c>
      <c r="L506">
        <v>3</v>
      </c>
      <c r="M506">
        <v>5622522.5225225221</v>
      </c>
      <c r="N506">
        <v>4442342.3423423423</v>
      </c>
      <c r="O506">
        <v>3396531.5315315318</v>
      </c>
      <c r="P506">
        <v>5051900.9009009013</v>
      </c>
      <c r="Q506">
        <v>3324054.054054053</v>
      </c>
      <c r="R506">
        <v>3585405.405405405</v>
      </c>
      <c r="S506">
        <v>1147</v>
      </c>
      <c r="T506">
        <v>1153</v>
      </c>
    </row>
    <row r="507" spans="1:20">
      <c r="A507" s="7" t="s">
        <v>599</v>
      </c>
      <c r="B507" s="16" t="s">
        <v>125</v>
      </c>
      <c r="C507">
        <v>131539293.76578826</v>
      </c>
      <c r="D507">
        <v>127789797.13290901</v>
      </c>
      <c r="E507">
        <v>59760924.324324317</v>
      </c>
      <c r="F507">
        <v>92898207.207207203</v>
      </c>
      <c r="G507">
        <v>12</v>
      </c>
      <c r="H507">
        <v>14</v>
      </c>
      <c r="K507">
        <v>14</v>
      </c>
      <c r="L507">
        <v>17</v>
      </c>
      <c r="M507">
        <v>34819234.234234229</v>
      </c>
      <c r="N507">
        <v>18625360.360360362</v>
      </c>
      <c r="O507">
        <v>48766711.711711712</v>
      </c>
      <c r="P507">
        <v>48716792.79279279</v>
      </c>
      <c r="Q507">
        <v>21485765.765765768</v>
      </c>
      <c r="R507">
        <v>6609729.7297297297</v>
      </c>
      <c r="S507">
        <v>3261</v>
      </c>
      <c r="T507">
        <v>3450</v>
      </c>
    </row>
    <row r="508" spans="1:20">
      <c r="A508" s="7" t="s">
        <v>600</v>
      </c>
      <c r="B508" s="16" t="s">
        <v>50</v>
      </c>
      <c r="C508">
        <v>311282183.22003609</v>
      </c>
      <c r="D508">
        <v>314712931.32288545</v>
      </c>
      <c r="E508">
        <v>72750315.315315306</v>
      </c>
      <c r="F508">
        <v>114202972.97297297</v>
      </c>
      <c r="G508">
        <v>34</v>
      </c>
      <c r="H508">
        <v>26</v>
      </c>
      <c r="I508">
        <v>1</v>
      </c>
      <c r="K508">
        <v>38</v>
      </c>
      <c r="L508">
        <v>29</v>
      </c>
      <c r="M508">
        <v>60013018.018018015</v>
      </c>
      <c r="N508">
        <v>36693243.24324324</v>
      </c>
      <c r="O508">
        <v>127858000</v>
      </c>
      <c r="P508">
        <v>132172567.56756757</v>
      </c>
      <c r="Q508">
        <v>39556666.666666664</v>
      </c>
      <c r="R508">
        <v>39173423.423423424</v>
      </c>
      <c r="S508">
        <v>7695</v>
      </c>
      <c r="T508">
        <v>7750</v>
      </c>
    </row>
    <row r="509" spans="1:20">
      <c r="A509" s="7" t="s">
        <v>601</v>
      </c>
      <c r="B509" s="16" t="s">
        <v>89</v>
      </c>
      <c r="C509">
        <v>92651834.73179473</v>
      </c>
      <c r="D509">
        <v>92848586.678107321</v>
      </c>
      <c r="E509">
        <v>3609639.6396396412</v>
      </c>
      <c r="F509">
        <v>756756.75675676297</v>
      </c>
      <c r="G509">
        <v>15</v>
      </c>
      <c r="H509">
        <v>8</v>
      </c>
      <c r="K509">
        <v>15</v>
      </c>
      <c r="L509">
        <v>9</v>
      </c>
      <c r="M509">
        <v>12045045.045045044</v>
      </c>
      <c r="N509">
        <v>26509009.009009015</v>
      </c>
      <c r="O509">
        <v>26631756.756756756</v>
      </c>
      <c r="P509">
        <v>28467270.270270273</v>
      </c>
      <c r="Q509">
        <v>7335405.405405404</v>
      </c>
      <c r="R509">
        <v>24446126.126126129</v>
      </c>
      <c r="S509">
        <v>2510</v>
      </c>
      <c r="T509">
        <v>2465</v>
      </c>
    </row>
    <row r="510" spans="1:20">
      <c r="A510" s="7" t="s">
        <v>602</v>
      </c>
      <c r="B510" s="16" t="s">
        <v>87</v>
      </c>
      <c r="C510">
        <v>89067039.963156879</v>
      </c>
      <c r="D510">
        <v>81939774.048368841</v>
      </c>
      <c r="E510">
        <v>398198.19819819898</v>
      </c>
      <c r="F510">
        <v>617117.11711711704</v>
      </c>
      <c r="G510">
        <v>12</v>
      </c>
      <c r="H510">
        <v>10</v>
      </c>
      <c r="K510">
        <v>13</v>
      </c>
      <c r="L510">
        <v>14</v>
      </c>
      <c r="M510">
        <v>1704504.5045045039</v>
      </c>
      <c r="N510">
        <v>896396.39639639598</v>
      </c>
      <c r="O510">
        <v>6712565.7657657657</v>
      </c>
      <c r="P510">
        <v>6313945.9459459456</v>
      </c>
      <c r="Q510">
        <v>1039232.432432433</v>
      </c>
      <c r="R510">
        <v>989189.189189189</v>
      </c>
      <c r="S510">
        <v>1239</v>
      </c>
      <c r="T510">
        <v>1206</v>
      </c>
    </row>
    <row r="511" spans="1:20">
      <c r="A511" s="7" t="s">
        <v>603</v>
      </c>
      <c r="B511" s="16" t="s">
        <v>140</v>
      </c>
      <c r="C511">
        <v>647802121.45829117</v>
      </c>
      <c r="D511">
        <v>663345149.48877478</v>
      </c>
      <c r="E511">
        <v>420956354.95495492</v>
      </c>
      <c r="F511">
        <v>254743552.25225225</v>
      </c>
      <c r="G511">
        <v>201</v>
      </c>
      <c r="H511">
        <v>246</v>
      </c>
      <c r="I511">
        <v>7</v>
      </c>
      <c r="K511">
        <v>283</v>
      </c>
      <c r="L511">
        <v>461</v>
      </c>
      <c r="M511">
        <v>126710270.27027027</v>
      </c>
      <c r="N511">
        <v>101390630.63063064</v>
      </c>
      <c r="O511">
        <v>154712607.2072072</v>
      </c>
      <c r="P511">
        <v>164612241.44144145</v>
      </c>
      <c r="Q511">
        <v>119182522.52252252</v>
      </c>
      <c r="R511">
        <v>112557297.2972973</v>
      </c>
      <c r="S511">
        <v>18786</v>
      </c>
      <c r="T511">
        <v>18585</v>
      </c>
    </row>
    <row r="512" spans="1:20">
      <c r="A512" s="7" t="s">
        <v>604</v>
      </c>
      <c r="B512" s="16" t="s">
        <v>224</v>
      </c>
      <c r="C512">
        <v>127865183.67906199</v>
      </c>
      <c r="D512">
        <v>111244249.84808481</v>
      </c>
      <c r="E512">
        <v>9909.9099099100004</v>
      </c>
      <c r="F512">
        <v>78378.378378377995</v>
      </c>
      <c r="G512">
        <v>15</v>
      </c>
      <c r="H512">
        <v>21</v>
      </c>
      <c r="K512">
        <v>20</v>
      </c>
      <c r="L512">
        <v>22</v>
      </c>
      <c r="M512">
        <v>2262162.1621621619</v>
      </c>
      <c r="N512">
        <v>3952252.2522522518</v>
      </c>
      <c r="O512">
        <v>39589738.738738738</v>
      </c>
      <c r="P512">
        <v>37459900.9009009</v>
      </c>
      <c r="Q512">
        <v>3487387.387387387</v>
      </c>
      <c r="R512">
        <v>3938108.1081081079</v>
      </c>
      <c r="S512">
        <v>3636</v>
      </c>
      <c r="T512">
        <v>3473</v>
      </c>
    </row>
    <row r="513" spans="1:20">
      <c r="A513" s="7" t="s">
        <v>605</v>
      </c>
      <c r="B513" s="16" t="s">
        <v>224</v>
      </c>
      <c r="C513">
        <v>72495269.41801545</v>
      </c>
      <c r="D513">
        <v>73115963.17806907</v>
      </c>
      <c r="E513">
        <v>7207.2072072069996</v>
      </c>
      <c r="F513">
        <v>48648.648648649003</v>
      </c>
      <c r="G513">
        <v>28</v>
      </c>
      <c r="H513">
        <v>22</v>
      </c>
      <c r="K513">
        <v>28</v>
      </c>
      <c r="L513">
        <v>23</v>
      </c>
      <c r="M513">
        <v>5412612.6126126125</v>
      </c>
      <c r="N513">
        <v>2751351.351351351</v>
      </c>
      <c r="O513">
        <v>19691261.261261258</v>
      </c>
      <c r="P513">
        <v>21857045.045045044</v>
      </c>
      <c r="Q513">
        <v>3984414.4144144142</v>
      </c>
      <c r="R513">
        <v>4266126.1261261264</v>
      </c>
      <c r="S513">
        <v>3050</v>
      </c>
      <c r="T513">
        <v>3011</v>
      </c>
    </row>
    <row r="514" spans="1:20">
      <c r="A514" s="7" t="s">
        <v>606</v>
      </c>
      <c r="B514" s="16" t="s">
        <v>241</v>
      </c>
      <c r="C514">
        <v>66072487.293664552</v>
      </c>
      <c r="D514">
        <v>60548305.938370824</v>
      </c>
      <c r="E514">
        <v>13513.513513514001</v>
      </c>
      <c r="F514">
        <v>255855.85585585699</v>
      </c>
      <c r="G514">
        <v>32</v>
      </c>
      <c r="H514">
        <v>33</v>
      </c>
      <c r="K514">
        <v>36</v>
      </c>
      <c r="L514">
        <v>38</v>
      </c>
      <c r="M514">
        <v>4500360.3603603607</v>
      </c>
      <c r="N514">
        <v>3762162.1621621619</v>
      </c>
      <c r="O514">
        <v>18907837.837837841</v>
      </c>
      <c r="P514">
        <v>19062828.82882883</v>
      </c>
      <c r="Q514">
        <v>4591351.3513513496</v>
      </c>
      <c r="R514">
        <v>4033783.7837837841</v>
      </c>
      <c r="S514">
        <v>2341</v>
      </c>
      <c r="T514">
        <v>2779</v>
      </c>
    </row>
    <row r="515" spans="1:20">
      <c r="A515" s="7" t="s">
        <v>607</v>
      </c>
      <c r="B515" s="16" t="s">
        <v>140</v>
      </c>
      <c r="C515">
        <v>18583174.542224247</v>
      </c>
      <c r="D515">
        <v>18685792.188686714</v>
      </c>
      <c r="E515">
        <v>46756081.081081077</v>
      </c>
      <c r="F515">
        <v>54845045.045045048</v>
      </c>
      <c r="H515">
        <v>4</v>
      </c>
      <c r="L515">
        <v>4</v>
      </c>
      <c r="M515">
        <v>2442567.5675675669</v>
      </c>
      <c r="N515">
        <v>900225.22522522497</v>
      </c>
      <c r="O515">
        <v>2229009.0090090092</v>
      </c>
      <c r="P515">
        <v>2191027.0270270272</v>
      </c>
      <c r="Q515">
        <v>559279.27927927906</v>
      </c>
      <c r="R515">
        <v>454864.86486486503</v>
      </c>
      <c r="S515">
        <v>337</v>
      </c>
      <c r="T515">
        <v>344</v>
      </c>
    </row>
    <row r="516" spans="1:20">
      <c r="A516" s="7" t="s">
        <v>674</v>
      </c>
      <c r="B516" s="16" t="s">
        <v>189</v>
      </c>
      <c r="M516">
        <v>216216.21621621601</v>
      </c>
      <c r="N516">
        <v>1027027.027027027</v>
      </c>
    </row>
    <row r="517" spans="1:20">
      <c r="A517" s="7" t="s">
        <v>608</v>
      </c>
      <c r="B517" s="16" t="s">
        <v>189</v>
      </c>
      <c r="C517">
        <v>75772650.521926463</v>
      </c>
      <c r="D517">
        <v>70291060.349309191</v>
      </c>
      <c r="E517">
        <v>504279.27927927999</v>
      </c>
      <c r="F517">
        <v>1883783.7837837839</v>
      </c>
      <c r="G517">
        <v>25</v>
      </c>
      <c r="H517">
        <v>47</v>
      </c>
      <c r="K517">
        <v>29</v>
      </c>
      <c r="L517">
        <v>52</v>
      </c>
      <c r="M517">
        <v>9285585.5855855867</v>
      </c>
      <c r="N517">
        <v>9000900.9009009004</v>
      </c>
      <c r="O517">
        <v>14862576.576576576</v>
      </c>
      <c r="P517">
        <v>17525860.360360362</v>
      </c>
      <c r="Q517">
        <v>6164774.7747747749</v>
      </c>
      <c r="R517">
        <v>6679909.9099099087</v>
      </c>
      <c r="S517">
        <v>1633</v>
      </c>
      <c r="T517">
        <v>1551</v>
      </c>
    </row>
    <row r="518" spans="1:20">
      <c r="A518" s="7" t="s">
        <v>609</v>
      </c>
      <c r="B518" s="16" t="s">
        <v>189</v>
      </c>
      <c r="C518">
        <v>191720944.93777585</v>
      </c>
      <c r="D518">
        <v>183338652.5426091</v>
      </c>
      <c r="E518">
        <v>19819.819819820001</v>
      </c>
      <c r="F518">
        <v>445945.94594594702</v>
      </c>
      <c r="G518">
        <v>68</v>
      </c>
      <c r="H518">
        <v>62</v>
      </c>
      <c r="K518">
        <v>81</v>
      </c>
      <c r="L518">
        <v>65</v>
      </c>
      <c r="M518">
        <v>9482882.88288288</v>
      </c>
      <c r="N518">
        <v>9590090.0900900904</v>
      </c>
      <c r="O518">
        <v>26982657.657657657</v>
      </c>
      <c r="P518">
        <v>26817018.018018015</v>
      </c>
      <c r="Q518">
        <v>7115135.1351351328</v>
      </c>
      <c r="R518">
        <v>6070450.4504504493</v>
      </c>
      <c r="S518">
        <v>3849</v>
      </c>
      <c r="T518">
        <v>3869</v>
      </c>
    </row>
    <row r="519" spans="1:20">
      <c r="A519" s="7" t="s">
        <v>610</v>
      </c>
      <c r="B519" s="16" t="s">
        <v>189</v>
      </c>
      <c r="C519">
        <v>83422083.71082288</v>
      </c>
      <c r="D519">
        <v>80617121.170201197</v>
      </c>
      <c r="E519">
        <v>31395994.594594598</v>
      </c>
      <c r="F519">
        <v>28797751.351351351</v>
      </c>
      <c r="G519">
        <v>15</v>
      </c>
      <c r="H519">
        <v>17</v>
      </c>
      <c r="K519">
        <v>16</v>
      </c>
      <c r="L519">
        <v>17</v>
      </c>
      <c r="M519">
        <v>5540540.5405405397</v>
      </c>
      <c r="N519">
        <v>19053373.873873871</v>
      </c>
      <c r="O519">
        <v>9437567.5675675683</v>
      </c>
      <c r="P519">
        <v>9335306.3063063081</v>
      </c>
      <c r="Q519">
        <v>3805585.5855855849</v>
      </c>
      <c r="R519">
        <v>4019459.4594594589</v>
      </c>
      <c r="S519">
        <v>1653</v>
      </c>
      <c r="T519">
        <v>1678</v>
      </c>
    </row>
    <row r="520" spans="1:20">
      <c r="A520" s="7" t="s">
        <v>611</v>
      </c>
      <c r="B520" s="16" t="s">
        <v>189</v>
      </c>
      <c r="C520">
        <v>25583004.154712167</v>
      </c>
      <c r="D520">
        <v>30525875.00461936</v>
      </c>
      <c r="E520">
        <v>10810.810810810999</v>
      </c>
      <c r="F520">
        <v>161711.71171171201</v>
      </c>
      <c r="G520">
        <v>20</v>
      </c>
      <c r="H520">
        <v>10</v>
      </c>
      <c r="K520">
        <v>24</v>
      </c>
      <c r="L520">
        <v>13</v>
      </c>
      <c r="M520">
        <v>1867567.5675675671</v>
      </c>
      <c r="N520">
        <v>3995855.8558558561</v>
      </c>
      <c r="O520">
        <v>4333828.8288288293</v>
      </c>
      <c r="P520">
        <v>5692387.3873873875</v>
      </c>
      <c r="Q520">
        <v>1079009.009009009</v>
      </c>
      <c r="R520">
        <v>3079189.1891891891</v>
      </c>
      <c r="S520">
        <v>861</v>
      </c>
      <c r="T520">
        <v>992</v>
      </c>
    </row>
    <row r="521" spans="1:20">
      <c r="A521" s="7" t="s">
        <v>612</v>
      </c>
      <c r="B521" s="16" t="s">
        <v>143</v>
      </c>
      <c r="C521">
        <v>239596455.74376068</v>
      </c>
      <c r="D521">
        <v>227621179.47899255</v>
      </c>
      <c r="E521">
        <v>402468.46846846998</v>
      </c>
      <c r="F521">
        <v>951663.06306306401</v>
      </c>
      <c r="G521">
        <v>125</v>
      </c>
      <c r="H521">
        <v>121</v>
      </c>
      <c r="K521">
        <v>147</v>
      </c>
      <c r="L521">
        <v>171</v>
      </c>
      <c r="M521">
        <v>26482882.882882878</v>
      </c>
      <c r="N521">
        <v>10229729.729729732</v>
      </c>
      <c r="O521">
        <v>29441295.495495494</v>
      </c>
      <c r="P521">
        <v>29656247.747747749</v>
      </c>
      <c r="Q521">
        <v>21183153.153153151</v>
      </c>
      <c r="R521">
        <v>21293376.576576576</v>
      </c>
      <c r="S521">
        <v>7317</v>
      </c>
      <c r="T521">
        <v>7430</v>
      </c>
    </row>
    <row r="522" spans="1:20">
      <c r="A522" s="7" t="s">
        <v>613</v>
      </c>
      <c r="B522" s="16" t="s">
        <v>189</v>
      </c>
      <c r="C522">
        <v>285547929.5797323</v>
      </c>
      <c r="D522">
        <v>265379628.30957344</v>
      </c>
      <c r="E522">
        <v>399774.77477477601</v>
      </c>
      <c r="F522">
        <v>1446621.621621625</v>
      </c>
      <c r="G522">
        <v>100</v>
      </c>
      <c r="H522">
        <v>87</v>
      </c>
      <c r="K522">
        <v>116</v>
      </c>
      <c r="L522">
        <v>123</v>
      </c>
      <c r="M522">
        <v>7313513.5135135129</v>
      </c>
      <c r="N522">
        <v>10570090.09009009</v>
      </c>
      <c r="O522">
        <v>24470742.342342343</v>
      </c>
      <c r="P522">
        <v>26007052.252252251</v>
      </c>
      <c r="Q522">
        <v>6002111.7117117103</v>
      </c>
      <c r="R522">
        <v>10124367.567567568</v>
      </c>
      <c r="S522">
        <v>7776</v>
      </c>
      <c r="T522">
        <v>7399</v>
      </c>
    </row>
    <row r="523" spans="1:20">
      <c r="A523" s="7" t="s">
        <v>614</v>
      </c>
      <c r="B523" s="16" t="s">
        <v>54</v>
      </c>
      <c r="C523">
        <v>195692177.0742237</v>
      </c>
      <c r="D523">
        <v>184856057.58893305</v>
      </c>
      <c r="E523">
        <v>3092792.7927927938</v>
      </c>
      <c r="F523">
        <v>2922522.5225225259</v>
      </c>
      <c r="G523">
        <v>48</v>
      </c>
      <c r="H523">
        <v>58</v>
      </c>
      <c r="K523">
        <v>58</v>
      </c>
      <c r="L523">
        <v>79</v>
      </c>
      <c r="M523">
        <v>31983333.333333332</v>
      </c>
      <c r="N523">
        <v>27625225.225225225</v>
      </c>
      <c r="O523">
        <v>56849954.954954952</v>
      </c>
      <c r="P523">
        <v>58714783.783783786</v>
      </c>
      <c r="Q523">
        <v>32053063.063063063</v>
      </c>
      <c r="R523">
        <v>29296036.036036037</v>
      </c>
      <c r="S523">
        <v>6641</v>
      </c>
      <c r="T523">
        <v>6468</v>
      </c>
    </row>
    <row r="524" spans="1:20">
      <c r="A524" s="7" t="s">
        <v>615</v>
      </c>
      <c r="B524" s="16" t="s">
        <v>54</v>
      </c>
      <c r="C524">
        <v>102183478.0962196</v>
      </c>
      <c r="D524">
        <v>99342493.667889029</v>
      </c>
      <c r="E524">
        <v>97072.072072073002</v>
      </c>
      <c r="F524">
        <v>450450.45045045199</v>
      </c>
      <c r="G524">
        <v>11</v>
      </c>
      <c r="H524">
        <v>11</v>
      </c>
      <c r="K524">
        <v>12</v>
      </c>
      <c r="L524">
        <v>15</v>
      </c>
      <c r="M524">
        <v>4382882.8828828828</v>
      </c>
      <c r="N524">
        <v>3639639.6396396412</v>
      </c>
      <c r="O524">
        <v>16396027.027027028</v>
      </c>
      <c r="P524">
        <v>17035333.333333332</v>
      </c>
      <c r="Q524">
        <v>4578738.7387387389</v>
      </c>
      <c r="R524">
        <v>3640990.9909909922</v>
      </c>
      <c r="S524">
        <v>2835</v>
      </c>
      <c r="T524">
        <v>2604</v>
      </c>
    </row>
    <row r="525" spans="1:20">
      <c r="A525" s="7" t="s">
        <v>616</v>
      </c>
      <c r="B525" s="16" t="s">
        <v>60</v>
      </c>
      <c r="C525">
        <v>157200008.16052249</v>
      </c>
      <c r="D525">
        <v>155432808.5820455</v>
      </c>
      <c r="E525">
        <v>675675.67567567795</v>
      </c>
      <c r="F525">
        <v>2237837.8378378381</v>
      </c>
      <c r="G525">
        <v>24</v>
      </c>
      <c r="H525">
        <v>71</v>
      </c>
      <c r="K525">
        <v>29</v>
      </c>
      <c r="L525">
        <v>119</v>
      </c>
      <c r="M525">
        <v>21236936.936936937</v>
      </c>
      <c r="N525">
        <v>22198198.198198199</v>
      </c>
      <c r="O525">
        <v>47647027.027027026</v>
      </c>
      <c r="P525">
        <v>51692990.990990989</v>
      </c>
      <c r="Q525">
        <v>19755675.675675675</v>
      </c>
      <c r="R525">
        <v>22695585.585585583</v>
      </c>
      <c r="S525">
        <v>4288</v>
      </c>
      <c r="T525">
        <v>4293</v>
      </c>
    </row>
    <row r="526" spans="1:20">
      <c r="A526" s="7" t="s">
        <v>617</v>
      </c>
      <c r="B526" s="16" t="s">
        <v>60</v>
      </c>
      <c r="C526">
        <v>171359498.5071533</v>
      </c>
      <c r="D526">
        <v>164880385.52932215</v>
      </c>
      <c r="E526">
        <v>717567.56756757002</v>
      </c>
      <c r="F526">
        <v>1109909.909909914</v>
      </c>
      <c r="G526">
        <v>29</v>
      </c>
      <c r="H526">
        <v>43</v>
      </c>
      <c r="I526">
        <v>2</v>
      </c>
      <c r="K526">
        <v>31</v>
      </c>
      <c r="L526">
        <v>50</v>
      </c>
      <c r="M526">
        <v>20027027.027027018</v>
      </c>
      <c r="N526">
        <v>17834234.234234236</v>
      </c>
      <c r="O526">
        <v>88034729.729729727</v>
      </c>
      <c r="P526">
        <v>87268103.603603601</v>
      </c>
      <c r="Q526">
        <v>23274324.324324321</v>
      </c>
      <c r="R526">
        <v>18872972.97297297</v>
      </c>
      <c r="S526">
        <v>5562</v>
      </c>
      <c r="T526">
        <v>5471</v>
      </c>
    </row>
    <row r="527" spans="1:20">
      <c r="A527" s="7" t="s">
        <v>618</v>
      </c>
      <c r="B527" s="16" t="s">
        <v>60</v>
      </c>
      <c r="C527">
        <v>220414030.25398052</v>
      </c>
      <c r="D527">
        <v>210841367.63468745</v>
      </c>
      <c r="E527">
        <v>2184234.2342342339</v>
      </c>
      <c r="F527">
        <v>2464864.86486487</v>
      </c>
      <c r="G527">
        <v>42</v>
      </c>
      <c r="H527">
        <v>37</v>
      </c>
      <c r="K527">
        <v>48</v>
      </c>
      <c r="L527">
        <v>44</v>
      </c>
      <c r="M527">
        <v>17228378.378378376</v>
      </c>
      <c r="N527">
        <v>28547747.747747753</v>
      </c>
      <c r="O527">
        <v>68677153.153153151</v>
      </c>
      <c r="P527">
        <v>70340599.54954955</v>
      </c>
      <c r="Q527">
        <v>15728738.738738736</v>
      </c>
      <c r="R527">
        <v>28141621.621621627</v>
      </c>
      <c r="S527">
        <v>5734</v>
      </c>
      <c r="T527">
        <v>5651</v>
      </c>
    </row>
    <row r="528" spans="1:20">
      <c r="A528" s="7" t="s">
        <v>619</v>
      </c>
      <c r="B528" s="16" t="s">
        <v>620</v>
      </c>
      <c r="C528">
        <v>252330266.66575611</v>
      </c>
      <c r="D528">
        <v>252494419.63447168</v>
      </c>
      <c r="E528">
        <v>89391955.855855852</v>
      </c>
      <c r="F528">
        <v>4294369.3693693718</v>
      </c>
      <c r="G528">
        <v>100</v>
      </c>
      <c r="H528">
        <v>131</v>
      </c>
      <c r="I528">
        <v>2</v>
      </c>
      <c r="K528">
        <v>119</v>
      </c>
      <c r="L528">
        <v>274</v>
      </c>
      <c r="M528">
        <v>27366396.396396399</v>
      </c>
      <c r="N528">
        <v>12554954.954954954</v>
      </c>
      <c r="O528">
        <v>31276558.558558561</v>
      </c>
      <c r="P528">
        <v>29661126.126126129</v>
      </c>
      <c r="Q528">
        <v>28181891.891891893</v>
      </c>
      <c r="R528">
        <v>16520090.090090092</v>
      </c>
      <c r="S528">
        <v>7516</v>
      </c>
      <c r="T528">
        <v>8965</v>
      </c>
    </row>
    <row r="529" spans="1:20">
      <c r="A529" s="7" t="s">
        <v>621</v>
      </c>
      <c r="B529" s="16" t="s">
        <v>620</v>
      </c>
      <c r="C529">
        <v>198826195.27899686</v>
      </c>
      <c r="D529">
        <v>184118631.38745105</v>
      </c>
      <c r="E529">
        <v>960810.810810811</v>
      </c>
      <c r="F529">
        <v>3514414.4144144161</v>
      </c>
      <c r="G529">
        <v>89</v>
      </c>
      <c r="H529">
        <v>62</v>
      </c>
      <c r="I529">
        <v>2</v>
      </c>
      <c r="K529">
        <v>109</v>
      </c>
      <c r="L529">
        <v>81</v>
      </c>
      <c r="M529">
        <v>15747747.747747749</v>
      </c>
      <c r="N529">
        <v>14964864.864864863</v>
      </c>
      <c r="O529">
        <v>28586629.729729731</v>
      </c>
      <c r="P529">
        <v>29371718.918918919</v>
      </c>
      <c r="Q529">
        <v>16395855.855855856</v>
      </c>
      <c r="R529">
        <v>13431801.801801804</v>
      </c>
      <c r="S529">
        <v>6274</v>
      </c>
      <c r="T529">
        <v>5798</v>
      </c>
    </row>
    <row r="530" spans="1:20">
      <c r="A530" s="7" t="s">
        <v>622</v>
      </c>
      <c r="B530" s="16" t="s">
        <v>620</v>
      </c>
      <c r="C530">
        <v>210891834.42109779</v>
      </c>
      <c r="D530">
        <v>192479423.81400564</v>
      </c>
      <c r="E530">
        <v>827927.92792792898</v>
      </c>
      <c r="F530">
        <v>1299549.5495495519</v>
      </c>
      <c r="G530">
        <v>85</v>
      </c>
      <c r="H530">
        <v>75</v>
      </c>
      <c r="I530">
        <v>1</v>
      </c>
      <c r="K530">
        <v>105</v>
      </c>
      <c r="L530">
        <v>92</v>
      </c>
      <c r="M530">
        <v>27937387.387387384</v>
      </c>
      <c r="N530">
        <v>13094594.594594596</v>
      </c>
      <c r="O530">
        <v>28139531.531531528</v>
      </c>
      <c r="P530">
        <v>30107923.423423424</v>
      </c>
      <c r="Q530">
        <v>22585491.891891893</v>
      </c>
      <c r="R530">
        <v>10017477.47747748</v>
      </c>
      <c r="S530">
        <v>5979</v>
      </c>
      <c r="T530">
        <v>5571</v>
      </c>
    </row>
    <row r="531" spans="1:20">
      <c r="A531" s="7" t="s">
        <v>623</v>
      </c>
      <c r="B531" s="16" t="s">
        <v>620</v>
      </c>
      <c r="C531">
        <v>149925343.60525328</v>
      </c>
      <c r="D531">
        <v>142056382.99405405</v>
      </c>
      <c r="E531">
        <v>435590.09009009</v>
      </c>
      <c r="F531">
        <v>38082170.270270273</v>
      </c>
      <c r="G531">
        <v>70</v>
      </c>
      <c r="H531">
        <v>32</v>
      </c>
      <c r="I531">
        <v>1</v>
      </c>
      <c r="K531">
        <v>81</v>
      </c>
      <c r="L531">
        <v>48</v>
      </c>
      <c r="M531">
        <v>16431842.342342343</v>
      </c>
      <c r="N531">
        <v>12159386.486486485</v>
      </c>
      <c r="O531">
        <v>19165720.72072072</v>
      </c>
      <c r="P531">
        <v>18339445.945945948</v>
      </c>
      <c r="Q531">
        <v>14155135.135135135</v>
      </c>
      <c r="R531">
        <v>10892522.522522524</v>
      </c>
      <c r="S531">
        <v>3675</v>
      </c>
      <c r="T531">
        <v>3512</v>
      </c>
    </row>
    <row r="532" spans="1:20">
      <c r="A532" s="7" t="s">
        <v>624</v>
      </c>
      <c r="B532" s="16" t="s">
        <v>260</v>
      </c>
      <c r="C532">
        <v>80126250.166175514</v>
      </c>
      <c r="D532">
        <v>75401168.511050224</v>
      </c>
      <c r="E532">
        <v>18918.918918919</v>
      </c>
      <c r="F532">
        <v>296396.39639639697</v>
      </c>
      <c r="G532">
        <v>10</v>
      </c>
      <c r="H532">
        <v>14</v>
      </c>
      <c r="K532">
        <v>10</v>
      </c>
      <c r="L532">
        <v>14</v>
      </c>
      <c r="M532">
        <v>10784684.684684685</v>
      </c>
      <c r="N532">
        <v>4730630.630630631</v>
      </c>
      <c r="O532">
        <v>25682684.684684683</v>
      </c>
      <c r="P532">
        <v>24329909.909909911</v>
      </c>
      <c r="Q532">
        <v>9188558.5585585609</v>
      </c>
      <c r="R532">
        <v>7273243.2432432417</v>
      </c>
      <c r="S532">
        <v>1973</v>
      </c>
      <c r="T532">
        <v>1984</v>
      </c>
    </row>
    <row r="533" spans="1:20">
      <c r="A533" s="7" t="s">
        <v>625</v>
      </c>
      <c r="B533" s="16" t="s">
        <v>52</v>
      </c>
      <c r="C533">
        <v>116061280.58460653</v>
      </c>
      <c r="D533">
        <v>116202773.2514828</v>
      </c>
      <c r="E533">
        <v>277657.65765765798</v>
      </c>
      <c r="F533">
        <v>113513.513513515</v>
      </c>
      <c r="G533">
        <v>13</v>
      </c>
      <c r="H533">
        <v>35</v>
      </c>
      <c r="K533">
        <v>15</v>
      </c>
      <c r="L533">
        <v>69</v>
      </c>
      <c r="M533">
        <v>2067297.297297297</v>
      </c>
      <c r="N533">
        <v>1915315.3153153169</v>
      </c>
      <c r="O533">
        <v>40498729.729729727</v>
      </c>
      <c r="P533">
        <v>42053864.864864863</v>
      </c>
      <c r="Q533">
        <v>2439189.1891891882</v>
      </c>
      <c r="R533">
        <v>2433423.4234234239</v>
      </c>
      <c r="S533">
        <v>4417</v>
      </c>
      <c r="T533">
        <v>5749</v>
      </c>
    </row>
    <row r="534" spans="1:20">
      <c r="A534" s="7" t="s">
        <v>626</v>
      </c>
      <c r="B534" s="16" t="s">
        <v>96</v>
      </c>
      <c r="C534">
        <v>295731117.82972777</v>
      </c>
      <c r="D534">
        <v>292264482.98009175</v>
      </c>
      <c r="E534">
        <v>18244504.504504509</v>
      </c>
      <c r="F534">
        <v>82088288.288288295</v>
      </c>
      <c r="G534">
        <v>143</v>
      </c>
      <c r="H534">
        <v>133</v>
      </c>
      <c r="I534">
        <v>1</v>
      </c>
      <c r="K534">
        <v>191</v>
      </c>
      <c r="L534">
        <v>167</v>
      </c>
      <c r="M534">
        <v>54873108.108108111</v>
      </c>
      <c r="N534">
        <v>69936036.036036044</v>
      </c>
      <c r="O534">
        <v>90631981.981981978</v>
      </c>
      <c r="P534">
        <v>97828257.207207203</v>
      </c>
      <c r="Q534">
        <v>49155225.225225225</v>
      </c>
      <c r="R534">
        <v>51801171.171171166</v>
      </c>
      <c r="S534">
        <v>10739</v>
      </c>
      <c r="T534">
        <v>11350</v>
      </c>
    </row>
    <row r="535" spans="1:20">
      <c r="A535" s="7" t="s">
        <v>627</v>
      </c>
      <c r="B535" s="16" t="s">
        <v>96</v>
      </c>
      <c r="C535">
        <v>526896740.25953227</v>
      </c>
      <c r="D535">
        <v>480360629.37167239</v>
      </c>
      <c r="E535">
        <v>2918108.1081081089</v>
      </c>
      <c r="F535">
        <v>2722522.5225225231</v>
      </c>
      <c r="G535">
        <v>157</v>
      </c>
      <c r="H535">
        <v>102</v>
      </c>
      <c r="I535">
        <v>1</v>
      </c>
      <c r="K535">
        <v>182</v>
      </c>
      <c r="L535">
        <v>140</v>
      </c>
      <c r="M535">
        <v>96880360.360360369</v>
      </c>
      <c r="N535">
        <v>105065135.13513513</v>
      </c>
      <c r="O535">
        <v>204378432.43243244</v>
      </c>
      <c r="P535">
        <v>196106011.26126125</v>
      </c>
      <c r="Q535">
        <v>103172972.97297297</v>
      </c>
      <c r="R535">
        <v>111218198.1981982</v>
      </c>
      <c r="S535">
        <v>13795</v>
      </c>
      <c r="T535">
        <v>14127</v>
      </c>
    </row>
    <row r="536" spans="1:20">
      <c r="A536" s="7" t="s">
        <v>628</v>
      </c>
      <c r="B536" s="16" t="s">
        <v>448</v>
      </c>
      <c r="C536">
        <v>367643621.43794578</v>
      </c>
      <c r="D536">
        <v>351324907.59453529</v>
      </c>
      <c r="E536">
        <v>136060444.14414415</v>
      </c>
      <c r="F536">
        <v>161859302.7027027</v>
      </c>
      <c r="G536">
        <v>172</v>
      </c>
      <c r="H536">
        <v>122</v>
      </c>
      <c r="I536">
        <v>2</v>
      </c>
      <c r="K536">
        <v>196</v>
      </c>
      <c r="L536">
        <v>152</v>
      </c>
      <c r="M536">
        <v>101177387.38738739</v>
      </c>
      <c r="N536">
        <v>98071531.531531543</v>
      </c>
      <c r="O536">
        <v>104419495.49549548</v>
      </c>
      <c r="P536">
        <v>105833385.58558558</v>
      </c>
      <c r="Q536">
        <v>86009279.279279277</v>
      </c>
      <c r="R536">
        <v>103953063.06306306</v>
      </c>
      <c r="S536">
        <v>10632</v>
      </c>
      <c r="T536">
        <v>11367</v>
      </c>
    </row>
    <row r="537" spans="1:20">
      <c r="A537" s="7" t="s">
        <v>629</v>
      </c>
      <c r="B537" s="16" t="s">
        <v>78</v>
      </c>
      <c r="C537">
        <v>16433051.625998819</v>
      </c>
      <c r="D537">
        <v>15638699.998140313</v>
      </c>
      <c r="E537">
        <v>185585.58558558501</v>
      </c>
      <c r="F537">
        <v>300000</v>
      </c>
      <c r="G537">
        <v>2</v>
      </c>
      <c r="H537">
        <v>3</v>
      </c>
      <c r="I537">
        <v>1</v>
      </c>
      <c r="K537">
        <v>2</v>
      </c>
      <c r="L537">
        <v>3</v>
      </c>
      <c r="M537">
        <v>599999.99999999895</v>
      </c>
      <c r="N537">
        <v>930630.63063062995</v>
      </c>
      <c r="O537">
        <v>4396801.8018018017</v>
      </c>
      <c r="P537">
        <v>4379306.3063063063</v>
      </c>
      <c r="Q537">
        <v>742972.97297297302</v>
      </c>
      <c r="R537">
        <v>885675.67567567597</v>
      </c>
      <c r="S537">
        <v>418</v>
      </c>
      <c r="T537">
        <v>360</v>
      </c>
    </row>
    <row r="538" spans="1:20">
      <c r="A538" s="7" t="s">
        <v>630</v>
      </c>
      <c r="B538" s="16" t="s">
        <v>241</v>
      </c>
      <c r="C538">
        <v>96312404.307445541</v>
      </c>
      <c r="D538">
        <v>92045704.294040799</v>
      </c>
      <c r="E538">
        <v>139440199.0990991</v>
      </c>
      <c r="F538">
        <v>65532968.468468472</v>
      </c>
      <c r="G538">
        <v>55</v>
      </c>
      <c r="H538">
        <v>35</v>
      </c>
      <c r="K538">
        <v>64</v>
      </c>
      <c r="L538">
        <v>42</v>
      </c>
      <c r="M538">
        <v>39081403.603603601</v>
      </c>
      <c r="N538">
        <v>17790810.810810812</v>
      </c>
      <c r="O538">
        <v>22612702.702702705</v>
      </c>
      <c r="P538">
        <v>20899567.567567568</v>
      </c>
      <c r="Q538">
        <v>18780540.540540539</v>
      </c>
      <c r="R538">
        <v>7742162.1621621614</v>
      </c>
      <c r="S538">
        <v>3095</v>
      </c>
      <c r="T538">
        <v>2696</v>
      </c>
    </row>
    <row r="539" spans="1:20">
      <c r="A539" s="7" t="s">
        <v>631</v>
      </c>
      <c r="B539" s="16" t="s">
        <v>68</v>
      </c>
      <c r="C539">
        <v>429161482.13461387</v>
      </c>
      <c r="D539">
        <v>406588896.72552097</v>
      </c>
      <c r="E539">
        <v>2706981.9819819829</v>
      </c>
      <c r="F539">
        <v>4415090.0900900904</v>
      </c>
      <c r="G539">
        <v>187</v>
      </c>
      <c r="H539">
        <v>240</v>
      </c>
      <c r="K539">
        <v>201</v>
      </c>
      <c r="L539">
        <v>312</v>
      </c>
      <c r="M539">
        <v>42859909.909909911</v>
      </c>
      <c r="N539">
        <v>41208108.108108103</v>
      </c>
      <c r="O539">
        <v>70845135.135135129</v>
      </c>
      <c r="P539">
        <v>69861913.513513505</v>
      </c>
      <c r="Q539">
        <v>33992432.432432435</v>
      </c>
      <c r="R539">
        <v>31563603.603603609</v>
      </c>
      <c r="S539">
        <v>8984</v>
      </c>
      <c r="T539">
        <v>8873</v>
      </c>
    </row>
    <row r="540" spans="1:20">
      <c r="A540" s="7" t="s">
        <v>632</v>
      </c>
      <c r="B540" s="16" t="s">
        <v>70</v>
      </c>
      <c r="C540">
        <v>3046093.3551820889</v>
      </c>
      <c r="D540">
        <v>2958726.9738195511</v>
      </c>
      <c r="E540">
        <v>266216.21621621598</v>
      </c>
      <c r="F540">
        <v>40540.540540540998</v>
      </c>
      <c r="G540">
        <v>4</v>
      </c>
      <c r="H540">
        <v>2</v>
      </c>
      <c r="K540">
        <v>4</v>
      </c>
      <c r="L540">
        <v>2</v>
      </c>
      <c r="M540">
        <v>279279.279279279</v>
      </c>
      <c r="N540">
        <v>40540.540540540998</v>
      </c>
      <c r="O540">
        <v>1962432.432432432</v>
      </c>
      <c r="P540">
        <v>1767702.702702703</v>
      </c>
      <c r="Q540">
        <v>85855.855855856003</v>
      </c>
      <c r="R540">
        <v>164864.864864865</v>
      </c>
      <c r="S540">
        <v>177</v>
      </c>
      <c r="T540">
        <v>177</v>
      </c>
    </row>
    <row r="541" spans="1:20">
      <c r="A541" s="7" t="s">
        <v>633</v>
      </c>
      <c r="B541" s="16" t="s">
        <v>60</v>
      </c>
      <c r="C541">
        <v>30685470.222471356</v>
      </c>
      <c r="D541">
        <v>31304524.413982723</v>
      </c>
      <c r="E541">
        <v>136936.93693693701</v>
      </c>
      <c r="F541">
        <v>2702.7027027029999</v>
      </c>
      <c r="G541">
        <v>5</v>
      </c>
      <c r="H541">
        <v>10</v>
      </c>
      <c r="K541">
        <v>5</v>
      </c>
      <c r="L541">
        <v>10</v>
      </c>
      <c r="M541">
        <v>1479279.2792792779</v>
      </c>
      <c r="N541">
        <v>1345045.045045045</v>
      </c>
      <c r="O541">
        <v>11277117.117117116</v>
      </c>
      <c r="P541">
        <v>13239018.018018018</v>
      </c>
      <c r="Q541">
        <v>1221621.621621622</v>
      </c>
      <c r="R541">
        <v>202252.25225225199</v>
      </c>
      <c r="S541">
        <v>1005</v>
      </c>
      <c r="T541">
        <v>1043</v>
      </c>
    </row>
    <row r="542" spans="1:20">
      <c r="A542" s="7" t="s">
        <v>634</v>
      </c>
      <c r="B542" s="16" t="s">
        <v>80</v>
      </c>
      <c r="C542">
        <v>330150430.91131318</v>
      </c>
      <c r="D542">
        <v>318405315.61815596</v>
      </c>
      <c r="E542">
        <v>3146846.8468468478</v>
      </c>
      <c r="F542">
        <v>2504504.5045045079</v>
      </c>
      <c r="G542">
        <v>110</v>
      </c>
      <c r="H542">
        <v>41</v>
      </c>
      <c r="K542">
        <v>129</v>
      </c>
      <c r="L542">
        <v>46</v>
      </c>
      <c r="M542">
        <v>35439099.0990991</v>
      </c>
      <c r="N542">
        <v>33994594.59459459</v>
      </c>
      <c r="O542">
        <v>59382558.558558561</v>
      </c>
      <c r="P542">
        <v>64015743.24324324</v>
      </c>
      <c r="Q542">
        <v>40270450.45045045</v>
      </c>
      <c r="R542">
        <v>30982342.342342339</v>
      </c>
      <c r="S542">
        <v>6456</v>
      </c>
      <c r="T542">
        <v>6004</v>
      </c>
    </row>
    <row r="543" spans="1:20">
      <c r="A543" s="7" t="s">
        <v>635</v>
      </c>
      <c r="B543" s="16" t="s">
        <v>134</v>
      </c>
      <c r="C543">
        <v>55773744.085033953</v>
      </c>
      <c r="D543">
        <v>57446014.245454267</v>
      </c>
      <c r="E543">
        <v>1801.801801802</v>
      </c>
      <c r="F543">
        <v>310810.810810811</v>
      </c>
      <c r="G543">
        <v>6</v>
      </c>
      <c r="H543">
        <v>13</v>
      </c>
      <c r="K543">
        <v>6</v>
      </c>
      <c r="L543">
        <v>13</v>
      </c>
      <c r="M543">
        <v>452252.25225225202</v>
      </c>
      <c r="N543">
        <v>4698198.1981981983</v>
      </c>
      <c r="O543">
        <v>2992567.5675675678</v>
      </c>
      <c r="P543">
        <v>3035441.4414414419</v>
      </c>
      <c r="Q543">
        <v>747297.29729729705</v>
      </c>
      <c r="R543">
        <v>4359459.4594594594</v>
      </c>
      <c r="S543">
        <v>1451</v>
      </c>
      <c r="T543">
        <v>1442</v>
      </c>
    </row>
    <row r="544" spans="1:20">
      <c r="A544" s="7" t="s">
        <v>636</v>
      </c>
      <c r="B544" s="16" t="s">
        <v>479</v>
      </c>
      <c r="C544">
        <v>187975917.30111194</v>
      </c>
      <c r="D544">
        <v>173774236.66534153</v>
      </c>
      <c r="E544">
        <v>41427027.027027026</v>
      </c>
      <c r="F544">
        <v>30199099.099099103</v>
      </c>
      <c r="G544">
        <v>35</v>
      </c>
      <c r="H544">
        <v>38</v>
      </c>
      <c r="K544">
        <v>41</v>
      </c>
      <c r="L544">
        <v>53</v>
      </c>
      <c r="M544">
        <v>34916358.558558553</v>
      </c>
      <c r="N544">
        <v>38866666.666666664</v>
      </c>
      <c r="O544">
        <v>63605896.396396399</v>
      </c>
      <c r="P544">
        <v>60424175.675675675</v>
      </c>
      <c r="Q544">
        <v>32948198.198198199</v>
      </c>
      <c r="R544">
        <v>39754414.414414406</v>
      </c>
      <c r="S544">
        <v>5562</v>
      </c>
      <c r="T544">
        <v>5936</v>
      </c>
    </row>
    <row r="545" spans="1:20">
      <c r="A545" s="7" t="s">
        <v>637</v>
      </c>
      <c r="B545" s="16" t="s">
        <v>143</v>
      </c>
      <c r="C545">
        <v>300334037.39017886</v>
      </c>
      <c r="D545">
        <v>298157358.11501974</v>
      </c>
      <c r="E545">
        <v>2059684.6846846871</v>
      </c>
      <c r="F545">
        <v>3099549.5495495531</v>
      </c>
      <c r="G545">
        <v>78</v>
      </c>
      <c r="H545">
        <v>64</v>
      </c>
      <c r="K545">
        <v>100</v>
      </c>
      <c r="L545">
        <v>93</v>
      </c>
      <c r="M545">
        <v>23927207.207207207</v>
      </c>
      <c r="N545">
        <v>19653153.153153151</v>
      </c>
      <c r="O545">
        <v>30993927.927927926</v>
      </c>
      <c r="P545">
        <v>36453006.75675676</v>
      </c>
      <c r="Q545">
        <v>18827297.297297299</v>
      </c>
      <c r="R545">
        <v>16280180.180180181</v>
      </c>
      <c r="S545">
        <v>9444</v>
      </c>
      <c r="T545">
        <v>9416</v>
      </c>
    </row>
    <row r="546" spans="1:20">
      <c r="A546" s="7" t="s">
        <v>638</v>
      </c>
      <c r="B546" s="16" t="s">
        <v>241</v>
      </c>
      <c r="C546">
        <v>340150517.548585</v>
      </c>
      <c r="D546">
        <v>318185537.50778246</v>
      </c>
      <c r="E546">
        <v>1015315.315315317</v>
      </c>
      <c r="F546">
        <v>1723423.4234234239</v>
      </c>
      <c r="G546">
        <v>181</v>
      </c>
      <c r="H546">
        <v>177</v>
      </c>
      <c r="K546">
        <v>198</v>
      </c>
      <c r="L546">
        <v>209</v>
      </c>
      <c r="M546">
        <v>17001531.531531531</v>
      </c>
      <c r="N546">
        <v>16513153.153153151</v>
      </c>
      <c r="O546">
        <v>111628468.46846846</v>
      </c>
      <c r="P546">
        <v>102603673.87387387</v>
      </c>
      <c r="Q546">
        <v>17523063.063063063</v>
      </c>
      <c r="R546">
        <v>15158468.46846847</v>
      </c>
      <c r="S546">
        <v>12485</v>
      </c>
      <c r="T546">
        <v>12844</v>
      </c>
    </row>
    <row r="547" spans="1:20">
      <c r="A547" s="7" t="s">
        <v>639</v>
      </c>
      <c r="B547" s="16" t="s">
        <v>132</v>
      </c>
      <c r="C547">
        <v>140680315.5439266</v>
      </c>
      <c r="D547">
        <v>118137869.44400066</v>
      </c>
      <c r="E547">
        <v>9009.0090090100002</v>
      </c>
      <c r="F547">
        <v>89189.189189190001</v>
      </c>
      <c r="G547">
        <v>70</v>
      </c>
      <c r="H547">
        <v>52</v>
      </c>
      <c r="K547">
        <v>79</v>
      </c>
      <c r="L547">
        <v>68</v>
      </c>
      <c r="M547">
        <v>6774774.774774774</v>
      </c>
      <c r="N547">
        <v>3096396.3963963962</v>
      </c>
      <c r="O547">
        <v>50791279.279279277</v>
      </c>
      <c r="P547">
        <v>44359549.54954955</v>
      </c>
      <c r="Q547">
        <v>5432972.9729729742</v>
      </c>
      <c r="R547">
        <v>3224234.2342342339</v>
      </c>
      <c r="S547">
        <v>5506</v>
      </c>
      <c r="T547">
        <v>5582</v>
      </c>
    </row>
    <row r="548" spans="1:20">
      <c r="A548" s="7" t="s">
        <v>640</v>
      </c>
      <c r="B548" s="16" t="s">
        <v>134</v>
      </c>
      <c r="C548">
        <v>386877028.21612322</v>
      </c>
      <c r="D548">
        <v>368727945.15799576</v>
      </c>
      <c r="E548">
        <v>620720.72072072199</v>
      </c>
      <c r="F548">
        <v>1198198.1981982009</v>
      </c>
      <c r="G548">
        <v>77</v>
      </c>
      <c r="H548">
        <v>59</v>
      </c>
      <c r="K548">
        <v>81</v>
      </c>
      <c r="L548">
        <v>66</v>
      </c>
      <c r="M548">
        <v>29727477.47747748</v>
      </c>
      <c r="N548">
        <v>29821801.801801801</v>
      </c>
      <c r="O548">
        <v>45973164.864864863</v>
      </c>
      <c r="P548">
        <v>48449070.270270273</v>
      </c>
      <c r="Q548">
        <v>26113963.963963963</v>
      </c>
      <c r="R548">
        <v>22817430.630630631</v>
      </c>
      <c r="S548">
        <v>7531</v>
      </c>
      <c r="T548">
        <v>7447</v>
      </c>
    </row>
    <row r="549" spans="1:20">
      <c r="A549" s="7" t="s">
        <v>641</v>
      </c>
      <c r="B549" s="16" t="s">
        <v>80</v>
      </c>
      <c r="C549">
        <v>195870657.3108249</v>
      </c>
      <c r="D549">
        <v>197868812.50044873</v>
      </c>
      <c r="E549">
        <v>575675.67567567597</v>
      </c>
      <c r="F549">
        <v>1045945.945945947</v>
      </c>
      <c r="G549">
        <v>36</v>
      </c>
      <c r="H549">
        <v>33</v>
      </c>
      <c r="I549">
        <v>2</v>
      </c>
      <c r="K549">
        <v>39</v>
      </c>
      <c r="L549">
        <v>38</v>
      </c>
      <c r="M549">
        <v>24004684.684684683</v>
      </c>
      <c r="N549">
        <v>16609909.909909908</v>
      </c>
      <c r="O549">
        <v>67220394.594594598</v>
      </c>
      <c r="P549">
        <v>70465761.261261269</v>
      </c>
      <c r="Q549">
        <v>20303333.333333332</v>
      </c>
      <c r="R549">
        <v>18537117.117117122</v>
      </c>
      <c r="S549">
        <v>4882</v>
      </c>
      <c r="T549">
        <v>5022</v>
      </c>
    </row>
    <row r="550" spans="1:20">
      <c r="A550" s="7" t="s">
        <v>642</v>
      </c>
      <c r="B550" s="16" t="s">
        <v>169</v>
      </c>
      <c r="C550">
        <v>368166899.65855139</v>
      </c>
      <c r="D550">
        <v>322653308.68636072</v>
      </c>
      <c r="E550">
        <v>1697747.7477477479</v>
      </c>
      <c r="F550">
        <v>1105405.4054054059</v>
      </c>
      <c r="G550">
        <v>49</v>
      </c>
      <c r="H550">
        <v>33</v>
      </c>
      <c r="I550">
        <v>1</v>
      </c>
      <c r="K550">
        <v>50</v>
      </c>
      <c r="L550">
        <v>42</v>
      </c>
      <c r="M550">
        <v>25751801.801801801</v>
      </c>
      <c r="N550">
        <v>22362357.657657657</v>
      </c>
      <c r="O550">
        <v>122310594.5945946</v>
      </c>
      <c r="P550">
        <v>115923405.4054054</v>
      </c>
      <c r="Q550">
        <v>25150810.810810812</v>
      </c>
      <c r="R550">
        <v>25938288.288288288</v>
      </c>
      <c r="S550">
        <v>8737</v>
      </c>
      <c r="T550">
        <v>6994</v>
      </c>
    </row>
    <row r="551" spans="1:20">
      <c r="A551" s="7" t="s">
        <v>643</v>
      </c>
      <c r="B551" s="16" t="s">
        <v>58</v>
      </c>
      <c r="C551">
        <v>570968839.3083334</v>
      </c>
      <c r="D551">
        <v>553077220.17530012</v>
      </c>
      <c r="E551">
        <v>15040765.765765768</v>
      </c>
      <c r="F551">
        <v>19176576.576576579</v>
      </c>
      <c r="G551">
        <v>173</v>
      </c>
      <c r="H551">
        <v>140</v>
      </c>
      <c r="K551">
        <v>193</v>
      </c>
      <c r="L551">
        <v>220</v>
      </c>
      <c r="M551">
        <v>50918018.018018015</v>
      </c>
      <c r="N551">
        <v>36684234.234234229</v>
      </c>
      <c r="O551">
        <v>111539628.82882883</v>
      </c>
      <c r="P551">
        <v>113645878.37837839</v>
      </c>
      <c r="Q551">
        <v>45030270.270270273</v>
      </c>
      <c r="R551">
        <v>39935765.765765756</v>
      </c>
      <c r="S551">
        <v>17503</v>
      </c>
      <c r="T551">
        <v>17978</v>
      </c>
    </row>
    <row r="552" spans="1:20">
      <c r="A552" s="7" t="s">
        <v>644</v>
      </c>
      <c r="B552" s="16" t="s">
        <v>58</v>
      </c>
      <c r="C552">
        <v>714193561.96858776</v>
      </c>
      <c r="D552">
        <v>698377802.68624663</v>
      </c>
      <c r="E552">
        <v>331089589.1891892</v>
      </c>
      <c r="F552">
        <v>9602252.2522522528</v>
      </c>
      <c r="G552">
        <v>208</v>
      </c>
      <c r="H552">
        <v>357</v>
      </c>
      <c r="K552">
        <v>254</v>
      </c>
      <c r="L552">
        <v>508</v>
      </c>
      <c r="M552">
        <v>126263963.96396397</v>
      </c>
      <c r="N552">
        <v>115915315.31531531</v>
      </c>
      <c r="O552">
        <v>191491736.93693691</v>
      </c>
      <c r="P552">
        <v>197788968.46846849</v>
      </c>
      <c r="Q552">
        <v>109286216.21621621</v>
      </c>
      <c r="R552">
        <v>104883963.96396396</v>
      </c>
      <c r="S552">
        <v>21961</v>
      </c>
      <c r="T552">
        <v>21922</v>
      </c>
    </row>
    <row r="553" spans="1:20">
      <c r="A553" s="7" t="s">
        <v>645</v>
      </c>
      <c r="B553" s="16" t="s">
        <v>307</v>
      </c>
      <c r="C553">
        <v>228570777.72379455</v>
      </c>
      <c r="D553">
        <v>228429608.67877245</v>
      </c>
      <c r="E553">
        <v>1560360.36036036</v>
      </c>
      <c r="F553">
        <v>1540540.5405405411</v>
      </c>
      <c r="G553">
        <v>35</v>
      </c>
      <c r="H553">
        <v>15</v>
      </c>
      <c r="K553">
        <v>38</v>
      </c>
      <c r="L553">
        <v>22</v>
      </c>
      <c r="M553">
        <v>4423063.0630630618</v>
      </c>
      <c r="N553">
        <v>4143243.2432432431</v>
      </c>
      <c r="O553">
        <v>37374963.963963971</v>
      </c>
      <c r="P553">
        <v>38131500</v>
      </c>
      <c r="Q553">
        <v>4775495.4954954945</v>
      </c>
      <c r="R553">
        <v>3794414.4144144142</v>
      </c>
      <c r="S553">
        <v>5176</v>
      </c>
      <c r="T553">
        <v>5091</v>
      </c>
    </row>
    <row r="554" spans="1:20">
      <c r="A554" s="7" t="s">
        <v>13</v>
      </c>
      <c r="B554" s="16" t="s">
        <v>158</v>
      </c>
      <c r="C554">
        <v>274022042.54435277</v>
      </c>
      <c r="D554">
        <v>257896973.58365551</v>
      </c>
      <c r="E554">
        <v>858558.55855856405</v>
      </c>
      <c r="F554">
        <v>1690990.990990995</v>
      </c>
      <c r="G554">
        <v>94</v>
      </c>
      <c r="H554">
        <v>39</v>
      </c>
      <c r="I554">
        <v>1</v>
      </c>
      <c r="K554">
        <v>344</v>
      </c>
      <c r="L554">
        <v>125</v>
      </c>
      <c r="M554">
        <v>44193333.333333336</v>
      </c>
      <c r="N554">
        <v>50571171.171171166</v>
      </c>
      <c r="O554">
        <v>157858067.56756756</v>
      </c>
      <c r="P554">
        <v>148652099.0990991</v>
      </c>
      <c r="Q554">
        <v>48600720.720720723</v>
      </c>
      <c r="R554">
        <v>54530763.963963963</v>
      </c>
      <c r="S554">
        <v>8200</v>
      </c>
      <c r="T554">
        <v>7225</v>
      </c>
    </row>
    <row r="555" spans="1:20">
      <c r="A555" s="7" t="s">
        <v>646</v>
      </c>
      <c r="B555" s="16" t="s">
        <v>121</v>
      </c>
      <c r="C555">
        <v>174455105.59842217</v>
      </c>
      <c r="D555">
        <v>181379039.57271388</v>
      </c>
      <c r="E555">
        <v>14639.63963964</v>
      </c>
      <c r="F555">
        <v>136036.03603603601</v>
      </c>
      <c r="G555">
        <v>49</v>
      </c>
      <c r="H555">
        <v>40</v>
      </c>
      <c r="K555">
        <v>52</v>
      </c>
      <c r="L555">
        <v>44</v>
      </c>
      <c r="M555">
        <v>438738.73873873899</v>
      </c>
      <c r="N555">
        <v>950450.450450451</v>
      </c>
      <c r="O555">
        <v>13919342.342342341</v>
      </c>
      <c r="P555">
        <v>15691322.072072072</v>
      </c>
      <c r="Q555">
        <v>575405.40540540498</v>
      </c>
      <c r="R555">
        <v>850810.81081081205</v>
      </c>
      <c r="S555">
        <v>2936</v>
      </c>
      <c r="T555">
        <v>3280</v>
      </c>
    </row>
    <row r="556" spans="1:20">
      <c r="A556" s="7" t="s">
        <v>647</v>
      </c>
      <c r="B556" s="16" t="s">
        <v>315</v>
      </c>
      <c r="C556">
        <v>67658170.121758819</v>
      </c>
      <c r="D556">
        <v>62337779.666706987</v>
      </c>
      <c r="E556">
        <v>39358783.783783786</v>
      </c>
      <c r="F556">
        <v>50266666.666666664</v>
      </c>
      <c r="G556">
        <v>18</v>
      </c>
      <c r="H556">
        <v>19</v>
      </c>
      <c r="K556">
        <v>18</v>
      </c>
      <c r="L556">
        <v>25</v>
      </c>
      <c r="M556">
        <v>7191891.891891893</v>
      </c>
      <c r="N556">
        <v>10825225.225225223</v>
      </c>
      <c r="O556">
        <v>16757770.270270269</v>
      </c>
      <c r="P556">
        <v>15629693.693693692</v>
      </c>
      <c r="Q556">
        <v>6090360.3603603598</v>
      </c>
      <c r="R556">
        <v>11495765.765765764</v>
      </c>
      <c r="S556">
        <v>1402</v>
      </c>
      <c r="T556">
        <v>1219</v>
      </c>
    </row>
    <row r="557" spans="1:20">
      <c r="A557" s="7" t="s">
        <v>648</v>
      </c>
      <c r="B557" s="16" t="s">
        <v>260</v>
      </c>
      <c r="C557">
        <v>170889474.82234156</v>
      </c>
      <c r="D557">
        <v>163901442.5196631</v>
      </c>
      <c r="E557">
        <v>206351.35135135101</v>
      </c>
      <c r="F557">
        <v>805630.630630631</v>
      </c>
      <c r="G557">
        <v>48</v>
      </c>
      <c r="H557">
        <v>42</v>
      </c>
      <c r="K557">
        <v>52</v>
      </c>
      <c r="L557">
        <v>60</v>
      </c>
      <c r="M557">
        <v>28049819.819819819</v>
      </c>
      <c r="N557">
        <v>28168468.468468469</v>
      </c>
      <c r="O557">
        <v>53402522.522522517</v>
      </c>
      <c r="P557">
        <v>53004945.945945941</v>
      </c>
      <c r="Q557">
        <v>24795945.945945945</v>
      </c>
      <c r="R557">
        <v>28729009.009009007</v>
      </c>
      <c r="S557">
        <v>4183</v>
      </c>
      <c r="T557">
        <v>4077</v>
      </c>
    </row>
    <row r="558" spans="1:20">
      <c r="A558" s="7" t="s">
        <v>649</v>
      </c>
      <c r="B558" s="16" t="s">
        <v>224</v>
      </c>
      <c r="C558">
        <v>177563407.40103489</v>
      </c>
      <c r="D558">
        <v>155616455.37260637</v>
      </c>
      <c r="E558">
        <v>81531.531531532004</v>
      </c>
      <c r="F558">
        <v>1269144.1441441451</v>
      </c>
      <c r="G558">
        <v>33</v>
      </c>
      <c r="H558">
        <v>45</v>
      </c>
      <c r="K558">
        <v>41</v>
      </c>
      <c r="L558">
        <v>54</v>
      </c>
      <c r="M558">
        <v>10606576.576576576</v>
      </c>
      <c r="N558">
        <v>11745585.585585589</v>
      </c>
      <c r="O558">
        <v>37017234.234234229</v>
      </c>
      <c r="P558">
        <v>36495666.666666664</v>
      </c>
      <c r="Q558">
        <v>10639279.27927928</v>
      </c>
      <c r="R558">
        <v>11136936.936936939</v>
      </c>
      <c r="S558">
        <v>5613</v>
      </c>
      <c r="T558">
        <v>5424</v>
      </c>
    </row>
    <row r="559" spans="1:20">
      <c r="A559" s="7" t="s">
        <v>650</v>
      </c>
      <c r="B559" s="16" t="s">
        <v>224</v>
      </c>
      <c r="C559">
        <v>143964820.85855919</v>
      </c>
      <c r="D559">
        <v>126138571.23416132</v>
      </c>
      <c r="E559">
        <v>27927.927927928002</v>
      </c>
      <c r="F559">
        <v>49549.549549550997</v>
      </c>
      <c r="G559">
        <v>19</v>
      </c>
      <c r="H559">
        <v>24</v>
      </c>
      <c r="K559">
        <v>23</v>
      </c>
      <c r="L559">
        <v>32</v>
      </c>
      <c r="M559">
        <v>8302522.5225225221</v>
      </c>
      <c r="N559">
        <v>3022522.5225225212</v>
      </c>
      <c r="O559">
        <v>18481171.171171173</v>
      </c>
      <c r="P559">
        <v>18990081.081081081</v>
      </c>
      <c r="Q559">
        <v>5442072.072072072</v>
      </c>
      <c r="R559">
        <v>2637837.8378378381</v>
      </c>
      <c r="S559">
        <v>3086</v>
      </c>
      <c r="T559">
        <v>3077</v>
      </c>
    </row>
    <row r="560" spans="1:20">
      <c r="A560" s="7" t="s">
        <v>651</v>
      </c>
      <c r="B560" s="16" t="s">
        <v>224</v>
      </c>
      <c r="C560">
        <v>556996820.05720925</v>
      </c>
      <c r="D560">
        <v>483984550.24176401</v>
      </c>
      <c r="E560">
        <v>125190482.88288289</v>
      </c>
      <c r="F560">
        <v>70983246.846846849</v>
      </c>
      <c r="G560">
        <v>185</v>
      </c>
      <c r="H560">
        <v>160</v>
      </c>
      <c r="I560">
        <v>4</v>
      </c>
      <c r="K560">
        <v>246</v>
      </c>
      <c r="L560">
        <v>268</v>
      </c>
      <c r="M560">
        <v>72838288.288288295</v>
      </c>
      <c r="N560">
        <v>75142882.882882878</v>
      </c>
      <c r="O560">
        <v>124565917.11711712</v>
      </c>
      <c r="P560">
        <v>120463756.75675675</v>
      </c>
      <c r="Q560">
        <v>63075809.009009019</v>
      </c>
      <c r="R560">
        <v>60001351.351351343</v>
      </c>
      <c r="S560">
        <v>18185</v>
      </c>
      <c r="T560">
        <v>19236</v>
      </c>
    </row>
    <row r="561" spans="1:20">
      <c r="A561" s="7" t="s">
        <v>652</v>
      </c>
      <c r="B561" s="16" t="s">
        <v>224</v>
      </c>
      <c r="C561">
        <v>64302475.252291299</v>
      </c>
      <c r="D561">
        <v>62311587.121117033</v>
      </c>
      <c r="E561">
        <v>1801.801801802</v>
      </c>
      <c r="F561">
        <v>207207.207207208</v>
      </c>
      <c r="G561">
        <v>20</v>
      </c>
      <c r="H561">
        <v>13</v>
      </c>
      <c r="K561">
        <v>22</v>
      </c>
      <c r="L561">
        <v>14</v>
      </c>
      <c r="M561">
        <v>2013333.333333334</v>
      </c>
      <c r="N561">
        <v>1108108.1081081079</v>
      </c>
      <c r="O561">
        <v>9506351.3513513524</v>
      </c>
      <c r="P561">
        <v>10288459.459459459</v>
      </c>
      <c r="Q561">
        <v>1159459.4594594601</v>
      </c>
      <c r="R561">
        <v>1260810.8108108109</v>
      </c>
      <c r="S561">
        <v>1813</v>
      </c>
      <c r="T561">
        <v>1736</v>
      </c>
    </row>
    <row r="562" spans="1:20">
      <c r="A562" s="7" t="s">
        <v>653</v>
      </c>
      <c r="B562" s="16" t="s">
        <v>96</v>
      </c>
      <c r="C562">
        <v>336553852.55069202</v>
      </c>
      <c r="D562">
        <v>309943381.84922886</v>
      </c>
      <c r="E562">
        <v>78641084.684684694</v>
      </c>
      <c r="F562">
        <v>90200162.162162155</v>
      </c>
      <c r="G562">
        <v>78</v>
      </c>
      <c r="H562">
        <v>161</v>
      </c>
      <c r="K562">
        <v>92</v>
      </c>
      <c r="L562">
        <v>175</v>
      </c>
      <c r="M562">
        <v>9219639.6396396402</v>
      </c>
      <c r="N562">
        <v>64504360.360360362</v>
      </c>
      <c r="O562">
        <v>42086612.612612613</v>
      </c>
      <c r="P562">
        <v>44122333.333333336</v>
      </c>
      <c r="Q562">
        <v>10667927.927927928</v>
      </c>
      <c r="R562">
        <v>5383783.7837837832</v>
      </c>
      <c r="S562">
        <v>8785</v>
      </c>
      <c r="T562">
        <v>8441</v>
      </c>
    </row>
    <row r="563" spans="1:20">
      <c r="A563" s="7" t="s">
        <v>654</v>
      </c>
      <c r="B563" s="16" t="s">
        <v>66</v>
      </c>
      <c r="C563">
        <v>198105994.69264799</v>
      </c>
      <c r="D563">
        <v>193332861.88293147</v>
      </c>
      <c r="E563">
        <v>2016216.216216217</v>
      </c>
      <c r="F563">
        <v>4307207.2072072057</v>
      </c>
      <c r="G563">
        <v>72</v>
      </c>
      <c r="H563">
        <v>74</v>
      </c>
      <c r="K563">
        <v>74</v>
      </c>
      <c r="L563">
        <v>93</v>
      </c>
      <c r="M563">
        <v>19649279.27927928</v>
      </c>
      <c r="N563">
        <v>123203963.96396397</v>
      </c>
      <c r="O563">
        <v>124246396.3963964</v>
      </c>
      <c r="P563">
        <v>124910207.2072072</v>
      </c>
      <c r="Q563">
        <v>20277297.297297295</v>
      </c>
      <c r="R563">
        <v>71171531.531531543</v>
      </c>
      <c r="S563">
        <v>5544</v>
      </c>
      <c r="T563">
        <v>5259</v>
      </c>
    </row>
    <row r="564" spans="1:20">
      <c r="A564" s="7" t="s">
        <v>655</v>
      </c>
      <c r="B564" s="16" t="s">
        <v>68</v>
      </c>
      <c r="C564">
        <v>344892445.52892751</v>
      </c>
      <c r="D564">
        <v>300799193.39253122</v>
      </c>
      <c r="E564">
        <v>17377072.072072074</v>
      </c>
      <c r="F564">
        <v>14998198.198198199</v>
      </c>
      <c r="G564">
        <v>97</v>
      </c>
      <c r="H564">
        <v>58</v>
      </c>
      <c r="I564">
        <v>4</v>
      </c>
      <c r="K564">
        <v>107</v>
      </c>
      <c r="L564">
        <v>62</v>
      </c>
      <c r="M564">
        <v>24337207.207207207</v>
      </c>
      <c r="N564">
        <v>13713963.963963963</v>
      </c>
      <c r="O564">
        <v>43933436.936936937</v>
      </c>
      <c r="P564">
        <v>41262522.522522517</v>
      </c>
      <c r="Q564">
        <v>16559729.729729732</v>
      </c>
      <c r="R564">
        <v>10740810.810810812</v>
      </c>
      <c r="S564">
        <v>7414</v>
      </c>
      <c r="T564">
        <v>6091</v>
      </c>
    </row>
    <row r="565" spans="1:20">
      <c r="A565" s="7" t="s">
        <v>14</v>
      </c>
      <c r="B565" s="16" t="s">
        <v>158</v>
      </c>
      <c r="C565">
        <v>141136292.28974947</v>
      </c>
      <c r="D565">
        <v>132337613.65806945</v>
      </c>
      <c r="E565">
        <v>91891.891891894993</v>
      </c>
      <c r="F565">
        <v>830630.63063063298</v>
      </c>
      <c r="G565">
        <v>13</v>
      </c>
      <c r="H565">
        <v>19</v>
      </c>
      <c r="K565">
        <v>13</v>
      </c>
      <c r="L565">
        <v>22</v>
      </c>
      <c r="M565">
        <v>12289909.909909911</v>
      </c>
      <c r="N565">
        <v>29449549.549549554</v>
      </c>
      <c r="O565">
        <v>46046162.162162162</v>
      </c>
      <c r="P565">
        <v>45179504.504504502</v>
      </c>
      <c r="Q565">
        <v>12679279.279279279</v>
      </c>
      <c r="R565">
        <v>32098468.468468472</v>
      </c>
      <c r="S565">
        <v>3945</v>
      </c>
      <c r="T565">
        <v>3806</v>
      </c>
    </row>
    <row r="566" spans="1:20">
      <c r="A566" s="7" t="s">
        <v>656</v>
      </c>
      <c r="B566" s="16" t="s">
        <v>304</v>
      </c>
      <c r="C566">
        <v>129655720.77744435</v>
      </c>
      <c r="D566">
        <v>143548312.61725077</v>
      </c>
      <c r="E566">
        <v>62162.162162164001</v>
      </c>
      <c r="F566">
        <v>578378.37837837695</v>
      </c>
      <c r="G566">
        <v>61</v>
      </c>
      <c r="H566">
        <v>24</v>
      </c>
      <c r="K566">
        <v>66</v>
      </c>
      <c r="L566">
        <v>28</v>
      </c>
      <c r="M566">
        <v>26152252.252252251</v>
      </c>
      <c r="N566">
        <v>21942342.342342343</v>
      </c>
      <c r="O566">
        <v>40976729.729729727</v>
      </c>
      <c r="P566">
        <v>36583842.342342347</v>
      </c>
      <c r="Q566">
        <v>24596306.306306306</v>
      </c>
      <c r="R566">
        <v>21219099.0990991</v>
      </c>
      <c r="S566">
        <v>3275</v>
      </c>
      <c r="T566">
        <v>3070</v>
      </c>
    </row>
    <row r="567" spans="1:20">
      <c r="A567" s="7" t="s">
        <v>657</v>
      </c>
      <c r="B567" s="16" t="s">
        <v>48</v>
      </c>
      <c r="C567">
        <v>202586964.68003088</v>
      </c>
      <c r="D567">
        <v>173179796.74919164</v>
      </c>
      <c r="E567">
        <v>620720.72072072001</v>
      </c>
      <c r="F567">
        <v>863963.96396396495</v>
      </c>
      <c r="G567">
        <v>40</v>
      </c>
      <c r="H567">
        <v>26</v>
      </c>
      <c r="K567">
        <v>45</v>
      </c>
      <c r="L567">
        <v>67</v>
      </c>
      <c r="M567">
        <v>25266756.756756756</v>
      </c>
      <c r="N567">
        <v>41685585.585585587</v>
      </c>
      <c r="O567">
        <v>60529810.810810804</v>
      </c>
      <c r="P567">
        <v>53635198.198198199</v>
      </c>
      <c r="Q567">
        <v>24520540.540540539</v>
      </c>
      <c r="R567">
        <v>37620630.630630635</v>
      </c>
      <c r="S567">
        <v>3932</v>
      </c>
      <c r="T567">
        <v>3216</v>
      </c>
    </row>
    <row r="568" spans="1:20">
      <c r="A568" s="7" t="s">
        <v>658</v>
      </c>
      <c r="B568" s="16" t="s">
        <v>54</v>
      </c>
      <c r="C568">
        <v>55698321.614707813</v>
      </c>
      <c r="D568">
        <v>58514257.69470726</v>
      </c>
      <c r="E568">
        <v>195495.495495496</v>
      </c>
      <c r="F568">
        <v>250450.45045045001</v>
      </c>
      <c r="G568">
        <v>6</v>
      </c>
      <c r="K568">
        <v>6</v>
      </c>
      <c r="L568">
        <v>1</v>
      </c>
      <c r="M568">
        <v>8009009.0090090092</v>
      </c>
      <c r="N568">
        <v>4056756.7567567569</v>
      </c>
      <c r="O568">
        <v>12683468.468468469</v>
      </c>
      <c r="P568">
        <v>13800765.765765766</v>
      </c>
      <c r="Q568">
        <v>6702162.1621621624</v>
      </c>
      <c r="R568">
        <v>4280720.7207207223</v>
      </c>
      <c r="S568">
        <v>1503</v>
      </c>
      <c r="T568">
        <v>1497</v>
      </c>
    </row>
    <row r="569" spans="1:20">
      <c r="A569" s="7" t="s">
        <v>659</v>
      </c>
      <c r="B569" s="16" t="s">
        <v>50</v>
      </c>
      <c r="C569">
        <v>254826033.40879458</v>
      </c>
      <c r="D569">
        <v>253789164.1881848</v>
      </c>
      <c r="E569">
        <v>168233769.36936939</v>
      </c>
      <c r="F569">
        <v>190867038.73873875</v>
      </c>
      <c r="G569">
        <v>47</v>
      </c>
      <c r="H569">
        <v>41</v>
      </c>
      <c r="K569">
        <v>48</v>
      </c>
      <c r="L569">
        <v>55</v>
      </c>
      <c r="M569">
        <v>130227256.75675675</v>
      </c>
      <c r="N569">
        <v>141751531.53153154</v>
      </c>
      <c r="O569">
        <v>126663585.58558558</v>
      </c>
      <c r="P569">
        <v>127009468.46846846</v>
      </c>
      <c r="Q569">
        <v>56837837.837837838</v>
      </c>
      <c r="R569">
        <v>50698918.918918923</v>
      </c>
      <c r="S569">
        <v>5789</v>
      </c>
      <c r="T569">
        <v>5817</v>
      </c>
    </row>
    <row r="570" spans="1:20">
      <c r="A570" s="7" t="s">
        <v>660</v>
      </c>
      <c r="B570" s="16" t="s">
        <v>83</v>
      </c>
      <c r="C570">
        <v>297022369.04223889</v>
      </c>
      <c r="D570">
        <v>311508225.82597363</v>
      </c>
      <c r="E570">
        <v>40555720.720720723</v>
      </c>
      <c r="F570">
        <v>33553845.945945948</v>
      </c>
      <c r="G570">
        <v>84</v>
      </c>
      <c r="H570">
        <v>98</v>
      </c>
      <c r="I570">
        <v>2</v>
      </c>
      <c r="K570">
        <v>92</v>
      </c>
      <c r="L570">
        <v>114</v>
      </c>
      <c r="M570">
        <v>48508423.423423424</v>
      </c>
      <c r="N570">
        <v>54535722.522522531</v>
      </c>
      <c r="O570">
        <v>71296450.45045045</v>
      </c>
      <c r="P570">
        <v>80134729.729729727</v>
      </c>
      <c r="Q570">
        <v>34413513.513513513</v>
      </c>
      <c r="R570">
        <v>27656891.891891893</v>
      </c>
      <c r="S570">
        <v>8552</v>
      </c>
      <c r="T570">
        <v>8825</v>
      </c>
    </row>
    <row r="571" spans="1:20">
      <c r="A571" s="12" t="s">
        <v>665</v>
      </c>
      <c r="B571" s="13"/>
      <c r="C571" s="14">
        <v>131662065126.96407</v>
      </c>
      <c r="D571" s="14">
        <v>128310358707.60243</v>
      </c>
      <c r="E571" s="14">
        <v>22473739266.666649</v>
      </c>
      <c r="F571" s="14">
        <v>27100816015.315319</v>
      </c>
      <c r="G571" s="14">
        <v>40556</v>
      </c>
      <c r="H571" s="14">
        <v>40622</v>
      </c>
      <c r="I571" s="14">
        <v>387</v>
      </c>
      <c r="J571" s="14"/>
      <c r="K571" s="14">
        <v>51650</v>
      </c>
      <c r="L571" s="14">
        <v>59743</v>
      </c>
      <c r="M571" s="14">
        <v>25505621588.288288</v>
      </c>
      <c r="N571" s="14">
        <v>26485381355.855854</v>
      </c>
      <c r="O571" s="14">
        <v>36747913151.351318</v>
      </c>
      <c r="P571" s="14">
        <v>38204639400.000023</v>
      </c>
      <c r="Q571" s="14">
        <v>18087802176.576565</v>
      </c>
      <c r="R571" s="14">
        <v>18615587927.927937</v>
      </c>
      <c r="S571" s="14">
        <v>3710639</v>
      </c>
      <c r="T571" s="14">
        <v>3722333</v>
      </c>
    </row>
    <row r="572" spans="1:20">
      <c r="A572" s="12" t="s">
        <v>665</v>
      </c>
      <c r="B572" s="13"/>
      <c r="C572" s="14">
        <v>116602091176.41451</v>
      </c>
      <c r="D572" s="14">
        <v>114185911373.17006</v>
      </c>
      <c r="E572" s="14">
        <v>21013736245.045067</v>
      </c>
      <c r="F572" s="14">
        <v>26753571445.045033</v>
      </c>
      <c r="G572" s="14">
        <v>33977</v>
      </c>
      <c r="H572" s="14">
        <v>34829</v>
      </c>
      <c r="I572" s="14">
        <v>314</v>
      </c>
      <c r="J572" s="14"/>
      <c r="K572" s="14">
        <v>43349</v>
      </c>
      <c r="L572" s="14">
        <v>53330</v>
      </c>
      <c r="M572" s="14">
        <v>22528640002.70269</v>
      </c>
      <c r="N572" s="14">
        <v>26115826856.756756</v>
      </c>
      <c r="O572" s="14">
        <v>32215521468.468452</v>
      </c>
      <c r="P572" s="14">
        <v>34210740677.927959</v>
      </c>
      <c r="Q572" s="14">
        <v>15969122127.927914</v>
      </c>
      <c r="R572" s="14">
        <v>17469885066.666656</v>
      </c>
      <c r="S572" s="14">
        <v>3716261</v>
      </c>
      <c r="T572" s="14">
        <v>3723957</v>
      </c>
    </row>
    <row r="573" spans="1:20">
      <c r="A573" s="12" t="s">
        <v>665</v>
      </c>
      <c r="B573" s="13"/>
      <c r="C573" s="14">
        <v>47673468058.648651</v>
      </c>
      <c r="D573" s="14">
        <v>45725668552.77359</v>
      </c>
      <c r="E573" s="14">
        <v>6750684932.4324331</v>
      </c>
      <c r="F573" s="14">
        <v>7278150781.0810843</v>
      </c>
      <c r="G573" s="14">
        <v>10880</v>
      </c>
      <c r="H573" s="14">
        <v>11314</v>
      </c>
      <c r="I573" s="14">
        <v>93</v>
      </c>
      <c r="J573" s="14"/>
      <c r="K573" s="14">
        <v>14629</v>
      </c>
      <c r="L573" s="14">
        <v>18019</v>
      </c>
      <c r="M573" s="14">
        <v>8400560054.9549551</v>
      </c>
      <c r="N573" s="14">
        <v>7754327600.9009027</v>
      </c>
      <c r="O573" s="14">
        <v>12448176926.126125</v>
      </c>
      <c r="P573" s="14">
        <v>12632864741.441456</v>
      </c>
      <c r="Q573" s="14">
        <v>7587006075.6756754</v>
      </c>
      <c r="R573" s="14">
        <v>6448169836.0360336</v>
      </c>
      <c r="S573" s="14">
        <v>3709889</v>
      </c>
      <c r="T573" s="14">
        <v>3720143</v>
      </c>
    </row>
    <row r="574" spans="1:20">
      <c r="A574" s="12" t="s">
        <v>665</v>
      </c>
      <c r="B574" s="13"/>
      <c r="C574" s="14">
        <v>40153713895.621635</v>
      </c>
      <c r="D574" s="14">
        <v>38575779599.806999</v>
      </c>
      <c r="E574" s="14">
        <v>6502331295.4955006</v>
      </c>
      <c r="F574" s="14">
        <v>4247491559.4594607</v>
      </c>
      <c r="G574" s="14">
        <v>8785</v>
      </c>
      <c r="H574" s="14">
        <v>9286</v>
      </c>
      <c r="I574" s="14">
        <v>84</v>
      </c>
      <c r="J574" s="14"/>
      <c r="K574" s="14">
        <v>12137</v>
      </c>
      <c r="L574" s="14">
        <v>15079</v>
      </c>
      <c r="M574" s="14">
        <v>7666294559.4594593</v>
      </c>
      <c r="N574" s="14">
        <v>6241563141.4414463</v>
      </c>
      <c r="O574" s="14">
        <v>10443902275.675674</v>
      </c>
      <c r="P574" s="14">
        <v>10632147763.963968</v>
      </c>
      <c r="Q574" s="14">
        <v>6156623830.6306314</v>
      </c>
      <c r="R574" s="14">
        <v>5391210214.4144135</v>
      </c>
      <c r="S574" s="14">
        <v>3710814</v>
      </c>
      <c r="T574" s="14">
        <v>3726702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2026-08-01T16:49:51Z</dcterms:created>
  <dcterms:modified xsi:type="dcterms:W3CDTF">2026-09-19T08:49:56Z</dcterms:modified>
</cp:coreProperties>
</file>