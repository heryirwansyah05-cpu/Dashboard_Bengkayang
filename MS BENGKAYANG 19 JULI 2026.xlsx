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<sst xmlns="http://schemas.openxmlformats.org/spreadsheetml/2006/main" count="1234" uniqueCount="675">
  <si>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</si>
  <si>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</si>
  <si>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</si>
  <si>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</si>
  <si>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</si>
  <si>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</si>
  <si>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</si>
  <si>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</si>
  <si>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</si>
  <si>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</si>
  <si>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</si>
  <si>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</si>
  <si>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</si>
  <si>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</si>
  <si>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</si>
  <si>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</si>
  <si>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</si>
  <si>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</si>
  <si>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</si>
  <si>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</si>
  <si>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</si>
  <si>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</si>
  <si>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</si>
  <si>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</si>
  <si>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</si>
  <si>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</si>
  <si>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</si>
  <si>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</si>
  <si>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</si>
  <si>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</si>
  <si>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</si>
  <si>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</si>
  <si>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</si>
  <si>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</si>
  <si>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</si>
  <si>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</si>
  <si>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</si>
  <si>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</si>
  <si>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</si>
  <si>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</si>
  <si>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</si>
  <si>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</si>
  <si>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</si>
  <si>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</si>
  <si>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</si>
  <si>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</si>
  <si>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</si>
  <si>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</si>
  <si>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</si>
  <si>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</si>
  <si>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</si>
  <si>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</si>
  <si>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</si>
  <si>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</si>
  <si>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</si>
  <si>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</si>
  <si>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</si>
  <si>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</si>
  <si>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</si>
  <si>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</si>
  <si>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</si>
  <si>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</si>
  <si>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</si>
  <si>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</si>
  <si>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</si>
  <si>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</si>
  <si>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</si>
  <si>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</si>
  <si>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</si>
  <si>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</si>
  <si>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</si>
  <si>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</si>
  <si>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</si>
  <si>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</si>
  <si>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</si>
  <si>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</si>
  <si>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</si>
  <si>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</si>
  <si>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</si>
  <si>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</si>
  <si>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</si>
  <si>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</si>
  <si>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</si>
  <si>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</si>
  <si>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</si>
  <si>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</si>
  <si>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</si>
  <si>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</si>
  <si>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</si>
  <si>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</si>
  <si>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</si>
  <si>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</si>
  <si>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</si>
  <si>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</si>
  <si>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</si>
  <si>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</si>
  <si>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</si>
  <si>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</si>
  <si>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</si>
  <si>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</si>
  <si>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</si>
  <si>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</si>
  <si>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</si>
  <si>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</si>
  <si>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</si>
  <si>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</si>
  <si>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</si>
  <si>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</si>
  <si>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</si>
  <si>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</si>
  <si>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</si>
  <si>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</si>
  <si>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</si>
  <si>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</si>
  <si>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</si>
  <si>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</si>
  <si>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</si>
  <si>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</si>
  <si>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</si>
  <si>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</si>
  <si>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</si>
  <si>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</si>
  <si>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</si>
  <si>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</si>
  <si>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</si>
  <si>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</si>
  <si>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</si>
  <si>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</si>
  <si>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</si>
  <si>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</si>
  <si>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</si>
  <si>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</si>
  <si>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</si>
  <si>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</si>
  <si>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</si>
  <si>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</si>
  <si>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</si>
  <si>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</si>
  <si>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</si>
  <si>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</si>
  <si>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</si>
  <si>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</si>
  <si>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</si>
  <si>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</si>
  <si>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</si>
  <si>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</si>
  <si>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</si>
  <si>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</si>
  <si>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</si>
  <si>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</si>
  <si>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</si>
  <si>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</si>
  <si>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</si>
  <si>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</si>
  <si>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</si>
  <si>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</si>
  <si>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</si>
  <si>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</si>
  <si>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</si>
  <si>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</si>
  <si>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</si>
  <si>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</si>
  <si>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</si>
  <si>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</si>
  <si>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</si>
  <si>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</si>
  <si>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</si>
  <si>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</si>
  <si>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</si>
  <si>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</si>
  <si>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</si>
  <si>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</si>
  <si>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</si>
  <si>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</si>
  <si>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</si>
  <si>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</si>
  <si>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</si>
  <si>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</si>
  <si>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</si>
  <si>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</si>
  <si>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</si>
  <si>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</si>
  <si>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</si>
  <si>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</si>
  <si>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</si>
  <si>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</si>
  <si>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</si>
  <si>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</si>
  <si>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</si>
  <si>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</si>
  <si>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</si>
  <si>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</si>
  <si>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</si>
  <si>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</si>
  <si>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</si>
  <si>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</si>
  <si>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</si>
  <si>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</si>
  <si>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</si>
  <si>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</si>
  <si>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</si>
  <si>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</si>
  <si>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</si>
  <si>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</si>
  <si>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</si>
  <si>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</si>
  <si>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</si>
  <si>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</si>
  <si>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</si>
  <si>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</si>
  <si>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</si>
  <si>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</si>
  <si>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</si>
  <si>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</si>
  <si>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</si>
  <si>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</si>
  <si>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</si>
  <si>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</si>
  <si>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</si>
  <si>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</si>
  <si>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</si>
  <si>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</si>
  <si>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</si>
  <si>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</si>
  <si>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</si>
  <si>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</si>
  <si>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</si>
  <si>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</si>
  <si>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</si>
  <si>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</si>
  <si>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</si>
  <si>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</si>
  <si>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</si>
  <si>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</si>
  <si>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</si>
  <si>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</si>
  <si>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</si>
  <si>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</si>
  <si>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</si>
  <si>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</si>
  <si>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</si>
  <si>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</si>
  <si>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</si>
  <si>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</si>
  <si>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</si>
  <si>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</si>
  <si>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</si>
  <si>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</si>
  <si>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</si>
  <si>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</si>
  <si>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</si>
  <si>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</si>
  <si>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</si>
  <si>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</si>
  <si>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</si>
  <si>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</si>
  <si>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</si>
  <si>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</si>
  <si>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</si>
  <si>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</si>
  <si>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</si>
  <si>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</si>
  <si>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</si>
  <si>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</si>
  <si>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</si>
  <si>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</si>
  <si>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</si>
  <si>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</si>
  <si>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</si>
  <si>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</si>
  <si>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</si>
  <si>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</si>
  <si>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</si>
  <si>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</si>
  <si>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</si>
  <si>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</si>
  <si>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</si>
  <si>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</si>
  <si>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</si>
  <si>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</si>
  <si>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</si>
  <si>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</si>
  <si>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</si>
  <si>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</si>
  <si>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</si>
  <si>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</si>
  <si>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</si>
  <si>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</si>
  <si>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</si>
  <si>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</si>
  <si>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</si>
  <si>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</si>
  <si>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</si>
  <si>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</si>
  <si>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</si>
  <si>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</si>
  <si>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</si>
  <si>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</si>
  <si>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</si>
  <si>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</si>
  <si>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</si>
  <si>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</si>
  <si>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</si>
  <si>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</si>
  <si>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</si>
  <si>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</si>
  <si>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</si>
  <si>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</si>
  <si>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</si>
  <si>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</si>
  <si>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</si>
  <si>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</si>
  <si>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</si>
  <si>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</si>
  <si>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</si>
  <si>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</si>
  <si>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</si>
  <si>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</si>
  <si>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</si>
  <si>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</si>
  <si>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</si>
  <si>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</si>
  <si>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</si>
  <si>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</si>
  <si>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</si>
  <si>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</si>
  <si>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</si>
  <si>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</si>
  <si>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</si>
  <si>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</si>
  <si>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</si>
  <si>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</si>
  <si>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</si>
  <si>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</si>
  <si>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</si>
  <si>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</si>
  <si>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</si>
  <si>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</si>
  <si>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</si>
  <si>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</si>
  <si>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</si>
  <si>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</si>
  <si>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</si>
  <si>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</si>
  <si>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</si>
  <si>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</si>
  <si>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</si>
  <si>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</si>
  <si>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</si>
  <si>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</si>
  <si>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</si>
  <si>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</si>
  <si>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</si>
  <si>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</si>
  <si>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</si>
  <si>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</si>
  <si>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</si>
  <si>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</si>
  <si>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</si>
  <si>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</si>
  <si>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</si>
  <si>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</si>
  <si>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</si>
  <si>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</si>
  <si>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</si>
  <si>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</si>
  <si>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</si>
  <si>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</si>
  <si>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</si>
  <si>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</si>
  <si>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</si>
  <si>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</si>
  <si>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</si>
  <si>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</si>
  <si>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</si>
  <si>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</si>
  <si>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</si>
  <si>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</si>
  <si>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</si>
  <si>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</si>
  <si>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</si>
  <si>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</si>
  <si>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</si>
  <si>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</si>
  <si>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</si>
  <si>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</si>
  <si>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</si>
  <si>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</si>
  <si>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</si>
  <si>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</si>
  <si>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</si>
  <si>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</si>
  <si>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</si>
  <si>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</si>
  <si>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</si>
  <si>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</si>
  <si>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</si>
  <si>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</si>
  <si>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</si>
  <si>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</si>
  <si>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</si>
  <si>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</si>
  <si>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</si>
  <si>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</si>
  <si>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</si>
  <si>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</si>
  <si>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</si>
  <si>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</si>
  <si>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</si>
  <si>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</si>
  <si>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</si>
  <si>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</si>
  <si>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</si>
  <si>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</si>
  <si>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</si>
  <si>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</si>
  <si>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</si>
  <si>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</si>
  <si>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</si>
  <si>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</si>
  <si>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</si>
  <si>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</si>
  <si>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</si>
  <si>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</si>
  <si>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</si>
  <si>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</si>
  <si>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</si>
  <si>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</si>
  <si>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</si>
  <si>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</si>
  <si>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</si>
  <si>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</si>
  <si>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</si>
  <si>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</si>
  <si>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</si>
  <si>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</si>
  <si>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</si>
  <si>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</si>
  <si>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</si>
  <si>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</si>
  <si>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</si>
  <si>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</si>
  <si>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</si>
  <si>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</si>
  <si>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</si>
  <si>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</si>
  <si>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</si>
  <si>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</si>
  <si>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</si>
  <si>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</si>
  <si>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</si>
  <si>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</si>
  <si>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</si>
  <si>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</si>
  <si>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</si>
  <si>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</si>
  <si>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</si>
  <si>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</si>
  <si>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</si>
  <si>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</si>
  <si>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</si>
  <si>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</si>
  <si>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</si>
  <si>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</si>
  <si>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</si>
  <si>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</si>
  <si>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</si>
  <si>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</si>
  <si>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</si>
  <si>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</si>
  <si>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</si>
  <si>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</si>
  <si>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</si>
  <si>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</si>
  <si>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</si>
  <si>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</si>
  <si>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</si>
  <si>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</si>
  <si>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</si>
  <si>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</si>
  <si>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</si>
  <si>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</si>
  <si>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</si>
  <si>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</si>
  <si>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</si>
  <si>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</si>
  <si>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</si>
  <si>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</si>
  <si>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</si>
  <si>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</si>
  <si>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</si>
  <si>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</si>
  <si>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</si>
  <si>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</si>
  <si>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</si>
  <si>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</si>
  <si>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</si>
  <si>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</si>
  <si>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</si>
  <si>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</si>
  <si>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</si>
  <si>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</si>
  <si>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</si>
  <si>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</si>
  <si>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</si>
  <si>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</si>
  <si>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</si>
  <si>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</si>
  <si>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</si>
  <si>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</si>
  <si>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</si>
  <si>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</si>
  <si>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</si>
  <si>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</si>
  <si>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</si>
  <si>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</si>
  <si>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</si>
  <si>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</si>
  <si>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</si>
  <si>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</si>
  <si>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</si>
  <si>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</si>
  <si>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</si>
  <si>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</si>
  <si>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</si>
  <si>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</si>
  <si>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</si>
  <si>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</si>
  <si>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</si>
  <si>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</si>
  <si>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</si>
  <si>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</si>
  <si>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</si>
  <si>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</si>
  <si>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</si>
  <si>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</si>
  <si>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</si>
  <si>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</si>
  <si>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</si>
  <si>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</si>
  <si>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</si>
  <si>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</si>
  <si>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</si>
  <si>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</si>
  <si>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</si>
  <si>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</si>
  <si>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</si>
  <si>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</si>
  <si>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</si>
  <si>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</si>
  <si>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</si>
  <si>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</si>
  <si>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</si>
  <si>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</si>
  <si>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</si>
  <si>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</si>
  <si>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</si>
  <si>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</si>
  <si>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</si>
  <si>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</si>
  <si>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</si>
  <si>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</si>
  <si>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</si>
  <si>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</si>
  <si>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</si>
  <si>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</si>
  <si>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</si>
  <si>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</si>
  <si>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</si>
  <si>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</si>
  <si>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</si>
  <si>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</si>
  <si>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</si>
  <si>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</si>
  <si>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</si>
  <si>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</si>
  <si>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</si>
  <si>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</si>
  <si>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</si>
  <si>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</si>
  <si>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</si>
  <si>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</si>
  <si>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</si>
  <si>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</si>
  <si>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</si>
  <si>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</si>
  <si>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</si>
  <si>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</si>
  <si>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</si>
  <si>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</si>
  <si>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</si>
  <si>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</si>
  <si>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</si>
  <si>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</si>
  <si>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</si>
  <si>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</si>
  <si>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</si>
  <si>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</si>
  <si>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</si>
  <si>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</si>
  <si>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</si>
  <si>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</si>
  <si>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</si>
  <si>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</si>
  <si>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</si>
  <si>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</si>
  <si>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</si>
  <si>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</si>
  <si>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</si>
  <si>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</si>
  <si>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</si>
  <si>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</si>
  <si>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</si>
  <si>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</si>
  <si>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</si>
  <si>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</si>
  <si>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</si>
  <si>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</si>
  <si>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</si>
  <si>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</si>
  <si>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</si>
  <si>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</si>
  <si>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</si>
  <si>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</si>
  <si>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</si>
  <si>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</si>
  <si>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</si>
  <si>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</si>
  <si>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</si>
  <si>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</si>
  <si>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</si>
  <si>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</si>
  <si>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</si>
  <si>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</si>
  <si>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</si>
  <si>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</si>
  <si>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</si>
  <si>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</si>
  <si>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</si>
  <si>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</si>
  <si>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</si>
  <si>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</si>
  <si>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</si>
  <si>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</si>
  <si>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</si>
  <si>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</si>
  <si>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</si>
  <si>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</si>
  <si>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</si>
  <si>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</si>
  <si>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</si>
  <si>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</si>
  <si>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</si>
  <si>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</si>
  <si>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</si>
  <si>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</si>
  <si>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</si>
  <si>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</si>
  <si>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</si>
  <si>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</si>
  <si>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</si>
  <si>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</si>
  <si>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</si>
  <si>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</si>
  <si>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</si>
  <si>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LAMANDAU|LAMANDAU</t>
  </si>
  <si>
    <t>Total</t>
  </si>
  <si>
    <t>BUKIT SANTUAI|KOTAWARINGIN TIMUR</t>
  </si>
  <si>
    <t>HAMPANG|KOTABARU</t>
  </si>
  <si>
    <t>KEPULAUAN KARIMATA|KAYONG UTARA</t>
  </si>
  <si>
    <t>MARATUA|BERAU</t>
  </si>
  <si>
    <t>MERANTI|LANDAK</t>
  </si>
  <si>
    <t>RAKUMPIT|KOTA PALANGKARAYA</t>
  </si>
  <si>
    <t>SOKAN|MELAWI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</si>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</sst>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144007296.70108739</v>
      </c>
      <c r="D6" s="4">
        <f>IFERROR(VLOOKUP($A:$A,MASTER!$A:$T,4,0),0)</f>
        <v>133026631.75834884</v>
      </c>
      <c r="E6" s="9">
        <f>IFERROR(C6/D6-1,0)</f>
        <v>8.2544861864093599E-2</v>
      </c>
      <c r="F6" s="4">
        <f>IFERROR(VLOOKUP(A:A,MASTER!A:E,5,0),0)</f>
        <v>257207.20720721001</v>
      </c>
      <c r="G6" s="4">
        <f>IFERROR(VLOOKUP(A:A,MASTER!A:F,6,0),0)</f>
        <v>1019819.819819823</v>
      </c>
      <c r="H6" s="9">
        <f>IFERROR(F6/G6-1,0)</f>
        <v>-0.74779151943462696</v>
      </c>
      <c r="I6" s="4">
        <f>IFERROR(VLOOKUP(A:A,MASTER!A:M,13,0),0)</f>
        <v>12892162.162162161</v>
      </c>
      <c r="J6" s="4">
        <f>IFERROR(VLOOKUP($A:$A,MASTER!$A:$T,14,0),0)</f>
        <v>21240450.450450446</v>
      </c>
      <c r="K6" s="9">
        <f>IFERROR(I6/J6-1,0)</f>
        <v>-0.39303725256501065</v>
      </c>
      <c r="L6" s="4">
        <f>IFERROR(VLOOKUP($A:$A,MASTER!$A:$T,15,0),0)</f>
        <v>68962432.432432428</v>
      </c>
      <c r="M6" s="4">
        <f>IFERROR(VLOOKUP($A:$A,MASTER!$A:$T,16,0),0)</f>
        <v>63758459.459459454</v>
      </c>
      <c r="N6" s="9">
        <f>IFERROR(L6/M6-1,0)</f>
        <v>8.1620117817964299E-2</v>
      </c>
      <c r="O6" s="4">
        <f>IFERROR(VLOOKUP($A:$A,MASTER!$A:$T,17,0),0)</f>
        <v>12964144.144144142</v>
      </c>
      <c r="P6" s="4">
        <f>IFERROR(VLOOKUP($A:$A,MASTER!$A:$T,18,0),0)</f>
        <v>16280090.090090094</v>
      </c>
      <c r="Q6" s="9">
        <f>IFERROR(O6/P6-1,0)</f>
        <v>-0.20368105628386002</v>
      </c>
      <c r="R6" s="4">
        <f>IFERROR(VLOOKUP($A:$A,MASTER!$A:$T,19,0),0)</f>
        <v>8502</v>
      </c>
      <c r="S6" s="4">
        <f>IFERROR(VLOOKUP($A:$A,MASTER!$A:$T,20,0),0)</f>
        <v>8065</v>
      </c>
      <c r="T6" s="9">
        <f>IFERROR(R6/S6-1,0)</f>
        <v>5.4184748915065084E-2</v>
      </c>
      <c r="U6" s="13">
        <f>IFERROR(VLOOKUP(A:A,MASTER!A:K,11,0),0)</f>
        <v>199</v>
      </c>
      <c r="V6" s="13">
        <f>IFERROR(VLOOKUP(A:A,MASTER!A:L,12,0),0)</f>
        <v>129</v>
      </c>
      <c r="W6" s="9">
        <f>IFERROR(U6/V6-1,0)</f>
        <v>0.54263565891472876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16895258.577605799</v>
      </c>
      <c r="D7" s="4">
        <f>IFERROR(VLOOKUP($A:$A,MASTER!$A:$T,4,0),0)</f>
        <v>8715036.5063284654</v>
      </c>
      <c r="E7" s="9">
        <f t="shared" ref="E7:E22" si="0">IFERROR(C7/D7-1,0)</f>
        <v>0.93863313886720112</v>
      </c>
      <c r="F7" s="4">
        <f>IFERROR(VLOOKUP(A:A,MASTER!A:E,5,0),0)</f>
        <v>16216.216216215</v>
      </c>
      <c r="G7" s="4">
        <f>IFERROR(VLOOKUP(A:A,MASTER!A:F,6,0),0)</f>
        <v>0</v>
      </c>
      <c r="H7" s="9">
        <f t="shared" ref="H7:H22" si="1">IFERROR(F7/G7-1,0)</f>
        <v>0</v>
      </c>
      <c r="I7" s="4">
        <f>IFERROR(VLOOKUP(A:A,MASTER!A:M,13,0),0)</f>
        <v>136486.48648648601</v>
      </c>
      <c r="J7" s="4">
        <f>IFERROR(VLOOKUP($A:$A,MASTER!$A:$T,14,0),0)</f>
        <v>0</v>
      </c>
      <c r="K7" s="9">
        <f t="shared" ref="K7:K22" si="2">IFERROR(I7/J7-1,0)</f>
        <v>0</v>
      </c>
      <c r="L7" s="4">
        <f>IFERROR(VLOOKUP($A:$A,MASTER!$A:$T,15,0),0)</f>
        <v>8348513.5135135138</v>
      </c>
      <c r="M7" s="4">
        <f>IFERROR(VLOOKUP($A:$A,MASTER!$A:$T,16,0),0)</f>
        <v>4872702.702702703</v>
      </c>
      <c r="N7" s="9">
        <f t="shared" ref="N7:N22" si="3">IFERROR(L7/M7-1,0)</f>
        <v>0.71332297964390712</v>
      </c>
      <c r="O7" s="4">
        <f>IFERROR(VLOOKUP($A:$A,MASTER!$A:$T,17,0),0)</f>
        <v>120270.27027027</v>
      </c>
      <c r="P7" s="4">
        <f>IFERROR(VLOOKUP($A:$A,MASTER!$A:$T,18,0),0)</f>
        <v>157657.65765765801</v>
      </c>
      <c r="Q7" s="9">
        <f t="shared" ref="Q7:Q22" si="4">IFERROR(O7/P7-1,0)</f>
        <v>-0.23714285714286054</v>
      </c>
      <c r="R7" s="4">
        <f>IFERROR(VLOOKUP($A:$A,MASTER!$A:$T,19,0),0)</f>
        <v>1224</v>
      </c>
      <c r="S7" s="4">
        <f>IFERROR(VLOOKUP($A:$A,MASTER!$A:$T,20,0),0)</f>
        <v>802</v>
      </c>
      <c r="T7" s="9">
        <f t="shared" ref="T7:T22" si="5">IFERROR(R7/S7-1,0)</f>
        <v>0.52618453865336656</v>
      </c>
      <c r="U7" s="13">
        <f>IFERROR(VLOOKUP(A:A,MASTER!A:K,11,0),0)</f>
        <v>1</v>
      </c>
      <c r="V7" s="13">
        <f>IFERROR(VLOOKUP(A:A,MASTER!A:L,12,0),0)</f>
        <v>2</v>
      </c>
      <c r="W7" s="9">
        <f t="shared" ref="W7:W22" si="6">IFERROR(U7/V7-1,0)</f>
        <v>-0.5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105871461.58283119</v>
      </c>
      <c r="D8" s="4">
        <f>IFERROR(VLOOKUP($A:$A,MASTER!$A:$T,4,0),0)</f>
        <v>98920079.941439569</v>
      </c>
      <c r="E8" s="9">
        <f t="shared" si="0"/>
        <v>7.0272705455826756E-2</v>
      </c>
      <c r="F8" s="4">
        <f>IFERROR(VLOOKUP(A:A,MASTER!A:E,5,0),0)</f>
        <v>1304054.0540540549</v>
      </c>
      <c r="G8" s="4">
        <f>IFERROR(VLOOKUP(A:A,MASTER!A:F,6,0),0)</f>
        <v>1364864.864864866</v>
      </c>
      <c r="H8" s="9">
        <f t="shared" si="1"/>
        <v>-4.4554455445544705E-2</v>
      </c>
      <c r="I8" s="4">
        <f>IFERROR(VLOOKUP(A:A,MASTER!A:M,13,0),0)</f>
        <v>20491441.441441443</v>
      </c>
      <c r="J8" s="4">
        <f>IFERROR(VLOOKUP($A:$A,MASTER!$A:$T,14,0),0)</f>
        <v>17967567.567567568</v>
      </c>
      <c r="K8" s="9">
        <f t="shared" si="2"/>
        <v>0.14046831127156034</v>
      </c>
      <c r="L8" s="4">
        <f>IFERROR(VLOOKUP($A:$A,MASTER!$A:$T,15,0),0)</f>
        <v>26249459.459459461</v>
      </c>
      <c r="M8" s="4">
        <f>IFERROR(VLOOKUP($A:$A,MASTER!$A:$T,16,0),0)</f>
        <v>28076558.558558561</v>
      </c>
      <c r="N8" s="9">
        <f t="shared" si="3"/>
        <v>-6.5075607300245308E-2</v>
      </c>
      <c r="O8" s="4">
        <f>IFERROR(VLOOKUP($A:$A,MASTER!$A:$T,17,0),0)</f>
        <v>20997927.927927934</v>
      </c>
      <c r="P8" s="4">
        <f>IFERROR(VLOOKUP($A:$A,MASTER!$A:$T,18,0),0)</f>
        <v>16709189.189189188</v>
      </c>
      <c r="Q8" s="9">
        <f t="shared" si="4"/>
        <v>0.25666947032436194</v>
      </c>
      <c r="R8" s="4">
        <f>IFERROR(VLOOKUP($A:$A,MASTER!$A:$T,19,0),0)</f>
        <v>3946</v>
      </c>
      <c r="S8" s="4">
        <f>IFERROR(VLOOKUP($A:$A,MASTER!$A:$T,20,0),0)</f>
        <v>3743</v>
      </c>
      <c r="T8" s="9">
        <f t="shared" si="5"/>
        <v>5.4234571199572645E-2</v>
      </c>
      <c r="U8" s="13">
        <f>IFERROR(VLOOKUP(A:A,MASTER!A:K,11,0),0)</f>
        <v>18</v>
      </c>
      <c r="V8" s="13">
        <f>IFERROR(VLOOKUP(A:A,MASTER!A:L,12,0),0)</f>
        <v>8</v>
      </c>
      <c r="W8" s="9">
        <f t="shared" si="6"/>
        <v>1.25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61670974.297474183</v>
      </c>
      <c r="D9" s="4">
        <f>IFERROR(VLOOKUP($A:$A,MASTER!$A:$T,4,0),0)</f>
        <v>62753068.502111703</v>
      </c>
      <c r="E9" s="9">
        <f t="shared" si="0"/>
        <v>-1.7243685933877595E-2</v>
      </c>
      <c r="F9" s="4">
        <f>IFERROR(VLOOKUP(A:A,MASTER!A:E,5,0),0)</f>
        <v>619819.81981982</v>
      </c>
      <c r="G9" s="4">
        <f>IFERROR(VLOOKUP(A:A,MASTER!A:F,6,0),0)</f>
        <v>581081.08108108304</v>
      </c>
      <c r="H9" s="9">
        <f t="shared" si="1"/>
        <v>6.6666666666663321E-2</v>
      </c>
      <c r="I9" s="4">
        <f>IFERROR(VLOOKUP(A:A,MASTER!A:M,13,0),0)</f>
        <v>9532882.8828828838</v>
      </c>
      <c r="J9" s="4">
        <f>IFERROR(VLOOKUP($A:$A,MASTER!$A:$T,14,0),0)</f>
        <v>18331531.531531531</v>
      </c>
      <c r="K9" s="9">
        <f t="shared" si="2"/>
        <v>-0.47997346176528399</v>
      </c>
      <c r="L9" s="4">
        <f>IFERROR(VLOOKUP($A:$A,MASTER!$A:$T,15,0),0)</f>
        <v>21948063.063063063</v>
      </c>
      <c r="M9" s="4">
        <f>IFERROR(VLOOKUP($A:$A,MASTER!$A:$T,16,0),0)</f>
        <v>21526333.333333336</v>
      </c>
      <c r="N9" s="9">
        <f t="shared" si="3"/>
        <v>1.9591340670948476E-2</v>
      </c>
      <c r="O9" s="4">
        <f>IFERROR(VLOOKUP($A:$A,MASTER!$A:$T,17,0),0)</f>
        <v>9781081.0810810793</v>
      </c>
      <c r="P9" s="4">
        <f>IFERROR(VLOOKUP($A:$A,MASTER!$A:$T,18,0),0)</f>
        <v>18255495.495495494</v>
      </c>
      <c r="Q9" s="9">
        <f t="shared" si="4"/>
        <v>-0.46421168992676531</v>
      </c>
      <c r="R9" s="4">
        <f>IFERROR(VLOOKUP($A:$A,MASTER!$A:$T,19,0),0)</f>
        <v>3593</v>
      </c>
      <c r="S9" s="4">
        <f>IFERROR(VLOOKUP($A:$A,MASTER!$A:$T,20,0),0)</f>
        <v>3508</v>
      </c>
      <c r="T9" s="9">
        <f t="shared" si="5"/>
        <v>2.4230330672748046E-2</v>
      </c>
      <c r="U9" s="13">
        <f>IFERROR(VLOOKUP(A:A,MASTER!A:K,11,0),0)</f>
        <v>5</v>
      </c>
      <c r="V9" s="13">
        <f>IFERROR(VLOOKUP(A:A,MASTER!A:L,12,0),0)</f>
        <v>7</v>
      </c>
      <c r="W9" s="9">
        <f t="shared" si="6"/>
        <v>-0.2857142857142857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56470759.380839221</v>
      </c>
      <c r="D11" s="4">
        <f>IFERROR(VLOOKUP($A:$A,MASTER!$A:$T,4,0),0)</f>
        <v>66706310.144264825</v>
      </c>
      <c r="E11" s="9">
        <f t="shared" si="0"/>
        <v>-0.15344201682403535</v>
      </c>
      <c r="F11" s="4">
        <f>IFERROR(VLOOKUP(A:A,MASTER!A:E,5,0),0)</f>
        <v>3925675.6756756762</v>
      </c>
      <c r="G11" s="4">
        <f>IFERROR(VLOOKUP(A:A,MASTER!A:F,6,0),0)</f>
        <v>76281981.981981978</v>
      </c>
      <c r="H11" s="9">
        <f t="shared" si="1"/>
        <v>-0.94853731413791875</v>
      </c>
      <c r="I11" s="4">
        <f>IFERROR(VLOOKUP(A:A,MASTER!A:M,13,0),0)</f>
        <v>18019774.774774775</v>
      </c>
      <c r="J11" s="4">
        <f>IFERROR(VLOOKUP($A:$A,MASTER!$A:$T,14,0),0)</f>
        <v>13801801.801801803</v>
      </c>
      <c r="K11" s="9">
        <f t="shared" si="2"/>
        <v>0.30561031331592692</v>
      </c>
      <c r="L11" s="4">
        <f>IFERROR(VLOOKUP($A:$A,MASTER!$A:$T,15,0),0)</f>
        <v>25460450.45045045</v>
      </c>
      <c r="M11" s="4">
        <f>IFERROR(VLOOKUP($A:$A,MASTER!$A:$T,16,0),0)</f>
        <v>26893441.441441439</v>
      </c>
      <c r="N11" s="9">
        <f t="shared" si="3"/>
        <v>-5.3284031874880178E-2</v>
      </c>
      <c r="O11" s="4">
        <f>IFERROR(VLOOKUP($A:$A,MASTER!$A:$T,17,0),0)</f>
        <v>3166216.2162162149</v>
      </c>
      <c r="P11" s="4">
        <f>IFERROR(VLOOKUP($A:$A,MASTER!$A:$T,18,0),0)</f>
        <v>5072072.072072072</v>
      </c>
      <c r="Q11" s="9">
        <f t="shared" si="4"/>
        <v>-0.37575488454706951</v>
      </c>
      <c r="R11" s="4">
        <f>IFERROR(VLOOKUP($A:$A,MASTER!$A:$T,19,0),0)</f>
        <v>3293</v>
      </c>
      <c r="S11" s="4">
        <f>IFERROR(VLOOKUP($A:$A,MASTER!$A:$T,20,0),0)</f>
        <v>2900</v>
      </c>
      <c r="T11" s="9">
        <f t="shared" si="5"/>
        <v>0.13551724137931043</v>
      </c>
      <c r="U11" s="13">
        <f>IFERROR(VLOOKUP(A:A,MASTER!A:K,11,0),0)</f>
        <v>7</v>
      </c>
      <c r="V11" s="13">
        <f>IFERROR(VLOOKUP(A:A,MASTER!A:L,12,0),0)</f>
        <v>7</v>
      </c>
      <c r="W11" s="9">
        <f t="shared" si="6"/>
        <v>0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242893596.08863008</v>
      </c>
      <c r="D12" s="4">
        <f>IFERROR(VLOOKUP($A:$A,MASTER!$A:$T,4,0),0)</f>
        <v>222967099.49934211</v>
      </c>
      <c r="E12" s="9">
        <f t="shared" si="0"/>
        <v>8.9369672180476867E-2</v>
      </c>
      <c r="F12" s="4">
        <f>IFERROR(VLOOKUP(A:A,MASTER!A:E,5,0),0)</f>
        <v>6134684.6846846798</v>
      </c>
      <c r="G12" s="4">
        <f>IFERROR(VLOOKUP(A:A,MASTER!A:F,6,0),0)</f>
        <v>4406306.3063063063</v>
      </c>
      <c r="H12" s="9">
        <f t="shared" si="1"/>
        <v>0.39225107340012166</v>
      </c>
      <c r="I12" s="4">
        <f>IFERROR(VLOOKUP(A:A,MASTER!A:M,13,0),0)</f>
        <v>140998198.1981982</v>
      </c>
      <c r="J12" s="4">
        <f>IFERROR(VLOOKUP($A:$A,MASTER!$A:$T,14,0),0)</f>
        <v>112500000</v>
      </c>
      <c r="K12" s="9">
        <f t="shared" si="2"/>
        <v>0.25331731731731733</v>
      </c>
      <c r="L12" s="4">
        <f>IFERROR(VLOOKUP($A:$A,MASTER!$A:$T,15,0),0)</f>
        <v>160176531.53153151</v>
      </c>
      <c r="M12" s="4">
        <f>IFERROR(VLOOKUP($A:$A,MASTER!$A:$T,16,0),0)</f>
        <v>152469711.7117117</v>
      </c>
      <c r="N12" s="9">
        <f t="shared" si="3"/>
        <v>5.0546562548710039E-2</v>
      </c>
      <c r="O12" s="4">
        <f>IFERROR(VLOOKUP($A:$A,MASTER!$A:$T,17,0),0)</f>
        <v>124274234.23423424</v>
      </c>
      <c r="P12" s="4">
        <f>IFERROR(VLOOKUP($A:$A,MASTER!$A:$T,18,0),0)</f>
        <v>105400720.72072072</v>
      </c>
      <c r="Q12" s="9">
        <f t="shared" si="4"/>
        <v>0.17906436867279574</v>
      </c>
      <c r="R12" s="4">
        <f>IFERROR(VLOOKUP($A:$A,MASTER!$A:$T,19,0),0)</f>
        <v>13790</v>
      </c>
      <c r="S12" s="4">
        <f>IFERROR(VLOOKUP($A:$A,MASTER!$A:$T,20,0),0)</f>
        <v>12620</v>
      </c>
      <c r="T12" s="9">
        <f t="shared" si="5"/>
        <v>9.2709984152139491E-2</v>
      </c>
      <c r="U12" s="13">
        <f>IFERROR(VLOOKUP(A:A,MASTER!A:K,11,0),0)</f>
        <v>392</v>
      </c>
      <c r="V12" s="13">
        <f>IFERROR(VLOOKUP(A:A,MASTER!A:L,12,0),0)</f>
        <v>295</v>
      </c>
      <c r="W12" s="9">
        <f t="shared" si="6"/>
        <v>0.32881355932203382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53005415.670112982</v>
      </c>
      <c r="D13" s="4">
        <f>IFERROR(VLOOKUP($A:$A,MASTER!$A:$T,4,0),0)</f>
        <v>56079946.742848627</v>
      </c>
      <c r="E13" s="9">
        <f t="shared" si="0"/>
        <v>-5.482407261964295E-2</v>
      </c>
      <c r="F13" s="4">
        <f>IFERROR(VLOOKUP(A:A,MASTER!A:E,5,0),0)</f>
        <v>78194578.378378391</v>
      </c>
      <c r="G13" s="4">
        <f>IFERROR(VLOOKUP(A:A,MASTER!A:F,6,0),0)</f>
        <v>233743691.8918919</v>
      </c>
      <c r="H13" s="9">
        <f t="shared" si="1"/>
        <v>-0.66546871170947397</v>
      </c>
      <c r="I13" s="4">
        <f>IFERROR(VLOOKUP(A:A,MASTER!A:M,13,0),0)</f>
        <v>9895945.9459459484</v>
      </c>
      <c r="J13" s="4">
        <f>IFERROR(VLOOKUP($A:$A,MASTER!$A:$T,14,0),0)</f>
        <v>7382657.6576576559</v>
      </c>
      <c r="K13" s="9">
        <f t="shared" si="2"/>
        <v>0.34043137374538635</v>
      </c>
      <c r="L13" s="4">
        <f>IFERROR(VLOOKUP($A:$A,MASTER!$A:$T,15,0),0)</f>
        <v>34831306.30630631</v>
      </c>
      <c r="M13" s="4">
        <f>IFERROR(VLOOKUP($A:$A,MASTER!$A:$T,16,0),0)</f>
        <v>39390738.738738738</v>
      </c>
      <c r="N13" s="9">
        <f t="shared" si="3"/>
        <v>-0.11574884296212662</v>
      </c>
      <c r="O13" s="4">
        <f>IFERROR(VLOOKUP($A:$A,MASTER!$A:$T,17,0),0)</f>
        <v>11382342.342342343</v>
      </c>
      <c r="P13" s="4">
        <f>IFERROR(VLOOKUP($A:$A,MASTER!$A:$T,18,0),0)</f>
        <v>8717387.3873873875</v>
      </c>
      <c r="Q13" s="9">
        <f t="shared" si="4"/>
        <v>0.30570569329185759</v>
      </c>
      <c r="R13" s="4">
        <f>IFERROR(VLOOKUP($A:$A,MASTER!$A:$T,19,0),0)</f>
        <v>4823</v>
      </c>
      <c r="S13" s="4">
        <f>IFERROR(VLOOKUP($A:$A,MASTER!$A:$T,20,0),0)</f>
        <v>7420</v>
      </c>
      <c r="T13" s="9">
        <f t="shared" si="5"/>
        <v>-0.35</v>
      </c>
      <c r="U13" s="13">
        <f>IFERROR(VLOOKUP(A:A,MASTER!A:K,11,0),0)</f>
        <v>21</v>
      </c>
      <c r="V13" s="13">
        <f>IFERROR(VLOOKUP(A:A,MASTER!A:L,12,0),0)</f>
        <v>25</v>
      </c>
      <c r="W13" s="9">
        <f t="shared" si="6"/>
        <v>-0.16000000000000003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78660468.428000003</v>
      </c>
      <c r="D14" s="4">
        <f>IFERROR(VLOOKUP($A:$A,MASTER!$A:$T,4,0),0)</f>
        <v>74195506.644552916</v>
      </c>
      <c r="E14" s="9">
        <f t="shared" si="0"/>
        <v>6.0178331348787806E-2</v>
      </c>
      <c r="F14" s="4">
        <f>IFERROR(VLOOKUP(A:A,MASTER!A:E,5,0),0)</f>
        <v>962162.16216216597</v>
      </c>
      <c r="G14" s="4">
        <f>IFERROR(VLOOKUP(A:A,MASTER!A:F,6,0),0)</f>
        <v>1076576.5765765789</v>
      </c>
      <c r="H14" s="9">
        <f t="shared" si="1"/>
        <v>-0.10627615062761342</v>
      </c>
      <c r="I14" s="4">
        <f>IFERROR(VLOOKUP(A:A,MASTER!A:M,13,0),0)</f>
        <v>9293693.6936936956</v>
      </c>
      <c r="J14" s="4">
        <f>IFERROR(VLOOKUP($A:$A,MASTER!$A:$T,14,0),0)</f>
        <v>12693693.693693696</v>
      </c>
      <c r="K14" s="9">
        <f t="shared" si="2"/>
        <v>-0.26784953867991479</v>
      </c>
      <c r="L14" s="4">
        <f>IFERROR(VLOOKUP($A:$A,MASTER!$A:$T,15,0),0)</f>
        <v>22388288.288288288</v>
      </c>
      <c r="M14" s="4">
        <f>IFERROR(VLOOKUP($A:$A,MASTER!$A:$T,16,0),0)</f>
        <v>22036180.180180181</v>
      </c>
      <c r="N14" s="9">
        <f t="shared" si="3"/>
        <v>1.5978636280383984E-2</v>
      </c>
      <c r="O14" s="4">
        <f>IFERROR(VLOOKUP($A:$A,MASTER!$A:$T,17,0),0)</f>
        <v>8932882.8828828838</v>
      </c>
      <c r="P14" s="4">
        <f>IFERROR(VLOOKUP($A:$A,MASTER!$A:$T,18,0),0)</f>
        <v>10061801.801801801</v>
      </c>
      <c r="Q14" s="9">
        <f t="shared" si="4"/>
        <v>-0.11219848503841112</v>
      </c>
      <c r="R14" s="4">
        <f>IFERROR(VLOOKUP($A:$A,MASTER!$A:$T,19,0),0)</f>
        <v>3467</v>
      </c>
      <c r="S14" s="4">
        <f>IFERROR(VLOOKUP($A:$A,MASTER!$A:$T,20,0),0)</f>
        <v>3669</v>
      </c>
      <c r="T14" s="9">
        <f t="shared" si="5"/>
        <v>-5.505587353502317E-2</v>
      </c>
      <c r="U14" s="13">
        <f>IFERROR(VLOOKUP(A:A,MASTER!A:K,11,0),0)</f>
        <v>6</v>
      </c>
      <c r="V14" s="13">
        <f>IFERROR(VLOOKUP(A:A,MASTER!A:L,12,0),0)</f>
        <v>2</v>
      </c>
      <c r="W14" s="9">
        <f t="shared" si="6"/>
        <v>2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156334365.68503517</v>
      </c>
      <c r="D15" s="4">
        <f>IFERROR(VLOOKUP($A:$A,MASTER!$A:$T,4,0),0)</f>
        <v>146256630.31406379</v>
      </c>
      <c r="E15" s="9">
        <f t="shared" si="0"/>
        <v>6.8904468462940738E-2</v>
      </c>
      <c r="F15" s="4">
        <f>IFERROR(VLOOKUP(A:A,MASTER!A:E,5,0),0)</f>
        <v>330868851.35135138</v>
      </c>
      <c r="G15" s="4">
        <f>IFERROR(VLOOKUP(A:A,MASTER!A:F,6,0),0)</f>
        <v>240960709.90990993</v>
      </c>
      <c r="H15" s="9">
        <f t="shared" si="1"/>
        <v>0.37312365769114875</v>
      </c>
      <c r="I15" s="4">
        <f>IFERROR(VLOOKUP(A:A,MASTER!A:M,13,0),0)</f>
        <v>297149437.83783782</v>
      </c>
      <c r="J15" s="4">
        <f>IFERROR(VLOOKUP($A:$A,MASTER!$A:$T,14,0),0)</f>
        <v>166274774.77477479</v>
      </c>
      <c r="K15" s="9">
        <f t="shared" si="2"/>
        <v>0.78709872402676528</v>
      </c>
      <c r="L15" s="4">
        <f>IFERROR(VLOOKUP($A:$A,MASTER!$A:$T,15,0),0)</f>
        <v>55721486.486486487</v>
      </c>
      <c r="M15" s="4">
        <f>IFERROR(VLOOKUP($A:$A,MASTER!$A:$T,16,0),0)</f>
        <v>52833558.558558561</v>
      </c>
      <c r="N15" s="9">
        <f t="shared" si="3"/>
        <v>5.4660863411785332E-2</v>
      </c>
      <c r="O15" s="4">
        <f>IFERROR(VLOOKUP($A:$A,MASTER!$A:$T,17,0),0)</f>
        <v>226237927.92792794</v>
      </c>
      <c r="P15" s="4">
        <f>IFERROR(VLOOKUP($A:$A,MASTER!$A:$T,18,0),0)</f>
        <v>138257117.11711711</v>
      </c>
      <c r="Q15" s="9">
        <f t="shared" si="4"/>
        <v>0.63635646862419826</v>
      </c>
      <c r="R15" s="4">
        <f>IFERROR(VLOOKUP($A:$A,MASTER!$A:$T,19,0),0)</f>
        <v>7522</v>
      </c>
      <c r="S15" s="4">
        <f>IFERROR(VLOOKUP($A:$A,MASTER!$A:$T,20,0),0)</f>
        <v>6959</v>
      </c>
      <c r="T15" s="9">
        <f t="shared" si="5"/>
        <v>8.0902428509843416E-2</v>
      </c>
      <c r="U15" s="13">
        <f>IFERROR(VLOOKUP(A:A,MASTER!A:K,11,0),0)</f>
        <v>31</v>
      </c>
      <c r="V15" s="13">
        <f>IFERROR(VLOOKUP(A:A,MASTER!A:L,12,0),0)</f>
        <v>20</v>
      </c>
      <c r="W15" s="9">
        <f t="shared" si="6"/>
        <v>0.55000000000000004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65542607.542685777</v>
      </c>
      <c r="D17" s="4">
        <f>IFERROR(VLOOKUP($A:$A,MASTER!$A:$T,4,0),0)</f>
        <v>59800401.850002579</v>
      </c>
      <c r="E17" s="9">
        <f t="shared" si="0"/>
        <v>9.6022861302611062E-2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37501711.711711712</v>
      </c>
      <c r="M17" s="4">
        <f>IFERROR(VLOOKUP($A:$A,MASTER!$A:$T,16,0),0)</f>
        <v>35945297.297297299</v>
      </c>
      <c r="N17" s="9">
        <f t="shared" si="3"/>
        <v>4.3299528212037863E-2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3947</v>
      </c>
      <c r="S17" s="4">
        <f>IFERROR(VLOOKUP($A:$A,MASTER!$A:$T,20,0),0)</f>
        <v>3894</v>
      </c>
      <c r="T17" s="9">
        <f t="shared" si="5"/>
        <v>1.3610683102208476E-2</v>
      </c>
      <c r="U17" s="13">
        <f>IFERROR(VLOOKUP(A:A,MASTER!A:K,11,0),0)</f>
        <v>6</v>
      </c>
      <c r="V17" s="13">
        <f>IFERROR(VLOOKUP(A:A,MASTER!A:L,12,0),0)</f>
        <v>12</v>
      </c>
      <c r="W17" s="9">
        <f t="shared" si="6"/>
        <v>-0.5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52122775.963740334</v>
      </c>
      <c r="D18" s="4">
        <f>IFERROR(VLOOKUP($A:$A,MASTER!$A:$T,4,0),0)</f>
        <v>51692676.036686003</v>
      </c>
      <c r="E18" s="9">
        <f t="shared" si="0"/>
        <v>8.3203262053814786E-3</v>
      </c>
      <c r="F18" s="4">
        <f>IFERROR(VLOOKUP(A:A,MASTER!A:E,5,0),0)</f>
        <v>314414.41441441601</v>
      </c>
      <c r="G18" s="4">
        <f>IFERROR(VLOOKUP(A:A,MASTER!A:F,6,0),0)</f>
        <v>18018.018018018</v>
      </c>
      <c r="H18" s="9">
        <f t="shared" si="1"/>
        <v>16.450000000000106</v>
      </c>
      <c r="I18" s="4">
        <f>IFERROR(VLOOKUP(A:A,MASTER!A:M,13,0),0)</f>
        <v>1701801.801801804</v>
      </c>
      <c r="J18" s="4">
        <f>IFERROR(VLOOKUP($A:$A,MASTER!$A:$T,14,0),0)</f>
        <v>1819819.8198198189</v>
      </c>
      <c r="K18" s="9">
        <f t="shared" si="2"/>
        <v>-6.4851485148513244E-2</v>
      </c>
      <c r="L18" s="4">
        <f>IFERROR(VLOOKUP($A:$A,MASTER!$A:$T,15,0),0)</f>
        <v>16469909.90990991</v>
      </c>
      <c r="M18" s="4">
        <f>IFERROR(VLOOKUP($A:$A,MASTER!$A:$T,16,0),0)</f>
        <v>17627540.540540539</v>
      </c>
      <c r="N18" s="9">
        <f t="shared" si="3"/>
        <v>-6.5671704340617643E-2</v>
      </c>
      <c r="O18" s="4">
        <f>IFERROR(VLOOKUP($A:$A,MASTER!$A:$T,17,0),0)</f>
        <v>1797297.297297297</v>
      </c>
      <c r="P18" s="4">
        <f>IFERROR(VLOOKUP($A:$A,MASTER!$A:$T,18,0),0)</f>
        <v>1335585.585585586</v>
      </c>
      <c r="Q18" s="9">
        <f t="shared" si="4"/>
        <v>0.34569983136593518</v>
      </c>
      <c r="R18" s="4">
        <f>IFERROR(VLOOKUP($A:$A,MASTER!$A:$T,19,0),0)</f>
        <v>3828</v>
      </c>
      <c r="S18" s="4">
        <f>IFERROR(VLOOKUP($A:$A,MASTER!$A:$T,20,0),0)</f>
        <v>4037</v>
      </c>
      <c r="T18" s="9">
        <f t="shared" si="5"/>
        <v>-5.1771117166212521E-2</v>
      </c>
      <c r="U18" s="13">
        <f>IFERROR(VLOOKUP(A:A,MASTER!A:K,11,0),0)</f>
        <v>14</v>
      </c>
      <c r="V18" s="13">
        <f>IFERROR(VLOOKUP(A:A,MASTER!A:L,12,0),0)</f>
        <v>12</v>
      </c>
      <c r="W18" s="9">
        <f t="shared" si="6"/>
        <v>0.16666666666666674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37315465.014466494</v>
      </c>
      <c r="D19" s="4">
        <f>IFERROR(VLOOKUP($A:$A,MASTER!$A:$T,4,0),0)</f>
        <v>33364744.027677037</v>
      </c>
      <c r="E19" s="9">
        <f t="shared" si="0"/>
        <v>0.11841004934766519</v>
      </c>
      <c r="F19" s="4">
        <f>IFERROR(VLOOKUP(A:A,MASTER!A:E,5,0),0)</f>
        <v>38738.738738740001</v>
      </c>
      <c r="G19" s="4">
        <f>IFERROR(VLOOKUP(A:A,MASTER!A:F,6,0),0)</f>
        <v>279279.27927927999</v>
      </c>
      <c r="H19" s="9">
        <f t="shared" si="1"/>
        <v>-0.86129032258064098</v>
      </c>
      <c r="I19" s="4">
        <f>IFERROR(VLOOKUP(A:A,MASTER!A:M,13,0),0)</f>
        <v>4005855.855855857</v>
      </c>
      <c r="J19" s="4">
        <f>IFERROR(VLOOKUP($A:$A,MASTER!$A:$T,14,0),0)</f>
        <v>2981981.981981982</v>
      </c>
      <c r="K19" s="9">
        <f t="shared" si="2"/>
        <v>0.34335347432024199</v>
      </c>
      <c r="L19" s="4">
        <f>IFERROR(VLOOKUP($A:$A,MASTER!$A:$T,15,0),0)</f>
        <v>13551396.3963964</v>
      </c>
      <c r="M19" s="4">
        <f>IFERROR(VLOOKUP($A:$A,MASTER!$A:$T,16,0),0)</f>
        <v>13950225.225225223</v>
      </c>
      <c r="N19" s="9">
        <f t="shared" si="3"/>
        <v>-2.8589418621546625E-2</v>
      </c>
      <c r="O19" s="4">
        <f>IFERROR(VLOOKUP($A:$A,MASTER!$A:$T,17,0),0)</f>
        <v>1693693.693693693</v>
      </c>
      <c r="P19" s="4">
        <f>IFERROR(VLOOKUP($A:$A,MASTER!$A:$T,18,0),0)</f>
        <v>4705675.6756756762</v>
      </c>
      <c r="Q19" s="9">
        <f t="shared" si="4"/>
        <v>-0.64007428254168841</v>
      </c>
      <c r="R19" s="4">
        <f>IFERROR(VLOOKUP($A:$A,MASTER!$A:$T,19,0),0)</f>
        <v>2774</v>
      </c>
      <c r="S19" s="4">
        <f>IFERROR(VLOOKUP($A:$A,MASTER!$A:$T,20,0),0)</f>
        <v>3343</v>
      </c>
      <c r="T19" s="9">
        <f t="shared" si="5"/>
        <v>-0.1702064014358361</v>
      </c>
      <c r="U19" s="13">
        <f>IFERROR(VLOOKUP(A:A,MASTER!A:K,11,0),0)</f>
        <v>8</v>
      </c>
      <c r="V19" s="13">
        <f>IFERROR(VLOOKUP(A:A,MASTER!A:L,12,0),0)</f>
        <v>3</v>
      </c>
      <c r="W19" s="9">
        <f t="shared" si="6"/>
        <v>1.6666666666666665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133444159.42732784</v>
      </c>
      <c r="D21" s="4">
        <f>IFERROR(VLOOKUP($A:$A,MASTER!$A:$T,4,0),0)</f>
        <v>120141754.29012379</v>
      </c>
      <c r="E21" s="9">
        <f t="shared" si="0"/>
        <v>0.11072258113595379</v>
      </c>
      <c r="F21" s="4">
        <f>IFERROR(VLOOKUP(A:A,MASTER!A:E,5,0),0)</f>
        <v>386036.03603603999</v>
      </c>
      <c r="G21" s="4">
        <f>IFERROR(VLOOKUP(A:A,MASTER!A:F,6,0),0)</f>
        <v>725225.22522522497</v>
      </c>
      <c r="H21" s="9">
        <f t="shared" si="1"/>
        <v>-0.46770186335403163</v>
      </c>
      <c r="I21" s="4">
        <f>IFERROR(VLOOKUP(A:A,MASTER!A:M,13,0),0)</f>
        <v>21154234.234234232</v>
      </c>
      <c r="J21" s="4">
        <f>IFERROR(VLOOKUP($A:$A,MASTER!$A:$T,14,0),0)</f>
        <v>26844054.054054055</v>
      </c>
      <c r="K21" s="9">
        <f t="shared" si="2"/>
        <v>-0.21195829096315399</v>
      </c>
      <c r="L21" s="4">
        <f>IFERROR(VLOOKUP($A:$A,MASTER!$A:$T,15,0),0)</f>
        <v>74044103.603603601</v>
      </c>
      <c r="M21" s="4">
        <f>IFERROR(VLOOKUP($A:$A,MASTER!$A:$T,16,0),0)</f>
        <v>67838684.684684694</v>
      </c>
      <c r="N21" s="9">
        <f t="shared" si="3"/>
        <v>9.14731608928121E-2</v>
      </c>
      <c r="O21" s="4">
        <f>IFERROR(VLOOKUP($A:$A,MASTER!$A:$T,17,0),0)</f>
        <v>23754234.234234236</v>
      </c>
      <c r="P21" s="4">
        <f>IFERROR(VLOOKUP($A:$A,MASTER!$A:$T,18,0),0)</f>
        <v>29070360.360360362</v>
      </c>
      <c r="Q21" s="9">
        <f t="shared" si="4"/>
        <v>-0.18287100882915319</v>
      </c>
      <c r="R21" s="4">
        <f>IFERROR(VLOOKUP($A:$A,MASTER!$A:$T,19,0),0)</f>
        <v>7443</v>
      </c>
      <c r="S21" s="4">
        <f>IFERROR(VLOOKUP($A:$A,MASTER!$A:$T,20,0),0)</f>
        <v>7006</v>
      </c>
      <c r="T21" s="9">
        <f t="shared" si="5"/>
        <v>6.2375107051099166E-2</v>
      </c>
      <c r="U21" s="13">
        <f>IFERROR(VLOOKUP(A:A,MASTER!A:K,11,0),0)</f>
        <v>90</v>
      </c>
      <c r="V21" s="13">
        <f>IFERROR(VLOOKUP(A:A,MASTER!A:L,12,0),0)</f>
        <v>94</v>
      </c>
      <c r="W21" s="9">
        <f t="shared" si="6"/>
        <v>-4.2553191489361653E-2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70380805.100896075</v>
      </c>
      <c r="D22" s="4">
        <f>IFERROR(VLOOKUP($A:$A,MASTER!$A:$T,4,0),0)</f>
        <v>62340660.837393396</v>
      </c>
      <c r="E22" s="9">
        <f t="shared" si="0"/>
        <v>0.12897111059624855</v>
      </c>
      <c r="F22" s="4">
        <f>IFERROR(VLOOKUP(A:A,MASTER!A:E,5,0),0)</f>
        <v>62162.162162166002</v>
      </c>
      <c r="G22" s="4">
        <f>IFERROR(VLOOKUP(A:A,MASTER!A:F,6,0),0)</f>
        <v>669369.36936937098</v>
      </c>
      <c r="H22" s="9">
        <f t="shared" si="1"/>
        <v>-0.9071332436069931</v>
      </c>
      <c r="I22" s="4">
        <f>IFERROR(VLOOKUP(A:A,MASTER!A:M,13,0),0)</f>
        <v>5557657.6576576596</v>
      </c>
      <c r="J22" s="4">
        <f>IFERROR(VLOOKUP($A:$A,MASTER!$A:$T,14,0),0)</f>
        <v>22243243.243243244</v>
      </c>
      <c r="K22" s="9">
        <f t="shared" si="2"/>
        <v>-0.75014175779667869</v>
      </c>
      <c r="L22" s="4">
        <f>IFERROR(VLOOKUP($A:$A,MASTER!$A:$T,15,0),0)</f>
        <v>22712243.243243244</v>
      </c>
      <c r="M22" s="4">
        <f>IFERROR(VLOOKUP($A:$A,MASTER!$A:$T,16,0),0)</f>
        <v>21759126.126126129</v>
      </c>
      <c r="N22" s="9">
        <f t="shared" si="3"/>
        <v>4.3803097219640152E-2</v>
      </c>
      <c r="O22" s="4">
        <f>IFERROR(VLOOKUP($A:$A,MASTER!$A:$T,17,0),0)</f>
        <v>4300630.630630631</v>
      </c>
      <c r="P22" s="4">
        <f>IFERROR(VLOOKUP($A:$A,MASTER!$A:$T,18,0),0)</f>
        <v>25825225.225225225</v>
      </c>
      <c r="Q22" s="9">
        <f t="shared" si="4"/>
        <v>-0.83347170864438702</v>
      </c>
      <c r="R22" s="4">
        <f>IFERROR(VLOOKUP($A:$A,MASTER!$A:$T,19,0),0)</f>
        <v>4052</v>
      </c>
      <c r="S22" s="4">
        <f>IFERROR(VLOOKUP($A:$A,MASTER!$A:$T,20,0),0)</f>
        <v>3985</v>
      </c>
      <c r="T22" s="9">
        <f t="shared" si="5"/>
        <v>1.6813048933500552E-2</v>
      </c>
      <c r="U22" s="13">
        <f>IFERROR(VLOOKUP(A:A,MASTER!A:K,11,0),0)</f>
        <v>9</v>
      </c>
      <c r="V22" s="13">
        <f>IFERROR(VLOOKUP(A:A,MASTER!A:L,12,0),0)</f>
        <v>9</v>
      </c>
      <c r="W22" s="9">
        <f t="shared" si="6"/>
        <v>0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" sqref="A3:XFD569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183005417.63485935</v>
      </c>
      <c r="D4">
        <v>198250115.52003059</v>
      </c>
      <c r="E4">
        <v>316216.21621621703</v>
      </c>
      <c r="F4">
        <v>493468.46846846899</v>
      </c>
      <c r="G4">
        <v>9</v>
      </c>
      <c r="H4">
        <v>25</v>
      </c>
      <c r="K4">
        <v>10</v>
      </c>
      <c r="L4">
        <v>29</v>
      </c>
      <c r="M4">
        <v>2722702.702702703</v>
      </c>
      <c r="N4">
        <v>13228828.828828832</v>
      </c>
      <c r="O4">
        <v>22003108.108108107</v>
      </c>
      <c r="P4">
        <v>25313936.936936937</v>
      </c>
      <c r="Q4">
        <v>5110180.180180178</v>
      </c>
      <c r="R4">
        <v>6350180.1801801808</v>
      </c>
      <c r="S4">
        <v>7642</v>
      </c>
      <c r="T4">
        <v>8225</v>
      </c>
    </row>
    <row r="5" spans="1:20" x14ac:dyDescent="0.35">
      <c r="A5" s="7" t="s">
        <v>49</v>
      </c>
      <c r="B5" s="12" t="s">
        <v>50</v>
      </c>
      <c r="C5">
        <v>319255709.33580178</v>
      </c>
      <c r="D5">
        <v>309614034.2521677</v>
      </c>
      <c r="E5">
        <v>2270450.450450452</v>
      </c>
      <c r="F5">
        <v>2145945.9459459512</v>
      </c>
      <c r="G5">
        <v>62</v>
      </c>
      <c r="H5">
        <v>108</v>
      </c>
      <c r="I5">
        <v>5</v>
      </c>
      <c r="K5">
        <v>79</v>
      </c>
      <c r="L5">
        <v>300</v>
      </c>
      <c r="M5">
        <v>59771531.531531528</v>
      </c>
      <c r="N5">
        <v>61698558.558558561</v>
      </c>
      <c r="O5">
        <v>92975409.909909919</v>
      </c>
      <c r="P5">
        <v>95624693.693693697</v>
      </c>
      <c r="Q5">
        <v>57179729.729729734</v>
      </c>
      <c r="R5">
        <v>59451711.711711712</v>
      </c>
      <c r="S5">
        <v>21255</v>
      </c>
      <c r="T5">
        <v>19919</v>
      </c>
    </row>
    <row r="6" spans="1:20" x14ac:dyDescent="0.35">
      <c r="A6" s="7" t="s">
        <v>51</v>
      </c>
      <c r="B6" s="12" t="s">
        <v>52</v>
      </c>
      <c r="C6">
        <v>75474042.071850732</v>
      </c>
      <c r="D6">
        <v>75176850.188200757</v>
      </c>
      <c r="E6">
        <v>43243.243243243996</v>
      </c>
      <c r="F6">
        <v>647747.74774774804</v>
      </c>
      <c r="G6">
        <v>9</v>
      </c>
      <c r="H6">
        <v>34</v>
      </c>
      <c r="K6">
        <v>12</v>
      </c>
      <c r="L6">
        <v>35</v>
      </c>
      <c r="M6">
        <v>3807657.6576576568</v>
      </c>
      <c r="N6">
        <v>14841441.441441439</v>
      </c>
      <c r="O6">
        <v>25121693.693693697</v>
      </c>
      <c r="P6">
        <v>24247972.97297297</v>
      </c>
      <c r="Q6">
        <v>4639459.4594594594</v>
      </c>
      <c r="R6">
        <v>7151441.4414414419</v>
      </c>
      <c r="S6">
        <v>4515</v>
      </c>
      <c r="T6">
        <v>4531</v>
      </c>
    </row>
    <row r="7" spans="1:20" x14ac:dyDescent="0.35">
      <c r="A7" s="7" t="s">
        <v>53</v>
      </c>
      <c r="B7" s="12" t="s">
        <v>54</v>
      </c>
      <c r="C7">
        <v>40441919.820904873</v>
      </c>
      <c r="D7">
        <v>41554106.144270308</v>
      </c>
      <c r="E7">
        <v>264414.41441441601</v>
      </c>
      <c r="F7">
        <v>304504.50450450799</v>
      </c>
      <c r="G7">
        <v>6</v>
      </c>
      <c r="H7">
        <v>9</v>
      </c>
      <c r="K7">
        <v>8</v>
      </c>
      <c r="L7">
        <v>14</v>
      </c>
      <c r="M7">
        <v>3183333.333333334</v>
      </c>
      <c r="N7">
        <v>4339099.0990991006</v>
      </c>
      <c r="O7">
        <v>13215954.954954956</v>
      </c>
      <c r="P7">
        <v>13664819.819819819</v>
      </c>
      <c r="Q7">
        <v>3984234.2342342339</v>
      </c>
      <c r="R7">
        <v>4495405.405405404</v>
      </c>
      <c r="S7">
        <v>3659</v>
      </c>
      <c r="T7">
        <v>3638</v>
      </c>
    </row>
    <row r="8" spans="1:20" x14ac:dyDescent="0.35">
      <c r="A8" s="7" t="s">
        <v>55</v>
      </c>
      <c r="B8" s="12" t="s">
        <v>54</v>
      </c>
      <c r="C8">
        <v>70253763.280019984</v>
      </c>
      <c r="D8">
        <v>66806205.698468633</v>
      </c>
      <c r="E8">
        <v>369819.81981982099</v>
      </c>
      <c r="F8">
        <v>1144144.1441441481</v>
      </c>
      <c r="G8">
        <v>20</v>
      </c>
      <c r="H8">
        <v>18</v>
      </c>
      <c r="K8">
        <v>35</v>
      </c>
      <c r="L8">
        <v>37</v>
      </c>
      <c r="M8">
        <v>10802252.252252251</v>
      </c>
      <c r="N8">
        <v>14465585.58558559</v>
      </c>
      <c r="O8">
        <v>17720477.477477476</v>
      </c>
      <c r="P8">
        <v>19133747.747747749</v>
      </c>
      <c r="Q8">
        <v>14191981.981981982</v>
      </c>
      <c r="R8">
        <v>24606396.396396395</v>
      </c>
      <c r="S8">
        <v>4455</v>
      </c>
      <c r="T8">
        <v>4326</v>
      </c>
    </row>
    <row r="9" spans="1:20" x14ac:dyDescent="0.35">
      <c r="A9" s="7" t="s">
        <v>56</v>
      </c>
      <c r="B9" s="12" t="s">
        <v>54</v>
      </c>
      <c r="C9">
        <v>35238866.183227733</v>
      </c>
      <c r="D9">
        <v>32912114.803402822</v>
      </c>
      <c r="E9">
        <v>275855.85585585597</v>
      </c>
      <c r="F9">
        <v>467567.56756756903</v>
      </c>
      <c r="G9">
        <v>3</v>
      </c>
      <c r="H9">
        <v>7</v>
      </c>
      <c r="K9">
        <v>4</v>
      </c>
      <c r="L9">
        <v>9</v>
      </c>
      <c r="M9">
        <v>3186666.6666666651</v>
      </c>
      <c r="N9">
        <v>4565225.225225226</v>
      </c>
      <c r="O9">
        <v>10227432.432432432</v>
      </c>
      <c r="P9">
        <v>10113648.648648648</v>
      </c>
      <c r="Q9">
        <v>2518108.108108107</v>
      </c>
      <c r="R9">
        <v>3498198.1981982021</v>
      </c>
      <c r="S9">
        <v>2084</v>
      </c>
      <c r="T9">
        <v>2026</v>
      </c>
    </row>
    <row r="10" spans="1:20" x14ac:dyDescent="0.35">
      <c r="A10" s="7" t="s">
        <v>57</v>
      </c>
      <c r="B10" s="12" t="s">
        <v>58</v>
      </c>
      <c r="C10">
        <v>88341581.975881442</v>
      </c>
      <c r="D10">
        <v>90806877.540969968</v>
      </c>
      <c r="E10">
        <v>904504.50450450496</v>
      </c>
      <c r="F10">
        <v>13594594.594594596</v>
      </c>
      <c r="G10">
        <v>20</v>
      </c>
      <c r="H10">
        <v>23</v>
      </c>
      <c r="K10">
        <v>27</v>
      </c>
      <c r="L10">
        <v>31</v>
      </c>
      <c r="M10">
        <v>3607207.2072072071</v>
      </c>
      <c r="N10">
        <v>2873873.8738738731</v>
      </c>
      <c r="O10">
        <v>15164144.144144144</v>
      </c>
      <c r="P10">
        <v>16702738.73873874</v>
      </c>
      <c r="Q10">
        <v>1938018.0180180189</v>
      </c>
      <c r="R10">
        <v>1726756.7567567569</v>
      </c>
      <c r="S10">
        <v>5640</v>
      </c>
      <c r="T10">
        <v>5493</v>
      </c>
    </row>
    <row r="11" spans="1:20" x14ac:dyDescent="0.35">
      <c r="A11" s="7" t="s">
        <v>59</v>
      </c>
      <c r="B11" s="12" t="s">
        <v>60</v>
      </c>
      <c r="C11">
        <v>39171349.062100582</v>
      </c>
      <c r="D11">
        <v>37743851.847580552</v>
      </c>
      <c r="E11">
        <v>9549.5495495499999</v>
      </c>
      <c r="F11">
        <v>263963.96396396501</v>
      </c>
      <c r="G11">
        <v>5</v>
      </c>
      <c r="H11">
        <v>17</v>
      </c>
      <c r="K11">
        <v>6</v>
      </c>
      <c r="L11">
        <v>28</v>
      </c>
      <c r="M11">
        <v>2243783.7837837818</v>
      </c>
      <c r="N11">
        <v>5209909.9099099068</v>
      </c>
      <c r="O11">
        <v>18200801.801801801</v>
      </c>
      <c r="P11">
        <v>17130009.009009011</v>
      </c>
      <c r="Q11">
        <v>3364684.684684684</v>
      </c>
      <c r="R11">
        <v>4608468.4684684677</v>
      </c>
      <c r="S11">
        <v>2704</v>
      </c>
      <c r="T11">
        <v>2989</v>
      </c>
    </row>
    <row r="12" spans="1:20" x14ac:dyDescent="0.35">
      <c r="A12" s="7" t="s">
        <v>61</v>
      </c>
      <c r="B12" s="12" t="s">
        <v>62</v>
      </c>
      <c r="C12">
        <v>184059004.19722813</v>
      </c>
      <c r="D12">
        <v>175510346.09643647</v>
      </c>
      <c r="E12">
        <v>91121262.162162155</v>
      </c>
      <c r="F12">
        <v>225400224.32432431</v>
      </c>
      <c r="G12">
        <v>34</v>
      </c>
      <c r="H12">
        <v>18</v>
      </c>
      <c r="K12">
        <v>43</v>
      </c>
      <c r="L12">
        <v>23</v>
      </c>
      <c r="M12">
        <v>22428500.000000007</v>
      </c>
      <c r="N12">
        <v>51517630.630630635</v>
      </c>
      <c r="O12">
        <v>19385720.72072072</v>
      </c>
      <c r="P12">
        <v>18157801.801801801</v>
      </c>
      <c r="Q12">
        <v>3010000.0000000042</v>
      </c>
      <c r="R12">
        <v>27205765.765765764</v>
      </c>
      <c r="S12">
        <v>8706</v>
      </c>
      <c r="T12">
        <v>8375</v>
      </c>
    </row>
    <row r="13" spans="1:20" x14ac:dyDescent="0.35">
      <c r="A13" s="7" t="s">
        <v>63</v>
      </c>
      <c r="B13" s="12" t="s">
        <v>50</v>
      </c>
      <c r="C13">
        <v>98502598.387199685</v>
      </c>
      <c r="D13">
        <v>94116336.353684247</v>
      </c>
      <c r="E13">
        <v>217117.117117118</v>
      </c>
      <c r="F13">
        <v>1000900.900900903</v>
      </c>
      <c r="G13">
        <v>18</v>
      </c>
      <c r="H13">
        <v>17</v>
      </c>
      <c r="K13">
        <v>20</v>
      </c>
      <c r="L13">
        <v>41</v>
      </c>
      <c r="M13">
        <v>22785225.225225225</v>
      </c>
      <c r="N13">
        <v>19341081.081081081</v>
      </c>
      <c r="O13">
        <v>35214000</v>
      </c>
      <c r="P13">
        <v>34746702.702702701</v>
      </c>
      <c r="Q13">
        <v>24744054.054054052</v>
      </c>
      <c r="R13">
        <v>17973693.693693697</v>
      </c>
      <c r="S13">
        <v>5476</v>
      </c>
      <c r="T13">
        <v>5544</v>
      </c>
    </row>
    <row r="14" spans="1:20" x14ac:dyDescent="0.35">
      <c r="A14" s="7" t="s">
        <v>64</v>
      </c>
      <c r="B14" s="12" t="s">
        <v>50</v>
      </c>
      <c r="C14">
        <v>100138972.97940841</v>
      </c>
      <c r="D14">
        <v>96511422.694989294</v>
      </c>
      <c r="E14">
        <v>1090540.5405405411</v>
      </c>
      <c r="F14">
        <v>1489189.1891891891</v>
      </c>
      <c r="G14">
        <v>13</v>
      </c>
      <c r="H14">
        <v>31</v>
      </c>
      <c r="K14">
        <v>14</v>
      </c>
      <c r="L14">
        <v>37</v>
      </c>
      <c r="M14">
        <v>16983063.063063063</v>
      </c>
      <c r="N14">
        <v>9116036.0360360332</v>
      </c>
      <c r="O14">
        <v>36617414.414414413</v>
      </c>
      <c r="P14">
        <v>34569486.486486487</v>
      </c>
      <c r="Q14">
        <v>15613333.333333334</v>
      </c>
      <c r="R14">
        <v>9832522.522522524</v>
      </c>
      <c r="S14">
        <v>5624</v>
      </c>
      <c r="T14">
        <v>5464</v>
      </c>
    </row>
    <row r="15" spans="1:20" x14ac:dyDescent="0.35">
      <c r="A15" s="7" t="s">
        <v>65</v>
      </c>
      <c r="B15" s="12" t="s">
        <v>66</v>
      </c>
      <c r="C15">
        <v>96894439.075092927</v>
      </c>
      <c r="D15">
        <v>96927597.543320507</v>
      </c>
      <c r="E15">
        <v>1407297.297297298</v>
      </c>
      <c r="F15">
        <v>1831531.531531533</v>
      </c>
      <c r="G15">
        <v>22</v>
      </c>
      <c r="H15">
        <v>19</v>
      </c>
      <c r="K15">
        <v>26</v>
      </c>
      <c r="L15">
        <v>44</v>
      </c>
      <c r="M15">
        <v>30198288.288288292</v>
      </c>
      <c r="N15">
        <v>33107027.02702703</v>
      </c>
      <c r="O15">
        <v>47017918.918918923</v>
      </c>
      <c r="P15">
        <v>50708990.990990989</v>
      </c>
      <c r="Q15">
        <v>19655675.675675675</v>
      </c>
      <c r="R15">
        <v>32960720.72072072</v>
      </c>
      <c r="S15">
        <v>5551</v>
      </c>
      <c r="T15">
        <v>5675</v>
      </c>
    </row>
    <row r="16" spans="1:20" x14ac:dyDescent="0.35">
      <c r="A16" s="7" t="s">
        <v>67</v>
      </c>
      <c r="B16" s="12" t="s">
        <v>68</v>
      </c>
      <c r="C16">
        <v>52261119.190998331</v>
      </c>
      <c r="D16">
        <v>55504994.731833361</v>
      </c>
      <c r="E16">
        <v>4790540.5405405425</v>
      </c>
      <c r="F16">
        <v>669369.36936936795</v>
      </c>
      <c r="G16">
        <v>21</v>
      </c>
      <c r="H16">
        <v>13</v>
      </c>
      <c r="K16">
        <v>25</v>
      </c>
      <c r="L16">
        <v>14</v>
      </c>
      <c r="M16">
        <v>10193513.513513513</v>
      </c>
      <c r="N16">
        <v>12579279.27927928</v>
      </c>
      <c r="O16">
        <v>14348108.108108109</v>
      </c>
      <c r="P16">
        <v>16646468.468468469</v>
      </c>
      <c r="Q16">
        <v>6860630.630630631</v>
      </c>
      <c r="R16">
        <v>7593063.0630630637</v>
      </c>
      <c r="S16">
        <v>3374</v>
      </c>
      <c r="T16">
        <v>3151</v>
      </c>
    </row>
    <row r="17" spans="1:20" x14ac:dyDescent="0.35">
      <c r="A17" s="7" t="s">
        <v>69</v>
      </c>
      <c r="B17" s="12" t="s">
        <v>70</v>
      </c>
      <c r="C17">
        <v>4428766.8330442403</v>
      </c>
      <c r="D17">
        <v>4470363.5412516315</v>
      </c>
      <c r="G17">
        <v>1</v>
      </c>
      <c r="H17">
        <v>1</v>
      </c>
      <c r="K17">
        <v>1</v>
      </c>
      <c r="L17">
        <v>1</v>
      </c>
      <c r="N17">
        <v>180180.18018018</v>
      </c>
      <c r="O17">
        <v>1013513.513513514</v>
      </c>
      <c r="P17">
        <v>1535720.7207207209</v>
      </c>
      <c r="R17">
        <v>124324.324324324</v>
      </c>
      <c r="S17">
        <v>394</v>
      </c>
      <c r="T17">
        <v>471</v>
      </c>
    </row>
    <row r="18" spans="1:20" x14ac:dyDescent="0.35">
      <c r="A18" s="7" t="s">
        <v>71</v>
      </c>
      <c r="B18" s="12" t="s">
        <v>72</v>
      </c>
      <c r="C18">
        <v>797748990.25294888</v>
      </c>
      <c r="D18">
        <v>761115453.5157187</v>
      </c>
      <c r="E18">
        <v>289123417.11711711</v>
      </c>
      <c r="F18">
        <v>127808776.57657659</v>
      </c>
      <c r="G18">
        <v>180</v>
      </c>
      <c r="H18">
        <v>178</v>
      </c>
      <c r="I18">
        <v>8</v>
      </c>
      <c r="K18">
        <v>236</v>
      </c>
      <c r="L18">
        <v>294</v>
      </c>
      <c r="M18">
        <v>86637890.090090081</v>
      </c>
      <c r="N18">
        <v>86804061.261261269</v>
      </c>
      <c r="O18">
        <v>150494899.0990991</v>
      </c>
      <c r="P18">
        <v>155999124.32432431</v>
      </c>
      <c r="Q18">
        <v>75850450.45045045</v>
      </c>
      <c r="R18">
        <v>75351081.081081092</v>
      </c>
      <c r="S18">
        <v>45405</v>
      </c>
      <c r="T18">
        <v>46554</v>
      </c>
    </row>
    <row r="19" spans="1:20" x14ac:dyDescent="0.35">
      <c r="A19" s="7" t="s">
        <v>73</v>
      </c>
      <c r="B19" s="12" t="s">
        <v>72</v>
      </c>
      <c r="C19">
        <v>75101491.714891836</v>
      </c>
      <c r="D19">
        <v>78072596.646771461</v>
      </c>
      <c r="E19">
        <v>3603.603603604</v>
      </c>
      <c r="F19">
        <v>54054.054054054999</v>
      </c>
      <c r="G19">
        <v>14</v>
      </c>
      <c r="H19">
        <v>16</v>
      </c>
      <c r="K19">
        <v>15</v>
      </c>
      <c r="L19">
        <v>21</v>
      </c>
      <c r="M19">
        <v>454054.05405405402</v>
      </c>
      <c r="N19">
        <v>2441441.441441441</v>
      </c>
      <c r="O19">
        <v>10604009.009009007</v>
      </c>
      <c r="P19">
        <v>11525108.108108109</v>
      </c>
      <c r="Q19">
        <v>805675.67567567597</v>
      </c>
      <c r="R19">
        <v>1904864.8648648651</v>
      </c>
      <c r="S19">
        <v>3618</v>
      </c>
      <c r="T19">
        <v>3170</v>
      </c>
    </row>
    <row r="20" spans="1:20" x14ac:dyDescent="0.35">
      <c r="A20" s="7" t="s">
        <v>74</v>
      </c>
      <c r="B20" s="12" t="s">
        <v>70</v>
      </c>
      <c r="C20">
        <v>79222359.428099006</v>
      </c>
      <c r="D20">
        <v>76133024.11785914</v>
      </c>
      <c r="E20">
        <v>269909.90990991099</v>
      </c>
      <c r="F20">
        <v>2488288.2882882939</v>
      </c>
      <c r="G20">
        <v>17</v>
      </c>
      <c r="H20">
        <v>22</v>
      </c>
      <c r="K20">
        <v>23</v>
      </c>
      <c r="L20">
        <v>40</v>
      </c>
      <c r="M20">
        <v>13629819.819819828</v>
      </c>
      <c r="N20">
        <v>16175675.675675681</v>
      </c>
      <c r="O20">
        <v>26626171.171171173</v>
      </c>
      <c r="P20">
        <v>27445756.756756756</v>
      </c>
      <c r="Q20">
        <v>24986306.306306306</v>
      </c>
      <c r="R20">
        <v>14263693.693693696</v>
      </c>
      <c r="S20">
        <v>4444</v>
      </c>
      <c r="T20">
        <v>4327</v>
      </c>
    </row>
    <row r="21" spans="1:20" x14ac:dyDescent="0.35">
      <c r="A21" s="7" t="s">
        <v>75</v>
      </c>
      <c r="B21" s="12" t="s">
        <v>76</v>
      </c>
      <c r="C21">
        <v>22287058.649017692</v>
      </c>
      <c r="D21">
        <v>22208793.219952416</v>
      </c>
      <c r="E21">
        <v>21635135.135135137</v>
      </c>
      <c r="F21">
        <v>25225.225225225</v>
      </c>
      <c r="G21">
        <v>7</v>
      </c>
      <c r="H21">
        <v>1</v>
      </c>
      <c r="K21">
        <v>9</v>
      </c>
      <c r="L21">
        <v>2</v>
      </c>
      <c r="M21">
        <v>3773873.8738738741</v>
      </c>
      <c r="N21">
        <v>1628828.828828827</v>
      </c>
      <c r="O21">
        <v>5769774.7747747749</v>
      </c>
      <c r="P21">
        <v>5296297.297297297</v>
      </c>
      <c r="Q21">
        <v>2447747.7477477472</v>
      </c>
      <c r="R21">
        <v>1234234.2342342329</v>
      </c>
      <c r="S21">
        <v>1215</v>
      </c>
      <c r="T21">
        <v>1424</v>
      </c>
    </row>
    <row r="22" spans="1:20" x14ac:dyDescent="0.35">
      <c r="A22" s="7" t="s">
        <v>77</v>
      </c>
      <c r="B22" s="12" t="s">
        <v>78</v>
      </c>
      <c r="C22">
        <v>51096488.982309185</v>
      </c>
      <c r="D22">
        <v>46784962.598705493</v>
      </c>
      <c r="E22">
        <v>15144234.234234236</v>
      </c>
      <c r="F22">
        <v>34508108.108108111</v>
      </c>
      <c r="G22">
        <v>12</v>
      </c>
      <c r="H22">
        <v>9</v>
      </c>
      <c r="K22">
        <v>13</v>
      </c>
      <c r="L22">
        <v>12</v>
      </c>
      <c r="M22">
        <v>5135225.2252252251</v>
      </c>
      <c r="N22">
        <v>5499099.0990990987</v>
      </c>
      <c r="O22">
        <v>15435180.180180181</v>
      </c>
      <c r="P22">
        <v>15554837.837837839</v>
      </c>
      <c r="Q22">
        <v>4495225.2252252242</v>
      </c>
      <c r="R22">
        <v>6591621.6216216208</v>
      </c>
      <c r="S22">
        <v>2406</v>
      </c>
      <c r="T22">
        <v>2386</v>
      </c>
    </row>
    <row r="23" spans="1:20" x14ac:dyDescent="0.35">
      <c r="A23" s="7" t="s">
        <v>79</v>
      </c>
      <c r="B23" s="12" t="s">
        <v>80</v>
      </c>
      <c r="C23">
        <v>473394902.4201684</v>
      </c>
      <c r="D23">
        <v>440529515.1139158</v>
      </c>
      <c r="E23">
        <v>604054.05405406095</v>
      </c>
      <c r="F23">
        <v>2509909.909909918</v>
      </c>
      <c r="G23">
        <v>124</v>
      </c>
      <c r="H23">
        <v>101</v>
      </c>
      <c r="I23">
        <v>2</v>
      </c>
      <c r="K23">
        <v>167</v>
      </c>
      <c r="L23">
        <v>142</v>
      </c>
      <c r="M23">
        <v>179695765.76576576</v>
      </c>
      <c r="N23">
        <v>49863063.063063063</v>
      </c>
      <c r="O23">
        <v>115897941.44144145</v>
      </c>
      <c r="P23">
        <v>112745245.49549548</v>
      </c>
      <c r="Q23">
        <v>36470630.630630635</v>
      </c>
      <c r="R23">
        <v>40506576.576576576</v>
      </c>
      <c r="S23">
        <v>26432</v>
      </c>
      <c r="T23">
        <v>27207</v>
      </c>
    </row>
    <row r="24" spans="1:20" x14ac:dyDescent="0.35">
      <c r="A24" s="7" t="s">
        <v>81</v>
      </c>
      <c r="B24" s="12" t="s">
        <v>54</v>
      </c>
      <c r="C24">
        <v>13510410.435921183</v>
      </c>
      <c r="D24">
        <v>13473098.822349764</v>
      </c>
      <c r="E24">
        <v>140540.540540541</v>
      </c>
      <c r="F24">
        <v>77477.477477477994</v>
      </c>
      <c r="G24">
        <v>4</v>
      </c>
      <c r="H24">
        <v>6</v>
      </c>
      <c r="K24">
        <v>6</v>
      </c>
      <c r="L24">
        <v>6</v>
      </c>
      <c r="M24">
        <v>735585.58558558498</v>
      </c>
      <c r="N24">
        <v>910810.810810811</v>
      </c>
      <c r="O24">
        <v>3195450.4504504511</v>
      </c>
      <c r="P24">
        <v>3176126.1261261259</v>
      </c>
      <c r="Q24">
        <v>981711.71171171195</v>
      </c>
      <c r="R24">
        <v>795765.76576576603</v>
      </c>
      <c r="S24">
        <v>1309</v>
      </c>
      <c r="T24">
        <v>1381</v>
      </c>
    </row>
    <row r="25" spans="1:20" x14ac:dyDescent="0.35">
      <c r="A25" s="7" t="s">
        <v>82</v>
      </c>
      <c r="B25" s="12" t="s">
        <v>83</v>
      </c>
      <c r="C25">
        <v>331275617.06359565</v>
      </c>
      <c r="D25">
        <v>319131923.6846081</v>
      </c>
      <c r="E25">
        <v>2140630.630630631</v>
      </c>
      <c r="F25">
        <v>2938963.9639639668</v>
      </c>
      <c r="G25">
        <v>56</v>
      </c>
      <c r="H25">
        <v>57</v>
      </c>
      <c r="I25">
        <v>1</v>
      </c>
      <c r="K25">
        <v>67</v>
      </c>
      <c r="L25">
        <v>65</v>
      </c>
      <c r="M25">
        <v>50482972.972972967</v>
      </c>
      <c r="N25">
        <v>85786936.93693693</v>
      </c>
      <c r="O25">
        <v>90944079.279279277</v>
      </c>
      <c r="P25">
        <v>89739743.243243247</v>
      </c>
      <c r="Q25">
        <v>44557927.927927926</v>
      </c>
      <c r="R25">
        <v>44126486.486486487</v>
      </c>
      <c r="S25">
        <v>15271</v>
      </c>
      <c r="T25">
        <v>15417</v>
      </c>
    </row>
    <row r="26" spans="1:20" x14ac:dyDescent="0.35">
      <c r="A26" s="7" t="s">
        <v>84</v>
      </c>
      <c r="B26" s="12" t="s">
        <v>85</v>
      </c>
      <c r="C26">
        <v>32460185.04308952</v>
      </c>
      <c r="D26">
        <v>34054510.721296906</v>
      </c>
      <c r="E26">
        <v>40540.540540542002</v>
      </c>
      <c r="F26">
        <v>817792.79279279604</v>
      </c>
      <c r="G26">
        <v>11</v>
      </c>
      <c r="H26">
        <v>21</v>
      </c>
      <c r="K26">
        <v>15</v>
      </c>
      <c r="L26">
        <v>21</v>
      </c>
      <c r="M26">
        <v>29952702.702702705</v>
      </c>
      <c r="N26">
        <v>52160360.360360362</v>
      </c>
      <c r="O26">
        <v>10455540.540540541</v>
      </c>
      <c r="P26">
        <v>12106135.135135137</v>
      </c>
      <c r="Q26">
        <v>22056756.756756756</v>
      </c>
      <c r="R26">
        <v>49156216.216216214</v>
      </c>
      <c r="S26">
        <v>2286</v>
      </c>
      <c r="T26">
        <v>2336</v>
      </c>
    </row>
    <row r="27" spans="1:20" x14ac:dyDescent="0.35">
      <c r="A27" s="7" t="s">
        <v>86</v>
      </c>
      <c r="B27" s="12" t="s">
        <v>87</v>
      </c>
      <c r="C27">
        <v>1304356.9252932221</v>
      </c>
      <c r="D27">
        <v>1156272.4780677371</v>
      </c>
      <c r="G27">
        <v>2</v>
      </c>
      <c r="H27">
        <v>1</v>
      </c>
      <c r="K27">
        <v>2</v>
      </c>
      <c r="L27">
        <v>1</v>
      </c>
      <c r="O27">
        <v>415090.09009009</v>
      </c>
      <c r="P27">
        <v>571630.630630631</v>
      </c>
      <c r="S27">
        <v>161</v>
      </c>
      <c r="T27">
        <v>154</v>
      </c>
    </row>
    <row r="28" spans="1:20" x14ac:dyDescent="0.35">
      <c r="A28" s="7" t="s">
        <v>88</v>
      </c>
      <c r="B28" s="12" t="s">
        <v>89</v>
      </c>
      <c r="C28">
        <v>66386969.953370757</v>
      </c>
      <c r="D28">
        <v>65895848.613981277</v>
      </c>
      <c r="E28">
        <v>6306.3063063059999</v>
      </c>
      <c r="F28">
        <v>610810.81081081298</v>
      </c>
      <c r="G28">
        <v>7</v>
      </c>
      <c r="H28">
        <v>11</v>
      </c>
      <c r="K28">
        <v>8</v>
      </c>
      <c r="L28">
        <v>12</v>
      </c>
      <c r="M28">
        <v>4793333.333333333</v>
      </c>
      <c r="N28">
        <v>11322522.522522524</v>
      </c>
      <c r="O28">
        <v>22309639.639639638</v>
      </c>
      <c r="P28">
        <v>22620612.612612613</v>
      </c>
      <c r="Q28">
        <v>3627297.2972972989</v>
      </c>
      <c r="R28">
        <v>10205405.405405404</v>
      </c>
      <c r="S28">
        <v>3427</v>
      </c>
      <c r="T28">
        <v>3276</v>
      </c>
    </row>
    <row r="29" spans="1:20" x14ac:dyDescent="0.35">
      <c r="A29" s="7" t="s">
        <v>90</v>
      </c>
      <c r="B29" s="12" t="s">
        <v>60</v>
      </c>
      <c r="C29">
        <v>22374330.718185097</v>
      </c>
      <c r="D29">
        <v>24803888.929643307</v>
      </c>
      <c r="E29">
        <v>7207.2072072069996</v>
      </c>
      <c r="F29">
        <v>41441.441441442999</v>
      </c>
      <c r="G29">
        <v>7</v>
      </c>
      <c r="H29">
        <v>3</v>
      </c>
      <c r="K29">
        <v>41</v>
      </c>
      <c r="L29">
        <v>41</v>
      </c>
      <c r="M29">
        <v>1232432.432432431</v>
      </c>
      <c r="N29">
        <v>2131531.5315315332</v>
      </c>
      <c r="O29">
        <v>12374369.369369371</v>
      </c>
      <c r="P29">
        <v>14361027.027027028</v>
      </c>
      <c r="Q29">
        <v>1490540.5405405399</v>
      </c>
      <c r="R29">
        <v>1978828.8288288291</v>
      </c>
      <c r="S29">
        <v>1610</v>
      </c>
      <c r="T29">
        <v>2044</v>
      </c>
    </row>
    <row r="30" spans="1:20" x14ac:dyDescent="0.35">
      <c r="A30" s="7" t="s">
        <v>91</v>
      </c>
      <c r="B30" s="12" t="s">
        <v>92</v>
      </c>
      <c r="C30">
        <v>19635666.703528464</v>
      </c>
      <c r="D30">
        <v>19928871.768156052</v>
      </c>
      <c r="F30">
        <v>1170270.270270271</v>
      </c>
      <c r="G30">
        <v>4</v>
      </c>
      <c r="H30">
        <v>4</v>
      </c>
      <c r="K30">
        <v>5</v>
      </c>
      <c r="L30">
        <v>7</v>
      </c>
      <c r="M30">
        <v>60540.540540540998</v>
      </c>
      <c r="N30">
        <v>10323423.423423424</v>
      </c>
      <c r="O30">
        <v>6565315.3153153146</v>
      </c>
      <c r="P30">
        <v>5995972.9729729732</v>
      </c>
      <c r="Q30">
        <v>60540.540540540998</v>
      </c>
      <c r="R30">
        <v>10513513.513513515</v>
      </c>
      <c r="S30">
        <v>1045</v>
      </c>
      <c r="T30">
        <v>1076</v>
      </c>
    </row>
    <row r="31" spans="1:20" x14ac:dyDescent="0.35">
      <c r="A31" s="7" t="s">
        <v>93</v>
      </c>
      <c r="B31" s="12" t="s">
        <v>94</v>
      </c>
      <c r="C31">
        <v>88174385.278688863</v>
      </c>
      <c r="D31">
        <v>81531428.1419871</v>
      </c>
      <c r="E31">
        <v>8108.1081081089997</v>
      </c>
      <c r="F31">
        <v>108108.10810810899</v>
      </c>
      <c r="G31">
        <v>21</v>
      </c>
      <c r="H31">
        <v>14</v>
      </c>
      <c r="K31">
        <v>26</v>
      </c>
      <c r="L31">
        <v>17</v>
      </c>
      <c r="M31">
        <v>10199099.0990991</v>
      </c>
      <c r="N31">
        <v>8445945.9459459465</v>
      </c>
      <c r="O31">
        <v>12685135.135135137</v>
      </c>
      <c r="P31">
        <v>12764061.261261262</v>
      </c>
      <c r="Q31">
        <v>9369819.8198198192</v>
      </c>
      <c r="R31">
        <v>8963153.1531531531</v>
      </c>
      <c r="S31">
        <v>4475</v>
      </c>
      <c r="T31">
        <v>4206</v>
      </c>
    </row>
    <row r="32" spans="1:20" x14ac:dyDescent="0.35">
      <c r="A32" s="7" t="s">
        <v>95</v>
      </c>
      <c r="B32" s="12" t="s">
        <v>96</v>
      </c>
      <c r="C32">
        <v>89257430.883912981</v>
      </c>
      <c r="D32">
        <v>85161161.621712446</v>
      </c>
      <c r="E32">
        <v>25473796.396396399</v>
      </c>
      <c r="F32">
        <v>44456380.180180185</v>
      </c>
      <c r="G32">
        <v>20</v>
      </c>
      <c r="H32">
        <v>20</v>
      </c>
      <c r="K32">
        <v>25</v>
      </c>
      <c r="L32">
        <v>21</v>
      </c>
      <c r="M32">
        <v>10270090.090090092</v>
      </c>
      <c r="N32">
        <v>43316972.972972974</v>
      </c>
      <c r="O32">
        <v>40982828.828828834</v>
      </c>
      <c r="P32">
        <v>41903306.306306303</v>
      </c>
      <c r="Q32">
        <v>11866846.846846843</v>
      </c>
      <c r="R32">
        <v>12887927.92792793</v>
      </c>
      <c r="S32">
        <v>6029</v>
      </c>
      <c r="T32">
        <v>5989</v>
      </c>
    </row>
    <row r="33" spans="1:20" x14ac:dyDescent="0.35">
      <c r="A33" s="7" t="s">
        <v>97</v>
      </c>
      <c r="B33" s="12" t="s">
        <v>98</v>
      </c>
      <c r="C33">
        <v>317957357.50560886</v>
      </c>
      <c r="D33">
        <v>316205566.1374858</v>
      </c>
      <c r="E33">
        <v>978468.46846847201</v>
      </c>
      <c r="F33">
        <v>1509909.909909911</v>
      </c>
      <c r="G33">
        <v>132</v>
      </c>
      <c r="H33">
        <v>108</v>
      </c>
      <c r="K33">
        <v>152</v>
      </c>
      <c r="L33">
        <v>139</v>
      </c>
      <c r="M33">
        <v>37122792.79279279</v>
      </c>
      <c r="N33">
        <v>44257927.927927926</v>
      </c>
      <c r="O33">
        <v>81622414.414414421</v>
      </c>
      <c r="P33">
        <v>81384810.810810819</v>
      </c>
      <c r="Q33">
        <v>35030630.630630635</v>
      </c>
      <c r="R33">
        <v>39081621.621621624</v>
      </c>
      <c r="S33">
        <v>22445</v>
      </c>
      <c r="T33">
        <v>21628</v>
      </c>
    </row>
    <row r="34" spans="1:20" x14ac:dyDescent="0.35">
      <c r="A34" s="7" t="s">
        <v>99</v>
      </c>
      <c r="B34" s="12" t="s">
        <v>98</v>
      </c>
      <c r="C34">
        <v>525423523.82830715</v>
      </c>
      <c r="D34">
        <v>513079207.28340816</v>
      </c>
      <c r="E34">
        <v>443019.819819825</v>
      </c>
      <c r="F34">
        <v>2164118.9189189239</v>
      </c>
      <c r="G34">
        <v>135</v>
      </c>
      <c r="H34">
        <v>126</v>
      </c>
      <c r="K34">
        <v>192</v>
      </c>
      <c r="L34">
        <v>191</v>
      </c>
      <c r="M34">
        <v>30679774.774774767</v>
      </c>
      <c r="N34">
        <v>30952252.252252251</v>
      </c>
      <c r="O34">
        <v>99649148.648648649</v>
      </c>
      <c r="P34">
        <v>100419527.02702703</v>
      </c>
      <c r="Q34">
        <v>33137252.252252247</v>
      </c>
      <c r="R34">
        <v>30046846.846846845</v>
      </c>
      <c r="S34">
        <v>27931</v>
      </c>
      <c r="T34">
        <v>29562</v>
      </c>
    </row>
    <row r="35" spans="1:20" x14ac:dyDescent="0.35">
      <c r="A35" s="7" t="s">
        <v>100</v>
      </c>
      <c r="B35" s="12" t="s">
        <v>98</v>
      </c>
      <c r="C35">
        <v>503581585.69066197</v>
      </c>
      <c r="D35">
        <v>498946143.69290513</v>
      </c>
      <c r="E35">
        <v>1327927.9279279329</v>
      </c>
      <c r="F35">
        <v>4864864.864864869</v>
      </c>
      <c r="G35">
        <v>100</v>
      </c>
      <c r="H35">
        <v>119</v>
      </c>
      <c r="K35">
        <v>191</v>
      </c>
      <c r="L35">
        <v>194</v>
      </c>
      <c r="M35">
        <v>480051306.3063063</v>
      </c>
      <c r="N35">
        <v>51929504.504504502</v>
      </c>
      <c r="O35">
        <v>100678457.65765767</v>
      </c>
      <c r="P35">
        <v>107498542.79279278</v>
      </c>
      <c r="Q35">
        <v>474122250.45045042</v>
      </c>
      <c r="R35">
        <v>47583738.738738738</v>
      </c>
      <c r="S35">
        <v>33014</v>
      </c>
      <c r="T35">
        <v>34455</v>
      </c>
    </row>
    <row r="36" spans="1:20" x14ac:dyDescent="0.35">
      <c r="A36" s="7" t="s">
        <v>101</v>
      </c>
      <c r="B36" s="12" t="s">
        <v>98</v>
      </c>
      <c r="C36">
        <v>300091642.70218694</v>
      </c>
      <c r="D36">
        <v>295660927.05258292</v>
      </c>
      <c r="E36">
        <v>354954.95495495503</v>
      </c>
      <c r="F36">
        <v>1087387.38738739</v>
      </c>
      <c r="G36">
        <v>86</v>
      </c>
      <c r="H36">
        <v>71</v>
      </c>
      <c r="I36">
        <v>1</v>
      </c>
      <c r="K36">
        <v>115</v>
      </c>
      <c r="L36">
        <v>102</v>
      </c>
      <c r="M36">
        <v>20423603.603603601</v>
      </c>
      <c r="N36">
        <v>20655855.855855856</v>
      </c>
      <c r="O36">
        <v>64392493.693693697</v>
      </c>
      <c r="P36">
        <v>66910747.747747742</v>
      </c>
      <c r="Q36">
        <v>24172342.342342343</v>
      </c>
      <c r="R36">
        <v>21844954.954954952</v>
      </c>
      <c r="S36">
        <v>21783</v>
      </c>
      <c r="T36">
        <v>21322</v>
      </c>
    </row>
    <row r="37" spans="1:20" x14ac:dyDescent="0.35">
      <c r="A37" s="7" t="s">
        <v>102</v>
      </c>
      <c r="B37" s="12" t="s">
        <v>98</v>
      </c>
      <c r="C37">
        <v>335390276.12056535</v>
      </c>
      <c r="D37">
        <v>332129434.49993539</v>
      </c>
      <c r="E37">
        <v>1071666.66666667</v>
      </c>
      <c r="F37">
        <v>3563963.963963971</v>
      </c>
      <c r="G37">
        <v>53</v>
      </c>
      <c r="H37">
        <v>77</v>
      </c>
      <c r="I37">
        <v>1</v>
      </c>
      <c r="K37">
        <v>64</v>
      </c>
      <c r="L37">
        <v>95</v>
      </c>
      <c r="M37">
        <v>58101351.351351343</v>
      </c>
      <c r="N37">
        <v>37309009.009009011</v>
      </c>
      <c r="O37">
        <v>94404709.909909904</v>
      </c>
      <c r="P37">
        <v>96462207.207207218</v>
      </c>
      <c r="Q37">
        <v>51208738.738738738</v>
      </c>
      <c r="R37">
        <v>58181621.621621624</v>
      </c>
      <c r="S37">
        <v>25025</v>
      </c>
      <c r="T37">
        <v>24986</v>
      </c>
    </row>
    <row r="38" spans="1:20" x14ac:dyDescent="0.35">
      <c r="A38" s="7" t="s">
        <v>103</v>
      </c>
      <c r="B38" s="12" t="s">
        <v>98</v>
      </c>
      <c r="C38">
        <v>859686071.58817375</v>
      </c>
      <c r="D38">
        <v>857303513.63792086</v>
      </c>
      <c r="E38">
        <v>488868052.25225228</v>
      </c>
      <c r="F38">
        <v>184052009.90990993</v>
      </c>
      <c r="G38">
        <v>201</v>
      </c>
      <c r="H38">
        <v>204</v>
      </c>
      <c r="I38">
        <v>5</v>
      </c>
      <c r="K38">
        <v>263</v>
      </c>
      <c r="L38">
        <v>285</v>
      </c>
      <c r="M38">
        <v>81435765.765765756</v>
      </c>
      <c r="N38">
        <v>89137837.837837845</v>
      </c>
      <c r="O38">
        <v>172902989.1891892</v>
      </c>
      <c r="P38">
        <v>181261675.67567569</v>
      </c>
      <c r="Q38">
        <v>70366079.279279277</v>
      </c>
      <c r="R38">
        <v>81281171.171171173</v>
      </c>
      <c r="S38">
        <v>55453</v>
      </c>
      <c r="T38">
        <v>54108</v>
      </c>
    </row>
    <row r="39" spans="1:20" x14ac:dyDescent="0.35">
      <c r="A39" s="7" t="s">
        <v>104</v>
      </c>
      <c r="B39" s="12" t="s">
        <v>105</v>
      </c>
      <c r="C39">
        <v>65365122.132667527</v>
      </c>
      <c r="D39">
        <v>56459050.705464631</v>
      </c>
      <c r="E39">
        <v>186486.48648648601</v>
      </c>
      <c r="F39">
        <v>364864.86486486503</v>
      </c>
      <c r="G39">
        <v>9</v>
      </c>
      <c r="H39">
        <v>13</v>
      </c>
      <c r="K39">
        <v>12</v>
      </c>
      <c r="L39">
        <v>14</v>
      </c>
      <c r="M39">
        <v>1028828.8288288279</v>
      </c>
      <c r="N39">
        <v>364864.86486486503</v>
      </c>
      <c r="O39">
        <v>11788513.513513513</v>
      </c>
      <c r="P39">
        <v>11835432.432432432</v>
      </c>
      <c r="Q39">
        <v>870180.18018018105</v>
      </c>
      <c r="R39">
        <v>400000</v>
      </c>
      <c r="S39">
        <v>2519</v>
      </c>
      <c r="T39">
        <v>2440</v>
      </c>
    </row>
    <row r="40" spans="1:20" x14ac:dyDescent="0.35">
      <c r="A40" s="7" t="s">
        <v>106</v>
      </c>
      <c r="B40" s="12" t="s">
        <v>54</v>
      </c>
      <c r="C40">
        <v>20432937.236096408</v>
      </c>
      <c r="D40">
        <v>19497750.668904804</v>
      </c>
      <c r="E40">
        <v>2702.7027027029999</v>
      </c>
      <c r="F40">
        <v>8108.1081081080001</v>
      </c>
      <c r="G40">
        <v>2</v>
      </c>
      <c r="H40">
        <v>6</v>
      </c>
      <c r="K40">
        <v>6</v>
      </c>
      <c r="L40">
        <v>6</v>
      </c>
      <c r="M40">
        <v>408108.10810810799</v>
      </c>
      <c r="N40">
        <v>571711.71171171195</v>
      </c>
      <c r="O40">
        <v>4788693.6936936937</v>
      </c>
      <c r="P40">
        <v>5470378.3783783792</v>
      </c>
      <c r="Q40">
        <v>902072.07207207195</v>
      </c>
      <c r="R40">
        <v>840270.27027027099</v>
      </c>
      <c r="S40">
        <v>1392</v>
      </c>
      <c r="T40">
        <v>1352</v>
      </c>
    </row>
    <row r="41" spans="1:20" x14ac:dyDescent="0.35">
      <c r="A41" s="7" t="s">
        <v>107</v>
      </c>
      <c r="B41" s="12" t="s">
        <v>108</v>
      </c>
      <c r="C41">
        <v>168308874.06725383</v>
      </c>
      <c r="D41">
        <v>162867875.59547514</v>
      </c>
      <c r="E41">
        <v>518198.19819820201</v>
      </c>
      <c r="F41">
        <v>2248648.6486486499</v>
      </c>
      <c r="G41">
        <v>40</v>
      </c>
      <c r="H41">
        <v>44</v>
      </c>
      <c r="K41">
        <v>55</v>
      </c>
      <c r="L41">
        <v>64</v>
      </c>
      <c r="M41">
        <v>15405585.585585585</v>
      </c>
      <c r="N41">
        <v>21608108.108108107</v>
      </c>
      <c r="O41">
        <v>35926978.378378376</v>
      </c>
      <c r="P41">
        <v>37733540.540540546</v>
      </c>
      <c r="Q41">
        <v>13271891.891891891</v>
      </c>
      <c r="R41">
        <v>19403333.333333336</v>
      </c>
      <c r="S41">
        <v>10034</v>
      </c>
      <c r="T41">
        <v>9887</v>
      </c>
    </row>
    <row r="42" spans="1:20" x14ac:dyDescent="0.35">
      <c r="A42" s="7" t="s">
        <v>109</v>
      </c>
      <c r="B42" s="12" t="s">
        <v>108</v>
      </c>
      <c r="C42">
        <v>226495717.3213059</v>
      </c>
      <c r="D42">
        <v>234479357.33662587</v>
      </c>
      <c r="E42">
        <v>3216666.6666666679</v>
      </c>
      <c r="F42">
        <v>1577477.4774774809</v>
      </c>
      <c r="G42">
        <v>38</v>
      </c>
      <c r="H42">
        <v>72</v>
      </c>
      <c r="K42">
        <v>51</v>
      </c>
      <c r="L42">
        <v>114</v>
      </c>
      <c r="M42">
        <v>193404054.05405405</v>
      </c>
      <c r="N42">
        <v>17022162.162162159</v>
      </c>
      <c r="O42">
        <v>56831193.693693697</v>
      </c>
      <c r="P42">
        <v>64039639.639639638</v>
      </c>
      <c r="Q42">
        <v>181844234.23423424</v>
      </c>
      <c r="R42">
        <v>30702342.342342336</v>
      </c>
      <c r="S42">
        <v>13763</v>
      </c>
      <c r="T42">
        <v>14793</v>
      </c>
    </row>
    <row r="43" spans="1:20" x14ac:dyDescent="0.35">
      <c r="A43" s="7" t="s">
        <v>110</v>
      </c>
      <c r="B43" s="12" t="s">
        <v>111</v>
      </c>
      <c r="C43">
        <v>281912482.91183841</v>
      </c>
      <c r="D43">
        <v>268531376.52165139</v>
      </c>
      <c r="E43">
        <v>1171261.2612612641</v>
      </c>
      <c r="F43">
        <v>3585585.5855855881</v>
      </c>
      <c r="G43">
        <v>45</v>
      </c>
      <c r="H43">
        <v>67</v>
      </c>
      <c r="K43">
        <v>58</v>
      </c>
      <c r="L43">
        <v>163</v>
      </c>
      <c r="M43">
        <v>19949009.009009007</v>
      </c>
      <c r="N43">
        <v>27266871.17117117</v>
      </c>
      <c r="O43">
        <v>85765432.432432428</v>
      </c>
      <c r="P43">
        <v>92038333.333333328</v>
      </c>
      <c r="Q43">
        <v>20349549.54954955</v>
      </c>
      <c r="R43">
        <v>27433873.873873871</v>
      </c>
      <c r="S43">
        <v>19778</v>
      </c>
      <c r="T43">
        <v>19871</v>
      </c>
    </row>
    <row r="44" spans="1:20" x14ac:dyDescent="0.35">
      <c r="A44" s="7" t="s">
        <v>112</v>
      </c>
      <c r="B44" s="12" t="s">
        <v>111</v>
      </c>
      <c r="C44">
        <v>347024018.40973687</v>
      </c>
      <c r="D44">
        <v>351257635.78384852</v>
      </c>
      <c r="E44">
        <v>8264324.3243243294</v>
      </c>
      <c r="F44">
        <v>5496396.3963964013</v>
      </c>
      <c r="G44">
        <v>68</v>
      </c>
      <c r="H44">
        <v>130</v>
      </c>
      <c r="I44">
        <v>1</v>
      </c>
      <c r="K44">
        <v>91</v>
      </c>
      <c r="L44">
        <v>198</v>
      </c>
      <c r="M44">
        <v>26331891.891891889</v>
      </c>
      <c r="N44">
        <v>32042445.045045048</v>
      </c>
      <c r="O44">
        <v>114889504.5045045</v>
      </c>
      <c r="P44">
        <v>126606252.25225225</v>
      </c>
      <c r="Q44">
        <v>20751351.351351351</v>
      </c>
      <c r="R44">
        <v>32202882.882882889</v>
      </c>
      <c r="S44">
        <v>27119</v>
      </c>
      <c r="T44">
        <v>27086</v>
      </c>
    </row>
    <row r="45" spans="1:20" x14ac:dyDescent="0.35">
      <c r="A45" s="7" t="s">
        <v>113</v>
      </c>
      <c r="B45" s="12" t="s">
        <v>111</v>
      </c>
      <c r="C45">
        <v>240432070.77166626</v>
      </c>
      <c r="D45">
        <v>242219511.63139778</v>
      </c>
      <c r="E45">
        <v>7234234.234234238</v>
      </c>
      <c r="F45">
        <v>2043018.018018028</v>
      </c>
      <c r="G45">
        <v>55</v>
      </c>
      <c r="H45">
        <v>87</v>
      </c>
      <c r="I45">
        <v>1</v>
      </c>
      <c r="K45">
        <v>63</v>
      </c>
      <c r="L45">
        <v>182</v>
      </c>
      <c r="M45">
        <v>18335675.675675675</v>
      </c>
      <c r="N45">
        <v>17019746.846846845</v>
      </c>
      <c r="O45">
        <v>72219567.567567572</v>
      </c>
      <c r="P45">
        <v>78190142.342342332</v>
      </c>
      <c r="Q45">
        <v>15633423.423423421</v>
      </c>
      <c r="R45">
        <v>18739549.54954955</v>
      </c>
      <c r="S45">
        <v>13881</v>
      </c>
      <c r="T45">
        <v>15553</v>
      </c>
    </row>
    <row r="46" spans="1:20" x14ac:dyDescent="0.35">
      <c r="A46" s="7" t="s">
        <v>114</v>
      </c>
      <c r="B46" s="12" t="s">
        <v>111</v>
      </c>
      <c r="C46">
        <v>277396895.04535943</v>
      </c>
      <c r="D46">
        <v>282114917.78403968</v>
      </c>
      <c r="E46">
        <v>25295045.045045048</v>
      </c>
      <c r="F46">
        <v>85283468.468468487</v>
      </c>
      <c r="G46">
        <v>69</v>
      </c>
      <c r="H46">
        <v>101</v>
      </c>
      <c r="I46">
        <v>4</v>
      </c>
      <c r="K46">
        <v>98</v>
      </c>
      <c r="L46">
        <v>229</v>
      </c>
      <c r="M46">
        <v>18279729.729729727</v>
      </c>
      <c r="N46">
        <v>29836396.396396399</v>
      </c>
      <c r="O46">
        <v>75956423.423423424</v>
      </c>
      <c r="P46">
        <v>77022567.567567572</v>
      </c>
      <c r="Q46">
        <v>18218468.468468465</v>
      </c>
      <c r="R46">
        <v>24387117.117117122</v>
      </c>
      <c r="S46">
        <v>19668</v>
      </c>
      <c r="T46">
        <v>20282</v>
      </c>
    </row>
    <row r="47" spans="1:20" x14ac:dyDescent="0.35">
      <c r="A47" s="7" t="s">
        <v>115</v>
      </c>
      <c r="B47" s="12" t="s">
        <v>111</v>
      </c>
      <c r="C47">
        <v>359983207.86187369</v>
      </c>
      <c r="D47">
        <v>329296975.77815825</v>
      </c>
      <c r="E47">
        <v>2925554.954954959</v>
      </c>
      <c r="F47">
        <v>9620901.8018018082</v>
      </c>
      <c r="G47">
        <v>119</v>
      </c>
      <c r="H47">
        <v>165</v>
      </c>
      <c r="K47">
        <v>156</v>
      </c>
      <c r="L47">
        <v>290</v>
      </c>
      <c r="M47">
        <v>28081171.171171159</v>
      </c>
      <c r="N47">
        <v>96966276.576576576</v>
      </c>
      <c r="O47">
        <v>86328639.639639646</v>
      </c>
      <c r="P47">
        <v>91990036.036036029</v>
      </c>
      <c r="Q47">
        <v>48983153.153153144</v>
      </c>
      <c r="R47">
        <v>65795405.405405402</v>
      </c>
      <c r="S47">
        <v>25097</v>
      </c>
      <c r="T47">
        <v>23272</v>
      </c>
    </row>
    <row r="48" spans="1:20" x14ac:dyDescent="0.35">
      <c r="A48" s="7" t="s">
        <v>116</v>
      </c>
      <c r="B48" s="12" t="s">
        <v>54</v>
      </c>
      <c r="C48">
        <v>18911802.950238653</v>
      </c>
      <c r="D48">
        <v>18208724.018285211</v>
      </c>
      <c r="E48">
        <v>300900.900900901</v>
      </c>
      <c r="F48">
        <v>346621.62162162201</v>
      </c>
      <c r="G48">
        <v>1</v>
      </c>
      <c r="H48">
        <v>4</v>
      </c>
      <c r="K48">
        <v>1</v>
      </c>
      <c r="L48">
        <v>6</v>
      </c>
      <c r="M48">
        <v>1580180.1801801811</v>
      </c>
      <c r="N48">
        <v>1608108.1081081079</v>
      </c>
      <c r="O48">
        <v>4463603.6036036042</v>
      </c>
      <c r="P48">
        <v>4342189.1891891891</v>
      </c>
      <c r="Q48">
        <v>1560450.4504504499</v>
      </c>
      <c r="R48">
        <v>1350540.5405405399</v>
      </c>
      <c r="S48">
        <v>1039</v>
      </c>
      <c r="T48">
        <v>983</v>
      </c>
    </row>
    <row r="49" spans="1:20" x14ac:dyDescent="0.35">
      <c r="A49" s="7" t="s">
        <v>118</v>
      </c>
      <c r="B49" s="12" t="s">
        <v>78</v>
      </c>
      <c r="C49">
        <v>163098491.40982276</v>
      </c>
      <c r="D49">
        <v>157403299.98037666</v>
      </c>
      <c r="E49">
        <v>91482519.819819823</v>
      </c>
      <c r="F49">
        <v>263114143.24324322</v>
      </c>
      <c r="G49">
        <v>37</v>
      </c>
      <c r="H49">
        <v>39</v>
      </c>
      <c r="I49">
        <v>1</v>
      </c>
      <c r="K49">
        <v>51</v>
      </c>
      <c r="L49">
        <v>74</v>
      </c>
      <c r="M49">
        <v>23163693.693693686</v>
      </c>
      <c r="N49">
        <v>45537387.387387395</v>
      </c>
      <c r="O49">
        <v>59336567.567567565</v>
      </c>
      <c r="P49">
        <v>63760162.162162162</v>
      </c>
      <c r="Q49">
        <v>23024504.504504509</v>
      </c>
      <c r="R49">
        <v>42781981.981981985</v>
      </c>
      <c r="S49">
        <v>11658</v>
      </c>
      <c r="T49">
        <v>11574</v>
      </c>
    </row>
    <row r="50" spans="1:20" x14ac:dyDescent="0.35">
      <c r="A50" s="7" t="s">
        <v>119</v>
      </c>
      <c r="B50" s="12" t="s">
        <v>50</v>
      </c>
      <c r="C50">
        <v>51806924.583940595</v>
      </c>
      <c r="D50">
        <v>50062377.276580863</v>
      </c>
      <c r="E50">
        <v>13513.513513514001</v>
      </c>
      <c r="F50">
        <v>677477.47747747903</v>
      </c>
      <c r="G50">
        <v>10</v>
      </c>
      <c r="H50">
        <v>14</v>
      </c>
      <c r="K50">
        <v>13</v>
      </c>
      <c r="L50">
        <v>16</v>
      </c>
      <c r="M50">
        <v>10646216.21621622</v>
      </c>
      <c r="N50">
        <v>7728378.3783783801</v>
      </c>
      <c r="O50">
        <v>17196711.711711712</v>
      </c>
      <c r="P50">
        <v>17883720.72072072</v>
      </c>
      <c r="Q50">
        <v>10641621.621621624</v>
      </c>
      <c r="R50">
        <v>5817027.0270270258</v>
      </c>
      <c r="S50">
        <v>2503</v>
      </c>
      <c r="T50">
        <v>2423</v>
      </c>
    </row>
    <row r="51" spans="1:20" x14ac:dyDescent="0.35">
      <c r="A51" s="7" t="s">
        <v>120</v>
      </c>
      <c r="B51" s="12" t="s">
        <v>121</v>
      </c>
      <c r="C51">
        <v>187960132.96474352</v>
      </c>
      <c r="D51">
        <v>166154012.79216126</v>
      </c>
      <c r="E51">
        <v>480180.18018018198</v>
      </c>
      <c r="F51">
        <v>1310135.135135141</v>
      </c>
      <c r="G51">
        <v>62</v>
      </c>
      <c r="H51">
        <v>59</v>
      </c>
      <c r="K51">
        <v>72</v>
      </c>
      <c r="L51">
        <v>81</v>
      </c>
      <c r="M51">
        <v>3885585.5855855872</v>
      </c>
      <c r="N51">
        <v>6327027.0270270323</v>
      </c>
      <c r="O51">
        <v>12157369.369369367</v>
      </c>
      <c r="P51">
        <v>12177504.504504504</v>
      </c>
      <c r="Q51">
        <v>4928198.1981981955</v>
      </c>
      <c r="R51">
        <v>4505225.2252252251</v>
      </c>
      <c r="S51">
        <v>8197</v>
      </c>
      <c r="T51">
        <v>7981</v>
      </c>
    </row>
    <row r="52" spans="1:20" x14ac:dyDescent="0.35">
      <c r="A52" s="7" t="s">
        <v>122</v>
      </c>
      <c r="B52" s="12" t="s">
        <v>123</v>
      </c>
      <c r="C52">
        <v>82686471.875552163</v>
      </c>
      <c r="D52">
        <v>83868345.835986525</v>
      </c>
      <c r="E52">
        <v>308558.558558558</v>
      </c>
      <c r="F52">
        <v>450225.22522522602</v>
      </c>
      <c r="G52">
        <v>5</v>
      </c>
      <c r="H52">
        <v>13</v>
      </c>
      <c r="K52">
        <v>7</v>
      </c>
      <c r="L52">
        <v>14</v>
      </c>
      <c r="M52">
        <v>24560450.45045045</v>
      </c>
      <c r="N52">
        <v>15470270.270270269</v>
      </c>
      <c r="O52">
        <v>36413556.75675676</v>
      </c>
      <c r="P52">
        <v>37204072.072072074</v>
      </c>
      <c r="Q52">
        <v>23788828.828828827</v>
      </c>
      <c r="R52">
        <v>15892072.072072074</v>
      </c>
      <c r="S52">
        <v>4447</v>
      </c>
      <c r="T52">
        <v>4414</v>
      </c>
    </row>
    <row r="53" spans="1:20" x14ac:dyDescent="0.35">
      <c r="A53" s="7" t="s">
        <v>124</v>
      </c>
      <c r="B53" s="12" t="s">
        <v>125</v>
      </c>
      <c r="C53">
        <v>121077016.46659957</v>
      </c>
      <c r="D53">
        <v>110723547.55875999</v>
      </c>
      <c r="E53">
        <v>9648288.2882882878</v>
      </c>
      <c r="F53">
        <v>33614864.864864871</v>
      </c>
      <c r="G53">
        <v>13</v>
      </c>
      <c r="H53">
        <v>22</v>
      </c>
      <c r="K53">
        <v>14</v>
      </c>
      <c r="L53">
        <v>26</v>
      </c>
      <c r="M53">
        <v>47371801.801801808</v>
      </c>
      <c r="N53">
        <v>22371846.846846849</v>
      </c>
      <c r="O53">
        <v>34149765.765765771</v>
      </c>
      <c r="P53">
        <v>33771439.639639638</v>
      </c>
      <c r="Q53">
        <v>41197207.20720721</v>
      </c>
      <c r="R53">
        <v>25128421.62162162</v>
      </c>
      <c r="S53">
        <v>6562</v>
      </c>
      <c r="T53">
        <v>6254</v>
      </c>
    </row>
    <row r="54" spans="1:20" x14ac:dyDescent="0.35">
      <c r="A54" s="7" t="s">
        <v>126</v>
      </c>
      <c r="B54" s="12" t="s">
        <v>78</v>
      </c>
      <c r="C54">
        <v>78621704.929011822</v>
      </c>
      <c r="D54">
        <v>72487656.716711804</v>
      </c>
      <c r="E54">
        <v>706936.93693693797</v>
      </c>
      <c r="F54">
        <v>1230630.6306306289</v>
      </c>
      <c r="G54">
        <v>10</v>
      </c>
      <c r="H54">
        <v>20</v>
      </c>
      <c r="K54">
        <v>13</v>
      </c>
      <c r="L54">
        <v>24</v>
      </c>
      <c r="M54">
        <v>12652882.88288288</v>
      </c>
      <c r="N54">
        <v>11464864.864864863</v>
      </c>
      <c r="O54">
        <v>28845324.324324325</v>
      </c>
      <c r="P54">
        <v>29002207.207207207</v>
      </c>
      <c r="Q54">
        <v>12697297.297297295</v>
      </c>
      <c r="R54">
        <v>12566756.756756756</v>
      </c>
      <c r="S54">
        <v>4944</v>
      </c>
      <c r="T54">
        <v>4921</v>
      </c>
    </row>
    <row r="55" spans="1:20" x14ac:dyDescent="0.35">
      <c r="A55" s="7" t="s">
        <v>127</v>
      </c>
      <c r="B55" s="12" t="s">
        <v>78</v>
      </c>
      <c r="C55">
        <v>14446668.478076268</v>
      </c>
      <c r="D55">
        <v>11908185.311659072</v>
      </c>
      <c r="E55">
        <v>8558.5585585589997</v>
      </c>
      <c r="F55">
        <v>282882.88288288499</v>
      </c>
      <c r="G55">
        <v>3</v>
      </c>
      <c r="H55">
        <v>5</v>
      </c>
      <c r="I55">
        <v>1</v>
      </c>
      <c r="K55">
        <v>3</v>
      </c>
      <c r="L55">
        <v>6</v>
      </c>
      <c r="M55">
        <v>1900450.450450449</v>
      </c>
      <c r="N55">
        <v>4544144.1441441439</v>
      </c>
      <c r="O55">
        <v>7188648.6486486495</v>
      </c>
      <c r="P55">
        <v>6383810.8108108109</v>
      </c>
      <c r="Q55">
        <v>2072342.3423423411</v>
      </c>
      <c r="R55">
        <v>5828918.9189189188</v>
      </c>
      <c r="S55">
        <v>1247</v>
      </c>
      <c r="T55">
        <v>1111</v>
      </c>
    </row>
    <row r="56" spans="1:20" x14ac:dyDescent="0.35">
      <c r="A56" s="7" t="s">
        <v>128</v>
      </c>
      <c r="B56" s="12" t="s">
        <v>78</v>
      </c>
      <c r="C56">
        <v>75317878.998677149</v>
      </c>
      <c r="D56">
        <v>71468178.965755016</v>
      </c>
      <c r="E56">
        <v>641441.44144144095</v>
      </c>
      <c r="F56">
        <v>525225.225225228</v>
      </c>
      <c r="G56">
        <v>25</v>
      </c>
      <c r="H56">
        <v>33</v>
      </c>
      <c r="I56">
        <v>1</v>
      </c>
      <c r="K56">
        <v>30</v>
      </c>
      <c r="L56">
        <v>56</v>
      </c>
      <c r="M56">
        <v>7848648.6486486467</v>
      </c>
      <c r="N56">
        <v>7786486.4864864871</v>
      </c>
      <c r="O56">
        <v>27332666.666666664</v>
      </c>
      <c r="P56">
        <v>28232927.927927926</v>
      </c>
      <c r="Q56">
        <v>6981981.9819819815</v>
      </c>
      <c r="R56">
        <v>7220720.7207207223</v>
      </c>
      <c r="S56">
        <v>5807</v>
      </c>
      <c r="T56">
        <v>5751</v>
      </c>
    </row>
    <row r="57" spans="1:20" x14ac:dyDescent="0.35">
      <c r="A57" s="7" t="s">
        <v>129</v>
      </c>
      <c r="B57" s="12" t="s">
        <v>85</v>
      </c>
      <c r="C57">
        <v>23797425.67687783</v>
      </c>
      <c r="D57">
        <v>23597906.663240947</v>
      </c>
      <c r="E57">
        <v>8108.1081081080001</v>
      </c>
      <c r="F57">
        <v>69369.369369370004</v>
      </c>
      <c r="G57">
        <v>7</v>
      </c>
      <c r="H57">
        <v>5</v>
      </c>
      <c r="K57">
        <v>7</v>
      </c>
      <c r="L57">
        <v>6</v>
      </c>
      <c r="M57">
        <v>13269369.369369367</v>
      </c>
      <c r="N57">
        <v>17212612.612612613</v>
      </c>
      <c r="O57">
        <v>10106126.126126125</v>
      </c>
      <c r="P57">
        <v>10963549.549549548</v>
      </c>
      <c r="Q57">
        <v>8755495.4954954945</v>
      </c>
      <c r="R57">
        <v>14092702.702702705</v>
      </c>
      <c r="S57">
        <v>1257</v>
      </c>
      <c r="T57">
        <v>1236</v>
      </c>
    </row>
    <row r="58" spans="1:20" x14ac:dyDescent="0.35">
      <c r="A58" s="7" t="s">
        <v>130</v>
      </c>
      <c r="B58" s="12" t="s">
        <v>89</v>
      </c>
      <c r="C58">
        <v>208794199.41084993</v>
      </c>
      <c r="D58">
        <v>195919814.08487636</v>
      </c>
      <c r="E58">
        <v>812612.61261261301</v>
      </c>
      <c r="F58">
        <v>850900.90090090397</v>
      </c>
      <c r="G58">
        <v>21</v>
      </c>
      <c r="H58">
        <v>32</v>
      </c>
      <c r="K58">
        <v>28</v>
      </c>
      <c r="L58">
        <v>38</v>
      </c>
      <c r="M58">
        <v>9227927.9279279243</v>
      </c>
      <c r="N58">
        <v>14297927.927927928</v>
      </c>
      <c r="O58">
        <v>58484000</v>
      </c>
      <c r="P58">
        <v>61425045.045045041</v>
      </c>
      <c r="Q58">
        <v>8913603.6036036015</v>
      </c>
      <c r="R58">
        <v>14514594.594594596</v>
      </c>
      <c r="S58">
        <v>10642</v>
      </c>
      <c r="T58">
        <v>10297</v>
      </c>
    </row>
    <row r="59" spans="1:20" x14ac:dyDescent="0.35">
      <c r="A59" s="7" t="s">
        <v>131</v>
      </c>
      <c r="B59" s="12" t="s">
        <v>132</v>
      </c>
      <c r="C59">
        <v>109027027.18917069</v>
      </c>
      <c r="D59">
        <v>94456588.775741085</v>
      </c>
      <c r="E59">
        <v>31531.531531533001</v>
      </c>
      <c r="F59">
        <v>541441.44144144398</v>
      </c>
      <c r="G59">
        <v>36</v>
      </c>
      <c r="H59">
        <v>47</v>
      </c>
      <c r="K59">
        <v>38</v>
      </c>
      <c r="L59">
        <v>56</v>
      </c>
      <c r="M59">
        <v>7459459.4594594603</v>
      </c>
      <c r="N59">
        <v>9397297.2972973008</v>
      </c>
      <c r="O59">
        <v>34612378.378378376</v>
      </c>
      <c r="P59">
        <v>30645563.063063063</v>
      </c>
      <c r="Q59">
        <v>6601441.4414414447</v>
      </c>
      <c r="R59">
        <v>9477297.2972972952</v>
      </c>
      <c r="S59">
        <v>6350</v>
      </c>
      <c r="T59">
        <v>7107</v>
      </c>
    </row>
    <row r="60" spans="1:20" x14ac:dyDescent="0.35">
      <c r="A60" s="7" t="s">
        <v>133</v>
      </c>
      <c r="B60" s="12" t="s">
        <v>134</v>
      </c>
      <c r="C60">
        <v>17687329.708868921</v>
      </c>
      <c r="D60">
        <v>7565406.7199839372</v>
      </c>
      <c r="O60">
        <v>2190315.315315315</v>
      </c>
      <c r="P60">
        <v>1614414.414414414</v>
      </c>
      <c r="S60">
        <v>2214</v>
      </c>
      <c r="T60">
        <v>2069</v>
      </c>
    </row>
    <row r="61" spans="1:20" x14ac:dyDescent="0.35">
      <c r="A61" s="7" t="s">
        <v>135</v>
      </c>
      <c r="B61" s="12" t="s">
        <v>136</v>
      </c>
      <c r="C61">
        <v>92219326.712734506</v>
      </c>
      <c r="D61">
        <v>88204275.442729697</v>
      </c>
      <c r="E61">
        <v>2702.7027027029999</v>
      </c>
      <c r="F61">
        <v>288288.28828828997</v>
      </c>
      <c r="G61">
        <v>13</v>
      </c>
      <c r="H61">
        <v>29</v>
      </c>
      <c r="K61">
        <v>17</v>
      </c>
      <c r="L61">
        <v>33</v>
      </c>
      <c r="M61">
        <v>3876576.5765765761</v>
      </c>
      <c r="N61">
        <v>5918918.918918917</v>
      </c>
      <c r="O61">
        <v>14382783.783783784</v>
      </c>
      <c r="P61">
        <v>14890954.954954956</v>
      </c>
      <c r="Q61">
        <v>6950450.4504504511</v>
      </c>
      <c r="R61">
        <v>6235135.1351351347</v>
      </c>
      <c r="S61">
        <v>3604</v>
      </c>
      <c r="T61">
        <v>3479</v>
      </c>
    </row>
    <row r="62" spans="1:20" x14ac:dyDescent="0.35">
      <c r="A62" s="7" t="s">
        <v>137</v>
      </c>
      <c r="B62" s="12" t="s">
        <v>89</v>
      </c>
      <c r="C62">
        <v>106252426.76879342</v>
      </c>
      <c r="D62">
        <v>93736152.248540863</v>
      </c>
      <c r="E62">
        <v>51801.801801802001</v>
      </c>
      <c r="F62">
        <v>456531.53153153299</v>
      </c>
      <c r="G62">
        <v>8</v>
      </c>
      <c r="H62">
        <v>20</v>
      </c>
      <c r="I62">
        <v>3</v>
      </c>
      <c r="K62">
        <v>9</v>
      </c>
      <c r="L62">
        <v>23</v>
      </c>
      <c r="M62">
        <v>9950540.5405405387</v>
      </c>
      <c r="N62">
        <v>12243963.963963969</v>
      </c>
      <c r="O62">
        <v>33721396.396396399</v>
      </c>
      <c r="P62">
        <v>31387448.648648649</v>
      </c>
      <c r="Q62">
        <v>8765675.6756756734</v>
      </c>
      <c r="R62">
        <v>10875315.315315319</v>
      </c>
      <c r="S62">
        <v>4850</v>
      </c>
      <c r="T62">
        <v>5073</v>
      </c>
    </row>
    <row r="63" spans="1:20" x14ac:dyDescent="0.35">
      <c r="A63" s="7" t="s">
        <v>138</v>
      </c>
      <c r="B63" s="12" t="s">
        <v>78</v>
      </c>
      <c r="C63">
        <v>72085532.552875161</v>
      </c>
      <c r="D63">
        <v>70905285.503968403</v>
      </c>
      <c r="E63">
        <v>677207.20720720803</v>
      </c>
      <c r="F63">
        <v>2053153.1531531559</v>
      </c>
      <c r="G63">
        <v>20</v>
      </c>
      <c r="H63">
        <v>22</v>
      </c>
      <c r="I63">
        <v>1</v>
      </c>
      <c r="K63">
        <v>26</v>
      </c>
      <c r="L63">
        <v>33</v>
      </c>
      <c r="M63">
        <v>8010540.5405405387</v>
      </c>
      <c r="N63">
        <v>8584684.6846846845</v>
      </c>
      <c r="O63">
        <v>28584414.414414413</v>
      </c>
      <c r="P63">
        <v>29831225.225225225</v>
      </c>
      <c r="Q63">
        <v>8779639.6396396402</v>
      </c>
      <c r="R63">
        <v>8156396.3963963967</v>
      </c>
      <c r="S63">
        <v>5316</v>
      </c>
      <c r="T63">
        <v>5041</v>
      </c>
    </row>
    <row r="64" spans="1:20" x14ac:dyDescent="0.35">
      <c r="A64" s="7" t="s">
        <v>139</v>
      </c>
      <c r="B64" s="12" t="s">
        <v>140</v>
      </c>
      <c r="C64">
        <v>96269613.570314825</v>
      </c>
      <c r="D64">
        <v>100924523.05321978</v>
      </c>
      <c r="E64">
        <v>684684.68468468601</v>
      </c>
      <c r="F64">
        <v>865765.76576576498</v>
      </c>
      <c r="G64">
        <v>10</v>
      </c>
      <c r="H64">
        <v>7</v>
      </c>
      <c r="K64">
        <v>13</v>
      </c>
      <c r="L64">
        <v>7</v>
      </c>
      <c r="M64">
        <v>6995945.9459459474</v>
      </c>
      <c r="N64">
        <v>9417117.1171171162</v>
      </c>
      <c r="O64">
        <v>15757837.837837838</v>
      </c>
      <c r="P64">
        <v>18578657.657657657</v>
      </c>
      <c r="Q64">
        <v>6420990.9909909954</v>
      </c>
      <c r="R64">
        <v>8550810.81081081</v>
      </c>
      <c r="S64">
        <v>4400</v>
      </c>
      <c r="T64">
        <v>5901</v>
      </c>
    </row>
    <row r="65" spans="1:20" x14ac:dyDescent="0.35">
      <c r="A65" s="7" t="s">
        <v>141</v>
      </c>
      <c r="B65" s="12" t="s">
        <v>62</v>
      </c>
      <c r="C65">
        <v>66353622.09128876</v>
      </c>
      <c r="D65">
        <v>66340925.972218335</v>
      </c>
      <c r="E65">
        <v>1054954.954954956</v>
      </c>
      <c r="F65">
        <v>882882.88288288296</v>
      </c>
      <c r="G65">
        <v>20</v>
      </c>
      <c r="H65">
        <v>15</v>
      </c>
      <c r="K65">
        <v>25</v>
      </c>
      <c r="L65">
        <v>17</v>
      </c>
      <c r="M65">
        <v>31108558.558558561</v>
      </c>
      <c r="N65">
        <v>50628468.468468472</v>
      </c>
      <c r="O65">
        <v>14024639.63963964</v>
      </c>
      <c r="P65">
        <v>14334261.261261262</v>
      </c>
      <c r="Q65">
        <v>24513333.333333332</v>
      </c>
      <c r="R65">
        <v>50053873.873873875</v>
      </c>
      <c r="S65">
        <v>3913</v>
      </c>
      <c r="T65">
        <v>4070</v>
      </c>
    </row>
    <row r="66" spans="1:20" x14ac:dyDescent="0.35">
      <c r="A66" s="7" t="s">
        <v>142</v>
      </c>
      <c r="B66" s="12" t="s">
        <v>143</v>
      </c>
      <c r="C66">
        <v>825966.91946781205</v>
      </c>
      <c r="D66">
        <v>646002.048895924</v>
      </c>
      <c r="H66">
        <v>1</v>
      </c>
      <c r="L66">
        <v>1</v>
      </c>
      <c r="O66">
        <v>6081.0810810809999</v>
      </c>
      <c r="P66">
        <v>94594.594594594993</v>
      </c>
      <c r="S66">
        <v>127</v>
      </c>
      <c r="T66">
        <v>192</v>
      </c>
    </row>
    <row r="67" spans="1:20" x14ac:dyDescent="0.35">
      <c r="A67" s="7" t="s">
        <v>144</v>
      </c>
      <c r="B67" s="12" t="s">
        <v>140</v>
      </c>
      <c r="C67">
        <v>141503519.68604574</v>
      </c>
      <c r="D67">
        <v>145291932.82552698</v>
      </c>
      <c r="E67">
        <v>74594.594594595997</v>
      </c>
      <c r="F67">
        <v>795045.04504504602</v>
      </c>
      <c r="G67">
        <v>27</v>
      </c>
      <c r="H67">
        <v>32</v>
      </c>
      <c r="K67">
        <v>32</v>
      </c>
      <c r="L67">
        <v>43</v>
      </c>
      <c r="M67">
        <v>13880450.450450452</v>
      </c>
      <c r="N67">
        <v>16018918.918918919</v>
      </c>
      <c r="O67">
        <v>24323783.783783782</v>
      </c>
      <c r="P67">
        <v>25478081.081081081</v>
      </c>
      <c r="Q67">
        <v>11968108.108108111</v>
      </c>
      <c r="R67">
        <v>13835585.585585585</v>
      </c>
      <c r="S67">
        <v>7587</v>
      </c>
      <c r="T67">
        <v>7635</v>
      </c>
    </row>
    <row r="68" spans="1:20" x14ac:dyDescent="0.35">
      <c r="A68" s="7" t="s">
        <v>145</v>
      </c>
      <c r="B68" s="12" t="s">
        <v>78</v>
      </c>
      <c r="C68">
        <v>98718938.701335713</v>
      </c>
      <c r="D68">
        <v>98102552.080809563</v>
      </c>
      <c r="E68">
        <v>651171.17117117101</v>
      </c>
      <c r="F68">
        <v>1387387.38738739</v>
      </c>
      <c r="G68">
        <v>14</v>
      </c>
      <c r="H68">
        <v>32</v>
      </c>
      <c r="K68">
        <v>23</v>
      </c>
      <c r="L68">
        <v>38</v>
      </c>
      <c r="M68">
        <v>11835855.855855854</v>
      </c>
      <c r="N68">
        <v>7027027.0270270286</v>
      </c>
      <c r="O68">
        <v>25518054.054054055</v>
      </c>
      <c r="P68">
        <v>27460099.0990991</v>
      </c>
      <c r="Q68">
        <v>13045495.495495496</v>
      </c>
      <c r="R68">
        <v>10149639.63963964</v>
      </c>
      <c r="S68">
        <v>6417</v>
      </c>
      <c r="T68">
        <v>6241</v>
      </c>
    </row>
    <row r="69" spans="1:20" x14ac:dyDescent="0.35">
      <c r="A69" s="7" t="s">
        <v>146</v>
      </c>
      <c r="B69" s="12" t="s">
        <v>147</v>
      </c>
      <c r="C69">
        <v>68565279.58829771</v>
      </c>
      <c r="D69">
        <v>62793254.29599639</v>
      </c>
      <c r="E69">
        <v>49549.54954955</v>
      </c>
      <c r="F69">
        <v>1392792.7927927929</v>
      </c>
      <c r="G69">
        <v>14</v>
      </c>
      <c r="H69">
        <v>13</v>
      </c>
      <c r="K69">
        <v>15</v>
      </c>
      <c r="L69">
        <v>16</v>
      </c>
      <c r="M69">
        <v>7283423.4234234216</v>
      </c>
      <c r="N69">
        <v>18784684.684684683</v>
      </c>
      <c r="O69">
        <v>18504000</v>
      </c>
      <c r="P69">
        <v>20356270.270270273</v>
      </c>
      <c r="Q69">
        <v>6424864.8648648653</v>
      </c>
      <c r="R69">
        <v>16751621.62162162</v>
      </c>
      <c r="S69">
        <v>3718</v>
      </c>
      <c r="T69">
        <v>4354</v>
      </c>
    </row>
    <row r="70" spans="1:20" x14ac:dyDescent="0.35">
      <c r="A70" s="7" t="s">
        <v>148</v>
      </c>
      <c r="B70" s="12" t="s">
        <v>94</v>
      </c>
      <c r="D70">
        <v>17.531949365999999</v>
      </c>
    </row>
    <row r="71" spans="1:20" x14ac:dyDescent="0.35">
      <c r="A71" s="7" t="s">
        <v>149</v>
      </c>
      <c r="B71" s="12" t="s">
        <v>50</v>
      </c>
      <c r="C71">
        <v>57638345.591010168</v>
      </c>
      <c r="D71">
        <v>58524497.141748503</v>
      </c>
      <c r="E71">
        <v>211711.71171171201</v>
      </c>
      <c r="F71">
        <v>35135.135135135999</v>
      </c>
      <c r="G71">
        <v>5</v>
      </c>
      <c r="H71">
        <v>9</v>
      </c>
      <c r="K71">
        <v>6</v>
      </c>
      <c r="L71">
        <v>10</v>
      </c>
      <c r="M71">
        <v>6555405.4054054078</v>
      </c>
      <c r="N71">
        <v>3218468.4684684682</v>
      </c>
      <c r="O71">
        <v>24068918.918918919</v>
      </c>
      <c r="P71">
        <v>25289684.684684683</v>
      </c>
      <c r="Q71">
        <v>7028828.8288288284</v>
      </c>
      <c r="R71">
        <v>3074504.5045045041</v>
      </c>
      <c r="S71">
        <v>3421</v>
      </c>
      <c r="T71">
        <v>3528</v>
      </c>
    </row>
    <row r="72" spans="1:20" x14ac:dyDescent="0.35">
      <c r="A72" s="7" t="s">
        <v>150</v>
      </c>
      <c r="B72" s="12" t="s">
        <v>151</v>
      </c>
      <c r="C72">
        <v>18644544.465602905</v>
      </c>
      <c r="D72">
        <v>18378740.208392333</v>
      </c>
      <c r="E72">
        <v>75746195.495495483</v>
      </c>
      <c r="F72">
        <v>54085113.513513513</v>
      </c>
      <c r="G72">
        <v>4</v>
      </c>
      <c r="H72">
        <v>3</v>
      </c>
      <c r="K72">
        <v>5</v>
      </c>
      <c r="L72">
        <v>4</v>
      </c>
      <c r="M72">
        <v>42829189.189189181</v>
      </c>
      <c r="N72">
        <v>33639639.639639638</v>
      </c>
      <c r="O72">
        <v>4004279.2792792791</v>
      </c>
      <c r="P72">
        <v>4935261.2612612611</v>
      </c>
      <c r="Q72">
        <v>18401531.531531531</v>
      </c>
      <c r="R72">
        <v>5877297.297297298</v>
      </c>
      <c r="S72">
        <v>710</v>
      </c>
      <c r="T72">
        <v>838</v>
      </c>
    </row>
    <row r="73" spans="1:20" x14ac:dyDescent="0.35">
      <c r="A73" s="7" t="s">
        <v>152</v>
      </c>
      <c r="B73" s="12" t="s">
        <v>151</v>
      </c>
      <c r="C73">
        <v>172483474.33642289</v>
      </c>
      <c r="D73">
        <v>167217657.39091161</v>
      </c>
      <c r="E73">
        <v>307207.207207206</v>
      </c>
      <c r="F73">
        <v>81192117.117117122</v>
      </c>
      <c r="G73">
        <v>34</v>
      </c>
      <c r="H73">
        <v>107</v>
      </c>
      <c r="K73">
        <v>46</v>
      </c>
      <c r="L73">
        <v>123</v>
      </c>
      <c r="M73">
        <v>154710360.36036035</v>
      </c>
      <c r="N73">
        <v>107639639.63963963</v>
      </c>
      <c r="O73">
        <v>55937691.891891897</v>
      </c>
      <c r="P73">
        <v>56884198.198198199</v>
      </c>
      <c r="Q73">
        <v>124278645.04504503</v>
      </c>
      <c r="R73">
        <v>88009455.855855852</v>
      </c>
      <c r="S73">
        <v>8178</v>
      </c>
      <c r="T73">
        <v>7672</v>
      </c>
    </row>
    <row r="74" spans="1:20" x14ac:dyDescent="0.35">
      <c r="A74" s="7" t="s">
        <v>153</v>
      </c>
      <c r="B74" s="12" t="s">
        <v>154</v>
      </c>
      <c r="C74">
        <v>152218634.71547884</v>
      </c>
      <c r="D74">
        <v>150850744.9692151</v>
      </c>
      <c r="E74">
        <v>89371576.576576576</v>
      </c>
      <c r="F74">
        <v>93468534.234234244</v>
      </c>
      <c r="G74">
        <v>3</v>
      </c>
      <c r="H74">
        <v>16</v>
      </c>
      <c r="K74">
        <v>4</v>
      </c>
      <c r="L74">
        <v>20</v>
      </c>
      <c r="M74">
        <v>28682567.567567568</v>
      </c>
      <c r="N74">
        <v>23265315.315315321</v>
      </c>
      <c r="O74">
        <v>64524637.837837838</v>
      </c>
      <c r="P74">
        <v>60645977.477477483</v>
      </c>
      <c r="Q74">
        <v>19415675.675675675</v>
      </c>
      <c r="R74">
        <v>20884774.774774775</v>
      </c>
      <c r="S74">
        <v>7193</v>
      </c>
      <c r="T74">
        <v>6981</v>
      </c>
    </row>
    <row r="75" spans="1:20" x14ac:dyDescent="0.35">
      <c r="A75" s="7" t="s">
        <v>155</v>
      </c>
      <c r="B75" s="12" t="s">
        <v>154</v>
      </c>
      <c r="C75">
        <v>19254626.509556822</v>
      </c>
      <c r="D75">
        <v>13547476.766045297</v>
      </c>
      <c r="E75">
        <v>22522.522522522999</v>
      </c>
      <c r="G75">
        <v>5</v>
      </c>
      <c r="H75">
        <v>2</v>
      </c>
      <c r="K75">
        <v>5</v>
      </c>
      <c r="L75">
        <v>3</v>
      </c>
      <c r="M75">
        <v>22522.522522522999</v>
      </c>
      <c r="N75">
        <v>3337837.8378378372</v>
      </c>
      <c r="O75">
        <v>5305270.2702702703</v>
      </c>
      <c r="P75">
        <v>3517351.351351351</v>
      </c>
      <c r="Q75">
        <v>212162.16216216201</v>
      </c>
      <c r="R75">
        <v>2193693.6936936928</v>
      </c>
      <c r="S75">
        <v>2012</v>
      </c>
      <c r="T75">
        <v>1807</v>
      </c>
    </row>
    <row r="76" spans="1:20" x14ac:dyDescent="0.35">
      <c r="A76" s="7" t="s">
        <v>156</v>
      </c>
      <c r="B76" s="12" t="s">
        <v>154</v>
      </c>
      <c r="C76">
        <v>196362546.80389425</v>
      </c>
      <c r="D76">
        <v>161184847.449242</v>
      </c>
      <c r="E76">
        <v>2132432.4324324331</v>
      </c>
      <c r="F76">
        <v>1494819.8198198229</v>
      </c>
      <c r="G76">
        <v>17</v>
      </c>
      <c r="H76">
        <v>5</v>
      </c>
      <c r="K76">
        <v>102</v>
      </c>
      <c r="L76">
        <v>8</v>
      </c>
      <c r="M76">
        <v>45060360.360360362</v>
      </c>
      <c r="N76">
        <v>35039639.639639638</v>
      </c>
      <c r="O76">
        <v>73616936.93693693</v>
      </c>
      <c r="P76">
        <v>61622801.801801801</v>
      </c>
      <c r="Q76">
        <v>34376126.126126125</v>
      </c>
      <c r="R76">
        <v>32762972.97297297</v>
      </c>
      <c r="S76">
        <v>8043</v>
      </c>
      <c r="T76">
        <v>7973</v>
      </c>
    </row>
    <row r="77" spans="1:20" x14ac:dyDescent="0.35">
      <c r="A77" s="7" t="s">
        <v>157</v>
      </c>
      <c r="B77" s="12" t="s">
        <v>134</v>
      </c>
      <c r="C77">
        <v>77075516.656239957</v>
      </c>
      <c r="D77">
        <v>75753335.662535369</v>
      </c>
      <c r="E77">
        <v>293693.69369369402</v>
      </c>
      <c r="F77">
        <v>135135.13513513701</v>
      </c>
      <c r="G77">
        <v>14</v>
      </c>
      <c r="H77">
        <v>11</v>
      </c>
      <c r="I77">
        <v>1</v>
      </c>
      <c r="K77">
        <v>17</v>
      </c>
      <c r="L77">
        <v>15</v>
      </c>
      <c r="M77">
        <v>7829729.7297297297</v>
      </c>
      <c r="N77">
        <v>7207207.2072072076</v>
      </c>
      <c r="O77">
        <v>7169639.6396396402</v>
      </c>
      <c r="P77">
        <v>7815531.5315315314</v>
      </c>
      <c r="Q77">
        <v>2927657.6576576582</v>
      </c>
      <c r="R77">
        <v>2071441.4414414431</v>
      </c>
      <c r="S77">
        <v>4439</v>
      </c>
      <c r="T77">
        <v>4522</v>
      </c>
    </row>
    <row r="78" spans="1:20" x14ac:dyDescent="0.35">
      <c r="A78" s="7" t="s">
        <v>1</v>
      </c>
      <c r="B78" s="12" t="s">
        <v>158</v>
      </c>
      <c r="C78">
        <v>144007296.70108739</v>
      </c>
      <c r="D78">
        <v>133026631.75834884</v>
      </c>
      <c r="E78">
        <v>257207.20720721001</v>
      </c>
      <c r="F78">
        <v>1019819.819819823</v>
      </c>
      <c r="G78">
        <v>19</v>
      </c>
      <c r="H78">
        <v>7</v>
      </c>
      <c r="I78">
        <v>1</v>
      </c>
      <c r="K78">
        <v>199</v>
      </c>
      <c r="L78">
        <v>129</v>
      </c>
      <c r="M78">
        <v>12892162.162162161</v>
      </c>
      <c r="N78">
        <v>21240450.450450446</v>
      </c>
      <c r="O78">
        <v>68962432.432432428</v>
      </c>
      <c r="P78">
        <v>63758459.459459454</v>
      </c>
      <c r="Q78">
        <v>12964144.144144142</v>
      </c>
      <c r="R78">
        <v>16280090.090090094</v>
      </c>
      <c r="S78">
        <v>8502</v>
      </c>
      <c r="T78">
        <v>8065</v>
      </c>
    </row>
    <row r="79" spans="1:20" x14ac:dyDescent="0.35">
      <c r="A79" s="7" t="s">
        <v>159</v>
      </c>
      <c r="B79" s="12" t="s">
        <v>121</v>
      </c>
      <c r="C79">
        <v>5774891.2607387891</v>
      </c>
      <c r="D79">
        <v>5329835.0637211129</v>
      </c>
      <c r="G79">
        <v>1</v>
      </c>
      <c r="H79">
        <v>2</v>
      </c>
      <c r="K79">
        <v>1</v>
      </c>
      <c r="L79">
        <v>3</v>
      </c>
      <c r="M79">
        <v>900900.90090090095</v>
      </c>
      <c r="O79">
        <v>588828.82882882899</v>
      </c>
      <c r="P79">
        <v>555540.54054054106</v>
      </c>
      <c r="Q79">
        <v>133603.60360360399</v>
      </c>
      <c r="S79">
        <v>570</v>
      </c>
      <c r="T79">
        <v>506</v>
      </c>
    </row>
    <row r="80" spans="1:20" x14ac:dyDescent="0.35">
      <c r="A80" s="7" t="s">
        <v>160</v>
      </c>
      <c r="B80" s="12" t="s">
        <v>161</v>
      </c>
      <c r="C80">
        <v>68504790.828421071</v>
      </c>
      <c r="D80">
        <v>73130488.742900461</v>
      </c>
      <c r="E80">
        <v>286306.30630631099</v>
      </c>
      <c r="F80">
        <v>1081981.981981985</v>
      </c>
      <c r="G80">
        <v>17</v>
      </c>
      <c r="H80">
        <v>17</v>
      </c>
      <c r="K80">
        <v>25</v>
      </c>
      <c r="L80">
        <v>125</v>
      </c>
      <c r="M80">
        <v>17338468.468468472</v>
      </c>
      <c r="N80">
        <v>16096576.576576589</v>
      </c>
      <c r="O80">
        <v>28888009.009009007</v>
      </c>
      <c r="P80">
        <v>30681918.918918919</v>
      </c>
      <c r="Q80">
        <v>23397207.207207207</v>
      </c>
      <c r="R80">
        <v>13988378.378378388</v>
      </c>
      <c r="S80">
        <v>5965</v>
      </c>
      <c r="T80">
        <v>5695</v>
      </c>
    </row>
    <row r="81" spans="1:20" x14ac:dyDescent="0.35">
      <c r="A81" s="7" t="s">
        <v>162</v>
      </c>
      <c r="B81" s="12" t="s">
        <v>76</v>
      </c>
      <c r="C81">
        <v>32100521.708722264</v>
      </c>
      <c r="D81">
        <v>33612161.057642445</v>
      </c>
      <c r="E81">
        <v>182882.88288288299</v>
      </c>
      <c r="F81">
        <v>180180.18018018</v>
      </c>
      <c r="G81">
        <v>9</v>
      </c>
      <c r="H81">
        <v>8</v>
      </c>
      <c r="K81">
        <v>9</v>
      </c>
      <c r="L81">
        <v>10</v>
      </c>
      <c r="M81">
        <v>736936.93693693704</v>
      </c>
      <c r="N81">
        <v>360360.36036036001</v>
      </c>
      <c r="O81">
        <v>1817117.1171171181</v>
      </c>
      <c r="P81">
        <v>1581216.2162162161</v>
      </c>
      <c r="Q81">
        <v>741981.98198198201</v>
      </c>
      <c r="R81">
        <v>426306.30630630598</v>
      </c>
      <c r="S81">
        <v>961</v>
      </c>
      <c r="T81">
        <v>881</v>
      </c>
    </row>
    <row r="82" spans="1:20" x14ac:dyDescent="0.35">
      <c r="A82" s="7" t="s">
        <v>163</v>
      </c>
      <c r="B82" s="12" t="s">
        <v>52</v>
      </c>
      <c r="C82">
        <v>25552585.991635226</v>
      </c>
      <c r="D82">
        <v>24567245.480568718</v>
      </c>
      <c r="E82">
        <v>274774.77477477503</v>
      </c>
      <c r="F82">
        <v>409909.90990991</v>
      </c>
      <c r="G82">
        <v>4</v>
      </c>
      <c r="H82">
        <v>8</v>
      </c>
      <c r="K82">
        <v>5</v>
      </c>
      <c r="L82">
        <v>8</v>
      </c>
      <c r="M82">
        <v>539189.189189189</v>
      </c>
      <c r="N82">
        <v>486486.48648648697</v>
      </c>
      <c r="O82">
        <v>11455900.9009009</v>
      </c>
      <c r="P82">
        <v>11809900.9009009</v>
      </c>
      <c r="Q82">
        <v>608918.918918918</v>
      </c>
      <c r="R82">
        <v>499369.36936936999</v>
      </c>
      <c r="S82">
        <v>1549</v>
      </c>
      <c r="T82">
        <v>1549</v>
      </c>
    </row>
    <row r="83" spans="1:20" x14ac:dyDescent="0.35">
      <c r="A83" s="7" t="s">
        <v>164</v>
      </c>
      <c r="B83" s="12" t="s">
        <v>87</v>
      </c>
      <c r="C83">
        <v>22275102.835532669</v>
      </c>
      <c r="D83">
        <v>15370669.685494212</v>
      </c>
      <c r="E83">
        <v>27027.027027027001</v>
      </c>
      <c r="F83">
        <v>3630630.630630631</v>
      </c>
      <c r="G83">
        <v>9</v>
      </c>
      <c r="H83">
        <v>6</v>
      </c>
      <c r="K83">
        <v>9</v>
      </c>
      <c r="L83">
        <v>8</v>
      </c>
      <c r="M83">
        <v>636036.03603603505</v>
      </c>
      <c r="N83">
        <v>237837.837837837</v>
      </c>
      <c r="O83">
        <v>2022477.4774774769</v>
      </c>
      <c r="P83">
        <v>1437432.432432432</v>
      </c>
      <c r="Q83">
        <v>958918.91891891905</v>
      </c>
      <c r="R83">
        <v>258918.918918918</v>
      </c>
      <c r="S83">
        <v>1169</v>
      </c>
      <c r="T83">
        <v>1055</v>
      </c>
    </row>
    <row r="84" spans="1:20" x14ac:dyDescent="0.35">
      <c r="A84" s="7" t="s">
        <v>165</v>
      </c>
      <c r="B84" s="12" t="s">
        <v>143</v>
      </c>
      <c r="C84">
        <v>4399575.4308653418</v>
      </c>
      <c r="D84">
        <v>4794368.1311634863</v>
      </c>
      <c r="E84">
        <v>1801.801801802</v>
      </c>
      <c r="G84">
        <v>5</v>
      </c>
      <c r="H84">
        <v>2</v>
      </c>
      <c r="K84">
        <v>6</v>
      </c>
      <c r="L84">
        <v>2</v>
      </c>
      <c r="M84">
        <v>1326126.1261261259</v>
      </c>
      <c r="O84">
        <v>531801.80180180201</v>
      </c>
      <c r="P84">
        <v>399414.41441441397</v>
      </c>
      <c r="Q84">
        <v>936936.93693693704</v>
      </c>
      <c r="S84">
        <v>322</v>
      </c>
      <c r="T84">
        <v>341</v>
      </c>
    </row>
    <row r="85" spans="1:20" x14ac:dyDescent="0.35">
      <c r="A85" s="7" t="s">
        <v>166</v>
      </c>
      <c r="B85" s="12" t="s">
        <v>167</v>
      </c>
      <c r="C85">
        <v>16112526.07458665</v>
      </c>
      <c r="D85">
        <v>18932777.946552865</v>
      </c>
      <c r="E85">
        <v>9009.0090090089998</v>
      </c>
      <c r="F85">
        <v>436936.93693693698</v>
      </c>
      <c r="G85">
        <v>6</v>
      </c>
      <c r="H85">
        <v>4</v>
      </c>
      <c r="K85">
        <v>9</v>
      </c>
      <c r="L85">
        <v>5</v>
      </c>
      <c r="M85">
        <v>1082162.1621621649</v>
      </c>
      <c r="N85">
        <v>1957657.6576576571</v>
      </c>
      <c r="O85">
        <v>8969549.5495495498</v>
      </c>
      <c r="P85">
        <v>8469511.7117117122</v>
      </c>
      <c r="Q85">
        <v>2231621.621621625</v>
      </c>
      <c r="R85">
        <v>1691711.711711711</v>
      </c>
      <c r="S85">
        <v>1363</v>
      </c>
      <c r="T85">
        <v>1482</v>
      </c>
    </row>
    <row r="86" spans="1:20" x14ac:dyDescent="0.35">
      <c r="A86" s="7" t="s">
        <v>168</v>
      </c>
      <c r="B86" s="12" t="s">
        <v>169</v>
      </c>
      <c r="C86">
        <v>78848682.349951953</v>
      </c>
      <c r="D86">
        <v>77472342.751442149</v>
      </c>
      <c r="E86">
        <v>321171.17117117101</v>
      </c>
      <c r="F86">
        <v>1049549.5495495501</v>
      </c>
      <c r="G86">
        <v>6</v>
      </c>
      <c r="H86">
        <v>11</v>
      </c>
      <c r="I86">
        <v>1</v>
      </c>
      <c r="K86">
        <v>9</v>
      </c>
      <c r="L86">
        <v>24</v>
      </c>
      <c r="M86">
        <v>9609459.4594594594</v>
      </c>
      <c r="N86">
        <v>20856764.864864863</v>
      </c>
      <c r="O86">
        <v>21351747.747747749</v>
      </c>
      <c r="P86">
        <v>24836993.243243244</v>
      </c>
      <c r="Q86">
        <v>10560000</v>
      </c>
      <c r="R86">
        <v>18049369.369369369</v>
      </c>
      <c r="S86">
        <v>6381</v>
      </c>
      <c r="T86">
        <v>6109</v>
      </c>
    </row>
    <row r="87" spans="1:20" x14ac:dyDescent="0.35">
      <c r="A87" s="7" t="s">
        <v>170</v>
      </c>
      <c r="B87" s="12" t="s">
        <v>54</v>
      </c>
      <c r="C87">
        <v>12712224.4996631</v>
      </c>
      <c r="D87">
        <v>12521234.270520877</v>
      </c>
      <c r="E87">
        <v>3603.603603604</v>
      </c>
      <c r="F87">
        <v>14414.414414415</v>
      </c>
      <c r="K87">
        <v>1</v>
      </c>
      <c r="M87">
        <v>1985585.585585586</v>
      </c>
      <c r="N87">
        <v>464864.86486486503</v>
      </c>
      <c r="O87">
        <v>1833378.3783783789</v>
      </c>
      <c r="P87">
        <v>2130225.225225226</v>
      </c>
      <c r="Q87">
        <v>1428378.378378378</v>
      </c>
      <c r="R87">
        <v>1158558.5585585581</v>
      </c>
      <c r="S87">
        <v>692</v>
      </c>
      <c r="T87">
        <v>674</v>
      </c>
    </row>
    <row r="88" spans="1:20" x14ac:dyDescent="0.35">
      <c r="A88" s="7" t="s">
        <v>171</v>
      </c>
      <c r="B88" s="12" t="s">
        <v>60</v>
      </c>
      <c r="C88">
        <v>272815325.576114</v>
      </c>
      <c r="D88">
        <v>256437300.71450505</v>
      </c>
      <c r="E88">
        <v>1656756.7567567581</v>
      </c>
      <c r="F88">
        <v>2670270.2702702698</v>
      </c>
      <c r="G88">
        <v>55</v>
      </c>
      <c r="H88">
        <v>54</v>
      </c>
      <c r="K88">
        <v>65</v>
      </c>
      <c r="L88">
        <v>66</v>
      </c>
      <c r="M88">
        <v>11473873.873873873</v>
      </c>
      <c r="N88">
        <v>10900900.9009009</v>
      </c>
      <c r="O88">
        <v>88771238.738738731</v>
      </c>
      <c r="P88">
        <v>95084342.342342332</v>
      </c>
      <c r="Q88">
        <v>11158468.468468467</v>
      </c>
      <c r="R88">
        <v>12536846.846846847</v>
      </c>
      <c r="S88">
        <v>12055</v>
      </c>
      <c r="T88">
        <v>11584</v>
      </c>
    </row>
    <row r="89" spans="1:20" x14ac:dyDescent="0.35">
      <c r="A89" s="7" t="s">
        <v>172</v>
      </c>
      <c r="B89" s="12" t="s">
        <v>121</v>
      </c>
      <c r="C89">
        <v>111096865.41114131</v>
      </c>
      <c r="D89">
        <v>110790447.05130008</v>
      </c>
      <c r="E89">
        <v>936936.93693693995</v>
      </c>
      <c r="F89">
        <v>1079279.2792792791</v>
      </c>
      <c r="G89">
        <v>53</v>
      </c>
      <c r="H89">
        <v>38</v>
      </c>
      <c r="K89">
        <v>61</v>
      </c>
      <c r="L89">
        <v>46</v>
      </c>
      <c r="M89">
        <v>7648648.6486486495</v>
      </c>
      <c r="N89">
        <v>6815315.3153153136</v>
      </c>
      <c r="O89">
        <v>15716441.441441443</v>
      </c>
      <c r="P89">
        <v>14817261.26126126</v>
      </c>
      <c r="Q89">
        <v>4735675.6756756762</v>
      </c>
      <c r="R89">
        <v>4186036.0360360369</v>
      </c>
      <c r="S89">
        <v>5913</v>
      </c>
      <c r="T89">
        <v>5662</v>
      </c>
    </row>
    <row r="90" spans="1:20" x14ac:dyDescent="0.35">
      <c r="A90" s="7" t="s">
        <v>173</v>
      </c>
      <c r="B90" s="12" t="s">
        <v>174</v>
      </c>
      <c r="C90">
        <v>80924559.204757795</v>
      </c>
      <c r="D90">
        <v>76983789.87444821</v>
      </c>
      <c r="E90">
        <v>78828.828828831</v>
      </c>
      <c r="F90">
        <v>234009.009009011</v>
      </c>
      <c r="G90">
        <v>16</v>
      </c>
      <c r="H90">
        <v>9</v>
      </c>
      <c r="K90">
        <v>24</v>
      </c>
      <c r="L90">
        <v>15</v>
      </c>
      <c r="M90">
        <v>5981531.5315315314</v>
      </c>
      <c r="N90">
        <v>6839639.6396396384</v>
      </c>
      <c r="O90">
        <v>8448594.5945945941</v>
      </c>
      <c r="P90">
        <v>8170612.6126126116</v>
      </c>
      <c r="Q90">
        <v>5842972.9729729751</v>
      </c>
      <c r="R90">
        <v>5825225.2252252251</v>
      </c>
      <c r="S90">
        <v>4659</v>
      </c>
      <c r="T90">
        <v>4532</v>
      </c>
    </row>
    <row r="91" spans="1:20" x14ac:dyDescent="0.35">
      <c r="A91" s="7" t="s">
        <v>175</v>
      </c>
      <c r="B91" s="12" t="s">
        <v>174</v>
      </c>
      <c r="C91">
        <v>121034578.55708174</v>
      </c>
      <c r="D91">
        <v>122131364.61586833</v>
      </c>
      <c r="E91">
        <v>39993634.234234244</v>
      </c>
      <c r="F91">
        <v>62408753.153153159</v>
      </c>
      <c r="G91">
        <v>39</v>
      </c>
      <c r="H91">
        <v>44</v>
      </c>
      <c r="I91">
        <v>1</v>
      </c>
      <c r="K91">
        <v>52</v>
      </c>
      <c r="L91">
        <v>64</v>
      </c>
      <c r="M91">
        <v>23535135.135135137</v>
      </c>
      <c r="N91">
        <v>14671171.171171172</v>
      </c>
      <c r="O91">
        <v>22619124.324324325</v>
      </c>
      <c r="P91">
        <v>20615936.936936937</v>
      </c>
      <c r="Q91">
        <v>13479502.702702709</v>
      </c>
      <c r="R91">
        <v>7781171.1711711697</v>
      </c>
      <c r="S91">
        <v>8511</v>
      </c>
      <c r="T91">
        <v>8490</v>
      </c>
    </row>
    <row r="92" spans="1:20" x14ac:dyDescent="0.35">
      <c r="A92" s="7" t="s">
        <v>176</v>
      </c>
      <c r="B92" s="12" t="s">
        <v>174</v>
      </c>
      <c r="C92">
        <v>166812713.73629203</v>
      </c>
      <c r="D92">
        <v>163719650.96158031</v>
      </c>
      <c r="E92">
        <v>182882.88288288601</v>
      </c>
      <c r="F92">
        <v>553378.37837838405</v>
      </c>
      <c r="G92">
        <v>57</v>
      </c>
      <c r="H92">
        <v>41</v>
      </c>
      <c r="I92">
        <v>1</v>
      </c>
      <c r="K92">
        <v>77</v>
      </c>
      <c r="L92">
        <v>55</v>
      </c>
      <c r="M92">
        <v>20881981.981981982</v>
      </c>
      <c r="N92">
        <v>16345045.045045048</v>
      </c>
      <c r="O92">
        <v>26614698.198198199</v>
      </c>
      <c r="P92">
        <v>24417531.531531531</v>
      </c>
      <c r="Q92">
        <v>13660900.900900902</v>
      </c>
      <c r="R92">
        <v>11145585.585585589</v>
      </c>
      <c r="S92">
        <v>11616</v>
      </c>
      <c r="T92">
        <v>12209</v>
      </c>
    </row>
    <row r="93" spans="1:20" x14ac:dyDescent="0.35">
      <c r="A93" s="7" t="s">
        <v>177</v>
      </c>
      <c r="B93" s="12" t="s">
        <v>178</v>
      </c>
      <c r="C93">
        <v>54601769.275961362</v>
      </c>
      <c r="D93">
        <v>50178750.352346852</v>
      </c>
      <c r="E93">
        <v>945945.94594594603</v>
      </c>
      <c r="F93">
        <v>675675.67567567597</v>
      </c>
      <c r="G93">
        <v>5</v>
      </c>
      <c r="H93">
        <v>2</v>
      </c>
      <c r="K93">
        <v>6</v>
      </c>
      <c r="L93">
        <v>5</v>
      </c>
      <c r="M93">
        <v>3753873.8738738741</v>
      </c>
      <c r="N93">
        <v>9892792.7927927915</v>
      </c>
      <c r="O93">
        <v>17979054.054054055</v>
      </c>
      <c r="P93">
        <v>19911998.198198199</v>
      </c>
      <c r="Q93">
        <v>1490450.4504504499</v>
      </c>
      <c r="R93">
        <v>7956756.7567567546</v>
      </c>
      <c r="S93">
        <v>3679</v>
      </c>
      <c r="T93">
        <v>3574</v>
      </c>
    </row>
    <row r="94" spans="1:20" x14ac:dyDescent="0.35">
      <c r="A94" s="7" t="s">
        <v>179</v>
      </c>
      <c r="B94" s="12" t="s">
        <v>167</v>
      </c>
      <c r="C94">
        <v>73492070.145340443</v>
      </c>
      <c r="D94">
        <v>60464106.696231</v>
      </c>
      <c r="E94">
        <v>319819.81981982099</v>
      </c>
      <c r="F94">
        <v>544819.81981982</v>
      </c>
      <c r="G94">
        <v>31</v>
      </c>
      <c r="H94">
        <v>3</v>
      </c>
      <c r="K94">
        <v>36</v>
      </c>
      <c r="L94">
        <v>21</v>
      </c>
      <c r="M94">
        <v>2835135.1351351351</v>
      </c>
      <c r="N94">
        <v>590090.09009009099</v>
      </c>
      <c r="O94">
        <v>17475144.144144144</v>
      </c>
      <c r="P94">
        <v>16217468.468468469</v>
      </c>
      <c r="Q94">
        <v>2613063.0630630632</v>
      </c>
      <c r="R94">
        <v>472972.97297297302</v>
      </c>
      <c r="S94">
        <v>4671</v>
      </c>
      <c r="T94">
        <v>4446</v>
      </c>
    </row>
    <row r="95" spans="1:20" x14ac:dyDescent="0.35">
      <c r="A95" s="7" t="s">
        <v>180</v>
      </c>
      <c r="B95" s="12" t="s">
        <v>181</v>
      </c>
      <c r="C95">
        <v>52699058.652525775</v>
      </c>
      <c r="D95">
        <v>50332333.60987483</v>
      </c>
      <c r="E95">
        <v>1801.801801802</v>
      </c>
      <c r="F95">
        <v>75675.675675677005</v>
      </c>
      <c r="G95">
        <v>8</v>
      </c>
      <c r="H95">
        <v>12</v>
      </c>
      <c r="K95">
        <v>9</v>
      </c>
      <c r="L95">
        <v>15</v>
      </c>
      <c r="M95">
        <v>3187387.3873873842</v>
      </c>
      <c r="N95">
        <v>3787387.3873873879</v>
      </c>
      <c r="O95">
        <v>11318243.243243244</v>
      </c>
      <c r="P95">
        <v>12866144.144144144</v>
      </c>
      <c r="Q95">
        <v>4527027.0270270249</v>
      </c>
      <c r="R95">
        <v>4274324.3243243247</v>
      </c>
      <c r="S95">
        <v>3061</v>
      </c>
      <c r="T95">
        <v>3030</v>
      </c>
    </row>
    <row r="96" spans="1:20" x14ac:dyDescent="0.35">
      <c r="A96" s="7" t="s">
        <v>667</v>
      </c>
      <c r="B96" s="12" t="s">
        <v>68</v>
      </c>
      <c r="E96">
        <v>21812751.351351351</v>
      </c>
      <c r="F96">
        <v>32024633.333333332</v>
      </c>
      <c r="T96">
        <v>1</v>
      </c>
    </row>
    <row r="97" spans="1:20" x14ac:dyDescent="0.35">
      <c r="A97" s="7" t="s">
        <v>182</v>
      </c>
      <c r="B97" s="12" t="s">
        <v>94</v>
      </c>
      <c r="C97">
        <v>42992474.051899083</v>
      </c>
      <c r="D97">
        <v>57835204.127261758</v>
      </c>
      <c r="E97">
        <v>135135.135135135</v>
      </c>
      <c r="G97">
        <v>4</v>
      </c>
      <c r="H97">
        <v>14</v>
      </c>
      <c r="K97">
        <v>6</v>
      </c>
      <c r="L97">
        <v>18</v>
      </c>
      <c r="M97">
        <v>135135.135135135</v>
      </c>
      <c r="N97">
        <v>4423423.4234234234</v>
      </c>
      <c r="O97">
        <v>3296936.9369369368</v>
      </c>
      <c r="P97">
        <v>6162126.1261261273</v>
      </c>
      <c r="Q97">
        <v>303873.87387387402</v>
      </c>
      <c r="R97">
        <v>794594.59459459397</v>
      </c>
      <c r="S97">
        <v>3779</v>
      </c>
      <c r="T97">
        <v>3548</v>
      </c>
    </row>
    <row r="98" spans="1:20" x14ac:dyDescent="0.35">
      <c r="A98" s="7" t="s">
        <v>183</v>
      </c>
      <c r="B98" s="12" t="s">
        <v>94</v>
      </c>
      <c r="C98">
        <v>326844927.15820545</v>
      </c>
      <c r="D98">
        <v>312103258.55918169</v>
      </c>
      <c r="E98">
        <v>332241316.21621621</v>
      </c>
      <c r="F98">
        <v>595798920.72072077</v>
      </c>
      <c r="G98">
        <v>62</v>
      </c>
      <c r="H98">
        <v>59</v>
      </c>
      <c r="K98">
        <v>84</v>
      </c>
      <c r="L98">
        <v>88</v>
      </c>
      <c r="M98">
        <v>15685585.585585585</v>
      </c>
      <c r="N98">
        <v>21360810.810810812</v>
      </c>
      <c r="O98">
        <v>38877409.909909911</v>
      </c>
      <c r="P98">
        <v>38687709.459459454</v>
      </c>
      <c r="Q98">
        <v>16444324.324324325</v>
      </c>
      <c r="R98">
        <v>22870090.090090089</v>
      </c>
      <c r="S98">
        <v>16318</v>
      </c>
      <c r="T98">
        <v>16530</v>
      </c>
    </row>
    <row r="99" spans="1:20" x14ac:dyDescent="0.35">
      <c r="A99" s="7" t="s">
        <v>184</v>
      </c>
      <c r="B99" s="12" t="s">
        <v>89</v>
      </c>
      <c r="C99">
        <v>29548166.350178301</v>
      </c>
      <c r="D99">
        <v>27796510.837448839</v>
      </c>
      <c r="E99">
        <v>407657.65765765699</v>
      </c>
      <c r="F99">
        <v>221396.396396397</v>
      </c>
      <c r="G99">
        <v>3</v>
      </c>
      <c r="H99">
        <v>7</v>
      </c>
      <c r="K99">
        <v>3</v>
      </c>
      <c r="L99">
        <v>7</v>
      </c>
      <c r="M99">
        <v>587837.83783783705</v>
      </c>
      <c r="N99">
        <v>1070270.2702702689</v>
      </c>
      <c r="O99">
        <v>8461171.1711711716</v>
      </c>
      <c r="P99">
        <v>9539540.5405405406</v>
      </c>
      <c r="Q99">
        <v>590540.54054054106</v>
      </c>
      <c r="R99">
        <v>962972.97297297302</v>
      </c>
      <c r="S99">
        <v>1685</v>
      </c>
      <c r="T99">
        <v>1680</v>
      </c>
    </row>
    <row r="100" spans="1:20" x14ac:dyDescent="0.35">
      <c r="A100" s="7" t="s">
        <v>185</v>
      </c>
      <c r="B100" s="12" t="s">
        <v>60</v>
      </c>
      <c r="C100">
        <v>18361693.52065796</v>
      </c>
      <c r="D100">
        <v>16734703.428449092</v>
      </c>
      <c r="E100">
        <v>270270.27027027</v>
      </c>
      <c r="F100">
        <v>221621.621621623</v>
      </c>
      <c r="G100">
        <v>2</v>
      </c>
      <c r="H100">
        <v>6</v>
      </c>
      <c r="K100">
        <v>2</v>
      </c>
      <c r="L100">
        <v>6</v>
      </c>
      <c r="M100">
        <v>630630.63063062995</v>
      </c>
      <c r="N100">
        <v>221621.621621623</v>
      </c>
      <c r="O100">
        <v>5960045.0450450452</v>
      </c>
      <c r="P100">
        <v>5803398.6486486495</v>
      </c>
      <c r="Q100">
        <v>514414.41441441397</v>
      </c>
      <c r="R100">
        <v>423423.42342342401</v>
      </c>
      <c r="S100">
        <v>811</v>
      </c>
      <c r="T100">
        <v>805</v>
      </c>
    </row>
    <row r="101" spans="1:20" x14ac:dyDescent="0.35">
      <c r="A101" s="7" t="s">
        <v>186</v>
      </c>
      <c r="B101" s="12" t="s">
        <v>167</v>
      </c>
      <c r="C101">
        <v>33141479.895718969</v>
      </c>
      <c r="D101">
        <v>40982360.89831613</v>
      </c>
      <c r="E101">
        <v>2702.7027027029999</v>
      </c>
      <c r="F101">
        <v>107882.882882883</v>
      </c>
      <c r="G101">
        <v>5</v>
      </c>
      <c r="H101">
        <v>1</v>
      </c>
      <c r="K101">
        <v>8</v>
      </c>
      <c r="L101">
        <v>2</v>
      </c>
      <c r="M101">
        <v>2702.7027027029999</v>
      </c>
      <c r="N101">
        <v>108108.10810810899</v>
      </c>
      <c r="O101">
        <v>7595225.2252252251</v>
      </c>
      <c r="P101">
        <v>10771729.729729731</v>
      </c>
      <c r="S101">
        <v>2777</v>
      </c>
      <c r="T101">
        <v>2918</v>
      </c>
    </row>
    <row r="102" spans="1:20" x14ac:dyDescent="0.35">
      <c r="A102" s="7" t="s">
        <v>187</v>
      </c>
      <c r="B102" s="12" t="s">
        <v>167</v>
      </c>
      <c r="C102">
        <v>116357657.36710647</v>
      </c>
      <c r="D102">
        <v>115699034.09771146</v>
      </c>
      <c r="E102">
        <v>11711.711711713</v>
      </c>
      <c r="F102">
        <v>13513.513513514001</v>
      </c>
      <c r="G102">
        <v>23</v>
      </c>
      <c r="H102">
        <v>5</v>
      </c>
      <c r="K102">
        <v>26</v>
      </c>
      <c r="L102">
        <v>8</v>
      </c>
      <c r="M102">
        <v>2624324.3243243252</v>
      </c>
      <c r="N102">
        <v>5071171.1711711753</v>
      </c>
      <c r="O102">
        <v>21005909.909909911</v>
      </c>
      <c r="P102">
        <v>22364765.765765764</v>
      </c>
      <c r="Q102">
        <v>1502972.972972973</v>
      </c>
      <c r="R102">
        <v>3163153.1531531569</v>
      </c>
      <c r="S102">
        <v>6047</v>
      </c>
      <c r="T102">
        <v>5419</v>
      </c>
    </row>
    <row r="103" spans="1:20" x14ac:dyDescent="0.35">
      <c r="A103" s="7" t="s">
        <v>188</v>
      </c>
      <c r="B103" s="12" t="s">
        <v>189</v>
      </c>
      <c r="C103">
        <v>51477610.178518303</v>
      </c>
      <c r="D103">
        <v>48832437.936208338</v>
      </c>
      <c r="E103">
        <v>270270.27027027</v>
      </c>
      <c r="F103">
        <v>270270.27027027</v>
      </c>
      <c r="G103">
        <v>10</v>
      </c>
      <c r="H103">
        <v>14</v>
      </c>
      <c r="K103">
        <v>10</v>
      </c>
      <c r="L103">
        <v>16</v>
      </c>
      <c r="M103">
        <v>1171171.1711711709</v>
      </c>
      <c r="N103">
        <v>1171171.1711711709</v>
      </c>
      <c r="O103">
        <v>4656756.7567567565</v>
      </c>
      <c r="P103">
        <v>3822117.1171171181</v>
      </c>
      <c r="Q103">
        <v>1107657.657657658</v>
      </c>
      <c r="R103">
        <v>731981.98198198201</v>
      </c>
      <c r="S103">
        <v>1716</v>
      </c>
      <c r="T103">
        <v>1807</v>
      </c>
    </row>
    <row r="104" spans="1:20" x14ac:dyDescent="0.35">
      <c r="A104" s="7" t="s">
        <v>190</v>
      </c>
      <c r="B104" s="12" t="s">
        <v>134</v>
      </c>
      <c r="C104">
        <v>10991826.903900968</v>
      </c>
      <c r="D104">
        <v>11653176.219997421</v>
      </c>
      <c r="G104">
        <v>4</v>
      </c>
      <c r="H104">
        <v>2</v>
      </c>
      <c r="K104">
        <v>5</v>
      </c>
      <c r="L104">
        <v>5</v>
      </c>
      <c r="O104">
        <v>620810.810810811</v>
      </c>
      <c r="P104">
        <v>1152252.2522522521</v>
      </c>
      <c r="S104">
        <v>1062</v>
      </c>
      <c r="T104">
        <v>1436</v>
      </c>
    </row>
    <row r="105" spans="1:20" x14ac:dyDescent="0.35">
      <c r="A105" s="7" t="s">
        <v>191</v>
      </c>
      <c r="B105" s="12" t="s">
        <v>60</v>
      </c>
      <c r="C105">
        <v>75392877.184465885</v>
      </c>
      <c r="D105">
        <v>72427426.508961767</v>
      </c>
      <c r="E105">
        <v>606306.30630630604</v>
      </c>
      <c r="F105">
        <v>379054.054054056</v>
      </c>
      <c r="G105">
        <v>11</v>
      </c>
      <c r="H105">
        <v>4</v>
      </c>
      <c r="K105">
        <v>15</v>
      </c>
      <c r="L105">
        <v>9</v>
      </c>
      <c r="M105">
        <v>5128828.8288288265</v>
      </c>
      <c r="N105">
        <v>5685585.5855855877</v>
      </c>
      <c r="O105">
        <v>23655090.090090089</v>
      </c>
      <c r="P105">
        <v>21964864.864864863</v>
      </c>
      <c r="Q105">
        <v>6005135.1351351328</v>
      </c>
      <c r="R105">
        <v>6023783.783783786</v>
      </c>
      <c r="S105">
        <v>4014</v>
      </c>
      <c r="T105">
        <v>3855</v>
      </c>
    </row>
    <row r="106" spans="1:20" x14ac:dyDescent="0.35">
      <c r="A106" s="7" t="s">
        <v>192</v>
      </c>
      <c r="B106" s="12" t="s">
        <v>60</v>
      </c>
      <c r="C106">
        <v>128508823.23051773</v>
      </c>
      <c r="D106">
        <v>123865859.53279038</v>
      </c>
      <c r="E106">
        <v>1145045.045045045</v>
      </c>
      <c r="F106">
        <v>832432.43243243301</v>
      </c>
      <c r="G106">
        <v>10</v>
      </c>
      <c r="H106">
        <v>5</v>
      </c>
      <c r="K106">
        <v>10</v>
      </c>
      <c r="L106">
        <v>8</v>
      </c>
      <c r="M106">
        <v>5343243.2432432435</v>
      </c>
      <c r="N106">
        <v>7832432.4324324317</v>
      </c>
      <c r="O106">
        <v>30474504.504504506</v>
      </c>
      <c r="P106">
        <v>30813387.387387384</v>
      </c>
      <c r="Q106">
        <v>5456666.666666667</v>
      </c>
      <c r="R106">
        <v>6669729.7297297297</v>
      </c>
      <c r="S106">
        <v>6672</v>
      </c>
      <c r="T106">
        <v>6338</v>
      </c>
    </row>
    <row r="107" spans="1:20" x14ac:dyDescent="0.35">
      <c r="A107" s="7" t="s">
        <v>2</v>
      </c>
      <c r="B107" s="12" t="s">
        <v>193</v>
      </c>
      <c r="C107">
        <v>16895258.577605799</v>
      </c>
      <c r="D107">
        <v>8715036.5063284654</v>
      </c>
      <c r="E107">
        <v>16216.216216215</v>
      </c>
      <c r="G107">
        <v>1</v>
      </c>
      <c r="H107">
        <v>2</v>
      </c>
      <c r="K107">
        <v>1</v>
      </c>
      <c r="L107">
        <v>2</v>
      </c>
      <c r="M107">
        <v>136486.48648648601</v>
      </c>
      <c r="O107">
        <v>8348513.5135135138</v>
      </c>
      <c r="P107">
        <v>4872702.702702703</v>
      </c>
      <c r="Q107">
        <v>120270.27027027</v>
      </c>
      <c r="R107">
        <v>157657.65765765801</v>
      </c>
      <c r="S107">
        <v>1224</v>
      </c>
      <c r="T107">
        <v>802</v>
      </c>
    </row>
    <row r="108" spans="1:20" x14ac:dyDescent="0.35">
      <c r="A108" s="7" t="s">
        <v>194</v>
      </c>
      <c r="B108" s="12" t="s">
        <v>195</v>
      </c>
      <c r="C108">
        <v>438067683.92516989</v>
      </c>
      <c r="D108">
        <v>434401368.80714798</v>
      </c>
      <c r="E108">
        <v>7186036.036036036</v>
      </c>
      <c r="F108">
        <v>1918693.6936936961</v>
      </c>
      <c r="G108">
        <v>82</v>
      </c>
      <c r="H108">
        <v>78</v>
      </c>
      <c r="K108">
        <v>98</v>
      </c>
      <c r="L108">
        <v>87</v>
      </c>
      <c r="M108">
        <v>13113243.243243244</v>
      </c>
      <c r="N108">
        <v>20370990.990990993</v>
      </c>
      <c r="O108">
        <v>77842603.603603601</v>
      </c>
      <c r="P108">
        <v>84872279.279279277</v>
      </c>
      <c r="Q108">
        <v>18671081.081081081</v>
      </c>
      <c r="R108">
        <v>15189909.90990991</v>
      </c>
      <c r="S108">
        <v>18004</v>
      </c>
      <c r="T108">
        <v>21879</v>
      </c>
    </row>
    <row r="109" spans="1:20" x14ac:dyDescent="0.35">
      <c r="A109" s="7" t="s">
        <v>196</v>
      </c>
      <c r="B109" s="12" t="s">
        <v>80</v>
      </c>
      <c r="C109">
        <v>137116754.43345305</v>
      </c>
      <c r="D109">
        <v>132011346.780586</v>
      </c>
      <c r="E109">
        <v>38738.738738740001</v>
      </c>
      <c r="F109">
        <v>638738.73873873998</v>
      </c>
      <c r="G109">
        <v>25</v>
      </c>
      <c r="H109">
        <v>23</v>
      </c>
      <c r="K109">
        <v>28</v>
      </c>
      <c r="L109">
        <v>29</v>
      </c>
      <c r="M109">
        <v>14384684.684684683</v>
      </c>
      <c r="N109">
        <v>18963063.063063063</v>
      </c>
      <c r="O109">
        <v>34175351.351351351</v>
      </c>
      <c r="P109">
        <v>36658981.981981985</v>
      </c>
      <c r="Q109">
        <v>13829369.369369373</v>
      </c>
      <c r="R109">
        <v>18603513.513513517</v>
      </c>
      <c r="S109">
        <v>6704</v>
      </c>
      <c r="T109">
        <v>6693</v>
      </c>
    </row>
    <row r="110" spans="1:20" x14ac:dyDescent="0.35">
      <c r="A110" s="7" t="s">
        <v>197</v>
      </c>
      <c r="B110" s="12" t="s">
        <v>108</v>
      </c>
      <c r="C110">
        <v>102663806.98794311</v>
      </c>
      <c r="D110">
        <v>107024448.6221855</v>
      </c>
      <c r="E110">
        <v>175495.49549549801</v>
      </c>
      <c r="F110">
        <v>1035135.135135137</v>
      </c>
      <c r="G110">
        <v>15</v>
      </c>
      <c r="H110">
        <v>30</v>
      </c>
      <c r="K110">
        <v>18</v>
      </c>
      <c r="L110">
        <v>37</v>
      </c>
      <c r="M110">
        <v>4796216.2162162149</v>
      </c>
      <c r="N110">
        <v>5396396.3963963948</v>
      </c>
      <c r="O110">
        <v>27977432.432432432</v>
      </c>
      <c r="P110">
        <v>31212207.207207207</v>
      </c>
      <c r="Q110">
        <v>5099819.8198198192</v>
      </c>
      <c r="R110">
        <v>5325675.6756756743</v>
      </c>
      <c r="S110">
        <v>7111</v>
      </c>
      <c r="T110">
        <v>7105</v>
      </c>
    </row>
    <row r="111" spans="1:20" x14ac:dyDescent="0.35">
      <c r="A111" s="7" t="s">
        <v>198</v>
      </c>
      <c r="B111" s="12" t="s">
        <v>92</v>
      </c>
      <c r="C111">
        <v>58558860.703953795</v>
      </c>
      <c r="D111">
        <v>57757262.451487474</v>
      </c>
      <c r="E111">
        <v>21410938.738738742</v>
      </c>
      <c r="F111">
        <v>59814175.675675683</v>
      </c>
      <c r="G111">
        <v>9</v>
      </c>
      <c r="H111">
        <v>45</v>
      </c>
      <c r="K111">
        <v>10</v>
      </c>
      <c r="L111">
        <v>73</v>
      </c>
      <c r="M111">
        <v>17355495.495495494</v>
      </c>
      <c r="N111">
        <v>20346846.846846849</v>
      </c>
      <c r="O111">
        <v>13456711.711711712</v>
      </c>
      <c r="P111">
        <v>14957486.486486485</v>
      </c>
      <c r="Q111">
        <v>12496846.846846849</v>
      </c>
      <c r="R111">
        <v>19837657.657657657</v>
      </c>
      <c r="S111">
        <v>2880</v>
      </c>
      <c r="T111">
        <v>2797</v>
      </c>
    </row>
    <row r="112" spans="1:20" x14ac:dyDescent="0.35">
      <c r="A112" s="7" t="s">
        <v>199</v>
      </c>
      <c r="B112" s="12" t="s">
        <v>123</v>
      </c>
      <c r="C112">
        <v>62091606.590302229</v>
      </c>
      <c r="D112">
        <v>49990552.970166042</v>
      </c>
      <c r="E112">
        <v>486486.48648648697</v>
      </c>
      <c r="F112">
        <v>32432.432432433001</v>
      </c>
      <c r="G112">
        <v>31</v>
      </c>
      <c r="H112">
        <v>5</v>
      </c>
      <c r="K112">
        <v>36</v>
      </c>
      <c r="L112">
        <v>6</v>
      </c>
      <c r="M112">
        <v>3909909.9099099101</v>
      </c>
      <c r="N112">
        <v>935135.13513513503</v>
      </c>
      <c r="O112">
        <v>13371126.126126127</v>
      </c>
      <c r="P112">
        <v>8572117.1171171162</v>
      </c>
      <c r="Q112">
        <v>2134864.8648648639</v>
      </c>
      <c r="R112">
        <v>1494054.054054054</v>
      </c>
      <c r="S112">
        <v>2592</v>
      </c>
      <c r="T112">
        <v>2439</v>
      </c>
    </row>
    <row r="113" spans="1:20" x14ac:dyDescent="0.35">
      <c r="A113" s="7" t="s">
        <v>200</v>
      </c>
      <c r="B113" s="12" t="s">
        <v>60</v>
      </c>
      <c r="C113">
        <v>38288921.09352193</v>
      </c>
      <c r="D113">
        <v>35867464.788743161</v>
      </c>
      <c r="E113">
        <v>27027.027027027001</v>
      </c>
      <c r="F113">
        <v>394594.59459459502</v>
      </c>
      <c r="G113">
        <v>6</v>
      </c>
      <c r="H113">
        <v>9</v>
      </c>
      <c r="K113">
        <v>8</v>
      </c>
      <c r="L113">
        <v>9</v>
      </c>
      <c r="M113">
        <v>2297297.2972972961</v>
      </c>
      <c r="N113">
        <v>5809009.0090090083</v>
      </c>
      <c r="O113">
        <v>5720936.9369369373</v>
      </c>
      <c r="P113">
        <v>6330135.1351351356</v>
      </c>
      <c r="Q113">
        <v>2510360.3603603588</v>
      </c>
      <c r="R113">
        <v>3068378.3783783782</v>
      </c>
      <c r="S113">
        <v>3460</v>
      </c>
      <c r="T113">
        <v>3555</v>
      </c>
    </row>
    <row r="114" spans="1:20" x14ac:dyDescent="0.35">
      <c r="A114" s="7" t="s">
        <v>201</v>
      </c>
      <c r="B114" s="12" t="s">
        <v>60</v>
      </c>
      <c r="C114">
        <v>13123670.48805384</v>
      </c>
      <c r="D114">
        <v>12660441.791452888</v>
      </c>
      <c r="E114">
        <v>28411891.891891893</v>
      </c>
      <c r="F114">
        <v>29284684.684684683</v>
      </c>
      <c r="G114">
        <v>3</v>
      </c>
      <c r="H114">
        <v>3</v>
      </c>
      <c r="K114">
        <v>4</v>
      </c>
      <c r="L114">
        <v>4</v>
      </c>
      <c r="M114">
        <v>1381261.261261262</v>
      </c>
      <c r="N114">
        <v>1383783.783783783</v>
      </c>
      <c r="O114">
        <v>2891576.5765765761</v>
      </c>
      <c r="P114">
        <v>2907369.369369369</v>
      </c>
      <c r="Q114">
        <v>374324.32432432403</v>
      </c>
      <c r="R114">
        <v>362162.16216216201</v>
      </c>
      <c r="S114">
        <v>1072</v>
      </c>
      <c r="T114">
        <v>1129</v>
      </c>
    </row>
    <row r="115" spans="1:20" x14ac:dyDescent="0.35">
      <c r="A115" s="7" t="s">
        <v>202</v>
      </c>
      <c r="B115" s="12" t="s">
        <v>121</v>
      </c>
      <c r="C115">
        <v>27296610.288537923</v>
      </c>
      <c r="D115">
        <v>23807988.233475599</v>
      </c>
      <c r="E115">
        <v>41441.441441442003</v>
      </c>
      <c r="F115">
        <v>126126.12612612599</v>
      </c>
      <c r="G115">
        <v>22</v>
      </c>
      <c r="H115">
        <v>13</v>
      </c>
      <c r="K115">
        <v>25</v>
      </c>
      <c r="L115">
        <v>16</v>
      </c>
      <c r="M115">
        <v>41441.441441442003</v>
      </c>
      <c r="N115">
        <v>130630.630630631</v>
      </c>
      <c r="O115">
        <v>2752342.3423423432</v>
      </c>
      <c r="P115">
        <v>1854216.2162162161</v>
      </c>
      <c r="Q115">
        <v>21171.171171171001</v>
      </c>
      <c r="S115">
        <v>1517</v>
      </c>
      <c r="T115">
        <v>1373</v>
      </c>
    </row>
    <row r="116" spans="1:20" x14ac:dyDescent="0.35">
      <c r="A116" s="7" t="s">
        <v>203</v>
      </c>
      <c r="B116" s="12" t="s">
        <v>54</v>
      </c>
      <c r="C116">
        <v>40808622.602633342</v>
      </c>
      <c r="D116">
        <v>38364818.696891084</v>
      </c>
      <c r="E116">
        <v>2702.7027027029999</v>
      </c>
      <c r="F116">
        <v>94594.594594594993</v>
      </c>
      <c r="G116">
        <v>7</v>
      </c>
      <c r="H116">
        <v>7</v>
      </c>
      <c r="K116">
        <v>9</v>
      </c>
      <c r="L116">
        <v>7</v>
      </c>
      <c r="M116">
        <v>1236936.9369369361</v>
      </c>
      <c r="N116">
        <v>1315315.315315315</v>
      </c>
      <c r="O116">
        <v>11241126.126126127</v>
      </c>
      <c r="P116">
        <v>9907567.5675675683</v>
      </c>
      <c r="Q116">
        <v>1974414.414414413</v>
      </c>
      <c r="R116">
        <v>1995405.4054054059</v>
      </c>
      <c r="S116">
        <v>3850</v>
      </c>
      <c r="T116">
        <v>3843</v>
      </c>
    </row>
    <row r="117" spans="1:20" x14ac:dyDescent="0.35">
      <c r="A117" s="7" t="s">
        <v>204</v>
      </c>
      <c r="B117" s="12" t="s">
        <v>136</v>
      </c>
      <c r="C117">
        <v>157672236.88630599</v>
      </c>
      <c r="D117">
        <v>134547799.62287882</v>
      </c>
      <c r="E117">
        <v>217567.56756756699</v>
      </c>
      <c r="F117">
        <v>118018.01801801899</v>
      </c>
      <c r="G117">
        <v>36</v>
      </c>
      <c r="H117">
        <v>16</v>
      </c>
      <c r="K117">
        <v>43</v>
      </c>
      <c r="L117">
        <v>17</v>
      </c>
      <c r="M117">
        <v>15879189.189189188</v>
      </c>
      <c r="N117">
        <v>13811711.711711708</v>
      </c>
      <c r="O117">
        <v>27087252.252252251</v>
      </c>
      <c r="P117">
        <v>26314279.27927928</v>
      </c>
      <c r="Q117">
        <v>12771981.981981983</v>
      </c>
      <c r="R117">
        <v>10749819.819819819</v>
      </c>
      <c r="S117">
        <v>5930</v>
      </c>
      <c r="T117">
        <v>5502</v>
      </c>
    </row>
    <row r="118" spans="1:20" x14ac:dyDescent="0.35">
      <c r="A118" s="7" t="s">
        <v>205</v>
      </c>
      <c r="B118" s="12" t="s">
        <v>136</v>
      </c>
      <c r="C118">
        <v>77252267.913492844</v>
      </c>
      <c r="D118">
        <v>72493088.763905019</v>
      </c>
      <c r="E118">
        <v>8382882.8828828828</v>
      </c>
      <c r="F118">
        <v>9419819.8198198192</v>
      </c>
      <c r="G118">
        <v>24</v>
      </c>
      <c r="H118">
        <v>9</v>
      </c>
      <c r="K118">
        <v>26</v>
      </c>
      <c r="L118">
        <v>13</v>
      </c>
      <c r="M118">
        <v>2301801.8018018012</v>
      </c>
      <c r="N118">
        <v>1343243.2432432419</v>
      </c>
      <c r="O118">
        <v>13078828.828828828</v>
      </c>
      <c r="P118">
        <v>14017484.684684685</v>
      </c>
      <c r="Q118">
        <v>1254774.7747747749</v>
      </c>
      <c r="R118">
        <v>1314594.5945945941</v>
      </c>
      <c r="S118">
        <v>3266</v>
      </c>
      <c r="T118">
        <v>3230</v>
      </c>
    </row>
    <row r="119" spans="1:20" x14ac:dyDescent="0.35">
      <c r="A119" s="7" t="s">
        <v>206</v>
      </c>
      <c r="B119" s="12" t="s">
        <v>169</v>
      </c>
      <c r="C119">
        <v>162224809.93618661</v>
      </c>
      <c r="D119">
        <v>162451873.83538079</v>
      </c>
      <c r="E119">
        <v>312612.61261261301</v>
      </c>
      <c r="F119">
        <v>624324.32432432403</v>
      </c>
      <c r="G119">
        <v>9</v>
      </c>
      <c r="H119">
        <v>7</v>
      </c>
      <c r="K119">
        <v>9</v>
      </c>
      <c r="L119">
        <v>9</v>
      </c>
      <c r="M119">
        <v>431672972.97297299</v>
      </c>
      <c r="N119">
        <v>12164864.864864863</v>
      </c>
      <c r="O119">
        <v>76417918.918918908</v>
      </c>
      <c r="P119">
        <v>74550909.909909904</v>
      </c>
      <c r="Q119">
        <v>436210295.4954955</v>
      </c>
      <c r="R119">
        <v>12524954.954954954</v>
      </c>
      <c r="S119">
        <v>7529</v>
      </c>
      <c r="T119">
        <v>7433</v>
      </c>
    </row>
    <row r="120" spans="1:20" x14ac:dyDescent="0.35">
      <c r="A120" s="7" t="s">
        <v>207</v>
      </c>
      <c r="B120" s="12" t="s">
        <v>161</v>
      </c>
      <c r="C120">
        <v>176085605.71170005</v>
      </c>
      <c r="D120">
        <v>188156466.21155858</v>
      </c>
      <c r="E120">
        <v>39004720.720720723</v>
      </c>
      <c r="F120">
        <v>22027332.432432432</v>
      </c>
      <c r="G120">
        <v>38</v>
      </c>
      <c r="H120">
        <v>43</v>
      </c>
      <c r="K120">
        <v>50</v>
      </c>
      <c r="L120">
        <v>147</v>
      </c>
      <c r="M120">
        <v>21169999.999999993</v>
      </c>
      <c r="N120">
        <v>23836027.027027033</v>
      </c>
      <c r="O120">
        <v>50509495.495495498</v>
      </c>
      <c r="P120">
        <v>53597864.864864863</v>
      </c>
      <c r="Q120">
        <v>20574504.504504494</v>
      </c>
      <c r="R120">
        <v>16701801.801801804</v>
      </c>
      <c r="S120">
        <v>12304</v>
      </c>
      <c r="T120">
        <v>12591</v>
      </c>
    </row>
    <row r="121" spans="1:20" x14ac:dyDescent="0.35">
      <c r="A121" s="7" t="s">
        <v>208</v>
      </c>
      <c r="B121" s="12" t="s">
        <v>76</v>
      </c>
      <c r="C121">
        <v>6898652.78453949</v>
      </c>
      <c r="D121">
        <v>5770319.8814934706</v>
      </c>
      <c r="G121">
        <v>1</v>
      </c>
      <c r="K121">
        <v>1</v>
      </c>
      <c r="O121">
        <v>380405.40540540603</v>
      </c>
      <c r="P121">
        <v>397162.16216216201</v>
      </c>
      <c r="S121">
        <v>467</v>
      </c>
      <c r="T121">
        <v>487</v>
      </c>
    </row>
    <row r="122" spans="1:20" x14ac:dyDescent="0.35">
      <c r="A122" s="7" t="s">
        <v>209</v>
      </c>
      <c r="B122" s="12" t="s">
        <v>76</v>
      </c>
      <c r="C122">
        <v>85420056.015619114</v>
      </c>
      <c r="D122">
        <v>81500956.112871334</v>
      </c>
      <c r="E122">
        <v>84684227.927927941</v>
      </c>
      <c r="F122">
        <v>31373490.990990993</v>
      </c>
      <c r="G122">
        <v>20</v>
      </c>
      <c r="H122">
        <v>31</v>
      </c>
      <c r="I122">
        <v>1</v>
      </c>
      <c r="K122">
        <v>31</v>
      </c>
      <c r="L122">
        <v>38</v>
      </c>
      <c r="M122">
        <v>7279819.819819822</v>
      </c>
      <c r="N122">
        <v>11241801.801801803</v>
      </c>
      <c r="O122">
        <v>10857477.477477478</v>
      </c>
      <c r="P122">
        <v>11781801.801801803</v>
      </c>
      <c r="Q122">
        <v>6554324.3243243285</v>
      </c>
      <c r="R122">
        <v>10281711.711711712</v>
      </c>
      <c r="S122">
        <v>4476</v>
      </c>
      <c r="T122">
        <v>4281</v>
      </c>
    </row>
    <row r="123" spans="1:20" x14ac:dyDescent="0.35">
      <c r="A123" s="7" t="s">
        <v>210</v>
      </c>
      <c r="B123" s="12" t="s">
        <v>76</v>
      </c>
      <c r="C123">
        <v>106108656.34521328</v>
      </c>
      <c r="D123">
        <v>104932783.16970426</v>
      </c>
      <c r="E123">
        <v>650450.45045045298</v>
      </c>
      <c r="F123">
        <v>1381081.0810810861</v>
      </c>
      <c r="G123">
        <v>49</v>
      </c>
      <c r="H123">
        <v>47</v>
      </c>
      <c r="I123">
        <v>2</v>
      </c>
      <c r="K123">
        <v>65</v>
      </c>
      <c r="L123">
        <v>58</v>
      </c>
      <c r="M123">
        <v>21281981.981981978</v>
      </c>
      <c r="N123">
        <v>34790630.630630627</v>
      </c>
      <c r="O123">
        <v>31601018.018018015</v>
      </c>
      <c r="P123">
        <v>30942270.270270273</v>
      </c>
      <c r="Q123">
        <v>19671801.801801801</v>
      </c>
      <c r="R123">
        <v>30210180.180180181</v>
      </c>
      <c r="S123">
        <v>6723</v>
      </c>
      <c r="T123">
        <v>6776</v>
      </c>
    </row>
    <row r="124" spans="1:20" x14ac:dyDescent="0.35">
      <c r="A124" s="7" t="s">
        <v>211</v>
      </c>
      <c r="B124" s="12" t="s">
        <v>76</v>
      </c>
      <c r="C124">
        <v>69106403.124379039</v>
      </c>
      <c r="D124">
        <v>74237916.41087611</v>
      </c>
      <c r="E124">
        <v>797747.74774774897</v>
      </c>
      <c r="F124">
        <v>845720.72072072502</v>
      </c>
      <c r="G124">
        <v>27</v>
      </c>
      <c r="H124">
        <v>31</v>
      </c>
      <c r="K124">
        <v>35</v>
      </c>
      <c r="L124">
        <v>40</v>
      </c>
      <c r="M124">
        <v>5887837.8378378348</v>
      </c>
      <c r="N124">
        <v>5829549.5495495507</v>
      </c>
      <c r="O124">
        <v>10457774.774774777</v>
      </c>
      <c r="P124">
        <v>10852551.801801803</v>
      </c>
      <c r="Q124">
        <v>5900900.9009009022</v>
      </c>
      <c r="R124">
        <v>5092612.6126126144</v>
      </c>
      <c r="S124">
        <v>4167</v>
      </c>
      <c r="T124">
        <v>4681</v>
      </c>
    </row>
    <row r="125" spans="1:20" x14ac:dyDescent="0.35">
      <c r="A125" s="7" t="s">
        <v>212</v>
      </c>
      <c r="B125" s="12" t="s">
        <v>76</v>
      </c>
      <c r="C125">
        <v>28773018.963411447</v>
      </c>
      <c r="D125">
        <v>27970586.860690206</v>
      </c>
      <c r="E125">
        <v>6756.7567567570004</v>
      </c>
      <c r="G125">
        <v>5</v>
      </c>
      <c r="H125">
        <v>3</v>
      </c>
      <c r="K125">
        <v>9</v>
      </c>
      <c r="L125">
        <v>3</v>
      </c>
      <c r="M125">
        <v>547297.29729729798</v>
      </c>
      <c r="N125">
        <v>270270.27027027</v>
      </c>
      <c r="O125">
        <v>3897117.1171171181</v>
      </c>
      <c r="P125">
        <v>4087459.4594594589</v>
      </c>
      <c r="Q125">
        <v>405405.40540540498</v>
      </c>
      <c r="R125">
        <v>136036.03603603601</v>
      </c>
      <c r="S125">
        <v>1822</v>
      </c>
      <c r="T125">
        <v>2103</v>
      </c>
    </row>
    <row r="126" spans="1:20" x14ac:dyDescent="0.35">
      <c r="A126" s="7" t="s">
        <v>213</v>
      </c>
      <c r="B126" s="12" t="s">
        <v>214</v>
      </c>
      <c r="C126">
        <v>32111695.152154457</v>
      </c>
      <c r="D126">
        <v>39077009.797170848</v>
      </c>
      <c r="E126">
        <v>75225.225225225993</v>
      </c>
      <c r="F126">
        <v>227027.027027028</v>
      </c>
      <c r="G126">
        <v>6</v>
      </c>
      <c r="H126">
        <v>18</v>
      </c>
      <c r="K126">
        <v>6</v>
      </c>
      <c r="L126">
        <v>19</v>
      </c>
      <c r="M126">
        <v>4624054.0540540563</v>
      </c>
      <c r="N126">
        <v>8081531.5315315304</v>
      </c>
      <c r="O126">
        <v>15210585.585585585</v>
      </c>
      <c r="P126">
        <v>17470414.414414417</v>
      </c>
      <c r="Q126">
        <v>3860720.7207207219</v>
      </c>
      <c r="R126">
        <v>5474234.2342342343</v>
      </c>
      <c r="S126">
        <v>2318</v>
      </c>
      <c r="T126">
        <v>2262</v>
      </c>
    </row>
    <row r="127" spans="1:20" x14ac:dyDescent="0.35">
      <c r="A127" s="7" t="s">
        <v>215</v>
      </c>
      <c r="B127" s="12" t="s">
        <v>167</v>
      </c>
      <c r="C127">
        <v>28793721.512736592</v>
      </c>
      <c r="D127">
        <v>41460722.659745336</v>
      </c>
      <c r="E127">
        <v>2702.7027027029999</v>
      </c>
      <c r="G127">
        <v>2</v>
      </c>
      <c r="H127">
        <v>1</v>
      </c>
      <c r="K127">
        <v>3</v>
      </c>
      <c r="L127">
        <v>2</v>
      </c>
      <c r="M127">
        <v>2702.7027027029999</v>
      </c>
      <c r="N127">
        <v>450450.45045045001</v>
      </c>
      <c r="O127">
        <v>5305945.9459459456</v>
      </c>
      <c r="P127">
        <v>7477477.4774774769</v>
      </c>
      <c r="Q127">
        <v>51801.801801802001</v>
      </c>
      <c r="S127">
        <v>1811</v>
      </c>
      <c r="T127">
        <v>1862</v>
      </c>
    </row>
    <row r="128" spans="1:20" x14ac:dyDescent="0.35">
      <c r="A128" s="7" t="s">
        <v>216</v>
      </c>
      <c r="B128" s="12" t="s">
        <v>85</v>
      </c>
      <c r="C128">
        <v>7484326.2688516788</v>
      </c>
      <c r="D128">
        <v>9691186.7183389831</v>
      </c>
      <c r="E128">
        <v>9909.9099099110008</v>
      </c>
      <c r="H128">
        <v>5</v>
      </c>
      <c r="L128">
        <v>6</v>
      </c>
      <c r="M128">
        <v>20118018.018018018</v>
      </c>
      <c r="N128">
        <v>24894594.59459459</v>
      </c>
      <c r="O128">
        <v>2124270.2702702698</v>
      </c>
      <c r="P128">
        <v>2744873.8738738731</v>
      </c>
      <c r="Q128">
        <v>8673153.1531531531</v>
      </c>
      <c r="R128">
        <v>16630270.270270268</v>
      </c>
      <c r="S128">
        <v>635</v>
      </c>
      <c r="T128">
        <v>698</v>
      </c>
    </row>
    <row r="129" spans="1:20" x14ac:dyDescent="0.35">
      <c r="A129" s="7" t="s">
        <v>217</v>
      </c>
      <c r="B129" s="12" t="s">
        <v>85</v>
      </c>
      <c r="C129">
        <v>39819451.520699643</v>
      </c>
      <c r="D129">
        <v>37653904.919539891</v>
      </c>
      <c r="E129">
        <v>5405.4054054059998</v>
      </c>
      <c r="F129">
        <v>124324.324324324</v>
      </c>
      <c r="G129">
        <v>14</v>
      </c>
      <c r="H129">
        <v>12</v>
      </c>
      <c r="K129">
        <v>16</v>
      </c>
      <c r="L129">
        <v>15</v>
      </c>
      <c r="M129">
        <v>5987387.3873873884</v>
      </c>
      <c r="N129">
        <v>10453153.153153151</v>
      </c>
      <c r="O129">
        <v>7779954.9549549548</v>
      </c>
      <c r="P129">
        <v>7741036.036036036</v>
      </c>
      <c r="Q129">
        <v>4953963.9639639631</v>
      </c>
      <c r="R129">
        <v>10050540.540540541</v>
      </c>
      <c r="S129">
        <v>2601</v>
      </c>
      <c r="T129">
        <v>2403</v>
      </c>
    </row>
    <row r="130" spans="1:20" x14ac:dyDescent="0.35">
      <c r="A130" s="7" t="s">
        <v>218</v>
      </c>
      <c r="B130" s="12" t="s">
        <v>147</v>
      </c>
      <c r="C130">
        <v>37658689.963168174</v>
      </c>
      <c r="D130">
        <v>35893560.848547004</v>
      </c>
      <c r="E130">
        <v>17344144.144144144</v>
      </c>
      <c r="F130">
        <v>79932432.432432428</v>
      </c>
      <c r="G130">
        <v>7</v>
      </c>
      <c r="H130">
        <v>17</v>
      </c>
      <c r="K130">
        <v>7</v>
      </c>
      <c r="L130">
        <v>64</v>
      </c>
      <c r="M130">
        <v>4261936.9369369373</v>
      </c>
      <c r="N130">
        <v>20295495.495495494</v>
      </c>
      <c r="O130">
        <v>9516783.7837837841</v>
      </c>
      <c r="P130">
        <v>13057045.045045046</v>
      </c>
      <c r="Q130">
        <v>1385495.4954954961</v>
      </c>
      <c r="R130">
        <v>20409459.459459458</v>
      </c>
      <c r="S130">
        <v>2499</v>
      </c>
      <c r="T130">
        <v>2424</v>
      </c>
    </row>
    <row r="131" spans="1:20" x14ac:dyDescent="0.35">
      <c r="A131" s="7" t="s">
        <v>219</v>
      </c>
      <c r="B131" s="12" t="s">
        <v>220</v>
      </c>
      <c r="C131">
        <v>76647854.068460941</v>
      </c>
      <c r="D131">
        <v>71273713.971178398</v>
      </c>
      <c r="E131">
        <v>214653717.11711711</v>
      </c>
      <c r="F131">
        <v>258201419.81981981</v>
      </c>
      <c r="G131">
        <v>23</v>
      </c>
      <c r="H131">
        <v>12</v>
      </c>
      <c r="K131">
        <v>25</v>
      </c>
      <c r="L131">
        <v>17</v>
      </c>
      <c r="M131">
        <v>83371261.261261255</v>
      </c>
      <c r="N131">
        <v>49873063.06306307</v>
      </c>
      <c r="O131">
        <v>18798738.738738742</v>
      </c>
      <c r="P131">
        <v>17406522.522522524</v>
      </c>
      <c r="Q131">
        <v>129457117.11711711</v>
      </c>
      <c r="R131">
        <v>84491981.981981978</v>
      </c>
      <c r="S131">
        <v>6419</v>
      </c>
      <c r="T131">
        <v>6234</v>
      </c>
    </row>
    <row r="132" spans="1:20" x14ac:dyDescent="0.35">
      <c r="A132" s="7" t="s">
        <v>221</v>
      </c>
      <c r="B132" s="12" t="s">
        <v>52</v>
      </c>
      <c r="C132">
        <v>178731991.84150669</v>
      </c>
      <c r="D132">
        <v>171775205.97715366</v>
      </c>
      <c r="E132">
        <v>896396.39639639796</v>
      </c>
      <c r="F132">
        <v>1250450.4504504511</v>
      </c>
      <c r="G132">
        <v>36</v>
      </c>
      <c r="H132">
        <v>44</v>
      </c>
      <c r="K132">
        <v>42</v>
      </c>
      <c r="L132">
        <v>55</v>
      </c>
      <c r="M132">
        <v>4567837.8378378358</v>
      </c>
      <c r="N132">
        <v>5921621.6216216199</v>
      </c>
      <c r="O132">
        <v>55559009.009009011</v>
      </c>
      <c r="P132">
        <v>56242621.621621624</v>
      </c>
      <c r="Q132">
        <v>6182432.4324324317</v>
      </c>
      <c r="R132">
        <v>16351531.531531531</v>
      </c>
      <c r="S132">
        <v>10941</v>
      </c>
      <c r="T132">
        <v>10121</v>
      </c>
    </row>
    <row r="133" spans="1:20" x14ac:dyDescent="0.35">
      <c r="A133" s="7" t="s">
        <v>222</v>
      </c>
      <c r="B133" s="12" t="s">
        <v>76</v>
      </c>
      <c r="C133">
        <v>137390463.03814393</v>
      </c>
      <c r="D133">
        <v>133964264.18374223</v>
      </c>
      <c r="E133">
        <v>50090.090090090998</v>
      </c>
      <c r="F133">
        <v>333333.33333333599</v>
      </c>
      <c r="G133">
        <v>37</v>
      </c>
      <c r="H133">
        <v>23</v>
      </c>
      <c r="K133">
        <v>41</v>
      </c>
      <c r="L133">
        <v>31</v>
      </c>
      <c r="M133">
        <v>8108648.6486486467</v>
      </c>
      <c r="N133">
        <v>8516936.9369369354</v>
      </c>
      <c r="O133">
        <v>24168187.387387387</v>
      </c>
      <c r="P133">
        <v>25333896.396396395</v>
      </c>
      <c r="Q133">
        <v>8767747.7477477491</v>
      </c>
      <c r="R133">
        <v>7987567.5675675683</v>
      </c>
      <c r="S133">
        <v>7175</v>
      </c>
      <c r="T133">
        <v>6956</v>
      </c>
    </row>
    <row r="134" spans="1:20" x14ac:dyDescent="0.35">
      <c r="A134" s="7" t="s">
        <v>223</v>
      </c>
      <c r="B134" s="12" t="s">
        <v>224</v>
      </c>
      <c r="C134">
        <v>12012876.785833538</v>
      </c>
      <c r="D134">
        <v>11912133.374335192</v>
      </c>
      <c r="G134">
        <v>2</v>
      </c>
      <c r="K134">
        <v>2</v>
      </c>
      <c r="O134">
        <v>2166891.8918918921</v>
      </c>
      <c r="P134">
        <v>2687333.333333333</v>
      </c>
      <c r="Q134">
        <v>180180.18018018</v>
      </c>
      <c r="R134">
        <v>170990.99099099101</v>
      </c>
      <c r="S134">
        <v>836</v>
      </c>
      <c r="T134">
        <v>824</v>
      </c>
    </row>
    <row r="135" spans="1:20" x14ac:dyDescent="0.35">
      <c r="A135" s="7" t="s">
        <v>225</v>
      </c>
      <c r="B135" s="12" t="s">
        <v>143</v>
      </c>
      <c r="C135">
        <v>119978807.03484267</v>
      </c>
      <c r="D135">
        <v>107776308.99819779</v>
      </c>
      <c r="E135">
        <v>49551059.459459461</v>
      </c>
      <c r="F135">
        <v>70343903.603603601</v>
      </c>
      <c r="G135">
        <v>23</v>
      </c>
      <c r="H135">
        <v>29</v>
      </c>
      <c r="K135">
        <v>34</v>
      </c>
      <c r="L135">
        <v>41</v>
      </c>
      <c r="M135">
        <v>10685585.585585585</v>
      </c>
      <c r="N135">
        <v>14256756.75675676</v>
      </c>
      <c r="O135">
        <v>12818090.09009009</v>
      </c>
      <c r="P135">
        <v>14702675.675675675</v>
      </c>
      <c r="Q135">
        <v>3762702.7027027011</v>
      </c>
      <c r="R135">
        <v>3955135.1351351351</v>
      </c>
      <c r="S135">
        <v>6087</v>
      </c>
      <c r="T135">
        <v>6066</v>
      </c>
    </row>
    <row r="136" spans="1:20" x14ac:dyDescent="0.35">
      <c r="A136" s="7" t="s">
        <v>226</v>
      </c>
      <c r="B136" s="12" t="s">
        <v>224</v>
      </c>
      <c r="C136">
        <v>13198304.667053785</v>
      </c>
      <c r="D136">
        <v>11965212.441762684</v>
      </c>
      <c r="E136">
        <v>41892792.79279279</v>
      </c>
      <c r="F136">
        <v>40540.540540542002</v>
      </c>
      <c r="G136">
        <v>2</v>
      </c>
      <c r="H136">
        <v>4</v>
      </c>
      <c r="K136">
        <v>3</v>
      </c>
      <c r="L136">
        <v>4</v>
      </c>
      <c r="M136">
        <v>2674144.144144143</v>
      </c>
      <c r="N136">
        <v>2927477.4774774769</v>
      </c>
      <c r="O136">
        <v>2733963.963963964</v>
      </c>
      <c r="P136">
        <v>3266333.333333333</v>
      </c>
      <c r="Q136">
        <v>924864.86486486299</v>
      </c>
      <c r="R136">
        <v>1178018.018018018</v>
      </c>
      <c r="S136">
        <v>774</v>
      </c>
      <c r="T136">
        <v>735</v>
      </c>
    </row>
    <row r="137" spans="1:20" x14ac:dyDescent="0.35">
      <c r="A137" s="7" t="s">
        <v>227</v>
      </c>
      <c r="B137" s="12" t="s">
        <v>78</v>
      </c>
      <c r="C137">
        <v>108543611.57413107</v>
      </c>
      <c r="D137">
        <v>101989977.13377751</v>
      </c>
      <c r="E137">
        <v>330630.63063063298</v>
      </c>
      <c r="F137">
        <v>1287387.3873873891</v>
      </c>
      <c r="G137">
        <v>16</v>
      </c>
      <c r="H137">
        <v>13</v>
      </c>
      <c r="K137">
        <v>20</v>
      </c>
      <c r="L137">
        <v>18</v>
      </c>
      <c r="M137">
        <v>5763063.0630630627</v>
      </c>
      <c r="N137">
        <v>10656756.756756756</v>
      </c>
      <c r="O137">
        <v>41063917.117117122</v>
      </c>
      <c r="P137">
        <v>39153693.693693697</v>
      </c>
      <c r="Q137">
        <v>5457340.5405405397</v>
      </c>
      <c r="R137">
        <v>10328198.198198196</v>
      </c>
      <c r="S137">
        <v>4918</v>
      </c>
      <c r="T137">
        <v>4977</v>
      </c>
    </row>
    <row r="138" spans="1:20" x14ac:dyDescent="0.35">
      <c r="A138" s="7" t="s">
        <v>668</v>
      </c>
      <c r="B138" s="12" t="s">
        <v>283</v>
      </c>
      <c r="E138">
        <v>39939239.639639638</v>
      </c>
      <c r="F138">
        <v>156170259.45945945</v>
      </c>
      <c r="M138">
        <v>5557207.2072072066</v>
      </c>
      <c r="N138">
        <v>10082502.702702705</v>
      </c>
    </row>
    <row r="139" spans="1:20" x14ac:dyDescent="0.35">
      <c r="A139" s="7" t="s">
        <v>228</v>
      </c>
      <c r="B139" s="12" t="s">
        <v>136</v>
      </c>
      <c r="C139">
        <v>148006300.78121951</v>
      </c>
      <c r="D139">
        <v>137937894.28514203</v>
      </c>
      <c r="E139">
        <v>385135.13513513497</v>
      </c>
      <c r="F139">
        <v>445495.49549549998</v>
      </c>
      <c r="G139">
        <v>24</v>
      </c>
      <c r="H139">
        <v>25</v>
      </c>
      <c r="K139">
        <v>31</v>
      </c>
      <c r="L139">
        <v>31</v>
      </c>
      <c r="M139">
        <v>25593693.693693697</v>
      </c>
      <c r="N139">
        <v>17311711.711711705</v>
      </c>
      <c r="O139">
        <v>29887960.360360362</v>
      </c>
      <c r="P139">
        <v>32974918.918918919</v>
      </c>
      <c r="Q139">
        <v>21126126.126126125</v>
      </c>
      <c r="R139">
        <v>11588288.288288288</v>
      </c>
      <c r="S139">
        <v>7616</v>
      </c>
      <c r="T139">
        <v>7379</v>
      </c>
    </row>
    <row r="140" spans="1:20" x14ac:dyDescent="0.35">
      <c r="A140" s="7" t="s">
        <v>229</v>
      </c>
      <c r="B140" s="12" t="s">
        <v>78</v>
      </c>
      <c r="C140">
        <v>37781986.16138684</v>
      </c>
      <c r="D140">
        <v>39810200.972406559</v>
      </c>
      <c r="E140">
        <v>979729.72972972901</v>
      </c>
      <c r="F140">
        <v>643243.24324324401</v>
      </c>
      <c r="G140">
        <v>3</v>
      </c>
      <c r="H140">
        <v>13</v>
      </c>
      <c r="K140">
        <v>3</v>
      </c>
      <c r="L140">
        <v>14</v>
      </c>
      <c r="M140">
        <v>6475225.2252252242</v>
      </c>
      <c r="N140">
        <v>7259009.0090090092</v>
      </c>
      <c r="O140">
        <v>16410855.855855856</v>
      </c>
      <c r="P140">
        <v>18151063.063063063</v>
      </c>
      <c r="Q140">
        <v>5990630.6306306319</v>
      </c>
      <c r="R140">
        <v>6592162.1621621633</v>
      </c>
      <c r="S140">
        <v>2484</v>
      </c>
      <c r="T140">
        <v>2600</v>
      </c>
    </row>
    <row r="141" spans="1:20" x14ac:dyDescent="0.35">
      <c r="A141" s="7" t="s">
        <v>230</v>
      </c>
      <c r="B141" s="12" t="s">
        <v>54</v>
      </c>
      <c r="C141">
        <v>115568624.05395715</v>
      </c>
      <c r="D141">
        <v>109257008.76386215</v>
      </c>
      <c r="E141">
        <v>900.900900901</v>
      </c>
      <c r="F141">
        <v>281081.081081082</v>
      </c>
      <c r="G141">
        <v>4</v>
      </c>
      <c r="H141">
        <v>9</v>
      </c>
      <c r="K141">
        <v>8</v>
      </c>
      <c r="L141">
        <v>9</v>
      </c>
      <c r="M141">
        <v>1718918.9189189179</v>
      </c>
      <c r="N141">
        <v>14970270.270270271</v>
      </c>
      <c r="O141">
        <v>26634819.819819815</v>
      </c>
      <c r="P141">
        <v>26854045.045045044</v>
      </c>
      <c r="Q141">
        <v>3150720.7207207209</v>
      </c>
      <c r="R141">
        <v>18989279.27927928</v>
      </c>
      <c r="S141">
        <v>6830</v>
      </c>
      <c r="T141">
        <v>6654</v>
      </c>
    </row>
    <row r="142" spans="1:20" x14ac:dyDescent="0.35">
      <c r="A142" s="7" t="s">
        <v>231</v>
      </c>
      <c r="B142" s="12" t="s">
        <v>78</v>
      </c>
      <c r="C142">
        <v>44293609.548313327</v>
      </c>
      <c r="D142">
        <v>40547794.893172994</v>
      </c>
      <c r="E142">
        <v>94594.594594594993</v>
      </c>
      <c r="F142">
        <v>903603.60360360704</v>
      </c>
      <c r="G142">
        <v>16</v>
      </c>
      <c r="H142">
        <v>15</v>
      </c>
      <c r="K142">
        <v>19</v>
      </c>
      <c r="L142">
        <v>28</v>
      </c>
      <c r="M142">
        <v>9734234.2342342343</v>
      </c>
      <c r="N142">
        <v>8500900.9009009004</v>
      </c>
      <c r="O142">
        <v>18903513.513513513</v>
      </c>
      <c r="P142">
        <v>19050783.783783782</v>
      </c>
      <c r="Q142">
        <v>10951531.531531528</v>
      </c>
      <c r="R142">
        <v>8956036.0360360369</v>
      </c>
      <c r="S142">
        <v>4026</v>
      </c>
      <c r="T142">
        <v>3938</v>
      </c>
    </row>
    <row r="143" spans="1:20" x14ac:dyDescent="0.35">
      <c r="A143" s="7" t="s">
        <v>232</v>
      </c>
      <c r="B143" s="12" t="s">
        <v>60</v>
      </c>
      <c r="C143">
        <v>39327218.199572913</v>
      </c>
      <c r="D143">
        <v>38917290.934177041</v>
      </c>
      <c r="G143">
        <v>8</v>
      </c>
      <c r="H143">
        <v>9</v>
      </c>
      <c r="K143">
        <v>9</v>
      </c>
      <c r="L143">
        <v>9</v>
      </c>
      <c r="O143">
        <v>14954594.594594596</v>
      </c>
      <c r="P143">
        <v>15668333.333333334</v>
      </c>
      <c r="S143">
        <v>1916</v>
      </c>
      <c r="T143">
        <v>1991</v>
      </c>
    </row>
    <row r="144" spans="1:20" x14ac:dyDescent="0.35">
      <c r="A144" s="7" t="s">
        <v>233</v>
      </c>
      <c r="B144" s="12" t="s">
        <v>54</v>
      </c>
      <c r="C144">
        <v>19253271.561915256</v>
      </c>
      <c r="D144">
        <v>18323176.375021696</v>
      </c>
      <c r="E144">
        <v>9909.9099099100004</v>
      </c>
      <c r="F144">
        <v>16216.216216217001</v>
      </c>
      <c r="G144">
        <v>4</v>
      </c>
      <c r="H144">
        <v>4</v>
      </c>
      <c r="K144">
        <v>17</v>
      </c>
      <c r="L144">
        <v>4</v>
      </c>
      <c r="M144">
        <v>145045.045045045</v>
      </c>
      <c r="N144">
        <v>832072.07207207195</v>
      </c>
      <c r="O144">
        <v>3743288.2882882878</v>
      </c>
      <c r="P144">
        <v>3449054.054054054</v>
      </c>
      <c r="Q144">
        <v>1238108.1081081079</v>
      </c>
      <c r="R144">
        <v>774684.68468468601</v>
      </c>
      <c r="S144">
        <v>1082</v>
      </c>
      <c r="T144">
        <v>1024</v>
      </c>
    </row>
    <row r="145" spans="1:20" x14ac:dyDescent="0.35">
      <c r="A145" s="7" t="s">
        <v>234</v>
      </c>
      <c r="B145" s="12" t="s">
        <v>167</v>
      </c>
      <c r="C145">
        <v>89688475.438844129</v>
      </c>
      <c r="D145">
        <v>83614577.763446182</v>
      </c>
      <c r="E145">
        <v>4504.5045045050001</v>
      </c>
      <c r="F145">
        <v>283783.78378378402</v>
      </c>
      <c r="G145">
        <v>5</v>
      </c>
      <c r="H145">
        <v>4</v>
      </c>
      <c r="K145">
        <v>8</v>
      </c>
      <c r="L145">
        <v>8</v>
      </c>
      <c r="M145">
        <v>4527387.3873873902</v>
      </c>
      <c r="N145">
        <v>6193693.6936936947</v>
      </c>
      <c r="O145">
        <v>23673225.225225225</v>
      </c>
      <c r="P145">
        <v>22926387.387387387</v>
      </c>
      <c r="Q145">
        <v>4149953.153153155</v>
      </c>
      <c r="R145">
        <v>3720450.4504504502</v>
      </c>
      <c r="S145">
        <v>4755</v>
      </c>
      <c r="T145">
        <v>5090</v>
      </c>
    </row>
    <row r="146" spans="1:20" x14ac:dyDescent="0.35">
      <c r="A146" s="7" t="s">
        <v>235</v>
      </c>
      <c r="B146" s="12" t="s">
        <v>236</v>
      </c>
      <c r="C146">
        <v>6185.0602862180003</v>
      </c>
      <c r="D146">
        <v>41.199605634999998</v>
      </c>
      <c r="M146">
        <v>658108.10810810805</v>
      </c>
      <c r="S146">
        <v>23</v>
      </c>
      <c r="T146">
        <v>52</v>
      </c>
    </row>
    <row r="147" spans="1:20" x14ac:dyDescent="0.35">
      <c r="A147" s="7" t="s">
        <v>237</v>
      </c>
      <c r="B147" s="12" t="s">
        <v>105</v>
      </c>
      <c r="C147">
        <v>50208433.597497791</v>
      </c>
      <c r="D147">
        <v>48600161.156392664</v>
      </c>
      <c r="E147">
        <v>242252.25225225301</v>
      </c>
      <c r="F147">
        <v>113513.513513514</v>
      </c>
      <c r="G147">
        <v>7</v>
      </c>
      <c r="H147">
        <v>8</v>
      </c>
      <c r="K147">
        <v>8</v>
      </c>
      <c r="L147">
        <v>8</v>
      </c>
      <c r="M147">
        <v>4657387.3873873875</v>
      </c>
      <c r="N147">
        <v>5609009.0090090092</v>
      </c>
      <c r="O147">
        <v>13646432.432432432</v>
      </c>
      <c r="P147">
        <v>13468666.666666668</v>
      </c>
      <c r="Q147">
        <v>3961981.981981982</v>
      </c>
      <c r="R147">
        <v>5239729.7297297306</v>
      </c>
      <c r="S147">
        <v>1955</v>
      </c>
      <c r="T147">
        <v>1922</v>
      </c>
    </row>
    <row r="148" spans="1:20" x14ac:dyDescent="0.35">
      <c r="A148" s="7" t="s">
        <v>3</v>
      </c>
      <c r="B148" s="12" t="s">
        <v>158</v>
      </c>
      <c r="C148">
        <v>105871461.58283119</v>
      </c>
      <c r="D148">
        <v>98920079.941439569</v>
      </c>
      <c r="E148">
        <v>1304054.0540540549</v>
      </c>
      <c r="F148">
        <v>1364864.864864866</v>
      </c>
      <c r="G148">
        <v>16</v>
      </c>
      <c r="H148">
        <v>4</v>
      </c>
      <c r="K148">
        <v>18</v>
      </c>
      <c r="L148">
        <v>8</v>
      </c>
      <c r="M148">
        <v>20491441.441441443</v>
      </c>
      <c r="N148">
        <v>17967567.567567568</v>
      </c>
      <c r="O148">
        <v>26249459.459459461</v>
      </c>
      <c r="P148">
        <v>28076558.558558561</v>
      </c>
      <c r="Q148">
        <v>20997927.927927934</v>
      </c>
      <c r="R148">
        <v>16709189.189189188</v>
      </c>
      <c r="S148">
        <v>3946</v>
      </c>
      <c r="T148">
        <v>3743</v>
      </c>
    </row>
    <row r="149" spans="1:20" x14ac:dyDescent="0.35">
      <c r="A149" s="7" t="s">
        <v>238</v>
      </c>
      <c r="B149" s="12" t="s">
        <v>178</v>
      </c>
      <c r="C149">
        <v>82453120.506585956</v>
      </c>
      <c r="D149">
        <v>80885621.922954768</v>
      </c>
      <c r="E149">
        <v>25225.225225225</v>
      </c>
      <c r="F149">
        <v>296396.39639639802</v>
      </c>
      <c r="G149">
        <v>19</v>
      </c>
      <c r="H149">
        <v>19</v>
      </c>
      <c r="K149">
        <v>24</v>
      </c>
      <c r="L149">
        <v>24</v>
      </c>
      <c r="M149">
        <v>7885585.5855855849</v>
      </c>
      <c r="N149">
        <v>12008108.108108109</v>
      </c>
      <c r="O149">
        <v>26393594.594594598</v>
      </c>
      <c r="P149">
        <v>24393477.47747748</v>
      </c>
      <c r="Q149">
        <v>6426306.3063063072</v>
      </c>
      <c r="R149">
        <v>8668558.5585585572</v>
      </c>
      <c r="S149">
        <v>5538</v>
      </c>
      <c r="T149">
        <v>5094</v>
      </c>
    </row>
    <row r="150" spans="1:20" x14ac:dyDescent="0.35">
      <c r="A150" s="7" t="s">
        <v>239</v>
      </c>
      <c r="B150" s="12" t="s">
        <v>54</v>
      </c>
      <c r="C150">
        <v>60647403.932024702</v>
      </c>
      <c r="D150">
        <v>56161533.617584921</v>
      </c>
      <c r="E150">
        <v>657297.29729729705</v>
      </c>
      <c r="F150">
        <v>1042342.342342344</v>
      </c>
      <c r="G150">
        <v>5</v>
      </c>
      <c r="H150">
        <v>5</v>
      </c>
      <c r="K150">
        <v>8</v>
      </c>
      <c r="L150">
        <v>5</v>
      </c>
      <c r="M150">
        <v>4126666.666666666</v>
      </c>
      <c r="N150">
        <v>7285945.9459459474</v>
      </c>
      <c r="O150">
        <v>16355800</v>
      </c>
      <c r="P150">
        <v>14741178.37837838</v>
      </c>
      <c r="Q150">
        <v>6220403.6036036042</v>
      </c>
      <c r="R150">
        <v>6711664.8648648662</v>
      </c>
      <c r="S150">
        <v>3562</v>
      </c>
      <c r="T150">
        <v>3469</v>
      </c>
    </row>
    <row r="151" spans="1:20" x14ac:dyDescent="0.35">
      <c r="A151" s="7" t="s">
        <v>240</v>
      </c>
      <c r="B151" s="12" t="s">
        <v>241</v>
      </c>
      <c r="C151">
        <v>50416149.443346567</v>
      </c>
      <c r="D151">
        <v>47951413.063557282</v>
      </c>
      <c r="E151">
        <v>97297.297297298006</v>
      </c>
      <c r="F151">
        <v>331531.53153153299</v>
      </c>
      <c r="G151">
        <v>27</v>
      </c>
      <c r="H151">
        <v>18</v>
      </c>
      <c r="K151">
        <v>32</v>
      </c>
      <c r="L151">
        <v>20</v>
      </c>
      <c r="M151">
        <v>37144684.684684686</v>
      </c>
      <c r="N151">
        <v>5847927.9279279318</v>
      </c>
      <c r="O151">
        <v>12415540.540540541</v>
      </c>
      <c r="P151">
        <v>11652790.990990993</v>
      </c>
      <c r="Q151">
        <v>51204144.144144148</v>
      </c>
      <c r="R151">
        <v>3979009.0090090111</v>
      </c>
      <c r="S151">
        <v>2782</v>
      </c>
      <c r="T151">
        <v>2779</v>
      </c>
    </row>
    <row r="152" spans="1:20" x14ac:dyDescent="0.35">
      <c r="A152" s="7" t="s">
        <v>242</v>
      </c>
      <c r="B152" s="12" t="s">
        <v>241</v>
      </c>
      <c r="C152">
        <v>133083351.18513204</v>
      </c>
      <c r="D152">
        <v>126852083.81628388</v>
      </c>
      <c r="E152">
        <v>128828.82882883</v>
      </c>
      <c r="F152">
        <v>955855.85585585702</v>
      </c>
      <c r="G152">
        <v>56</v>
      </c>
      <c r="H152">
        <v>45</v>
      </c>
      <c r="K152">
        <v>67</v>
      </c>
      <c r="L152">
        <v>53</v>
      </c>
      <c r="M152">
        <v>26981081.081081081</v>
      </c>
      <c r="N152">
        <v>23432702.702702709</v>
      </c>
      <c r="O152">
        <v>38341279.279279277</v>
      </c>
      <c r="P152">
        <v>37702927.927927926</v>
      </c>
      <c r="Q152">
        <v>20645225.225225229</v>
      </c>
      <c r="R152">
        <v>21176576.576576576</v>
      </c>
      <c r="S152">
        <v>6905</v>
      </c>
      <c r="T152">
        <v>6713</v>
      </c>
    </row>
    <row r="153" spans="1:20" x14ac:dyDescent="0.35">
      <c r="A153" s="7" t="s">
        <v>243</v>
      </c>
      <c r="B153" s="12" t="s">
        <v>50</v>
      </c>
      <c r="C153">
        <v>25742590.182267915</v>
      </c>
      <c r="D153">
        <v>22339861.358583167</v>
      </c>
      <c r="E153">
        <v>968018.01801801904</v>
      </c>
      <c r="F153">
        <v>356756.75675675698</v>
      </c>
      <c r="G153">
        <v>5</v>
      </c>
      <c r="H153">
        <v>2</v>
      </c>
      <c r="K153">
        <v>5</v>
      </c>
      <c r="L153">
        <v>2</v>
      </c>
      <c r="M153">
        <v>2031081.0810810809</v>
      </c>
      <c r="N153">
        <v>1113513.5135135129</v>
      </c>
      <c r="O153">
        <v>8286891.8918918921</v>
      </c>
      <c r="P153">
        <v>6755702.702702703</v>
      </c>
      <c r="Q153">
        <v>2146846.8468468469</v>
      </c>
      <c r="R153">
        <v>1165135.135135134</v>
      </c>
      <c r="S153">
        <v>1205</v>
      </c>
      <c r="T153">
        <v>1163</v>
      </c>
    </row>
    <row r="154" spans="1:20" x14ac:dyDescent="0.35">
      <c r="A154" s="7" t="s">
        <v>244</v>
      </c>
      <c r="B154" s="12" t="s">
        <v>181</v>
      </c>
      <c r="C154">
        <v>718235723.97329891</v>
      </c>
      <c r="D154">
        <v>662410661.74745536</v>
      </c>
      <c r="E154">
        <v>99095429.729729742</v>
      </c>
      <c r="F154">
        <v>77947209.909909934</v>
      </c>
      <c r="G154">
        <v>224</v>
      </c>
      <c r="H154">
        <v>209</v>
      </c>
      <c r="I154">
        <v>6</v>
      </c>
      <c r="K154">
        <v>287</v>
      </c>
      <c r="L154">
        <v>343</v>
      </c>
      <c r="M154">
        <v>69541621.621621609</v>
      </c>
      <c r="N154">
        <v>88353603.603603601</v>
      </c>
      <c r="O154">
        <v>138814585.58558559</v>
      </c>
      <c r="P154">
        <v>151007829.27927929</v>
      </c>
      <c r="Q154">
        <v>68059009.009009004</v>
      </c>
      <c r="R154">
        <v>85076756.756756753</v>
      </c>
      <c r="S154">
        <v>43323</v>
      </c>
      <c r="T154">
        <v>43160</v>
      </c>
    </row>
    <row r="155" spans="1:20" x14ac:dyDescent="0.35">
      <c r="A155" s="7" t="s">
        <v>245</v>
      </c>
      <c r="B155" s="12" t="s">
        <v>48</v>
      </c>
      <c r="C155">
        <v>32675055.494859938</v>
      </c>
      <c r="D155">
        <v>31089096.482707247</v>
      </c>
      <c r="F155">
        <v>935360.36036036105</v>
      </c>
      <c r="G155">
        <v>3</v>
      </c>
      <c r="K155">
        <v>3</v>
      </c>
      <c r="L155">
        <v>1</v>
      </c>
      <c r="M155">
        <v>4129009.0090090102</v>
      </c>
      <c r="N155">
        <v>2402162.16216216</v>
      </c>
      <c r="O155">
        <v>7891981.9819819815</v>
      </c>
      <c r="P155">
        <v>6641504.5045045028</v>
      </c>
      <c r="Q155">
        <v>3915315.315315316</v>
      </c>
      <c r="R155">
        <v>2947297.2972972961</v>
      </c>
      <c r="S155">
        <v>1834</v>
      </c>
      <c r="T155">
        <v>1812</v>
      </c>
    </row>
    <row r="156" spans="1:20" x14ac:dyDescent="0.35">
      <c r="A156" s="7" t="s">
        <v>246</v>
      </c>
      <c r="B156" s="12" t="s">
        <v>94</v>
      </c>
      <c r="C156">
        <v>13504505.550880607</v>
      </c>
      <c r="D156">
        <v>7900216.2593079256</v>
      </c>
      <c r="G156">
        <v>1</v>
      </c>
      <c r="K156">
        <v>1</v>
      </c>
      <c r="O156">
        <v>2213027.0270270272</v>
      </c>
      <c r="P156">
        <v>1255891.8918918921</v>
      </c>
      <c r="S156">
        <v>695</v>
      </c>
      <c r="T156">
        <v>664</v>
      </c>
    </row>
    <row r="157" spans="1:20" x14ac:dyDescent="0.35">
      <c r="A157" s="7" t="s">
        <v>247</v>
      </c>
      <c r="B157" s="12" t="s">
        <v>117</v>
      </c>
      <c r="C157">
        <v>27359548.674118008</v>
      </c>
      <c r="D157">
        <v>27077358.019308958</v>
      </c>
      <c r="E157">
        <v>323296.39639639802</v>
      </c>
      <c r="F157">
        <v>596946.84684684803</v>
      </c>
      <c r="G157">
        <v>4</v>
      </c>
      <c r="H157">
        <v>2</v>
      </c>
      <c r="K157">
        <v>13</v>
      </c>
      <c r="L157">
        <v>3</v>
      </c>
      <c r="M157">
        <v>9165585.5855855849</v>
      </c>
      <c r="N157">
        <v>1053715.315315316</v>
      </c>
      <c r="O157">
        <v>12915360.36036036</v>
      </c>
      <c r="P157">
        <v>13991954.954954956</v>
      </c>
      <c r="Q157">
        <v>5910270.2702702712</v>
      </c>
      <c r="R157">
        <v>3245945.9459459442</v>
      </c>
      <c r="S157">
        <v>1721</v>
      </c>
      <c r="T157">
        <v>1766</v>
      </c>
    </row>
    <row r="158" spans="1:20" x14ac:dyDescent="0.35">
      <c r="A158" s="7" t="s">
        <v>248</v>
      </c>
      <c r="B158" s="12" t="s">
        <v>121</v>
      </c>
      <c r="C158">
        <v>49458843.14963533</v>
      </c>
      <c r="D158">
        <v>48532478.273471922</v>
      </c>
      <c r="E158">
        <v>16216.216216217001</v>
      </c>
      <c r="F158">
        <v>607207.20720720803</v>
      </c>
      <c r="G158">
        <v>20</v>
      </c>
      <c r="H158">
        <v>37</v>
      </c>
      <c r="K158">
        <v>23</v>
      </c>
      <c r="L158">
        <v>42</v>
      </c>
      <c r="M158">
        <v>16216.216216217001</v>
      </c>
      <c r="N158">
        <v>3355855.8558558561</v>
      </c>
      <c r="O158">
        <v>4743009.0090090092</v>
      </c>
      <c r="P158">
        <v>5373468.4684684686</v>
      </c>
      <c r="Q158">
        <v>1049639.63963964</v>
      </c>
      <c r="R158">
        <v>1269009.009009009</v>
      </c>
      <c r="S158">
        <v>2358</v>
      </c>
      <c r="T158">
        <v>2317</v>
      </c>
    </row>
    <row r="159" spans="1:20" x14ac:dyDescent="0.35">
      <c r="A159" s="7" t="s">
        <v>249</v>
      </c>
      <c r="B159" s="12" t="s">
        <v>76</v>
      </c>
      <c r="C159">
        <v>21465992.985017765</v>
      </c>
      <c r="D159">
        <v>20211017.370344229</v>
      </c>
      <c r="G159">
        <v>2</v>
      </c>
      <c r="H159">
        <v>3</v>
      </c>
      <c r="K159">
        <v>2</v>
      </c>
      <c r="L159">
        <v>3</v>
      </c>
      <c r="O159">
        <v>2422144.1441441439</v>
      </c>
      <c r="P159">
        <v>1877432.432432432</v>
      </c>
      <c r="S159">
        <v>1718</v>
      </c>
      <c r="T159">
        <v>1667</v>
      </c>
    </row>
    <row r="160" spans="1:20" x14ac:dyDescent="0.35">
      <c r="A160" s="7" t="s">
        <v>250</v>
      </c>
      <c r="B160" s="12" t="s">
        <v>167</v>
      </c>
      <c r="C160">
        <v>65730504.146109186</v>
      </c>
      <c r="D160">
        <v>64659521.668816604</v>
      </c>
      <c r="G160">
        <v>1</v>
      </c>
      <c r="H160">
        <v>7</v>
      </c>
      <c r="K160">
        <v>2</v>
      </c>
      <c r="L160">
        <v>36</v>
      </c>
      <c r="M160">
        <v>688288.28828829003</v>
      </c>
      <c r="N160">
        <v>27027.027027028002</v>
      </c>
      <c r="O160">
        <v>10488063.063063065</v>
      </c>
      <c r="P160">
        <v>13685810.810810812</v>
      </c>
      <c r="Q160">
        <v>606576.57657657797</v>
      </c>
      <c r="R160">
        <v>578018.01801801904</v>
      </c>
      <c r="S160">
        <v>3768</v>
      </c>
      <c r="T160">
        <v>3627</v>
      </c>
    </row>
    <row r="161" spans="1:20" x14ac:dyDescent="0.35">
      <c r="A161" s="7" t="s">
        <v>251</v>
      </c>
      <c r="B161" s="12" t="s">
        <v>89</v>
      </c>
      <c r="C161">
        <v>200769047.13541576</v>
      </c>
      <c r="D161">
        <v>201050166.3761698</v>
      </c>
      <c r="E161">
        <v>26985495.495495494</v>
      </c>
      <c r="F161">
        <v>135220720.72072071</v>
      </c>
      <c r="G161">
        <v>26</v>
      </c>
      <c r="H161">
        <v>28</v>
      </c>
      <c r="K161">
        <v>30</v>
      </c>
      <c r="L161">
        <v>37</v>
      </c>
      <c r="M161">
        <v>13461981.98198198</v>
      </c>
      <c r="N161">
        <v>15649189.189189188</v>
      </c>
      <c r="O161">
        <v>46638048.648648649</v>
      </c>
      <c r="P161">
        <v>48442018.018018015</v>
      </c>
      <c r="Q161">
        <v>16123423.423423424</v>
      </c>
      <c r="R161">
        <v>15817477.47747748</v>
      </c>
      <c r="S161">
        <v>10438</v>
      </c>
      <c r="T161">
        <v>11177</v>
      </c>
    </row>
    <row r="162" spans="1:20" x14ac:dyDescent="0.35">
      <c r="A162" s="7" t="s">
        <v>252</v>
      </c>
      <c r="B162" s="12" t="s">
        <v>78</v>
      </c>
      <c r="C162">
        <v>56859711.046430573</v>
      </c>
      <c r="D162">
        <v>57184744.183754005</v>
      </c>
      <c r="E162">
        <v>260360.360360361</v>
      </c>
      <c r="F162">
        <v>444144.14414414403</v>
      </c>
      <c r="G162">
        <v>11</v>
      </c>
      <c r="H162">
        <v>7</v>
      </c>
      <c r="K162">
        <v>11</v>
      </c>
      <c r="L162">
        <v>8</v>
      </c>
      <c r="M162">
        <v>8467567.5675675664</v>
      </c>
      <c r="N162">
        <v>8146846.8468468469</v>
      </c>
      <c r="O162">
        <v>15617342.342342339</v>
      </c>
      <c r="P162">
        <v>16850351.351351351</v>
      </c>
      <c r="Q162">
        <v>7225945.9459459446</v>
      </c>
      <c r="R162">
        <v>9244504.5045045037</v>
      </c>
      <c r="S162">
        <v>2925</v>
      </c>
      <c r="T162">
        <v>2866</v>
      </c>
    </row>
    <row r="163" spans="1:20" x14ac:dyDescent="0.35">
      <c r="A163" s="7" t="s">
        <v>253</v>
      </c>
      <c r="B163" s="12" t="s">
        <v>105</v>
      </c>
      <c r="C163">
        <v>111128724.83419384</v>
      </c>
      <c r="D163">
        <v>111097380.74896026</v>
      </c>
      <c r="E163">
        <v>863255.85585585702</v>
      </c>
      <c r="F163">
        <v>1246966.666666673</v>
      </c>
      <c r="G163">
        <v>23</v>
      </c>
      <c r="H163">
        <v>25</v>
      </c>
      <c r="I163">
        <v>1</v>
      </c>
      <c r="K163">
        <v>29</v>
      </c>
      <c r="L163">
        <v>26</v>
      </c>
      <c r="M163">
        <v>14563063.063063065</v>
      </c>
      <c r="N163">
        <v>14272612.612612609</v>
      </c>
      <c r="O163">
        <v>32047729.729729727</v>
      </c>
      <c r="P163">
        <v>31958486.486486487</v>
      </c>
      <c r="Q163">
        <v>12479639.639639638</v>
      </c>
      <c r="R163">
        <v>13888018.018018017</v>
      </c>
      <c r="S163">
        <v>5480</v>
      </c>
      <c r="T163">
        <v>5511</v>
      </c>
    </row>
    <row r="164" spans="1:20" x14ac:dyDescent="0.35">
      <c r="A164" s="7" t="s">
        <v>254</v>
      </c>
      <c r="B164" s="12" t="s">
        <v>105</v>
      </c>
      <c r="C164">
        <v>71989426.962256074</v>
      </c>
      <c r="D164">
        <v>66589974.603700213</v>
      </c>
      <c r="E164">
        <v>654954.95495495503</v>
      </c>
      <c r="F164">
        <v>654054.05405405501</v>
      </c>
      <c r="G164">
        <v>9</v>
      </c>
      <c r="H164">
        <v>6</v>
      </c>
      <c r="K164">
        <v>11</v>
      </c>
      <c r="L164">
        <v>7</v>
      </c>
      <c r="M164">
        <v>3560360.3603603588</v>
      </c>
      <c r="N164">
        <v>4551351.3513513505</v>
      </c>
      <c r="O164">
        <v>22312432.432432432</v>
      </c>
      <c r="P164">
        <v>19506144.144144144</v>
      </c>
      <c r="Q164">
        <v>4343063.0630630609</v>
      </c>
      <c r="R164">
        <v>3118648.6486486481</v>
      </c>
      <c r="S164">
        <v>3820</v>
      </c>
      <c r="T164">
        <v>3769</v>
      </c>
    </row>
    <row r="165" spans="1:20" x14ac:dyDescent="0.35">
      <c r="A165" s="7" t="s">
        <v>255</v>
      </c>
      <c r="B165" s="12" t="s">
        <v>105</v>
      </c>
      <c r="C165">
        <v>59927517.327969827</v>
      </c>
      <c r="D165">
        <v>60531183.613781102</v>
      </c>
      <c r="E165">
        <v>57657.657657657997</v>
      </c>
      <c r="G165">
        <v>4</v>
      </c>
      <c r="H165">
        <v>7</v>
      </c>
      <c r="K165">
        <v>4</v>
      </c>
      <c r="L165">
        <v>8</v>
      </c>
      <c r="M165">
        <v>57657.657657657997</v>
      </c>
      <c r="N165">
        <v>900900.90090090095</v>
      </c>
      <c r="O165">
        <v>12016126.126126127</v>
      </c>
      <c r="P165">
        <v>14024621.62162162</v>
      </c>
      <c r="Q165">
        <v>742162.16216216201</v>
      </c>
      <c r="R165">
        <v>671171.17117117101</v>
      </c>
      <c r="S165">
        <v>2162</v>
      </c>
      <c r="T165">
        <v>2081</v>
      </c>
    </row>
    <row r="166" spans="1:20" x14ac:dyDescent="0.35">
      <c r="A166" s="7" t="s">
        <v>256</v>
      </c>
      <c r="B166" s="12" t="s">
        <v>134</v>
      </c>
      <c r="C166">
        <v>102259438.14103435</v>
      </c>
      <c r="D166">
        <v>94934580.455778331</v>
      </c>
      <c r="E166">
        <v>135135.135135135</v>
      </c>
      <c r="F166">
        <v>360360.360360361</v>
      </c>
      <c r="G166">
        <v>15</v>
      </c>
      <c r="H166">
        <v>9</v>
      </c>
      <c r="K166">
        <v>15</v>
      </c>
      <c r="L166">
        <v>10</v>
      </c>
      <c r="M166">
        <v>1936936.936936937</v>
      </c>
      <c r="N166">
        <v>360360.360360361</v>
      </c>
      <c r="O166">
        <v>7300909.9099099096</v>
      </c>
      <c r="P166">
        <v>6735900.9009009013</v>
      </c>
      <c r="Q166">
        <v>297657.65765765798</v>
      </c>
      <c r="R166">
        <v>540090.09009008994</v>
      </c>
      <c r="S166">
        <v>4152</v>
      </c>
      <c r="T166">
        <v>4131</v>
      </c>
    </row>
    <row r="167" spans="1:20" x14ac:dyDescent="0.35">
      <c r="A167" s="7" t="s">
        <v>257</v>
      </c>
      <c r="B167" s="12" t="s">
        <v>167</v>
      </c>
      <c r="C167">
        <v>35185111.074388646</v>
      </c>
      <c r="D167">
        <v>29016857.268645056</v>
      </c>
      <c r="F167">
        <v>900900.90090090095</v>
      </c>
      <c r="G167">
        <v>15</v>
      </c>
      <c r="H167">
        <v>3</v>
      </c>
      <c r="K167">
        <v>17</v>
      </c>
      <c r="L167">
        <v>5</v>
      </c>
      <c r="M167">
        <v>2277477.4774774802</v>
      </c>
      <c r="N167">
        <v>1801801.8018018019</v>
      </c>
      <c r="O167">
        <v>12710810.810810812</v>
      </c>
      <c r="P167">
        <v>9720396.3963963967</v>
      </c>
      <c r="Q167">
        <v>2416666.6666666698</v>
      </c>
      <c r="R167">
        <v>1292972.972972973</v>
      </c>
      <c r="S167">
        <v>2537</v>
      </c>
      <c r="T167">
        <v>2447</v>
      </c>
    </row>
    <row r="168" spans="1:20" x14ac:dyDescent="0.35">
      <c r="A168" s="7" t="s">
        <v>258</v>
      </c>
      <c r="B168" s="12" t="s">
        <v>60</v>
      </c>
      <c r="C168">
        <v>14979964.432502544</v>
      </c>
      <c r="D168">
        <v>12756531.48537698</v>
      </c>
      <c r="E168">
        <v>4954.9549549550002</v>
      </c>
      <c r="F168">
        <v>7207.2072072069996</v>
      </c>
      <c r="G168">
        <v>6</v>
      </c>
      <c r="H168">
        <v>6</v>
      </c>
      <c r="I168">
        <v>1</v>
      </c>
      <c r="K168">
        <v>6</v>
      </c>
      <c r="L168">
        <v>6</v>
      </c>
      <c r="M168">
        <v>2392342.3423423409</v>
      </c>
      <c r="N168">
        <v>2466666.666666666</v>
      </c>
      <c r="O168">
        <v>5138243.2432432426</v>
      </c>
      <c r="P168">
        <v>4346567.5675675683</v>
      </c>
      <c r="Q168">
        <v>2353063.0630630641</v>
      </c>
      <c r="R168">
        <v>2484774.7747747749</v>
      </c>
      <c r="S168">
        <v>636</v>
      </c>
      <c r="T168">
        <v>627</v>
      </c>
    </row>
    <row r="169" spans="1:20" x14ac:dyDescent="0.35">
      <c r="A169" s="7" t="s">
        <v>259</v>
      </c>
      <c r="B169" s="12" t="s">
        <v>260</v>
      </c>
      <c r="C169">
        <v>6724796.6264512558</v>
      </c>
      <c r="D169">
        <v>7823472.4905315377</v>
      </c>
      <c r="E169">
        <v>1801801.8018018019</v>
      </c>
      <c r="F169">
        <v>10810.810810810999</v>
      </c>
      <c r="G169">
        <v>4</v>
      </c>
      <c r="K169">
        <v>4</v>
      </c>
      <c r="L169">
        <v>1</v>
      </c>
      <c r="M169">
        <v>1801801.8018018019</v>
      </c>
      <c r="N169">
        <v>911711.71171171195</v>
      </c>
      <c r="O169">
        <v>1396621.6216216211</v>
      </c>
      <c r="P169">
        <v>1278864.8648648651</v>
      </c>
      <c r="Q169">
        <v>2550360.3603603598</v>
      </c>
      <c r="R169">
        <v>589819.81981982</v>
      </c>
      <c r="S169">
        <v>603</v>
      </c>
      <c r="T169">
        <v>543</v>
      </c>
    </row>
    <row r="170" spans="1:20" x14ac:dyDescent="0.35">
      <c r="A170" s="7" t="s">
        <v>261</v>
      </c>
      <c r="B170" s="12" t="s">
        <v>60</v>
      </c>
      <c r="C170">
        <v>123597206.49104527</v>
      </c>
      <c r="D170">
        <v>123970049.78001691</v>
      </c>
      <c r="E170">
        <v>119124570.27027027</v>
      </c>
      <c r="F170">
        <v>229842219.81981984</v>
      </c>
      <c r="G170">
        <v>36</v>
      </c>
      <c r="H170">
        <v>94</v>
      </c>
      <c r="I170">
        <v>9</v>
      </c>
      <c r="K170">
        <v>50</v>
      </c>
      <c r="L170">
        <v>201</v>
      </c>
      <c r="M170">
        <v>19320810.810810808</v>
      </c>
      <c r="N170">
        <v>33054954.954954956</v>
      </c>
      <c r="O170">
        <v>41550072.072072074</v>
      </c>
      <c r="P170">
        <v>45543522.522522517</v>
      </c>
      <c r="Q170">
        <v>19178828.82882883</v>
      </c>
      <c r="R170">
        <v>41618288.288288288</v>
      </c>
      <c r="S170">
        <v>6208</v>
      </c>
      <c r="T170">
        <v>6085</v>
      </c>
    </row>
    <row r="171" spans="1:20" x14ac:dyDescent="0.35">
      <c r="A171" s="7" t="s">
        <v>262</v>
      </c>
      <c r="B171" s="12" t="s">
        <v>123</v>
      </c>
      <c r="C171">
        <v>101115835.84451717</v>
      </c>
      <c r="D171">
        <v>92921343.847118273</v>
      </c>
      <c r="E171">
        <v>284234.23423423502</v>
      </c>
      <c r="F171">
        <v>190090.09009009099</v>
      </c>
      <c r="G171">
        <v>14</v>
      </c>
      <c r="H171">
        <v>12</v>
      </c>
      <c r="I171">
        <v>1</v>
      </c>
      <c r="K171">
        <v>20</v>
      </c>
      <c r="L171">
        <v>15</v>
      </c>
      <c r="M171">
        <v>6015045.0450450471</v>
      </c>
      <c r="N171">
        <v>6581981.9819819834</v>
      </c>
      <c r="O171">
        <v>37713189.189189196</v>
      </c>
      <c r="P171">
        <v>37137810.810810804</v>
      </c>
      <c r="Q171">
        <v>5040180.1801801808</v>
      </c>
      <c r="R171">
        <v>5266396.3963963958</v>
      </c>
      <c r="S171">
        <v>5563</v>
      </c>
      <c r="T171">
        <v>5502</v>
      </c>
    </row>
    <row r="172" spans="1:20" x14ac:dyDescent="0.35">
      <c r="A172" s="7" t="s">
        <v>263</v>
      </c>
      <c r="B172" s="12" t="s">
        <v>123</v>
      </c>
      <c r="C172">
        <v>41564056.451176398</v>
      </c>
      <c r="D172">
        <v>40242808.844693311</v>
      </c>
      <c r="E172">
        <v>21778378.37837838</v>
      </c>
      <c r="F172">
        <v>315540.54054054199</v>
      </c>
      <c r="G172">
        <v>13</v>
      </c>
      <c r="H172">
        <v>16</v>
      </c>
      <c r="K172">
        <v>16</v>
      </c>
      <c r="L172">
        <v>16</v>
      </c>
      <c r="M172">
        <v>8174189.189189191</v>
      </c>
      <c r="N172">
        <v>10832792.792792792</v>
      </c>
      <c r="O172">
        <v>17330711.711711712</v>
      </c>
      <c r="P172">
        <v>16663099.0990991</v>
      </c>
      <c r="Q172">
        <v>8735585.5855855849</v>
      </c>
      <c r="R172">
        <v>9298108.1081081089</v>
      </c>
      <c r="S172">
        <v>2361</v>
      </c>
      <c r="T172">
        <v>2360</v>
      </c>
    </row>
    <row r="173" spans="1:20" x14ac:dyDescent="0.35">
      <c r="A173" s="7" t="s">
        <v>264</v>
      </c>
      <c r="B173" s="12" t="s">
        <v>125</v>
      </c>
      <c r="C173">
        <v>102740672.09227784</v>
      </c>
      <c r="D173">
        <v>98762943.581596196</v>
      </c>
      <c r="E173">
        <v>11261.261261262</v>
      </c>
      <c r="F173">
        <v>701801.80180180201</v>
      </c>
      <c r="G173">
        <v>10</v>
      </c>
      <c r="H173">
        <v>21</v>
      </c>
      <c r="K173">
        <v>10</v>
      </c>
      <c r="L173">
        <v>24</v>
      </c>
      <c r="M173">
        <v>14820270.270270271</v>
      </c>
      <c r="N173">
        <v>8083783.7837837823</v>
      </c>
      <c r="O173">
        <v>32137387.387387384</v>
      </c>
      <c r="P173">
        <v>33377962.162162159</v>
      </c>
      <c r="Q173">
        <v>12092612.612612613</v>
      </c>
      <c r="R173">
        <v>8144684.6846846864</v>
      </c>
      <c r="S173">
        <v>4319</v>
      </c>
      <c r="T173">
        <v>4321</v>
      </c>
    </row>
    <row r="174" spans="1:20" x14ac:dyDescent="0.35">
      <c r="A174" s="7" t="s">
        <v>265</v>
      </c>
      <c r="B174" s="12" t="s">
        <v>123</v>
      </c>
      <c r="C174">
        <v>102526286.0576608</v>
      </c>
      <c r="D174">
        <v>94496734.096286565</v>
      </c>
      <c r="E174">
        <v>26126.126126125</v>
      </c>
      <c r="F174">
        <v>333333.333333335</v>
      </c>
      <c r="G174">
        <v>25</v>
      </c>
      <c r="H174">
        <v>7</v>
      </c>
      <c r="K174">
        <v>28</v>
      </c>
      <c r="L174">
        <v>8</v>
      </c>
      <c r="M174">
        <v>9507027.0270270277</v>
      </c>
      <c r="N174">
        <v>10921441.441441439</v>
      </c>
      <c r="O174">
        <v>34712297.297297299</v>
      </c>
      <c r="P174">
        <v>33752045.045045041</v>
      </c>
      <c r="Q174">
        <v>8098738.738738738</v>
      </c>
      <c r="R174">
        <v>9147837.8378378358</v>
      </c>
      <c r="S174">
        <v>4845</v>
      </c>
      <c r="T174">
        <v>4609</v>
      </c>
    </row>
    <row r="175" spans="1:20" x14ac:dyDescent="0.35">
      <c r="A175" s="7" t="s">
        <v>266</v>
      </c>
      <c r="B175" s="12" t="s">
        <v>123</v>
      </c>
      <c r="C175">
        <v>97286298.003420949</v>
      </c>
      <c r="D175">
        <v>101141327.76267649</v>
      </c>
      <c r="E175">
        <v>837837.83783783903</v>
      </c>
      <c r="F175">
        <v>1406756.756756759</v>
      </c>
      <c r="G175">
        <v>9</v>
      </c>
      <c r="H175">
        <v>19</v>
      </c>
      <c r="K175">
        <v>12</v>
      </c>
      <c r="L175">
        <v>20</v>
      </c>
      <c r="M175">
        <v>12553693.693693696</v>
      </c>
      <c r="N175">
        <v>11827387.387387389</v>
      </c>
      <c r="O175">
        <v>39405126.126126125</v>
      </c>
      <c r="P175">
        <v>40506387.387387387</v>
      </c>
      <c r="Q175">
        <v>11605405.40540541</v>
      </c>
      <c r="R175">
        <v>11366936.936936939</v>
      </c>
      <c r="S175">
        <v>5464</v>
      </c>
      <c r="T175">
        <v>5340</v>
      </c>
    </row>
    <row r="176" spans="1:20" x14ac:dyDescent="0.35">
      <c r="A176" s="7" t="s">
        <v>267</v>
      </c>
      <c r="B176" s="12" t="s">
        <v>178</v>
      </c>
      <c r="C176">
        <v>521215703.46029723</v>
      </c>
      <c r="D176">
        <v>500343800.60778487</v>
      </c>
      <c r="E176">
        <v>447855477.47747749</v>
      </c>
      <c r="F176">
        <v>384860818.91891891</v>
      </c>
      <c r="G176">
        <v>188</v>
      </c>
      <c r="H176">
        <v>132</v>
      </c>
      <c r="K176">
        <v>375</v>
      </c>
      <c r="L176">
        <v>390</v>
      </c>
      <c r="M176">
        <v>76254864.864864871</v>
      </c>
      <c r="N176">
        <v>69707861.261261269</v>
      </c>
      <c r="O176">
        <v>151297063.06306309</v>
      </c>
      <c r="P176">
        <v>149163601.8018018</v>
      </c>
      <c r="Q176">
        <v>70269459.459459469</v>
      </c>
      <c r="R176">
        <v>61693333.333333336</v>
      </c>
      <c r="S176">
        <v>32561</v>
      </c>
      <c r="T176">
        <v>32106</v>
      </c>
    </row>
    <row r="177" spans="1:20" x14ac:dyDescent="0.35">
      <c r="A177" s="7" t="s">
        <v>268</v>
      </c>
      <c r="B177" s="12" t="s">
        <v>62</v>
      </c>
      <c r="C177">
        <v>81474267.174126431</v>
      </c>
      <c r="D177">
        <v>87230320.407054529</v>
      </c>
      <c r="E177">
        <v>909099.09909909999</v>
      </c>
      <c r="F177">
        <v>2051351.3513513531</v>
      </c>
      <c r="G177">
        <v>12</v>
      </c>
      <c r="H177">
        <v>27</v>
      </c>
      <c r="K177">
        <v>13</v>
      </c>
      <c r="L177">
        <v>31</v>
      </c>
      <c r="M177">
        <v>4875945.9459459437</v>
      </c>
      <c r="N177">
        <v>23442072.072072074</v>
      </c>
      <c r="O177">
        <v>25452027.02702703</v>
      </c>
      <c r="P177">
        <v>26550486.486486487</v>
      </c>
      <c r="Q177">
        <v>6616486.4864864862</v>
      </c>
      <c r="R177">
        <v>27795495.495495494</v>
      </c>
      <c r="S177">
        <v>4702</v>
      </c>
      <c r="T177">
        <v>4947</v>
      </c>
    </row>
    <row r="178" spans="1:20" x14ac:dyDescent="0.35">
      <c r="A178" s="7" t="s">
        <v>269</v>
      </c>
      <c r="B178" s="12" t="s">
        <v>70</v>
      </c>
      <c r="C178">
        <v>109449194.14156973</v>
      </c>
      <c r="D178">
        <v>110549090.42711581</v>
      </c>
      <c r="E178">
        <v>7883699.0990990996</v>
      </c>
      <c r="F178">
        <v>8538518.9189189225</v>
      </c>
      <c r="G178">
        <v>25</v>
      </c>
      <c r="H178">
        <v>33</v>
      </c>
      <c r="K178">
        <v>27</v>
      </c>
      <c r="L178">
        <v>41</v>
      </c>
      <c r="M178">
        <v>49637427.927927919</v>
      </c>
      <c r="N178">
        <v>44986496.396396399</v>
      </c>
      <c r="O178">
        <v>47253279.279279277</v>
      </c>
      <c r="P178">
        <v>48545270.270270273</v>
      </c>
      <c r="Q178">
        <v>10008243.243243236</v>
      </c>
      <c r="R178">
        <v>9875675.6756756809</v>
      </c>
      <c r="S178">
        <v>6985</v>
      </c>
      <c r="T178">
        <v>6954</v>
      </c>
    </row>
    <row r="179" spans="1:20" x14ac:dyDescent="0.35">
      <c r="A179" s="7" t="s">
        <v>270</v>
      </c>
      <c r="B179" s="12" t="s">
        <v>134</v>
      </c>
      <c r="C179">
        <v>831543.47625455505</v>
      </c>
      <c r="D179">
        <v>1065679.2535448361</v>
      </c>
      <c r="O179">
        <v>89189.189189188997</v>
      </c>
      <c r="P179">
        <v>86126.126126125993</v>
      </c>
      <c r="S179">
        <v>190</v>
      </c>
      <c r="T179">
        <v>242</v>
      </c>
    </row>
    <row r="180" spans="1:20" x14ac:dyDescent="0.35">
      <c r="A180" s="7" t="s">
        <v>271</v>
      </c>
      <c r="B180" s="12" t="s">
        <v>76</v>
      </c>
      <c r="C180">
        <v>50958986.794182189</v>
      </c>
      <c r="D180">
        <v>51844140.938559622</v>
      </c>
      <c r="F180">
        <v>40540.540540540998</v>
      </c>
      <c r="G180">
        <v>16</v>
      </c>
      <c r="H180">
        <v>9</v>
      </c>
      <c r="K180">
        <v>19</v>
      </c>
      <c r="L180">
        <v>11</v>
      </c>
      <c r="N180">
        <v>130630.630630631</v>
      </c>
      <c r="O180">
        <v>3455360.3603603598</v>
      </c>
      <c r="P180">
        <v>4036351.351351351</v>
      </c>
      <c r="Q180">
        <v>84684.684684684995</v>
      </c>
      <c r="R180">
        <v>128828.82882882901</v>
      </c>
      <c r="S180">
        <v>2445</v>
      </c>
      <c r="T180">
        <v>2400</v>
      </c>
    </row>
    <row r="181" spans="1:20" x14ac:dyDescent="0.35">
      <c r="A181" s="7" t="s">
        <v>272</v>
      </c>
      <c r="B181" s="12" t="s">
        <v>76</v>
      </c>
      <c r="C181">
        <v>18594656.708953273</v>
      </c>
      <c r="D181">
        <v>17530843.233374007</v>
      </c>
      <c r="E181">
        <v>53603.603603604002</v>
      </c>
      <c r="F181">
        <v>61261.261261262</v>
      </c>
      <c r="G181">
        <v>11</v>
      </c>
      <c r="H181">
        <v>1</v>
      </c>
      <c r="K181">
        <v>14</v>
      </c>
      <c r="L181">
        <v>2</v>
      </c>
      <c r="M181">
        <v>8466216.2162162177</v>
      </c>
      <c r="N181">
        <v>4809009.0090090092</v>
      </c>
      <c r="O181">
        <v>6784639.6396396402</v>
      </c>
      <c r="P181">
        <v>5432891.8918918921</v>
      </c>
      <c r="Q181">
        <v>4760630.630630631</v>
      </c>
      <c r="R181">
        <v>4702342.3423423432</v>
      </c>
      <c r="S181">
        <v>798</v>
      </c>
      <c r="T181">
        <v>783</v>
      </c>
    </row>
    <row r="182" spans="1:20" x14ac:dyDescent="0.35">
      <c r="A182" s="7" t="s">
        <v>273</v>
      </c>
      <c r="B182" s="12" t="s">
        <v>260</v>
      </c>
      <c r="C182">
        <v>394627571.22137457</v>
      </c>
      <c r="D182">
        <v>361643298.931126</v>
      </c>
      <c r="E182">
        <v>2839189.1891891938</v>
      </c>
      <c r="F182">
        <v>4828828.8288288293</v>
      </c>
      <c r="G182">
        <v>65</v>
      </c>
      <c r="H182">
        <v>91</v>
      </c>
      <c r="K182">
        <v>84</v>
      </c>
      <c r="L182">
        <v>123</v>
      </c>
      <c r="M182">
        <v>74118468.468468457</v>
      </c>
      <c r="N182">
        <v>85628828.828828827</v>
      </c>
      <c r="O182">
        <v>104014981.98198198</v>
      </c>
      <c r="P182">
        <v>109365009.009009</v>
      </c>
      <c r="Q182">
        <v>66006036.036036037</v>
      </c>
      <c r="R182">
        <v>59840090.090090089</v>
      </c>
      <c r="S182">
        <v>19167</v>
      </c>
      <c r="T182">
        <v>18437</v>
      </c>
    </row>
    <row r="183" spans="1:20" x14ac:dyDescent="0.35">
      <c r="A183" s="7" t="s">
        <v>274</v>
      </c>
      <c r="B183" s="12" t="s">
        <v>260</v>
      </c>
      <c r="C183">
        <v>90830285.236174464</v>
      </c>
      <c r="D183">
        <v>79062705.083098292</v>
      </c>
      <c r="E183">
        <v>868468.46846846899</v>
      </c>
      <c r="F183">
        <v>1072522.522522524</v>
      </c>
      <c r="G183">
        <v>6</v>
      </c>
      <c r="H183">
        <v>6</v>
      </c>
      <c r="K183">
        <v>6</v>
      </c>
      <c r="L183">
        <v>7</v>
      </c>
      <c r="M183">
        <v>5102702.7027027011</v>
      </c>
      <c r="N183">
        <v>6270270.2702702712</v>
      </c>
      <c r="O183">
        <v>15669414.414414413</v>
      </c>
      <c r="P183">
        <v>15009828.828828828</v>
      </c>
      <c r="Q183">
        <v>4386486.4864864871</v>
      </c>
      <c r="R183">
        <v>5108198.1981981993</v>
      </c>
      <c r="S183">
        <v>3794</v>
      </c>
      <c r="T183">
        <v>3744</v>
      </c>
    </row>
    <row r="184" spans="1:20" x14ac:dyDescent="0.35">
      <c r="A184" s="7" t="s">
        <v>275</v>
      </c>
      <c r="B184" s="12" t="s">
        <v>260</v>
      </c>
      <c r="C184">
        <v>95112652.278151408</v>
      </c>
      <c r="D184">
        <v>83568989.822674185</v>
      </c>
      <c r="E184">
        <v>22198198.198198199</v>
      </c>
      <c r="F184">
        <v>50837387.387387387</v>
      </c>
      <c r="G184">
        <v>11</v>
      </c>
      <c r="H184">
        <v>8</v>
      </c>
      <c r="K184">
        <v>12</v>
      </c>
      <c r="L184">
        <v>8</v>
      </c>
      <c r="M184">
        <v>21965990.990990993</v>
      </c>
      <c r="N184">
        <v>14378828.828828828</v>
      </c>
      <c r="O184">
        <v>20651576.576576576</v>
      </c>
      <c r="P184">
        <v>18308108.108108107</v>
      </c>
      <c r="Q184">
        <v>20325495.495495494</v>
      </c>
      <c r="R184">
        <v>14126396.396396397</v>
      </c>
      <c r="S184">
        <v>5988</v>
      </c>
      <c r="T184">
        <v>5832</v>
      </c>
    </row>
    <row r="185" spans="1:20" x14ac:dyDescent="0.35">
      <c r="A185" s="7" t="s">
        <v>276</v>
      </c>
      <c r="B185" s="12" t="s">
        <v>134</v>
      </c>
      <c r="C185">
        <v>115371359.05656344</v>
      </c>
      <c r="D185">
        <v>114469171.64023735</v>
      </c>
      <c r="E185">
        <v>13513.513513514001</v>
      </c>
      <c r="F185">
        <v>144144.14414414499</v>
      </c>
      <c r="G185">
        <v>20</v>
      </c>
      <c r="H185">
        <v>20</v>
      </c>
      <c r="K185">
        <v>21</v>
      </c>
      <c r="L185">
        <v>22</v>
      </c>
      <c r="M185">
        <v>3166666.666666667</v>
      </c>
      <c r="N185">
        <v>5549549.549549548</v>
      </c>
      <c r="O185">
        <v>9589540.5405405406</v>
      </c>
      <c r="P185">
        <v>9193112.6126126144</v>
      </c>
      <c r="Q185">
        <v>2869369.369369369</v>
      </c>
      <c r="R185">
        <v>2484684.684684684</v>
      </c>
      <c r="S185">
        <v>5903</v>
      </c>
      <c r="T185">
        <v>6096</v>
      </c>
    </row>
    <row r="186" spans="1:20" x14ac:dyDescent="0.35">
      <c r="A186" s="7" t="s">
        <v>277</v>
      </c>
      <c r="B186" s="12" t="s">
        <v>169</v>
      </c>
      <c r="C186">
        <v>80038326.802936524</v>
      </c>
      <c r="D186">
        <v>62664057.792086363</v>
      </c>
      <c r="E186">
        <v>306306.30630630598</v>
      </c>
      <c r="F186">
        <v>66666.666666667006</v>
      </c>
      <c r="G186">
        <v>10</v>
      </c>
      <c r="H186">
        <v>8</v>
      </c>
      <c r="K186">
        <v>11</v>
      </c>
      <c r="L186">
        <v>23</v>
      </c>
      <c r="M186">
        <v>5711711.7117117122</v>
      </c>
      <c r="N186">
        <v>4589189.18918919</v>
      </c>
      <c r="O186">
        <v>32280837.837837841</v>
      </c>
      <c r="P186">
        <v>28894846.846846849</v>
      </c>
      <c r="Q186">
        <v>4689819.8198198201</v>
      </c>
      <c r="R186">
        <v>3102252.2522522518</v>
      </c>
      <c r="S186">
        <v>3294</v>
      </c>
      <c r="T186">
        <v>3198</v>
      </c>
    </row>
    <row r="187" spans="1:20" x14ac:dyDescent="0.35">
      <c r="A187" s="7" t="s">
        <v>278</v>
      </c>
      <c r="B187" s="12" t="s">
        <v>169</v>
      </c>
      <c r="C187">
        <v>34809570.55687926</v>
      </c>
      <c r="D187">
        <v>31908042.422195788</v>
      </c>
      <c r="E187">
        <v>900.900900901</v>
      </c>
      <c r="F187">
        <v>2702.7027027029999</v>
      </c>
      <c r="G187">
        <v>1</v>
      </c>
      <c r="H187">
        <v>5</v>
      </c>
      <c r="K187">
        <v>1</v>
      </c>
      <c r="L187">
        <v>5</v>
      </c>
      <c r="M187">
        <v>901801.80180180201</v>
      </c>
      <c r="N187">
        <v>1804504.5045045051</v>
      </c>
      <c r="O187">
        <v>12674090.09009009</v>
      </c>
      <c r="P187">
        <v>14936130.630630633</v>
      </c>
      <c r="Q187">
        <v>1545945.9459459451</v>
      </c>
      <c r="R187">
        <v>1627477.4774774769</v>
      </c>
      <c r="S187">
        <v>2024</v>
      </c>
      <c r="T187">
        <v>1938</v>
      </c>
    </row>
    <row r="188" spans="1:20" x14ac:dyDescent="0.35">
      <c r="A188" s="7" t="s">
        <v>279</v>
      </c>
      <c r="B188" s="12" t="s">
        <v>87</v>
      </c>
      <c r="C188">
        <v>1030394.009250288</v>
      </c>
      <c r="D188">
        <v>1011674.430965894</v>
      </c>
      <c r="G188">
        <v>2</v>
      </c>
      <c r="H188">
        <v>3</v>
      </c>
      <c r="K188">
        <v>2</v>
      </c>
      <c r="L188">
        <v>3</v>
      </c>
      <c r="M188">
        <v>81081.081081081007</v>
      </c>
      <c r="N188">
        <v>432432.43243243202</v>
      </c>
      <c r="O188">
        <v>527250.45045044995</v>
      </c>
      <c r="P188">
        <v>401720.720720721</v>
      </c>
      <c r="S188">
        <v>191</v>
      </c>
      <c r="T188">
        <v>193</v>
      </c>
    </row>
    <row r="189" spans="1:20" x14ac:dyDescent="0.35">
      <c r="A189" s="7" t="s">
        <v>280</v>
      </c>
      <c r="B189" s="12" t="s">
        <v>169</v>
      </c>
      <c r="C189">
        <v>62472650.300771751</v>
      </c>
      <c r="D189">
        <v>66794945.206644058</v>
      </c>
      <c r="E189">
        <v>694144.14414414403</v>
      </c>
      <c r="F189">
        <v>343243.24324324401</v>
      </c>
      <c r="G189">
        <v>4</v>
      </c>
      <c r="H189">
        <v>14</v>
      </c>
      <c r="K189">
        <v>6</v>
      </c>
      <c r="L189">
        <v>18</v>
      </c>
      <c r="M189">
        <v>4340090.0900900885</v>
      </c>
      <c r="N189">
        <v>11650990.990990991</v>
      </c>
      <c r="O189">
        <v>22624189.189189188</v>
      </c>
      <c r="P189">
        <v>28602558.558558561</v>
      </c>
      <c r="Q189">
        <v>6353783.7837837841</v>
      </c>
      <c r="R189">
        <v>12187027.027027024</v>
      </c>
      <c r="S189">
        <v>4224</v>
      </c>
      <c r="T189">
        <v>4135</v>
      </c>
    </row>
    <row r="190" spans="1:20" x14ac:dyDescent="0.35">
      <c r="A190" s="7" t="s">
        <v>281</v>
      </c>
      <c r="B190" s="12" t="s">
        <v>54</v>
      </c>
      <c r="C190">
        <v>51131159.778642885</v>
      </c>
      <c r="D190">
        <v>49940032.158922814</v>
      </c>
      <c r="E190">
        <v>14895045.045045046</v>
      </c>
      <c r="F190">
        <v>23322972.972972974</v>
      </c>
      <c r="G190">
        <v>13</v>
      </c>
      <c r="H190">
        <v>14</v>
      </c>
      <c r="K190">
        <v>19</v>
      </c>
      <c r="L190">
        <v>18</v>
      </c>
      <c r="M190">
        <v>4100450.4504504488</v>
      </c>
      <c r="N190">
        <v>5432432.4324324317</v>
      </c>
      <c r="O190">
        <v>10674711.711711712</v>
      </c>
      <c r="P190">
        <v>11009936.936936935</v>
      </c>
      <c r="Q190">
        <v>4568738.738738738</v>
      </c>
      <c r="R190">
        <v>5004144.1441441439</v>
      </c>
      <c r="S190">
        <v>3850</v>
      </c>
      <c r="T190">
        <v>3660</v>
      </c>
    </row>
    <row r="191" spans="1:20" x14ac:dyDescent="0.35">
      <c r="A191" s="7" t="s">
        <v>282</v>
      </c>
      <c r="B191" s="12" t="s">
        <v>283</v>
      </c>
      <c r="C191">
        <v>82949552.711656421</v>
      </c>
      <c r="D191">
        <v>61853067.645996511</v>
      </c>
      <c r="E191">
        <v>6756.7567567570004</v>
      </c>
      <c r="F191">
        <v>118018.01801801899</v>
      </c>
      <c r="G191">
        <v>28</v>
      </c>
      <c r="H191">
        <v>14</v>
      </c>
      <c r="K191">
        <v>28</v>
      </c>
      <c r="L191">
        <v>20</v>
      </c>
      <c r="M191">
        <v>772522.52252252295</v>
      </c>
      <c r="N191">
        <v>3820720.7207207209</v>
      </c>
      <c r="O191">
        <v>9569144.1441441439</v>
      </c>
      <c r="P191">
        <v>11331261.261261262</v>
      </c>
      <c r="Q191">
        <v>1779639.6396396391</v>
      </c>
      <c r="R191">
        <v>2163783.7837837841</v>
      </c>
      <c r="S191">
        <v>3197</v>
      </c>
      <c r="T191">
        <v>3198</v>
      </c>
    </row>
    <row r="192" spans="1:20" x14ac:dyDescent="0.35">
      <c r="A192" s="7" t="s">
        <v>284</v>
      </c>
      <c r="B192" s="12" t="s">
        <v>283</v>
      </c>
      <c r="C192">
        <v>139299340.59157726</v>
      </c>
      <c r="D192">
        <v>145405276.03019643</v>
      </c>
      <c r="E192">
        <v>748198.19819819904</v>
      </c>
      <c r="F192">
        <v>866216.21621622005</v>
      </c>
      <c r="G192">
        <v>23</v>
      </c>
      <c r="H192">
        <v>19</v>
      </c>
      <c r="K192">
        <v>27</v>
      </c>
      <c r="L192">
        <v>32</v>
      </c>
      <c r="M192">
        <v>14512162.162162161</v>
      </c>
      <c r="N192">
        <v>15607207.207207208</v>
      </c>
      <c r="O192">
        <v>28204414.414414417</v>
      </c>
      <c r="P192">
        <v>31147896.396396395</v>
      </c>
      <c r="Q192">
        <v>13222072.072072076</v>
      </c>
      <c r="R192">
        <v>14220630.630630633</v>
      </c>
      <c r="S192">
        <v>8146</v>
      </c>
      <c r="T192">
        <v>8051</v>
      </c>
    </row>
    <row r="193" spans="1:20" x14ac:dyDescent="0.35">
      <c r="A193" s="7" t="s">
        <v>285</v>
      </c>
      <c r="B193" s="12" t="s">
        <v>283</v>
      </c>
      <c r="C193">
        <v>75438476.829183772</v>
      </c>
      <c r="D193">
        <v>77377276.586099148</v>
      </c>
      <c r="E193">
        <v>721621.62162162305</v>
      </c>
      <c r="F193">
        <v>320720.72072072298</v>
      </c>
      <c r="G193">
        <v>26</v>
      </c>
      <c r="H193">
        <v>10</v>
      </c>
      <c r="K193">
        <v>27</v>
      </c>
      <c r="L193">
        <v>21</v>
      </c>
      <c r="M193">
        <v>14200000</v>
      </c>
      <c r="N193">
        <v>21068468.468468472</v>
      </c>
      <c r="O193">
        <v>24264801.801801801</v>
      </c>
      <c r="P193">
        <v>24355747.747747749</v>
      </c>
      <c r="Q193">
        <v>15202612.612612613</v>
      </c>
      <c r="R193">
        <v>16623873.873873875</v>
      </c>
      <c r="S193">
        <v>4892</v>
      </c>
      <c r="T193">
        <v>4917</v>
      </c>
    </row>
    <row r="194" spans="1:20" x14ac:dyDescent="0.35">
      <c r="A194" s="7" t="s">
        <v>286</v>
      </c>
      <c r="B194" s="12" t="s">
        <v>283</v>
      </c>
      <c r="C194">
        <v>56907131.537852108</v>
      </c>
      <c r="D194">
        <v>56225070.167273887</v>
      </c>
      <c r="E194">
        <v>9909.9099099110008</v>
      </c>
      <c r="F194">
        <v>144144.144144146</v>
      </c>
      <c r="G194">
        <v>7</v>
      </c>
      <c r="H194">
        <v>2</v>
      </c>
      <c r="K194">
        <v>8</v>
      </c>
      <c r="L194">
        <v>2</v>
      </c>
      <c r="M194">
        <v>9909.9099099110008</v>
      </c>
      <c r="N194">
        <v>6792792.7927927943</v>
      </c>
      <c r="O194">
        <v>8471171.1711711697</v>
      </c>
      <c r="P194">
        <v>11494585.585585589</v>
      </c>
      <c r="Q194">
        <v>1171711.7117117119</v>
      </c>
      <c r="R194">
        <v>6899279.2792792786</v>
      </c>
      <c r="S194">
        <v>2538</v>
      </c>
      <c r="T194">
        <v>2487</v>
      </c>
    </row>
    <row r="195" spans="1:20" x14ac:dyDescent="0.35">
      <c r="A195" s="7" t="s">
        <v>287</v>
      </c>
      <c r="B195" s="12" t="s">
        <v>283</v>
      </c>
      <c r="C195">
        <v>26505169.385305528</v>
      </c>
      <c r="D195">
        <v>28477580.113252781</v>
      </c>
      <c r="E195">
        <v>1801.801801802</v>
      </c>
      <c r="F195">
        <v>221621.62162162201</v>
      </c>
      <c r="G195">
        <v>3</v>
      </c>
      <c r="K195">
        <v>3</v>
      </c>
      <c r="M195">
        <v>1801.801801802</v>
      </c>
      <c r="N195">
        <v>9888288.2882882878</v>
      </c>
      <c r="O195">
        <v>4546261.261261262</v>
      </c>
      <c r="P195">
        <v>4965936.9369369373</v>
      </c>
      <c r="R195">
        <v>7198198.1981981983</v>
      </c>
      <c r="S195">
        <v>1365</v>
      </c>
      <c r="T195">
        <v>1403</v>
      </c>
    </row>
    <row r="196" spans="1:20" x14ac:dyDescent="0.35">
      <c r="A196" s="7" t="s">
        <v>288</v>
      </c>
      <c r="B196" s="12" t="s">
        <v>283</v>
      </c>
      <c r="C196">
        <v>4921860.3360668505</v>
      </c>
      <c r="D196">
        <v>4766961.849873093</v>
      </c>
      <c r="G196">
        <v>1</v>
      </c>
      <c r="K196">
        <v>1</v>
      </c>
      <c r="N196">
        <v>5243243.2432432435</v>
      </c>
      <c r="O196">
        <v>563063.06306306296</v>
      </c>
      <c r="P196">
        <v>772171.17117117101</v>
      </c>
      <c r="S196">
        <v>312</v>
      </c>
      <c r="T196">
        <v>309</v>
      </c>
    </row>
    <row r="197" spans="1:20" x14ac:dyDescent="0.35">
      <c r="A197" s="7" t="s">
        <v>289</v>
      </c>
      <c r="B197" s="12" t="s">
        <v>290</v>
      </c>
      <c r="C197">
        <v>59108972.944759086</v>
      </c>
      <c r="D197">
        <v>59321311.78822469</v>
      </c>
      <c r="E197">
        <v>9009.0090090089998</v>
      </c>
      <c r="F197">
        <v>101801.80180180199</v>
      </c>
      <c r="G197">
        <v>23</v>
      </c>
      <c r="H197">
        <v>13</v>
      </c>
      <c r="K197">
        <v>27</v>
      </c>
      <c r="L197">
        <v>16</v>
      </c>
      <c r="M197">
        <v>909909.90990991006</v>
      </c>
      <c r="N197">
        <v>112612.612612613</v>
      </c>
      <c r="O197">
        <v>6107882.8828828838</v>
      </c>
      <c r="P197">
        <v>5299520.7207207195</v>
      </c>
      <c r="Q197">
        <v>588648.64864864899</v>
      </c>
      <c r="R197">
        <v>169369.369369369</v>
      </c>
      <c r="S197">
        <v>4168</v>
      </c>
      <c r="T197">
        <v>4424</v>
      </c>
    </row>
    <row r="198" spans="1:20" x14ac:dyDescent="0.35">
      <c r="A198" s="7" t="s">
        <v>291</v>
      </c>
      <c r="B198" s="12" t="s">
        <v>147</v>
      </c>
      <c r="C198">
        <v>129457985.75398223</v>
      </c>
      <c r="D198">
        <v>128202649.30154458</v>
      </c>
      <c r="E198">
        <v>302702.702702704</v>
      </c>
      <c r="F198">
        <v>1833333.333333336</v>
      </c>
      <c r="G198">
        <v>22</v>
      </c>
      <c r="H198">
        <v>27</v>
      </c>
      <c r="K198">
        <v>26</v>
      </c>
      <c r="L198">
        <v>43</v>
      </c>
      <c r="M198">
        <v>20355675.675675675</v>
      </c>
      <c r="N198">
        <v>54859459.459459454</v>
      </c>
      <c r="O198">
        <v>43890495.495495498</v>
      </c>
      <c r="P198">
        <v>47398180.180180177</v>
      </c>
      <c r="Q198">
        <v>18166666.666666664</v>
      </c>
      <c r="R198">
        <v>53171891.891891889</v>
      </c>
      <c r="S198">
        <v>7553</v>
      </c>
      <c r="T198">
        <v>8115</v>
      </c>
    </row>
    <row r="199" spans="1:20" x14ac:dyDescent="0.35">
      <c r="A199" s="7" t="s">
        <v>292</v>
      </c>
      <c r="B199" s="12" t="s">
        <v>293</v>
      </c>
      <c r="C199">
        <v>67820816.209563434</v>
      </c>
      <c r="D199">
        <v>63738478.593309753</v>
      </c>
      <c r="E199">
        <v>20617361.261261266</v>
      </c>
      <c r="F199">
        <v>46406125.225225225</v>
      </c>
      <c r="G199">
        <v>4</v>
      </c>
      <c r="H199">
        <v>5</v>
      </c>
      <c r="K199">
        <v>6</v>
      </c>
      <c r="L199">
        <v>8</v>
      </c>
      <c r="M199">
        <v>16302972.972972976</v>
      </c>
      <c r="N199">
        <v>12228108.108108109</v>
      </c>
      <c r="O199">
        <v>7971351.3513513524</v>
      </c>
      <c r="P199">
        <v>9518243.2432432435</v>
      </c>
      <c r="Q199">
        <v>13010540.540540539</v>
      </c>
      <c r="R199">
        <v>9245135.1351351347</v>
      </c>
      <c r="S199">
        <v>3742</v>
      </c>
      <c r="T199">
        <v>3354</v>
      </c>
    </row>
    <row r="200" spans="1:20" x14ac:dyDescent="0.35">
      <c r="A200" s="7" t="s">
        <v>294</v>
      </c>
      <c r="B200" s="12" t="s">
        <v>290</v>
      </c>
      <c r="C200">
        <v>19460231.584802765</v>
      </c>
      <c r="D200">
        <v>15209581.659596791</v>
      </c>
      <c r="E200">
        <v>276576.57657657599</v>
      </c>
      <c r="F200">
        <v>6679279.2792792805</v>
      </c>
      <c r="G200">
        <v>8</v>
      </c>
      <c r="H200">
        <v>3</v>
      </c>
      <c r="K200">
        <v>10</v>
      </c>
      <c r="L200">
        <v>3</v>
      </c>
      <c r="M200">
        <v>276576.57657657599</v>
      </c>
      <c r="N200">
        <v>2202702.702702703</v>
      </c>
      <c r="O200">
        <v>2326891.8918918921</v>
      </c>
      <c r="P200">
        <v>2251306.3063063072</v>
      </c>
      <c r="Q200">
        <v>978018.01801801904</v>
      </c>
      <c r="R200">
        <v>1024774.774774774</v>
      </c>
      <c r="S200">
        <v>1244</v>
      </c>
      <c r="T200">
        <v>1177</v>
      </c>
    </row>
    <row r="201" spans="1:20" x14ac:dyDescent="0.35">
      <c r="A201" s="7" t="s">
        <v>669</v>
      </c>
      <c r="B201" s="12" t="s">
        <v>479</v>
      </c>
      <c r="E201">
        <v>7207207.2072072066</v>
      </c>
      <c r="F201">
        <v>25405405.405405402</v>
      </c>
      <c r="M201">
        <v>1559234.2342342341</v>
      </c>
      <c r="N201">
        <v>1117792.7927927929</v>
      </c>
    </row>
    <row r="202" spans="1:20" x14ac:dyDescent="0.35">
      <c r="A202" s="7" t="s">
        <v>295</v>
      </c>
      <c r="B202" s="12" t="s">
        <v>52</v>
      </c>
      <c r="C202">
        <v>189344812.70790666</v>
      </c>
      <c r="D202">
        <v>186087965.53331918</v>
      </c>
      <c r="E202">
        <v>1000900.900900902</v>
      </c>
      <c r="F202">
        <v>2103603.6036036038</v>
      </c>
      <c r="G202">
        <v>34</v>
      </c>
      <c r="H202">
        <v>45</v>
      </c>
      <c r="K202">
        <v>42</v>
      </c>
      <c r="L202">
        <v>61</v>
      </c>
      <c r="M202">
        <v>34510810.810810812</v>
      </c>
      <c r="N202">
        <v>20983603.603603605</v>
      </c>
      <c r="O202">
        <v>47654369.369369365</v>
      </c>
      <c r="P202">
        <v>49190108.108108111</v>
      </c>
      <c r="Q202">
        <v>38391261.261261262</v>
      </c>
      <c r="R202">
        <v>37275675.675675675</v>
      </c>
      <c r="S202">
        <v>11691</v>
      </c>
      <c r="T202">
        <v>11771</v>
      </c>
    </row>
    <row r="203" spans="1:20" x14ac:dyDescent="0.35">
      <c r="A203" s="7" t="s">
        <v>296</v>
      </c>
      <c r="B203" s="12" t="s">
        <v>169</v>
      </c>
      <c r="C203">
        <v>66271650.491011009</v>
      </c>
      <c r="D203">
        <v>51433740.906253301</v>
      </c>
      <c r="E203">
        <v>1801.801801802</v>
      </c>
      <c r="G203">
        <v>6</v>
      </c>
      <c r="H203">
        <v>6</v>
      </c>
      <c r="I203">
        <v>1</v>
      </c>
      <c r="K203">
        <v>6</v>
      </c>
      <c r="L203">
        <v>11</v>
      </c>
      <c r="M203">
        <v>1803603.603603604</v>
      </c>
      <c r="N203">
        <v>4504504.5045045046</v>
      </c>
      <c r="O203">
        <v>14305198.198198199</v>
      </c>
      <c r="P203">
        <v>10985090.09009009</v>
      </c>
      <c r="Q203">
        <v>1572072.072072071</v>
      </c>
      <c r="R203">
        <v>2719099.0990990992</v>
      </c>
      <c r="S203">
        <v>4726</v>
      </c>
      <c r="T203">
        <v>4384</v>
      </c>
    </row>
    <row r="204" spans="1:20" x14ac:dyDescent="0.35">
      <c r="A204" s="7" t="s">
        <v>297</v>
      </c>
      <c r="B204" s="12" t="s">
        <v>169</v>
      </c>
      <c r="C204">
        <v>39925068.259998813</v>
      </c>
      <c r="D204">
        <v>71103140.3302439</v>
      </c>
      <c r="E204">
        <v>68581981.981981978</v>
      </c>
      <c r="F204">
        <v>68600000</v>
      </c>
      <c r="G204">
        <v>4</v>
      </c>
      <c r="H204">
        <v>17</v>
      </c>
      <c r="K204">
        <v>4</v>
      </c>
      <c r="L204">
        <v>17</v>
      </c>
      <c r="M204">
        <v>435557207.2072072</v>
      </c>
      <c r="N204">
        <v>1458330450.4504504</v>
      </c>
      <c r="O204">
        <v>14514954.954954956</v>
      </c>
      <c r="P204">
        <v>25620414.414414417</v>
      </c>
      <c r="Q204">
        <v>434668425.22522521</v>
      </c>
      <c r="R204">
        <v>1258454068.4684684</v>
      </c>
      <c r="S204">
        <v>2778</v>
      </c>
      <c r="T204">
        <v>2804</v>
      </c>
    </row>
    <row r="205" spans="1:20" x14ac:dyDescent="0.35">
      <c r="A205" s="7" t="s">
        <v>298</v>
      </c>
      <c r="B205" s="12" t="s">
        <v>89</v>
      </c>
      <c r="C205">
        <v>225167869.3780826</v>
      </c>
      <c r="D205">
        <v>211724846.504103</v>
      </c>
      <c r="E205">
        <v>80720.720720725003</v>
      </c>
      <c r="F205">
        <v>387387.38738739298</v>
      </c>
      <c r="G205">
        <v>34</v>
      </c>
      <c r="H205">
        <v>39</v>
      </c>
      <c r="K205">
        <v>38</v>
      </c>
      <c r="L205">
        <v>49</v>
      </c>
      <c r="M205">
        <v>11938198.198198196</v>
      </c>
      <c r="N205">
        <v>13897657.657657657</v>
      </c>
      <c r="O205">
        <v>40721216.216216214</v>
      </c>
      <c r="P205">
        <v>41747175.675675675</v>
      </c>
      <c r="Q205">
        <v>11168918.918918915</v>
      </c>
      <c r="R205">
        <v>17477297.297297299</v>
      </c>
      <c r="S205">
        <v>10976</v>
      </c>
      <c r="T205">
        <v>10788</v>
      </c>
    </row>
    <row r="206" spans="1:20" x14ac:dyDescent="0.35">
      <c r="A206" s="7" t="s">
        <v>299</v>
      </c>
      <c r="B206" s="12" t="s">
        <v>134</v>
      </c>
      <c r="C206">
        <v>102587796.89229979</v>
      </c>
      <c r="D206">
        <v>114937791.83847079</v>
      </c>
      <c r="E206">
        <v>555855.85585585597</v>
      </c>
      <c r="F206">
        <v>658558.558558563</v>
      </c>
      <c r="G206">
        <v>15</v>
      </c>
      <c r="H206">
        <v>17</v>
      </c>
      <c r="K206">
        <v>16</v>
      </c>
      <c r="L206">
        <v>21</v>
      </c>
      <c r="M206">
        <v>9618918.9189189151</v>
      </c>
      <c r="N206">
        <v>5156756.7567567592</v>
      </c>
      <c r="O206">
        <v>11489547.747747747</v>
      </c>
      <c r="P206">
        <v>14036081.081081079</v>
      </c>
      <c r="Q206">
        <v>7445989.18918919</v>
      </c>
      <c r="R206">
        <v>6357117.1171171162</v>
      </c>
      <c r="S206">
        <v>6817</v>
      </c>
      <c r="T206">
        <v>7020</v>
      </c>
    </row>
    <row r="207" spans="1:20" x14ac:dyDescent="0.35">
      <c r="A207" s="7" t="s">
        <v>300</v>
      </c>
      <c r="B207" s="12" t="s">
        <v>290</v>
      </c>
      <c r="C207">
        <v>88145005.703928694</v>
      </c>
      <c r="D207">
        <v>80380022.968257949</v>
      </c>
      <c r="E207">
        <v>318468.46846847102</v>
      </c>
      <c r="F207">
        <v>1398198.1981982009</v>
      </c>
      <c r="G207">
        <v>45</v>
      </c>
      <c r="H207">
        <v>26</v>
      </c>
      <c r="K207">
        <v>51</v>
      </c>
      <c r="L207">
        <v>33</v>
      </c>
      <c r="M207">
        <v>9705855.8558558561</v>
      </c>
      <c r="N207">
        <v>8026126.1261261264</v>
      </c>
      <c r="O207">
        <v>11852342.342342339</v>
      </c>
      <c r="P207">
        <v>11292975.675675675</v>
      </c>
      <c r="Q207">
        <v>7993153.1531531559</v>
      </c>
      <c r="R207">
        <v>7277927.9279279262</v>
      </c>
      <c r="S207">
        <v>4420</v>
      </c>
      <c r="T207">
        <v>4305</v>
      </c>
    </row>
    <row r="208" spans="1:20" x14ac:dyDescent="0.35">
      <c r="A208" s="7" t="s">
        <v>301</v>
      </c>
      <c r="B208" s="12" t="s">
        <v>80</v>
      </c>
      <c r="C208">
        <v>123530756.83476762</v>
      </c>
      <c r="D208">
        <v>112736446.8634472</v>
      </c>
      <c r="E208">
        <v>25278828.828828827</v>
      </c>
      <c r="F208">
        <v>17837612.612612616</v>
      </c>
      <c r="G208">
        <v>22</v>
      </c>
      <c r="H208">
        <v>17</v>
      </c>
      <c r="K208">
        <v>25</v>
      </c>
      <c r="L208">
        <v>19</v>
      </c>
      <c r="M208">
        <v>12172927.927927926</v>
      </c>
      <c r="N208">
        <v>11192792.792792792</v>
      </c>
      <c r="O208">
        <v>26771950.450450446</v>
      </c>
      <c r="P208">
        <v>24152270.270270273</v>
      </c>
      <c r="Q208">
        <v>10924774.774774771</v>
      </c>
      <c r="R208">
        <v>10509909.909909908</v>
      </c>
      <c r="S208">
        <v>5669</v>
      </c>
      <c r="T208">
        <v>5753</v>
      </c>
    </row>
    <row r="209" spans="1:20" x14ac:dyDescent="0.35">
      <c r="A209" s="7" t="s">
        <v>302</v>
      </c>
      <c r="B209" s="12" t="s">
        <v>72</v>
      </c>
      <c r="C209">
        <v>186385101.40723503</v>
      </c>
      <c r="D209">
        <v>180733931.80444095</v>
      </c>
      <c r="E209">
        <v>18018.018018018</v>
      </c>
      <c r="F209">
        <v>396396.39639639901</v>
      </c>
      <c r="G209">
        <v>44</v>
      </c>
      <c r="H209">
        <v>34</v>
      </c>
      <c r="I209">
        <v>2</v>
      </c>
      <c r="K209">
        <v>52</v>
      </c>
      <c r="L209">
        <v>43</v>
      </c>
      <c r="M209">
        <v>11765765.765765764</v>
      </c>
      <c r="N209">
        <v>10365765.765765766</v>
      </c>
      <c r="O209">
        <v>28087018.018018015</v>
      </c>
      <c r="P209">
        <v>27923945.945945945</v>
      </c>
      <c r="Q209">
        <v>12196216.216216216</v>
      </c>
      <c r="R209">
        <v>9242342.3423423432</v>
      </c>
      <c r="S209">
        <v>9128</v>
      </c>
      <c r="T209">
        <v>8793</v>
      </c>
    </row>
    <row r="210" spans="1:20" x14ac:dyDescent="0.35">
      <c r="A210" s="7" t="s">
        <v>303</v>
      </c>
      <c r="B210" s="12" t="s">
        <v>304</v>
      </c>
      <c r="C210">
        <v>630872.53256933799</v>
      </c>
      <c r="D210">
        <v>648278.44271539396</v>
      </c>
      <c r="E210">
        <v>21712849.549549554</v>
      </c>
      <c r="F210">
        <v>40528059.459459454</v>
      </c>
      <c r="M210">
        <v>31485585.585585583</v>
      </c>
      <c r="O210">
        <v>285810.810810811</v>
      </c>
      <c r="P210">
        <v>288378.37837837799</v>
      </c>
      <c r="S210">
        <v>70</v>
      </c>
      <c r="T210">
        <v>69</v>
      </c>
    </row>
    <row r="211" spans="1:20" x14ac:dyDescent="0.35">
      <c r="A211" s="7" t="s">
        <v>305</v>
      </c>
      <c r="B211" s="12" t="s">
        <v>117</v>
      </c>
      <c r="C211">
        <v>26130799.992917843</v>
      </c>
      <c r="D211">
        <v>22855749.150349233</v>
      </c>
      <c r="E211">
        <v>16216.216216217999</v>
      </c>
      <c r="F211">
        <v>86486.486486487003</v>
      </c>
      <c r="G211">
        <v>2</v>
      </c>
      <c r="K211">
        <v>3</v>
      </c>
      <c r="M211">
        <v>917117.11711711902</v>
      </c>
      <c r="N211">
        <v>1827747.7477477479</v>
      </c>
      <c r="O211">
        <v>10276531.531531531</v>
      </c>
      <c r="P211">
        <v>10565495.495495496</v>
      </c>
      <c r="Q211">
        <v>664864.86486486497</v>
      </c>
      <c r="R211">
        <v>1686306.306306306</v>
      </c>
      <c r="S211">
        <v>1898</v>
      </c>
      <c r="T211">
        <v>1925</v>
      </c>
    </row>
    <row r="212" spans="1:20" x14ac:dyDescent="0.35">
      <c r="A212" s="7" t="s">
        <v>306</v>
      </c>
      <c r="B212" s="12" t="s">
        <v>307</v>
      </c>
      <c r="C212">
        <v>29620787.806484506</v>
      </c>
      <c r="D212">
        <v>27769994.383444965</v>
      </c>
      <c r="E212">
        <v>109016216.21621622</v>
      </c>
      <c r="F212">
        <v>171464864.86486486</v>
      </c>
      <c r="G212">
        <v>10</v>
      </c>
      <c r="H212">
        <v>13</v>
      </c>
      <c r="K212">
        <v>12</v>
      </c>
      <c r="L212">
        <v>16</v>
      </c>
      <c r="M212">
        <v>1723783.7837837839</v>
      </c>
      <c r="N212">
        <v>1233783.7837837839</v>
      </c>
      <c r="O212">
        <v>14582747.747747747</v>
      </c>
      <c r="P212">
        <v>15099396.396396397</v>
      </c>
      <c r="Q212">
        <v>312072.072072073</v>
      </c>
      <c r="R212">
        <v>267207.20720720798</v>
      </c>
      <c r="S212">
        <v>4328</v>
      </c>
      <c r="T212">
        <v>4523</v>
      </c>
    </row>
    <row r="213" spans="1:20" x14ac:dyDescent="0.35">
      <c r="A213" s="7" t="s">
        <v>308</v>
      </c>
      <c r="B213" s="12" t="s">
        <v>140</v>
      </c>
      <c r="C213">
        <v>195600943.27458334</v>
      </c>
      <c r="D213">
        <v>197109781.65710196</v>
      </c>
      <c r="E213">
        <v>221756.75675675701</v>
      </c>
      <c r="F213">
        <v>640540.54054054897</v>
      </c>
      <c r="G213">
        <v>14</v>
      </c>
      <c r="H213">
        <v>28</v>
      </c>
      <c r="K213">
        <v>27</v>
      </c>
      <c r="L213">
        <v>35</v>
      </c>
      <c r="M213">
        <v>30368918.918918919</v>
      </c>
      <c r="N213">
        <v>36898198.198198207</v>
      </c>
      <c r="O213">
        <v>39124908.108108111</v>
      </c>
      <c r="P213">
        <v>42765963.963963963</v>
      </c>
      <c r="Q213">
        <v>15352882.882882882</v>
      </c>
      <c r="R213">
        <v>19073243.243243247</v>
      </c>
      <c r="S213">
        <v>8031</v>
      </c>
      <c r="T213">
        <v>8038</v>
      </c>
    </row>
    <row r="214" spans="1:20" x14ac:dyDescent="0.35">
      <c r="A214" s="7" t="s">
        <v>309</v>
      </c>
      <c r="B214" s="12" t="s">
        <v>132</v>
      </c>
      <c r="C214">
        <v>214527483.13713136</v>
      </c>
      <c r="D214">
        <v>172596587.11095154</v>
      </c>
      <c r="E214">
        <v>1046846.846846848</v>
      </c>
      <c r="F214">
        <v>1876576.5765765761</v>
      </c>
      <c r="G214">
        <v>47</v>
      </c>
      <c r="H214">
        <v>41</v>
      </c>
      <c r="K214">
        <v>57</v>
      </c>
      <c r="L214">
        <v>54</v>
      </c>
      <c r="M214">
        <v>8808558.5585585609</v>
      </c>
      <c r="N214">
        <v>3579279.2792792791</v>
      </c>
      <c r="O214">
        <v>54576306.306306303</v>
      </c>
      <c r="P214">
        <v>46869855.855855852</v>
      </c>
      <c r="Q214">
        <v>8217027.0270270286</v>
      </c>
      <c r="R214">
        <v>7270630.6306306301</v>
      </c>
      <c r="S214">
        <v>12077</v>
      </c>
      <c r="T214">
        <v>11560</v>
      </c>
    </row>
    <row r="215" spans="1:20" x14ac:dyDescent="0.35">
      <c r="A215" s="7" t="s">
        <v>310</v>
      </c>
      <c r="B215" s="12" t="s">
        <v>72</v>
      </c>
      <c r="C215">
        <v>329763756.19858158</v>
      </c>
      <c r="D215">
        <v>302404955.58988661</v>
      </c>
      <c r="E215">
        <v>843783.783783786</v>
      </c>
      <c r="F215">
        <v>2225450.4504504558</v>
      </c>
      <c r="G215">
        <v>71</v>
      </c>
      <c r="H215">
        <v>52</v>
      </c>
      <c r="K215">
        <v>84</v>
      </c>
      <c r="L215">
        <v>67</v>
      </c>
      <c r="M215">
        <v>43376216.216216207</v>
      </c>
      <c r="N215">
        <v>45687387.387387387</v>
      </c>
      <c r="O215">
        <v>76660936.936936945</v>
      </c>
      <c r="P215">
        <v>74663232.432432428</v>
      </c>
      <c r="Q215">
        <v>37779549.549549542</v>
      </c>
      <c r="R215">
        <v>40045585.585585587</v>
      </c>
      <c r="S215">
        <v>16517</v>
      </c>
      <c r="T215">
        <v>16664</v>
      </c>
    </row>
    <row r="216" spans="1:20" x14ac:dyDescent="0.35">
      <c r="A216" s="7" t="s">
        <v>311</v>
      </c>
      <c r="B216" s="12" t="s">
        <v>62</v>
      </c>
      <c r="C216">
        <v>55622668.548385806</v>
      </c>
      <c r="D216">
        <v>53373496.699761808</v>
      </c>
      <c r="E216">
        <v>18018.018018019</v>
      </c>
      <c r="F216">
        <v>400900.90090090298</v>
      </c>
      <c r="G216">
        <v>3</v>
      </c>
      <c r="H216">
        <v>7</v>
      </c>
      <c r="K216">
        <v>3</v>
      </c>
      <c r="L216">
        <v>9</v>
      </c>
      <c r="M216">
        <v>9793873.8738738727</v>
      </c>
      <c r="N216">
        <v>9387747.7477477472</v>
      </c>
      <c r="O216">
        <v>13735801.801801803</v>
      </c>
      <c r="P216">
        <v>14365576.576576576</v>
      </c>
      <c r="Q216">
        <v>6455675.6756756753</v>
      </c>
      <c r="R216">
        <v>10949459.459459459</v>
      </c>
      <c r="S216">
        <v>2292</v>
      </c>
      <c r="T216">
        <v>2608</v>
      </c>
    </row>
    <row r="217" spans="1:20" x14ac:dyDescent="0.35">
      <c r="A217" s="7" t="s">
        <v>312</v>
      </c>
      <c r="B217" s="12" t="s">
        <v>89</v>
      </c>
      <c r="C217">
        <v>19095842.325769704</v>
      </c>
      <c r="D217">
        <v>18127928.755227603</v>
      </c>
      <c r="E217">
        <v>10810.810810810999</v>
      </c>
      <c r="F217">
        <v>140540.540540541</v>
      </c>
      <c r="G217">
        <v>2</v>
      </c>
      <c r="H217">
        <v>5</v>
      </c>
      <c r="K217">
        <v>3</v>
      </c>
      <c r="L217">
        <v>5</v>
      </c>
      <c r="M217">
        <v>686486.48648648604</v>
      </c>
      <c r="N217">
        <v>3744324.3243243252</v>
      </c>
      <c r="O217">
        <v>5144729.7297297297</v>
      </c>
      <c r="P217">
        <v>5963729.7297297297</v>
      </c>
      <c r="Q217">
        <v>247297.29729729699</v>
      </c>
      <c r="R217">
        <v>4309909.9099099087</v>
      </c>
      <c r="S217">
        <v>1128</v>
      </c>
      <c r="T217">
        <v>1129</v>
      </c>
    </row>
    <row r="218" spans="1:20" x14ac:dyDescent="0.35">
      <c r="A218" s="7" t="s">
        <v>313</v>
      </c>
      <c r="B218" s="12" t="s">
        <v>92</v>
      </c>
      <c r="C218">
        <v>8420739.1506695114</v>
      </c>
      <c r="D218">
        <v>8307447.9547736468</v>
      </c>
      <c r="F218">
        <v>54054.054054054002</v>
      </c>
      <c r="N218">
        <v>54054.054054054002</v>
      </c>
      <c r="O218">
        <v>723198.19819819799</v>
      </c>
      <c r="P218">
        <v>530225.22522522497</v>
      </c>
      <c r="R218">
        <v>145045.045045045</v>
      </c>
      <c r="S218">
        <v>520</v>
      </c>
      <c r="T218">
        <v>885</v>
      </c>
    </row>
    <row r="219" spans="1:20" x14ac:dyDescent="0.35">
      <c r="A219" s="7" t="s">
        <v>314</v>
      </c>
      <c r="B219" s="12" t="s">
        <v>315</v>
      </c>
      <c r="C219">
        <v>63949938.837584399</v>
      </c>
      <c r="D219">
        <v>60250230.634893917</v>
      </c>
      <c r="E219">
        <v>54054.054054054002</v>
      </c>
      <c r="F219">
        <v>493243.24324324197</v>
      </c>
      <c r="G219">
        <v>18</v>
      </c>
      <c r="H219">
        <v>15</v>
      </c>
      <c r="K219">
        <v>21</v>
      </c>
      <c r="L219">
        <v>15</v>
      </c>
      <c r="M219">
        <v>3135135.1351351319</v>
      </c>
      <c r="N219">
        <v>5793693.6936936909</v>
      </c>
      <c r="O219">
        <v>10038918.918918919</v>
      </c>
      <c r="P219">
        <v>9092936.9369369354</v>
      </c>
      <c r="Q219">
        <v>3603783.7837837809</v>
      </c>
      <c r="R219">
        <v>4597747.7477477472</v>
      </c>
      <c r="S219">
        <v>3561</v>
      </c>
      <c r="T219">
        <v>3459</v>
      </c>
    </row>
    <row r="220" spans="1:20" x14ac:dyDescent="0.35">
      <c r="A220" s="7" t="s">
        <v>316</v>
      </c>
      <c r="B220" s="12" t="s">
        <v>62</v>
      </c>
      <c r="C220">
        <v>103776343.18767953</v>
      </c>
      <c r="D220">
        <v>108880717.97051895</v>
      </c>
      <c r="E220">
        <v>415765.765765769</v>
      </c>
      <c r="F220">
        <v>2541441.441441447</v>
      </c>
      <c r="G220">
        <v>33</v>
      </c>
      <c r="H220">
        <v>16</v>
      </c>
      <c r="K220">
        <v>41</v>
      </c>
      <c r="L220">
        <v>24</v>
      </c>
      <c r="M220">
        <v>6452252.25225225</v>
      </c>
      <c r="N220">
        <v>22801261.261261258</v>
      </c>
      <c r="O220">
        <v>34966117.117117114</v>
      </c>
      <c r="P220">
        <v>36316234.234234229</v>
      </c>
      <c r="Q220">
        <v>6400900.9009009004</v>
      </c>
      <c r="R220">
        <v>21833243.24324324</v>
      </c>
      <c r="S220">
        <v>8731</v>
      </c>
      <c r="T220">
        <v>8871</v>
      </c>
    </row>
    <row r="221" spans="1:20" x14ac:dyDescent="0.35">
      <c r="A221" s="7" t="s">
        <v>317</v>
      </c>
      <c r="B221" s="12" t="s">
        <v>62</v>
      </c>
      <c r="C221">
        <v>105184583.59512755</v>
      </c>
      <c r="D221">
        <v>97667262.971320838</v>
      </c>
      <c r="E221">
        <v>43243.243243245</v>
      </c>
      <c r="F221">
        <v>758558.55855855998</v>
      </c>
      <c r="G221">
        <v>36</v>
      </c>
      <c r="H221">
        <v>6</v>
      </c>
      <c r="K221">
        <v>41</v>
      </c>
      <c r="L221">
        <v>7</v>
      </c>
      <c r="M221">
        <v>6517477.477477476</v>
      </c>
      <c r="N221">
        <v>15794414.414414411</v>
      </c>
      <c r="O221">
        <v>34544684.684684686</v>
      </c>
      <c r="P221">
        <v>33244405.405405402</v>
      </c>
      <c r="Q221">
        <v>8055675.6756756753</v>
      </c>
      <c r="R221">
        <v>15051351.351351349</v>
      </c>
      <c r="S221">
        <v>5557</v>
      </c>
      <c r="T221">
        <v>4565</v>
      </c>
    </row>
    <row r="222" spans="1:20" x14ac:dyDescent="0.35">
      <c r="A222" s="7" t="s">
        <v>318</v>
      </c>
      <c r="B222" s="12" t="s">
        <v>78</v>
      </c>
      <c r="C222">
        <v>106350671.35099283</v>
      </c>
      <c r="D222">
        <v>101342093.92068116</v>
      </c>
      <c r="E222">
        <v>2065405.405405408</v>
      </c>
      <c r="F222">
        <v>1498198.1981982021</v>
      </c>
      <c r="G222">
        <v>16</v>
      </c>
      <c r="H222">
        <v>27</v>
      </c>
      <c r="K222">
        <v>24</v>
      </c>
      <c r="L222">
        <v>50</v>
      </c>
      <c r="M222">
        <v>16515855.855855852</v>
      </c>
      <c r="N222">
        <v>22184684.684684686</v>
      </c>
      <c r="O222">
        <v>42060810.810810804</v>
      </c>
      <c r="P222">
        <v>41906292.79279279</v>
      </c>
      <c r="Q222">
        <v>20142522.522522524</v>
      </c>
      <c r="R222">
        <v>25260270.270270269</v>
      </c>
      <c r="S222">
        <v>8775</v>
      </c>
      <c r="T222">
        <v>8456</v>
      </c>
    </row>
    <row r="223" spans="1:20" x14ac:dyDescent="0.35">
      <c r="A223" s="7" t="s">
        <v>319</v>
      </c>
      <c r="B223" s="12" t="s">
        <v>78</v>
      </c>
      <c r="C223">
        <v>64313501.992403418</v>
      </c>
      <c r="D223">
        <v>60886042.512684643</v>
      </c>
      <c r="E223">
        <v>819099.09909909905</v>
      </c>
      <c r="F223">
        <v>941441.44144144398</v>
      </c>
      <c r="G223">
        <v>12</v>
      </c>
      <c r="H223">
        <v>19</v>
      </c>
      <c r="I223">
        <v>1</v>
      </c>
      <c r="K223">
        <v>17</v>
      </c>
      <c r="L223">
        <v>29</v>
      </c>
      <c r="M223">
        <v>6008288.2882882869</v>
      </c>
      <c r="N223">
        <v>5130630.630630631</v>
      </c>
      <c r="O223">
        <v>22644477.47747748</v>
      </c>
      <c r="P223">
        <v>22268468.468468469</v>
      </c>
      <c r="Q223">
        <v>4897117.1171171162</v>
      </c>
      <c r="R223">
        <v>4565855.8558558598</v>
      </c>
      <c r="S223">
        <v>5742</v>
      </c>
      <c r="T223">
        <v>5598</v>
      </c>
    </row>
    <row r="224" spans="1:20" x14ac:dyDescent="0.35">
      <c r="A224" s="7" t="s">
        <v>320</v>
      </c>
      <c r="B224" s="12" t="s">
        <v>121</v>
      </c>
      <c r="C224">
        <v>490522.17949967599</v>
      </c>
      <c r="D224">
        <v>460273.561939003</v>
      </c>
      <c r="K224">
        <v>2</v>
      </c>
      <c r="O224">
        <v>152252.25225225199</v>
      </c>
      <c r="P224">
        <v>35225.225225224996</v>
      </c>
      <c r="S224">
        <v>63</v>
      </c>
      <c r="T224">
        <v>126</v>
      </c>
    </row>
    <row r="225" spans="1:20" x14ac:dyDescent="0.35">
      <c r="A225" s="7" t="s">
        <v>321</v>
      </c>
      <c r="B225" s="12" t="s">
        <v>224</v>
      </c>
      <c r="C225">
        <v>80984059.736102268</v>
      </c>
      <c r="D225">
        <v>68777480.514243066</v>
      </c>
      <c r="F225">
        <v>18018.018018018</v>
      </c>
      <c r="G225">
        <v>20</v>
      </c>
      <c r="H225">
        <v>19</v>
      </c>
      <c r="K225">
        <v>22</v>
      </c>
      <c r="L225">
        <v>22</v>
      </c>
      <c r="M225">
        <v>1499099.0990990989</v>
      </c>
      <c r="N225">
        <v>1821261.2612612599</v>
      </c>
      <c r="O225">
        <v>29578873.873873871</v>
      </c>
      <c r="P225">
        <v>29228286.486486487</v>
      </c>
      <c r="Q225">
        <v>1674684.684684685</v>
      </c>
      <c r="R225">
        <v>1414954.9549549529</v>
      </c>
      <c r="S225">
        <v>4023</v>
      </c>
      <c r="T225">
        <v>4083</v>
      </c>
    </row>
    <row r="226" spans="1:20" x14ac:dyDescent="0.35">
      <c r="A226" s="7" t="s">
        <v>322</v>
      </c>
      <c r="B226" s="12" t="s">
        <v>224</v>
      </c>
      <c r="C226">
        <v>57920580.6775373</v>
      </c>
      <c r="D226">
        <v>48531006.637898155</v>
      </c>
      <c r="E226">
        <v>16216.216216217001</v>
      </c>
      <c r="F226">
        <v>2702.7027027029999</v>
      </c>
      <c r="G226">
        <v>7</v>
      </c>
      <c r="H226">
        <v>2</v>
      </c>
      <c r="K226">
        <v>8</v>
      </c>
      <c r="L226">
        <v>2</v>
      </c>
      <c r="M226">
        <v>4535855.8558558552</v>
      </c>
      <c r="N226">
        <v>5002702.702702702</v>
      </c>
      <c r="O226">
        <v>15767882.882882884</v>
      </c>
      <c r="P226">
        <v>14330585.585585587</v>
      </c>
      <c r="Q226">
        <v>3435855.855855858</v>
      </c>
      <c r="R226">
        <v>3395675.6756756739</v>
      </c>
      <c r="S226">
        <v>2220</v>
      </c>
      <c r="T226">
        <v>2169</v>
      </c>
    </row>
    <row r="227" spans="1:20" x14ac:dyDescent="0.35">
      <c r="A227" s="7" t="s">
        <v>665</v>
      </c>
      <c r="B227" s="12" t="s">
        <v>94</v>
      </c>
      <c r="E227">
        <v>8108108.1081081079</v>
      </c>
      <c r="F227">
        <v>24662162.162162159</v>
      </c>
      <c r="M227">
        <v>3300900.9009009008</v>
      </c>
      <c r="N227">
        <v>2172972.9729729728</v>
      </c>
    </row>
    <row r="228" spans="1:20" x14ac:dyDescent="0.35">
      <c r="A228" s="7" t="s">
        <v>323</v>
      </c>
      <c r="B228" s="12" t="s">
        <v>78</v>
      </c>
      <c r="C228">
        <v>78064003.434530377</v>
      </c>
      <c r="D228">
        <v>77154485.358732432</v>
      </c>
      <c r="E228">
        <v>610360.36036036105</v>
      </c>
      <c r="F228">
        <v>286486.48648648598</v>
      </c>
      <c r="G228">
        <v>19</v>
      </c>
      <c r="H228">
        <v>36</v>
      </c>
      <c r="K228">
        <v>23</v>
      </c>
      <c r="L228">
        <v>62</v>
      </c>
      <c r="M228">
        <v>10227477.477477476</v>
      </c>
      <c r="N228">
        <v>11727927.927927928</v>
      </c>
      <c r="O228">
        <v>21801851.351351351</v>
      </c>
      <c r="P228">
        <v>23940297.297297295</v>
      </c>
      <c r="Q228">
        <v>7807297.297297297</v>
      </c>
      <c r="R228">
        <v>9607657.6576576568</v>
      </c>
      <c r="S228">
        <v>4731</v>
      </c>
      <c r="T228">
        <v>4591</v>
      </c>
    </row>
    <row r="229" spans="1:20" x14ac:dyDescent="0.35">
      <c r="A229" s="7" t="s">
        <v>324</v>
      </c>
      <c r="B229" s="12" t="s">
        <v>108</v>
      </c>
      <c r="C229">
        <v>364005708.31010258</v>
      </c>
      <c r="D229">
        <v>356374034.33524108</v>
      </c>
      <c r="E229">
        <v>268708162.16216218</v>
      </c>
      <c r="F229">
        <v>4305237.8378378442</v>
      </c>
      <c r="G229">
        <v>71</v>
      </c>
      <c r="H229">
        <v>60</v>
      </c>
      <c r="K229">
        <v>124</v>
      </c>
      <c r="L229">
        <v>87</v>
      </c>
      <c r="M229">
        <v>25992882.882882878</v>
      </c>
      <c r="N229">
        <v>29319099.099099096</v>
      </c>
      <c r="O229">
        <v>86981599.0990991</v>
      </c>
      <c r="P229">
        <v>90924252.252252251</v>
      </c>
      <c r="Q229">
        <v>27540540.540540535</v>
      </c>
      <c r="R229">
        <v>33555585.585585579</v>
      </c>
      <c r="S229">
        <v>21977</v>
      </c>
      <c r="T229">
        <v>22390</v>
      </c>
    </row>
    <row r="230" spans="1:20" x14ac:dyDescent="0.35">
      <c r="A230" s="7" t="s">
        <v>325</v>
      </c>
      <c r="B230" s="12" t="s">
        <v>224</v>
      </c>
      <c r="C230">
        <v>88208789.741870999</v>
      </c>
      <c r="D230">
        <v>70374632.496375635</v>
      </c>
      <c r="E230">
        <v>332972.97297297302</v>
      </c>
      <c r="F230">
        <v>217117.11711711701</v>
      </c>
      <c r="G230">
        <v>30</v>
      </c>
      <c r="H230">
        <v>5</v>
      </c>
      <c r="K230">
        <v>35</v>
      </c>
      <c r="L230">
        <v>5</v>
      </c>
      <c r="M230">
        <v>7720360.3603603598</v>
      </c>
      <c r="N230">
        <v>8418558.5585585572</v>
      </c>
      <c r="O230">
        <v>15604117.117117116</v>
      </c>
      <c r="P230">
        <v>15236207.207207208</v>
      </c>
      <c r="Q230">
        <v>6417117.1171171172</v>
      </c>
      <c r="R230">
        <v>8240270.2702702694</v>
      </c>
      <c r="S230">
        <v>4241</v>
      </c>
      <c r="T230">
        <v>4389</v>
      </c>
    </row>
    <row r="231" spans="1:20" x14ac:dyDescent="0.35">
      <c r="A231" s="7" t="s">
        <v>4</v>
      </c>
      <c r="B231" s="12" t="s">
        <v>158</v>
      </c>
      <c r="C231">
        <v>61670974.297474183</v>
      </c>
      <c r="D231">
        <v>62753068.502111703</v>
      </c>
      <c r="E231">
        <v>619819.81981982</v>
      </c>
      <c r="F231">
        <v>581081.08108108304</v>
      </c>
      <c r="G231">
        <v>5</v>
      </c>
      <c r="H231">
        <v>4</v>
      </c>
      <c r="K231">
        <v>5</v>
      </c>
      <c r="L231">
        <v>7</v>
      </c>
      <c r="M231">
        <v>9532882.8828828838</v>
      </c>
      <c r="N231">
        <v>18331531.531531531</v>
      </c>
      <c r="O231">
        <v>21948063.063063063</v>
      </c>
      <c r="P231">
        <v>21526333.333333336</v>
      </c>
      <c r="Q231">
        <v>9781081.0810810793</v>
      </c>
      <c r="R231">
        <v>18255495.495495494</v>
      </c>
      <c r="S231">
        <v>3593</v>
      </c>
      <c r="T231">
        <v>3508</v>
      </c>
    </row>
    <row r="232" spans="1:20" x14ac:dyDescent="0.35">
      <c r="A232" s="7" t="s">
        <v>326</v>
      </c>
      <c r="B232" s="12" t="s">
        <v>108</v>
      </c>
      <c r="C232">
        <v>289581133.29503548</v>
      </c>
      <c r="D232">
        <v>288680718.37249911</v>
      </c>
      <c r="E232">
        <v>44192972.972972974</v>
      </c>
      <c r="F232">
        <v>18091216.216216225</v>
      </c>
      <c r="G232">
        <v>71</v>
      </c>
      <c r="H232">
        <v>78</v>
      </c>
      <c r="K232">
        <v>110</v>
      </c>
      <c r="L232">
        <v>99</v>
      </c>
      <c r="M232">
        <v>38611441.441441439</v>
      </c>
      <c r="N232">
        <v>38589549.54954955</v>
      </c>
      <c r="O232">
        <v>80956576.576576576</v>
      </c>
      <c r="P232">
        <v>87416927.927927941</v>
      </c>
      <c r="Q232">
        <v>34245135.135135137</v>
      </c>
      <c r="R232">
        <v>34314594.59459459</v>
      </c>
      <c r="S232">
        <v>19999</v>
      </c>
      <c r="T232">
        <v>19668</v>
      </c>
    </row>
    <row r="233" spans="1:20" x14ac:dyDescent="0.35">
      <c r="A233" s="7" t="s">
        <v>327</v>
      </c>
      <c r="B233" s="12" t="s">
        <v>78</v>
      </c>
      <c r="C233">
        <v>30749454.943165712</v>
      </c>
      <c r="D233">
        <v>29714551.162230752</v>
      </c>
      <c r="E233">
        <v>143243.24324324401</v>
      </c>
      <c r="F233">
        <v>109009.00900901</v>
      </c>
      <c r="G233">
        <v>13</v>
      </c>
      <c r="H233">
        <v>11</v>
      </c>
      <c r="K233">
        <v>13</v>
      </c>
      <c r="L233">
        <v>12</v>
      </c>
      <c r="M233">
        <v>2125225.2252252251</v>
      </c>
      <c r="N233">
        <v>2000900.9009009011</v>
      </c>
      <c r="O233">
        <v>8924729.7297297306</v>
      </c>
      <c r="P233">
        <v>10198279.27927928</v>
      </c>
      <c r="Q233">
        <v>1638288.288288289</v>
      </c>
      <c r="R233">
        <v>2506216.2162162168</v>
      </c>
      <c r="S233">
        <v>2122</v>
      </c>
      <c r="T233">
        <v>2129</v>
      </c>
    </row>
    <row r="234" spans="1:20" x14ac:dyDescent="0.35">
      <c r="A234" s="7" t="s">
        <v>328</v>
      </c>
      <c r="B234" s="12" t="s">
        <v>121</v>
      </c>
      <c r="C234">
        <v>85360130.263480544</v>
      </c>
      <c r="D234">
        <v>77419069.057546467</v>
      </c>
      <c r="E234">
        <v>44144.144144145997</v>
      </c>
      <c r="F234">
        <v>506981.98198198102</v>
      </c>
      <c r="G234">
        <v>30</v>
      </c>
      <c r="H234">
        <v>21</v>
      </c>
      <c r="K234">
        <v>35</v>
      </c>
      <c r="L234">
        <v>25</v>
      </c>
      <c r="M234">
        <v>3387387.3873873889</v>
      </c>
      <c r="N234">
        <v>5108108.1081081079</v>
      </c>
      <c r="O234">
        <v>12261693.693693694</v>
      </c>
      <c r="P234">
        <v>10461382.882882882</v>
      </c>
      <c r="Q234">
        <v>3932072.072072072</v>
      </c>
      <c r="R234">
        <v>3858648.6486486471</v>
      </c>
      <c r="S234">
        <v>4175</v>
      </c>
      <c r="T234">
        <v>3945</v>
      </c>
    </row>
    <row r="235" spans="1:20" x14ac:dyDescent="0.35">
      <c r="A235" s="7" t="s">
        <v>329</v>
      </c>
      <c r="B235" s="12" t="s">
        <v>330</v>
      </c>
      <c r="C235">
        <v>195777418.40042594</v>
      </c>
      <c r="D235">
        <v>184906642.04953915</v>
      </c>
      <c r="E235">
        <v>883333.33333333605</v>
      </c>
      <c r="F235">
        <v>1856981.9819819829</v>
      </c>
      <c r="G235">
        <v>56</v>
      </c>
      <c r="H235">
        <v>55</v>
      </c>
      <c r="I235">
        <v>6</v>
      </c>
      <c r="K235">
        <v>66</v>
      </c>
      <c r="L235">
        <v>74</v>
      </c>
      <c r="M235">
        <v>11383153.153153151</v>
      </c>
      <c r="N235">
        <v>14915315.315315312</v>
      </c>
      <c r="O235">
        <v>39972315.315315314</v>
      </c>
      <c r="P235">
        <v>39650000</v>
      </c>
      <c r="Q235">
        <v>12302972.972972972</v>
      </c>
      <c r="R235">
        <v>12546216.216216216</v>
      </c>
      <c r="S235">
        <v>14643</v>
      </c>
      <c r="T235">
        <v>13747</v>
      </c>
    </row>
    <row r="236" spans="1:20" x14ac:dyDescent="0.35">
      <c r="A236" s="7" t="s">
        <v>331</v>
      </c>
      <c r="B236" s="12" t="s">
        <v>290</v>
      </c>
      <c r="C236">
        <v>286932010.46949005</v>
      </c>
      <c r="D236">
        <v>280102914.31299001</v>
      </c>
      <c r="E236">
        <v>42933443.243243247</v>
      </c>
      <c r="F236">
        <v>62944324.324324325</v>
      </c>
      <c r="G236">
        <v>85</v>
      </c>
      <c r="H236">
        <v>90</v>
      </c>
      <c r="K236">
        <v>104</v>
      </c>
      <c r="L236">
        <v>115</v>
      </c>
      <c r="M236">
        <v>33796319.81981983</v>
      </c>
      <c r="N236">
        <v>37631304.504504502</v>
      </c>
      <c r="O236">
        <v>48785405.40540541</v>
      </c>
      <c r="P236">
        <v>49593520.720720723</v>
      </c>
      <c r="Q236">
        <v>25691891.891891897</v>
      </c>
      <c r="R236">
        <v>24885495.495495494</v>
      </c>
      <c r="S236">
        <v>17036</v>
      </c>
      <c r="T236">
        <v>17809</v>
      </c>
    </row>
    <row r="237" spans="1:20" x14ac:dyDescent="0.35">
      <c r="A237" s="7" t="s">
        <v>332</v>
      </c>
      <c r="B237" s="12" t="s">
        <v>290</v>
      </c>
      <c r="C237">
        <v>211587091.96910489</v>
      </c>
      <c r="D237">
        <v>209662135.88891187</v>
      </c>
      <c r="E237">
        <v>1444594.5945945969</v>
      </c>
      <c r="F237">
        <v>1832432.4324324359</v>
      </c>
      <c r="G237">
        <v>53</v>
      </c>
      <c r="H237">
        <v>35</v>
      </c>
      <c r="I237">
        <v>1</v>
      </c>
      <c r="K237">
        <v>68</v>
      </c>
      <c r="L237">
        <v>44</v>
      </c>
      <c r="M237">
        <v>20142792.792792801</v>
      </c>
      <c r="N237">
        <v>25810810.810810808</v>
      </c>
      <c r="O237">
        <v>50220081.081081077</v>
      </c>
      <c r="P237">
        <v>54730027.027027026</v>
      </c>
      <c r="Q237">
        <v>23264144.144144151</v>
      </c>
      <c r="R237">
        <v>28575045.045045048</v>
      </c>
      <c r="S237">
        <v>14711</v>
      </c>
      <c r="T237">
        <v>14607</v>
      </c>
    </row>
    <row r="238" spans="1:20" x14ac:dyDescent="0.35">
      <c r="A238" s="7" t="s">
        <v>333</v>
      </c>
      <c r="B238" s="12" t="s">
        <v>60</v>
      </c>
      <c r="C238">
        <v>29151902.003159311</v>
      </c>
      <c r="D238">
        <v>29454244.008851543</v>
      </c>
      <c r="E238">
        <v>315315.31531531602</v>
      </c>
      <c r="F238">
        <v>669369.36936937005</v>
      </c>
      <c r="G238">
        <v>9</v>
      </c>
      <c r="H238">
        <v>26</v>
      </c>
      <c r="K238">
        <v>13</v>
      </c>
      <c r="L238">
        <v>40</v>
      </c>
      <c r="M238">
        <v>5360360.3603603598</v>
      </c>
      <c r="N238">
        <v>7022162.1621621614</v>
      </c>
      <c r="O238">
        <v>10357972.972972972</v>
      </c>
      <c r="P238">
        <v>10376936.936936935</v>
      </c>
      <c r="Q238">
        <v>5233783.7837837841</v>
      </c>
      <c r="R238">
        <v>6584504.5045045037</v>
      </c>
      <c r="S238">
        <v>1958</v>
      </c>
      <c r="T238">
        <v>1840</v>
      </c>
    </row>
    <row r="239" spans="1:20" x14ac:dyDescent="0.35">
      <c r="A239" s="7" t="s">
        <v>334</v>
      </c>
      <c r="B239" s="12" t="s">
        <v>60</v>
      </c>
      <c r="C239">
        <v>4682043.8036595397</v>
      </c>
      <c r="D239">
        <v>5273929.5954281278</v>
      </c>
      <c r="E239">
        <v>110810.810810811</v>
      </c>
      <c r="F239">
        <v>215315.31531531599</v>
      </c>
      <c r="G239">
        <v>1</v>
      </c>
      <c r="H239">
        <v>3</v>
      </c>
      <c r="K239">
        <v>1</v>
      </c>
      <c r="L239">
        <v>5</v>
      </c>
      <c r="M239">
        <v>156756.75675675701</v>
      </c>
      <c r="N239">
        <v>457207.20720720798</v>
      </c>
      <c r="O239">
        <v>2512657.6576576582</v>
      </c>
      <c r="P239">
        <v>3347432.4324324322</v>
      </c>
      <c r="Q239">
        <v>302702.70270270202</v>
      </c>
      <c r="R239">
        <v>399909.90990991</v>
      </c>
      <c r="S239">
        <v>955</v>
      </c>
      <c r="T239">
        <v>1126</v>
      </c>
    </row>
    <row r="240" spans="1:20" x14ac:dyDescent="0.35">
      <c r="A240" s="7" t="s">
        <v>335</v>
      </c>
      <c r="B240" s="12" t="s">
        <v>121</v>
      </c>
      <c r="C240">
        <v>48246.755720973997</v>
      </c>
      <c r="D240">
        <v>689599.86273177306</v>
      </c>
      <c r="E240">
        <v>747387.38738738699</v>
      </c>
      <c r="F240">
        <v>36513828.828828834</v>
      </c>
      <c r="N240">
        <v>652437.83783783799</v>
      </c>
      <c r="O240">
        <v>34234.234234233998</v>
      </c>
      <c r="P240">
        <v>46396.396396395998</v>
      </c>
      <c r="T240">
        <v>165</v>
      </c>
    </row>
    <row r="241" spans="1:20" x14ac:dyDescent="0.35">
      <c r="A241" s="7" t="s">
        <v>336</v>
      </c>
      <c r="B241" s="12" t="s">
        <v>121</v>
      </c>
      <c r="C241">
        <v>1067257.1358274459</v>
      </c>
      <c r="D241">
        <v>1092057.2268147131</v>
      </c>
      <c r="G241">
        <v>1</v>
      </c>
      <c r="K241">
        <v>2</v>
      </c>
      <c r="O241">
        <v>330000</v>
      </c>
      <c r="P241">
        <v>186576.576576577</v>
      </c>
      <c r="S241">
        <v>104</v>
      </c>
      <c r="T241">
        <v>89</v>
      </c>
    </row>
    <row r="242" spans="1:20" x14ac:dyDescent="0.35">
      <c r="A242" s="7" t="s">
        <v>337</v>
      </c>
      <c r="B242" s="12" t="s">
        <v>121</v>
      </c>
      <c r="C242">
        <v>886467.09533173905</v>
      </c>
      <c r="D242">
        <v>755119.48862001195</v>
      </c>
      <c r="G242">
        <v>2</v>
      </c>
      <c r="K242">
        <v>2</v>
      </c>
      <c r="O242">
        <v>34909.909909909999</v>
      </c>
      <c r="P242">
        <v>14414.414414413999</v>
      </c>
      <c r="S242">
        <v>156</v>
      </c>
      <c r="T242">
        <v>139</v>
      </c>
    </row>
    <row r="243" spans="1:20" x14ac:dyDescent="0.35">
      <c r="A243" s="7" t="s">
        <v>338</v>
      </c>
      <c r="B243" s="12" t="s">
        <v>140</v>
      </c>
      <c r="C243">
        <v>329033781.88106233</v>
      </c>
      <c r="D243">
        <v>322296989.18485773</v>
      </c>
      <c r="E243">
        <v>215225.225225228</v>
      </c>
      <c r="F243">
        <v>870270.27027027495</v>
      </c>
      <c r="G243">
        <v>66</v>
      </c>
      <c r="H243">
        <v>42</v>
      </c>
      <c r="K243">
        <v>77</v>
      </c>
      <c r="L243">
        <v>75</v>
      </c>
      <c r="M243">
        <v>34170188.288288288</v>
      </c>
      <c r="N243">
        <v>27224144.144144144</v>
      </c>
      <c r="O243">
        <v>63270396.396396399</v>
      </c>
      <c r="P243">
        <v>61536081.081081077</v>
      </c>
      <c r="Q243">
        <v>27646936.936936941</v>
      </c>
      <c r="R243">
        <v>26757387.387387384</v>
      </c>
      <c r="S243">
        <v>16089</v>
      </c>
      <c r="T243">
        <v>16496</v>
      </c>
    </row>
    <row r="244" spans="1:20" x14ac:dyDescent="0.35">
      <c r="A244" s="7" t="s">
        <v>339</v>
      </c>
      <c r="B244" s="12" t="s">
        <v>121</v>
      </c>
      <c r="C244">
        <v>52417921.641186178</v>
      </c>
      <c r="D244">
        <v>48287681.536320262</v>
      </c>
      <c r="E244">
        <v>3603.603603604</v>
      </c>
      <c r="G244">
        <v>31</v>
      </c>
      <c r="H244">
        <v>15</v>
      </c>
      <c r="K244">
        <v>37</v>
      </c>
      <c r="L244">
        <v>15</v>
      </c>
      <c r="M244">
        <v>3603.603603604</v>
      </c>
      <c r="O244">
        <v>3920486.4864864871</v>
      </c>
      <c r="P244">
        <v>3357711.7117117122</v>
      </c>
      <c r="S244">
        <v>2431</v>
      </c>
      <c r="T244">
        <v>2476</v>
      </c>
    </row>
    <row r="245" spans="1:20" x14ac:dyDescent="0.35">
      <c r="A245" s="7" t="s">
        <v>340</v>
      </c>
      <c r="B245" s="12" t="s">
        <v>140</v>
      </c>
      <c r="C245">
        <v>166546277.07591066</v>
      </c>
      <c r="D245">
        <v>174440650.10226357</v>
      </c>
      <c r="E245">
        <v>128378.37837837799</v>
      </c>
      <c r="F245">
        <v>703153.15315315605</v>
      </c>
      <c r="G245">
        <v>14</v>
      </c>
      <c r="H245">
        <v>25</v>
      </c>
      <c r="K245">
        <v>46</v>
      </c>
      <c r="L245">
        <v>34</v>
      </c>
      <c r="M245">
        <v>26330180.180180185</v>
      </c>
      <c r="N245">
        <v>30285765.765765764</v>
      </c>
      <c r="O245">
        <v>43127045.045045041</v>
      </c>
      <c r="P245">
        <v>50307754.954954959</v>
      </c>
      <c r="Q245">
        <v>25828378.378378376</v>
      </c>
      <c r="R245">
        <v>25288468.468468469</v>
      </c>
      <c r="S245">
        <v>8691</v>
      </c>
      <c r="T245">
        <v>8832</v>
      </c>
    </row>
    <row r="246" spans="1:20" x14ac:dyDescent="0.35">
      <c r="A246" s="7" t="s">
        <v>341</v>
      </c>
      <c r="B246" s="12" t="s">
        <v>134</v>
      </c>
      <c r="C246">
        <v>19790988.205120303</v>
      </c>
      <c r="D246">
        <v>17262894.063035384</v>
      </c>
      <c r="E246">
        <v>900.900900901</v>
      </c>
      <c r="F246">
        <v>40540.540540540998</v>
      </c>
      <c r="G246">
        <v>4</v>
      </c>
      <c r="H246">
        <v>4</v>
      </c>
      <c r="K246">
        <v>4</v>
      </c>
      <c r="L246">
        <v>5</v>
      </c>
      <c r="M246">
        <v>766666.66666666698</v>
      </c>
      <c r="N246">
        <v>1031531.5315315319</v>
      </c>
      <c r="O246">
        <v>1356486.4864864871</v>
      </c>
      <c r="P246">
        <v>1520405.4054054059</v>
      </c>
      <c r="Q246">
        <v>599279.27927927906</v>
      </c>
      <c r="R246">
        <v>433333.33333333302</v>
      </c>
      <c r="S246">
        <v>1322</v>
      </c>
      <c r="T246">
        <v>1280</v>
      </c>
    </row>
    <row r="247" spans="1:20" x14ac:dyDescent="0.35">
      <c r="A247" s="7" t="s">
        <v>342</v>
      </c>
      <c r="B247" s="12" t="s">
        <v>121</v>
      </c>
      <c r="C247">
        <v>1035808.713186451</v>
      </c>
      <c r="D247">
        <v>268899.03362868202</v>
      </c>
      <c r="G247">
        <v>2</v>
      </c>
      <c r="K247">
        <v>3</v>
      </c>
      <c r="O247">
        <v>438963.96396396402</v>
      </c>
      <c r="P247">
        <v>47072.072072071998</v>
      </c>
      <c r="S247">
        <v>404</v>
      </c>
    </row>
    <row r="248" spans="1:20" x14ac:dyDescent="0.35">
      <c r="A248" s="7" t="s">
        <v>5</v>
      </c>
      <c r="B248" s="12" t="s">
        <v>158</v>
      </c>
      <c r="C248">
        <v>56470759.380839221</v>
      </c>
      <c r="D248">
        <v>66706310.144264825</v>
      </c>
      <c r="E248">
        <v>3925675.6756756762</v>
      </c>
      <c r="F248">
        <v>76281981.981981978</v>
      </c>
      <c r="G248">
        <v>5</v>
      </c>
      <c r="H248">
        <v>7</v>
      </c>
      <c r="K248">
        <v>7</v>
      </c>
      <c r="L248">
        <v>7</v>
      </c>
      <c r="M248">
        <v>18019774.774774775</v>
      </c>
      <c r="N248">
        <v>13801801.801801803</v>
      </c>
      <c r="O248">
        <v>25460450.45045045</v>
      </c>
      <c r="P248">
        <v>26893441.441441439</v>
      </c>
      <c r="Q248">
        <v>3166216.2162162149</v>
      </c>
      <c r="R248">
        <v>5072072.072072072</v>
      </c>
      <c r="S248">
        <v>3293</v>
      </c>
      <c r="T248">
        <v>2900</v>
      </c>
    </row>
    <row r="249" spans="1:20" x14ac:dyDescent="0.35">
      <c r="A249" s="7" t="s">
        <v>343</v>
      </c>
      <c r="B249" s="12" t="s">
        <v>304</v>
      </c>
      <c r="C249">
        <v>7119071.5248163678</v>
      </c>
      <c r="D249">
        <v>10085904.3346311</v>
      </c>
      <c r="E249">
        <v>900.900900901</v>
      </c>
      <c r="G249">
        <v>11</v>
      </c>
      <c r="H249">
        <v>6</v>
      </c>
      <c r="K249">
        <v>13</v>
      </c>
      <c r="L249">
        <v>8</v>
      </c>
      <c r="M249">
        <v>900.900900901</v>
      </c>
      <c r="O249">
        <v>1473378.378378378</v>
      </c>
      <c r="P249">
        <v>1644810.8108108109</v>
      </c>
      <c r="Q249">
        <v>241891.89189189201</v>
      </c>
      <c r="R249">
        <v>133333.33333333299</v>
      </c>
      <c r="S249">
        <v>564</v>
      </c>
      <c r="T249">
        <v>539</v>
      </c>
    </row>
    <row r="250" spans="1:20" x14ac:dyDescent="0.35">
      <c r="A250" s="7" t="s">
        <v>344</v>
      </c>
      <c r="B250" s="12" t="s">
        <v>105</v>
      </c>
      <c r="C250">
        <v>128740850.8399903</v>
      </c>
      <c r="D250">
        <v>125303648.46304557</v>
      </c>
      <c r="E250">
        <v>5476576.5765765756</v>
      </c>
      <c r="F250">
        <v>751801.80180180399</v>
      </c>
      <c r="G250">
        <v>27</v>
      </c>
      <c r="H250">
        <v>19</v>
      </c>
      <c r="K250">
        <v>29</v>
      </c>
      <c r="L250">
        <v>23</v>
      </c>
      <c r="M250">
        <v>14639819.819819819</v>
      </c>
      <c r="N250">
        <v>18365675.675675675</v>
      </c>
      <c r="O250">
        <v>32562873.873873871</v>
      </c>
      <c r="P250">
        <v>31336837.837837841</v>
      </c>
      <c r="Q250">
        <v>13849459.459459458</v>
      </c>
      <c r="R250">
        <v>17170720.720720723</v>
      </c>
      <c r="S250">
        <v>5827</v>
      </c>
      <c r="T250">
        <v>5666</v>
      </c>
    </row>
    <row r="251" spans="1:20" x14ac:dyDescent="0.35">
      <c r="A251" s="7" t="s">
        <v>345</v>
      </c>
      <c r="B251" s="12" t="s">
        <v>87</v>
      </c>
      <c r="C251">
        <v>40667723.329960681</v>
      </c>
      <c r="D251">
        <v>40268900.656195939</v>
      </c>
      <c r="E251">
        <v>291891.891891893</v>
      </c>
      <c r="F251">
        <v>67567.567567569</v>
      </c>
      <c r="G251">
        <v>20</v>
      </c>
      <c r="H251">
        <v>14</v>
      </c>
      <c r="K251">
        <v>24</v>
      </c>
      <c r="L251">
        <v>16</v>
      </c>
      <c r="M251">
        <v>9571171.1711711716</v>
      </c>
      <c r="N251">
        <v>13599099.0990991</v>
      </c>
      <c r="O251">
        <v>8987139.6396396402</v>
      </c>
      <c r="P251">
        <v>10236421.621621622</v>
      </c>
      <c r="Q251">
        <v>5441351.3513513524</v>
      </c>
      <c r="R251">
        <v>7318331.5315315304</v>
      </c>
      <c r="S251">
        <v>2149</v>
      </c>
      <c r="T251">
        <v>2292</v>
      </c>
    </row>
    <row r="252" spans="1:20" x14ac:dyDescent="0.35">
      <c r="A252" s="7" t="s">
        <v>346</v>
      </c>
      <c r="B252" s="12" t="s">
        <v>87</v>
      </c>
      <c r="C252">
        <v>123836363.73476849</v>
      </c>
      <c r="D252">
        <v>111680098.02799977</v>
      </c>
      <c r="E252">
        <v>118018.01801801899</v>
      </c>
      <c r="F252">
        <v>942342.34234234598</v>
      </c>
      <c r="G252">
        <v>77</v>
      </c>
      <c r="H252">
        <v>88</v>
      </c>
      <c r="I252">
        <v>1</v>
      </c>
      <c r="K252">
        <v>96</v>
      </c>
      <c r="L252">
        <v>106</v>
      </c>
      <c r="M252">
        <v>12316216.21621622</v>
      </c>
      <c r="N252">
        <v>11417117.117117116</v>
      </c>
      <c r="O252">
        <v>18516121.621621624</v>
      </c>
      <c r="P252">
        <v>20224189.189189192</v>
      </c>
      <c r="Q252">
        <v>10102792.792792793</v>
      </c>
      <c r="R252">
        <v>8685315.3153153155</v>
      </c>
      <c r="S252">
        <v>6993</v>
      </c>
      <c r="T252">
        <v>6656</v>
      </c>
    </row>
    <row r="253" spans="1:20" x14ac:dyDescent="0.35">
      <c r="A253" s="7" t="s">
        <v>347</v>
      </c>
      <c r="B253" s="12" t="s">
        <v>87</v>
      </c>
      <c r="C253">
        <v>3046925.6300547328</v>
      </c>
      <c r="D253">
        <v>3462880.7146405568</v>
      </c>
      <c r="G253">
        <v>1</v>
      </c>
      <c r="H253">
        <v>6</v>
      </c>
      <c r="K253">
        <v>5</v>
      </c>
      <c r="L253">
        <v>8</v>
      </c>
      <c r="O253">
        <v>1926531.5315315321</v>
      </c>
      <c r="P253">
        <v>1390126.1261261259</v>
      </c>
      <c r="S253">
        <v>790</v>
      </c>
      <c r="T253">
        <v>804</v>
      </c>
    </row>
    <row r="254" spans="1:20" x14ac:dyDescent="0.35">
      <c r="A254" s="7" t="s">
        <v>348</v>
      </c>
      <c r="B254" s="12" t="s">
        <v>87</v>
      </c>
      <c r="C254">
        <v>1099658.94683477</v>
      </c>
      <c r="D254">
        <v>1648590.830448651</v>
      </c>
      <c r="H254">
        <v>1</v>
      </c>
      <c r="L254">
        <v>1</v>
      </c>
      <c r="O254">
        <v>177837.83783783799</v>
      </c>
      <c r="P254">
        <v>861081.08108108095</v>
      </c>
      <c r="S254">
        <v>167</v>
      </c>
      <c r="T254">
        <v>190</v>
      </c>
    </row>
    <row r="255" spans="1:20" x14ac:dyDescent="0.35">
      <c r="A255" s="7" t="s">
        <v>349</v>
      </c>
      <c r="B255" s="12" t="s">
        <v>87</v>
      </c>
      <c r="C255">
        <v>1310788.35266029</v>
      </c>
      <c r="D255">
        <v>1342434.6903406151</v>
      </c>
      <c r="H255">
        <v>2</v>
      </c>
      <c r="K255">
        <v>2</v>
      </c>
      <c r="L255">
        <v>4</v>
      </c>
      <c r="O255">
        <v>563603.60360360297</v>
      </c>
      <c r="P255">
        <v>817666.66666666698</v>
      </c>
      <c r="S255">
        <v>656</v>
      </c>
      <c r="T255">
        <v>617</v>
      </c>
    </row>
    <row r="256" spans="1:20" x14ac:dyDescent="0.35">
      <c r="A256" s="7" t="s">
        <v>350</v>
      </c>
      <c r="B256" s="12" t="s">
        <v>87</v>
      </c>
      <c r="C256">
        <v>35991896.446427122</v>
      </c>
      <c r="D256">
        <v>34588715.465054855</v>
      </c>
      <c r="E256">
        <v>4504.5045045050001</v>
      </c>
      <c r="F256">
        <v>68468.468468469</v>
      </c>
      <c r="G256">
        <v>15</v>
      </c>
      <c r="H256">
        <v>10</v>
      </c>
      <c r="K256">
        <v>18</v>
      </c>
      <c r="L256">
        <v>13</v>
      </c>
      <c r="M256">
        <v>3572972.9729729742</v>
      </c>
      <c r="N256">
        <v>3732432.4324324341</v>
      </c>
      <c r="O256">
        <v>6709594.594594596</v>
      </c>
      <c r="P256">
        <v>7034684.6846846836</v>
      </c>
      <c r="Q256">
        <v>2903783.7837837851</v>
      </c>
      <c r="R256">
        <v>2763243.243243244</v>
      </c>
      <c r="S256">
        <v>1723</v>
      </c>
      <c r="T256">
        <v>1931</v>
      </c>
    </row>
    <row r="257" spans="1:20" x14ac:dyDescent="0.35">
      <c r="A257" s="7" t="s">
        <v>351</v>
      </c>
      <c r="B257" s="12" t="s">
        <v>50</v>
      </c>
      <c r="C257">
        <v>85010329.407838225</v>
      </c>
      <c r="D257">
        <v>96575820.657839805</v>
      </c>
      <c r="E257">
        <v>33801094.594594598</v>
      </c>
      <c r="F257">
        <v>91316723.423423424</v>
      </c>
      <c r="G257">
        <v>11</v>
      </c>
      <c r="H257">
        <v>36</v>
      </c>
      <c r="K257">
        <v>12</v>
      </c>
      <c r="L257">
        <v>41</v>
      </c>
      <c r="M257">
        <v>86471400.9009009</v>
      </c>
      <c r="N257">
        <v>11367567.567567568</v>
      </c>
      <c r="O257">
        <v>32901576.576576576</v>
      </c>
      <c r="P257">
        <v>35506968.468468465</v>
      </c>
      <c r="Q257">
        <v>13200630.630630633</v>
      </c>
      <c r="R257">
        <v>10156576.576576576</v>
      </c>
      <c r="S257">
        <v>4261</v>
      </c>
      <c r="T257">
        <v>6239</v>
      </c>
    </row>
    <row r="258" spans="1:20" x14ac:dyDescent="0.35">
      <c r="A258" s="7" t="s">
        <v>352</v>
      </c>
      <c r="B258" s="12" t="s">
        <v>123</v>
      </c>
      <c r="C258">
        <v>517239.23987676599</v>
      </c>
      <c r="D258">
        <v>566229.58077564905</v>
      </c>
      <c r="H258">
        <v>1</v>
      </c>
      <c r="L258">
        <v>1</v>
      </c>
      <c r="O258">
        <v>187252.25225225199</v>
      </c>
      <c r="P258">
        <v>250495.49549549501</v>
      </c>
      <c r="S258">
        <v>109</v>
      </c>
      <c r="T258">
        <v>115</v>
      </c>
    </row>
    <row r="259" spans="1:20" x14ac:dyDescent="0.35">
      <c r="A259" s="7" t="s">
        <v>353</v>
      </c>
      <c r="B259" s="12" t="s">
        <v>354</v>
      </c>
      <c r="C259">
        <v>166740116.25574651</v>
      </c>
      <c r="D259">
        <v>155899072.01802346</v>
      </c>
      <c r="E259">
        <v>15445945.945945946</v>
      </c>
      <c r="F259">
        <v>8668468.4684684686</v>
      </c>
      <c r="G259">
        <v>58</v>
      </c>
      <c r="H259">
        <v>76</v>
      </c>
      <c r="K259">
        <v>158</v>
      </c>
      <c r="L259">
        <v>389</v>
      </c>
      <c r="M259">
        <v>87563378.378378391</v>
      </c>
      <c r="N259">
        <v>124786711.7117117</v>
      </c>
      <c r="O259">
        <v>96522565.765765756</v>
      </c>
      <c r="P259">
        <v>95769576.576576576</v>
      </c>
      <c r="Q259">
        <v>75389729.729729727</v>
      </c>
      <c r="R259">
        <v>121371981.98198198</v>
      </c>
      <c r="S259">
        <v>9932</v>
      </c>
      <c r="T259">
        <v>9553</v>
      </c>
    </row>
    <row r="260" spans="1:20" x14ac:dyDescent="0.35">
      <c r="A260" s="7" t="s">
        <v>355</v>
      </c>
      <c r="B260" s="12" t="s">
        <v>48</v>
      </c>
      <c r="C260">
        <v>116081762.99462365</v>
      </c>
      <c r="D260">
        <v>108131072.67222767</v>
      </c>
      <c r="E260">
        <v>204504.50450450499</v>
      </c>
      <c r="F260">
        <v>216216.21621621601</v>
      </c>
      <c r="G260">
        <v>24</v>
      </c>
      <c r="H260">
        <v>9</v>
      </c>
      <c r="K260">
        <v>29</v>
      </c>
      <c r="L260">
        <v>10</v>
      </c>
      <c r="M260">
        <v>463963.96396396402</v>
      </c>
      <c r="N260">
        <v>225225.225225225</v>
      </c>
      <c r="O260">
        <v>7511333.333333333</v>
      </c>
      <c r="P260">
        <v>7997477.4774774779</v>
      </c>
      <c r="Q260">
        <v>361441.441441442</v>
      </c>
      <c r="R260">
        <v>209459.459459459</v>
      </c>
      <c r="S260">
        <v>5803</v>
      </c>
      <c r="T260">
        <v>5559</v>
      </c>
    </row>
    <row r="261" spans="1:20" x14ac:dyDescent="0.35">
      <c r="A261" s="7" t="s">
        <v>356</v>
      </c>
      <c r="B261" s="12" t="s">
        <v>123</v>
      </c>
      <c r="C261">
        <v>123914388.96347988</v>
      </c>
      <c r="D261">
        <v>116934590.51463194</v>
      </c>
      <c r="E261">
        <v>32432.432432433001</v>
      </c>
      <c r="F261">
        <v>61261.261261262</v>
      </c>
      <c r="G261">
        <v>26</v>
      </c>
      <c r="H261">
        <v>21</v>
      </c>
      <c r="K261">
        <v>28</v>
      </c>
      <c r="L261">
        <v>23</v>
      </c>
      <c r="M261">
        <v>5120360.3603603598</v>
      </c>
      <c r="N261">
        <v>7321171.1711711697</v>
      </c>
      <c r="O261">
        <v>27945306.306306306</v>
      </c>
      <c r="P261">
        <v>27103279.279279277</v>
      </c>
      <c r="Q261">
        <v>4430810.8108108109</v>
      </c>
      <c r="R261">
        <v>6729549.5495495498</v>
      </c>
      <c r="S261">
        <v>5930</v>
      </c>
      <c r="T261">
        <v>5445</v>
      </c>
    </row>
    <row r="262" spans="1:20" x14ac:dyDescent="0.35">
      <c r="A262" s="7" t="s">
        <v>357</v>
      </c>
      <c r="B262" s="12" t="s">
        <v>62</v>
      </c>
      <c r="C262">
        <v>70899343.429480836</v>
      </c>
      <c r="D262">
        <v>69327218.312695459</v>
      </c>
      <c r="E262">
        <v>172972.972972972</v>
      </c>
      <c r="F262">
        <v>593693.69369369396</v>
      </c>
      <c r="G262">
        <v>5</v>
      </c>
      <c r="H262">
        <v>7</v>
      </c>
      <c r="K262">
        <v>5</v>
      </c>
      <c r="L262">
        <v>7</v>
      </c>
      <c r="M262">
        <v>7691531.5315315323</v>
      </c>
      <c r="N262">
        <v>12346666.666666666</v>
      </c>
      <c r="O262">
        <v>18347657.657657657</v>
      </c>
      <c r="P262">
        <v>17699639.639639638</v>
      </c>
      <c r="Q262">
        <v>7982072.0720720747</v>
      </c>
      <c r="R262">
        <v>12778378.37837838</v>
      </c>
      <c r="S262">
        <v>3964</v>
      </c>
      <c r="T262">
        <v>3877</v>
      </c>
    </row>
    <row r="263" spans="1:20" x14ac:dyDescent="0.35">
      <c r="A263" s="7" t="s">
        <v>358</v>
      </c>
      <c r="B263" s="12" t="s">
        <v>315</v>
      </c>
      <c r="C263">
        <v>3379403.6407049131</v>
      </c>
      <c r="D263">
        <v>42277.905846264002</v>
      </c>
      <c r="G263">
        <v>8</v>
      </c>
      <c r="K263">
        <v>9</v>
      </c>
      <c r="O263">
        <v>1834729.7297297299</v>
      </c>
      <c r="P263">
        <v>19909.909909909999</v>
      </c>
      <c r="S263">
        <v>587</v>
      </c>
      <c r="T263">
        <v>2</v>
      </c>
    </row>
    <row r="264" spans="1:20" x14ac:dyDescent="0.35">
      <c r="A264" s="7" t="s">
        <v>359</v>
      </c>
      <c r="B264" s="12" t="s">
        <v>315</v>
      </c>
      <c r="C264">
        <v>80022729.579297438</v>
      </c>
      <c r="D264">
        <v>64698075.562892199</v>
      </c>
      <c r="E264">
        <v>59459.459459459998</v>
      </c>
      <c r="F264">
        <v>227927.92792792901</v>
      </c>
      <c r="G264">
        <v>14</v>
      </c>
      <c r="H264">
        <v>18</v>
      </c>
      <c r="K264">
        <v>16</v>
      </c>
      <c r="L264">
        <v>24</v>
      </c>
      <c r="M264">
        <v>12512072.072072072</v>
      </c>
      <c r="N264">
        <v>5408108.1081081079</v>
      </c>
      <c r="O264">
        <v>29403198.198198199</v>
      </c>
      <c r="P264">
        <v>25009531.531531531</v>
      </c>
      <c r="Q264">
        <v>17778198.198198199</v>
      </c>
      <c r="R264">
        <v>10258288.288288288</v>
      </c>
      <c r="S264">
        <v>3162</v>
      </c>
      <c r="T264">
        <v>3174</v>
      </c>
    </row>
    <row r="265" spans="1:20" x14ac:dyDescent="0.35">
      <c r="A265" s="7" t="s">
        <v>360</v>
      </c>
      <c r="B265" s="12" t="s">
        <v>92</v>
      </c>
      <c r="C265">
        <v>128889368.52642424</v>
      </c>
      <c r="D265">
        <v>126338167.29569036</v>
      </c>
      <c r="E265">
        <v>10731801.801801801</v>
      </c>
      <c r="F265">
        <v>32563963.963963963</v>
      </c>
      <c r="G265">
        <v>29</v>
      </c>
      <c r="H265">
        <v>74</v>
      </c>
      <c r="K265">
        <v>36</v>
      </c>
      <c r="L265">
        <v>174</v>
      </c>
      <c r="M265">
        <v>24221126.126126129</v>
      </c>
      <c r="N265">
        <v>32507207.207207203</v>
      </c>
      <c r="O265">
        <v>37271162.162162162</v>
      </c>
      <c r="P265">
        <v>38695772.972972974</v>
      </c>
      <c r="Q265">
        <v>18725945.945945948</v>
      </c>
      <c r="R265">
        <v>30451124.324324328</v>
      </c>
      <c r="S265">
        <v>6802</v>
      </c>
      <c r="T265">
        <v>6505</v>
      </c>
    </row>
    <row r="266" spans="1:20" x14ac:dyDescent="0.35">
      <c r="A266" s="7" t="s">
        <v>361</v>
      </c>
      <c r="B266" s="12" t="s">
        <v>58</v>
      </c>
      <c r="C266">
        <v>265605781.39985207</v>
      </c>
      <c r="D266">
        <v>248336330.29537523</v>
      </c>
      <c r="E266">
        <v>1827927.927927928</v>
      </c>
      <c r="F266">
        <v>877477.47747747903</v>
      </c>
      <c r="G266">
        <v>25</v>
      </c>
      <c r="H266">
        <v>38</v>
      </c>
      <c r="K266">
        <v>28</v>
      </c>
      <c r="L266">
        <v>45</v>
      </c>
      <c r="M266">
        <v>15386486.486486487</v>
      </c>
      <c r="N266">
        <v>13063063.063063065</v>
      </c>
      <c r="O266">
        <v>39181711.711711712</v>
      </c>
      <c r="P266">
        <v>37681851.351351351</v>
      </c>
      <c r="Q266">
        <v>8361621.6216216208</v>
      </c>
      <c r="R266">
        <v>8730450.4504504483</v>
      </c>
      <c r="S266">
        <v>12824</v>
      </c>
      <c r="T266">
        <v>12912</v>
      </c>
    </row>
    <row r="267" spans="1:20" x14ac:dyDescent="0.35">
      <c r="A267" s="7" t="s">
        <v>670</v>
      </c>
      <c r="B267" s="12" t="s">
        <v>143</v>
      </c>
      <c r="F267">
        <v>6306306.3063063063</v>
      </c>
      <c r="M267">
        <v>148198.19819819799</v>
      </c>
      <c r="N267">
        <v>27027.027027027001</v>
      </c>
    </row>
    <row r="268" spans="1:20" x14ac:dyDescent="0.35">
      <c r="A268" s="7" t="s">
        <v>362</v>
      </c>
      <c r="B268" s="12" t="s">
        <v>48</v>
      </c>
      <c r="C268">
        <v>92331514.669628873</v>
      </c>
      <c r="D268">
        <v>89534843.510128319</v>
      </c>
      <c r="E268">
        <v>145945.945945946</v>
      </c>
      <c r="F268">
        <v>47747.747747747999</v>
      </c>
      <c r="G268">
        <v>2</v>
      </c>
      <c r="H268">
        <v>3</v>
      </c>
      <c r="K268">
        <v>2</v>
      </c>
      <c r="L268">
        <v>3</v>
      </c>
      <c r="M268">
        <v>1386306.306306307</v>
      </c>
      <c r="N268">
        <v>9156036.0360360369</v>
      </c>
      <c r="O268">
        <v>15281306.306306306</v>
      </c>
      <c r="P268">
        <v>13981990.990990993</v>
      </c>
      <c r="Q268">
        <v>4318738.7387387408</v>
      </c>
      <c r="R268">
        <v>6416486.4864864862</v>
      </c>
      <c r="S268">
        <v>3838</v>
      </c>
      <c r="T268">
        <v>3831</v>
      </c>
    </row>
    <row r="269" spans="1:20" x14ac:dyDescent="0.35">
      <c r="A269" s="7" t="s">
        <v>363</v>
      </c>
      <c r="B269" s="12" t="s">
        <v>52</v>
      </c>
      <c r="C269">
        <v>36880205.609281778</v>
      </c>
      <c r="D269">
        <v>36921525.960728928</v>
      </c>
      <c r="E269">
        <v>29219909.909909911</v>
      </c>
      <c r="F269">
        <v>117200000</v>
      </c>
      <c r="G269">
        <v>2</v>
      </c>
      <c r="H269">
        <v>11</v>
      </c>
      <c r="K269">
        <v>3</v>
      </c>
      <c r="L269">
        <v>12</v>
      </c>
      <c r="M269">
        <v>850540.54054054001</v>
      </c>
      <c r="N269">
        <v>1028828.828828829</v>
      </c>
      <c r="O269">
        <v>17231801.801801804</v>
      </c>
      <c r="P269">
        <v>17954873.873873875</v>
      </c>
      <c r="Q269">
        <v>816666.66666666605</v>
      </c>
      <c r="R269">
        <v>868738.738738738</v>
      </c>
      <c r="S269">
        <v>2368</v>
      </c>
      <c r="T269">
        <v>2343</v>
      </c>
    </row>
    <row r="270" spans="1:20" x14ac:dyDescent="0.35">
      <c r="A270" s="7" t="s">
        <v>364</v>
      </c>
      <c r="B270" s="12" t="s">
        <v>52</v>
      </c>
      <c r="C270">
        <v>29004356.659022279</v>
      </c>
      <c r="D270">
        <v>28781063.241331503</v>
      </c>
      <c r="E270">
        <v>304054.05405405402</v>
      </c>
      <c r="F270">
        <v>1414414.4144144161</v>
      </c>
      <c r="G270">
        <v>5</v>
      </c>
      <c r="H270">
        <v>13</v>
      </c>
      <c r="K270">
        <v>7</v>
      </c>
      <c r="L270">
        <v>63</v>
      </c>
      <c r="M270">
        <v>2304054.054054054</v>
      </c>
      <c r="N270">
        <v>2900900.9009009022</v>
      </c>
      <c r="O270">
        <v>15257594.594594594</v>
      </c>
      <c r="P270">
        <v>15753540.540540541</v>
      </c>
      <c r="Q270">
        <v>2420720.7207207191</v>
      </c>
      <c r="R270">
        <v>8302522.5225225231</v>
      </c>
      <c r="S270">
        <v>2435</v>
      </c>
      <c r="T270">
        <v>2273</v>
      </c>
    </row>
    <row r="271" spans="1:20" x14ac:dyDescent="0.35">
      <c r="A271" s="7" t="s">
        <v>365</v>
      </c>
      <c r="B271" s="12" t="s">
        <v>52</v>
      </c>
      <c r="C271">
        <v>312372622.69107592</v>
      </c>
      <c r="D271">
        <v>331933798.94269472</v>
      </c>
      <c r="E271">
        <v>717224.32432432706</v>
      </c>
      <c r="F271">
        <v>160021393.6936937</v>
      </c>
      <c r="G271">
        <v>64</v>
      </c>
      <c r="H271">
        <v>120</v>
      </c>
      <c r="K271">
        <v>78</v>
      </c>
      <c r="L271">
        <v>190</v>
      </c>
      <c r="M271">
        <v>11503333.333333325</v>
      </c>
      <c r="N271">
        <v>16173873.87387388</v>
      </c>
      <c r="O271">
        <v>105347274.77477477</v>
      </c>
      <c r="P271">
        <v>119792676.57657658</v>
      </c>
      <c r="Q271">
        <v>14173603.603603596</v>
      </c>
      <c r="R271">
        <v>37669009.009009011</v>
      </c>
      <c r="S271">
        <v>20193</v>
      </c>
      <c r="T271">
        <v>22142</v>
      </c>
    </row>
    <row r="272" spans="1:20" x14ac:dyDescent="0.35">
      <c r="A272" s="7" t="s">
        <v>366</v>
      </c>
      <c r="B272" s="12" t="s">
        <v>293</v>
      </c>
      <c r="C272">
        <v>194878006.23696426</v>
      </c>
      <c r="D272">
        <v>181258879.48472011</v>
      </c>
      <c r="E272">
        <v>228828.82882883499</v>
      </c>
      <c r="F272">
        <v>2227027.0270270281</v>
      </c>
      <c r="G272">
        <v>37</v>
      </c>
      <c r="H272">
        <v>44</v>
      </c>
      <c r="K272">
        <v>46</v>
      </c>
      <c r="L272">
        <v>83</v>
      </c>
      <c r="M272">
        <v>18171171.171171177</v>
      </c>
      <c r="N272">
        <v>14359819.819819815</v>
      </c>
      <c r="O272">
        <v>57487747.747747742</v>
      </c>
      <c r="P272">
        <v>58016923.423423424</v>
      </c>
      <c r="Q272">
        <v>17761441.441441443</v>
      </c>
      <c r="R272">
        <v>15771621.621621616</v>
      </c>
      <c r="S272">
        <v>11062</v>
      </c>
      <c r="T272">
        <v>11378</v>
      </c>
    </row>
    <row r="273" spans="1:20" x14ac:dyDescent="0.35">
      <c r="A273" s="7" t="s">
        <v>367</v>
      </c>
      <c r="B273" s="12" t="s">
        <v>368</v>
      </c>
      <c r="C273">
        <v>85670594.915610015</v>
      </c>
      <c r="D273">
        <v>76518424.84032689</v>
      </c>
      <c r="E273">
        <v>146126.126126127</v>
      </c>
      <c r="F273">
        <v>29404504.504504506</v>
      </c>
      <c r="G273">
        <v>16</v>
      </c>
      <c r="H273">
        <v>13</v>
      </c>
      <c r="K273">
        <v>17</v>
      </c>
      <c r="L273">
        <v>14</v>
      </c>
      <c r="M273">
        <v>13132612.612612613</v>
      </c>
      <c r="N273">
        <v>10979819.819819815</v>
      </c>
      <c r="O273">
        <v>34049547.747747749</v>
      </c>
      <c r="P273">
        <v>29977144.144144144</v>
      </c>
      <c r="Q273">
        <v>12757747.747747747</v>
      </c>
      <c r="R273">
        <v>13272432.432432428</v>
      </c>
      <c r="S273">
        <v>3987</v>
      </c>
      <c r="T273">
        <v>3726</v>
      </c>
    </row>
    <row r="274" spans="1:20" x14ac:dyDescent="0.35">
      <c r="A274" s="7" t="s">
        <v>369</v>
      </c>
      <c r="B274" s="12" t="s">
        <v>70</v>
      </c>
      <c r="C274">
        <v>23145275.323282603</v>
      </c>
      <c r="D274">
        <v>22917444.512848578</v>
      </c>
      <c r="E274">
        <v>9702702.7027027048</v>
      </c>
      <c r="F274">
        <v>77789189.189189181</v>
      </c>
      <c r="G274">
        <v>4</v>
      </c>
      <c r="H274">
        <v>15</v>
      </c>
      <c r="K274">
        <v>6</v>
      </c>
      <c r="L274">
        <v>28</v>
      </c>
      <c r="M274">
        <v>7036486.4864864871</v>
      </c>
      <c r="N274">
        <v>16790315.315315317</v>
      </c>
      <c r="O274">
        <v>7719009.0090090102</v>
      </c>
      <c r="P274">
        <v>8019936.9369369373</v>
      </c>
      <c r="Q274">
        <v>4131801.8018018012</v>
      </c>
      <c r="R274">
        <v>5289819.819819821</v>
      </c>
      <c r="S274">
        <v>926</v>
      </c>
      <c r="T274">
        <v>1239</v>
      </c>
    </row>
    <row r="275" spans="1:20" x14ac:dyDescent="0.35">
      <c r="A275" s="7" t="s">
        <v>370</v>
      </c>
      <c r="B275" s="12" t="s">
        <v>50</v>
      </c>
      <c r="C275">
        <v>48832310.305106245</v>
      </c>
      <c r="D275">
        <v>49131282.315235563</v>
      </c>
      <c r="E275">
        <v>32632432.432432432</v>
      </c>
      <c r="F275">
        <v>84918738.738738731</v>
      </c>
      <c r="G275">
        <v>4</v>
      </c>
      <c r="H275">
        <v>7</v>
      </c>
      <c r="K275">
        <v>5</v>
      </c>
      <c r="L275">
        <v>14</v>
      </c>
      <c r="M275">
        <v>10990495.495495496</v>
      </c>
      <c r="N275">
        <v>3233423.423423423</v>
      </c>
      <c r="O275">
        <v>20842027.02702703</v>
      </c>
      <c r="P275">
        <v>20565540.540540539</v>
      </c>
      <c r="Q275">
        <v>3785315.315315316</v>
      </c>
      <c r="R275">
        <v>3274684.6846846859</v>
      </c>
      <c r="S275">
        <v>2732</v>
      </c>
      <c r="T275">
        <v>2647</v>
      </c>
    </row>
    <row r="276" spans="1:20" x14ac:dyDescent="0.35">
      <c r="A276" s="7" t="s">
        <v>371</v>
      </c>
      <c r="B276" s="12" t="s">
        <v>121</v>
      </c>
      <c r="C276">
        <v>50530708.624092117</v>
      </c>
      <c r="D276">
        <v>48269060.863422871</v>
      </c>
      <c r="E276">
        <v>36936.936936938997</v>
      </c>
      <c r="F276">
        <v>363963.963963966</v>
      </c>
      <c r="G276">
        <v>9</v>
      </c>
      <c r="H276">
        <v>13</v>
      </c>
      <c r="K276">
        <v>11</v>
      </c>
      <c r="L276">
        <v>18</v>
      </c>
      <c r="M276">
        <v>244144.144144146</v>
      </c>
      <c r="N276">
        <v>1792792.7927927941</v>
      </c>
      <c r="O276">
        <v>4793063.0630630627</v>
      </c>
      <c r="P276">
        <v>5071378.3783783782</v>
      </c>
      <c r="Q276">
        <v>464684.68468468502</v>
      </c>
      <c r="R276">
        <v>1255405.405405405</v>
      </c>
      <c r="S276">
        <v>2789</v>
      </c>
      <c r="T276">
        <v>2729</v>
      </c>
    </row>
    <row r="277" spans="1:20" x14ac:dyDescent="0.35">
      <c r="A277" s="7" t="s">
        <v>372</v>
      </c>
      <c r="B277" s="12" t="s">
        <v>373</v>
      </c>
      <c r="C277">
        <v>128159380.79888639</v>
      </c>
      <c r="D277">
        <v>105365053.58147515</v>
      </c>
      <c r="E277">
        <v>19744963.063063063</v>
      </c>
      <c r="F277">
        <v>1730104.5045045069</v>
      </c>
      <c r="G277">
        <v>185</v>
      </c>
      <c r="H277">
        <v>18</v>
      </c>
      <c r="I277">
        <v>1</v>
      </c>
      <c r="K277">
        <v>193</v>
      </c>
      <c r="L277">
        <v>22</v>
      </c>
      <c r="M277">
        <v>13804054.054054055</v>
      </c>
      <c r="N277">
        <v>13173783.783783784</v>
      </c>
      <c r="O277">
        <v>54075435.135135137</v>
      </c>
      <c r="P277">
        <v>39555630.630630635</v>
      </c>
      <c r="Q277">
        <v>21447610.810810808</v>
      </c>
      <c r="R277">
        <v>11182432.432432432</v>
      </c>
      <c r="S277">
        <v>10259</v>
      </c>
      <c r="T277">
        <v>9853</v>
      </c>
    </row>
    <row r="278" spans="1:20" x14ac:dyDescent="0.35">
      <c r="A278" s="7" t="s">
        <v>374</v>
      </c>
      <c r="B278" s="12" t="s">
        <v>66</v>
      </c>
      <c r="C278">
        <v>78120029.077987283</v>
      </c>
      <c r="D278">
        <v>76381493.871400967</v>
      </c>
      <c r="E278">
        <v>44535135.135135137</v>
      </c>
      <c r="F278">
        <v>118968468.46846846</v>
      </c>
      <c r="G278">
        <v>33</v>
      </c>
      <c r="H278">
        <v>20</v>
      </c>
      <c r="K278">
        <v>39</v>
      </c>
      <c r="L278">
        <v>27</v>
      </c>
      <c r="M278">
        <v>20336711.711711712</v>
      </c>
      <c r="N278">
        <v>32873873.873873875</v>
      </c>
      <c r="O278">
        <v>30142963.963963967</v>
      </c>
      <c r="P278">
        <v>27831369.369369369</v>
      </c>
      <c r="Q278">
        <v>9371801.8018018007</v>
      </c>
      <c r="R278">
        <v>28784594.594594598</v>
      </c>
      <c r="S278">
        <v>6963</v>
      </c>
      <c r="T278">
        <v>7149</v>
      </c>
    </row>
    <row r="279" spans="1:20" x14ac:dyDescent="0.35">
      <c r="A279" s="7" t="s">
        <v>375</v>
      </c>
      <c r="B279" s="12" t="s">
        <v>354</v>
      </c>
      <c r="C279">
        <v>120298583.37361442</v>
      </c>
      <c r="D279">
        <v>118073423.34227762</v>
      </c>
      <c r="E279">
        <v>710360.36036036303</v>
      </c>
      <c r="F279">
        <v>2140540.540540542</v>
      </c>
      <c r="G279">
        <v>230</v>
      </c>
      <c r="H279">
        <v>245</v>
      </c>
      <c r="K279">
        <v>237</v>
      </c>
      <c r="L279">
        <v>249</v>
      </c>
      <c r="M279">
        <v>21446396.396396395</v>
      </c>
      <c r="N279">
        <v>24126036.036036037</v>
      </c>
      <c r="O279">
        <v>72221792.792792797</v>
      </c>
      <c r="P279">
        <v>74613288.288288295</v>
      </c>
      <c r="Q279">
        <v>22595135.135135133</v>
      </c>
      <c r="R279">
        <v>25521171.17117117</v>
      </c>
      <c r="S279">
        <v>7202</v>
      </c>
      <c r="T279">
        <v>6695</v>
      </c>
    </row>
    <row r="280" spans="1:20" x14ac:dyDescent="0.35">
      <c r="A280" s="7" t="s">
        <v>376</v>
      </c>
      <c r="B280" s="12" t="s">
        <v>66</v>
      </c>
      <c r="C280">
        <v>43566976.077380471</v>
      </c>
      <c r="D280">
        <v>45738017.033953875</v>
      </c>
      <c r="E280">
        <v>16216.216216217001</v>
      </c>
      <c r="F280">
        <v>265765.76576576702</v>
      </c>
      <c r="G280">
        <v>12</v>
      </c>
      <c r="H280">
        <v>20</v>
      </c>
      <c r="K280">
        <v>17</v>
      </c>
      <c r="L280">
        <v>25</v>
      </c>
      <c r="M280">
        <v>2588738.7387387352</v>
      </c>
      <c r="N280">
        <v>2191891.891891893</v>
      </c>
      <c r="O280">
        <v>19309036.036036037</v>
      </c>
      <c r="P280">
        <v>22119121.62162162</v>
      </c>
      <c r="Q280">
        <v>4588558.5585585563</v>
      </c>
      <c r="R280">
        <v>3208918.9189189211</v>
      </c>
      <c r="S280">
        <v>4922</v>
      </c>
      <c r="T280">
        <v>5523</v>
      </c>
    </row>
    <row r="281" spans="1:20" x14ac:dyDescent="0.35">
      <c r="A281" s="7" t="s">
        <v>377</v>
      </c>
      <c r="B281" s="12" t="s">
        <v>260</v>
      </c>
      <c r="C281">
        <v>41895678.717569388</v>
      </c>
      <c r="D281">
        <v>38434384.301171869</v>
      </c>
      <c r="E281">
        <v>180180.18018018</v>
      </c>
      <c r="F281">
        <v>13513.513513514001</v>
      </c>
      <c r="G281">
        <v>2</v>
      </c>
      <c r="H281">
        <v>2</v>
      </c>
      <c r="K281">
        <v>2</v>
      </c>
      <c r="L281">
        <v>2</v>
      </c>
      <c r="M281">
        <v>270270.27027027</v>
      </c>
      <c r="N281">
        <v>554054.05405405397</v>
      </c>
      <c r="O281">
        <v>6140450.4504504502</v>
      </c>
      <c r="P281">
        <v>6755711.7117117122</v>
      </c>
      <c r="Q281">
        <v>4566666.666666667</v>
      </c>
      <c r="R281">
        <v>404954.95495495503</v>
      </c>
      <c r="S281">
        <v>1708</v>
      </c>
      <c r="T281">
        <v>1684</v>
      </c>
    </row>
    <row r="282" spans="1:20" x14ac:dyDescent="0.35">
      <c r="A282" s="7" t="s">
        <v>378</v>
      </c>
      <c r="B282" s="12" t="s">
        <v>354</v>
      </c>
      <c r="C282">
        <v>100914376.38640706</v>
      </c>
      <c r="D282">
        <v>96734087.32298173</v>
      </c>
      <c r="E282">
        <v>71570120.720720723</v>
      </c>
      <c r="F282">
        <v>168707191.8918919</v>
      </c>
      <c r="G282">
        <v>17</v>
      </c>
      <c r="H282">
        <v>19</v>
      </c>
      <c r="K282">
        <v>19</v>
      </c>
      <c r="L282">
        <v>25</v>
      </c>
      <c r="M282">
        <v>26984684.684684679</v>
      </c>
      <c r="N282">
        <v>19915225.225225225</v>
      </c>
      <c r="O282">
        <v>52436891.891891889</v>
      </c>
      <c r="P282">
        <v>53582124.324324325</v>
      </c>
      <c r="Q282">
        <v>24877027.027027026</v>
      </c>
      <c r="R282">
        <v>20447297.297297295</v>
      </c>
      <c r="S282">
        <v>4839</v>
      </c>
      <c r="T282">
        <v>4564</v>
      </c>
    </row>
    <row r="283" spans="1:20" x14ac:dyDescent="0.35">
      <c r="A283" s="7" t="s">
        <v>379</v>
      </c>
      <c r="B283" s="12" t="s">
        <v>87</v>
      </c>
      <c r="C283">
        <v>2095084.8983614771</v>
      </c>
      <c r="D283">
        <v>2876818.3523983671</v>
      </c>
      <c r="E283">
        <v>28992851.351351351</v>
      </c>
      <c r="F283">
        <v>18583093.693693697</v>
      </c>
      <c r="H283">
        <v>1</v>
      </c>
      <c r="L283">
        <v>1</v>
      </c>
      <c r="O283">
        <v>80405.405405405007</v>
      </c>
      <c r="P283">
        <v>176171.17117117101</v>
      </c>
      <c r="S283">
        <v>149</v>
      </c>
      <c r="T283">
        <v>248</v>
      </c>
    </row>
    <row r="284" spans="1:20" x14ac:dyDescent="0.35">
      <c r="A284" s="7" t="s">
        <v>380</v>
      </c>
      <c r="B284" s="12" t="s">
        <v>87</v>
      </c>
      <c r="C284">
        <v>7995545.5706523443</v>
      </c>
      <c r="D284">
        <v>4046216.7869371688</v>
      </c>
      <c r="E284">
        <v>9009.0090090089998</v>
      </c>
      <c r="G284">
        <v>143</v>
      </c>
      <c r="H284">
        <v>6</v>
      </c>
      <c r="K284">
        <v>144</v>
      </c>
      <c r="L284">
        <v>12</v>
      </c>
      <c r="M284">
        <v>76576.576576577005</v>
      </c>
      <c r="O284">
        <v>2475675.6756756762</v>
      </c>
      <c r="P284">
        <v>576315.31531531503</v>
      </c>
      <c r="Q284">
        <v>67567.567567567996</v>
      </c>
      <c r="S284">
        <v>506</v>
      </c>
      <c r="T284">
        <v>342</v>
      </c>
    </row>
    <row r="285" spans="1:20" x14ac:dyDescent="0.35">
      <c r="A285" s="7" t="s">
        <v>381</v>
      </c>
      <c r="B285" s="12" t="s">
        <v>80</v>
      </c>
      <c r="C285">
        <v>702753423.47209358</v>
      </c>
      <c r="D285">
        <v>676191063.2022233</v>
      </c>
      <c r="E285">
        <v>531827451.35135138</v>
      </c>
      <c r="F285">
        <v>136682803.6036036</v>
      </c>
      <c r="G285">
        <v>165</v>
      </c>
      <c r="H285">
        <v>143</v>
      </c>
      <c r="I285">
        <v>1</v>
      </c>
      <c r="K285">
        <v>205</v>
      </c>
      <c r="L285">
        <v>249</v>
      </c>
      <c r="M285">
        <v>85572252.252252236</v>
      </c>
      <c r="N285">
        <v>80892792.792792782</v>
      </c>
      <c r="O285">
        <v>167064473.87387389</v>
      </c>
      <c r="P285">
        <v>177853247.74774775</v>
      </c>
      <c r="Q285">
        <v>71782342.342342347</v>
      </c>
      <c r="R285">
        <v>68763693.693693683</v>
      </c>
      <c r="S285">
        <v>36455</v>
      </c>
      <c r="T285">
        <v>37086</v>
      </c>
    </row>
    <row r="286" spans="1:20" x14ac:dyDescent="0.35">
      <c r="A286" s="7" t="s">
        <v>382</v>
      </c>
      <c r="B286" s="12" t="s">
        <v>80</v>
      </c>
      <c r="C286">
        <v>187951879.84992743</v>
      </c>
      <c r="D286">
        <v>187415605.75634226</v>
      </c>
      <c r="E286">
        <v>721621.62162162305</v>
      </c>
      <c r="F286">
        <v>1367792.792792795</v>
      </c>
      <c r="G286">
        <v>23</v>
      </c>
      <c r="H286">
        <v>21</v>
      </c>
      <c r="I286">
        <v>1</v>
      </c>
      <c r="K286">
        <v>29</v>
      </c>
      <c r="L286">
        <v>25</v>
      </c>
      <c r="M286">
        <v>36221621.621621616</v>
      </c>
      <c r="N286">
        <v>39068468.468468465</v>
      </c>
      <c r="O286">
        <v>75076870.270270273</v>
      </c>
      <c r="P286">
        <v>74361727.927927926</v>
      </c>
      <c r="Q286">
        <v>31857387.387387387</v>
      </c>
      <c r="R286">
        <v>28711664.864864867</v>
      </c>
      <c r="S286">
        <v>9594</v>
      </c>
      <c r="T286">
        <v>9737</v>
      </c>
    </row>
    <row r="287" spans="1:20" x14ac:dyDescent="0.35">
      <c r="A287" s="7" t="s">
        <v>383</v>
      </c>
      <c r="B287" s="12" t="s">
        <v>80</v>
      </c>
      <c r="C287">
        <v>261033041.12593657</v>
      </c>
      <c r="D287">
        <v>241521915.15277311</v>
      </c>
      <c r="E287">
        <v>23423.423423423999</v>
      </c>
      <c r="F287">
        <v>218018.01801801799</v>
      </c>
      <c r="G287">
        <v>45</v>
      </c>
      <c r="H287">
        <v>27</v>
      </c>
      <c r="K287">
        <v>56</v>
      </c>
      <c r="L287">
        <v>34</v>
      </c>
      <c r="M287">
        <v>15455675.675675675</v>
      </c>
      <c r="N287">
        <v>12904054.054054054</v>
      </c>
      <c r="O287">
        <v>47167387.387387395</v>
      </c>
      <c r="P287">
        <v>47666207.20720721</v>
      </c>
      <c r="Q287">
        <v>10072972.972972974</v>
      </c>
      <c r="R287">
        <v>12325045.045045044</v>
      </c>
      <c r="S287">
        <v>10026</v>
      </c>
      <c r="T287">
        <v>9152</v>
      </c>
    </row>
    <row r="288" spans="1:20" x14ac:dyDescent="0.35">
      <c r="A288" s="7" t="s">
        <v>384</v>
      </c>
      <c r="B288" s="12" t="s">
        <v>68</v>
      </c>
      <c r="C288">
        <v>105742743.48419224</v>
      </c>
      <c r="D288">
        <v>103462656.26856063</v>
      </c>
      <c r="E288">
        <v>19009.009009009998</v>
      </c>
      <c r="F288">
        <v>317117.11711711698</v>
      </c>
      <c r="G288">
        <v>22</v>
      </c>
      <c r="H288">
        <v>28</v>
      </c>
      <c r="K288">
        <v>26</v>
      </c>
      <c r="L288">
        <v>31</v>
      </c>
      <c r="M288">
        <v>5129459.4594594566</v>
      </c>
      <c r="N288">
        <v>3885585.5855855872</v>
      </c>
      <c r="O288">
        <v>13219396.396396399</v>
      </c>
      <c r="P288">
        <v>15377828.828828828</v>
      </c>
      <c r="Q288">
        <v>4092792.792792792</v>
      </c>
      <c r="R288">
        <v>3803963.963963964</v>
      </c>
      <c r="S288">
        <v>5164</v>
      </c>
      <c r="T288">
        <v>4697</v>
      </c>
    </row>
    <row r="289" spans="1:20" x14ac:dyDescent="0.35">
      <c r="A289" s="7" t="s">
        <v>385</v>
      </c>
      <c r="B289" s="12" t="s">
        <v>167</v>
      </c>
      <c r="C289">
        <v>35938215.971952505</v>
      </c>
      <c r="D289">
        <v>39288702.095873982</v>
      </c>
      <c r="E289">
        <v>5405.4054054059998</v>
      </c>
      <c r="F289">
        <v>352252.25225225202</v>
      </c>
      <c r="G289">
        <v>9</v>
      </c>
      <c r="H289">
        <v>12</v>
      </c>
      <c r="K289">
        <v>11</v>
      </c>
      <c r="L289">
        <v>13</v>
      </c>
      <c r="M289">
        <v>524324.32432432601</v>
      </c>
      <c r="N289">
        <v>15480180.180180181</v>
      </c>
      <c r="O289">
        <v>14304682.882882884</v>
      </c>
      <c r="P289">
        <v>16412729.729729731</v>
      </c>
      <c r="Q289">
        <v>4572162.1621621633</v>
      </c>
      <c r="R289">
        <v>9595315.3153153136</v>
      </c>
      <c r="S289">
        <v>2344</v>
      </c>
      <c r="T289">
        <v>2440</v>
      </c>
    </row>
    <row r="290" spans="1:20" x14ac:dyDescent="0.35">
      <c r="A290" s="7" t="s">
        <v>386</v>
      </c>
      <c r="B290" s="12" t="s">
        <v>94</v>
      </c>
      <c r="C290">
        <v>201090152.72226012</v>
      </c>
      <c r="D290">
        <v>220420220.6981948</v>
      </c>
      <c r="E290">
        <v>918018.01801801904</v>
      </c>
      <c r="F290">
        <v>423423.423423425</v>
      </c>
      <c r="G290">
        <v>34</v>
      </c>
      <c r="H290">
        <v>44</v>
      </c>
      <c r="I290">
        <v>1</v>
      </c>
      <c r="K290">
        <v>41</v>
      </c>
      <c r="L290">
        <v>47</v>
      </c>
      <c r="M290">
        <v>7395495.4954954963</v>
      </c>
      <c r="N290">
        <v>11351351.351351352</v>
      </c>
      <c r="O290">
        <v>21614234.234234236</v>
      </c>
      <c r="P290">
        <v>26809252.252252251</v>
      </c>
      <c r="Q290">
        <v>5567027.0270270268</v>
      </c>
      <c r="R290">
        <v>9210090.0900900904</v>
      </c>
      <c r="S290">
        <v>8355</v>
      </c>
      <c r="T290">
        <v>8795</v>
      </c>
    </row>
    <row r="291" spans="1:20" x14ac:dyDescent="0.35">
      <c r="A291" s="7" t="s">
        <v>387</v>
      </c>
      <c r="B291" s="12" t="s">
        <v>214</v>
      </c>
      <c r="C291">
        <v>30425553.124217466</v>
      </c>
      <c r="D291">
        <v>37836362.557237886</v>
      </c>
      <c r="E291">
        <v>11711.711711712</v>
      </c>
      <c r="F291">
        <v>81081.081081081997</v>
      </c>
      <c r="G291">
        <v>11</v>
      </c>
      <c r="H291">
        <v>19</v>
      </c>
      <c r="K291">
        <v>11</v>
      </c>
      <c r="L291">
        <v>22</v>
      </c>
      <c r="M291">
        <v>11711.711711712</v>
      </c>
      <c r="N291">
        <v>1432432.4324324329</v>
      </c>
      <c r="O291">
        <v>14642567.567567568</v>
      </c>
      <c r="P291">
        <v>17531666.666666668</v>
      </c>
      <c r="R291">
        <v>96396.396396397002</v>
      </c>
      <c r="S291">
        <v>2315</v>
      </c>
      <c r="T291">
        <v>2293</v>
      </c>
    </row>
    <row r="292" spans="1:20" x14ac:dyDescent="0.35">
      <c r="A292" s="7" t="s">
        <v>388</v>
      </c>
      <c r="B292" s="12" t="s">
        <v>117</v>
      </c>
      <c r="C292">
        <v>15312970.739537742</v>
      </c>
      <c r="D292">
        <v>14580917.398356561</v>
      </c>
      <c r="E292">
        <v>6306.3063063059999</v>
      </c>
      <c r="F292">
        <v>255855.85585585801</v>
      </c>
      <c r="G292">
        <v>6</v>
      </c>
      <c r="H292">
        <v>5</v>
      </c>
      <c r="K292">
        <v>7</v>
      </c>
      <c r="L292">
        <v>7</v>
      </c>
      <c r="M292">
        <v>1631531.531531529</v>
      </c>
      <c r="N292">
        <v>5886601.8018017998</v>
      </c>
      <c r="O292">
        <v>6624729.7297297297</v>
      </c>
      <c r="P292">
        <v>6284423.4234234234</v>
      </c>
      <c r="Q292">
        <v>1015315.3153153131</v>
      </c>
      <c r="R292">
        <v>3464954.9549549548</v>
      </c>
      <c r="S292">
        <v>1934</v>
      </c>
      <c r="T292">
        <v>1789</v>
      </c>
    </row>
    <row r="293" spans="1:20" x14ac:dyDescent="0.35">
      <c r="A293" s="7" t="s">
        <v>671</v>
      </c>
      <c r="B293" s="12" t="s">
        <v>117</v>
      </c>
      <c r="E293">
        <v>1013513.513513514</v>
      </c>
      <c r="F293">
        <v>1013513.513513514</v>
      </c>
      <c r="M293">
        <v>2605855.8558558561</v>
      </c>
      <c r="N293">
        <v>389189.189189189</v>
      </c>
    </row>
    <row r="294" spans="1:20" x14ac:dyDescent="0.35">
      <c r="A294" s="7" t="s">
        <v>389</v>
      </c>
      <c r="B294" s="12" t="s">
        <v>315</v>
      </c>
      <c r="C294">
        <v>66672526.781535208</v>
      </c>
      <c r="D294">
        <v>63553718.123649456</v>
      </c>
      <c r="E294">
        <v>10548198.198198199</v>
      </c>
      <c r="F294">
        <v>28226126.126126129</v>
      </c>
      <c r="G294">
        <v>10</v>
      </c>
      <c r="H294">
        <v>7</v>
      </c>
      <c r="K294">
        <v>10</v>
      </c>
      <c r="L294">
        <v>7</v>
      </c>
      <c r="M294">
        <v>3804504.5045045041</v>
      </c>
      <c r="N294">
        <v>3226126.1261261259</v>
      </c>
      <c r="O294">
        <v>13205810.810810812</v>
      </c>
      <c r="P294">
        <v>13349342.342342341</v>
      </c>
      <c r="Q294">
        <v>3143333.333333333</v>
      </c>
      <c r="R294">
        <v>2152612.6126126121</v>
      </c>
      <c r="S294">
        <v>2633</v>
      </c>
      <c r="T294">
        <v>2633</v>
      </c>
    </row>
    <row r="295" spans="1:20" x14ac:dyDescent="0.35">
      <c r="A295" s="7" t="s">
        <v>390</v>
      </c>
      <c r="B295" s="12" t="s">
        <v>224</v>
      </c>
      <c r="C295">
        <v>32869886.482818436</v>
      </c>
      <c r="D295">
        <v>27848327.557713591</v>
      </c>
      <c r="G295">
        <v>22</v>
      </c>
      <c r="H295">
        <v>5</v>
      </c>
      <c r="K295">
        <v>23</v>
      </c>
      <c r="L295">
        <v>5</v>
      </c>
      <c r="O295">
        <v>6573639.6396396402</v>
      </c>
      <c r="P295">
        <v>4308063.0630630627</v>
      </c>
      <c r="S295">
        <v>1495</v>
      </c>
      <c r="T295">
        <v>1458</v>
      </c>
    </row>
    <row r="296" spans="1:20" x14ac:dyDescent="0.35">
      <c r="A296" s="7" t="s">
        <v>6</v>
      </c>
      <c r="B296" s="12" t="s">
        <v>193</v>
      </c>
      <c r="C296">
        <v>242893596.08863008</v>
      </c>
      <c r="D296">
        <v>222967099.49934211</v>
      </c>
      <c r="E296">
        <v>6134684.6846846798</v>
      </c>
      <c r="F296">
        <v>4406306.3063063063</v>
      </c>
      <c r="G296">
        <v>67</v>
      </c>
      <c r="H296">
        <v>45</v>
      </c>
      <c r="I296">
        <v>1</v>
      </c>
      <c r="K296">
        <v>392</v>
      </c>
      <c r="L296">
        <v>295</v>
      </c>
      <c r="M296">
        <v>140998198.1981982</v>
      </c>
      <c r="N296">
        <v>112500000</v>
      </c>
      <c r="O296">
        <v>160176531.53153151</v>
      </c>
      <c r="P296">
        <v>152469711.7117117</v>
      </c>
      <c r="Q296">
        <v>124274234.23423424</v>
      </c>
      <c r="R296">
        <v>105400720.72072072</v>
      </c>
      <c r="S296">
        <v>13790</v>
      </c>
      <c r="T296">
        <v>12620</v>
      </c>
    </row>
    <row r="297" spans="1:20" x14ac:dyDescent="0.35">
      <c r="A297" s="7" t="s">
        <v>391</v>
      </c>
      <c r="B297" s="12" t="s">
        <v>121</v>
      </c>
      <c r="C297">
        <v>8049026.082225142</v>
      </c>
      <c r="D297">
        <v>10925261.29426082</v>
      </c>
      <c r="E297">
        <v>3603.603603604</v>
      </c>
      <c r="F297">
        <v>5405405.405405405</v>
      </c>
      <c r="G297">
        <v>5</v>
      </c>
      <c r="H297">
        <v>4</v>
      </c>
      <c r="K297">
        <v>6</v>
      </c>
      <c r="L297">
        <v>4</v>
      </c>
      <c r="M297">
        <v>3603.603603604</v>
      </c>
      <c r="O297">
        <v>420405.40540540498</v>
      </c>
      <c r="P297">
        <v>426621.62162162201</v>
      </c>
      <c r="S297">
        <v>562</v>
      </c>
      <c r="T297">
        <v>514</v>
      </c>
    </row>
    <row r="298" spans="1:20" x14ac:dyDescent="0.35">
      <c r="A298" s="7" t="s">
        <v>392</v>
      </c>
      <c r="B298" s="12" t="s">
        <v>134</v>
      </c>
      <c r="C298">
        <v>28713967.108412705</v>
      </c>
      <c r="D298">
        <v>30888206.526766449</v>
      </c>
      <c r="F298">
        <v>13513.513513514001</v>
      </c>
      <c r="G298">
        <v>5</v>
      </c>
      <c r="H298">
        <v>7</v>
      </c>
      <c r="K298">
        <v>5</v>
      </c>
      <c r="L298">
        <v>10</v>
      </c>
      <c r="M298">
        <v>2891891.8918918911</v>
      </c>
      <c r="N298">
        <v>2220720.72072072</v>
      </c>
      <c r="O298">
        <v>5900268.4684684677</v>
      </c>
      <c r="P298">
        <v>6147189.18918919</v>
      </c>
      <c r="Q298">
        <v>659459.45945946104</v>
      </c>
      <c r="R298">
        <v>399639.63963964098</v>
      </c>
      <c r="S298">
        <v>3425</v>
      </c>
      <c r="T298">
        <v>3537</v>
      </c>
    </row>
    <row r="299" spans="1:20" x14ac:dyDescent="0.35">
      <c r="A299" s="7" t="s">
        <v>393</v>
      </c>
      <c r="B299" s="12" t="s">
        <v>58</v>
      </c>
      <c r="C299">
        <v>162105430.9429867</v>
      </c>
      <c r="D299">
        <v>153277251.90360838</v>
      </c>
      <c r="E299">
        <v>6649099.0990990996</v>
      </c>
      <c r="F299">
        <v>3367342.3423423478</v>
      </c>
      <c r="G299">
        <v>34</v>
      </c>
      <c r="H299">
        <v>58</v>
      </c>
      <c r="K299">
        <v>46</v>
      </c>
      <c r="L299">
        <v>84</v>
      </c>
      <c r="M299">
        <v>18225675.675675675</v>
      </c>
      <c r="N299">
        <v>16010810.810810812</v>
      </c>
      <c r="O299">
        <v>23616369.369369369</v>
      </c>
      <c r="P299">
        <v>23732644.144144144</v>
      </c>
      <c r="Q299">
        <v>13089099.0990991</v>
      </c>
      <c r="R299">
        <v>13705945.945945945</v>
      </c>
      <c r="S299">
        <v>8998</v>
      </c>
      <c r="T299">
        <v>9191</v>
      </c>
    </row>
    <row r="300" spans="1:20" x14ac:dyDescent="0.35">
      <c r="A300" s="7" t="s">
        <v>394</v>
      </c>
      <c r="B300" s="12" t="s">
        <v>134</v>
      </c>
      <c r="C300">
        <v>53292856.797006823</v>
      </c>
      <c r="D300">
        <v>51600490.235811703</v>
      </c>
      <c r="E300">
        <v>67445013.513513505</v>
      </c>
      <c r="F300">
        <v>103477423.42342342</v>
      </c>
      <c r="G300">
        <v>5</v>
      </c>
      <c r="H300">
        <v>9</v>
      </c>
      <c r="K300">
        <v>8</v>
      </c>
      <c r="L300">
        <v>13</v>
      </c>
      <c r="M300">
        <v>16451351.351351349</v>
      </c>
      <c r="N300">
        <v>10698198.198198196</v>
      </c>
      <c r="O300">
        <v>9070827.0270270277</v>
      </c>
      <c r="P300">
        <v>8756018.0180180185</v>
      </c>
      <c r="Q300">
        <v>2885405.4054054068</v>
      </c>
      <c r="R300">
        <v>2420000.0000000009</v>
      </c>
      <c r="S300">
        <v>3865</v>
      </c>
      <c r="T300">
        <v>4008</v>
      </c>
    </row>
    <row r="301" spans="1:20" x14ac:dyDescent="0.35">
      <c r="A301" s="7" t="s">
        <v>395</v>
      </c>
      <c r="B301" s="12" t="s">
        <v>54</v>
      </c>
      <c r="C301">
        <v>23325274.819651809</v>
      </c>
      <c r="D301">
        <v>22233374.047163799</v>
      </c>
      <c r="E301">
        <v>2702.7027027029999</v>
      </c>
      <c r="F301">
        <v>900.900900901</v>
      </c>
      <c r="G301">
        <v>2</v>
      </c>
      <c r="H301">
        <v>5</v>
      </c>
      <c r="K301">
        <v>2</v>
      </c>
      <c r="L301">
        <v>5</v>
      </c>
      <c r="M301">
        <v>1354054.054054053</v>
      </c>
      <c r="N301">
        <v>811711.71171171195</v>
      </c>
      <c r="O301">
        <v>3907927.927927928</v>
      </c>
      <c r="P301">
        <v>3605720.72072072</v>
      </c>
      <c r="Q301">
        <v>1721621.6216216211</v>
      </c>
      <c r="R301">
        <v>1047837.8378378371</v>
      </c>
      <c r="S301">
        <v>1609</v>
      </c>
      <c r="T301">
        <v>1539</v>
      </c>
    </row>
    <row r="302" spans="1:20" x14ac:dyDescent="0.35">
      <c r="A302" s="7" t="s">
        <v>396</v>
      </c>
      <c r="B302" s="12" t="s">
        <v>397</v>
      </c>
      <c r="C302">
        <v>166332720.60378695</v>
      </c>
      <c r="D302">
        <v>158456595.98162964</v>
      </c>
      <c r="E302">
        <v>614594.59459459397</v>
      </c>
      <c r="F302">
        <v>1016216.216216217</v>
      </c>
      <c r="G302">
        <v>72</v>
      </c>
      <c r="H302">
        <v>51</v>
      </c>
      <c r="K302">
        <v>85</v>
      </c>
      <c r="L302">
        <v>86</v>
      </c>
      <c r="M302">
        <v>15347162.162162161</v>
      </c>
      <c r="N302">
        <v>14265765.765765768</v>
      </c>
      <c r="O302">
        <v>30149169.369369369</v>
      </c>
      <c r="P302">
        <v>29787869.369369369</v>
      </c>
      <c r="Q302">
        <v>17090945.945945948</v>
      </c>
      <c r="R302">
        <v>12028558.558558561</v>
      </c>
      <c r="S302">
        <v>9432</v>
      </c>
      <c r="T302">
        <v>9779</v>
      </c>
    </row>
    <row r="303" spans="1:20" x14ac:dyDescent="0.35">
      <c r="A303" s="7" t="s">
        <v>398</v>
      </c>
      <c r="B303" s="12" t="s">
        <v>399</v>
      </c>
      <c r="C303">
        <v>196198442.96810982</v>
      </c>
      <c r="D303">
        <v>170113551.29550064</v>
      </c>
      <c r="E303">
        <v>154036489.1891892</v>
      </c>
      <c r="F303">
        <v>56385268.468468472</v>
      </c>
      <c r="G303">
        <v>42</v>
      </c>
      <c r="H303">
        <v>30</v>
      </c>
      <c r="I303">
        <v>1</v>
      </c>
      <c r="K303">
        <v>46</v>
      </c>
      <c r="L303">
        <v>37</v>
      </c>
      <c r="M303">
        <v>118498648.64864865</v>
      </c>
      <c r="N303">
        <v>15793693.693693692</v>
      </c>
      <c r="O303">
        <v>34126819.819819823</v>
      </c>
      <c r="P303">
        <v>29580315.315315317</v>
      </c>
      <c r="Q303">
        <v>95538198.198198199</v>
      </c>
      <c r="R303">
        <v>9154684.6846846845</v>
      </c>
      <c r="S303">
        <v>11615</v>
      </c>
      <c r="T303">
        <v>11254</v>
      </c>
    </row>
    <row r="304" spans="1:20" x14ac:dyDescent="0.35">
      <c r="A304" s="7" t="s">
        <v>400</v>
      </c>
      <c r="B304" s="12" t="s">
        <v>140</v>
      </c>
      <c r="C304">
        <v>59440090.652041309</v>
      </c>
      <c r="D304">
        <v>57175869.655076161</v>
      </c>
      <c r="E304">
        <v>334234.23423423502</v>
      </c>
      <c r="F304">
        <v>521621.62162162201</v>
      </c>
      <c r="G304">
        <v>17</v>
      </c>
      <c r="H304">
        <v>23</v>
      </c>
      <c r="K304">
        <v>23</v>
      </c>
      <c r="L304">
        <v>24</v>
      </c>
      <c r="M304">
        <v>11858558.558558557</v>
      </c>
      <c r="N304">
        <v>10063603.603603601</v>
      </c>
      <c r="O304">
        <v>17425945.945945945</v>
      </c>
      <c r="P304">
        <v>17441675.675675675</v>
      </c>
      <c r="Q304">
        <v>10008018.018018018</v>
      </c>
      <c r="R304">
        <v>10906216.216216216</v>
      </c>
      <c r="S304">
        <v>3388</v>
      </c>
      <c r="T304">
        <v>3114</v>
      </c>
    </row>
    <row r="305" spans="1:20" x14ac:dyDescent="0.35">
      <c r="A305" s="7" t="s">
        <v>401</v>
      </c>
      <c r="B305" s="12" t="s">
        <v>121</v>
      </c>
      <c r="C305">
        <v>18010052.849646159</v>
      </c>
      <c r="D305">
        <v>13877122.221104704</v>
      </c>
      <c r="E305">
        <v>900.900900901</v>
      </c>
      <c r="G305">
        <v>9</v>
      </c>
      <c r="H305">
        <v>4</v>
      </c>
      <c r="K305">
        <v>12</v>
      </c>
      <c r="L305">
        <v>10</v>
      </c>
      <c r="M305">
        <v>900.900900901</v>
      </c>
      <c r="N305">
        <v>1801801.8018018019</v>
      </c>
      <c r="O305">
        <v>1361396.396396396</v>
      </c>
      <c r="P305">
        <v>1403783.7837837839</v>
      </c>
      <c r="Q305">
        <v>483333.33333333302</v>
      </c>
      <c r="R305">
        <v>322972.97297297302</v>
      </c>
      <c r="S305">
        <v>1079</v>
      </c>
      <c r="T305">
        <v>1068</v>
      </c>
    </row>
    <row r="306" spans="1:20" x14ac:dyDescent="0.35">
      <c r="A306" s="7" t="s">
        <v>402</v>
      </c>
      <c r="B306" s="12" t="s">
        <v>290</v>
      </c>
      <c r="C306">
        <v>31749818.991463117</v>
      </c>
      <c r="D306">
        <v>23846528.121332649</v>
      </c>
      <c r="E306">
        <v>7207.207207208</v>
      </c>
      <c r="F306">
        <v>292342.34234234301</v>
      </c>
      <c r="G306">
        <v>24</v>
      </c>
      <c r="H306">
        <v>6</v>
      </c>
      <c r="K306">
        <v>29</v>
      </c>
      <c r="L306">
        <v>7</v>
      </c>
      <c r="M306">
        <v>1245945.945945946</v>
      </c>
      <c r="N306">
        <v>891891.89189189102</v>
      </c>
      <c r="O306">
        <v>4528108.1081081079</v>
      </c>
      <c r="P306">
        <v>2845009.0090090092</v>
      </c>
      <c r="Q306">
        <v>1976846.846846848</v>
      </c>
      <c r="R306">
        <v>1593063.063063062</v>
      </c>
      <c r="S306">
        <v>1696</v>
      </c>
      <c r="T306">
        <v>1598</v>
      </c>
    </row>
    <row r="307" spans="1:20" x14ac:dyDescent="0.35">
      <c r="A307" s="7" t="s">
        <v>403</v>
      </c>
      <c r="B307" s="12" t="s">
        <v>121</v>
      </c>
      <c r="C307">
        <v>26836367.180074994</v>
      </c>
      <c r="D307">
        <v>26720866.087288167</v>
      </c>
      <c r="F307">
        <v>55630.630630631</v>
      </c>
      <c r="G307">
        <v>2</v>
      </c>
      <c r="H307">
        <v>5</v>
      </c>
      <c r="K307">
        <v>2</v>
      </c>
      <c r="L307">
        <v>8</v>
      </c>
      <c r="N307">
        <v>58558.558558559002</v>
      </c>
      <c r="O307">
        <v>2135270.2702702698</v>
      </c>
      <c r="P307">
        <v>2314819.8198198201</v>
      </c>
      <c r="S307">
        <v>1047</v>
      </c>
      <c r="T307">
        <v>1050</v>
      </c>
    </row>
    <row r="308" spans="1:20" x14ac:dyDescent="0.35">
      <c r="A308" s="7" t="s">
        <v>404</v>
      </c>
      <c r="B308" s="12" t="s">
        <v>368</v>
      </c>
      <c r="C308">
        <v>67042862.794419058</v>
      </c>
      <c r="D308">
        <v>61569188.382003792</v>
      </c>
      <c r="E308">
        <v>15704723.423423424</v>
      </c>
      <c r="F308">
        <v>2608529.7297297288</v>
      </c>
      <c r="G308">
        <v>11</v>
      </c>
      <c r="H308">
        <v>8</v>
      </c>
      <c r="K308">
        <v>11</v>
      </c>
      <c r="L308">
        <v>26</v>
      </c>
      <c r="M308">
        <v>5386486.4864864862</v>
      </c>
      <c r="N308">
        <v>18490810.810810812</v>
      </c>
      <c r="O308">
        <v>20622409.909909908</v>
      </c>
      <c r="P308">
        <v>22126013.513513513</v>
      </c>
      <c r="Q308">
        <v>3070720.72072072</v>
      </c>
      <c r="R308">
        <v>15385495.495495496</v>
      </c>
      <c r="S308">
        <v>4398</v>
      </c>
      <c r="T308">
        <v>3643</v>
      </c>
    </row>
    <row r="309" spans="1:20" x14ac:dyDescent="0.35">
      <c r="A309" s="7" t="s">
        <v>405</v>
      </c>
      <c r="B309" s="12" t="s">
        <v>140</v>
      </c>
      <c r="C309">
        <v>33004495.080332711</v>
      </c>
      <c r="D309">
        <v>30034033.69231391</v>
      </c>
      <c r="E309">
        <v>13063.063063063</v>
      </c>
      <c r="F309">
        <v>116891.89189189101</v>
      </c>
      <c r="G309">
        <v>1</v>
      </c>
      <c r="H309">
        <v>5</v>
      </c>
      <c r="K309">
        <v>2</v>
      </c>
      <c r="L309">
        <v>5</v>
      </c>
      <c r="M309">
        <v>4913963.963963964</v>
      </c>
      <c r="N309">
        <v>2595855.855855857</v>
      </c>
      <c r="O309">
        <v>7670045.0450450452</v>
      </c>
      <c r="P309">
        <v>7964045.0450450452</v>
      </c>
      <c r="Q309">
        <v>5338558.5585585581</v>
      </c>
      <c r="R309">
        <v>4898468.4684684677</v>
      </c>
      <c r="S309">
        <v>1505</v>
      </c>
      <c r="T309">
        <v>1399</v>
      </c>
    </row>
    <row r="310" spans="1:20" x14ac:dyDescent="0.35">
      <c r="A310" s="7" t="s">
        <v>406</v>
      </c>
      <c r="B310" s="12" t="s">
        <v>54</v>
      </c>
      <c r="C310">
        <v>40945422.011658162</v>
      </c>
      <c r="D310">
        <v>40244088.800089233</v>
      </c>
      <c r="E310">
        <v>56216.216216216002</v>
      </c>
      <c r="F310">
        <v>642342.34234234202</v>
      </c>
      <c r="G310">
        <v>2</v>
      </c>
      <c r="H310">
        <v>11</v>
      </c>
      <c r="K310">
        <v>2</v>
      </c>
      <c r="L310">
        <v>26</v>
      </c>
      <c r="M310">
        <v>1723783.783783783</v>
      </c>
      <c r="N310">
        <v>5038738.7387387389</v>
      </c>
      <c r="O310">
        <v>8635630.6306306291</v>
      </c>
      <c r="P310">
        <v>9091873.8738738745</v>
      </c>
      <c r="Q310">
        <v>1976666.666666667</v>
      </c>
      <c r="R310">
        <v>5789639.6396396402</v>
      </c>
      <c r="S310">
        <v>2195</v>
      </c>
      <c r="T310">
        <v>2248</v>
      </c>
    </row>
    <row r="311" spans="1:20" x14ac:dyDescent="0.35">
      <c r="A311" s="7" t="s">
        <v>407</v>
      </c>
      <c r="B311" s="12" t="s">
        <v>134</v>
      </c>
      <c r="C311">
        <v>15563881.328906052</v>
      </c>
      <c r="D311">
        <v>17749207.208872959</v>
      </c>
      <c r="E311">
        <v>2702.7027027029999</v>
      </c>
      <c r="G311">
        <v>2</v>
      </c>
      <c r="H311">
        <v>2</v>
      </c>
      <c r="K311">
        <v>4</v>
      </c>
      <c r="L311">
        <v>2</v>
      </c>
      <c r="M311">
        <v>732432.43243243301</v>
      </c>
      <c r="N311">
        <v>756756.75675675704</v>
      </c>
      <c r="O311">
        <v>1928648.6486486481</v>
      </c>
      <c r="P311">
        <v>1788135.1351351349</v>
      </c>
      <c r="Q311">
        <v>622342.34234234202</v>
      </c>
      <c r="R311">
        <v>630180.18018018</v>
      </c>
      <c r="S311">
        <v>1075</v>
      </c>
      <c r="T311">
        <v>880</v>
      </c>
    </row>
    <row r="312" spans="1:20" x14ac:dyDescent="0.35">
      <c r="A312" s="7" t="s">
        <v>408</v>
      </c>
      <c r="B312" s="12" t="s">
        <v>290</v>
      </c>
      <c r="C312">
        <v>11986145.759493671</v>
      </c>
      <c r="D312">
        <v>10106295.183064781</v>
      </c>
      <c r="E312">
        <v>31531.531531531</v>
      </c>
      <c r="F312">
        <v>214414.414414414</v>
      </c>
      <c r="G312">
        <v>4</v>
      </c>
      <c r="H312">
        <v>5</v>
      </c>
      <c r="K312">
        <v>7</v>
      </c>
      <c r="L312">
        <v>5</v>
      </c>
      <c r="M312">
        <v>2175675.6756756762</v>
      </c>
      <c r="N312">
        <v>2112612.6126126121</v>
      </c>
      <c r="O312">
        <v>2048954.954954955</v>
      </c>
      <c r="P312">
        <v>1434648.6486486481</v>
      </c>
      <c r="Q312">
        <v>949279.27927927906</v>
      </c>
      <c r="R312">
        <v>913243.24324324296</v>
      </c>
      <c r="S312">
        <v>879</v>
      </c>
      <c r="T312">
        <v>878</v>
      </c>
    </row>
    <row r="313" spans="1:20" x14ac:dyDescent="0.35">
      <c r="A313" s="7" t="s">
        <v>409</v>
      </c>
      <c r="B313" s="12" t="s">
        <v>178</v>
      </c>
      <c r="C313">
        <v>184657812.35664076</v>
      </c>
      <c r="D313">
        <v>171648126.55210409</v>
      </c>
      <c r="E313">
        <v>329054.05405405402</v>
      </c>
      <c r="F313">
        <v>506306.30630630802</v>
      </c>
      <c r="G313">
        <v>45</v>
      </c>
      <c r="H313">
        <v>21</v>
      </c>
      <c r="K313">
        <v>49</v>
      </c>
      <c r="L313">
        <v>143</v>
      </c>
      <c r="M313">
        <v>13840990.990990993</v>
      </c>
      <c r="N313">
        <v>9864945.9459459484</v>
      </c>
      <c r="O313">
        <v>60734630.630630635</v>
      </c>
      <c r="P313">
        <v>59383279.279279277</v>
      </c>
      <c r="Q313">
        <v>15826666.666666668</v>
      </c>
      <c r="R313">
        <v>8029009.0090090102</v>
      </c>
      <c r="S313">
        <v>9573</v>
      </c>
      <c r="T313">
        <v>9746</v>
      </c>
    </row>
    <row r="314" spans="1:20" x14ac:dyDescent="0.35">
      <c r="A314" s="7" t="s">
        <v>410</v>
      </c>
      <c r="B314" s="12" t="s">
        <v>54</v>
      </c>
      <c r="C314">
        <v>326457887.52717364</v>
      </c>
      <c r="D314">
        <v>329874672.98555017</v>
      </c>
      <c r="E314">
        <v>29687559.459459465</v>
      </c>
      <c r="F314">
        <v>107091581.08108109</v>
      </c>
      <c r="G314">
        <v>58</v>
      </c>
      <c r="H314">
        <v>55</v>
      </c>
      <c r="K314">
        <v>70</v>
      </c>
      <c r="L314">
        <v>70</v>
      </c>
      <c r="M314">
        <v>15600000</v>
      </c>
      <c r="N314">
        <v>23698198.198198199</v>
      </c>
      <c r="O314">
        <v>61780927.927927926</v>
      </c>
      <c r="P314">
        <v>68210576.576576576</v>
      </c>
      <c r="Q314">
        <v>17853333.333333336</v>
      </c>
      <c r="R314">
        <v>20231081.081081081</v>
      </c>
      <c r="S314">
        <v>19019</v>
      </c>
      <c r="T314">
        <v>18882</v>
      </c>
    </row>
    <row r="315" spans="1:20" x14ac:dyDescent="0.35">
      <c r="A315" s="7" t="s">
        <v>411</v>
      </c>
      <c r="B315" s="12" t="s">
        <v>224</v>
      </c>
      <c r="C315">
        <v>198892339.58443418</v>
      </c>
      <c r="D315">
        <v>165843864.74228558</v>
      </c>
      <c r="E315">
        <v>569729.72972973005</v>
      </c>
      <c r="F315">
        <v>773873.87387387804</v>
      </c>
      <c r="G315">
        <v>64</v>
      </c>
      <c r="H315">
        <v>47</v>
      </c>
      <c r="K315">
        <v>74</v>
      </c>
      <c r="L315">
        <v>66</v>
      </c>
      <c r="M315">
        <v>17586306.306306303</v>
      </c>
      <c r="N315">
        <v>16959819.819819819</v>
      </c>
      <c r="O315">
        <v>48260148.648648649</v>
      </c>
      <c r="P315">
        <v>53156268.468468465</v>
      </c>
      <c r="Q315">
        <v>18101711.711711708</v>
      </c>
      <c r="R315">
        <v>21189682.882882878</v>
      </c>
      <c r="S315">
        <v>13672</v>
      </c>
      <c r="T315">
        <v>13229</v>
      </c>
    </row>
    <row r="316" spans="1:20" x14ac:dyDescent="0.35">
      <c r="A316" s="7" t="s">
        <v>412</v>
      </c>
      <c r="B316" s="12" t="s">
        <v>413</v>
      </c>
      <c r="C316">
        <v>62147044.167248681</v>
      </c>
      <c r="D316">
        <v>64655948.087065451</v>
      </c>
      <c r="E316">
        <v>345045.04504504602</v>
      </c>
      <c r="F316">
        <v>463513.51351351599</v>
      </c>
      <c r="G316">
        <v>6</v>
      </c>
      <c r="H316">
        <v>3</v>
      </c>
      <c r="K316">
        <v>6</v>
      </c>
      <c r="L316">
        <v>4</v>
      </c>
      <c r="M316">
        <v>2959279.2792792791</v>
      </c>
      <c r="N316">
        <v>1244504.504504509</v>
      </c>
      <c r="O316">
        <v>26355504.504504506</v>
      </c>
      <c r="P316">
        <v>23674180.180180181</v>
      </c>
      <c r="Q316">
        <v>1763063.063063063</v>
      </c>
      <c r="R316">
        <v>962252.25225225301</v>
      </c>
      <c r="S316">
        <v>4060</v>
      </c>
      <c r="T316">
        <v>4418</v>
      </c>
    </row>
    <row r="317" spans="1:20" x14ac:dyDescent="0.35">
      <c r="A317" s="7" t="s">
        <v>414</v>
      </c>
      <c r="B317" s="12" t="s">
        <v>214</v>
      </c>
      <c r="C317">
        <v>390855388.72961032</v>
      </c>
      <c r="D317">
        <v>423360524.37675554</v>
      </c>
      <c r="E317">
        <v>193051121.62162164</v>
      </c>
      <c r="F317">
        <v>316526496.3963964</v>
      </c>
      <c r="G317">
        <v>125</v>
      </c>
      <c r="H317">
        <v>702</v>
      </c>
      <c r="K317">
        <v>165</v>
      </c>
      <c r="L317">
        <v>783</v>
      </c>
      <c r="M317">
        <v>44076846.846846856</v>
      </c>
      <c r="N317">
        <v>69960360.360360354</v>
      </c>
      <c r="O317">
        <v>161052241.44144145</v>
      </c>
      <c r="P317">
        <v>200671514.41441441</v>
      </c>
      <c r="Q317">
        <v>47311351.351351358</v>
      </c>
      <c r="R317">
        <v>61495945.945945933</v>
      </c>
      <c r="S317">
        <v>23867</v>
      </c>
      <c r="T317">
        <v>24210</v>
      </c>
    </row>
    <row r="318" spans="1:20" x14ac:dyDescent="0.35">
      <c r="A318" s="7" t="s">
        <v>415</v>
      </c>
      <c r="B318" s="12" t="s">
        <v>413</v>
      </c>
      <c r="C318">
        <v>36189098.058330208</v>
      </c>
      <c r="D318">
        <v>36284311.473658167</v>
      </c>
      <c r="E318">
        <v>280180.18018018</v>
      </c>
      <c r="F318">
        <v>113063.06306306399</v>
      </c>
      <c r="G318">
        <v>11</v>
      </c>
      <c r="H318">
        <v>6</v>
      </c>
      <c r="K318">
        <v>13</v>
      </c>
      <c r="L318">
        <v>10</v>
      </c>
      <c r="M318">
        <v>10510090.09009009</v>
      </c>
      <c r="N318">
        <v>6792792.7927927934</v>
      </c>
      <c r="O318">
        <v>12289009.009009007</v>
      </c>
      <c r="P318">
        <v>13781369.369369367</v>
      </c>
      <c r="Q318">
        <v>5210450.450450452</v>
      </c>
      <c r="R318">
        <v>4916846.8468468469</v>
      </c>
      <c r="S318">
        <v>3018</v>
      </c>
      <c r="T318">
        <v>2835</v>
      </c>
    </row>
    <row r="319" spans="1:20" x14ac:dyDescent="0.35">
      <c r="A319" s="7" t="s">
        <v>416</v>
      </c>
      <c r="B319" s="12" t="s">
        <v>236</v>
      </c>
      <c r="C319">
        <v>271321001.62680399</v>
      </c>
      <c r="D319">
        <v>254823607.28739935</v>
      </c>
      <c r="E319">
        <v>54054.054054056003</v>
      </c>
      <c r="F319">
        <v>700000.00000000105</v>
      </c>
      <c r="G319">
        <v>26</v>
      </c>
      <c r="H319">
        <v>55</v>
      </c>
      <c r="I319">
        <v>1</v>
      </c>
      <c r="K319">
        <v>77</v>
      </c>
      <c r="L319">
        <v>85</v>
      </c>
      <c r="M319">
        <v>28378738.738738734</v>
      </c>
      <c r="N319">
        <v>26333513.513513517</v>
      </c>
      <c r="O319">
        <v>64292819.819819823</v>
      </c>
      <c r="P319">
        <v>62492783.783783786</v>
      </c>
      <c r="Q319">
        <v>19821891.891891893</v>
      </c>
      <c r="R319">
        <v>23147837.837837841</v>
      </c>
      <c r="S319">
        <v>10840</v>
      </c>
      <c r="T319">
        <v>10835</v>
      </c>
    </row>
    <row r="320" spans="1:20" x14ac:dyDescent="0.35">
      <c r="A320" s="7" t="s">
        <v>417</v>
      </c>
      <c r="B320" s="12" t="s">
        <v>117</v>
      </c>
      <c r="C320">
        <v>260070664.39906895</v>
      </c>
      <c r="D320">
        <v>245542274.63887936</v>
      </c>
      <c r="E320">
        <v>312941134.23423421</v>
      </c>
      <c r="F320">
        <v>204730811.7117117</v>
      </c>
      <c r="G320">
        <v>97</v>
      </c>
      <c r="H320">
        <v>56</v>
      </c>
      <c r="I320">
        <v>1</v>
      </c>
      <c r="K320">
        <v>236</v>
      </c>
      <c r="L320">
        <v>314</v>
      </c>
      <c r="M320">
        <v>48996666.666666664</v>
      </c>
      <c r="N320">
        <v>64529699.099099107</v>
      </c>
      <c r="O320">
        <v>110371612.61261261</v>
      </c>
      <c r="P320">
        <v>111044340.54054055</v>
      </c>
      <c r="Q320">
        <v>47706396.396396391</v>
      </c>
      <c r="R320">
        <v>57652072.072072074</v>
      </c>
      <c r="S320">
        <v>17876</v>
      </c>
      <c r="T320">
        <v>18240</v>
      </c>
    </row>
    <row r="321" spans="1:20" x14ac:dyDescent="0.35">
      <c r="A321" s="7" t="s">
        <v>418</v>
      </c>
      <c r="B321" s="12" t="s">
        <v>147</v>
      </c>
      <c r="C321">
        <v>7165259.1712862467</v>
      </c>
      <c r="D321">
        <v>5663205.1317378916</v>
      </c>
      <c r="H321">
        <v>2</v>
      </c>
      <c r="L321">
        <v>2</v>
      </c>
      <c r="O321">
        <v>2442972.9729729742</v>
      </c>
      <c r="P321">
        <v>2259585.5855855849</v>
      </c>
      <c r="S321">
        <v>514</v>
      </c>
      <c r="T321">
        <v>461</v>
      </c>
    </row>
    <row r="322" spans="1:20" x14ac:dyDescent="0.35">
      <c r="A322" s="7" t="s">
        <v>419</v>
      </c>
      <c r="B322" s="12" t="s">
        <v>304</v>
      </c>
      <c r="C322">
        <v>55347669.72820811</v>
      </c>
      <c r="D322">
        <v>55344363.111740328</v>
      </c>
      <c r="E322">
        <v>425225.22522522701</v>
      </c>
      <c r="F322">
        <v>1076801.8018018019</v>
      </c>
      <c r="G322">
        <v>16</v>
      </c>
      <c r="H322">
        <v>27</v>
      </c>
      <c r="K322">
        <v>23</v>
      </c>
      <c r="L322">
        <v>29</v>
      </c>
      <c r="M322">
        <v>10108108.108108105</v>
      </c>
      <c r="N322">
        <v>8291891.8918918911</v>
      </c>
      <c r="O322">
        <v>10399684.684684686</v>
      </c>
      <c r="P322">
        <v>10441682.882882884</v>
      </c>
      <c r="Q322">
        <v>8405135.1351351347</v>
      </c>
      <c r="R322">
        <v>7926306.3063063063</v>
      </c>
      <c r="S322">
        <v>2339</v>
      </c>
      <c r="T322">
        <v>2262</v>
      </c>
    </row>
    <row r="323" spans="1:20" x14ac:dyDescent="0.35">
      <c r="A323" s="7" t="s">
        <v>420</v>
      </c>
      <c r="B323" s="12" t="s">
        <v>304</v>
      </c>
      <c r="C323">
        <v>65663321.145905763</v>
      </c>
      <c r="D323">
        <v>64186756.690200962</v>
      </c>
      <c r="E323">
        <v>319819.81981982099</v>
      </c>
      <c r="F323">
        <v>1400675.6756756741</v>
      </c>
      <c r="G323">
        <v>33</v>
      </c>
      <c r="H323">
        <v>32</v>
      </c>
      <c r="I323">
        <v>2</v>
      </c>
      <c r="K323">
        <v>51</v>
      </c>
      <c r="L323">
        <v>62</v>
      </c>
      <c r="M323">
        <v>10900900.9009009</v>
      </c>
      <c r="N323">
        <v>13869369.369369367</v>
      </c>
      <c r="O323">
        <v>13593691.891891895</v>
      </c>
      <c r="P323">
        <v>14803198.198198197</v>
      </c>
      <c r="Q323">
        <v>8256216.216216214</v>
      </c>
      <c r="R323">
        <v>8607207.2072072066</v>
      </c>
      <c r="S323">
        <v>3219</v>
      </c>
      <c r="T323">
        <v>3026</v>
      </c>
    </row>
    <row r="324" spans="1:20" x14ac:dyDescent="0.35">
      <c r="A324" s="7" t="s">
        <v>421</v>
      </c>
      <c r="B324" s="12" t="s">
        <v>121</v>
      </c>
      <c r="C324">
        <v>5494112.2675455371</v>
      </c>
      <c r="D324">
        <v>2370746.408913218</v>
      </c>
      <c r="E324">
        <v>7207.207207208</v>
      </c>
      <c r="F324">
        <v>13513.513513514001</v>
      </c>
      <c r="H324">
        <v>1</v>
      </c>
      <c r="L324">
        <v>2</v>
      </c>
      <c r="M324">
        <v>7207.207207208</v>
      </c>
      <c r="N324">
        <v>13513.513513514001</v>
      </c>
      <c r="O324">
        <v>310135.13513513497</v>
      </c>
      <c r="P324">
        <v>202288.28828828799</v>
      </c>
      <c r="S324">
        <v>358</v>
      </c>
      <c r="T324">
        <v>298</v>
      </c>
    </row>
    <row r="325" spans="1:20" x14ac:dyDescent="0.35">
      <c r="A325" s="7" t="s">
        <v>422</v>
      </c>
      <c r="B325" s="12" t="s">
        <v>60</v>
      </c>
      <c r="C325">
        <v>33146362.382732745</v>
      </c>
      <c r="D325">
        <v>31690720.663355652</v>
      </c>
      <c r="E325">
        <v>47747.747747747999</v>
      </c>
      <c r="F325">
        <v>394594.594594597</v>
      </c>
      <c r="G325">
        <v>7</v>
      </c>
      <c r="H325">
        <v>20</v>
      </c>
      <c r="K325">
        <v>9</v>
      </c>
      <c r="L325">
        <v>24</v>
      </c>
      <c r="M325">
        <v>3712612.6126126121</v>
      </c>
      <c r="N325">
        <v>9072072.072072072</v>
      </c>
      <c r="O325">
        <v>10661216.216216216</v>
      </c>
      <c r="P325">
        <v>10947036.036036037</v>
      </c>
      <c r="Q325">
        <v>2463603.6036036038</v>
      </c>
      <c r="R325">
        <v>8651621.6216216218</v>
      </c>
      <c r="S325">
        <v>2157</v>
      </c>
      <c r="T325">
        <v>2146</v>
      </c>
    </row>
    <row r="326" spans="1:20" x14ac:dyDescent="0.35">
      <c r="A326" s="7" t="s">
        <v>423</v>
      </c>
      <c r="B326" s="12" t="s">
        <v>181</v>
      </c>
      <c r="C326">
        <v>322104359.37661487</v>
      </c>
      <c r="D326">
        <v>311341358.07961279</v>
      </c>
      <c r="E326">
        <v>501801.80180180701</v>
      </c>
      <c r="F326">
        <v>2502702.7027027109</v>
      </c>
      <c r="G326">
        <v>100</v>
      </c>
      <c r="H326">
        <v>114</v>
      </c>
      <c r="I326">
        <v>11</v>
      </c>
      <c r="K326">
        <v>124</v>
      </c>
      <c r="L326">
        <v>150</v>
      </c>
      <c r="M326">
        <v>28906666.66666666</v>
      </c>
      <c r="N326">
        <v>43806486.48648648</v>
      </c>
      <c r="O326">
        <v>85637225.225225225</v>
      </c>
      <c r="P326">
        <v>92711927.927927941</v>
      </c>
      <c r="Q326">
        <v>32551711.711711716</v>
      </c>
      <c r="R326">
        <v>37726486.48648648</v>
      </c>
      <c r="S326">
        <v>22434</v>
      </c>
      <c r="T326">
        <v>21912</v>
      </c>
    </row>
    <row r="327" spans="1:20" x14ac:dyDescent="0.35">
      <c r="A327" s="7" t="s">
        <v>424</v>
      </c>
      <c r="B327" s="12" t="s">
        <v>76</v>
      </c>
      <c r="C327">
        <v>15238362.117915239</v>
      </c>
      <c r="D327">
        <v>9909307.1126087643</v>
      </c>
      <c r="E327">
        <v>2702.7027027029999</v>
      </c>
      <c r="F327">
        <v>13513.513513514001</v>
      </c>
      <c r="G327">
        <v>4</v>
      </c>
      <c r="K327">
        <v>6</v>
      </c>
      <c r="M327">
        <v>1083783.7837837839</v>
      </c>
      <c r="N327">
        <v>463963.96396396402</v>
      </c>
      <c r="O327">
        <v>1598234.2342342341</v>
      </c>
      <c r="P327">
        <v>778333.33333333302</v>
      </c>
      <c r="Q327">
        <v>1422972.972972973</v>
      </c>
      <c r="R327">
        <v>680360.36036036001</v>
      </c>
      <c r="S327">
        <v>984</v>
      </c>
      <c r="T327">
        <v>1394</v>
      </c>
    </row>
    <row r="328" spans="1:20" x14ac:dyDescent="0.35">
      <c r="A328" s="7" t="s">
        <v>425</v>
      </c>
      <c r="B328" s="12" t="s">
        <v>76</v>
      </c>
      <c r="C328">
        <v>39831182.830250278</v>
      </c>
      <c r="D328">
        <v>38353823.71757029</v>
      </c>
      <c r="E328">
        <v>141441.441441442</v>
      </c>
      <c r="F328">
        <v>89189.189189190001</v>
      </c>
      <c r="G328">
        <v>18</v>
      </c>
      <c r="H328">
        <v>9</v>
      </c>
      <c r="K328">
        <v>21</v>
      </c>
      <c r="L328">
        <v>11</v>
      </c>
      <c r="M328">
        <v>3813513.5135135129</v>
      </c>
      <c r="N328">
        <v>5757387.3873873893</v>
      </c>
      <c r="O328">
        <v>9257522.522522524</v>
      </c>
      <c r="P328">
        <v>9782243.2432432435</v>
      </c>
      <c r="Q328">
        <v>2904864.8648648681</v>
      </c>
      <c r="R328">
        <v>4686936.9369369373</v>
      </c>
      <c r="S328">
        <v>1601</v>
      </c>
      <c r="T328">
        <v>1432</v>
      </c>
    </row>
    <row r="329" spans="1:20" x14ac:dyDescent="0.35">
      <c r="A329" s="7" t="s">
        <v>426</v>
      </c>
      <c r="B329" s="12" t="s">
        <v>330</v>
      </c>
      <c r="C329">
        <v>186572238.54485497</v>
      </c>
      <c r="D329">
        <v>184346299.94669971</v>
      </c>
      <c r="E329">
        <v>364594.59459459799</v>
      </c>
      <c r="F329">
        <v>1786261.2612612669</v>
      </c>
      <c r="G329">
        <v>52</v>
      </c>
      <c r="H329">
        <v>59</v>
      </c>
      <c r="K329">
        <v>77</v>
      </c>
      <c r="L329">
        <v>70</v>
      </c>
      <c r="M329">
        <v>4301531.5315315332</v>
      </c>
      <c r="N329">
        <v>13300000.000000002</v>
      </c>
      <c r="O329">
        <v>31159953.153153151</v>
      </c>
      <c r="P329">
        <v>31500513.513513513</v>
      </c>
      <c r="Q329">
        <v>5173513.5135135148</v>
      </c>
      <c r="R329">
        <v>8497927.9279279262</v>
      </c>
      <c r="S329">
        <v>11717</v>
      </c>
      <c r="T329">
        <v>11776</v>
      </c>
    </row>
    <row r="330" spans="1:20" x14ac:dyDescent="0.35">
      <c r="A330" s="7" t="s">
        <v>427</v>
      </c>
      <c r="B330" s="12" t="s">
        <v>241</v>
      </c>
      <c r="C330">
        <v>49097973.884353466</v>
      </c>
      <c r="D330">
        <v>48076424.441451751</v>
      </c>
      <c r="E330">
        <v>903603.60360360402</v>
      </c>
      <c r="F330">
        <v>155855.85585585699</v>
      </c>
      <c r="G330">
        <v>18</v>
      </c>
      <c r="H330">
        <v>14</v>
      </c>
      <c r="K330">
        <v>24</v>
      </c>
      <c r="L330">
        <v>18</v>
      </c>
      <c r="M330">
        <v>7649639.6396396412</v>
      </c>
      <c r="N330">
        <v>5574774.774774774</v>
      </c>
      <c r="O330">
        <v>17919396.396396395</v>
      </c>
      <c r="P330">
        <v>17137108.108108107</v>
      </c>
      <c r="Q330">
        <v>7028738.7387387399</v>
      </c>
      <c r="R330">
        <v>4885315.3153153164</v>
      </c>
      <c r="S330">
        <v>5171</v>
      </c>
      <c r="T330">
        <v>5338</v>
      </c>
    </row>
    <row r="331" spans="1:20" x14ac:dyDescent="0.35">
      <c r="A331" s="7" t="s">
        <v>428</v>
      </c>
      <c r="B331" s="12" t="s">
        <v>283</v>
      </c>
      <c r="C331">
        <v>19957747.392458882</v>
      </c>
      <c r="D331">
        <v>21682532.532620385</v>
      </c>
      <c r="E331">
        <v>1801.801801802</v>
      </c>
      <c r="F331">
        <v>250450.450450451</v>
      </c>
      <c r="G331">
        <v>7</v>
      </c>
      <c r="H331">
        <v>1</v>
      </c>
      <c r="K331">
        <v>10</v>
      </c>
      <c r="L331">
        <v>24</v>
      </c>
      <c r="M331">
        <v>452252.25225225202</v>
      </c>
      <c r="N331">
        <v>10133333.333333334</v>
      </c>
      <c r="O331">
        <v>3917387.387387387</v>
      </c>
      <c r="P331">
        <v>4850225.2252252251</v>
      </c>
      <c r="Q331">
        <v>246396.39639639601</v>
      </c>
      <c r="R331">
        <v>5509999.9999999991</v>
      </c>
      <c r="S331">
        <v>1316</v>
      </c>
      <c r="T331">
        <v>398</v>
      </c>
    </row>
    <row r="332" spans="1:20" x14ac:dyDescent="0.35">
      <c r="A332" s="7" t="s">
        <v>429</v>
      </c>
      <c r="B332" s="12" t="s">
        <v>283</v>
      </c>
      <c r="C332">
        <v>6214861.0716845663</v>
      </c>
      <c r="D332">
        <v>6902455.154342128</v>
      </c>
      <c r="E332">
        <v>900.900900901</v>
      </c>
      <c r="F332">
        <v>207207.20720720699</v>
      </c>
      <c r="M332">
        <v>900.900900901</v>
      </c>
      <c r="N332">
        <v>3090090.090090089</v>
      </c>
      <c r="O332">
        <v>636351.35135135101</v>
      </c>
      <c r="P332">
        <v>351711.71171171102</v>
      </c>
      <c r="Q332">
        <v>13513.513513514001</v>
      </c>
      <c r="R332">
        <v>2856126.1261261259</v>
      </c>
      <c r="S332">
        <v>500</v>
      </c>
      <c r="T332">
        <v>580</v>
      </c>
    </row>
    <row r="333" spans="1:20" x14ac:dyDescent="0.35">
      <c r="A333" s="7" t="s">
        <v>430</v>
      </c>
      <c r="B333" s="12" t="s">
        <v>283</v>
      </c>
      <c r="C333">
        <v>12205670.698129283</v>
      </c>
      <c r="D333">
        <v>15092183.914024277</v>
      </c>
      <c r="F333">
        <v>180180.18018018</v>
      </c>
      <c r="G333">
        <v>3</v>
      </c>
      <c r="H333">
        <v>2</v>
      </c>
      <c r="K333">
        <v>3</v>
      </c>
      <c r="L333">
        <v>3</v>
      </c>
      <c r="N333">
        <v>270270.27027027</v>
      </c>
      <c r="O333">
        <v>1145180.1801801799</v>
      </c>
      <c r="P333">
        <v>1310900.9009009011</v>
      </c>
      <c r="R333">
        <v>148648.64864864899</v>
      </c>
      <c r="S333">
        <v>839</v>
      </c>
      <c r="T333">
        <v>889</v>
      </c>
    </row>
    <row r="334" spans="1:20" x14ac:dyDescent="0.35">
      <c r="A334" s="7" t="s">
        <v>431</v>
      </c>
      <c r="B334" s="12" t="s">
        <v>78</v>
      </c>
      <c r="C334">
        <v>83457300.855161607</v>
      </c>
      <c r="D334">
        <v>82628454.267837793</v>
      </c>
      <c r="E334">
        <v>329729.72972973</v>
      </c>
      <c r="F334">
        <v>873873.87387387501</v>
      </c>
      <c r="G334">
        <v>16</v>
      </c>
      <c r="H334">
        <v>49</v>
      </c>
      <c r="K334">
        <v>17</v>
      </c>
      <c r="L334">
        <v>94</v>
      </c>
      <c r="M334">
        <v>5307207.2072072048</v>
      </c>
      <c r="N334">
        <v>6990990.9909909908</v>
      </c>
      <c r="O334">
        <v>33859819.819819823</v>
      </c>
      <c r="P334">
        <v>34656243.243243247</v>
      </c>
      <c r="Q334">
        <v>5486396.3963963967</v>
      </c>
      <c r="R334">
        <v>7715405.405405405</v>
      </c>
      <c r="S334">
        <v>6331</v>
      </c>
      <c r="T334">
        <v>6478</v>
      </c>
    </row>
    <row r="335" spans="1:20" x14ac:dyDescent="0.35">
      <c r="A335" s="7" t="s">
        <v>432</v>
      </c>
      <c r="B335" s="12" t="s">
        <v>105</v>
      </c>
      <c r="C335">
        <v>71800913.271716863</v>
      </c>
      <c r="D335">
        <v>70441431.026957542</v>
      </c>
      <c r="E335">
        <v>77477.477477477994</v>
      </c>
      <c r="F335">
        <v>221621.62162162099</v>
      </c>
      <c r="G335">
        <v>9</v>
      </c>
      <c r="H335">
        <v>8</v>
      </c>
      <c r="K335">
        <v>10</v>
      </c>
      <c r="L335">
        <v>10</v>
      </c>
      <c r="M335">
        <v>9658018.0180180185</v>
      </c>
      <c r="N335">
        <v>7514189.1891891891</v>
      </c>
      <c r="O335">
        <v>16549810.810810812</v>
      </c>
      <c r="P335">
        <v>17018864.864864863</v>
      </c>
      <c r="Q335">
        <v>7457747.7477477482</v>
      </c>
      <c r="R335">
        <v>10526891.891891889</v>
      </c>
      <c r="S335">
        <v>3642</v>
      </c>
      <c r="T335">
        <v>3632</v>
      </c>
    </row>
    <row r="336" spans="1:20" x14ac:dyDescent="0.35">
      <c r="A336" s="7" t="s">
        <v>433</v>
      </c>
      <c r="B336" s="12" t="s">
        <v>72</v>
      </c>
      <c r="C336">
        <v>424323938.9446677</v>
      </c>
      <c r="D336">
        <v>403842017.25344563</v>
      </c>
      <c r="E336">
        <v>602252.25225225696</v>
      </c>
      <c r="F336">
        <v>2810810.8108108211</v>
      </c>
      <c r="G336">
        <v>100</v>
      </c>
      <c r="H336">
        <v>88</v>
      </c>
      <c r="I336">
        <v>1</v>
      </c>
      <c r="K336">
        <v>181</v>
      </c>
      <c r="L336">
        <v>157</v>
      </c>
      <c r="M336">
        <v>65911261.261261255</v>
      </c>
      <c r="N336">
        <v>57790990.990990989</v>
      </c>
      <c r="O336">
        <v>88888592.792792797</v>
      </c>
      <c r="P336">
        <v>82795554.054054052</v>
      </c>
      <c r="Q336">
        <v>47476846.846846849</v>
      </c>
      <c r="R336">
        <v>44635675.675675675</v>
      </c>
      <c r="S336">
        <v>18332</v>
      </c>
      <c r="T336">
        <v>19548</v>
      </c>
    </row>
    <row r="337" spans="1:20" x14ac:dyDescent="0.35">
      <c r="A337" s="7" t="s">
        <v>434</v>
      </c>
      <c r="B337" s="12" t="s">
        <v>72</v>
      </c>
      <c r="C337">
        <v>299636298.03306878</v>
      </c>
      <c r="D337">
        <v>280187174.78493351</v>
      </c>
      <c r="E337">
        <v>653153.15315315302</v>
      </c>
      <c r="F337">
        <v>1973198.1981982039</v>
      </c>
      <c r="G337">
        <v>49</v>
      </c>
      <c r="H337">
        <v>62</v>
      </c>
      <c r="K337">
        <v>57</v>
      </c>
      <c r="L337">
        <v>73</v>
      </c>
      <c r="M337">
        <v>31395495.495495491</v>
      </c>
      <c r="N337">
        <v>30523423.423423424</v>
      </c>
      <c r="O337">
        <v>50084418.918918923</v>
      </c>
      <c r="P337">
        <v>51830306.306306303</v>
      </c>
      <c r="Q337">
        <v>23945945.945945945</v>
      </c>
      <c r="R337">
        <v>23739459.459459461</v>
      </c>
      <c r="S337">
        <v>13642</v>
      </c>
      <c r="T337">
        <v>13783</v>
      </c>
    </row>
    <row r="338" spans="1:20" x14ac:dyDescent="0.35">
      <c r="A338" s="7" t="s">
        <v>435</v>
      </c>
      <c r="B338" s="12" t="s">
        <v>94</v>
      </c>
      <c r="C338">
        <v>21903616.345159929</v>
      </c>
      <c r="D338">
        <v>19401530.297965474</v>
      </c>
      <c r="E338">
        <v>900.900900901</v>
      </c>
      <c r="G338">
        <v>6</v>
      </c>
      <c r="H338">
        <v>1</v>
      </c>
      <c r="K338">
        <v>6</v>
      </c>
      <c r="L338">
        <v>1</v>
      </c>
      <c r="M338">
        <v>541441.44144144095</v>
      </c>
      <c r="N338">
        <v>180180.18018018</v>
      </c>
      <c r="O338">
        <v>4487207.2072072066</v>
      </c>
      <c r="P338">
        <v>4544198.1981981983</v>
      </c>
      <c r="Q338">
        <v>43243.243243243</v>
      </c>
      <c r="R338">
        <v>116666.66666666701</v>
      </c>
      <c r="S338">
        <v>906</v>
      </c>
      <c r="T338">
        <v>877</v>
      </c>
    </row>
    <row r="339" spans="1:20" x14ac:dyDescent="0.35">
      <c r="A339" s="7" t="s">
        <v>436</v>
      </c>
      <c r="B339" s="12" t="s">
        <v>89</v>
      </c>
      <c r="C339">
        <v>105324463.10750781</v>
      </c>
      <c r="D339">
        <v>105537886.67368257</v>
      </c>
      <c r="E339">
        <v>572252.25225225196</v>
      </c>
      <c r="F339">
        <v>817117.11711711995</v>
      </c>
      <c r="G339">
        <v>27</v>
      </c>
      <c r="H339">
        <v>39</v>
      </c>
      <c r="K339">
        <v>28</v>
      </c>
      <c r="L339">
        <v>46</v>
      </c>
      <c r="M339">
        <v>10941621.62162162</v>
      </c>
      <c r="N339">
        <v>14885225.225225223</v>
      </c>
      <c r="O339">
        <v>43028738.738738738</v>
      </c>
      <c r="P339">
        <v>46680369.369369365</v>
      </c>
      <c r="Q339">
        <v>10427657.657657659</v>
      </c>
      <c r="R339">
        <v>14802072.072072072</v>
      </c>
      <c r="S339">
        <v>5410</v>
      </c>
      <c r="T339">
        <v>7529</v>
      </c>
    </row>
    <row r="340" spans="1:20" x14ac:dyDescent="0.35">
      <c r="A340" s="7" t="s">
        <v>437</v>
      </c>
      <c r="B340" s="12" t="s">
        <v>70</v>
      </c>
      <c r="C340">
        <v>3405551.7180880881</v>
      </c>
      <c r="D340">
        <v>3011087.634079353</v>
      </c>
      <c r="G340">
        <v>4</v>
      </c>
      <c r="H340">
        <v>3</v>
      </c>
      <c r="K340">
        <v>4</v>
      </c>
      <c r="L340">
        <v>3</v>
      </c>
      <c r="O340">
        <v>1479684.684684684</v>
      </c>
      <c r="P340">
        <v>2105216.2162162149</v>
      </c>
      <c r="S340">
        <v>1192</v>
      </c>
      <c r="T340">
        <v>2320</v>
      </c>
    </row>
    <row r="341" spans="1:20" x14ac:dyDescent="0.35">
      <c r="A341" s="7" t="s">
        <v>438</v>
      </c>
      <c r="B341" s="12" t="s">
        <v>195</v>
      </c>
      <c r="C341">
        <v>504288883.31363565</v>
      </c>
      <c r="D341">
        <v>469760488.21238703</v>
      </c>
      <c r="E341">
        <v>59350172.072072074</v>
      </c>
      <c r="F341">
        <v>33344844.144144148</v>
      </c>
      <c r="G341">
        <v>78</v>
      </c>
      <c r="H341">
        <v>106</v>
      </c>
      <c r="K341">
        <v>105</v>
      </c>
      <c r="L341">
        <v>146</v>
      </c>
      <c r="M341">
        <v>42583783.783783779</v>
      </c>
      <c r="N341">
        <v>41722702.702702709</v>
      </c>
      <c r="O341">
        <v>79525684.684684694</v>
      </c>
      <c r="P341">
        <v>83032346.846846849</v>
      </c>
      <c r="Q341">
        <v>39837297.297297299</v>
      </c>
      <c r="R341">
        <v>35157387.387387387</v>
      </c>
      <c r="S341">
        <v>20770</v>
      </c>
      <c r="T341">
        <v>20666</v>
      </c>
    </row>
    <row r="342" spans="1:20" x14ac:dyDescent="0.35">
      <c r="A342" s="7" t="s">
        <v>439</v>
      </c>
      <c r="B342" s="12" t="s">
        <v>178</v>
      </c>
      <c r="C342">
        <v>226005199.00325501</v>
      </c>
      <c r="D342">
        <v>234083460.70861652</v>
      </c>
      <c r="E342">
        <v>540810.81081081205</v>
      </c>
      <c r="F342">
        <v>705405.405405408</v>
      </c>
      <c r="G342">
        <v>24</v>
      </c>
      <c r="H342">
        <v>21</v>
      </c>
      <c r="I342">
        <v>1</v>
      </c>
      <c r="K342">
        <v>30</v>
      </c>
      <c r="L342">
        <v>27</v>
      </c>
      <c r="M342">
        <v>40914144.144144148</v>
      </c>
      <c r="N342">
        <v>38259359.459459454</v>
      </c>
      <c r="O342">
        <v>88064315.315315306</v>
      </c>
      <c r="P342">
        <v>92247828.828828827</v>
      </c>
      <c r="Q342">
        <v>37186936.936936945</v>
      </c>
      <c r="R342">
        <v>34046036.036036029</v>
      </c>
      <c r="S342">
        <v>14552</v>
      </c>
      <c r="T342">
        <v>17036</v>
      </c>
    </row>
    <row r="343" spans="1:20" x14ac:dyDescent="0.35">
      <c r="A343" s="7" t="s">
        <v>440</v>
      </c>
      <c r="B343" s="12" t="s">
        <v>78</v>
      </c>
      <c r="C343">
        <v>101778376.45317964</v>
      </c>
      <c r="D343">
        <v>105387381.54630615</v>
      </c>
      <c r="E343">
        <v>599729.72972973099</v>
      </c>
      <c r="F343">
        <v>1659459.459459462</v>
      </c>
      <c r="G343">
        <v>11</v>
      </c>
      <c r="H343">
        <v>15</v>
      </c>
      <c r="K343">
        <v>18</v>
      </c>
      <c r="L343">
        <v>19</v>
      </c>
      <c r="M343">
        <v>4572702.702702702</v>
      </c>
      <c r="N343">
        <v>10515315.315315315</v>
      </c>
      <c r="O343">
        <v>20866540.540540539</v>
      </c>
      <c r="P343">
        <v>20425261.261261258</v>
      </c>
      <c r="Q343">
        <v>6262972.9729729723</v>
      </c>
      <c r="R343">
        <v>10717747.747747747</v>
      </c>
      <c r="S343">
        <v>5370</v>
      </c>
      <c r="T343">
        <v>4651</v>
      </c>
    </row>
    <row r="344" spans="1:20" x14ac:dyDescent="0.35">
      <c r="A344" s="7" t="s">
        <v>441</v>
      </c>
      <c r="B344" s="12" t="s">
        <v>78</v>
      </c>
      <c r="C344">
        <v>45081889.329548925</v>
      </c>
      <c r="D344">
        <v>42832736.751109503</v>
      </c>
      <c r="E344">
        <v>307207.20720720902</v>
      </c>
      <c r="F344">
        <v>728828.82882883097</v>
      </c>
      <c r="G344">
        <v>10</v>
      </c>
      <c r="H344">
        <v>5</v>
      </c>
      <c r="K344">
        <v>11</v>
      </c>
      <c r="L344">
        <v>7</v>
      </c>
      <c r="M344">
        <v>6622522.5225225221</v>
      </c>
      <c r="N344">
        <v>12278378.378378378</v>
      </c>
      <c r="O344">
        <v>9145540.5405405406</v>
      </c>
      <c r="P344">
        <v>9059144.1441441439</v>
      </c>
      <c r="Q344">
        <v>6114684.6846846836</v>
      </c>
      <c r="R344">
        <v>11719369.369369371</v>
      </c>
      <c r="S344">
        <v>1490</v>
      </c>
      <c r="T344">
        <v>2260</v>
      </c>
    </row>
    <row r="345" spans="1:20" x14ac:dyDescent="0.35">
      <c r="A345" s="7" t="s">
        <v>442</v>
      </c>
      <c r="B345" s="12" t="s">
        <v>123</v>
      </c>
      <c r="C345">
        <v>636374.77293534705</v>
      </c>
      <c r="D345">
        <v>773662.25444831501</v>
      </c>
      <c r="G345">
        <v>1</v>
      </c>
      <c r="K345">
        <v>1</v>
      </c>
      <c r="O345">
        <v>219144.144144144</v>
      </c>
      <c r="P345">
        <v>330855.85585585597</v>
      </c>
      <c r="S345">
        <v>387</v>
      </c>
      <c r="T345">
        <v>336</v>
      </c>
    </row>
    <row r="346" spans="1:20" x14ac:dyDescent="0.35">
      <c r="A346" s="7" t="s">
        <v>443</v>
      </c>
      <c r="B346" s="12" t="s">
        <v>140</v>
      </c>
      <c r="C346">
        <v>105276926.38056223</v>
      </c>
      <c r="D346">
        <v>108003685.81967297</v>
      </c>
      <c r="E346">
        <v>553153.15315315302</v>
      </c>
      <c r="F346">
        <v>279729.72972972802</v>
      </c>
      <c r="G346">
        <v>10</v>
      </c>
      <c r="H346">
        <v>15</v>
      </c>
      <c r="K346">
        <v>10</v>
      </c>
      <c r="L346">
        <v>22</v>
      </c>
      <c r="M346">
        <v>8989639.6396396384</v>
      </c>
      <c r="N346">
        <v>13381801.801801801</v>
      </c>
      <c r="O346">
        <v>24759234.234234232</v>
      </c>
      <c r="P346">
        <v>27926018.018018015</v>
      </c>
      <c r="Q346">
        <v>9140000</v>
      </c>
      <c r="R346">
        <v>8984774.7747747749</v>
      </c>
      <c r="S346">
        <v>5693</v>
      </c>
      <c r="T346">
        <v>5612</v>
      </c>
    </row>
    <row r="347" spans="1:20" x14ac:dyDescent="0.35">
      <c r="A347" s="7" t="s">
        <v>444</v>
      </c>
      <c r="B347" s="12" t="s">
        <v>76</v>
      </c>
      <c r="C347">
        <v>11472454.730877647</v>
      </c>
      <c r="D347">
        <v>12033761.143440196</v>
      </c>
      <c r="E347">
        <v>37837.837837838</v>
      </c>
      <c r="F347">
        <v>152252.25225225199</v>
      </c>
      <c r="G347">
        <v>4</v>
      </c>
      <c r="H347">
        <v>2</v>
      </c>
      <c r="K347">
        <v>5</v>
      </c>
      <c r="L347">
        <v>2</v>
      </c>
      <c r="M347">
        <v>7055855.855855857</v>
      </c>
      <c r="N347">
        <v>2179279.2792792791</v>
      </c>
      <c r="O347">
        <v>2644594.594594595</v>
      </c>
      <c r="P347">
        <v>2679963.963963964</v>
      </c>
      <c r="Q347">
        <v>3445765.7657657661</v>
      </c>
      <c r="R347">
        <v>1800360.36036036</v>
      </c>
      <c r="S347">
        <v>664</v>
      </c>
      <c r="T347">
        <v>568</v>
      </c>
    </row>
    <row r="348" spans="1:20" x14ac:dyDescent="0.35">
      <c r="A348" s="7" t="s">
        <v>445</v>
      </c>
      <c r="B348" s="12" t="s">
        <v>89</v>
      </c>
      <c r="C348">
        <v>327162602.82199359</v>
      </c>
      <c r="D348">
        <v>330378986.68689239</v>
      </c>
      <c r="E348">
        <v>29641992.792792793</v>
      </c>
      <c r="F348">
        <v>244833347.74774775</v>
      </c>
      <c r="G348">
        <v>49</v>
      </c>
      <c r="H348">
        <v>80</v>
      </c>
      <c r="I348">
        <v>2</v>
      </c>
      <c r="K348">
        <v>66</v>
      </c>
      <c r="L348">
        <v>96</v>
      </c>
      <c r="M348">
        <v>31614684.684684679</v>
      </c>
      <c r="N348">
        <v>213293243.24324322</v>
      </c>
      <c r="O348">
        <v>94936657.657657668</v>
      </c>
      <c r="P348">
        <v>102538358.55855855</v>
      </c>
      <c r="Q348">
        <v>31503243.24324324</v>
      </c>
      <c r="R348">
        <v>108222792.79279278</v>
      </c>
      <c r="S348">
        <v>16347</v>
      </c>
      <c r="T348">
        <v>16283</v>
      </c>
    </row>
    <row r="349" spans="1:20" x14ac:dyDescent="0.35">
      <c r="A349" s="7" t="s">
        <v>446</v>
      </c>
      <c r="B349" s="12" t="s">
        <v>48</v>
      </c>
      <c r="C349">
        <v>32638244.625073809</v>
      </c>
      <c r="D349">
        <v>31410058.498944208</v>
      </c>
      <c r="E349">
        <v>453153.15315315302</v>
      </c>
      <c r="F349">
        <v>612612.61261261301</v>
      </c>
      <c r="L349">
        <v>2</v>
      </c>
      <c r="M349">
        <v>4014054.0540540549</v>
      </c>
      <c r="N349">
        <v>4063063.0630630641</v>
      </c>
      <c r="O349">
        <v>10569909.90990991</v>
      </c>
      <c r="P349">
        <v>10421036.036036037</v>
      </c>
      <c r="Q349">
        <v>3432882.8828828838</v>
      </c>
      <c r="R349">
        <v>3815045.0450450452</v>
      </c>
      <c r="S349">
        <v>1096</v>
      </c>
      <c r="T349">
        <v>1176</v>
      </c>
    </row>
    <row r="350" spans="1:20" x14ac:dyDescent="0.35">
      <c r="A350" s="7" t="s">
        <v>447</v>
      </c>
      <c r="B350" s="12" t="s">
        <v>448</v>
      </c>
      <c r="C350">
        <v>64612917.599966846</v>
      </c>
      <c r="D350">
        <v>61907281.746138453</v>
      </c>
      <c r="E350">
        <v>407207.20720720699</v>
      </c>
      <c r="F350">
        <v>1709909.9099099119</v>
      </c>
      <c r="G350">
        <v>389</v>
      </c>
      <c r="H350">
        <v>57</v>
      </c>
      <c r="K350">
        <v>415</v>
      </c>
      <c r="L350">
        <v>87</v>
      </c>
      <c r="M350">
        <v>4220270.2702702703</v>
      </c>
      <c r="N350">
        <v>6980180.1801801827</v>
      </c>
      <c r="O350">
        <v>27677567.567567568</v>
      </c>
      <c r="P350">
        <v>25773180.180180181</v>
      </c>
      <c r="Q350">
        <v>4472432.4324324317</v>
      </c>
      <c r="R350">
        <v>7023963.9639639677</v>
      </c>
      <c r="S350">
        <v>5658</v>
      </c>
      <c r="T350">
        <v>5761</v>
      </c>
    </row>
    <row r="351" spans="1:20" x14ac:dyDescent="0.35">
      <c r="A351" s="7" t="s">
        <v>449</v>
      </c>
      <c r="B351" s="12" t="s">
        <v>76</v>
      </c>
      <c r="C351">
        <v>16572292.393563436</v>
      </c>
      <c r="D351">
        <v>14925169.627079548</v>
      </c>
      <c r="E351">
        <v>6306.3063063070003</v>
      </c>
      <c r="F351">
        <v>118018.018018018</v>
      </c>
      <c r="G351">
        <v>4</v>
      </c>
      <c r="H351">
        <v>8</v>
      </c>
      <c r="K351">
        <v>5</v>
      </c>
      <c r="L351">
        <v>9</v>
      </c>
      <c r="M351">
        <v>3199099.0990990992</v>
      </c>
      <c r="N351">
        <v>5909729.7297297288</v>
      </c>
      <c r="O351">
        <v>5751081.0810810812</v>
      </c>
      <c r="P351">
        <v>4682810.8108108109</v>
      </c>
      <c r="Q351">
        <v>2401441.4414414419</v>
      </c>
      <c r="R351">
        <v>4330810.8108108118</v>
      </c>
      <c r="S351">
        <v>1879</v>
      </c>
      <c r="T351">
        <v>1829</v>
      </c>
    </row>
    <row r="352" spans="1:20" x14ac:dyDescent="0.35">
      <c r="A352" s="7" t="s">
        <v>450</v>
      </c>
      <c r="B352" s="12" t="s">
        <v>83</v>
      </c>
      <c r="C352">
        <v>586912650.608778</v>
      </c>
      <c r="D352">
        <v>591405430.89340115</v>
      </c>
      <c r="E352">
        <v>91415308.108108118</v>
      </c>
      <c r="F352">
        <v>96993935.135135159</v>
      </c>
      <c r="G352">
        <v>87</v>
      </c>
      <c r="H352">
        <v>116</v>
      </c>
      <c r="I352">
        <v>4</v>
      </c>
      <c r="K352">
        <v>108</v>
      </c>
      <c r="L352">
        <v>144</v>
      </c>
      <c r="M352">
        <v>55265495.495495491</v>
      </c>
      <c r="N352">
        <v>76886216.216216221</v>
      </c>
      <c r="O352">
        <v>117405837.83783785</v>
      </c>
      <c r="P352">
        <v>122791342.34234233</v>
      </c>
      <c r="Q352">
        <v>55287027.027027026</v>
      </c>
      <c r="R352">
        <v>65283333.333333336</v>
      </c>
      <c r="S352">
        <v>31469</v>
      </c>
      <c r="T352">
        <v>31422</v>
      </c>
    </row>
    <row r="353" spans="1:20" x14ac:dyDescent="0.35">
      <c r="A353" s="7" t="s">
        <v>451</v>
      </c>
      <c r="B353" s="12" t="s">
        <v>70</v>
      </c>
      <c r="C353">
        <v>41639508.40696983</v>
      </c>
      <c r="D353">
        <v>36866070.602692448</v>
      </c>
      <c r="E353">
        <v>144144.144144144</v>
      </c>
      <c r="F353">
        <v>40540.540540540998</v>
      </c>
      <c r="G353">
        <v>4</v>
      </c>
      <c r="H353">
        <v>8</v>
      </c>
      <c r="K353">
        <v>4</v>
      </c>
      <c r="L353">
        <v>8</v>
      </c>
      <c r="M353">
        <v>144144.144144144</v>
      </c>
      <c r="N353">
        <v>685585.58558558603</v>
      </c>
      <c r="O353">
        <v>23134684.684684683</v>
      </c>
      <c r="P353">
        <v>22938189.189189188</v>
      </c>
      <c r="Q353">
        <v>672162.16216216201</v>
      </c>
      <c r="R353">
        <v>640180.18018018105</v>
      </c>
      <c r="S353">
        <v>2847</v>
      </c>
      <c r="T353">
        <v>2700</v>
      </c>
    </row>
    <row r="354" spans="1:20" x14ac:dyDescent="0.35">
      <c r="A354" s="7" t="s">
        <v>452</v>
      </c>
      <c r="B354" s="12" t="s">
        <v>167</v>
      </c>
      <c r="C354">
        <v>46743537.936018854</v>
      </c>
      <c r="D354">
        <v>45852771.949981071</v>
      </c>
      <c r="E354">
        <v>2038738.7387387389</v>
      </c>
      <c r="F354">
        <v>2252252.2522522518</v>
      </c>
      <c r="G354">
        <v>1</v>
      </c>
      <c r="H354">
        <v>2</v>
      </c>
      <c r="I354">
        <v>1</v>
      </c>
      <c r="K354">
        <v>1</v>
      </c>
      <c r="L354">
        <v>4</v>
      </c>
      <c r="M354">
        <v>3407747.7477477491</v>
      </c>
      <c r="N354">
        <v>477477.47747747699</v>
      </c>
      <c r="O354">
        <v>7443828.8288288293</v>
      </c>
      <c r="P354">
        <v>8651324.3243243247</v>
      </c>
      <c r="Q354">
        <v>3729009.0090090102</v>
      </c>
      <c r="R354">
        <v>1946846.8468468471</v>
      </c>
      <c r="S354">
        <v>2747</v>
      </c>
      <c r="T354">
        <v>2937</v>
      </c>
    </row>
    <row r="355" spans="1:20" x14ac:dyDescent="0.35">
      <c r="A355" s="7" t="s">
        <v>453</v>
      </c>
      <c r="B355" s="12" t="s">
        <v>121</v>
      </c>
      <c r="C355">
        <v>2746570.065547057</v>
      </c>
      <c r="D355">
        <v>2199157.6732680472</v>
      </c>
      <c r="F355">
        <v>34234.234234233998</v>
      </c>
      <c r="G355">
        <v>1</v>
      </c>
      <c r="K355">
        <v>1</v>
      </c>
      <c r="N355">
        <v>36036.036036035999</v>
      </c>
      <c r="O355">
        <v>164144.144144144</v>
      </c>
      <c r="P355">
        <v>194864.864864865</v>
      </c>
      <c r="S355">
        <v>153</v>
      </c>
      <c r="T355">
        <v>114</v>
      </c>
    </row>
    <row r="356" spans="1:20" x14ac:dyDescent="0.35">
      <c r="A356" s="7" t="s">
        <v>454</v>
      </c>
      <c r="B356" s="12" t="s">
        <v>224</v>
      </c>
      <c r="C356">
        <v>19664459.430686869</v>
      </c>
      <c r="D356">
        <v>14370033.802544916</v>
      </c>
      <c r="K356">
        <v>1</v>
      </c>
      <c r="L356">
        <v>1</v>
      </c>
      <c r="O356">
        <v>3505180.1801801799</v>
      </c>
      <c r="P356">
        <v>3027783.7837837832</v>
      </c>
      <c r="Q356">
        <v>98198.198198198006</v>
      </c>
      <c r="R356">
        <v>66216.216216215995</v>
      </c>
      <c r="S356">
        <v>1275</v>
      </c>
      <c r="T356">
        <v>1263</v>
      </c>
    </row>
    <row r="357" spans="1:20" x14ac:dyDescent="0.35">
      <c r="A357" s="7" t="s">
        <v>455</v>
      </c>
      <c r="B357" s="12" t="s">
        <v>94</v>
      </c>
      <c r="C357">
        <v>20831178.466124568</v>
      </c>
      <c r="D357">
        <v>24768775.208755855</v>
      </c>
      <c r="E357">
        <v>49549.54954955</v>
      </c>
      <c r="F357">
        <v>220720.72072072199</v>
      </c>
      <c r="G357">
        <v>9</v>
      </c>
      <c r="H357">
        <v>8</v>
      </c>
      <c r="K357">
        <v>9</v>
      </c>
      <c r="L357">
        <v>10</v>
      </c>
      <c r="M357">
        <v>3349549.5495495498</v>
      </c>
      <c r="N357">
        <v>12977477.477477476</v>
      </c>
      <c r="O357">
        <v>4146351.351351351</v>
      </c>
      <c r="P357">
        <v>6349355.8558558561</v>
      </c>
      <c r="Q357">
        <v>3236036.036036035</v>
      </c>
      <c r="R357">
        <v>13616486.486486487</v>
      </c>
      <c r="S357">
        <v>1969</v>
      </c>
      <c r="T357">
        <v>2171</v>
      </c>
    </row>
    <row r="358" spans="1:20" x14ac:dyDescent="0.35">
      <c r="A358" s="7" t="s">
        <v>456</v>
      </c>
      <c r="B358" s="12" t="s">
        <v>60</v>
      </c>
      <c r="C358">
        <v>4463146.9038561555</v>
      </c>
      <c r="D358">
        <v>3369631.08545409</v>
      </c>
      <c r="E358">
        <v>288288.28828828799</v>
      </c>
      <c r="F358">
        <v>90990.990990991006</v>
      </c>
      <c r="G358">
        <v>2</v>
      </c>
      <c r="H358">
        <v>1</v>
      </c>
      <c r="K358">
        <v>2</v>
      </c>
      <c r="L358">
        <v>3</v>
      </c>
      <c r="M358">
        <v>918918.91891891905</v>
      </c>
      <c r="N358">
        <v>991891.89189189102</v>
      </c>
      <c r="O358">
        <v>2518018.018018018</v>
      </c>
      <c r="P358">
        <v>1366981.9819819811</v>
      </c>
      <c r="Q358">
        <v>460360.36036036001</v>
      </c>
      <c r="R358">
        <v>63513.513513514001</v>
      </c>
      <c r="S358">
        <v>658</v>
      </c>
      <c r="T358">
        <v>608</v>
      </c>
    </row>
    <row r="359" spans="1:20" x14ac:dyDescent="0.35">
      <c r="A359" s="7" t="s">
        <v>457</v>
      </c>
      <c r="B359" s="12" t="s">
        <v>214</v>
      </c>
      <c r="C359">
        <v>59079035.189722367</v>
      </c>
      <c r="D359">
        <v>62040190.234701909</v>
      </c>
      <c r="F359">
        <v>216216.21621621601</v>
      </c>
      <c r="G359">
        <v>7</v>
      </c>
      <c r="H359">
        <v>8</v>
      </c>
      <c r="K359">
        <v>9</v>
      </c>
      <c r="L359">
        <v>15</v>
      </c>
      <c r="M359">
        <v>450450.45045045001</v>
      </c>
      <c r="N359">
        <v>216216.21621621601</v>
      </c>
      <c r="O359">
        <v>29759324.324324325</v>
      </c>
      <c r="P359">
        <v>31864459.459459461</v>
      </c>
      <c r="Q359">
        <v>432432.43243243202</v>
      </c>
      <c r="R359">
        <v>1099099.0990990989</v>
      </c>
      <c r="S359">
        <v>3048</v>
      </c>
      <c r="T359">
        <v>2879</v>
      </c>
    </row>
    <row r="360" spans="1:20" x14ac:dyDescent="0.35">
      <c r="A360" s="7" t="s">
        <v>458</v>
      </c>
      <c r="B360" s="12" t="s">
        <v>459</v>
      </c>
      <c r="C360">
        <v>254853574.72716737</v>
      </c>
      <c r="D360">
        <v>245016745.57236698</v>
      </c>
      <c r="E360">
        <v>1159279.279279283</v>
      </c>
      <c r="F360">
        <v>3923873.873873882</v>
      </c>
      <c r="G360">
        <v>70</v>
      </c>
      <c r="H360">
        <v>88</v>
      </c>
      <c r="I360">
        <v>2</v>
      </c>
      <c r="K360">
        <v>119</v>
      </c>
      <c r="L360">
        <v>134</v>
      </c>
      <c r="M360">
        <v>33428018.018018007</v>
      </c>
      <c r="N360">
        <v>82166216.216216207</v>
      </c>
      <c r="O360">
        <v>84592513.51351352</v>
      </c>
      <c r="P360">
        <v>88488657.657657668</v>
      </c>
      <c r="Q360">
        <v>26914954.954954952</v>
      </c>
      <c r="R360">
        <v>49419369.369369365</v>
      </c>
      <c r="S360">
        <v>25448</v>
      </c>
      <c r="T360">
        <v>23796</v>
      </c>
    </row>
    <row r="361" spans="1:20" x14ac:dyDescent="0.35">
      <c r="A361" s="7" t="s">
        <v>460</v>
      </c>
      <c r="B361" s="12" t="s">
        <v>459</v>
      </c>
      <c r="C361">
        <v>429547011.85238653</v>
      </c>
      <c r="D361">
        <v>603689289.73410928</v>
      </c>
      <c r="E361">
        <v>5750630.6306306347</v>
      </c>
      <c r="F361">
        <v>4570270.2702702759</v>
      </c>
      <c r="G361">
        <v>188</v>
      </c>
      <c r="H361">
        <v>81</v>
      </c>
      <c r="I361">
        <v>1</v>
      </c>
      <c r="K361">
        <v>249</v>
      </c>
      <c r="L361">
        <v>235</v>
      </c>
      <c r="M361">
        <v>32381396.396396395</v>
      </c>
      <c r="N361">
        <v>42365765.765765749</v>
      </c>
      <c r="O361">
        <v>116043630.63063064</v>
      </c>
      <c r="P361">
        <v>310291310.8108108</v>
      </c>
      <c r="Q361">
        <v>28356711.711711712</v>
      </c>
      <c r="R361">
        <v>41812342.342342339</v>
      </c>
      <c r="S361">
        <v>31707</v>
      </c>
      <c r="T361">
        <v>32055</v>
      </c>
    </row>
    <row r="362" spans="1:20" x14ac:dyDescent="0.35">
      <c r="A362" s="7" t="s">
        <v>461</v>
      </c>
      <c r="B362" s="12" t="s">
        <v>459</v>
      </c>
      <c r="C362">
        <v>380535242.3172912</v>
      </c>
      <c r="D362">
        <v>395366488.85590303</v>
      </c>
      <c r="E362">
        <v>539189.18918919202</v>
      </c>
      <c r="F362">
        <v>3144144.144144149</v>
      </c>
      <c r="G362">
        <v>109</v>
      </c>
      <c r="H362">
        <v>90</v>
      </c>
      <c r="I362">
        <v>4</v>
      </c>
      <c r="K362">
        <v>137</v>
      </c>
      <c r="L362">
        <v>161</v>
      </c>
      <c r="M362">
        <v>783244954.95495498</v>
      </c>
      <c r="N362">
        <v>108230630.63063063</v>
      </c>
      <c r="O362">
        <v>99505436.936936945</v>
      </c>
      <c r="P362">
        <v>112347279.27927928</v>
      </c>
      <c r="Q362">
        <v>717518018.01801801</v>
      </c>
      <c r="R362">
        <v>58130720.720720723</v>
      </c>
      <c r="S362">
        <v>23498</v>
      </c>
      <c r="T362">
        <v>26532</v>
      </c>
    </row>
    <row r="363" spans="1:20" x14ac:dyDescent="0.35">
      <c r="A363" s="7" t="s">
        <v>462</v>
      </c>
      <c r="B363" s="12" t="s">
        <v>459</v>
      </c>
      <c r="C363">
        <v>281682186.24611121</v>
      </c>
      <c r="D363">
        <v>275863792.73213261</v>
      </c>
      <c r="E363">
        <v>94954.954954956993</v>
      </c>
      <c r="F363">
        <v>1011711.711711715</v>
      </c>
      <c r="G363">
        <v>56</v>
      </c>
      <c r="H363">
        <v>62</v>
      </c>
      <c r="K363">
        <v>76</v>
      </c>
      <c r="L363">
        <v>107</v>
      </c>
      <c r="M363">
        <v>14551261.26126126</v>
      </c>
      <c r="N363">
        <v>20921801.801801801</v>
      </c>
      <c r="O363">
        <v>62105124.324324317</v>
      </c>
      <c r="P363">
        <v>65532738.738738738</v>
      </c>
      <c r="Q363">
        <v>17392792.792792793</v>
      </c>
      <c r="R363">
        <v>19367927.927927919</v>
      </c>
      <c r="S363">
        <v>19321</v>
      </c>
      <c r="T363">
        <v>20549</v>
      </c>
    </row>
    <row r="364" spans="1:20" x14ac:dyDescent="0.35">
      <c r="A364" s="7" t="s">
        <v>463</v>
      </c>
      <c r="B364" s="12" t="s">
        <v>459</v>
      </c>
      <c r="C364">
        <v>271037802.12355882</v>
      </c>
      <c r="D364">
        <v>278854377.38240069</v>
      </c>
      <c r="E364">
        <v>621621.62162162305</v>
      </c>
      <c r="F364">
        <v>3670495.4954955019</v>
      </c>
      <c r="G364">
        <v>68</v>
      </c>
      <c r="H364">
        <v>121</v>
      </c>
      <c r="K364">
        <v>93</v>
      </c>
      <c r="L364">
        <v>230</v>
      </c>
      <c r="M364">
        <v>18224414.414414417</v>
      </c>
      <c r="N364">
        <v>39572432.432432435</v>
      </c>
      <c r="O364">
        <v>100362693.6936937</v>
      </c>
      <c r="P364">
        <v>112173488.73873873</v>
      </c>
      <c r="Q364">
        <v>16902432.432432432</v>
      </c>
      <c r="R364">
        <v>36025855.855855852</v>
      </c>
      <c r="S364">
        <v>26451</v>
      </c>
      <c r="T364">
        <v>26259</v>
      </c>
    </row>
    <row r="365" spans="1:20" x14ac:dyDescent="0.35">
      <c r="A365" s="7" t="s">
        <v>464</v>
      </c>
      <c r="B365" s="12" t="s">
        <v>459</v>
      </c>
      <c r="C365">
        <v>303464789.00110072</v>
      </c>
      <c r="D365">
        <v>321014791.283759</v>
      </c>
      <c r="E365">
        <v>1119212217.1171172</v>
      </c>
      <c r="F365">
        <v>509150196.3963964</v>
      </c>
      <c r="G365">
        <v>121</v>
      </c>
      <c r="H365">
        <v>80</v>
      </c>
      <c r="K365">
        <v>145</v>
      </c>
      <c r="L365">
        <v>121</v>
      </c>
      <c r="M365">
        <v>42272747.747747742</v>
      </c>
      <c r="N365">
        <v>52145945.945945933</v>
      </c>
      <c r="O365">
        <v>132964151.35135137</v>
      </c>
      <c r="P365">
        <v>138627506.75675675</v>
      </c>
      <c r="Q365">
        <v>39433963.963963971</v>
      </c>
      <c r="R365">
        <v>45774189.189189181</v>
      </c>
      <c r="S365">
        <v>27807</v>
      </c>
      <c r="T365">
        <v>27953</v>
      </c>
    </row>
    <row r="366" spans="1:20" x14ac:dyDescent="0.35">
      <c r="A366" s="7" t="s">
        <v>465</v>
      </c>
      <c r="B366" s="12" t="s">
        <v>54</v>
      </c>
      <c r="C366">
        <v>21727310.247614976</v>
      </c>
      <c r="D366">
        <v>20852495.459194619</v>
      </c>
      <c r="E366">
        <v>8108.1081081089997</v>
      </c>
      <c r="F366">
        <v>81981.981981983001</v>
      </c>
      <c r="G366">
        <v>2</v>
      </c>
      <c r="H366">
        <v>4</v>
      </c>
      <c r="K366">
        <v>2</v>
      </c>
      <c r="L366">
        <v>9</v>
      </c>
      <c r="M366">
        <v>1117117.1171171169</v>
      </c>
      <c r="N366">
        <v>1760180.1801801811</v>
      </c>
      <c r="O366">
        <v>4681126.1261261273</v>
      </c>
      <c r="P366">
        <v>4094234.2342342348</v>
      </c>
      <c r="Q366">
        <v>1511261.261261259</v>
      </c>
      <c r="R366">
        <v>1458198.198198199</v>
      </c>
      <c r="S366">
        <v>1224</v>
      </c>
      <c r="T366">
        <v>1209</v>
      </c>
    </row>
    <row r="367" spans="1:20" x14ac:dyDescent="0.35">
      <c r="A367" s="7" t="s">
        <v>466</v>
      </c>
      <c r="B367" s="12" t="s">
        <v>87</v>
      </c>
      <c r="C367">
        <v>950467.02844689798</v>
      </c>
      <c r="D367">
        <v>809889.26860986301</v>
      </c>
      <c r="O367">
        <v>257432.43243243199</v>
      </c>
      <c r="P367">
        <v>140765.765765766</v>
      </c>
      <c r="S367">
        <v>99</v>
      </c>
      <c r="T367">
        <v>355</v>
      </c>
    </row>
    <row r="368" spans="1:20" x14ac:dyDescent="0.35">
      <c r="A368" s="7" t="s">
        <v>467</v>
      </c>
      <c r="B368" s="12" t="s">
        <v>143</v>
      </c>
      <c r="C368">
        <v>112563537.82284549</v>
      </c>
      <c r="D368">
        <v>100845475.4756678</v>
      </c>
      <c r="E368">
        <v>25225.225225225</v>
      </c>
      <c r="F368">
        <v>127027.027027028</v>
      </c>
      <c r="G368">
        <v>34</v>
      </c>
      <c r="H368">
        <v>23</v>
      </c>
      <c r="K368">
        <v>36</v>
      </c>
      <c r="L368">
        <v>33</v>
      </c>
      <c r="M368">
        <v>4890090.0900900904</v>
      </c>
      <c r="N368">
        <v>7874774.7747747749</v>
      </c>
      <c r="O368">
        <v>18148261.261261258</v>
      </c>
      <c r="P368">
        <v>14377699.0990991</v>
      </c>
      <c r="Q368">
        <v>5882882.8828828819</v>
      </c>
      <c r="R368">
        <v>3615045.0450450438</v>
      </c>
      <c r="S368">
        <v>5097</v>
      </c>
      <c r="T368">
        <v>5011</v>
      </c>
    </row>
    <row r="369" spans="1:20" x14ac:dyDescent="0.35">
      <c r="A369" s="7" t="s">
        <v>468</v>
      </c>
      <c r="B369" s="12" t="s">
        <v>80</v>
      </c>
      <c r="C369">
        <v>94820432.191625983</v>
      </c>
      <c r="D369">
        <v>85949808.629086688</v>
      </c>
      <c r="E369">
        <v>2702.7027027029999</v>
      </c>
      <c r="F369">
        <v>31081.081081082</v>
      </c>
      <c r="G369">
        <v>10</v>
      </c>
      <c r="H369">
        <v>5</v>
      </c>
      <c r="K369">
        <v>10</v>
      </c>
      <c r="L369">
        <v>7</v>
      </c>
      <c r="M369">
        <v>1580180.1801801811</v>
      </c>
      <c r="N369">
        <v>1009459.45945946</v>
      </c>
      <c r="O369">
        <v>33730736.936936937</v>
      </c>
      <c r="P369">
        <v>32221585.585585587</v>
      </c>
      <c r="Q369">
        <v>3128558.5585585581</v>
      </c>
      <c r="R369">
        <v>1661621.621621622</v>
      </c>
      <c r="S369">
        <v>5377</v>
      </c>
      <c r="T369">
        <v>5230</v>
      </c>
    </row>
    <row r="370" spans="1:20" x14ac:dyDescent="0.35">
      <c r="A370" s="7" t="s">
        <v>469</v>
      </c>
      <c r="B370" s="12" t="s">
        <v>470</v>
      </c>
      <c r="C370">
        <v>101286177.44292264</v>
      </c>
      <c r="D370">
        <v>104613661.99675244</v>
      </c>
      <c r="E370">
        <v>42072.072072071998</v>
      </c>
      <c r="F370">
        <v>80657657.657657668</v>
      </c>
      <c r="G370">
        <v>21</v>
      </c>
      <c r="H370">
        <v>9</v>
      </c>
      <c r="K370">
        <v>25</v>
      </c>
      <c r="L370">
        <v>10</v>
      </c>
      <c r="M370">
        <v>6747027.0270270268</v>
      </c>
      <c r="N370">
        <v>10196396.396396397</v>
      </c>
      <c r="O370">
        <v>31484063.063063063</v>
      </c>
      <c r="P370">
        <v>31886738.738738742</v>
      </c>
      <c r="Q370">
        <v>3891711.7117117122</v>
      </c>
      <c r="R370">
        <v>10359099.0990991</v>
      </c>
      <c r="S370">
        <v>5440</v>
      </c>
      <c r="T370">
        <v>5465</v>
      </c>
    </row>
    <row r="371" spans="1:20" x14ac:dyDescent="0.35">
      <c r="A371" s="7" t="s">
        <v>471</v>
      </c>
      <c r="B371" s="12" t="s">
        <v>470</v>
      </c>
      <c r="C371">
        <v>9383123.6837154757</v>
      </c>
      <c r="D371">
        <v>7680832.992979547</v>
      </c>
      <c r="F371">
        <v>72072.072072071998</v>
      </c>
      <c r="N371">
        <v>1765765.7657657659</v>
      </c>
      <c r="O371">
        <v>740630.630630631</v>
      </c>
      <c r="P371">
        <v>774459.45945945894</v>
      </c>
      <c r="R371">
        <v>1693693.693693694</v>
      </c>
      <c r="S371">
        <v>642</v>
      </c>
      <c r="T371">
        <v>638</v>
      </c>
    </row>
    <row r="372" spans="1:20" x14ac:dyDescent="0.35">
      <c r="A372" s="7" t="s">
        <v>472</v>
      </c>
      <c r="B372" s="12" t="s">
        <v>470</v>
      </c>
      <c r="C372">
        <v>1414903.9307762019</v>
      </c>
      <c r="D372">
        <v>1176339.9161182879</v>
      </c>
      <c r="E372">
        <v>21420503.603603605</v>
      </c>
      <c r="F372">
        <v>67724826.126126125</v>
      </c>
      <c r="M372">
        <v>8780339.6396396402</v>
      </c>
      <c r="N372">
        <v>10149995.495495496</v>
      </c>
      <c r="O372">
        <v>288063.06306306302</v>
      </c>
      <c r="P372">
        <v>327342.34234234202</v>
      </c>
      <c r="Q372">
        <v>136936.93693693701</v>
      </c>
      <c r="R372">
        <v>1693693.693693694</v>
      </c>
      <c r="S372">
        <v>509</v>
      </c>
      <c r="T372">
        <v>447</v>
      </c>
    </row>
    <row r="373" spans="1:20" x14ac:dyDescent="0.35">
      <c r="A373" s="7" t="s">
        <v>473</v>
      </c>
      <c r="B373" s="12" t="s">
        <v>470</v>
      </c>
      <c r="C373">
        <v>35404911.321676604</v>
      </c>
      <c r="D373">
        <v>38348755.885994323</v>
      </c>
      <c r="E373">
        <v>189189.189189189</v>
      </c>
      <c r="F373">
        <v>219819.81981982</v>
      </c>
      <c r="G373">
        <v>4</v>
      </c>
      <c r="H373">
        <v>6</v>
      </c>
      <c r="K373">
        <v>6</v>
      </c>
      <c r="L373">
        <v>9</v>
      </c>
      <c r="M373">
        <v>279279.279279279</v>
      </c>
      <c r="N373">
        <v>2093693.693693694</v>
      </c>
      <c r="O373">
        <v>4846162.1621621624</v>
      </c>
      <c r="P373">
        <v>5670945.9459459456</v>
      </c>
      <c r="Q373">
        <v>4384504.5045045046</v>
      </c>
      <c r="R373">
        <v>10838108.108108109</v>
      </c>
      <c r="S373">
        <v>2154</v>
      </c>
      <c r="T373">
        <v>2286</v>
      </c>
    </row>
    <row r="374" spans="1:20" x14ac:dyDescent="0.35">
      <c r="A374" s="7" t="s">
        <v>474</v>
      </c>
      <c r="B374" s="12" t="s">
        <v>470</v>
      </c>
      <c r="C374">
        <v>51466423.428179137</v>
      </c>
      <c r="D374">
        <v>53213350.558720723</v>
      </c>
      <c r="E374">
        <v>17657.657657658001</v>
      </c>
      <c r="F374">
        <v>418018.01801801898</v>
      </c>
      <c r="G374">
        <v>11</v>
      </c>
      <c r="H374">
        <v>15</v>
      </c>
      <c r="K374">
        <v>14</v>
      </c>
      <c r="L374">
        <v>16</v>
      </c>
      <c r="M374">
        <v>918558.55855855905</v>
      </c>
      <c r="N374">
        <v>5949549.5495495498</v>
      </c>
      <c r="O374">
        <v>11593063.063063063</v>
      </c>
      <c r="P374">
        <v>11921270.270270269</v>
      </c>
      <c r="Q374">
        <v>1363243.2432432431</v>
      </c>
      <c r="R374">
        <v>5993153.1531531541</v>
      </c>
      <c r="S374">
        <v>2414</v>
      </c>
      <c r="T374">
        <v>2430</v>
      </c>
    </row>
    <row r="375" spans="1:20" x14ac:dyDescent="0.35">
      <c r="A375" s="7" t="s">
        <v>475</v>
      </c>
      <c r="B375" s="12" t="s">
        <v>470</v>
      </c>
      <c r="C375">
        <v>19741256.275433697</v>
      </c>
      <c r="D375">
        <v>19860166.101517871</v>
      </c>
      <c r="E375">
        <v>5405.4054054050002</v>
      </c>
      <c r="F375">
        <v>263063.06306306302</v>
      </c>
      <c r="G375">
        <v>2</v>
      </c>
      <c r="H375">
        <v>1</v>
      </c>
      <c r="K375">
        <v>2</v>
      </c>
      <c r="L375">
        <v>1</v>
      </c>
      <c r="M375">
        <v>455855.85585585498</v>
      </c>
      <c r="N375">
        <v>4776576.5765765766</v>
      </c>
      <c r="O375">
        <v>4342297.2972972961</v>
      </c>
      <c r="P375">
        <v>3907225.2252252251</v>
      </c>
      <c r="Q375">
        <v>1304054.054054054</v>
      </c>
      <c r="R375">
        <v>4086576.576576577</v>
      </c>
      <c r="S375">
        <v>1398</v>
      </c>
      <c r="T375">
        <v>1348</v>
      </c>
    </row>
    <row r="376" spans="1:20" x14ac:dyDescent="0.35">
      <c r="A376" s="7" t="s">
        <v>476</v>
      </c>
      <c r="B376" s="12" t="s">
        <v>470</v>
      </c>
      <c r="C376">
        <v>188641437.37812358</v>
      </c>
      <c r="D376">
        <v>199317324.44552845</v>
      </c>
      <c r="E376">
        <v>909144.14414414496</v>
      </c>
      <c r="F376">
        <v>4856756.7567567639</v>
      </c>
      <c r="G376">
        <v>32</v>
      </c>
      <c r="H376">
        <v>83</v>
      </c>
      <c r="K376">
        <v>48</v>
      </c>
      <c r="L376">
        <v>155</v>
      </c>
      <c r="M376">
        <v>29925855.855855856</v>
      </c>
      <c r="N376">
        <v>59700900.900900893</v>
      </c>
      <c r="O376">
        <v>45088396.396396399</v>
      </c>
      <c r="P376">
        <v>51525520.720720723</v>
      </c>
      <c r="Q376">
        <v>31759279.27927928</v>
      </c>
      <c r="R376">
        <v>55300900.9009009</v>
      </c>
      <c r="S376">
        <v>15968</v>
      </c>
      <c r="T376">
        <v>16281</v>
      </c>
    </row>
    <row r="377" spans="1:20" x14ac:dyDescent="0.35">
      <c r="A377" s="7" t="s">
        <v>477</v>
      </c>
      <c r="B377" s="12" t="s">
        <v>260</v>
      </c>
      <c r="C377">
        <v>224990591.41070378</v>
      </c>
      <c r="D377">
        <v>239877543.86282393</v>
      </c>
      <c r="E377">
        <v>151994490.99099097</v>
      </c>
      <c r="F377">
        <v>144045195.4954955</v>
      </c>
      <c r="G377">
        <v>38</v>
      </c>
      <c r="H377">
        <v>33</v>
      </c>
      <c r="K377">
        <v>42</v>
      </c>
      <c r="L377">
        <v>35</v>
      </c>
      <c r="M377">
        <v>20661351.351351351</v>
      </c>
      <c r="N377">
        <v>43906306.306306303</v>
      </c>
      <c r="O377">
        <v>53210216.216216214</v>
      </c>
      <c r="P377">
        <v>61959545.045045041</v>
      </c>
      <c r="Q377">
        <v>20577657.657657657</v>
      </c>
      <c r="R377">
        <v>29211531.531531528</v>
      </c>
      <c r="S377">
        <v>11468</v>
      </c>
      <c r="T377">
        <v>11250</v>
      </c>
    </row>
    <row r="378" spans="1:20" x14ac:dyDescent="0.35">
      <c r="A378" s="7" t="s">
        <v>478</v>
      </c>
      <c r="B378" s="12" t="s">
        <v>479</v>
      </c>
      <c r="C378">
        <v>16518490.91258196</v>
      </c>
      <c r="D378">
        <v>15591601.09807455</v>
      </c>
      <c r="E378">
        <v>405405.40540540498</v>
      </c>
      <c r="F378">
        <v>230630.63063063001</v>
      </c>
      <c r="G378">
        <v>5</v>
      </c>
      <c r="H378">
        <v>3</v>
      </c>
      <c r="K378">
        <v>5</v>
      </c>
      <c r="L378">
        <v>3</v>
      </c>
      <c r="M378">
        <v>11757657.657657659</v>
      </c>
      <c r="N378">
        <v>4494144.1441441439</v>
      </c>
      <c r="O378">
        <v>4046351.3513513519</v>
      </c>
      <c r="P378">
        <v>3408918.9189189188</v>
      </c>
      <c r="Q378">
        <v>11962612.612612613</v>
      </c>
      <c r="R378">
        <v>4406306.3063063063</v>
      </c>
      <c r="S378">
        <v>915</v>
      </c>
      <c r="T378">
        <v>786</v>
      </c>
    </row>
    <row r="379" spans="1:20" x14ac:dyDescent="0.35">
      <c r="A379" s="7" t="s">
        <v>480</v>
      </c>
      <c r="B379" s="12" t="s">
        <v>123</v>
      </c>
      <c r="C379">
        <v>123407727.13208528</v>
      </c>
      <c r="D379">
        <v>117314478.81094091</v>
      </c>
      <c r="E379">
        <v>791441.44144144095</v>
      </c>
      <c r="F379">
        <v>350450.45045045199</v>
      </c>
      <c r="G379">
        <v>17</v>
      </c>
      <c r="H379">
        <v>23</v>
      </c>
      <c r="K379">
        <v>25</v>
      </c>
      <c r="L379">
        <v>25</v>
      </c>
      <c r="M379">
        <v>6790540.5405405406</v>
      </c>
      <c r="N379">
        <v>6991621.6216216199</v>
      </c>
      <c r="O379">
        <v>46045090.090090089</v>
      </c>
      <c r="P379">
        <v>44191148.648648649</v>
      </c>
      <c r="Q379">
        <v>7994054.0540540544</v>
      </c>
      <c r="R379">
        <v>7677387.3873873884</v>
      </c>
      <c r="S379">
        <v>5581</v>
      </c>
      <c r="T379">
        <v>5518</v>
      </c>
    </row>
    <row r="380" spans="1:20" x14ac:dyDescent="0.35">
      <c r="A380" s="7" t="s">
        <v>481</v>
      </c>
      <c r="B380" s="12" t="s">
        <v>470</v>
      </c>
      <c r="C380">
        <v>10333343.20579664</v>
      </c>
      <c r="D380">
        <v>9612211.8820732553</v>
      </c>
      <c r="E380">
        <v>22072.072072071998</v>
      </c>
      <c r="F380">
        <v>44144.144144143997</v>
      </c>
      <c r="G380">
        <v>1</v>
      </c>
      <c r="K380">
        <v>2</v>
      </c>
      <c r="L380">
        <v>1</v>
      </c>
      <c r="M380">
        <v>472522.52252252202</v>
      </c>
      <c r="N380">
        <v>494594.59459459397</v>
      </c>
      <c r="O380">
        <v>2175306.3063063058</v>
      </c>
      <c r="P380">
        <v>1717477.4774774769</v>
      </c>
      <c r="Q380">
        <v>188288.28828828901</v>
      </c>
      <c r="R380">
        <v>288828.82882882899</v>
      </c>
      <c r="S380">
        <v>614</v>
      </c>
      <c r="T380">
        <v>617</v>
      </c>
    </row>
    <row r="381" spans="1:20" x14ac:dyDescent="0.35">
      <c r="A381" s="7" t="s">
        <v>482</v>
      </c>
      <c r="B381" s="12" t="s">
        <v>167</v>
      </c>
      <c r="C381">
        <v>98037427.445141777</v>
      </c>
      <c r="D381">
        <v>101201464.47428332</v>
      </c>
      <c r="E381">
        <v>308108.10810810799</v>
      </c>
      <c r="F381">
        <v>1252252.2522522539</v>
      </c>
      <c r="G381">
        <v>40</v>
      </c>
      <c r="H381">
        <v>50</v>
      </c>
      <c r="K381">
        <v>80</v>
      </c>
      <c r="L381">
        <v>97</v>
      </c>
      <c r="M381">
        <v>9485135.1351351384</v>
      </c>
      <c r="N381">
        <v>11140540.540540542</v>
      </c>
      <c r="O381">
        <v>40314681.081081077</v>
      </c>
      <c r="P381">
        <v>42372283.783783786</v>
      </c>
      <c r="Q381">
        <v>9075675.6756756809</v>
      </c>
      <c r="R381">
        <v>11310900.900900904</v>
      </c>
      <c r="S381">
        <v>9094</v>
      </c>
      <c r="T381">
        <v>8536</v>
      </c>
    </row>
    <row r="382" spans="1:20" x14ac:dyDescent="0.35">
      <c r="A382" s="7" t="s">
        <v>483</v>
      </c>
      <c r="B382" s="12" t="s">
        <v>167</v>
      </c>
      <c r="C382">
        <v>95854586.235848218</v>
      </c>
      <c r="D382">
        <v>111474243.84980589</v>
      </c>
      <c r="E382">
        <v>172374582.88288289</v>
      </c>
      <c r="F382">
        <v>257712127.02702704</v>
      </c>
      <c r="G382">
        <v>62</v>
      </c>
      <c r="H382">
        <v>54</v>
      </c>
      <c r="K382">
        <v>186</v>
      </c>
      <c r="L382">
        <v>100</v>
      </c>
      <c r="M382">
        <v>19761261.261261258</v>
      </c>
      <c r="N382">
        <v>16813513.51351352</v>
      </c>
      <c r="O382">
        <v>38395855.855855852</v>
      </c>
      <c r="P382">
        <v>41463909.909909911</v>
      </c>
      <c r="Q382">
        <v>19281801.801801804</v>
      </c>
      <c r="R382">
        <v>16080450.450450452</v>
      </c>
      <c r="S382">
        <v>9046</v>
      </c>
      <c r="T382">
        <v>9365</v>
      </c>
    </row>
    <row r="383" spans="1:20" x14ac:dyDescent="0.35">
      <c r="A383" s="7" t="s">
        <v>672</v>
      </c>
      <c r="B383" s="12" t="s">
        <v>181</v>
      </c>
      <c r="M383">
        <v>189189.189189189</v>
      </c>
      <c r="N383">
        <v>675675.67567567597</v>
      </c>
    </row>
    <row r="384" spans="1:20" x14ac:dyDescent="0.35">
      <c r="A384" s="7" t="s">
        <v>484</v>
      </c>
      <c r="B384" s="12" t="s">
        <v>50</v>
      </c>
      <c r="C384">
        <v>71824185.265395373</v>
      </c>
      <c r="D384">
        <v>70169489.927668214</v>
      </c>
      <c r="E384">
        <v>823963.963963966</v>
      </c>
      <c r="F384">
        <v>781081.08108108304</v>
      </c>
      <c r="G384">
        <v>34</v>
      </c>
      <c r="H384">
        <v>19</v>
      </c>
      <c r="K384">
        <v>35</v>
      </c>
      <c r="L384">
        <v>21</v>
      </c>
      <c r="M384">
        <v>9861441.4414414391</v>
      </c>
      <c r="N384">
        <v>6882342.342342345</v>
      </c>
      <c r="O384">
        <v>29815315.315315317</v>
      </c>
      <c r="P384">
        <v>30339045.045045044</v>
      </c>
      <c r="Q384">
        <v>10566576.576576572</v>
      </c>
      <c r="R384">
        <v>8139099.0990990987</v>
      </c>
      <c r="S384">
        <v>3669</v>
      </c>
      <c r="T384">
        <v>3737</v>
      </c>
    </row>
    <row r="385" spans="1:20" x14ac:dyDescent="0.35">
      <c r="A385" s="7" t="s">
        <v>485</v>
      </c>
      <c r="B385" s="12" t="s">
        <v>134</v>
      </c>
      <c r="C385">
        <v>99819328.3561147</v>
      </c>
      <c r="D385">
        <v>93378678.657896563</v>
      </c>
      <c r="E385">
        <v>287387.38738738798</v>
      </c>
      <c r="F385">
        <v>429729.72972973099</v>
      </c>
      <c r="G385">
        <v>12</v>
      </c>
      <c r="H385">
        <v>12</v>
      </c>
      <c r="K385">
        <v>14</v>
      </c>
      <c r="L385">
        <v>16</v>
      </c>
      <c r="M385">
        <v>11381981.981981983</v>
      </c>
      <c r="N385">
        <v>12231531.531531531</v>
      </c>
      <c r="O385">
        <v>16421531.531531531</v>
      </c>
      <c r="P385">
        <v>17139126.126126125</v>
      </c>
      <c r="Q385">
        <v>8089729.7297297297</v>
      </c>
      <c r="R385">
        <v>6207207.2072072066</v>
      </c>
      <c r="S385">
        <v>4626</v>
      </c>
      <c r="T385">
        <v>4563</v>
      </c>
    </row>
    <row r="386" spans="1:20" x14ac:dyDescent="0.35">
      <c r="A386" s="7" t="s">
        <v>486</v>
      </c>
      <c r="B386" s="12" t="s">
        <v>76</v>
      </c>
      <c r="C386">
        <v>24596878.917175625</v>
      </c>
      <c r="D386">
        <v>18777188.995475017</v>
      </c>
      <c r="E386">
        <v>409009.00900900899</v>
      </c>
      <c r="F386">
        <v>612612.61261261301</v>
      </c>
      <c r="G386">
        <v>4</v>
      </c>
      <c r="H386">
        <v>2</v>
      </c>
      <c r="K386">
        <v>4</v>
      </c>
      <c r="L386">
        <v>3</v>
      </c>
      <c r="M386">
        <v>4535135.1351351338</v>
      </c>
      <c r="N386">
        <v>5132792.7927927924</v>
      </c>
      <c r="O386">
        <v>9310869.3693693709</v>
      </c>
      <c r="P386">
        <v>7084603.6036036042</v>
      </c>
      <c r="Q386">
        <v>4833513.5135135129</v>
      </c>
      <c r="R386">
        <v>3851891.8918918921</v>
      </c>
      <c r="S386">
        <v>1588</v>
      </c>
      <c r="T386">
        <v>1438</v>
      </c>
    </row>
    <row r="387" spans="1:20" x14ac:dyDescent="0.35">
      <c r="A387" s="7" t="s">
        <v>487</v>
      </c>
      <c r="B387" s="12" t="s">
        <v>307</v>
      </c>
      <c r="C387">
        <v>149540353.00047809</v>
      </c>
      <c r="D387">
        <v>151643064.01495492</v>
      </c>
      <c r="E387">
        <v>163963.96396396501</v>
      </c>
      <c r="F387">
        <v>1437837.8378378421</v>
      </c>
      <c r="G387">
        <v>26</v>
      </c>
      <c r="H387">
        <v>42</v>
      </c>
      <c r="K387">
        <v>31</v>
      </c>
      <c r="L387">
        <v>90</v>
      </c>
      <c r="M387">
        <v>24555225.225225225</v>
      </c>
      <c r="N387">
        <v>29324189.189189188</v>
      </c>
      <c r="O387">
        <v>60007162.162162162</v>
      </c>
      <c r="P387">
        <v>63554720.720720723</v>
      </c>
      <c r="Q387">
        <v>20387927.927927926</v>
      </c>
      <c r="R387">
        <v>26100495.495495494</v>
      </c>
      <c r="S387">
        <v>11392</v>
      </c>
      <c r="T387">
        <v>12387</v>
      </c>
    </row>
    <row r="388" spans="1:20" x14ac:dyDescent="0.35">
      <c r="A388" s="7" t="s">
        <v>488</v>
      </c>
      <c r="B388" s="12" t="s">
        <v>315</v>
      </c>
      <c r="C388">
        <v>39765324.349618785</v>
      </c>
      <c r="D388">
        <v>31876955.874557968</v>
      </c>
      <c r="E388">
        <v>4279156.7567567565</v>
      </c>
      <c r="F388">
        <v>40551168.468468472</v>
      </c>
      <c r="G388">
        <v>7</v>
      </c>
      <c r="H388">
        <v>2</v>
      </c>
      <c r="K388">
        <v>8</v>
      </c>
      <c r="L388">
        <v>4</v>
      </c>
      <c r="M388">
        <v>49561801.801801801</v>
      </c>
      <c r="N388">
        <v>22830450.450450446</v>
      </c>
      <c r="O388">
        <v>17657828.828828827</v>
      </c>
      <c r="P388">
        <v>13190522.522522522</v>
      </c>
      <c r="Q388">
        <v>14633693.693693696</v>
      </c>
      <c r="R388">
        <v>19477567.567567568</v>
      </c>
      <c r="S388">
        <v>1694</v>
      </c>
      <c r="T388">
        <v>1641</v>
      </c>
    </row>
    <row r="389" spans="1:20" x14ac:dyDescent="0.35">
      <c r="A389" s="7" t="s">
        <v>489</v>
      </c>
      <c r="B389" s="12" t="s">
        <v>181</v>
      </c>
      <c r="C389">
        <v>82882889.122025341</v>
      </c>
      <c r="D389">
        <v>79405749.240809813</v>
      </c>
      <c r="E389">
        <v>21641441.441441443</v>
      </c>
      <c r="F389">
        <v>331081.081081082</v>
      </c>
      <c r="G389">
        <v>38</v>
      </c>
      <c r="H389">
        <v>39</v>
      </c>
      <c r="K389">
        <v>50</v>
      </c>
      <c r="L389">
        <v>59</v>
      </c>
      <c r="M389">
        <v>6784594.5945945932</v>
      </c>
      <c r="N389">
        <v>7513513.513513512</v>
      </c>
      <c r="O389">
        <v>22012963.963963963</v>
      </c>
      <c r="P389">
        <v>24109441.441441439</v>
      </c>
      <c r="Q389">
        <v>4178108.1081081079</v>
      </c>
      <c r="R389">
        <v>8124504.5045045028</v>
      </c>
      <c r="S389">
        <v>6373</v>
      </c>
      <c r="T389">
        <v>6325</v>
      </c>
    </row>
    <row r="390" spans="1:20" x14ac:dyDescent="0.35">
      <c r="A390" s="7" t="s">
        <v>490</v>
      </c>
      <c r="B390" s="12" t="s">
        <v>220</v>
      </c>
      <c r="C390">
        <v>51480487.124898009</v>
      </c>
      <c r="D390">
        <v>46279900.375462979</v>
      </c>
      <c r="E390">
        <v>6761261.261261262</v>
      </c>
      <c r="F390">
        <v>6094594.594594595</v>
      </c>
      <c r="G390">
        <v>12</v>
      </c>
      <c r="H390">
        <v>17</v>
      </c>
      <c r="K390">
        <v>14</v>
      </c>
      <c r="L390">
        <v>21</v>
      </c>
      <c r="M390">
        <v>27754954.954954956</v>
      </c>
      <c r="N390">
        <v>1194594.5945945941</v>
      </c>
      <c r="O390">
        <v>12704144.144144144</v>
      </c>
      <c r="P390">
        <v>11737953.153153151</v>
      </c>
      <c r="Q390">
        <v>305855.85585585597</v>
      </c>
      <c r="R390">
        <v>534234.23423423397</v>
      </c>
      <c r="S390">
        <v>4046</v>
      </c>
      <c r="T390">
        <v>3962</v>
      </c>
    </row>
    <row r="391" spans="1:20" x14ac:dyDescent="0.35">
      <c r="A391" s="7" t="s">
        <v>491</v>
      </c>
      <c r="B391" s="12" t="s">
        <v>220</v>
      </c>
      <c r="C391">
        <v>15791646.314559096</v>
      </c>
      <c r="D391">
        <v>14897939.581506209</v>
      </c>
      <c r="E391">
        <v>8108.1081081080001</v>
      </c>
      <c r="F391">
        <v>344144.14414414502</v>
      </c>
      <c r="G391">
        <v>11</v>
      </c>
      <c r="H391">
        <v>5</v>
      </c>
      <c r="K391">
        <v>13</v>
      </c>
      <c r="L391">
        <v>5</v>
      </c>
      <c r="M391">
        <v>3051351.351351351</v>
      </c>
      <c r="N391">
        <v>14971621.621621624</v>
      </c>
      <c r="O391">
        <v>4984504.5045045037</v>
      </c>
      <c r="P391">
        <v>4807342.3423423432</v>
      </c>
      <c r="Q391">
        <v>2755765.7657657661</v>
      </c>
      <c r="R391">
        <v>14165135.135135137</v>
      </c>
      <c r="S391">
        <v>1236</v>
      </c>
      <c r="T391">
        <v>1279</v>
      </c>
    </row>
    <row r="392" spans="1:20" x14ac:dyDescent="0.35">
      <c r="A392" s="7" t="s">
        <v>492</v>
      </c>
      <c r="B392" s="12" t="s">
        <v>60</v>
      </c>
      <c r="C392">
        <v>62156578.42358128</v>
      </c>
      <c r="D392">
        <v>52454749.208270632</v>
      </c>
      <c r="E392">
        <v>865765.76576576603</v>
      </c>
      <c r="F392">
        <v>1471171.1711711769</v>
      </c>
      <c r="G392">
        <v>7</v>
      </c>
      <c r="H392">
        <v>8</v>
      </c>
      <c r="K392">
        <v>8</v>
      </c>
      <c r="L392">
        <v>65</v>
      </c>
      <c r="M392">
        <v>16656756.75675676</v>
      </c>
      <c r="N392">
        <v>11296396.396396397</v>
      </c>
      <c r="O392">
        <v>26005450.450450446</v>
      </c>
      <c r="P392">
        <v>23612441.441441439</v>
      </c>
      <c r="Q392">
        <v>13370180.180180183</v>
      </c>
      <c r="R392">
        <v>11088828.828828828</v>
      </c>
      <c r="S392">
        <v>3690</v>
      </c>
      <c r="T392">
        <v>3630</v>
      </c>
    </row>
    <row r="393" spans="1:20" x14ac:dyDescent="0.35">
      <c r="A393" s="7" t="s">
        <v>493</v>
      </c>
      <c r="B393" s="12" t="s">
        <v>448</v>
      </c>
      <c r="C393">
        <v>68488611.934829205</v>
      </c>
      <c r="D393">
        <v>65255792.898502745</v>
      </c>
      <c r="E393">
        <v>72072.072072074996</v>
      </c>
      <c r="F393">
        <v>55855.855855856003</v>
      </c>
      <c r="G393">
        <v>35</v>
      </c>
      <c r="H393">
        <v>58</v>
      </c>
      <c r="K393">
        <v>42</v>
      </c>
      <c r="L393">
        <v>60</v>
      </c>
      <c r="M393">
        <v>8098423.4234234234</v>
      </c>
      <c r="N393">
        <v>7627027.0270270268</v>
      </c>
      <c r="O393">
        <v>25375378.37837838</v>
      </c>
      <c r="P393">
        <v>23442162.162162159</v>
      </c>
      <c r="Q393">
        <v>7190315.3153153146</v>
      </c>
      <c r="R393">
        <v>6768738.7387387389</v>
      </c>
      <c r="S393">
        <v>5010</v>
      </c>
      <c r="T393">
        <v>4889</v>
      </c>
    </row>
    <row r="394" spans="1:20" x14ac:dyDescent="0.35">
      <c r="A394" s="7" t="s">
        <v>7</v>
      </c>
      <c r="B394" s="12" t="s">
        <v>193</v>
      </c>
      <c r="C394">
        <v>53005415.670112982</v>
      </c>
      <c r="D394">
        <v>56079946.742848627</v>
      </c>
      <c r="E394">
        <v>78194578.378378391</v>
      </c>
      <c r="F394">
        <v>233743691.8918919</v>
      </c>
      <c r="G394">
        <v>18</v>
      </c>
      <c r="H394">
        <v>17</v>
      </c>
      <c r="K394">
        <v>21</v>
      </c>
      <c r="L394">
        <v>25</v>
      </c>
      <c r="M394">
        <v>9895945.9459459484</v>
      </c>
      <c r="N394">
        <v>7382657.6576576559</v>
      </c>
      <c r="O394">
        <v>34831306.30630631</v>
      </c>
      <c r="P394">
        <v>39390738.738738738</v>
      </c>
      <c r="Q394">
        <v>11382342.342342343</v>
      </c>
      <c r="R394">
        <v>8717387.3873873875</v>
      </c>
      <c r="S394">
        <v>4823</v>
      </c>
      <c r="T394">
        <v>7420</v>
      </c>
    </row>
    <row r="395" spans="1:20" x14ac:dyDescent="0.35">
      <c r="A395" s="7" t="s">
        <v>494</v>
      </c>
      <c r="B395" s="12" t="s">
        <v>330</v>
      </c>
      <c r="C395">
        <v>67581937.858274579</v>
      </c>
      <c r="D395">
        <v>65211022.713755921</v>
      </c>
      <c r="E395">
        <v>14414.414414413999</v>
      </c>
      <c r="F395">
        <v>152252.25225225199</v>
      </c>
      <c r="G395">
        <v>30</v>
      </c>
      <c r="H395">
        <v>25</v>
      </c>
      <c r="K395">
        <v>36</v>
      </c>
      <c r="L395">
        <v>34</v>
      </c>
      <c r="M395">
        <v>2005405.4054054059</v>
      </c>
      <c r="N395">
        <v>3687387.387387387</v>
      </c>
      <c r="O395">
        <v>17913108.108108107</v>
      </c>
      <c r="P395">
        <v>16510513.513513513</v>
      </c>
      <c r="Q395">
        <v>2663063.0630630641</v>
      </c>
      <c r="R395">
        <v>3178558.558558559</v>
      </c>
      <c r="S395">
        <v>6023</v>
      </c>
      <c r="T395">
        <v>5995</v>
      </c>
    </row>
    <row r="396" spans="1:20" x14ac:dyDescent="0.35">
      <c r="A396" s="7" t="s">
        <v>495</v>
      </c>
      <c r="B396" s="12" t="s">
        <v>330</v>
      </c>
      <c r="C396">
        <v>107959467.16900012</v>
      </c>
      <c r="D396">
        <v>111409436.28550629</v>
      </c>
      <c r="E396">
        <v>22522.522522522999</v>
      </c>
      <c r="F396">
        <v>786261.26126126503</v>
      </c>
      <c r="G396">
        <v>32</v>
      </c>
      <c r="H396">
        <v>64</v>
      </c>
      <c r="K396">
        <v>39</v>
      </c>
      <c r="L396">
        <v>75</v>
      </c>
      <c r="M396">
        <v>2752252.2522522518</v>
      </c>
      <c r="N396">
        <v>3376576.5765765789</v>
      </c>
      <c r="O396">
        <v>23995171.171171177</v>
      </c>
      <c r="P396">
        <v>28419657.657657657</v>
      </c>
      <c r="Q396">
        <v>3118738.7387387399</v>
      </c>
      <c r="R396">
        <v>2564054.0540540558</v>
      </c>
      <c r="S396">
        <v>7310</v>
      </c>
      <c r="T396">
        <v>8415</v>
      </c>
    </row>
    <row r="397" spans="1:20" x14ac:dyDescent="0.35">
      <c r="A397" s="7" t="s">
        <v>496</v>
      </c>
      <c r="B397" s="12" t="s">
        <v>330</v>
      </c>
      <c r="C397">
        <v>116409727.65382993</v>
      </c>
      <c r="D397">
        <v>110330496.15892133</v>
      </c>
      <c r="E397">
        <v>58558.558558559998</v>
      </c>
      <c r="F397">
        <v>1532207.2072072111</v>
      </c>
      <c r="G397">
        <v>51</v>
      </c>
      <c r="H397">
        <v>54</v>
      </c>
      <c r="K397">
        <v>65</v>
      </c>
      <c r="L397">
        <v>66</v>
      </c>
      <c r="M397">
        <v>6904324.3243243229</v>
      </c>
      <c r="N397">
        <v>11728828.828828828</v>
      </c>
      <c r="O397">
        <v>25847648.648648649</v>
      </c>
      <c r="P397">
        <v>25543558.558558561</v>
      </c>
      <c r="Q397">
        <v>7683063.0630630618</v>
      </c>
      <c r="R397">
        <v>11978828.82882883</v>
      </c>
      <c r="S397">
        <v>8369</v>
      </c>
      <c r="T397">
        <v>8402</v>
      </c>
    </row>
    <row r="398" spans="1:20" x14ac:dyDescent="0.35">
      <c r="A398" s="7" t="s">
        <v>497</v>
      </c>
      <c r="B398" s="12" t="s">
        <v>330</v>
      </c>
      <c r="C398">
        <v>464556743.71487105</v>
      </c>
      <c r="D398">
        <v>412147868.59406495</v>
      </c>
      <c r="E398">
        <v>357702384.68468469</v>
      </c>
      <c r="F398">
        <v>562958993.69369364</v>
      </c>
      <c r="G398">
        <v>131</v>
      </c>
      <c r="H398">
        <v>188</v>
      </c>
      <c r="K398">
        <v>164</v>
      </c>
      <c r="L398">
        <v>243</v>
      </c>
      <c r="M398">
        <v>104553333.33333333</v>
      </c>
      <c r="N398">
        <v>27097297.297297295</v>
      </c>
      <c r="O398">
        <v>83027855.855855852</v>
      </c>
      <c r="P398">
        <v>88073198.198198199</v>
      </c>
      <c r="Q398">
        <v>104290180.18018019</v>
      </c>
      <c r="R398">
        <v>23341441.441441439</v>
      </c>
      <c r="S398">
        <v>30909</v>
      </c>
      <c r="T398">
        <v>27903</v>
      </c>
    </row>
    <row r="399" spans="1:20" x14ac:dyDescent="0.35">
      <c r="A399" s="7" t="s">
        <v>498</v>
      </c>
      <c r="B399" s="12" t="s">
        <v>330</v>
      </c>
      <c r="C399">
        <v>358148890.13398796</v>
      </c>
      <c r="D399">
        <v>335943988.89360774</v>
      </c>
      <c r="E399">
        <v>1042972.972972976</v>
      </c>
      <c r="F399">
        <v>2854504.5045045111</v>
      </c>
      <c r="G399">
        <v>92</v>
      </c>
      <c r="H399">
        <v>101</v>
      </c>
      <c r="K399">
        <v>121</v>
      </c>
      <c r="L399">
        <v>137</v>
      </c>
      <c r="M399">
        <v>121379909.9099099</v>
      </c>
      <c r="N399">
        <v>39750000</v>
      </c>
      <c r="O399">
        <v>84827792.792792797</v>
      </c>
      <c r="P399">
        <v>82268495.495495483</v>
      </c>
      <c r="Q399">
        <v>117186666.66666667</v>
      </c>
      <c r="R399">
        <v>31979729.729729727</v>
      </c>
      <c r="S399">
        <v>27270</v>
      </c>
      <c r="T399">
        <v>25969</v>
      </c>
    </row>
    <row r="400" spans="1:20" x14ac:dyDescent="0.35">
      <c r="A400" s="7" t="s">
        <v>499</v>
      </c>
      <c r="B400" s="12" t="s">
        <v>143</v>
      </c>
      <c r="C400">
        <v>140901721.92423016</v>
      </c>
      <c r="D400">
        <v>149556422.99034384</v>
      </c>
      <c r="E400">
        <v>48648.64864865</v>
      </c>
      <c r="F400">
        <v>725450.45045045298</v>
      </c>
      <c r="G400">
        <v>27</v>
      </c>
      <c r="H400">
        <v>32</v>
      </c>
      <c r="K400">
        <v>34</v>
      </c>
      <c r="L400">
        <v>40</v>
      </c>
      <c r="M400">
        <v>14330630.630630627</v>
      </c>
      <c r="N400">
        <v>14545945.945945948</v>
      </c>
      <c r="O400">
        <v>20520216.216216218</v>
      </c>
      <c r="P400">
        <v>23876675.675675675</v>
      </c>
      <c r="Q400">
        <v>8216486.4864864834</v>
      </c>
      <c r="R400">
        <v>8661081.0810810775</v>
      </c>
      <c r="S400">
        <v>7480</v>
      </c>
      <c r="T400">
        <v>9375</v>
      </c>
    </row>
    <row r="401" spans="1:20" x14ac:dyDescent="0.35">
      <c r="A401" s="7" t="s">
        <v>500</v>
      </c>
      <c r="B401" s="12" t="s">
        <v>220</v>
      </c>
      <c r="C401">
        <v>166258959.19911042</v>
      </c>
      <c r="D401">
        <v>167904848.34499016</v>
      </c>
      <c r="E401">
        <v>606306.30630630802</v>
      </c>
      <c r="F401">
        <v>1766891.8918918991</v>
      </c>
      <c r="G401">
        <v>80</v>
      </c>
      <c r="H401">
        <v>60</v>
      </c>
      <c r="I401">
        <v>1</v>
      </c>
      <c r="K401">
        <v>97</v>
      </c>
      <c r="L401">
        <v>85</v>
      </c>
      <c r="M401">
        <v>40743153.153153151</v>
      </c>
      <c r="N401">
        <v>125717567.56756757</v>
      </c>
      <c r="O401">
        <v>49261108.108108111</v>
      </c>
      <c r="P401">
        <v>50759603.603603601</v>
      </c>
      <c r="Q401">
        <v>41370810.810810804</v>
      </c>
      <c r="R401">
        <v>121387657.65765767</v>
      </c>
      <c r="S401">
        <v>11990</v>
      </c>
      <c r="T401">
        <v>11483</v>
      </c>
    </row>
    <row r="402" spans="1:20" x14ac:dyDescent="0.35">
      <c r="A402" s="7" t="s">
        <v>501</v>
      </c>
      <c r="B402" s="12" t="s">
        <v>397</v>
      </c>
      <c r="C402">
        <v>477388891.02752459</v>
      </c>
      <c r="D402">
        <v>486340735.32394844</v>
      </c>
      <c r="E402">
        <v>128898609.90990992</v>
      </c>
      <c r="F402">
        <v>3820760.3603603682</v>
      </c>
      <c r="G402">
        <v>120</v>
      </c>
      <c r="H402">
        <v>130</v>
      </c>
      <c r="K402">
        <v>140</v>
      </c>
      <c r="L402">
        <v>165</v>
      </c>
      <c r="M402">
        <v>62395945.945945933</v>
      </c>
      <c r="N402">
        <v>53097072.072072081</v>
      </c>
      <c r="O402">
        <v>95333845.045045033</v>
      </c>
      <c r="P402">
        <v>101025954.95495497</v>
      </c>
      <c r="Q402">
        <v>50029279.279279277</v>
      </c>
      <c r="R402">
        <v>45132297.297297299</v>
      </c>
      <c r="S402">
        <v>26668</v>
      </c>
      <c r="T402">
        <v>26940</v>
      </c>
    </row>
    <row r="403" spans="1:20" x14ac:dyDescent="0.35">
      <c r="A403" s="7" t="s">
        <v>502</v>
      </c>
      <c r="B403" s="12" t="s">
        <v>70</v>
      </c>
      <c r="C403">
        <v>7080625.1116581149</v>
      </c>
      <c r="D403">
        <v>7299296.4928117618</v>
      </c>
      <c r="F403">
        <v>94594.594594594993</v>
      </c>
      <c r="G403">
        <v>3</v>
      </c>
      <c r="H403">
        <v>1</v>
      </c>
      <c r="K403">
        <v>3</v>
      </c>
      <c r="L403">
        <v>2</v>
      </c>
      <c r="N403">
        <v>224324.32432432499</v>
      </c>
      <c r="O403">
        <v>5182342.3423423423</v>
      </c>
      <c r="P403">
        <v>4985711.7117117122</v>
      </c>
      <c r="Q403">
        <v>1012612.612612612</v>
      </c>
      <c r="R403">
        <v>129729.72972973</v>
      </c>
      <c r="S403">
        <v>673</v>
      </c>
      <c r="T403">
        <v>644</v>
      </c>
    </row>
    <row r="404" spans="1:20" x14ac:dyDescent="0.35">
      <c r="A404" s="7" t="s">
        <v>503</v>
      </c>
      <c r="B404" s="12" t="s">
        <v>330</v>
      </c>
      <c r="C404">
        <v>197122991.44127557</v>
      </c>
      <c r="D404">
        <v>197960322.33415145</v>
      </c>
      <c r="E404">
        <v>316216.21621621802</v>
      </c>
      <c r="F404">
        <v>2302477.4774774821</v>
      </c>
      <c r="G404">
        <v>45</v>
      </c>
      <c r="H404">
        <v>68</v>
      </c>
      <c r="K404">
        <v>63</v>
      </c>
      <c r="L404">
        <v>89</v>
      </c>
      <c r="M404">
        <v>16604504.504504504</v>
      </c>
      <c r="N404">
        <v>21254054.054054055</v>
      </c>
      <c r="O404">
        <v>47852037.837837838</v>
      </c>
      <c r="P404">
        <v>50726522.522522531</v>
      </c>
      <c r="Q404">
        <v>13009009.009009007</v>
      </c>
      <c r="R404">
        <v>18499369.369369369</v>
      </c>
      <c r="S404">
        <v>15815</v>
      </c>
      <c r="T404">
        <v>15698</v>
      </c>
    </row>
    <row r="405" spans="1:20" x14ac:dyDescent="0.35">
      <c r="A405" s="7" t="s">
        <v>504</v>
      </c>
      <c r="B405" s="12" t="s">
        <v>283</v>
      </c>
      <c r="C405">
        <v>62026131.923207909</v>
      </c>
      <c r="D405">
        <v>65567795.789793573</v>
      </c>
      <c r="E405">
        <v>281981.98198198201</v>
      </c>
      <c r="F405">
        <v>35135.135135135999</v>
      </c>
      <c r="G405">
        <v>22</v>
      </c>
      <c r="H405">
        <v>7</v>
      </c>
      <c r="K405">
        <v>25</v>
      </c>
      <c r="L405">
        <v>10</v>
      </c>
      <c r="M405">
        <v>5236936.9369369382</v>
      </c>
      <c r="N405">
        <v>7080180.1801801817</v>
      </c>
      <c r="O405">
        <v>11984234.234234234</v>
      </c>
      <c r="P405">
        <v>11632558.558558557</v>
      </c>
      <c r="Q405">
        <v>6453603.6036036042</v>
      </c>
      <c r="R405">
        <v>2525045.0450450452</v>
      </c>
      <c r="S405">
        <v>3150</v>
      </c>
      <c r="T405">
        <v>2957</v>
      </c>
    </row>
    <row r="406" spans="1:20" x14ac:dyDescent="0.35">
      <c r="A406" s="7" t="s">
        <v>505</v>
      </c>
      <c r="B406" s="12" t="s">
        <v>260</v>
      </c>
      <c r="C406">
        <v>37682533.61866568</v>
      </c>
      <c r="D406">
        <v>36750653.672645688</v>
      </c>
      <c r="G406">
        <v>2</v>
      </c>
      <c r="H406">
        <v>2</v>
      </c>
      <c r="I406">
        <v>1</v>
      </c>
      <c r="K406">
        <v>2</v>
      </c>
      <c r="L406">
        <v>3</v>
      </c>
      <c r="M406">
        <v>1351351.351351351</v>
      </c>
      <c r="O406">
        <v>8976216.2162162159</v>
      </c>
      <c r="P406">
        <v>7727576.5765765766</v>
      </c>
      <c r="Q406">
        <v>78378.378378377995</v>
      </c>
      <c r="S406">
        <v>2088</v>
      </c>
      <c r="T406">
        <v>2035</v>
      </c>
    </row>
    <row r="407" spans="1:20" x14ac:dyDescent="0.35">
      <c r="A407" s="7" t="s">
        <v>506</v>
      </c>
      <c r="B407" s="12" t="s">
        <v>236</v>
      </c>
      <c r="C407">
        <v>99563825.095348001</v>
      </c>
      <c r="D407">
        <v>90429497.474762619</v>
      </c>
      <c r="E407">
        <v>22597750.45045045</v>
      </c>
      <c r="F407">
        <v>4728835.1351351365</v>
      </c>
      <c r="G407">
        <v>18</v>
      </c>
      <c r="H407">
        <v>5</v>
      </c>
      <c r="K407">
        <v>20</v>
      </c>
      <c r="L407">
        <v>16</v>
      </c>
      <c r="M407">
        <v>32623963.963963967</v>
      </c>
      <c r="N407">
        <v>32013153.153153151</v>
      </c>
      <c r="O407">
        <v>22203040.540540539</v>
      </c>
      <c r="P407">
        <v>19839153.153153151</v>
      </c>
      <c r="Q407">
        <v>14416846.846846849</v>
      </c>
      <c r="R407">
        <v>13106306.306306308</v>
      </c>
      <c r="S407">
        <v>4786</v>
      </c>
      <c r="T407">
        <v>4501</v>
      </c>
    </row>
    <row r="408" spans="1:20" x14ac:dyDescent="0.35">
      <c r="A408" s="7" t="s">
        <v>507</v>
      </c>
      <c r="B408" s="12" t="s">
        <v>134</v>
      </c>
      <c r="C408">
        <v>14589119.3953164</v>
      </c>
      <c r="D408">
        <v>5218297.5369341793</v>
      </c>
      <c r="O408">
        <v>2152567.5675675678</v>
      </c>
      <c r="P408">
        <v>921216.21621621598</v>
      </c>
      <c r="S408">
        <v>1356</v>
      </c>
      <c r="T408">
        <v>15</v>
      </c>
    </row>
    <row r="409" spans="1:20" x14ac:dyDescent="0.35">
      <c r="A409" s="7" t="s">
        <v>508</v>
      </c>
      <c r="B409" s="12" t="s">
        <v>397</v>
      </c>
      <c r="C409">
        <v>100856317.06527728</v>
      </c>
      <c r="D409">
        <v>95096334.039004281</v>
      </c>
      <c r="E409">
        <v>15765.765765766</v>
      </c>
      <c r="F409">
        <v>199099.099099101</v>
      </c>
      <c r="G409">
        <v>11</v>
      </c>
      <c r="H409">
        <v>14</v>
      </c>
      <c r="K409">
        <v>15</v>
      </c>
      <c r="L409">
        <v>21</v>
      </c>
      <c r="M409">
        <v>11367567.567567568</v>
      </c>
      <c r="N409">
        <v>9112612.6126126125</v>
      </c>
      <c r="O409">
        <v>14968288.288288288</v>
      </c>
      <c r="P409">
        <v>15904963.963963963</v>
      </c>
      <c r="Q409">
        <v>8753873.8738738745</v>
      </c>
      <c r="R409">
        <v>7930990.9909909926</v>
      </c>
      <c r="S409">
        <v>4478</v>
      </c>
      <c r="T409">
        <v>4293</v>
      </c>
    </row>
    <row r="410" spans="1:20" x14ac:dyDescent="0.35">
      <c r="A410" s="7" t="s">
        <v>509</v>
      </c>
      <c r="B410" s="12" t="s">
        <v>134</v>
      </c>
      <c r="C410">
        <v>109292517.22560914</v>
      </c>
      <c r="D410">
        <v>109147272.5805905</v>
      </c>
      <c r="E410">
        <v>303603.603603606</v>
      </c>
      <c r="F410">
        <v>596396.39639640006</v>
      </c>
      <c r="G410">
        <v>28</v>
      </c>
      <c r="H410">
        <v>32</v>
      </c>
      <c r="K410">
        <v>32</v>
      </c>
      <c r="L410">
        <v>37</v>
      </c>
      <c r="M410">
        <v>8772072.0720720701</v>
      </c>
      <c r="N410">
        <v>10438738.73873874</v>
      </c>
      <c r="O410">
        <v>17153534.234234236</v>
      </c>
      <c r="P410">
        <v>17896130.630630631</v>
      </c>
      <c r="Q410">
        <v>7568918.9189189188</v>
      </c>
      <c r="R410">
        <v>7411981.9819819806</v>
      </c>
      <c r="S410">
        <v>5569</v>
      </c>
      <c r="T410">
        <v>5465</v>
      </c>
    </row>
    <row r="411" spans="1:20" x14ac:dyDescent="0.35">
      <c r="A411" s="7" t="s">
        <v>510</v>
      </c>
      <c r="B411" s="12" t="s">
        <v>134</v>
      </c>
      <c r="C411">
        <v>297705951.04025614</v>
      </c>
      <c r="D411">
        <v>299588004.50986987</v>
      </c>
      <c r="E411">
        <v>716396.39639640006</v>
      </c>
      <c r="F411">
        <v>1418018.018018024</v>
      </c>
      <c r="G411">
        <v>50</v>
      </c>
      <c r="H411">
        <v>51</v>
      </c>
      <c r="K411">
        <v>64</v>
      </c>
      <c r="L411">
        <v>66</v>
      </c>
      <c r="M411">
        <v>17844774.774774771</v>
      </c>
      <c r="N411">
        <v>15284684.684684686</v>
      </c>
      <c r="O411">
        <v>30370837.837837841</v>
      </c>
      <c r="P411">
        <v>30771207.207207207</v>
      </c>
      <c r="Q411">
        <v>15243063.063063061</v>
      </c>
      <c r="R411">
        <v>16191801.801801801</v>
      </c>
      <c r="S411">
        <v>16598</v>
      </c>
      <c r="T411">
        <v>16506</v>
      </c>
    </row>
    <row r="412" spans="1:20" x14ac:dyDescent="0.35">
      <c r="A412" s="7" t="s">
        <v>8</v>
      </c>
      <c r="B412" s="12" t="s">
        <v>158</v>
      </c>
      <c r="C412">
        <v>78660468.428000003</v>
      </c>
      <c r="D412">
        <v>74195506.644552916</v>
      </c>
      <c r="E412">
        <v>962162.16216216597</v>
      </c>
      <c r="F412">
        <v>1076576.5765765789</v>
      </c>
      <c r="G412">
        <v>5</v>
      </c>
      <c r="H412">
        <v>2</v>
      </c>
      <c r="K412">
        <v>6</v>
      </c>
      <c r="L412">
        <v>2</v>
      </c>
      <c r="M412">
        <v>9293693.6936936956</v>
      </c>
      <c r="N412">
        <v>12693693.693693696</v>
      </c>
      <c r="O412">
        <v>22388288.288288288</v>
      </c>
      <c r="P412">
        <v>22036180.180180181</v>
      </c>
      <c r="Q412">
        <v>8932882.8828828838</v>
      </c>
      <c r="R412">
        <v>10061801.801801801</v>
      </c>
      <c r="S412">
        <v>3467</v>
      </c>
      <c r="T412">
        <v>3669</v>
      </c>
    </row>
    <row r="413" spans="1:20" x14ac:dyDescent="0.35">
      <c r="A413" s="7" t="s">
        <v>511</v>
      </c>
      <c r="B413" s="12" t="s">
        <v>134</v>
      </c>
      <c r="C413">
        <v>49851633.595251545</v>
      </c>
      <c r="D413">
        <v>53715374.734372422</v>
      </c>
      <c r="F413">
        <v>270270.27027027</v>
      </c>
      <c r="G413">
        <v>2</v>
      </c>
      <c r="H413">
        <v>2</v>
      </c>
      <c r="K413">
        <v>3</v>
      </c>
      <c r="L413">
        <v>3</v>
      </c>
      <c r="M413">
        <v>2702702.702702703</v>
      </c>
      <c r="N413">
        <v>1171171.1711711709</v>
      </c>
      <c r="O413">
        <v>5533774.7747747749</v>
      </c>
      <c r="P413">
        <v>7168783.7837837832</v>
      </c>
      <c r="Q413">
        <v>1646936.936936937</v>
      </c>
      <c r="R413">
        <v>1742252.2522522521</v>
      </c>
      <c r="S413">
        <v>3364</v>
      </c>
      <c r="T413">
        <v>4054</v>
      </c>
    </row>
    <row r="414" spans="1:20" x14ac:dyDescent="0.35">
      <c r="A414" s="7" t="s">
        <v>512</v>
      </c>
      <c r="B414" s="12" t="s">
        <v>62</v>
      </c>
      <c r="C414">
        <v>259839425.12574229</v>
      </c>
      <c r="D414">
        <v>246581713.99422336</v>
      </c>
      <c r="E414">
        <v>1730630.6306306301</v>
      </c>
      <c r="F414">
        <v>1575675.6756756811</v>
      </c>
      <c r="G414">
        <v>49</v>
      </c>
      <c r="H414">
        <v>42</v>
      </c>
      <c r="K414">
        <v>56</v>
      </c>
      <c r="L414">
        <v>101</v>
      </c>
      <c r="M414">
        <v>10505045.045045046</v>
      </c>
      <c r="N414">
        <v>16976666.666666672</v>
      </c>
      <c r="O414">
        <v>49027747.747747742</v>
      </c>
      <c r="P414">
        <v>51457360.360360362</v>
      </c>
      <c r="Q414">
        <v>10985765.765765766</v>
      </c>
      <c r="R414">
        <v>14333243.243243247</v>
      </c>
      <c r="S414">
        <v>14649</v>
      </c>
      <c r="T414">
        <v>14622</v>
      </c>
    </row>
    <row r="415" spans="1:20" x14ac:dyDescent="0.35">
      <c r="A415" s="7" t="s">
        <v>513</v>
      </c>
      <c r="B415" s="12" t="s">
        <v>117</v>
      </c>
      <c r="C415">
        <v>27453505.122800615</v>
      </c>
      <c r="D415">
        <v>21360912.063869633</v>
      </c>
      <c r="E415">
        <v>3603.603603604</v>
      </c>
      <c r="F415">
        <v>215315.31531531501</v>
      </c>
      <c r="G415">
        <v>25</v>
      </c>
      <c r="H415">
        <v>18</v>
      </c>
      <c r="K415">
        <v>25</v>
      </c>
      <c r="L415">
        <v>19</v>
      </c>
      <c r="M415">
        <v>1351891.89189189</v>
      </c>
      <c r="N415">
        <v>1489639.6396396391</v>
      </c>
      <c r="O415">
        <v>13826981.98198198</v>
      </c>
      <c r="P415">
        <v>9486342.3423423432</v>
      </c>
      <c r="Q415">
        <v>1299639.6396396379</v>
      </c>
      <c r="R415">
        <v>734234.23423423502</v>
      </c>
      <c r="S415">
        <v>2063</v>
      </c>
      <c r="T415">
        <v>1923</v>
      </c>
    </row>
    <row r="416" spans="1:20" x14ac:dyDescent="0.35">
      <c r="A416" s="7" t="s">
        <v>514</v>
      </c>
      <c r="B416" s="12" t="s">
        <v>304</v>
      </c>
      <c r="C416">
        <v>50755990.624992214</v>
      </c>
      <c r="D416">
        <v>46914258.663110405</v>
      </c>
      <c r="E416">
        <v>145045.045045045</v>
      </c>
      <c r="F416">
        <v>203603.603603603</v>
      </c>
      <c r="G416">
        <v>16</v>
      </c>
      <c r="H416">
        <v>26</v>
      </c>
      <c r="K416">
        <v>18</v>
      </c>
      <c r="L416">
        <v>26</v>
      </c>
      <c r="M416">
        <v>847747.74774774699</v>
      </c>
      <c r="N416">
        <v>6570720.7207207195</v>
      </c>
      <c r="O416">
        <v>3591261.2612612611</v>
      </c>
      <c r="P416">
        <v>4747747.7477477482</v>
      </c>
      <c r="Q416">
        <v>1463783.7837837839</v>
      </c>
      <c r="R416">
        <v>7348918.9189189179</v>
      </c>
      <c r="S416">
        <v>1509</v>
      </c>
      <c r="T416">
        <v>1442</v>
      </c>
    </row>
    <row r="417" spans="1:20" x14ac:dyDescent="0.35">
      <c r="A417" s="7" t="s">
        <v>515</v>
      </c>
      <c r="B417" s="12" t="s">
        <v>304</v>
      </c>
      <c r="C417">
        <v>14599899.486562472</v>
      </c>
      <c r="D417">
        <v>9468986.39821852</v>
      </c>
      <c r="E417">
        <v>187747.74774774699</v>
      </c>
      <c r="F417">
        <v>156756.75675675701</v>
      </c>
      <c r="H417">
        <v>2</v>
      </c>
      <c r="K417">
        <v>2</v>
      </c>
      <c r="L417">
        <v>2</v>
      </c>
      <c r="M417">
        <v>2169729.7297297288</v>
      </c>
      <c r="N417">
        <v>990990.99099099101</v>
      </c>
      <c r="O417">
        <v>2166261.2612612611</v>
      </c>
      <c r="P417">
        <v>1421990.9909909901</v>
      </c>
      <c r="Q417">
        <v>1800720.7207207209</v>
      </c>
      <c r="R417">
        <v>790090.09009009099</v>
      </c>
      <c r="S417">
        <v>618</v>
      </c>
      <c r="T417">
        <v>581</v>
      </c>
    </row>
    <row r="418" spans="1:20" x14ac:dyDescent="0.35">
      <c r="A418" s="7" t="s">
        <v>516</v>
      </c>
      <c r="B418" s="12" t="s">
        <v>304</v>
      </c>
      <c r="C418">
        <v>27458464.511015531</v>
      </c>
      <c r="D418">
        <v>29836628.324104682</v>
      </c>
      <c r="E418">
        <v>5045.0450450449998</v>
      </c>
      <c r="F418">
        <v>500900.90090090001</v>
      </c>
      <c r="G418">
        <v>12</v>
      </c>
      <c r="H418">
        <v>19</v>
      </c>
      <c r="K418">
        <v>13</v>
      </c>
      <c r="L418">
        <v>19</v>
      </c>
      <c r="M418">
        <v>2104144.144144143</v>
      </c>
      <c r="N418">
        <v>1869369.3693693699</v>
      </c>
      <c r="O418">
        <v>4034414.4144144142</v>
      </c>
      <c r="P418">
        <v>4221315.3153153164</v>
      </c>
      <c r="Q418">
        <v>1664954.954954955</v>
      </c>
      <c r="R418">
        <v>1241171.1711711721</v>
      </c>
      <c r="S418">
        <v>1118</v>
      </c>
      <c r="T418">
        <v>1130</v>
      </c>
    </row>
    <row r="419" spans="1:20" x14ac:dyDescent="0.35">
      <c r="A419" s="7" t="s">
        <v>517</v>
      </c>
      <c r="B419" s="12" t="s">
        <v>304</v>
      </c>
      <c r="C419">
        <v>22043734.036547057</v>
      </c>
      <c r="D419">
        <v>21409234.870518297</v>
      </c>
      <c r="E419">
        <v>12612.612612613</v>
      </c>
      <c r="F419">
        <v>94594.594594594993</v>
      </c>
      <c r="G419">
        <v>5</v>
      </c>
      <c r="H419">
        <v>9</v>
      </c>
      <c r="K419">
        <v>5</v>
      </c>
      <c r="L419">
        <v>9</v>
      </c>
      <c r="M419">
        <v>967567.56756756804</v>
      </c>
      <c r="N419">
        <v>472972.97297297302</v>
      </c>
      <c r="O419">
        <v>2926936.9369369368</v>
      </c>
      <c r="P419">
        <v>3043468.4684684691</v>
      </c>
      <c r="Q419">
        <v>454954.95495495503</v>
      </c>
      <c r="R419">
        <v>360360.36036036001</v>
      </c>
      <c r="S419">
        <v>776</v>
      </c>
      <c r="T419">
        <v>724</v>
      </c>
    </row>
    <row r="420" spans="1:20" x14ac:dyDescent="0.35">
      <c r="A420" s="7" t="s">
        <v>518</v>
      </c>
      <c r="B420" s="12" t="s">
        <v>448</v>
      </c>
      <c r="C420">
        <v>22564698.601747304</v>
      </c>
      <c r="D420">
        <v>21268648.016872995</v>
      </c>
      <c r="E420">
        <v>34234.234234233998</v>
      </c>
      <c r="F420">
        <v>176576.57657657599</v>
      </c>
      <c r="G420">
        <v>9</v>
      </c>
      <c r="H420">
        <v>3</v>
      </c>
      <c r="K420">
        <v>14</v>
      </c>
      <c r="L420">
        <v>4</v>
      </c>
      <c r="M420">
        <v>2167117.1171171162</v>
      </c>
      <c r="N420">
        <v>983783.78378378297</v>
      </c>
      <c r="O420">
        <v>7506306.3063063063</v>
      </c>
      <c r="P420">
        <v>7026948.1981981983</v>
      </c>
      <c r="Q420">
        <v>1516036.036036035</v>
      </c>
      <c r="R420">
        <v>1185225.2252252251</v>
      </c>
      <c r="S420">
        <v>1838</v>
      </c>
      <c r="T420">
        <v>1793</v>
      </c>
    </row>
    <row r="421" spans="1:20" x14ac:dyDescent="0.35">
      <c r="A421" s="7" t="s">
        <v>519</v>
      </c>
      <c r="B421" s="12" t="s">
        <v>85</v>
      </c>
      <c r="C421">
        <v>66153685.195601828</v>
      </c>
      <c r="D421">
        <v>65854121.529597998</v>
      </c>
      <c r="E421">
        <v>9009.0090090100002</v>
      </c>
      <c r="F421">
        <v>513513.513513515</v>
      </c>
      <c r="G421">
        <v>22</v>
      </c>
      <c r="H421">
        <v>7</v>
      </c>
      <c r="K421">
        <v>24</v>
      </c>
      <c r="L421">
        <v>13</v>
      </c>
      <c r="M421">
        <v>5135135.1351351347</v>
      </c>
      <c r="N421">
        <v>14828828.82882883</v>
      </c>
      <c r="O421">
        <v>16586171.171171172</v>
      </c>
      <c r="P421">
        <v>16918918.918918919</v>
      </c>
      <c r="Q421">
        <v>3410270.2702702698</v>
      </c>
      <c r="R421">
        <v>16009953.153153151</v>
      </c>
      <c r="S421">
        <v>4219</v>
      </c>
      <c r="T421">
        <v>4257</v>
      </c>
    </row>
    <row r="422" spans="1:20" x14ac:dyDescent="0.35">
      <c r="A422" s="7" t="s">
        <v>520</v>
      </c>
      <c r="B422" s="12" t="s">
        <v>304</v>
      </c>
      <c r="C422">
        <v>33779783.234653406</v>
      </c>
      <c r="D422">
        <v>36064585.919880293</v>
      </c>
      <c r="E422">
        <v>2702.7027027029999</v>
      </c>
      <c r="F422">
        <v>17117.117117116999</v>
      </c>
      <c r="G422">
        <v>3</v>
      </c>
      <c r="H422">
        <v>1</v>
      </c>
      <c r="K422">
        <v>3</v>
      </c>
      <c r="L422">
        <v>2</v>
      </c>
      <c r="M422">
        <v>3029729.7297297288</v>
      </c>
      <c r="N422">
        <v>2612612.612612613</v>
      </c>
      <c r="O422">
        <v>5268513.5135135129</v>
      </c>
      <c r="P422">
        <v>5860801.8018018026</v>
      </c>
      <c r="Q422">
        <v>1180450.4504504499</v>
      </c>
      <c r="R422">
        <v>983063.06306306296</v>
      </c>
      <c r="S422">
        <v>1404</v>
      </c>
      <c r="T422">
        <v>1304</v>
      </c>
    </row>
    <row r="423" spans="1:20" x14ac:dyDescent="0.35">
      <c r="A423" s="7" t="s">
        <v>521</v>
      </c>
      <c r="B423" s="12" t="s">
        <v>399</v>
      </c>
      <c r="C423">
        <v>251554957.70522296</v>
      </c>
      <c r="D423">
        <v>240631901.44076934</v>
      </c>
      <c r="E423">
        <v>834414.41441441595</v>
      </c>
      <c r="F423">
        <v>2722522.5225225282</v>
      </c>
      <c r="G423">
        <v>56</v>
      </c>
      <c r="H423">
        <v>40</v>
      </c>
      <c r="K423">
        <v>65</v>
      </c>
      <c r="L423">
        <v>154</v>
      </c>
      <c r="M423">
        <v>61928738.738738738</v>
      </c>
      <c r="N423">
        <v>37856756.75675676</v>
      </c>
      <c r="O423">
        <v>55875855.855855852</v>
      </c>
      <c r="P423">
        <v>58355774.774774775</v>
      </c>
      <c r="Q423">
        <v>60266846.846846849</v>
      </c>
      <c r="R423">
        <v>32230450.450450446</v>
      </c>
      <c r="S423">
        <v>13528</v>
      </c>
      <c r="T423">
        <v>13540</v>
      </c>
    </row>
    <row r="424" spans="1:20" x14ac:dyDescent="0.35">
      <c r="A424" s="7" t="s">
        <v>522</v>
      </c>
      <c r="B424" s="12" t="s">
        <v>143</v>
      </c>
      <c r="C424">
        <v>75149639.14372243</v>
      </c>
      <c r="D424">
        <v>69091755.240700915</v>
      </c>
      <c r="E424">
        <v>3603.603603604</v>
      </c>
      <c r="F424">
        <v>198198.1981982</v>
      </c>
      <c r="G424">
        <v>11</v>
      </c>
      <c r="H424">
        <v>17</v>
      </c>
      <c r="K424">
        <v>13</v>
      </c>
      <c r="L424">
        <v>18</v>
      </c>
      <c r="M424">
        <v>5445045.0450450461</v>
      </c>
      <c r="N424">
        <v>3801801.8018018021</v>
      </c>
      <c r="O424">
        <v>8365675.6756756762</v>
      </c>
      <c r="P424">
        <v>8526378.3783783782</v>
      </c>
      <c r="Q424">
        <v>4465225.2252252251</v>
      </c>
      <c r="R424">
        <v>3191621.6216216218</v>
      </c>
      <c r="S424">
        <v>2964</v>
      </c>
      <c r="T424">
        <v>2895</v>
      </c>
    </row>
    <row r="425" spans="1:20" x14ac:dyDescent="0.35">
      <c r="A425" s="7" t="s">
        <v>523</v>
      </c>
      <c r="B425" s="12" t="s">
        <v>66</v>
      </c>
      <c r="C425">
        <v>46180653.197198585</v>
      </c>
      <c r="D425">
        <v>45008724.448831417</v>
      </c>
      <c r="E425">
        <v>33873.873873873999</v>
      </c>
      <c r="F425">
        <v>573873.87387387396</v>
      </c>
      <c r="G425">
        <v>4</v>
      </c>
      <c r="H425">
        <v>6</v>
      </c>
      <c r="I425">
        <v>1</v>
      </c>
      <c r="K425">
        <v>5</v>
      </c>
      <c r="L425">
        <v>8</v>
      </c>
      <c r="M425">
        <v>4039459.459459458</v>
      </c>
      <c r="N425">
        <v>10540540.540540541</v>
      </c>
      <c r="O425">
        <v>22564909.909909908</v>
      </c>
      <c r="P425">
        <v>21233486.486486487</v>
      </c>
      <c r="Q425">
        <v>4086666.6666666642</v>
      </c>
      <c r="R425">
        <v>10401261.261261262</v>
      </c>
      <c r="S425">
        <v>3638</v>
      </c>
      <c r="T425">
        <v>3836</v>
      </c>
    </row>
    <row r="426" spans="1:20" x14ac:dyDescent="0.35">
      <c r="A426" s="7" t="s">
        <v>524</v>
      </c>
      <c r="B426" s="12" t="s">
        <v>220</v>
      </c>
      <c r="C426">
        <v>63034819.581377976</v>
      </c>
      <c r="D426">
        <v>60027877.446237281</v>
      </c>
      <c r="E426">
        <v>7207.207207208</v>
      </c>
      <c r="F426">
        <v>373873.87387387402</v>
      </c>
      <c r="G426">
        <v>21</v>
      </c>
      <c r="H426">
        <v>14</v>
      </c>
      <c r="K426">
        <v>25</v>
      </c>
      <c r="L426">
        <v>18</v>
      </c>
      <c r="M426">
        <v>4168243.2432432421</v>
      </c>
      <c r="N426">
        <v>4674774.7747747749</v>
      </c>
      <c r="O426">
        <v>14574441.441441443</v>
      </c>
      <c r="P426">
        <v>15097567.567567568</v>
      </c>
      <c r="Q426">
        <v>2496486.4864864838</v>
      </c>
      <c r="R426">
        <v>2598738.7387387389</v>
      </c>
      <c r="S426">
        <v>4418</v>
      </c>
      <c r="T426">
        <v>4264</v>
      </c>
    </row>
    <row r="427" spans="1:20" x14ac:dyDescent="0.35">
      <c r="A427" s="7" t="s">
        <v>525</v>
      </c>
      <c r="B427" s="12" t="s">
        <v>413</v>
      </c>
      <c r="C427">
        <v>676525349.1265167</v>
      </c>
      <c r="D427">
        <v>654345851.36043656</v>
      </c>
      <c r="E427">
        <v>348910311.71171176</v>
      </c>
      <c r="F427">
        <v>197689126.12612614</v>
      </c>
      <c r="G427">
        <v>64</v>
      </c>
      <c r="H427">
        <v>62</v>
      </c>
      <c r="K427">
        <v>106</v>
      </c>
      <c r="L427">
        <v>138</v>
      </c>
      <c r="M427">
        <v>66183333.333333336</v>
      </c>
      <c r="N427">
        <v>48114864.864864878</v>
      </c>
      <c r="O427">
        <v>191930963.96396396</v>
      </c>
      <c r="P427">
        <v>190096531.53153151</v>
      </c>
      <c r="Q427">
        <v>53229279.279279277</v>
      </c>
      <c r="R427">
        <v>50720630.630630635</v>
      </c>
      <c r="S427">
        <v>32326</v>
      </c>
      <c r="T427">
        <v>31652</v>
      </c>
    </row>
    <row r="428" spans="1:20" x14ac:dyDescent="0.35">
      <c r="A428" s="7" t="s">
        <v>526</v>
      </c>
      <c r="B428" s="12" t="s">
        <v>413</v>
      </c>
      <c r="C428">
        <v>80510616.120682016</v>
      </c>
      <c r="D428">
        <v>74755345.106053531</v>
      </c>
      <c r="E428">
        <v>12612.612612613</v>
      </c>
      <c r="F428">
        <v>53378.378378378002</v>
      </c>
      <c r="G428">
        <v>13</v>
      </c>
      <c r="H428">
        <v>5</v>
      </c>
      <c r="K428">
        <v>15</v>
      </c>
      <c r="L428">
        <v>7</v>
      </c>
      <c r="M428">
        <v>3526846.8468468469</v>
      </c>
      <c r="N428">
        <v>5376936.9369369382</v>
      </c>
      <c r="O428">
        <v>22847783.783783782</v>
      </c>
      <c r="P428">
        <v>24249414.414414413</v>
      </c>
      <c r="Q428">
        <v>2953693.6936936928</v>
      </c>
      <c r="R428">
        <v>4389279.2792792777</v>
      </c>
      <c r="S428">
        <v>4704</v>
      </c>
      <c r="T428">
        <v>4427</v>
      </c>
    </row>
    <row r="429" spans="1:20" x14ac:dyDescent="0.35">
      <c r="A429" s="7" t="s">
        <v>661</v>
      </c>
      <c r="B429" s="12" t="s">
        <v>189</v>
      </c>
      <c r="C429">
        <v>1222529.411842885</v>
      </c>
      <c r="O429">
        <v>232882.88288288299</v>
      </c>
      <c r="S429">
        <v>139</v>
      </c>
    </row>
    <row r="430" spans="1:20" x14ac:dyDescent="0.35">
      <c r="A430" s="7" t="s">
        <v>527</v>
      </c>
      <c r="B430" s="12" t="s">
        <v>147</v>
      </c>
      <c r="C430">
        <v>160809621.61785367</v>
      </c>
      <c r="D430">
        <v>153859057.43021846</v>
      </c>
      <c r="E430">
        <v>63381141.441441439</v>
      </c>
      <c r="F430">
        <v>116823885.58558558</v>
      </c>
      <c r="G430">
        <v>16</v>
      </c>
      <c r="H430">
        <v>28</v>
      </c>
      <c r="K430">
        <v>20</v>
      </c>
      <c r="L430">
        <v>109</v>
      </c>
      <c r="M430">
        <v>3483783.7837837851</v>
      </c>
      <c r="N430">
        <v>26231711.711711712</v>
      </c>
      <c r="O430">
        <v>50895711.711711712</v>
      </c>
      <c r="P430">
        <v>54338754.954954959</v>
      </c>
      <c r="Q430">
        <v>8342792.7927927934</v>
      </c>
      <c r="R430">
        <v>26667027.02702703</v>
      </c>
      <c r="S430">
        <v>10184</v>
      </c>
      <c r="T430">
        <v>9618</v>
      </c>
    </row>
    <row r="431" spans="1:20" x14ac:dyDescent="0.35">
      <c r="A431" s="7" t="s">
        <v>528</v>
      </c>
      <c r="B431" s="12" t="s">
        <v>121</v>
      </c>
      <c r="C431">
        <v>16985255.577178612</v>
      </c>
      <c r="D431">
        <v>17189099.854186106</v>
      </c>
      <c r="E431">
        <v>9009.0090090089998</v>
      </c>
      <c r="F431">
        <v>193693.69369369399</v>
      </c>
      <c r="G431">
        <v>8</v>
      </c>
      <c r="H431">
        <v>9</v>
      </c>
      <c r="K431">
        <v>9</v>
      </c>
      <c r="L431">
        <v>10</v>
      </c>
      <c r="M431">
        <v>459459.45945945999</v>
      </c>
      <c r="N431">
        <v>2189189.18918919</v>
      </c>
      <c r="O431">
        <v>2062297.297297297</v>
      </c>
      <c r="P431">
        <v>1988572.072072072</v>
      </c>
      <c r="Q431">
        <v>929819.81981982</v>
      </c>
      <c r="R431">
        <v>1078108.1081081091</v>
      </c>
      <c r="S431">
        <v>962</v>
      </c>
      <c r="T431">
        <v>1002</v>
      </c>
    </row>
    <row r="432" spans="1:20" x14ac:dyDescent="0.35">
      <c r="A432" s="7" t="s">
        <v>529</v>
      </c>
      <c r="B432" s="12" t="s">
        <v>448</v>
      </c>
      <c r="C432">
        <v>48075028.342422567</v>
      </c>
      <c r="D432">
        <v>26033231.785636984</v>
      </c>
      <c r="E432">
        <v>907387.38738738804</v>
      </c>
      <c r="F432">
        <v>180180.18018018</v>
      </c>
      <c r="G432">
        <v>22</v>
      </c>
      <c r="H432">
        <v>4</v>
      </c>
      <c r="K432">
        <v>23</v>
      </c>
      <c r="L432">
        <v>4</v>
      </c>
      <c r="M432">
        <v>3688918.9189189202</v>
      </c>
      <c r="N432">
        <v>680630.63063062995</v>
      </c>
      <c r="O432">
        <v>18936018.018018015</v>
      </c>
      <c r="P432">
        <v>13432207.207207208</v>
      </c>
      <c r="Q432">
        <v>2240090.0900900899</v>
      </c>
      <c r="R432">
        <v>532702.70270270295</v>
      </c>
      <c r="S432">
        <v>2654</v>
      </c>
      <c r="T432">
        <v>2073</v>
      </c>
    </row>
    <row r="433" spans="1:20" x14ac:dyDescent="0.35">
      <c r="A433" s="7" t="s">
        <v>530</v>
      </c>
      <c r="B433" s="12" t="s">
        <v>448</v>
      </c>
      <c r="C433">
        <v>72264901.32784301</v>
      </c>
      <c r="D433">
        <v>69788774.829684198</v>
      </c>
      <c r="E433">
        <v>52827027.027027026</v>
      </c>
      <c r="F433">
        <v>132410810.81081082</v>
      </c>
      <c r="G433">
        <v>30</v>
      </c>
      <c r="H433">
        <v>22</v>
      </c>
      <c r="K433">
        <v>36</v>
      </c>
      <c r="L433">
        <v>25</v>
      </c>
      <c r="M433">
        <v>3173423.4234234239</v>
      </c>
      <c r="N433">
        <v>3793693.6936936928</v>
      </c>
      <c r="O433">
        <v>33640765.765765771</v>
      </c>
      <c r="P433">
        <v>32284180.180180181</v>
      </c>
      <c r="Q433">
        <v>4325045.0450450443</v>
      </c>
      <c r="R433">
        <v>3827117.1171171181</v>
      </c>
      <c r="S433">
        <v>5117</v>
      </c>
      <c r="T433">
        <v>4972</v>
      </c>
    </row>
    <row r="434" spans="1:20" x14ac:dyDescent="0.35">
      <c r="A434" s="7" t="s">
        <v>531</v>
      </c>
      <c r="B434" s="12" t="s">
        <v>123</v>
      </c>
      <c r="C434">
        <v>184804887.25053751</v>
      </c>
      <c r="D434">
        <v>188892347.40077743</v>
      </c>
      <c r="E434">
        <v>45696276.576576576</v>
      </c>
      <c r="F434">
        <v>77028248.648648649</v>
      </c>
      <c r="G434">
        <v>50</v>
      </c>
      <c r="H434">
        <v>67</v>
      </c>
      <c r="I434">
        <v>1</v>
      </c>
      <c r="K434">
        <v>71</v>
      </c>
      <c r="L434">
        <v>103</v>
      </c>
      <c r="M434">
        <v>31737657.657657664</v>
      </c>
      <c r="N434">
        <v>67438828.828828827</v>
      </c>
      <c r="O434">
        <v>63546281.981981985</v>
      </c>
      <c r="P434">
        <v>66289076.576576576</v>
      </c>
      <c r="Q434">
        <v>35672612.612612613</v>
      </c>
      <c r="R434">
        <v>66400810.810810804</v>
      </c>
      <c r="S434">
        <v>11297</v>
      </c>
      <c r="T434">
        <v>11621</v>
      </c>
    </row>
    <row r="435" spans="1:20" x14ac:dyDescent="0.35">
      <c r="A435" s="7" t="s">
        <v>532</v>
      </c>
      <c r="B435" s="12" t="s">
        <v>85</v>
      </c>
      <c r="C435">
        <v>61115270.638034575</v>
      </c>
      <c r="D435">
        <v>60605064.830519915</v>
      </c>
      <c r="E435">
        <v>1177477.4774774781</v>
      </c>
      <c r="F435">
        <v>40540.540540540998</v>
      </c>
      <c r="G435">
        <v>8</v>
      </c>
      <c r="H435">
        <v>7</v>
      </c>
      <c r="K435">
        <v>8</v>
      </c>
      <c r="L435">
        <v>35</v>
      </c>
      <c r="M435">
        <v>6736036.0360360369</v>
      </c>
      <c r="N435">
        <v>7672612.6126126144</v>
      </c>
      <c r="O435">
        <v>13275225.225225223</v>
      </c>
      <c r="P435">
        <v>12978540.540540541</v>
      </c>
      <c r="Q435">
        <v>5017747.7477477482</v>
      </c>
      <c r="R435">
        <v>4036576.5765765761</v>
      </c>
      <c r="S435">
        <v>3722</v>
      </c>
      <c r="T435">
        <v>3806</v>
      </c>
    </row>
    <row r="436" spans="1:20" x14ac:dyDescent="0.35">
      <c r="A436" s="7" t="s">
        <v>9</v>
      </c>
      <c r="B436" s="12" t="s">
        <v>158</v>
      </c>
      <c r="C436">
        <v>156334365.68503517</v>
      </c>
      <c r="D436">
        <v>146256630.31406379</v>
      </c>
      <c r="E436">
        <v>330868851.35135138</v>
      </c>
      <c r="F436">
        <v>240960709.90990993</v>
      </c>
      <c r="G436">
        <v>26</v>
      </c>
      <c r="H436">
        <v>18</v>
      </c>
      <c r="I436">
        <v>3</v>
      </c>
      <c r="K436">
        <v>31</v>
      </c>
      <c r="L436">
        <v>20</v>
      </c>
      <c r="M436">
        <v>297149437.83783782</v>
      </c>
      <c r="N436">
        <v>166274774.77477479</v>
      </c>
      <c r="O436">
        <v>55721486.486486487</v>
      </c>
      <c r="P436">
        <v>52833558.558558561</v>
      </c>
      <c r="Q436">
        <v>226237927.92792794</v>
      </c>
      <c r="R436">
        <v>138257117.11711711</v>
      </c>
      <c r="S436">
        <v>7522</v>
      </c>
      <c r="T436">
        <v>6959</v>
      </c>
    </row>
    <row r="437" spans="1:20" x14ac:dyDescent="0.35">
      <c r="A437" s="7" t="s">
        <v>533</v>
      </c>
      <c r="B437" s="12" t="s">
        <v>94</v>
      </c>
      <c r="C437">
        <v>150280731.30138966</v>
      </c>
      <c r="D437">
        <v>143956237.5005672</v>
      </c>
      <c r="E437">
        <v>24324.324324325</v>
      </c>
      <c r="F437">
        <v>406306.30630630901</v>
      </c>
      <c r="G437">
        <v>22</v>
      </c>
      <c r="H437">
        <v>24</v>
      </c>
      <c r="I437">
        <v>1</v>
      </c>
      <c r="K437">
        <v>25</v>
      </c>
      <c r="L437">
        <v>29</v>
      </c>
      <c r="M437">
        <v>13887387.387387384</v>
      </c>
      <c r="N437">
        <v>12748648.648648648</v>
      </c>
      <c r="O437">
        <v>15726261.26126126</v>
      </c>
      <c r="P437">
        <v>19344297.297297295</v>
      </c>
      <c r="Q437">
        <v>9594954.9549549557</v>
      </c>
      <c r="R437">
        <v>9693513.5135135129</v>
      </c>
      <c r="S437">
        <v>6449</v>
      </c>
      <c r="T437">
        <v>6005</v>
      </c>
    </row>
    <row r="438" spans="1:20" x14ac:dyDescent="0.35">
      <c r="A438" s="7" t="s">
        <v>534</v>
      </c>
      <c r="B438" s="12" t="s">
        <v>304</v>
      </c>
      <c r="C438">
        <v>4262694.3931533536</v>
      </c>
      <c r="D438">
        <v>5159299.6891936557</v>
      </c>
      <c r="G438">
        <v>3</v>
      </c>
      <c r="H438">
        <v>1</v>
      </c>
      <c r="K438">
        <v>3</v>
      </c>
      <c r="L438">
        <v>1</v>
      </c>
      <c r="O438">
        <v>464774.77477477503</v>
      </c>
      <c r="P438">
        <v>641891.89189189195</v>
      </c>
      <c r="S438">
        <v>227</v>
      </c>
      <c r="T438">
        <v>418</v>
      </c>
    </row>
    <row r="439" spans="1:20" x14ac:dyDescent="0.35">
      <c r="A439" s="7" t="s">
        <v>535</v>
      </c>
      <c r="B439" s="12" t="s">
        <v>304</v>
      </c>
      <c r="C439">
        <v>62605183.729092769</v>
      </c>
      <c r="D439">
        <v>60380829.762860067</v>
      </c>
      <c r="E439">
        <v>9476576.5765765756</v>
      </c>
      <c r="F439">
        <v>7459459.4594594603</v>
      </c>
      <c r="G439">
        <v>12</v>
      </c>
      <c r="H439">
        <v>5</v>
      </c>
      <c r="K439">
        <v>15</v>
      </c>
      <c r="L439">
        <v>7</v>
      </c>
      <c r="M439">
        <v>3755855.8558558552</v>
      </c>
      <c r="N439">
        <v>7477027.0270270277</v>
      </c>
      <c r="O439">
        <v>4859324.3243243238</v>
      </c>
      <c r="P439">
        <v>5979189.1891891891</v>
      </c>
      <c r="Q439">
        <v>2160360.3603603588</v>
      </c>
      <c r="R439">
        <v>2472522.5225225221</v>
      </c>
      <c r="S439">
        <v>2725</v>
      </c>
      <c r="T439">
        <v>2660</v>
      </c>
    </row>
    <row r="440" spans="1:20" x14ac:dyDescent="0.35">
      <c r="A440" s="7" t="s">
        <v>536</v>
      </c>
      <c r="B440" s="12" t="s">
        <v>85</v>
      </c>
      <c r="C440">
        <v>52245839.617933653</v>
      </c>
      <c r="D440">
        <v>51401956.473116726</v>
      </c>
      <c r="E440">
        <v>30630.630630631</v>
      </c>
      <c r="F440">
        <v>356756.75675675803</v>
      </c>
      <c r="G440">
        <v>27</v>
      </c>
      <c r="H440">
        <v>17</v>
      </c>
      <c r="K440">
        <v>29</v>
      </c>
      <c r="L440">
        <v>26</v>
      </c>
      <c r="M440">
        <v>14354954.954954956</v>
      </c>
      <c r="N440">
        <v>23567927.927927926</v>
      </c>
      <c r="O440">
        <v>23753288.288288288</v>
      </c>
      <c r="P440">
        <v>23838315.315315317</v>
      </c>
      <c r="Q440">
        <v>15311801.801801801</v>
      </c>
      <c r="R440">
        <v>14830270.270270271</v>
      </c>
      <c r="S440">
        <v>3134</v>
      </c>
      <c r="T440">
        <v>3066</v>
      </c>
    </row>
    <row r="441" spans="1:20" x14ac:dyDescent="0.35">
      <c r="A441" s="7" t="s">
        <v>537</v>
      </c>
      <c r="B441" s="12" t="s">
        <v>448</v>
      </c>
      <c r="C441">
        <v>73275278.630825818</v>
      </c>
      <c r="D441">
        <v>70532658.089913383</v>
      </c>
      <c r="E441">
        <v>119819.819819821</v>
      </c>
      <c r="F441">
        <v>185585.585585586</v>
      </c>
      <c r="G441">
        <v>43</v>
      </c>
      <c r="H441">
        <v>15</v>
      </c>
      <c r="K441">
        <v>46</v>
      </c>
      <c r="L441">
        <v>22</v>
      </c>
      <c r="M441">
        <v>2100900.9009008999</v>
      </c>
      <c r="N441">
        <v>895045.04504504404</v>
      </c>
      <c r="O441">
        <v>19722774.774774775</v>
      </c>
      <c r="P441">
        <v>19719655.855855856</v>
      </c>
      <c r="Q441">
        <v>2788738.7387387389</v>
      </c>
      <c r="R441">
        <v>2467027.0270270249</v>
      </c>
      <c r="S441">
        <v>5030</v>
      </c>
      <c r="T441">
        <v>4967</v>
      </c>
    </row>
    <row r="442" spans="1:20" x14ac:dyDescent="0.35">
      <c r="A442" s="7" t="s">
        <v>538</v>
      </c>
      <c r="B442" s="12" t="s">
        <v>117</v>
      </c>
      <c r="C442">
        <v>163340560.26456663</v>
      </c>
      <c r="D442">
        <v>162631316.22035629</v>
      </c>
      <c r="E442">
        <v>530000.00000000501</v>
      </c>
      <c r="F442">
        <v>2224324.324324328</v>
      </c>
      <c r="G442">
        <v>37</v>
      </c>
      <c r="H442">
        <v>33</v>
      </c>
      <c r="K442">
        <v>102</v>
      </c>
      <c r="L442">
        <v>42</v>
      </c>
      <c r="M442">
        <v>30531981.981981985</v>
      </c>
      <c r="N442">
        <v>34372341.441441447</v>
      </c>
      <c r="O442">
        <v>86964189.189189181</v>
      </c>
      <c r="P442">
        <v>89764603.603603601</v>
      </c>
      <c r="Q442">
        <v>27844414.414414417</v>
      </c>
      <c r="R442">
        <v>31536576.576576576</v>
      </c>
      <c r="S442">
        <v>11201</v>
      </c>
      <c r="T442">
        <v>11632</v>
      </c>
    </row>
    <row r="443" spans="1:20" x14ac:dyDescent="0.35">
      <c r="A443" s="7" t="s">
        <v>539</v>
      </c>
      <c r="B443" s="12" t="s">
        <v>83</v>
      </c>
      <c r="C443">
        <v>527476423.56473362</v>
      </c>
      <c r="D443">
        <v>522766713.3693977</v>
      </c>
      <c r="E443">
        <v>909909.90990991204</v>
      </c>
      <c r="F443">
        <v>2402252.2522522579</v>
      </c>
      <c r="G443">
        <v>58</v>
      </c>
      <c r="H443">
        <v>125</v>
      </c>
      <c r="K443">
        <v>68</v>
      </c>
      <c r="L443">
        <v>151</v>
      </c>
      <c r="M443">
        <v>25211261.261261255</v>
      </c>
      <c r="N443">
        <v>31655855.855855852</v>
      </c>
      <c r="O443">
        <v>50066836.036036029</v>
      </c>
      <c r="P443">
        <v>54784868.018018015</v>
      </c>
      <c r="Q443">
        <v>22911484.684684683</v>
      </c>
      <c r="R443">
        <v>28711754.954954952</v>
      </c>
      <c r="S443">
        <v>21706</v>
      </c>
      <c r="T443">
        <v>21402</v>
      </c>
    </row>
    <row r="444" spans="1:20" x14ac:dyDescent="0.35">
      <c r="A444" s="7" t="s">
        <v>540</v>
      </c>
      <c r="B444" s="12" t="s">
        <v>315</v>
      </c>
      <c r="C444">
        <v>61493255.666670501</v>
      </c>
      <c r="D444">
        <v>61039062.308040045</v>
      </c>
      <c r="E444">
        <v>1343243.2432432431</v>
      </c>
      <c r="F444">
        <v>682207.20720720896</v>
      </c>
      <c r="G444">
        <v>7</v>
      </c>
      <c r="H444">
        <v>7</v>
      </c>
      <c r="K444">
        <v>8</v>
      </c>
      <c r="L444">
        <v>8</v>
      </c>
      <c r="M444">
        <v>5424324.3243243247</v>
      </c>
      <c r="N444">
        <v>3883333.333333334</v>
      </c>
      <c r="O444">
        <v>10945495.495495496</v>
      </c>
      <c r="P444">
        <v>12658099.0990991</v>
      </c>
      <c r="Q444">
        <v>4721531.5315315323</v>
      </c>
      <c r="R444">
        <v>2785585.5855855849</v>
      </c>
      <c r="S444">
        <v>2544</v>
      </c>
      <c r="T444">
        <v>2605</v>
      </c>
    </row>
    <row r="445" spans="1:20" x14ac:dyDescent="0.35">
      <c r="A445" s="7" t="s">
        <v>541</v>
      </c>
      <c r="B445" s="12" t="s">
        <v>169</v>
      </c>
      <c r="C445">
        <v>452624032.83551127</v>
      </c>
      <c r="D445">
        <v>416583568.76063806</v>
      </c>
      <c r="E445">
        <v>1681531.5315315321</v>
      </c>
      <c r="F445">
        <v>1167567.5675675699</v>
      </c>
      <c r="G445">
        <v>40</v>
      </c>
      <c r="H445">
        <v>48</v>
      </c>
      <c r="K445">
        <v>42</v>
      </c>
      <c r="L445">
        <v>136</v>
      </c>
      <c r="M445">
        <v>23833423.423423428</v>
      </c>
      <c r="N445">
        <v>30314594.59459459</v>
      </c>
      <c r="O445">
        <v>157920837.83783782</v>
      </c>
      <c r="P445">
        <v>154878779.27927926</v>
      </c>
      <c r="Q445">
        <v>20961081.081081085</v>
      </c>
      <c r="R445">
        <v>30753513.513513509</v>
      </c>
      <c r="S445">
        <v>21791</v>
      </c>
      <c r="T445">
        <v>26006</v>
      </c>
    </row>
    <row r="446" spans="1:20" x14ac:dyDescent="0.35">
      <c r="A446" s="7" t="s">
        <v>542</v>
      </c>
      <c r="B446" s="12" t="s">
        <v>479</v>
      </c>
      <c r="C446">
        <v>135387735.10796466</v>
      </c>
      <c r="D446">
        <v>134183228.63655885</v>
      </c>
      <c r="E446">
        <v>60073361.261261262</v>
      </c>
      <c r="F446">
        <v>38473354.054054059</v>
      </c>
      <c r="G446">
        <v>13</v>
      </c>
      <c r="H446">
        <v>9</v>
      </c>
      <c r="K446">
        <v>14</v>
      </c>
      <c r="L446">
        <v>11</v>
      </c>
      <c r="M446">
        <v>1081081.0810810809</v>
      </c>
      <c r="N446">
        <v>67567.567567570004</v>
      </c>
      <c r="O446">
        <v>16447108.108108109</v>
      </c>
      <c r="P446">
        <v>16473522.522522522</v>
      </c>
      <c r="Q446">
        <v>1098648.648648649</v>
      </c>
      <c r="S446">
        <v>6376</v>
      </c>
      <c r="T446">
        <v>5420</v>
      </c>
    </row>
    <row r="447" spans="1:20" x14ac:dyDescent="0.35">
      <c r="A447" s="7" t="s">
        <v>543</v>
      </c>
      <c r="B447" s="12" t="s">
        <v>80</v>
      </c>
      <c r="C447">
        <v>36976366.307963759</v>
      </c>
      <c r="D447">
        <v>28098385.660372782</v>
      </c>
      <c r="E447">
        <v>39639.639639640001</v>
      </c>
      <c r="F447">
        <v>40990.990990992002</v>
      </c>
      <c r="G447">
        <v>7</v>
      </c>
      <c r="H447">
        <v>9</v>
      </c>
      <c r="K447">
        <v>9</v>
      </c>
      <c r="L447">
        <v>9</v>
      </c>
      <c r="M447">
        <v>5009909.9099099087</v>
      </c>
      <c r="N447">
        <v>2845045.0450450452</v>
      </c>
      <c r="O447">
        <v>12736351.351351352</v>
      </c>
      <c r="P447">
        <v>10602963.963963963</v>
      </c>
      <c r="Q447">
        <v>3598738.7387387389</v>
      </c>
      <c r="R447">
        <v>2777027.0270270281</v>
      </c>
      <c r="S447">
        <v>2356</v>
      </c>
      <c r="T447">
        <v>2314</v>
      </c>
    </row>
    <row r="448" spans="1:20" x14ac:dyDescent="0.35">
      <c r="A448" s="7" t="s">
        <v>544</v>
      </c>
      <c r="B448" s="12" t="s">
        <v>169</v>
      </c>
      <c r="C448">
        <v>31880865.314516332</v>
      </c>
      <c r="D448">
        <v>35599411.715818711</v>
      </c>
      <c r="F448">
        <v>271171.17117117101</v>
      </c>
      <c r="G448">
        <v>6</v>
      </c>
      <c r="H448">
        <v>10</v>
      </c>
      <c r="K448">
        <v>6</v>
      </c>
      <c r="L448">
        <v>11</v>
      </c>
      <c r="M448">
        <v>1801801.801801801</v>
      </c>
      <c r="N448">
        <v>1172072.072072071</v>
      </c>
      <c r="O448">
        <v>14555709.90990991</v>
      </c>
      <c r="P448">
        <v>16376207.207207208</v>
      </c>
      <c r="Q448">
        <v>593063.06306306296</v>
      </c>
      <c r="R448">
        <v>226576.57657657599</v>
      </c>
      <c r="S448">
        <v>2480</v>
      </c>
      <c r="T448">
        <v>2504</v>
      </c>
    </row>
    <row r="449" spans="1:20" x14ac:dyDescent="0.35">
      <c r="A449" s="7" t="s">
        <v>545</v>
      </c>
      <c r="B449" s="12" t="s">
        <v>224</v>
      </c>
      <c r="C449">
        <v>11445.945945945001</v>
      </c>
      <c r="D449">
        <v>9.0635441009999997</v>
      </c>
      <c r="S449">
        <v>1</v>
      </c>
    </row>
    <row r="450" spans="1:20" x14ac:dyDescent="0.35">
      <c r="A450" s="7" t="s">
        <v>546</v>
      </c>
      <c r="B450" s="12" t="s">
        <v>136</v>
      </c>
      <c r="C450">
        <v>90807468.916253597</v>
      </c>
      <c r="D450">
        <v>87705780.776059061</v>
      </c>
      <c r="E450">
        <v>262612.612612614</v>
      </c>
      <c r="F450">
        <v>360360.36036036198</v>
      </c>
      <c r="G450">
        <v>24</v>
      </c>
      <c r="H450">
        <v>29</v>
      </c>
      <c r="K450">
        <v>32</v>
      </c>
      <c r="L450">
        <v>34</v>
      </c>
      <c r="M450">
        <v>15505855.855855852</v>
      </c>
      <c r="N450">
        <v>19651351.351351347</v>
      </c>
      <c r="O450">
        <v>27859450.450450446</v>
      </c>
      <c r="P450">
        <v>28285552.252252251</v>
      </c>
      <c r="Q450">
        <v>15687927.927927928</v>
      </c>
      <c r="R450">
        <v>15868648.648648648</v>
      </c>
      <c r="S450">
        <v>4418</v>
      </c>
      <c r="T450">
        <v>4260</v>
      </c>
    </row>
    <row r="451" spans="1:20" x14ac:dyDescent="0.35">
      <c r="A451" s="7" t="s">
        <v>547</v>
      </c>
      <c r="B451" s="12" t="s">
        <v>136</v>
      </c>
      <c r="C451">
        <v>163840349.43762031</v>
      </c>
      <c r="D451">
        <v>168296588.15664813</v>
      </c>
      <c r="E451">
        <v>58562257.657657653</v>
      </c>
      <c r="F451">
        <v>47517923.423423424</v>
      </c>
      <c r="G451">
        <v>70</v>
      </c>
      <c r="H451">
        <v>84</v>
      </c>
      <c r="K451">
        <v>83</v>
      </c>
      <c r="L451">
        <v>99</v>
      </c>
      <c r="M451">
        <v>38679729.729729727</v>
      </c>
      <c r="N451">
        <v>45059909.909909904</v>
      </c>
      <c r="O451">
        <v>48816574.774774775</v>
      </c>
      <c r="P451">
        <v>55042923.423423424</v>
      </c>
      <c r="Q451">
        <v>33187567.567567568</v>
      </c>
      <c r="R451">
        <v>37111171.171171166</v>
      </c>
      <c r="S451">
        <v>12686</v>
      </c>
      <c r="T451">
        <v>12916</v>
      </c>
    </row>
    <row r="452" spans="1:20" x14ac:dyDescent="0.35">
      <c r="A452" s="7" t="s">
        <v>548</v>
      </c>
      <c r="B452" s="12" t="s">
        <v>136</v>
      </c>
      <c r="C452">
        <v>182836713.10269913</v>
      </c>
      <c r="D452">
        <v>183791336.33175397</v>
      </c>
      <c r="E452">
        <v>905405.40540540603</v>
      </c>
      <c r="F452">
        <v>1123423.423423423</v>
      </c>
      <c r="G452">
        <v>41</v>
      </c>
      <c r="H452">
        <v>15</v>
      </c>
      <c r="K452">
        <v>48</v>
      </c>
      <c r="L452">
        <v>19</v>
      </c>
      <c r="M452">
        <v>7599099.0990990996</v>
      </c>
      <c r="N452">
        <v>8690990.9909909908</v>
      </c>
      <c r="O452">
        <v>28767783.783783782</v>
      </c>
      <c r="P452">
        <v>31063763.963963963</v>
      </c>
      <c r="Q452">
        <v>6370000</v>
      </c>
      <c r="R452">
        <v>7315135.1351351356</v>
      </c>
      <c r="S452">
        <v>8218</v>
      </c>
      <c r="T452">
        <v>8577</v>
      </c>
    </row>
    <row r="453" spans="1:20" x14ac:dyDescent="0.35">
      <c r="A453" s="7" t="s">
        <v>549</v>
      </c>
      <c r="B453" s="12" t="s">
        <v>136</v>
      </c>
      <c r="C453">
        <v>87833925.249067456</v>
      </c>
      <c r="D453">
        <v>72707085.552099451</v>
      </c>
      <c r="E453">
        <v>278378.37837837898</v>
      </c>
      <c r="F453">
        <v>81081.081081081997</v>
      </c>
      <c r="G453">
        <v>14</v>
      </c>
      <c r="H453">
        <v>12</v>
      </c>
      <c r="K453">
        <v>20</v>
      </c>
      <c r="L453">
        <v>13</v>
      </c>
      <c r="M453">
        <v>2981081.0810810821</v>
      </c>
      <c r="N453">
        <v>6270270.2702702703</v>
      </c>
      <c r="O453">
        <v>14024052.252252253</v>
      </c>
      <c r="P453">
        <v>13102396.396396397</v>
      </c>
      <c r="Q453">
        <v>5439502.702702703</v>
      </c>
      <c r="R453">
        <v>5117567.5675675683</v>
      </c>
      <c r="S453">
        <v>3779</v>
      </c>
      <c r="T453">
        <v>3742</v>
      </c>
    </row>
    <row r="454" spans="1:20" x14ac:dyDescent="0.35">
      <c r="A454" s="7" t="s">
        <v>550</v>
      </c>
      <c r="B454" s="12" t="s">
        <v>87</v>
      </c>
      <c r="C454">
        <v>37335253.976637743</v>
      </c>
      <c r="D454">
        <v>29804565.153031006</v>
      </c>
      <c r="E454">
        <v>904504.50450450496</v>
      </c>
      <c r="F454">
        <v>62162.162162162</v>
      </c>
      <c r="G454">
        <v>13</v>
      </c>
      <c r="H454">
        <v>6</v>
      </c>
      <c r="K454">
        <v>13</v>
      </c>
      <c r="L454">
        <v>7</v>
      </c>
      <c r="M454">
        <v>1963063.0630630639</v>
      </c>
      <c r="N454">
        <v>1819819.8198198189</v>
      </c>
      <c r="O454">
        <v>5962288.2882882878</v>
      </c>
      <c r="P454">
        <v>4719000</v>
      </c>
      <c r="Q454">
        <v>2147927.927927928</v>
      </c>
      <c r="R454">
        <v>2008918.9189189179</v>
      </c>
      <c r="S454">
        <v>1421</v>
      </c>
      <c r="T454">
        <v>1354</v>
      </c>
    </row>
    <row r="455" spans="1:20" x14ac:dyDescent="0.35">
      <c r="A455" s="7" t="s">
        <v>551</v>
      </c>
      <c r="B455" s="12" t="s">
        <v>87</v>
      </c>
      <c r="C455">
        <v>53061302.909641683</v>
      </c>
      <c r="D455">
        <v>47837461.735369354</v>
      </c>
      <c r="E455">
        <v>3603.603603604</v>
      </c>
      <c r="F455">
        <v>148648.64864865001</v>
      </c>
      <c r="G455">
        <v>28</v>
      </c>
      <c r="H455">
        <v>19</v>
      </c>
      <c r="I455">
        <v>1</v>
      </c>
      <c r="K455">
        <v>35</v>
      </c>
      <c r="L455">
        <v>23</v>
      </c>
      <c r="M455">
        <v>6760360.3603603598</v>
      </c>
      <c r="N455">
        <v>3451351.3513513519</v>
      </c>
      <c r="O455">
        <v>6292342.3423423432</v>
      </c>
      <c r="P455">
        <v>5320052.2522522518</v>
      </c>
      <c r="Q455">
        <v>2600720.7207207209</v>
      </c>
      <c r="R455">
        <v>1826126.1261261259</v>
      </c>
      <c r="S455">
        <v>2678</v>
      </c>
      <c r="T455">
        <v>2489</v>
      </c>
    </row>
    <row r="456" spans="1:20" x14ac:dyDescent="0.35">
      <c r="A456" s="7" t="s">
        <v>552</v>
      </c>
      <c r="B456" s="12" t="s">
        <v>66</v>
      </c>
      <c r="C456">
        <v>93686495.309287295</v>
      </c>
      <c r="D456">
        <v>90011690.286575809</v>
      </c>
      <c r="E456">
        <v>1416846.846846849</v>
      </c>
      <c r="F456">
        <v>1454054.054054054</v>
      </c>
      <c r="G456">
        <v>30</v>
      </c>
      <c r="H456">
        <v>26</v>
      </c>
      <c r="K456">
        <v>35</v>
      </c>
      <c r="L456">
        <v>33</v>
      </c>
      <c r="M456">
        <v>16941351.351351347</v>
      </c>
      <c r="N456">
        <v>37871621.621621616</v>
      </c>
      <c r="O456">
        <v>40841081.081081077</v>
      </c>
      <c r="P456">
        <v>37293849.0990991</v>
      </c>
      <c r="Q456">
        <v>13947297.297297295</v>
      </c>
      <c r="R456">
        <v>36475135.135135129</v>
      </c>
      <c r="S456">
        <v>9030</v>
      </c>
      <c r="T456">
        <v>8660</v>
      </c>
    </row>
    <row r="457" spans="1:20" x14ac:dyDescent="0.35">
      <c r="A457" s="7" t="s">
        <v>553</v>
      </c>
      <c r="B457" s="12" t="s">
        <v>554</v>
      </c>
      <c r="C457">
        <v>200204268.47060183</v>
      </c>
      <c r="D457">
        <v>180924955.32115978</v>
      </c>
      <c r="E457">
        <v>2847954.9549549571</v>
      </c>
      <c r="F457">
        <v>87766278.378378391</v>
      </c>
      <c r="G457">
        <v>47</v>
      </c>
      <c r="H457">
        <v>20</v>
      </c>
      <c r="I457">
        <v>1</v>
      </c>
      <c r="K457">
        <v>97</v>
      </c>
      <c r="L457">
        <v>31</v>
      </c>
      <c r="M457">
        <v>20757657.657657657</v>
      </c>
      <c r="N457">
        <v>41988288.288288288</v>
      </c>
      <c r="O457">
        <v>52578720.720720723</v>
      </c>
      <c r="P457">
        <v>48153585.585585587</v>
      </c>
      <c r="Q457">
        <v>14428828.828828827</v>
      </c>
      <c r="R457">
        <v>40039729.729729727</v>
      </c>
      <c r="S457">
        <v>9413</v>
      </c>
      <c r="T457">
        <v>8977</v>
      </c>
    </row>
    <row r="458" spans="1:20" x14ac:dyDescent="0.35">
      <c r="A458" s="7" t="s">
        <v>555</v>
      </c>
      <c r="B458" s="12" t="s">
        <v>554</v>
      </c>
      <c r="C458">
        <v>29880986.288746402</v>
      </c>
      <c r="D458">
        <v>28005214.283917915</v>
      </c>
      <c r="E458">
        <v>17117.117117117999</v>
      </c>
      <c r="F458">
        <v>54054.054054054999</v>
      </c>
      <c r="G458">
        <v>16</v>
      </c>
      <c r="H458">
        <v>4</v>
      </c>
      <c r="K458">
        <v>16</v>
      </c>
      <c r="L458">
        <v>5</v>
      </c>
      <c r="M458">
        <v>2450990.9909909908</v>
      </c>
      <c r="N458">
        <v>2486486.4864864871</v>
      </c>
      <c r="O458">
        <v>11721171.171171172</v>
      </c>
      <c r="P458">
        <v>9971756.7567567565</v>
      </c>
      <c r="Q458">
        <v>2775855.8558558552</v>
      </c>
      <c r="R458">
        <v>3266936.9369369368</v>
      </c>
      <c r="S458">
        <v>1689</v>
      </c>
      <c r="T458">
        <v>1502</v>
      </c>
    </row>
    <row r="459" spans="1:20" x14ac:dyDescent="0.35">
      <c r="A459" s="7" t="s">
        <v>556</v>
      </c>
      <c r="B459" s="12" t="s">
        <v>121</v>
      </c>
      <c r="C459">
        <v>22857014.456014704</v>
      </c>
      <c r="D459">
        <v>21843256.432310309</v>
      </c>
      <c r="F459">
        <v>180180.18018018</v>
      </c>
      <c r="G459">
        <v>4</v>
      </c>
      <c r="H459">
        <v>10</v>
      </c>
      <c r="K459">
        <v>6</v>
      </c>
      <c r="L459">
        <v>12</v>
      </c>
      <c r="N459">
        <v>3628399.0990990992</v>
      </c>
      <c r="O459">
        <v>1250045.045045045</v>
      </c>
      <c r="P459">
        <v>2263693.6936936942</v>
      </c>
      <c r="Q459">
        <v>92792.792792793</v>
      </c>
      <c r="R459">
        <v>84684.684684684995</v>
      </c>
      <c r="S459">
        <v>1440</v>
      </c>
      <c r="T459">
        <v>2119</v>
      </c>
    </row>
    <row r="460" spans="1:20" x14ac:dyDescent="0.35">
      <c r="A460" s="7" t="s">
        <v>557</v>
      </c>
      <c r="B460" s="12" t="s">
        <v>70</v>
      </c>
      <c r="C460">
        <v>175251011.26129466</v>
      </c>
      <c r="D460">
        <v>174391959.18333322</v>
      </c>
      <c r="E460">
        <v>629009.00900900899</v>
      </c>
      <c r="F460">
        <v>2117117.1171171209</v>
      </c>
      <c r="G460">
        <v>36</v>
      </c>
      <c r="H460">
        <v>32</v>
      </c>
      <c r="K460">
        <v>39</v>
      </c>
      <c r="L460">
        <v>39</v>
      </c>
      <c r="M460">
        <v>10443423.42342343</v>
      </c>
      <c r="N460">
        <v>34192792.792792797</v>
      </c>
      <c r="O460">
        <v>69682144.144144148</v>
      </c>
      <c r="P460">
        <v>71167423.423423424</v>
      </c>
      <c r="Q460">
        <v>19973603.603603609</v>
      </c>
      <c r="R460">
        <v>22524594.594594602</v>
      </c>
      <c r="S460">
        <v>10495</v>
      </c>
      <c r="T460">
        <v>11874</v>
      </c>
    </row>
    <row r="461" spans="1:20" x14ac:dyDescent="0.35">
      <c r="A461" s="7" t="s">
        <v>558</v>
      </c>
      <c r="B461" s="12" t="s">
        <v>62</v>
      </c>
      <c r="C461">
        <v>317937299.47463536</v>
      </c>
      <c r="D461">
        <v>319234424.81288469</v>
      </c>
      <c r="E461">
        <v>3746396.396396399</v>
      </c>
      <c r="F461">
        <v>83473873.873873875</v>
      </c>
      <c r="G461">
        <v>62</v>
      </c>
      <c r="H461">
        <v>75</v>
      </c>
      <c r="K461">
        <v>77</v>
      </c>
      <c r="L461">
        <v>148</v>
      </c>
      <c r="M461">
        <v>22847657.657657653</v>
      </c>
      <c r="N461">
        <v>58325945.945945933</v>
      </c>
      <c r="O461">
        <v>70424144.144144148</v>
      </c>
      <c r="P461">
        <v>71037977.477477476</v>
      </c>
      <c r="Q461">
        <v>21492612.612612609</v>
      </c>
      <c r="R461">
        <v>52864594.59459459</v>
      </c>
      <c r="S461">
        <v>18083</v>
      </c>
      <c r="T461">
        <v>18031</v>
      </c>
    </row>
    <row r="462" spans="1:20" x14ac:dyDescent="0.35">
      <c r="A462" s="7" t="s">
        <v>559</v>
      </c>
      <c r="B462" s="12" t="s">
        <v>479</v>
      </c>
      <c r="C462">
        <v>163464200.3225767</v>
      </c>
      <c r="D462">
        <v>144385851.25586423</v>
      </c>
      <c r="E462">
        <v>509909.90990991198</v>
      </c>
      <c r="F462">
        <v>1469369.3693693769</v>
      </c>
      <c r="G462">
        <v>72</v>
      </c>
      <c r="H462">
        <v>36</v>
      </c>
      <c r="K462">
        <v>77</v>
      </c>
      <c r="L462">
        <v>44</v>
      </c>
      <c r="M462">
        <v>15743243.243243244</v>
      </c>
      <c r="N462">
        <v>17543513.51351352</v>
      </c>
      <c r="O462">
        <v>45521684.684684686</v>
      </c>
      <c r="P462">
        <v>41996927.927927926</v>
      </c>
      <c r="Q462">
        <v>15738918.918918921</v>
      </c>
      <c r="R462">
        <v>19167567.567567568</v>
      </c>
      <c r="S462">
        <v>7954</v>
      </c>
      <c r="T462">
        <v>7127</v>
      </c>
    </row>
    <row r="463" spans="1:20" x14ac:dyDescent="0.35">
      <c r="A463" s="7" t="s">
        <v>560</v>
      </c>
      <c r="B463" s="12" t="s">
        <v>236</v>
      </c>
      <c r="C463">
        <v>23958114.032480385</v>
      </c>
      <c r="D463">
        <v>24428351.573797215</v>
      </c>
      <c r="E463">
        <v>7207.207207208</v>
      </c>
      <c r="F463">
        <v>27027.027027028002</v>
      </c>
      <c r="G463">
        <v>7</v>
      </c>
      <c r="H463">
        <v>5</v>
      </c>
      <c r="K463">
        <v>9</v>
      </c>
      <c r="L463">
        <v>8</v>
      </c>
      <c r="M463">
        <v>2671171.1711711702</v>
      </c>
      <c r="N463">
        <v>2057387.3873873861</v>
      </c>
      <c r="O463">
        <v>8982702.7027027011</v>
      </c>
      <c r="P463">
        <v>8651126.1261261255</v>
      </c>
      <c r="Q463">
        <v>2161621.6216216208</v>
      </c>
      <c r="R463">
        <v>2272702.7027027002</v>
      </c>
      <c r="S463">
        <v>2230</v>
      </c>
      <c r="T463">
        <v>2071</v>
      </c>
    </row>
    <row r="464" spans="1:20" x14ac:dyDescent="0.35">
      <c r="A464" s="7" t="s">
        <v>561</v>
      </c>
      <c r="B464" s="12" t="s">
        <v>60</v>
      </c>
      <c r="C464">
        <v>24440376.866852757</v>
      </c>
      <c r="D464">
        <v>24385329.811055288</v>
      </c>
      <c r="E464">
        <v>146396.396396397</v>
      </c>
      <c r="F464">
        <v>397297.29729729699</v>
      </c>
      <c r="G464">
        <v>5</v>
      </c>
      <c r="H464">
        <v>13</v>
      </c>
      <c r="K464">
        <v>5</v>
      </c>
      <c r="L464">
        <v>14</v>
      </c>
      <c r="M464">
        <v>4452702.702702703</v>
      </c>
      <c r="N464">
        <v>7244144.1441441439</v>
      </c>
      <c r="O464">
        <v>8646441.4414414428</v>
      </c>
      <c r="P464">
        <v>9178585.5855855867</v>
      </c>
      <c r="Q464">
        <v>4386036.036036035</v>
      </c>
      <c r="R464">
        <v>7139639.6396396412</v>
      </c>
      <c r="S464">
        <v>1254</v>
      </c>
      <c r="T464">
        <v>1217</v>
      </c>
    </row>
    <row r="465" spans="1:20" x14ac:dyDescent="0.35">
      <c r="A465" s="7" t="s">
        <v>562</v>
      </c>
      <c r="B465" s="12" t="s">
        <v>563</v>
      </c>
      <c r="C465">
        <v>129354773.79487477</v>
      </c>
      <c r="D465">
        <v>132133152.19910608</v>
      </c>
      <c r="E465">
        <v>28606477.47747748</v>
      </c>
      <c r="F465">
        <v>362648327.02702701</v>
      </c>
      <c r="G465">
        <v>44</v>
      </c>
      <c r="H465">
        <v>42</v>
      </c>
      <c r="K465">
        <v>62</v>
      </c>
      <c r="L465">
        <v>64</v>
      </c>
      <c r="M465">
        <v>39559954.954954959</v>
      </c>
      <c r="N465">
        <v>186229046.84684685</v>
      </c>
      <c r="O465">
        <v>50274099.0990991</v>
      </c>
      <c r="P465">
        <v>58115963.963963971</v>
      </c>
      <c r="Q465">
        <v>62695843.243243247</v>
      </c>
      <c r="R465">
        <v>102607149.54954955</v>
      </c>
      <c r="S465">
        <v>8386</v>
      </c>
      <c r="T465">
        <v>9805</v>
      </c>
    </row>
    <row r="466" spans="1:20" x14ac:dyDescent="0.35">
      <c r="A466" s="7" t="s">
        <v>564</v>
      </c>
      <c r="B466" s="12" t="s">
        <v>563</v>
      </c>
      <c r="C466">
        <v>191775149.71518064</v>
      </c>
      <c r="D466">
        <v>175686444.54091743</v>
      </c>
      <c r="E466">
        <v>11487297.297297301</v>
      </c>
      <c r="F466">
        <v>35595135.135135144</v>
      </c>
      <c r="G466">
        <v>39</v>
      </c>
      <c r="H466">
        <v>90</v>
      </c>
      <c r="K466">
        <v>53</v>
      </c>
      <c r="L466">
        <v>101</v>
      </c>
      <c r="M466">
        <v>21250000.000000004</v>
      </c>
      <c r="N466">
        <v>19602209.009009007</v>
      </c>
      <c r="O466">
        <v>73396351.351351365</v>
      </c>
      <c r="P466">
        <v>74453765.765765756</v>
      </c>
      <c r="Q466">
        <v>16054594.594594596</v>
      </c>
      <c r="R466">
        <v>13645675.675675673</v>
      </c>
      <c r="S466">
        <v>12357</v>
      </c>
      <c r="T466">
        <v>12493</v>
      </c>
    </row>
    <row r="467" spans="1:20" x14ac:dyDescent="0.35">
      <c r="A467" s="7" t="s">
        <v>565</v>
      </c>
      <c r="B467" s="12" t="s">
        <v>563</v>
      </c>
      <c r="C467">
        <v>129217048.90696023</v>
      </c>
      <c r="D467">
        <v>131745275.84773718</v>
      </c>
      <c r="E467">
        <v>197297.297297299</v>
      </c>
      <c r="F467">
        <v>2432432.4324324341</v>
      </c>
      <c r="G467">
        <v>37</v>
      </c>
      <c r="H467">
        <v>46</v>
      </c>
      <c r="K467">
        <v>55</v>
      </c>
      <c r="L467">
        <v>262</v>
      </c>
      <c r="M467">
        <v>12201171.171171168</v>
      </c>
      <c r="N467">
        <v>18495991.891891897</v>
      </c>
      <c r="O467">
        <v>54606477.477477483</v>
      </c>
      <c r="P467">
        <v>62319117.117117122</v>
      </c>
      <c r="Q467">
        <v>14906216.216216214</v>
      </c>
      <c r="R467">
        <v>15307837.837837841</v>
      </c>
      <c r="S467">
        <v>11883</v>
      </c>
      <c r="T467">
        <v>11252</v>
      </c>
    </row>
    <row r="468" spans="1:20" x14ac:dyDescent="0.35">
      <c r="A468" s="7" t="s">
        <v>566</v>
      </c>
      <c r="B468" s="12" t="s">
        <v>563</v>
      </c>
      <c r="C468">
        <v>86888404.618617535</v>
      </c>
      <c r="D468">
        <v>88781484.429821238</v>
      </c>
      <c r="E468">
        <v>116216.216216217</v>
      </c>
      <c r="F468">
        <v>393693.69369369402</v>
      </c>
      <c r="G468">
        <v>16</v>
      </c>
      <c r="H468">
        <v>8</v>
      </c>
      <c r="K468">
        <v>17</v>
      </c>
      <c r="L468">
        <v>15</v>
      </c>
      <c r="M468">
        <v>16942027.027027026</v>
      </c>
      <c r="N468">
        <v>14528349.549549548</v>
      </c>
      <c r="O468">
        <v>47393774.774774775</v>
      </c>
      <c r="P468">
        <v>52370846.846846849</v>
      </c>
      <c r="Q468">
        <v>15440585.585585585</v>
      </c>
      <c r="R468">
        <v>10670540.540540541</v>
      </c>
      <c r="S468">
        <v>6470</v>
      </c>
      <c r="T468">
        <v>6288</v>
      </c>
    </row>
    <row r="469" spans="1:20" x14ac:dyDescent="0.35">
      <c r="A469" s="7" t="s">
        <v>567</v>
      </c>
      <c r="B469" s="12" t="s">
        <v>563</v>
      </c>
      <c r="C469">
        <v>50804856.344129063</v>
      </c>
      <c r="D469">
        <v>51074240.893944219</v>
      </c>
      <c r="E469">
        <v>308558.55855856102</v>
      </c>
      <c r="F469">
        <v>539639.63963964104</v>
      </c>
      <c r="G469">
        <v>12</v>
      </c>
      <c r="H469">
        <v>8</v>
      </c>
      <c r="K469">
        <v>15</v>
      </c>
      <c r="L469">
        <v>16</v>
      </c>
      <c r="M469">
        <v>7032387.3873873856</v>
      </c>
      <c r="N469">
        <v>9903145.9459459484</v>
      </c>
      <c r="O469">
        <v>20608108.108108107</v>
      </c>
      <c r="P469">
        <v>21518567.567567568</v>
      </c>
      <c r="Q469">
        <v>10084909.90990991</v>
      </c>
      <c r="R469">
        <v>8751936.9369369373</v>
      </c>
      <c r="S469">
        <v>4735</v>
      </c>
      <c r="T469">
        <v>4796</v>
      </c>
    </row>
    <row r="470" spans="1:20" x14ac:dyDescent="0.35">
      <c r="A470" s="7" t="s">
        <v>568</v>
      </c>
      <c r="B470" s="12" t="s">
        <v>48</v>
      </c>
      <c r="C470">
        <v>121434418.37332292</v>
      </c>
      <c r="D470">
        <v>113685518.00770502</v>
      </c>
      <c r="E470">
        <v>9459.4594594589998</v>
      </c>
      <c r="F470">
        <v>287387.38738738798</v>
      </c>
      <c r="G470">
        <v>2</v>
      </c>
      <c r="H470">
        <v>3</v>
      </c>
      <c r="K470">
        <v>2</v>
      </c>
      <c r="L470">
        <v>4</v>
      </c>
      <c r="M470">
        <v>4513963.963963964</v>
      </c>
      <c r="N470">
        <v>4791891.8918918911</v>
      </c>
      <c r="O470">
        <v>13563378.378378378</v>
      </c>
      <c r="P470">
        <v>13486594.594594596</v>
      </c>
      <c r="Q470">
        <v>4685495.4954954963</v>
      </c>
      <c r="R470">
        <v>4429279.2792792786</v>
      </c>
      <c r="S470">
        <v>6115</v>
      </c>
      <c r="T470">
        <v>5993</v>
      </c>
    </row>
    <row r="471" spans="1:20" x14ac:dyDescent="0.35">
      <c r="A471" s="7" t="s">
        <v>569</v>
      </c>
      <c r="B471" s="12" t="s">
        <v>169</v>
      </c>
      <c r="C471">
        <v>1007158319.7056185</v>
      </c>
      <c r="D471">
        <v>1058327227.5032218</v>
      </c>
      <c r="E471">
        <v>589661490.990991</v>
      </c>
      <c r="F471">
        <v>1206334909.0090089</v>
      </c>
      <c r="G471">
        <v>330</v>
      </c>
      <c r="H471">
        <v>596</v>
      </c>
      <c r="I471">
        <v>4</v>
      </c>
      <c r="K471">
        <v>427</v>
      </c>
      <c r="L471">
        <v>873</v>
      </c>
      <c r="M471">
        <v>192207657.65765765</v>
      </c>
      <c r="N471">
        <v>274618468.46846843</v>
      </c>
      <c r="O471">
        <v>337530702.7027027</v>
      </c>
      <c r="P471">
        <v>535356009.9099099</v>
      </c>
      <c r="Q471">
        <v>154517657.65765765</v>
      </c>
      <c r="R471">
        <v>243018962.16216215</v>
      </c>
      <c r="S471">
        <v>55918</v>
      </c>
      <c r="T471">
        <v>57170</v>
      </c>
    </row>
    <row r="472" spans="1:20" x14ac:dyDescent="0.35">
      <c r="A472" s="7" t="s">
        <v>673</v>
      </c>
      <c r="B472" s="12" t="s">
        <v>214</v>
      </c>
      <c r="E472">
        <v>675675.67567567597</v>
      </c>
      <c r="F472">
        <v>675675.67567567597</v>
      </c>
      <c r="M472">
        <v>27027.027027027001</v>
      </c>
      <c r="N472">
        <v>19819.819819820001</v>
      </c>
    </row>
    <row r="473" spans="1:20" x14ac:dyDescent="0.35">
      <c r="A473" s="7" t="s">
        <v>570</v>
      </c>
      <c r="B473" s="12" t="s">
        <v>220</v>
      </c>
      <c r="C473">
        <v>109310220.78079289</v>
      </c>
      <c r="D473">
        <v>103457729.13792504</v>
      </c>
      <c r="E473">
        <v>303603.60360360501</v>
      </c>
      <c r="F473">
        <v>522522.52252252499</v>
      </c>
      <c r="G473">
        <v>13</v>
      </c>
      <c r="H473">
        <v>10</v>
      </c>
      <c r="K473">
        <v>17</v>
      </c>
      <c r="L473">
        <v>12</v>
      </c>
      <c r="M473">
        <v>1743243.2432432449</v>
      </c>
      <c r="N473">
        <v>3633513.513513511</v>
      </c>
      <c r="O473">
        <v>17169360.360360362</v>
      </c>
      <c r="P473">
        <v>16282171.171171172</v>
      </c>
      <c r="Q473">
        <v>2211441.4414414419</v>
      </c>
      <c r="R473">
        <v>3822702.7027026978</v>
      </c>
      <c r="S473">
        <v>5324</v>
      </c>
      <c r="T473">
        <v>4959</v>
      </c>
    </row>
    <row r="474" spans="1:20" x14ac:dyDescent="0.35">
      <c r="A474" s="7" t="s">
        <v>571</v>
      </c>
      <c r="B474" s="12" t="s">
        <v>85</v>
      </c>
      <c r="C474">
        <v>125896516.1339871</v>
      </c>
      <c r="D474">
        <v>123450642.76565406</v>
      </c>
      <c r="E474">
        <v>114856527.02702703</v>
      </c>
      <c r="F474">
        <v>97666580.180180177</v>
      </c>
      <c r="G474">
        <v>18</v>
      </c>
      <c r="H474">
        <v>10</v>
      </c>
      <c r="K474">
        <v>19</v>
      </c>
      <c r="L474">
        <v>11</v>
      </c>
      <c r="M474">
        <v>3955855.8558558552</v>
      </c>
      <c r="N474">
        <v>16500000.000000007</v>
      </c>
      <c r="O474">
        <v>27373684.684684683</v>
      </c>
      <c r="P474">
        <v>28748099.0990991</v>
      </c>
      <c r="Q474">
        <v>5822882.882882881</v>
      </c>
      <c r="R474">
        <v>7329459.4594594631</v>
      </c>
      <c r="S474">
        <v>5046</v>
      </c>
      <c r="T474">
        <v>5150</v>
      </c>
    </row>
    <row r="475" spans="1:20" x14ac:dyDescent="0.35">
      <c r="A475" s="7" t="s">
        <v>572</v>
      </c>
      <c r="B475" s="12" t="s">
        <v>479</v>
      </c>
      <c r="C475">
        <v>61566873.44469405</v>
      </c>
      <c r="D475">
        <v>76230459.558439806</v>
      </c>
      <c r="E475">
        <v>1228828.8288288319</v>
      </c>
      <c r="F475">
        <v>1674774.774774781</v>
      </c>
      <c r="G475">
        <v>27</v>
      </c>
      <c r="H475">
        <v>41</v>
      </c>
      <c r="K475">
        <v>35</v>
      </c>
      <c r="L475">
        <v>63</v>
      </c>
      <c r="M475">
        <v>8143693.6936936909</v>
      </c>
      <c r="N475">
        <v>10342342.342342343</v>
      </c>
      <c r="O475">
        <v>22009009.009009007</v>
      </c>
      <c r="P475">
        <v>32249864.864864867</v>
      </c>
      <c r="Q475">
        <v>10993783.78378378</v>
      </c>
      <c r="R475">
        <v>9414324.3243243247</v>
      </c>
      <c r="S475">
        <v>5268</v>
      </c>
      <c r="T475">
        <v>7224</v>
      </c>
    </row>
    <row r="476" spans="1:20" x14ac:dyDescent="0.35">
      <c r="A476" s="7" t="s">
        <v>573</v>
      </c>
      <c r="B476" s="12" t="s">
        <v>94</v>
      </c>
      <c r="C476">
        <v>181344279.72775832</v>
      </c>
      <c r="D476">
        <v>163220597.83310071</v>
      </c>
      <c r="E476">
        <v>880180.18018018105</v>
      </c>
      <c r="F476">
        <v>1284684.6846846871</v>
      </c>
      <c r="G476">
        <v>36</v>
      </c>
      <c r="H476">
        <v>23</v>
      </c>
      <c r="K476">
        <v>46</v>
      </c>
      <c r="L476">
        <v>39</v>
      </c>
      <c r="M476">
        <v>191420720.72072074</v>
      </c>
      <c r="N476">
        <v>380699099.0990991</v>
      </c>
      <c r="O476">
        <v>40921707.20720721</v>
      </c>
      <c r="P476">
        <v>40013840.540540546</v>
      </c>
      <c r="Q476">
        <v>11877837.837837838</v>
      </c>
      <c r="R476">
        <v>18040900.9009009</v>
      </c>
      <c r="S476">
        <v>9833</v>
      </c>
      <c r="T476">
        <v>9601</v>
      </c>
    </row>
    <row r="477" spans="1:20" x14ac:dyDescent="0.35">
      <c r="A477" s="7" t="s">
        <v>574</v>
      </c>
      <c r="B477" s="12" t="s">
        <v>307</v>
      </c>
      <c r="C477">
        <v>388449328.41980475</v>
      </c>
      <c r="D477">
        <v>393851909.70037198</v>
      </c>
      <c r="E477">
        <v>1643243.243243244</v>
      </c>
      <c r="F477">
        <v>3662162.1621621712</v>
      </c>
      <c r="G477">
        <v>68</v>
      </c>
      <c r="H477">
        <v>103</v>
      </c>
      <c r="K477">
        <v>84</v>
      </c>
      <c r="L477">
        <v>142</v>
      </c>
      <c r="M477">
        <v>32501621.621621624</v>
      </c>
      <c r="N477">
        <v>114474864.86486487</v>
      </c>
      <c r="O477">
        <v>149347792.7927928</v>
      </c>
      <c r="P477">
        <v>155330915.31531534</v>
      </c>
      <c r="Q477">
        <v>26835180.180180192</v>
      </c>
      <c r="R477">
        <v>54685315.315315321</v>
      </c>
      <c r="S477">
        <v>32248</v>
      </c>
      <c r="T477">
        <v>32605</v>
      </c>
    </row>
    <row r="478" spans="1:20" x14ac:dyDescent="0.35">
      <c r="A478" s="7" t="s">
        <v>10</v>
      </c>
      <c r="B478" s="12" t="s">
        <v>193</v>
      </c>
      <c r="C478">
        <v>65542607.542685777</v>
      </c>
      <c r="D478">
        <v>59800401.850002579</v>
      </c>
      <c r="G478">
        <v>6</v>
      </c>
      <c r="H478">
        <v>8</v>
      </c>
      <c r="K478">
        <v>6</v>
      </c>
      <c r="L478">
        <v>12</v>
      </c>
      <c r="O478">
        <v>37501711.711711712</v>
      </c>
      <c r="P478">
        <v>35945297.297297299</v>
      </c>
      <c r="R478">
        <v>11081.081081081</v>
      </c>
      <c r="S478">
        <v>3947</v>
      </c>
      <c r="T478">
        <v>3894</v>
      </c>
    </row>
    <row r="479" spans="1:20" x14ac:dyDescent="0.35">
      <c r="A479" s="7" t="s">
        <v>575</v>
      </c>
      <c r="B479" s="12" t="s">
        <v>87</v>
      </c>
      <c r="C479">
        <v>1530428.91717536</v>
      </c>
      <c r="D479">
        <v>1547309.3133708499</v>
      </c>
      <c r="H479">
        <v>4</v>
      </c>
      <c r="L479">
        <v>5</v>
      </c>
      <c r="O479">
        <v>656756.75675675704</v>
      </c>
      <c r="P479">
        <v>565241.441441442</v>
      </c>
      <c r="S479">
        <v>257</v>
      </c>
      <c r="T479">
        <v>210</v>
      </c>
    </row>
    <row r="480" spans="1:20" x14ac:dyDescent="0.35">
      <c r="A480" s="7" t="s">
        <v>576</v>
      </c>
      <c r="B480" s="12" t="s">
        <v>283</v>
      </c>
      <c r="C480">
        <v>94288962.739461079</v>
      </c>
      <c r="D480">
        <v>91147245.21736531</v>
      </c>
      <c r="E480">
        <v>34234.234234233998</v>
      </c>
      <c r="F480">
        <v>62162.162162162</v>
      </c>
      <c r="G480">
        <v>13</v>
      </c>
      <c r="H480">
        <v>7</v>
      </c>
      <c r="K480">
        <v>15</v>
      </c>
      <c r="L480">
        <v>7</v>
      </c>
      <c r="M480">
        <v>4989189.1891891891</v>
      </c>
      <c r="N480">
        <v>8909009.0090090092</v>
      </c>
      <c r="O480">
        <v>13374459.459459459</v>
      </c>
      <c r="P480">
        <v>14743945.945945948</v>
      </c>
      <c r="Q480">
        <v>1728468.4684684691</v>
      </c>
      <c r="R480">
        <v>7541711.7117117122</v>
      </c>
      <c r="S480">
        <v>3607</v>
      </c>
      <c r="T480">
        <v>3499</v>
      </c>
    </row>
    <row r="481" spans="1:20" x14ac:dyDescent="0.35">
      <c r="A481" s="7" t="s">
        <v>577</v>
      </c>
      <c r="B481" s="12" t="s">
        <v>307</v>
      </c>
      <c r="C481">
        <v>389616203.74700254</v>
      </c>
      <c r="D481">
        <v>368586894.17376804</v>
      </c>
      <c r="E481">
        <v>416486.48648648901</v>
      </c>
      <c r="F481">
        <v>3617567.5675675771</v>
      </c>
      <c r="G481">
        <v>107</v>
      </c>
      <c r="H481">
        <v>130</v>
      </c>
      <c r="K481">
        <v>142</v>
      </c>
      <c r="L481">
        <v>201</v>
      </c>
      <c r="M481">
        <v>29823378.378378376</v>
      </c>
      <c r="N481">
        <v>39655135.135135137</v>
      </c>
      <c r="O481">
        <v>147073945.94594595</v>
      </c>
      <c r="P481">
        <v>154404675.67567569</v>
      </c>
      <c r="Q481">
        <v>22886576.576576576</v>
      </c>
      <c r="R481">
        <v>34962522.522522524</v>
      </c>
      <c r="S481">
        <v>39140</v>
      </c>
      <c r="T481">
        <v>36921</v>
      </c>
    </row>
    <row r="482" spans="1:20" x14ac:dyDescent="0.35">
      <c r="A482" s="7" t="s">
        <v>578</v>
      </c>
      <c r="B482" s="12" t="s">
        <v>330</v>
      </c>
      <c r="C482">
        <v>371058701.78128022</v>
      </c>
      <c r="D482">
        <v>348669692.06468445</v>
      </c>
      <c r="E482">
        <v>590090.09009009297</v>
      </c>
      <c r="F482">
        <v>3979729.7297297348</v>
      </c>
      <c r="G482">
        <v>111</v>
      </c>
      <c r="H482">
        <v>119</v>
      </c>
      <c r="K482">
        <v>148</v>
      </c>
      <c r="L482">
        <v>166</v>
      </c>
      <c r="M482">
        <v>110719819.81981982</v>
      </c>
      <c r="N482">
        <v>28800900.900900904</v>
      </c>
      <c r="O482">
        <v>72905819.819819823</v>
      </c>
      <c r="P482">
        <v>79740403.153153151</v>
      </c>
      <c r="Q482">
        <v>106594954.95495497</v>
      </c>
      <c r="R482">
        <v>26188558.558558561</v>
      </c>
      <c r="S482">
        <v>28395</v>
      </c>
      <c r="T482">
        <v>28044</v>
      </c>
    </row>
    <row r="483" spans="1:20" x14ac:dyDescent="0.35">
      <c r="A483" s="7" t="s">
        <v>579</v>
      </c>
      <c r="B483" s="12" t="s">
        <v>66</v>
      </c>
      <c r="C483">
        <v>55934632.926329903</v>
      </c>
      <c r="D483">
        <v>52555386.816536799</v>
      </c>
      <c r="E483">
        <v>6756.7567567570004</v>
      </c>
      <c r="F483">
        <v>36036.036036037003</v>
      </c>
      <c r="G483">
        <v>11</v>
      </c>
      <c r="H483">
        <v>9</v>
      </c>
      <c r="K483">
        <v>13</v>
      </c>
      <c r="L483">
        <v>12</v>
      </c>
      <c r="M483">
        <v>722522.52252252295</v>
      </c>
      <c r="N483">
        <v>1675675.675675676</v>
      </c>
      <c r="O483">
        <v>14384594.594594596</v>
      </c>
      <c r="P483">
        <v>13396351.351351352</v>
      </c>
      <c r="Q483">
        <v>801351.35135135101</v>
      </c>
      <c r="R483">
        <v>1445135.1351351361</v>
      </c>
      <c r="S483">
        <v>3435</v>
      </c>
      <c r="T483">
        <v>3280</v>
      </c>
    </row>
    <row r="484" spans="1:20" x14ac:dyDescent="0.35">
      <c r="A484" s="7" t="s">
        <v>580</v>
      </c>
      <c r="B484" s="12" t="s">
        <v>236</v>
      </c>
      <c r="C484">
        <v>3.9162587420000001</v>
      </c>
      <c r="D484">
        <v>8008.6635105530004</v>
      </c>
    </row>
    <row r="485" spans="1:20" x14ac:dyDescent="0.35">
      <c r="A485" s="7" t="s">
        <v>581</v>
      </c>
      <c r="B485" s="12" t="s">
        <v>62</v>
      </c>
      <c r="C485">
        <v>145325430.68461829</v>
      </c>
      <c r="D485">
        <v>141969001.4900437</v>
      </c>
      <c r="E485">
        <v>316666.66666666698</v>
      </c>
      <c r="F485">
        <v>1381081.081081087</v>
      </c>
      <c r="G485">
        <v>26</v>
      </c>
      <c r="H485">
        <v>86</v>
      </c>
      <c r="K485">
        <v>29</v>
      </c>
      <c r="L485">
        <v>86</v>
      </c>
      <c r="M485">
        <v>11747297.297297303</v>
      </c>
      <c r="N485">
        <v>10559639.63963964</v>
      </c>
      <c r="O485">
        <v>30468954.954954956</v>
      </c>
      <c r="P485">
        <v>30500279.27927928</v>
      </c>
      <c r="Q485">
        <v>10021891.891891897</v>
      </c>
      <c r="R485">
        <v>9559099.0990990996</v>
      </c>
      <c r="S485">
        <v>6762</v>
      </c>
      <c r="T485">
        <v>6762</v>
      </c>
    </row>
    <row r="486" spans="1:20" x14ac:dyDescent="0.35">
      <c r="A486" s="7" t="s">
        <v>582</v>
      </c>
      <c r="B486" s="12" t="s">
        <v>48</v>
      </c>
      <c r="C486">
        <v>137545065.37168801</v>
      </c>
      <c r="D486">
        <v>133313664.1171951</v>
      </c>
      <c r="E486">
        <v>21986800.9009009</v>
      </c>
      <c r="F486">
        <v>65168790.090090089</v>
      </c>
      <c r="G486">
        <v>12</v>
      </c>
      <c r="H486">
        <v>17</v>
      </c>
      <c r="K486">
        <v>12</v>
      </c>
      <c r="L486">
        <v>20</v>
      </c>
      <c r="M486">
        <v>9986846.8468468506</v>
      </c>
      <c r="N486">
        <v>49136306.306306303</v>
      </c>
      <c r="O486">
        <v>18655765.765765768</v>
      </c>
      <c r="P486">
        <v>18618423.423423424</v>
      </c>
      <c r="Q486">
        <v>9500000.0000000037</v>
      </c>
      <c r="R486">
        <v>19313063.063063063</v>
      </c>
      <c r="S486">
        <v>5552</v>
      </c>
      <c r="T486">
        <v>6305</v>
      </c>
    </row>
    <row r="487" spans="1:20" x14ac:dyDescent="0.35">
      <c r="A487" s="7" t="s">
        <v>583</v>
      </c>
      <c r="B487" s="12" t="s">
        <v>54</v>
      </c>
      <c r="C487">
        <v>24782614.626175128</v>
      </c>
      <c r="D487">
        <v>25112521.668585081</v>
      </c>
      <c r="E487">
        <v>24324.324324325</v>
      </c>
      <c r="F487">
        <v>222522.52252252301</v>
      </c>
      <c r="G487">
        <v>6</v>
      </c>
      <c r="H487">
        <v>7</v>
      </c>
      <c r="K487">
        <v>7</v>
      </c>
      <c r="L487">
        <v>7</v>
      </c>
      <c r="M487">
        <v>3325225.2252252242</v>
      </c>
      <c r="N487">
        <v>5315405.4054054031</v>
      </c>
      <c r="O487">
        <v>5683378.3783783792</v>
      </c>
      <c r="P487">
        <v>6371738.7387387389</v>
      </c>
      <c r="Q487">
        <v>2833153.1531531531</v>
      </c>
      <c r="R487">
        <v>4543513.5135135129</v>
      </c>
      <c r="S487">
        <v>2093</v>
      </c>
      <c r="T487">
        <v>2008</v>
      </c>
    </row>
    <row r="488" spans="1:20" x14ac:dyDescent="0.35">
      <c r="A488" s="7" t="s">
        <v>584</v>
      </c>
      <c r="B488" s="12" t="s">
        <v>70</v>
      </c>
      <c r="C488">
        <v>66587615.071101695</v>
      </c>
      <c r="D488">
        <v>64468141.702518605</v>
      </c>
      <c r="E488">
        <v>450450.45045045001</v>
      </c>
      <c r="F488">
        <v>54054.054054054002</v>
      </c>
      <c r="G488">
        <v>6</v>
      </c>
      <c r="H488">
        <v>17</v>
      </c>
      <c r="K488">
        <v>8</v>
      </c>
      <c r="L488">
        <v>18</v>
      </c>
      <c r="M488">
        <v>450450.45045045001</v>
      </c>
      <c r="N488">
        <v>443243.24324324401</v>
      </c>
      <c r="O488">
        <v>26492072.072072074</v>
      </c>
      <c r="P488">
        <v>29153252.252252251</v>
      </c>
      <c r="Q488">
        <v>440990.99099099101</v>
      </c>
      <c r="R488">
        <v>616576.57657657703</v>
      </c>
      <c r="S488">
        <v>3777</v>
      </c>
      <c r="T488">
        <v>3547</v>
      </c>
    </row>
    <row r="489" spans="1:20" x14ac:dyDescent="0.35">
      <c r="A489" s="7" t="s">
        <v>585</v>
      </c>
      <c r="B489" s="12" t="s">
        <v>330</v>
      </c>
      <c r="C489">
        <v>252166522.85397181</v>
      </c>
      <c r="D489">
        <v>240490318.57976407</v>
      </c>
      <c r="E489">
        <v>238738.73873873899</v>
      </c>
      <c r="F489">
        <v>2274774.7747747768</v>
      </c>
      <c r="G489">
        <v>89</v>
      </c>
      <c r="H489">
        <v>97</v>
      </c>
      <c r="K489">
        <v>115</v>
      </c>
      <c r="L489">
        <v>129</v>
      </c>
      <c r="M489">
        <v>12532432.432432428</v>
      </c>
      <c r="N489">
        <v>16208108.108108109</v>
      </c>
      <c r="O489">
        <v>63066027.027027026</v>
      </c>
      <c r="P489">
        <v>61145176.576576576</v>
      </c>
      <c r="Q489">
        <v>11743333.333333332</v>
      </c>
      <c r="R489">
        <v>12505675.675675675</v>
      </c>
      <c r="S489">
        <v>20756</v>
      </c>
      <c r="T489">
        <v>19911</v>
      </c>
    </row>
    <row r="490" spans="1:20" x14ac:dyDescent="0.35">
      <c r="A490" s="7" t="s">
        <v>586</v>
      </c>
      <c r="B490" s="12" t="s">
        <v>66</v>
      </c>
      <c r="C490">
        <v>122172857.74969056</v>
      </c>
      <c r="D490">
        <v>108486669.74714124</v>
      </c>
      <c r="E490">
        <v>69060921.621621624</v>
      </c>
      <c r="F490">
        <v>141522214.41441441</v>
      </c>
      <c r="G490">
        <v>33</v>
      </c>
      <c r="H490">
        <v>39</v>
      </c>
      <c r="K490">
        <v>42</v>
      </c>
      <c r="L490">
        <v>66</v>
      </c>
      <c r="M490">
        <v>12389909.909909908</v>
      </c>
      <c r="N490">
        <v>20018693.693693697</v>
      </c>
      <c r="O490">
        <v>56059630.630630635</v>
      </c>
      <c r="P490">
        <v>54208198.198198199</v>
      </c>
      <c r="Q490">
        <v>11240630.630630633</v>
      </c>
      <c r="R490">
        <v>18576621.621621624</v>
      </c>
      <c r="S490">
        <v>10719</v>
      </c>
      <c r="T490">
        <v>10463</v>
      </c>
    </row>
    <row r="491" spans="1:20" x14ac:dyDescent="0.35">
      <c r="A491" s="7" t="s">
        <v>11</v>
      </c>
      <c r="B491" s="12" t="s">
        <v>193</v>
      </c>
      <c r="C491">
        <v>52122775.963740334</v>
      </c>
      <c r="D491">
        <v>51692676.036686003</v>
      </c>
      <c r="E491">
        <v>314414.41441441601</v>
      </c>
      <c r="F491">
        <v>18018.018018018</v>
      </c>
      <c r="G491">
        <v>11</v>
      </c>
      <c r="H491">
        <v>10</v>
      </c>
      <c r="K491">
        <v>14</v>
      </c>
      <c r="L491">
        <v>12</v>
      </c>
      <c r="M491">
        <v>1701801.801801804</v>
      </c>
      <c r="N491">
        <v>1819819.8198198189</v>
      </c>
      <c r="O491">
        <v>16469909.90990991</v>
      </c>
      <c r="P491">
        <v>17627540.540540539</v>
      </c>
      <c r="Q491">
        <v>1797297.297297297</v>
      </c>
      <c r="R491">
        <v>1335585.585585586</v>
      </c>
      <c r="S491">
        <v>3828</v>
      </c>
      <c r="T491">
        <v>4037</v>
      </c>
    </row>
    <row r="492" spans="1:20" x14ac:dyDescent="0.35">
      <c r="A492" s="7" t="s">
        <v>12</v>
      </c>
      <c r="B492" s="12" t="s">
        <v>193</v>
      </c>
      <c r="C492">
        <v>37315465.014466494</v>
      </c>
      <c r="D492">
        <v>33364744.027677037</v>
      </c>
      <c r="E492">
        <v>38738.738738740001</v>
      </c>
      <c r="F492">
        <v>279279.27927927999</v>
      </c>
      <c r="G492">
        <v>6</v>
      </c>
      <c r="H492">
        <v>3</v>
      </c>
      <c r="K492">
        <v>8</v>
      </c>
      <c r="L492">
        <v>3</v>
      </c>
      <c r="M492">
        <v>4005855.855855857</v>
      </c>
      <c r="N492">
        <v>2981981.981981982</v>
      </c>
      <c r="O492">
        <v>13551396.3963964</v>
      </c>
      <c r="P492">
        <v>13950225.225225223</v>
      </c>
      <c r="Q492">
        <v>1693693.693693693</v>
      </c>
      <c r="R492">
        <v>4705675.6756756762</v>
      </c>
      <c r="S492">
        <v>2774</v>
      </c>
      <c r="T492">
        <v>3343</v>
      </c>
    </row>
    <row r="493" spans="1:20" x14ac:dyDescent="0.35">
      <c r="A493" s="7" t="s">
        <v>587</v>
      </c>
      <c r="B493" s="12" t="s">
        <v>60</v>
      </c>
      <c r="C493">
        <v>28414845.079468891</v>
      </c>
      <c r="D493">
        <v>29920426.368462153</v>
      </c>
      <c r="E493">
        <v>164864.86486486701</v>
      </c>
      <c r="F493">
        <v>179279.27927927999</v>
      </c>
      <c r="G493">
        <v>4</v>
      </c>
      <c r="H493">
        <v>7</v>
      </c>
      <c r="K493">
        <v>5</v>
      </c>
      <c r="L493">
        <v>14</v>
      </c>
      <c r="M493">
        <v>3453153.1531531531</v>
      </c>
      <c r="N493">
        <v>5224324.3243243238</v>
      </c>
      <c r="O493">
        <v>10132567.567567568</v>
      </c>
      <c r="P493">
        <v>11697873.873873875</v>
      </c>
      <c r="Q493">
        <v>2894954.9549549548</v>
      </c>
      <c r="R493">
        <v>4613243.2432432417</v>
      </c>
      <c r="S493">
        <v>1824</v>
      </c>
      <c r="T493">
        <v>2231</v>
      </c>
    </row>
    <row r="494" spans="1:20" x14ac:dyDescent="0.35">
      <c r="A494" s="7" t="s">
        <v>588</v>
      </c>
      <c r="B494" s="12" t="s">
        <v>307</v>
      </c>
      <c r="C494">
        <v>848413652.04786265</v>
      </c>
      <c r="D494">
        <v>814080051.32372582</v>
      </c>
      <c r="E494">
        <v>588307500</v>
      </c>
      <c r="F494">
        <v>280579400</v>
      </c>
      <c r="G494">
        <v>220</v>
      </c>
      <c r="H494">
        <v>206</v>
      </c>
      <c r="I494">
        <v>1</v>
      </c>
      <c r="K494">
        <v>285</v>
      </c>
      <c r="L494">
        <v>307</v>
      </c>
      <c r="M494">
        <v>62345135.135135144</v>
      </c>
      <c r="N494">
        <v>133519864.86486487</v>
      </c>
      <c r="O494">
        <v>259619243.24324322</v>
      </c>
      <c r="P494">
        <v>262096923.42342341</v>
      </c>
      <c r="Q494">
        <v>64812612.612612613</v>
      </c>
      <c r="R494">
        <v>127658153.15315315</v>
      </c>
      <c r="S494">
        <v>64815</v>
      </c>
      <c r="T494">
        <v>63035</v>
      </c>
    </row>
    <row r="495" spans="1:20" x14ac:dyDescent="0.35">
      <c r="A495" s="7" t="s">
        <v>589</v>
      </c>
      <c r="B495" s="12" t="s">
        <v>52</v>
      </c>
      <c r="C495">
        <v>207250955.60265338</v>
      </c>
      <c r="D495">
        <v>192732171.26406512</v>
      </c>
      <c r="E495">
        <v>1739639.63963964</v>
      </c>
      <c r="F495">
        <v>3182882.8828828852</v>
      </c>
      <c r="G495">
        <v>25</v>
      </c>
      <c r="H495">
        <v>55</v>
      </c>
      <c r="K495">
        <v>34</v>
      </c>
      <c r="L495">
        <v>82</v>
      </c>
      <c r="M495">
        <v>12461261.26126126</v>
      </c>
      <c r="N495">
        <v>78247702.702702701</v>
      </c>
      <c r="O495">
        <v>78670905.405405402</v>
      </c>
      <c r="P495">
        <v>78862297.297297299</v>
      </c>
      <c r="Q495">
        <v>13041261.261261256</v>
      </c>
      <c r="R495">
        <v>91355810.810810819</v>
      </c>
      <c r="S495">
        <v>14618</v>
      </c>
      <c r="T495">
        <v>13886</v>
      </c>
    </row>
    <row r="496" spans="1:20" x14ac:dyDescent="0.35">
      <c r="A496" s="7" t="s">
        <v>590</v>
      </c>
      <c r="B496" s="12" t="s">
        <v>54</v>
      </c>
      <c r="C496">
        <v>16545415.216941375</v>
      </c>
      <c r="D496">
        <v>17287465.609215621</v>
      </c>
      <c r="E496">
        <v>19819.819819820001</v>
      </c>
      <c r="F496">
        <v>149549.549549549</v>
      </c>
      <c r="G496">
        <v>3</v>
      </c>
      <c r="H496">
        <v>5</v>
      </c>
      <c r="K496">
        <v>3</v>
      </c>
      <c r="L496">
        <v>7</v>
      </c>
      <c r="M496">
        <v>2064864.8648648639</v>
      </c>
      <c r="N496">
        <v>3852252.2522522518</v>
      </c>
      <c r="O496">
        <v>5619990.9909909908</v>
      </c>
      <c r="P496">
        <v>5313243.2432432426</v>
      </c>
      <c r="Q496">
        <v>4041981.981981982</v>
      </c>
      <c r="R496">
        <v>2133873.8738738741</v>
      </c>
      <c r="S496">
        <v>1536</v>
      </c>
      <c r="T496">
        <v>1588</v>
      </c>
    </row>
    <row r="497" spans="1:20" x14ac:dyDescent="0.35">
      <c r="A497" s="7" t="s">
        <v>591</v>
      </c>
      <c r="B497" s="12" t="s">
        <v>169</v>
      </c>
      <c r="C497">
        <v>498258275.48188305</v>
      </c>
      <c r="D497">
        <v>455581092.16309565</v>
      </c>
      <c r="E497">
        <v>2180360.3603603621</v>
      </c>
      <c r="F497">
        <v>3069144.1441441472</v>
      </c>
      <c r="G497">
        <v>55</v>
      </c>
      <c r="H497">
        <v>28</v>
      </c>
      <c r="I497">
        <v>1</v>
      </c>
      <c r="K497">
        <v>65</v>
      </c>
      <c r="L497">
        <v>32</v>
      </c>
      <c r="M497">
        <v>76867567.567567572</v>
      </c>
      <c r="N497">
        <v>120775315.31531531</v>
      </c>
      <c r="O497">
        <v>158283261.26126125</v>
      </c>
      <c r="P497">
        <v>151226783.78378376</v>
      </c>
      <c r="Q497">
        <v>65728468.468468472</v>
      </c>
      <c r="R497">
        <v>99177567.567567572</v>
      </c>
      <c r="S497">
        <v>23620</v>
      </c>
      <c r="T497">
        <v>22999</v>
      </c>
    </row>
    <row r="498" spans="1:20" x14ac:dyDescent="0.35">
      <c r="A498" s="7" t="s">
        <v>592</v>
      </c>
      <c r="B498" s="12" t="s">
        <v>87</v>
      </c>
      <c r="C498">
        <v>2909969.2806651141</v>
      </c>
      <c r="D498">
        <v>2342934.6001563831</v>
      </c>
      <c r="H498">
        <v>1</v>
      </c>
      <c r="L498">
        <v>1</v>
      </c>
      <c r="O498">
        <v>538279.27927927906</v>
      </c>
      <c r="P498">
        <v>455720.720720721</v>
      </c>
      <c r="S498">
        <v>362</v>
      </c>
      <c r="T498">
        <v>250</v>
      </c>
    </row>
    <row r="499" spans="1:20" x14ac:dyDescent="0.35">
      <c r="A499" s="7" t="s">
        <v>593</v>
      </c>
      <c r="B499" s="12" t="s">
        <v>143</v>
      </c>
      <c r="C499">
        <v>35446746.013641879</v>
      </c>
      <c r="D499">
        <v>34592943.628749564</v>
      </c>
      <c r="E499">
        <v>5405.4054054059998</v>
      </c>
      <c r="F499">
        <v>94594.594594597002</v>
      </c>
      <c r="G499">
        <v>6</v>
      </c>
      <c r="H499">
        <v>6</v>
      </c>
      <c r="K499">
        <v>6</v>
      </c>
      <c r="L499">
        <v>7</v>
      </c>
      <c r="M499">
        <v>1969369.369369369</v>
      </c>
      <c r="N499">
        <v>3067567.5675675678</v>
      </c>
      <c r="O499">
        <v>3499819.8198198201</v>
      </c>
      <c r="P499">
        <v>3433783.7837837841</v>
      </c>
      <c r="Q499">
        <v>1381621.6216216211</v>
      </c>
      <c r="R499">
        <v>1899279.27927928</v>
      </c>
      <c r="S499">
        <v>1550</v>
      </c>
      <c r="T499">
        <v>1502</v>
      </c>
    </row>
    <row r="500" spans="1:20" x14ac:dyDescent="0.35">
      <c r="A500" s="7" t="s">
        <v>594</v>
      </c>
      <c r="B500" s="12" t="s">
        <v>290</v>
      </c>
      <c r="C500">
        <v>10716283.629601158</v>
      </c>
      <c r="D500">
        <v>8064167.5075007444</v>
      </c>
      <c r="G500">
        <v>1</v>
      </c>
      <c r="H500">
        <v>1</v>
      </c>
      <c r="K500">
        <v>1</v>
      </c>
      <c r="L500">
        <v>1</v>
      </c>
      <c r="O500">
        <v>359144.14414414403</v>
      </c>
      <c r="P500">
        <v>540090.09009008994</v>
      </c>
      <c r="S500">
        <v>570</v>
      </c>
      <c r="T500">
        <v>719</v>
      </c>
    </row>
    <row r="501" spans="1:20" x14ac:dyDescent="0.35">
      <c r="A501" s="7" t="s">
        <v>595</v>
      </c>
      <c r="B501" s="12" t="s">
        <v>92</v>
      </c>
      <c r="C501">
        <v>12500393.255235152</v>
      </c>
      <c r="D501">
        <v>11267747.157352244</v>
      </c>
      <c r="E501">
        <v>17117.117117116999</v>
      </c>
      <c r="F501">
        <v>783783.78378378402</v>
      </c>
      <c r="G501">
        <v>6</v>
      </c>
      <c r="H501">
        <v>4</v>
      </c>
      <c r="K501">
        <v>6</v>
      </c>
      <c r="L501">
        <v>13</v>
      </c>
      <c r="M501">
        <v>64684.684684683998</v>
      </c>
      <c r="N501">
        <v>1747747.7477477479</v>
      </c>
      <c r="O501">
        <v>1675630.630630631</v>
      </c>
      <c r="P501">
        <v>2319990.9909909908</v>
      </c>
      <c r="Q501">
        <v>107747.747747748</v>
      </c>
      <c r="R501">
        <v>2056756.7567567569</v>
      </c>
      <c r="S501">
        <v>568</v>
      </c>
      <c r="T501">
        <v>686</v>
      </c>
    </row>
    <row r="502" spans="1:20" x14ac:dyDescent="0.35">
      <c r="A502" s="7" t="s">
        <v>596</v>
      </c>
      <c r="B502" s="12" t="s">
        <v>50</v>
      </c>
      <c r="C502">
        <v>46884558.470656462</v>
      </c>
      <c r="D502">
        <v>41613511.017341934</v>
      </c>
      <c r="E502">
        <v>429729.72972973</v>
      </c>
      <c r="F502">
        <v>1038513.513513515</v>
      </c>
      <c r="G502">
        <v>6</v>
      </c>
      <c r="H502">
        <v>5</v>
      </c>
      <c r="K502">
        <v>6</v>
      </c>
      <c r="L502">
        <v>5</v>
      </c>
      <c r="M502">
        <v>1761171.171171173</v>
      </c>
      <c r="N502">
        <v>1560360.3603603621</v>
      </c>
      <c r="O502">
        <v>8792203.6036036033</v>
      </c>
      <c r="P502">
        <v>8621243.2432432435</v>
      </c>
      <c r="Q502">
        <v>1904774.7747747779</v>
      </c>
      <c r="R502">
        <v>1525855.8558558549</v>
      </c>
      <c r="S502">
        <v>1720</v>
      </c>
      <c r="T502">
        <v>1709</v>
      </c>
    </row>
    <row r="503" spans="1:20" x14ac:dyDescent="0.35">
      <c r="A503" s="7" t="s">
        <v>597</v>
      </c>
      <c r="B503" s="12" t="s">
        <v>89</v>
      </c>
      <c r="C503">
        <v>64556685.458728507</v>
      </c>
      <c r="D503">
        <v>64673006.358500637</v>
      </c>
      <c r="E503">
        <v>147747.74774774699</v>
      </c>
      <c r="F503">
        <v>362162.16216216399</v>
      </c>
      <c r="G503">
        <v>6</v>
      </c>
      <c r="H503">
        <v>8</v>
      </c>
      <c r="K503">
        <v>8</v>
      </c>
      <c r="L503">
        <v>14</v>
      </c>
      <c r="M503">
        <v>3984684.6846846808</v>
      </c>
      <c r="N503">
        <v>6090450.4504504437</v>
      </c>
      <c r="O503">
        <v>14298241.441441445</v>
      </c>
      <c r="P503">
        <v>15194405.405405406</v>
      </c>
      <c r="Q503">
        <v>3666936.936936934</v>
      </c>
      <c r="R503">
        <v>5568018.0180180129</v>
      </c>
      <c r="S503">
        <v>3489</v>
      </c>
      <c r="T503">
        <v>3631</v>
      </c>
    </row>
    <row r="504" spans="1:20" x14ac:dyDescent="0.35">
      <c r="A504" s="7" t="s">
        <v>598</v>
      </c>
      <c r="B504" s="12" t="s">
        <v>143</v>
      </c>
      <c r="C504">
        <v>23787426.895281944</v>
      </c>
      <c r="D504">
        <v>24844044.83778464</v>
      </c>
      <c r="E504">
        <v>30630.630630631</v>
      </c>
      <c r="F504">
        <v>171171.171171172</v>
      </c>
      <c r="G504">
        <v>6</v>
      </c>
      <c r="K504">
        <v>6</v>
      </c>
      <c r="M504">
        <v>2400000</v>
      </c>
      <c r="N504">
        <v>1972972.972972973</v>
      </c>
      <c r="O504">
        <v>1229144.1441441439</v>
      </c>
      <c r="P504">
        <v>1775009.009009009</v>
      </c>
      <c r="Q504">
        <v>2075945.9459459451</v>
      </c>
      <c r="R504">
        <v>1329279.2792792791</v>
      </c>
      <c r="S504">
        <v>1163</v>
      </c>
      <c r="T504">
        <v>1110</v>
      </c>
    </row>
    <row r="505" spans="1:20" x14ac:dyDescent="0.35">
      <c r="A505" s="7" t="s">
        <v>599</v>
      </c>
      <c r="B505" s="12" t="s">
        <v>125</v>
      </c>
      <c r="C505">
        <v>62377427.771343946</v>
      </c>
      <c r="D505">
        <v>60247815.38442421</v>
      </c>
      <c r="E505">
        <v>834900.90090090095</v>
      </c>
      <c r="F505">
        <v>20449525.225225225</v>
      </c>
      <c r="G505">
        <v>4</v>
      </c>
      <c r="H505">
        <v>5</v>
      </c>
      <c r="K505">
        <v>5</v>
      </c>
      <c r="L505">
        <v>6</v>
      </c>
      <c r="M505">
        <v>17157747.747747745</v>
      </c>
      <c r="N505">
        <v>14954054.054054054</v>
      </c>
      <c r="O505">
        <v>22819369.369369369</v>
      </c>
      <c r="P505">
        <v>22464648.648648649</v>
      </c>
      <c r="Q505">
        <v>17206216.216216218</v>
      </c>
      <c r="R505">
        <v>4118558.5585585572</v>
      </c>
      <c r="S505">
        <v>3186</v>
      </c>
      <c r="T505">
        <v>3511</v>
      </c>
    </row>
    <row r="506" spans="1:20" x14ac:dyDescent="0.35">
      <c r="A506" s="7" t="s">
        <v>600</v>
      </c>
      <c r="B506" s="12" t="s">
        <v>50</v>
      </c>
      <c r="C506">
        <v>160257806.81256056</v>
      </c>
      <c r="D506">
        <v>157328677.72590634</v>
      </c>
      <c r="E506">
        <v>1363603.603603604</v>
      </c>
      <c r="F506">
        <v>1369369.369369373</v>
      </c>
      <c r="G506">
        <v>22</v>
      </c>
      <c r="H506">
        <v>15</v>
      </c>
      <c r="I506">
        <v>1</v>
      </c>
      <c r="K506">
        <v>24</v>
      </c>
      <c r="L506">
        <v>18</v>
      </c>
      <c r="M506">
        <v>13722882.882882882</v>
      </c>
      <c r="N506">
        <v>15417207.207207208</v>
      </c>
      <c r="O506">
        <v>63491378.378378376</v>
      </c>
      <c r="P506">
        <v>63141270.270270273</v>
      </c>
      <c r="Q506">
        <v>14360180.180180183</v>
      </c>
      <c r="R506">
        <v>14613153.153153151</v>
      </c>
      <c r="S506">
        <v>7679</v>
      </c>
      <c r="T506">
        <v>7442</v>
      </c>
    </row>
    <row r="507" spans="1:20" x14ac:dyDescent="0.35">
      <c r="A507" s="7" t="s">
        <v>601</v>
      </c>
      <c r="B507" s="12" t="s">
        <v>89</v>
      </c>
      <c r="C507">
        <v>46285501.964657024</v>
      </c>
      <c r="D507">
        <v>46893042.738067918</v>
      </c>
      <c r="E507">
        <v>75675.675675676001</v>
      </c>
      <c r="F507">
        <v>58558.558558559998</v>
      </c>
      <c r="G507">
        <v>6</v>
      </c>
      <c r="H507">
        <v>5</v>
      </c>
      <c r="K507">
        <v>7</v>
      </c>
      <c r="L507">
        <v>5</v>
      </c>
      <c r="M507">
        <v>2851351.351351351</v>
      </c>
      <c r="N507">
        <v>22026486.486486487</v>
      </c>
      <c r="O507">
        <v>12479189.18918919</v>
      </c>
      <c r="P507">
        <v>14388594.594594596</v>
      </c>
      <c r="Q507">
        <v>2728738.7387387389</v>
      </c>
      <c r="R507">
        <v>20763153.153153155</v>
      </c>
      <c r="S507">
        <v>2485</v>
      </c>
      <c r="T507">
        <v>2527</v>
      </c>
    </row>
    <row r="508" spans="1:20" x14ac:dyDescent="0.35">
      <c r="A508" s="7" t="s">
        <v>602</v>
      </c>
      <c r="B508" s="12" t="s">
        <v>87</v>
      </c>
      <c r="C508">
        <v>43279364.270005934</v>
      </c>
      <c r="D508">
        <v>41140887.834868245</v>
      </c>
      <c r="E508">
        <v>4504.5045045050001</v>
      </c>
      <c r="G508">
        <v>4</v>
      </c>
      <c r="H508">
        <v>1</v>
      </c>
      <c r="K508">
        <v>4</v>
      </c>
      <c r="L508">
        <v>2</v>
      </c>
      <c r="M508">
        <v>409909.90990991</v>
      </c>
      <c r="N508">
        <v>9009.0090090089998</v>
      </c>
      <c r="O508">
        <v>2752205.405405405</v>
      </c>
      <c r="P508">
        <v>2348873.8738738741</v>
      </c>
      <c r="Q508">
        <v>486349.54954954999</v>
      </c>
      <c r="R508">
        <v>409909.90990991</v>
      </c>
      <c r="S508">
        <v>1261</v>
      </c>
      <c r="T508">
        <v>1195</v>
      </c>
    </row>
    <row r="509" spans="1:20" x14ac:dyDescent="0.35">
      <c r="A509" s="7" t="s">
        <v>603</v>
      </c>
      <c r="B509" s="12" t="s">
        <v>140</v>
      </c>
      <c r="C509">
        <v>323328328.28996789</v>
      </c>
      <c r="D509">
        <v>327748379.44931096</v>
      </c>
      <c r="E509">
        <v>239714052.25225225</v>
      </c>
      <c r="F509">
        <v>95015608.108108118</v>
      </c>
      <c r="G509">
        <v>70</v>
      </c>
      <c r="H509">
        <v>93</v>
      </c>
      <c r="I509">
        <v>1</v>
      </c>
      <c r="K509">
        <v>93</v>
      </c>
      <c r="L509">
        <v>144</v>
      </c>
      <c r="M509">
        <v>59628738.738738731</v>
      </c>
      <c r="N509">
        <v>55764234.234234229</v>
      </c>
      <c r="O509">
        <v>73503690.090090096</v>
      </c>
      <c r="P509">
        <v>80874387.387387395</v>
      </c>
      <c r="Q509">
        <v>46567297.297297299</v>
      </c>
      <c r="R509">
        <v>53098108.108108103</v>
      </c>
      <c r="S509">
        <v>18926</v>
      </c>
      <c r="T509">
        <v>19192</v>
      </c>
    </row>
    <row r="510" spans="1:20" x14ac:dyDescent="0.35">
      <c r="A510" s="7" t="s">
        <v>604</v>
      </c>
      <c r="B510" s="12" t="s">
        <v>224</v>
      </c>
      <c r="C510">
        <v>62426239.151241042</v>
      </c>
      <c r="D510">
        <v>53914041.793547504</v>
      </c>
      <c r="E510">
        <v>7207.2072072069996</v>
      </c>
      <c r="F510">
        <v>2702.7027027029999</v>
      </c>
      <c r="G510">
        <v>8</v>
      </c>
      <c r="H510">
        <v>9</v>
      </c>
      <c r="K510">
        <v>12</v>
      </c>
      <c r="L510">
        <v>10</v>
      </c>
      <c r="M510">
        <v>2259459.4594594589</v>
      </c>
      <c r="N510">
        <v>2702.7027027029999</v>
      </c>
      <c r="O510">
        <v>17872846.846846849</v>
      </c>
      <c r="P510">
        <v>18357522.522522524</v>
      </c>
      <c r="Q510">
        <v>797027.02702702698</v>
      </c>
      <c r="R510">
        <v>2019189.1891891891</v>
      </c>
      <c r="S510">
        <v>3521</v>
      </c>
      <c r="T510">
        <v>3632</v>
      </c>
    </row>
    <row r="511" spans="1:20" x14ac:dyDescent="0.35">
      <c r="A511" s="7" t="s">
        <v>605</v>
      </c>
      <c r="B511" s="12" t="s">
        <v>224</v>
      </c>
      <c r="C511">
        <v>37705218.149586886</v>
      </c>
      <c r="D511">
        <v>35076304.260163032</v>
      </c>
      <c r="E511">
        <v>3603.603603604</v>
      </c>
      <c r="F511">
        <v>13513.513513514001</v>
      </c>
      <c r="G511">
        <v>12</v>
      </c>
      <c r="H511">
        <v>7</v>
      </c>
      <c r="K511">
        <v>12</v>
      </c>
      <c r="L511">
        <v>7</v>
      </c>
      <c r="M511">
        <v>904504.50450450496</v>
      </c>
      <c r="N511">
        <v>914414.41441441502</v>
      </c>
      <c r="O511">
        <v>10245900.9009009</v>
      </c>
      <c r="P511">
        <v>10532297.297297299</v>
      </c>
      <c r="Q511">
        <v>1479459.4594594589</v>
      </c>
      <c r="R511">
        <v>1990540.5405405411</v>
      </c>
      <c r="S511">
        <v>3272</v>
      </c>
      <c r="T511">
        <v>3622</v>
      </c>
    </row>
    <row r="512" spans="1:20" x14ac:dyDescent="0.35">
      <c r="A512" s="7" t="s">
        <v>606</v>
      </c>
      <c r="B512" s="12" t="s">
        <v>241</v>
      </c>
      <c r="C512">
        <v>32255295.033307929</v>
      </c>
      <c r="D512">
        <v>30052853.054824613</v>
      </c>
      <c r="E512">
        <v>5405.4054054050002</v>
      </c>
      <c r="F512">
        <v>38378378.378378376</v>
      </c>
      <c r="G512">
        <v>11</v>
      </c>
      <c r="H512">
        <v>13</v>
      </c>
      <c r="K512">
        <v>13</v>
      </c>
      <c r="L512">
        <v>14</v>
      </c>
      <c r="M512">
        <v>1082342.3423423429</v>
      </c>
      <c r="N512">
        <v>1628378.3783783789</v>
      </c>
      <c r="O512">
        <v>8660180.1801801808</v>
      </c>
      <c r="P512">
        <v>8611090.0900900904</v>
      </c>
      <c r="Q512">
        <v>1038198.1981982</v>
      </c>
      <c r="R512">
        <v>703063.06306306296</v>
      </c>
      <c r="S512">
        <v>2341</v>
      </c>
      <c r="T512">
        <v>2358</v>
      </c>
    </row>
    <row r="513" spans="1:20" x14ac:dyDescent="0.35">
      <c r="A513" s="7" t="s">
        <v>607</v>
      </c>
      <c r="B513" s="12" t="s">
        <v>140</v>
      </c>
      <c r="C513">
        <v>9586263.1072806157</v>
      </c>
      <c r="D513">
        <v>9207839.1987528149</v>
      </c>
      <c r="E513">
        <v>8783783.7837837841</v>
      </c>
      <c r="F513">
        <v>2702.7027027029999</v>
      </c>
      <c r="H513">
        <v>2</v>
      </c>
      <c r="L513">
        <v>3</v>
      </c>
      <c r="M513">
        <v>622072.07207207195</v>
      </c>
      <c r="N513">
        <v>328828.82882882899</v>
      </c>
      <c r="O513">
        <v>1172927.927927928</v>
      </c>
      <c r="P513">
        <v>1001432.432432432</v>
      </c>
      <c r="Q513">
        <v>95855.855855856003</v>
      </c>
      <c r="R513">
        <v>210900.900900901</v>
      </c>
      <c r="S513">
        <v>368</v>
      </c>
      <c r="T513">
        <v>315</v>
      </c>
    </row>
    <row r="514" spans="1:20" x14ac:dyDescent="0.35">
      <c r="A514" s="7" t="s">
        <v>674</v>
      </c>
      <c r="B514" s="12" t="s">
        <v>189</v>
      </c>
      <c r="M514">
        <v>54054.054054054002</v>
      </c>
      <c r="N514">
        <v>405405.40540540498</v>
      </c>
    </row>
    <row r="515" spans="1:20" x14ac:dyDescent="0.35">
      <c r="A515" s="7" t="s">
        <v>608</v>
      </c>
      <c r="B515" s="12" t="s">
        <v>189</v>
      </c>
      <c r="C515">
        <v>37422994.187026568</v>
      </c>
      <c r="D515">
        <v>33195737.134852529</v>
      </c>
      <c r="E515">
        <v>29247704.504504506</v>
      </c>
      <c r="F515">
        <v>28099797.297297295</v>
      </c>
      <c r="G515">
        <v>13</v>
      </c>
      <c r="H515">
        <v>22</v>
      </c>
      <c r="K515">
        <v>14</v>
      </c>
      <c r="L515">
        <v>22</v>
      </c>
      <c r="M515">
        <v>4259459.4594594594</v>
      </c>
      <c r="N515">
        <v>4396396.3963963958</v>
      </c>
      <c r="O515">
        <v>6837900.9009009013</v>
      </c>
      <c r="P515">
        <v>8856914.4144144133</v>
      </c>
      <c r="Q515">
        <v>2952972.9729729728</v>
      </c>
      <c r="R515">
        <v>3254954.9549549548</v>
      </c>
      <c r="S515">
        <v>1629</v>
      </c>
      <c r="T515">
        <v>1575</v>
      </c>
    </row>
    <row r="516" spans="1:20" x14ac:dyDescent="0.35">
      <c r="A516" s="7" t="s">
        <v>609</v>
      </c>
      <c r="B516" s="12" t="s">
        <v>189</v>
      </c>
      <c r="C516">
        <v>110825703.22592203</v>
      </c>
      <c r="D516">
        <v>102363852.64216085</v>
      </c>
      <c r="E516">
        <v>8108.1081081080001</v>
      </c>
      <c r="F516">
        <v>247747.747747749</v>
      </c>
      <c r="G516">
        <v>31</v>
      </c>
      <c r="H516">
        <v>30</v>
      </c>
      <c r="K516">
        <v>36</v>
      </c>
      <c r="L516">
        <v>33</v>
      </c>
      <c r="M516">
        <v>4445945.9459459446</v>
      </c>
      <c r="N516">
        <v>6283783.7837837832</v>
      </c>
      <c r="O516">
        <v>16233873.873873875</v>
      </c>
      <c r="P516">
        <v>18350540.540540539</v>
      </c>
      <c r="Q516">
        <v>3591081.0810810812</v>
      </c>
      <c r="R516">
        <v>3071891.8918918921</v>
      </c>
      <c r="S516">
        <v>5036</v>
      </c>
      <c r="T516">
        <v>5019</v>
      </c>
    </row>
    <row r="517" spans="1:20" x14ac:dyDescent="0.35">
      <c r="A517" s="7" t="s">
        <v>610</v>
      </c>
      <c r="B517" s="12" t="s">
        <v>189</v>
      </c>
      <c r="C517">
        <v>42542063.840217665</v>
      </c>
      <c r="D517">
        <v>39453155.412026614</v>
      </c>
      <c r="E517">
        <v>145945.945945946</v>
      </c>
      <c r="F517">
        <v>430405.40540540701</v>
      </c>
      <c r="G517">
        <v>7</v>
      </c>
      <c r="H517">
        <v>11</v>
      </c>
      <c r="K517">
        <v>8</v>
      </c>
      <c r="L517">
        <v>11</v>
      </c>
      <c r="M517">
        <v>3260360.3603603598</v>
      </c>
      <c r="N517">
        <v>2932432.4324324331</v>
      </c>
      <c r="O517">
        <v>4921666.6666666679</v>
      </c>
      <c r="P517">
        <v>4575045.0450450452</v>
      </c>
      <c r="Q517">
        <v>2522612.6126126111</v>
      </c>
      <c r="R517">
        <v>2657117.1171171172</v>
      </c>
      <c r="S517">
        <v>1693</v>
      </c>
      <c r="T517">
        <v>1656</v>
      </c>
    </row>
    <row r="518" spans="1:20" x14ac:dyDescent="0.35">
      <c r="A518" s="7" t="s">
        <v>611</v>
      </c>
      <c r="B518" s="12" t="s">
        <v>189</v>
      </c>
      <c r="C518">
        <v>12560342.041302858</v>
      </c>
      <c r="D518">
        <v>16509900.907751689</v>
      </c>
      <c r="E518">
        <v>6306.3063063059999</v>
      </c>
      <c r="F518">
        <v>3738288.2882882892</v>
      </c>
      <c r="G518">
        <v>7</v>
      </c>
      <c r="H518">
        <v>5</v>
      </c>
      <c r="K518">
        <v>10</v>
      </c>
      <c r="L518">
        <v>6</v>
      </c>
      <c r="M518">
        <v>1142342.342342342</v>
      </c>
      <c r="N518">
        <v>2797657.6576576582</v>
      </c>
      <c r="O518">
        <v>2108333.333333334</v>
      </c>
      <c r="P518">
        <v>3007729.7297297302</v>
      </c>
      <c r="Q518">
        <v>596306.30630630604</v>
      </c>
      <c r="R518">
        <v>2657117.1171171172</v>
      </c>
      <c r="S518">
        <v>904</v>
      </c>
      <c r="T518">
        <v>969</v>
      </c>
    </row>
    <row r="519" spans="1:20" x14ac:dyDescent="0.35">
      <c r="A519" s="7" t="s">
        <v>612</v>
      </c>
      <c r="B519" s="12" t="s">
        <v>143</v>
      </c>
      <c r="C519">
        <v>103601267.05623177</v>
      </c>
      <c r="D519">
        <v>111977716.99688104</v>
      </c>
      <c r="E519">
        <v>46702.702702704002</v>
      </c>
      <c r="F519">
        <v>711726.12612612697</v>
      </c>
      <c r="G519">
        <v>29</v>
      </c>
      <c r="H519">
        <v>28</v>
      </c>
      <c r="K519">
        <v>37</v>
      </c>
      <c r="L519">
        <v>38</v>
      </c>
      <c r="M519">
        <v>7506306.3063063044</v>
      </c>
      <c r="N519">
        <v>5139639.6396396393</v>
      </c>
      <c r="O519">
        <v>12576800</v>
      </c>
      <c r="P519">
        <v>14430765.765765766</v>
      </c>
      <c r="Q519">
        <v>10511711.711711712</v>
      </c>
      <c r="R519">
        <v>9475405.405405404</v>
      </c>
      <c r="S519">
        <v>6947</v>
      </c>
      <c r="T519">
        <v>6774</v>
      </c>
    </row>
    <row r="520" spans="1:20" x14ac:dyDescent="0.35">
      <c r="A520" s="7" t="s">
        <v>613</v>
      </c>
      <c r="B520" s="12" t="s">
        <v>189</v>
      </c>
      <c r="C520">
        <v>141065993.21123889</v>
      </c>
      <c r="D520">
        <v>130394965.89427814</v>
      </c>
      <c r="E520">
        <v>61261.261261262</v>
      </c>
      <c r="F520">
        <v>869144.14414414705</v>
      </c>
      <c r="G520">
        <v>31</v>
      </c>
      <c r="H520">
        <v>35</v>
      </c>
      <c r="K520">
        <v>42</v>
      </c>
      <c r="L520">
        <v>47</v>
      </c>
      <c r="M520">
        <v>4300900.9009009013</v>
      </c>
      <c r="N520">
        <v>7842342.3423423432</v>
      </c>
      <c r="O520">
        <v>11734482.882882884</v>
      </c>
      <c r="P520">
        <v>12469754.954954954</v>
      </c>
      <c r="Q520">
        <v>3367834.2342342329</v>
      </c>
      <c r="R520">
        <v>7884457.6576576577</v>
      </c>
      <c r="S520">
        <v>7629</v>
      </c>
      <c r="T520">
        <v>7413</v>
      </c>
    </row>
    <row r="521" spans="1:20" x14ac:dyDescent="0.35">
      <c r="A521" s="7" t="s">
        <v>614</v>
      </c>
      <c r="B521" s="12" t="s">
        <v>54</v>
      </c>
      <c r="C521">
        <v>95446414.05646506</v>
      </c>
      <c r="D521">
        <v>90066292.399043769</v>
      </c>
      <c r="E521">
        <v>1174324.3243243259</v>
      </c>
      <c r="F521">
        <v>1609009.0090090099</v>
      </c>
      <c r="G521">
        <v>20</v>
      </c>
      <c r="H521">
        <v>22</v>
      </c>
      <c r="K521">
        <v>28</v>
      </c>
      <c r="L521">
        <v>27</v>
      </c>
      <c r="M521">
        <v>9381531.5315315314</v>
      </c>
      <c r="N521">
        <v>17275675.675675675</v>
      </c>
      <c r="O521">
        <v>27984684.684684683</v>
      </c>
      <c r="P521">
        <v>28524117.117117122</v>
      </c>
      <c r="Q521">
        <v>14286846.846846847</v>
      </c>
      <c r="R521">
        <v>15461621.62162162</v>
      </c>
      <c r="S521">
        <v>6767</v>
      </c>
      <c r="T521">
        <v>6357</v>
      </c>
    </row>
    <row r="522" spans="1:20" x14ac:dyDescent="0.35">
      <c r="A522" s="7" t="s">
        <v>615</v>
      </c>
      <c r="B522" s="12" t="s">
        <v>54</v>
      </c>
      <c r="C522">
        <v>49429143.307352588</v>
      </c>
      <c r="D522">
        <v>48727806.738652632</v>
      </c>
      <c r="E522">
        <v>9009.0090090100002</v>
      </c>
      <c r="F522">
        <v>27027.027027027001</v>
      </c>
      <c r="G522">
        <v>9</v>
      </c>
      <c r="H522">
        <v>4</v>
      </c>
      <c r="K522">
        <v>10</v>
      </c>
      <c r="L522">
        <v>5</v>
      </c>
      <c r="M522">
        <v>1990990.990990991</v>
      </c>
      <c r="N522">
        <v>2009009.0090090081</v>
      </c>
      <c r="O522">
        <v>8124360.3603603598</v>
      </c>
      <c r="P522">
        <v>7945792.7927927943</v>
      </c>
      <c r="Q522">
        <v>2308918.918918917</v>
      </c>
      <c r="R522">
        <v>1226036.0360360369</v>
      </c>
      <c r="S522">
        <v>3246</v>
      </c>
      <c r="T522">
        <v>3427</v>
      </c>
    </row>
    <row r="523" spans="1:20" x14ac:dyDescent="0.35">
      <c r="A523" s="7" t="s">
        <v>616</v>
      </c>
      <c r="B523" s="12" t="s">
        <v>60</v>
      </c>
      <c r="C523">
        <v>75438321.670101196</v>
      </c>
      <c r="D523">
        <v>73811494.585449874</v>
      </c>
      <c r="E523">
        <v>76576.576576577994</v>
      </c>
      <c r="F523">
        <v>1958558.558558563</v>
      </c>
      <c r="G523">
        <v>10</v>
      </c>
      <c r="H523">
        <v>27</v>
      </c>
      <c r="K523">
        <v>13</v>
      </c>
      <c r="L523">
        <v>101</v>
      </c>
      <c r="M523">
        <v>9240540.5405405406</v>
      </c>
      <c r="N523">
        <v>13961081.081081079</v>
      </c>
      <c r="O523">
        <v>22088378.37837838</v>
      </c>
      <c r="P523">
        <v>23337648.648648649</v>
      </c>
      <c r="Q523">
        <v>8791711.7117117122</v>
      </c>
      <c r="R523">
        <v>11091891.891891891</v>
      </c>
      <c r="S523">
        <v>4322</v>
      </c>
      <c r="T523">
        <v>4069</v>
      </c>
    </row>
    <row r="524" spans="1:20" x14ac:dyDescent="0.35">
      <c r="A524" s="7" t="s">
        <v>617</v>
      </c>
      <c r="B524" s="12" t="s">
        <v>60</v>
      </c>
      <c r="C524">
        <v>83594462.673092797</v>
      </c>
      <c r="D524">
        <v>81301088.57501027</v>
      </c>
      <c r="E524">
        <v>291891.89189189399</v>
      </c>
      <c r="F524">
        <v>378378.37837838102</v>
      </c>
      <c r="G524">
        <v>18</v>
      </c>
      <c r="H524">
        <v>22</v>
      </c>
      <c r="K524">
        <v>18</v>
      </c>
      <c r="L524">
        <v>28</v>
      </c>
      <c r="M524">
        <v>5012612.6126126116</v>
      </c>
      <c r="N524">
        <v>9661261.2612612601</v>
      </c>
      <c r="O524">
        <v>41237207.20720721</v>
      </c>
      <c r="P524">
        <v>40618945.945945941</v>
      </c>
      <c r="Q524">
        <v>7801891.891891893</v>
      </c>
      <c r="R524">
        <v>11124684.684684686</v>
      </c>
      <c r="S524">
        <v>5362</v>
      </c>
      <c r="T524">
        <v>5408</v>
      </c>
    </row>
    <row r="525" spans="1:20" x14ac:dyDescent="0.35">
      <c r="A525" s="7" t="s">
        <v>618</v>
      </c>
      <c r="B525" s="12" t="s">
        <v>60</v>
      </c>
      <c r="C525">
        <v>107872304.88197488</v>
      </c>
      <c r="D525">
        <v>102449183.79475076</v>
      </c>
      <c r="E525">
        <v>334234.23423423502</v>
      </c>
      <c r="F525">
        <v>1310810.810810813</v>
      </c>
      <c r="G525">
        <v>16</v>
      </c>
      <c r="H525">
        <v>18</v>
      </c>
      <c r="K525">
        <v>18</v>
      </c>
      <c r="L525">
        <v>20</v>
      </c>
      <c r="M525">
        <v>3433333.3333333321</v>
      </c>
      <c r="N525">
        <v>18224324.324324328</v>
      </c>
      <c r="O525">
        <v>32762873.873873871</v>
      </c>
      <c r="P525">
        <v>33571972.972972974</v>
      </c>
      <c r="Q525">
        <v>3716846.846846845</v>
      </c>
      <c r="R525">
        <v>16773693.693693696</v>
      </c>
      <c r="S525">
        <v>5774</v>
      </c>
      <c r="T525">
        <v>5416</v>
      </c>
    </row>
    <row r="526" spans="1:20" x14ac:dyDescent="0.35">
      <c r="A526" s="7" t="s">
        <v>619</v>
      </c>
      <c r="B526" s="12" t="s">
        <v>620</v>
      </c>
      <c r="C526">
        <v>122324257.48975231</v>
      </c>
      <c r="D526">
        <v>124611857.47991021</v>
      </c>
      <c r="E526">
        <v>830360.36036036001</v>
      </c>
      <c r="F526">
        <v>1858333.333333336</v>
      </c>
      <c r="G526">
        <v>39</v>
      </c>
      <c r="H526">
        <v>39</v>
      </c>
      <c r="I526">
        <v>2</v>
      </c>
      <c r="K526">
        <v>54</v>
      </c>
      <c r="L526">
        <v>89</v>
      </c>
      <c r="M526">
        <v>11415945.945945945</v>
      </c>
      <c r="N526">
        <v>7136936.9369369373</v>
      </c>
      <c r="O526">
        <v>15134477.477477476</v>
      </c>
      <c r="P526">
        <v>14297396.396396397</v>
      </c>
      <c r="Q526">
        <v>7650630.6306306301</v>
      </c>
      <c r="R526">
        <v>9749099.0990990996</v>
      </c>
      <c r="S526">
        <v>7430</v>
      </c>
      <c r="T526">
        <v>7669</v>
      </c>
    </row>
    <row r="527" spans="1:20" x14ac:dyDescent="0.35">
      <c r="A527" s="7" t="s">
        <v>621</v>
      </c>
      <c r="B527" s="12" t="s">
        <v>620</v>
      </c>
      <c r="C527">
        <v>95261237.452256247</v>
      </c>
      <c r="D527">
        <v>90921912.229183555</v>
      </c>
      <c r="E527">
        <v>459689.189189189</v>
      </c>
      <c r="F527">
        <v>38896177.477477483</v>
      </c>
      <c r="G527">
        <v>26</v>
      </c>
      <c r="H527">
        <v>26</v>
      </c>
      <c r="I527">
        <v>2</v>
      </c>
      <c r="K527">
        <v>42</v>
      </c>
      <c r="L527">
        <v>39</v>
      </c>
      <c r="M527">
        <v>8039049.549549547</v>
      </c>
      <c r="N527">
        <v>11139566.666666666</v>
      </c>
      <c r="O527">
        <v>12989031.531531531</v>
      </c>
      <c r="P527">
        <v>15167786.486486485</v>
      </c>
      <c r="Q527">
        <v>6428468.4684684686</v>
      </c>
      <c r="R527">
        <v>6999909.9099099096</v>
      </c>
      <c r="S527">
        <v>6165</v>
      </c>
      <c r="T527">
        <v>5906</v>
      </c>
    </row>
    <row r="528" spans="1:20" x14ac:dyDescent="0.35">
      <c r="A528" s="7" t="s">
        <v>622</v>
      </c>
      <c r="B528" s="12" t="s">
        <v>620</v>
      </c>
      <c r="C528">
        <v>101630939.66616417</v>
      </c>
      <c r="D528">
        <v>96151968.959757417</v>
      </c>
      <c r="E528">
        <v>313513.51351351402</v>
      </c>
      <c r="F528">
        <v>831531.53153153497</v>
      </c>
      <c r="G528">
        <v>32</v>
      </c>
      <c r="H528">
        <v>31</v>
      </c>
      <c r="I528">
        <v>1</v>
      </c>
      <c r="K528">
        <v>51</v>
      </c>
      <c r="L528">
        <v>38</v>
      </c>
      <c r="M528">
        <v>9392792.7927927915</v>
      </c>
      <c r="N528">
        <v>6656756.7567567574</v>
      </c>
      <c r="O528">
        <v>14881396.396396397</v>
      </c>
      <c r="P528">
        <v>14785301.801801803</v>
      </c>
      <c r="Q528">
        <v>8468918.9189189207</v>
      </c>
      <c r="R528">
        <v>4573963.9639639631</v>
      </c>
      <c r="S528">
        <v>5886</v>
      </c>
      <c r="T528">
        <v>6617</v>
      </c>
    </row>
    <row r="529" spans="1:20" x14ac:dyDescent="0.35">
      <c r="A529" s="7" t="s">
        <v>623</v>
      </c>
      <c r="B529" s="12" t="s">
        <v>620</v>
      </c>
      <c r="C529">
        <v>70261332.374426216</v>
      </c>
      <c r="D529">
        <v>67777479.236748323</v>
      </c>
      <c r="E529">
        <v>146846.84684684701</v>
      </c>
      <c r="F529">
        <v>205405.40540540699</v>
      </c>
      <c r="G529">
        <v>34</v>
      </c>
      <c r="H529">
        <v>14</v>
      </c>
      <c r="K529">
        <v>41</v>
      </c>
      <c r="L529">
        <v>22</v>
      </c>
      <c r="M529">
        <v>5985135.1351351356</v>
      </c>
      <c r="N529">
        <v>5595495.4954954954</v>
      </c>
      <c r="O529">
        <v>8877927.9279279299</v>
      </c>
      <c r="P529">
        <v>9005581.0810810812</v>
      </c>
      <c r="Q529">
        <v>5418558.5585585581</v>
      </c>
      <c r="R529">
        <v>5632162.1621621642</v>
      </c>
      <c r="S529">
        <v>3590</v>
      </c>
      <c r="T529">
        <v>3500</v>
      </c>
    </row>
    <row r="530" spans="1:20" x14ac:dyDescent="0.35">
      <c r="A530" s="7" t="s">
        <v>624</v>
      </c>
      <c r="B530" s="12" t="s">
        <v>260</v>
      </c>
      <c r="C530">
        <v>40227050.979289427</v>
      </c>
      <c r="D530">
        <v>35390669.918120831</v>
      </c>
      <c r="E530">
        <v>18018.018018018</v>
      </c>
      <c r="F530">
        <v>74774.774774774996</v>
      </c>
      <c r="G530">
        <v>2</v>
      </c>
      <c r="H530">
        <v>2</v>
      </c>
      <c r="K530">
        <v>2</v>
      </c>
      <c r="L530">
        <v>2</v>
      </c>
      <c r="M530">
        <v>5513513.5135135138</v>
      </c>
      <c r="N530">
        <v>716216.21621621598</v>
      </c>
      <c r="O530">
        <v>12717288.288288288</v>
      </c>
      <c r="P530">
        <v>11687441.441441439</v>
      </c>
      <c r="Q530">
        <v>5095315.3153153146</v>
      </c>
      <c r="R530">
        <v>3861801.8018018012</v>
      </c>
      <c r="S530">
        <v>2085</v>
      </c>
      <c r="T530">
        <v>2068</v>
      </c>
    </row>
    <row r="531" spans="1:20" x14ac:dyDescent="0.35">
      <c r="A531" s="7" t="s">
        <v>625</v>
      </c>
      <c r="B531" s="12" t="s">
        <v>52</v>
      </c>
      <c r="C531">
        <v>57360035.553622469</v>
      </c>
      <c r="D531">
        <v>57115771.405115224</v>
      </c>
      <c r="E531">
        <v>9189.1891891890009</v>
      </c>
      <c r="F531">
        <v>62162.162162162997</v>
      </c>
      <c r="G531">
        <v>8</v>
      </c>
      <c r="H531">
        <v>18</v>
      </c>
      <c r="K531">
        <v>10</v>
      </c>
      <c r="L531">
        <v>47</v>
      </c>
      <c r="M531">
        <v>130360.36036036001</v>
      </c>
      <c r="N531">
        <v>1863963.963963964</v>
      </c>
      <c r="O531">
        <v>19170801.801801801</v>
      </c>
      <c r="P531">
        <v>20943720.72072072</v>
      </c>
      <c r="Q531">
        <v>1425675.675675676</v>
      </c>
      <c r="R531">
        <v>1638468.4684684679</v>
      </c>
      <c r="S531">
        <v>4415</v>
      </c>
      <c r="T531">
        <v>4208</v>
      </c>
    </row>
    <row r="532" spans="1:20" x14ac:dyDescent="0.35">
      <c r="A532" s="7" t="s">
        <v>626</v>
      </c>
      <c r="B532" s="12" t="s">
        <v>96</v>
      </c>
      <c r="C532">
        <v>140469102.57488161</v>
      </c>
      <c r="D532">
        <v>136276315.18265674</v>
      </c>
      <c r="E532">
        <v>1240000.000000004</v>
      </c>
      <c r="F532">
        <v>1814414.4144144149</v>
      </c>
      <c r="G532">
        <v>68</v>
      </c>
      <c r="H532">
        <v>64</v>
      </c>
      <c r="I532">
        <v>1</v>
      </c>
      <c r="K532">
        <v>89</v>
      </c>
      <c r="L532">
        <v>81</v>
      </c>
      <c r="M532">
        <v>22395855.855855856</v>
      </c>
      <c r="N532">
        <v>25994594.594594598</v>
      </c>
      <c r="O532">
        <v>44590810.810810804</v>
      </c>
      <c r="P532">
        <v>45247626.126126125</v>
      </c>
      <c r="Q532">
        <v>24027027.027027026</v>
      </c>
      <c r="R532">
        <v>25115585.585585587</v>
      </c>
      <c r="S532">
        <v>11041</v>
      </c>
      <c r="T532">
        <v>10332</v>
      </c>
    </row>
    <row r="533" spans="1:20" x14ac:dyDescent="0.35">
      <c r="A533" s="7" t="s">
        <v>627</v>
      </c>
      <c r="B533" s="12" t="s">
        <v>96</v>
      </c>
      <c r="C533">
        <v>246178429.92018244</v>
      </c>
      <c r="D533">
        <v>227046760.22438496</v>
      </c>
      <c r="E533">
        <v>16074414.414414415</v>
      </c>
      <c r="F533">
        <v>63487387.387387395</v>
      </c>
      <c r="G533">
        <v>57</v>
      </c>
      <c r="H533">
        <v>32</v>
      </c>
      <c r="I533">
        <v>1</v>
      </c>
      <c r="K533">
        <v>78</v>
      </c>
      <c r="L533">
        <v>48</v>
      </c>
      <c r="M533">
        <v>26207792.792792797</v>
      </c>
      <c r="N533">
        <v>60025135.135135137</v>
      </c>
      <c r="O533">
        <v>95441225.22522521</v>
      </c>
      <c r="P533">
        <v>90355128.378378391</v>
      </c>
      <c r="Q533">
        <v>36041711.711711712</v>
      </c>
      <c r="R533">
        <v>66843783.783783779</v>
      </c>
      <c r="S533">
        <v>13880</v>
      </c>
      <c r="T533">
        <v>13349</v>
      </c>
    </row>
    <row r="534" spans="1:20" x14ac:dyDescent="0.35">
      <c r="A534" s="7" t="s">
        <v>628</v>
      </c>
      <c r="B534" s="12" t="s">
        <v>448</v>
      </c>
      <c r="C534">
        <v>177880715.48698446</v>
      </c>
      <c r="D534">
        <v>165083966.27688843</v>
      </c>
      <c r="E534">
        <v>133908161.26126127</v>
      </c>
      <c r="F534">
        <v>124043655.85585585</v>
      </c>
      <c r="G534">
        <v>84</v>
      </c>
      <c r="H534">
        <v>40</v>
      </c>
      <c r="K534">
        <v>101</v>
      </c>
      <c r="L534">
        <v>50</v>
      </c>
      <c r="M534">
        <v>55311711.711711712</v>
      </c>
      <c r="N534">
        <v>33304504.504504506</v>
      </c>
      <c r="O534">
        <v>49203855.855855852</v>
      </c>
      <c r="P534">
        <v>49547007.20720721</v>
      </c>
      <c r="Q534">
        <v>39040000</v>
      </c>
      <c r="R534">
        <v>38803693.693693697</v>
      </c>
      <c r="S534">
        <v>11549</v>
      </c>
      <c r="T534">
        <v>11348</v>
      </c>
    </row>
    <row r="535" spans="1:20" x14ac:dyDescent="0.35">
      <c r="A535" s="7" t="s">
        <v>629</v>
      </c>
      <c r="B535" s="12" t="s">
        <v>78</v>
      </c>
      <c r="C535">
        <v>8109120.542885636</v>
      </c>
      <c r="D535">
        <v>7745073.5227521518</v>
      </c>
      <c r="E535">
        <v>180180.18018018</v>
      </c>
      <c r="F535">
        <v>278378.37837837799</v>
      </c>
      <c r="G535">
        <v>2</v>
      </c>
      <c r="H535">
        <v>1</v>
      </c>
      <c r="K535">
        <v>2</v>
      </c>
      <c r="L535">
        <v>1</v>
      </c>
      <c r="M535">
        <v>180180.18018018</v>
      </c>
      <c r="N535">
        <v>638738.738738738</v>
      </c>
      <c r="O535">
        <v>2175135.1351351351</v>
      </c>
      <c r="P535">
        <v>2362234.2342342339</v>
      </c>
      <c r="Q535">
        <v>267567.56756756798</v>
      </c>
      <c r="R535">
        <v>542792.79279279301</v>
      </c>
      <c r="S535">
        <v>396</v>
      </c>
      <c r="T535">
        <v>374</v>
      </c>
    </row>
    <row r="536" spans="1:20" x14ac:dyDescent="0.35">
      <c r="A536" s="7" t="s">
        <v>630</v>
      </c>
      <c r="B536" s="12" t="s">
        <v>241</v>
      </c>
      <c r="C536">
        <v>46757915.924650371</v>
      </c>
      <c r="D536">
        <v>42697008.79691875</v>
      </c>
      <c r="E536">
        <v>17297.297297297999</v>
      </c>
      <c r="F536">
        <v>119594.594594596</v>
      </c>
      <c r="G536">
        <v>17</v>
      </c>
      <c r="H536">
        <v>15</v>
      </c>
      <c r="K536">
        <v>20</v>
      </c>
      <c r="L536">
        <v>20</v>
      </c>
      <c r="M536">
        <v>6664234.2342342343</v>
      </c>
      <c r="N536">
        <v>3748468.468468464</v>
      </c>
      <c r="O536">
        <v>10990720.72072072</v>
      </c>
      <c r="P536">
        <v>9530540.5405405406</v>
      </c>
      <c r="Q536">
        <v>7583693.6936936928</v>
      </c>
      <c r="R536">
        <v>3743063.0630630571</v>
      </c>
      <c r="S536">
        <v>2588</v>
      </c>
      <c r="T536">
        <v>2780</v>
      </c>
    </row>
    <row r="537" spans="1:20" x14ac:dyDescent="0.35">
      <c r="A537" s="7" t="s">
        <v>631</v>
      </c>
      <c r="B537" s="12" t="s">
        <v>68</v>
      </c>
      <c r="C537">
        <v>202393527.38168958</v>
      </c>
      <c r="D537">
        <v>193124176.69779071</v>
      </c>
      <c r="E537">
        <v>1009909.909909912</v>
      </c>
      <c r="F537">
        <v>1920945.9459459491</v>
      </c>
      <c r="G537">
        <v>52</v>
      </c>
      <c r="H537">
        <v>37</v>
      </c>
      <c r="K537">
        <v>61</v>
      </c>
      <c r="L537">
        <v>45</v>
      </c>
      <c r="M537">
        <v>17570630.630630627</v>
      </c>
      <c r="N537">
        <v>22256306.306306306</v>
      </c>
      <c r="O537">
        <v>34362747.747747742</v>
      </c>
      <c r="P537">
        <v>32942085.585585583</v>
      </c>
      <c r="Q537">
        <v>14720720.72072072</v>
      </c>
      <c r="R537">
        <v>15604594.594594592</v>
      </c>
      <c r="S537">
        <v>9086</v>
      </c>
      <c r="T537">
        <v>9072</v>
      </c>
    </row>
    <row r="538" spans="1:20" x14ac:dyDescent="0.35">
      <c r="A538" s="7" t="s">
        <v>632</v>
      </c>
      <c r="B538" s="12" t="s">
        <v>70</v>
      </c>
      <c r="C538">
        <v>1604559.946387335</v>
      </c>
      <c r="D538">
        <v>1480755.663900739</v>
      </c>
      <c r="F538">
        <v>40540.540540540998</v>
      </c>
      <c r="G538">
        <v>1</v>
      </c>
      <c r="K538">
        <v>1</v>
      </c>
      <c r="L538">
        <v>1</v>
      </c>
      <c r="N538">
        <v>40540.540540540998</v>
      </c>
      <c r="O538">
        <v>869639.63963963999</v>
      </c>
      <c r="P538">
        <v>821531.53153153195</v>
      </c>
      <c r="Q538">
        <v>27297.297297296998</v>
      </c>
      <c r="R538">
        <v>164864.864864865</v>
      </c>
      <c r="S538">
        <v>205</v>
      </c>
      <c r="T538">
        <v>185</v>
      </c>
    </row>
    <row r="539" spans="1:20" x14ac:dyDescent="0.35">
      <c r="A539" s="7" t="s">
        <v>633</v>
      </c>
      <c r="B539" s="12" t="s">
        <v>60</v>
      </c>
      <c r="C539">
        <v>15404370.953533787</v>
      </c>
      <c r="D539">
        <v>15527163.119243188</v>
      </c>
      <c r="E539">
        <v>900.900900901</v>
      </c>
      <c r="F539">
        <v>2702.7027027029999</v>
      </c>
      <c r="G539">
        <v>2</v>
      </c>
      <c r="H539">
        <v>5</v>
      </c>
      <c r="K539">
        <v>2</v>
      </c>
      <c r="L539">
        <v>6</v>
      </c>
      <c r="M539">
        <v>271171.17117117101</v>
      </c>
      <c r="N539">
        <v>912612.61261261196</v>
      </c>
      <c r="O539">
        <v>5399054.0540540544</v>
      </c>
      <c r="P539">
        <v>6719225.2252252251</v>
      </c>
      <c r="Q539">
        <v>76126.126126125993</v>
      </c>
      <c r="R539">
        <v>140990.99099099101</v>
      </c>
      <c r="S539">
        <v>1072</v>
      </c>
      <c r="T539">
        <v>1028</v>
      </c>
    </row>
    <row r="540" spans="1:20" x14ac:dyDescent="0.35">
      <c r="A540" s="7" t="s">
        <v>634</v>
      </c>
      <c r="B540" s="12" t="s">
        <v>80</v>
      </c>
      <c r="C540">
        <v>162032187.36680859</v>
      </c>
      <c r="D540">
        <v>153304494.09899804</v>
      </c>
      <c r="E540">
        <v>1938738.738738741</v>
      </c>
      <c r="F540">
        <v>1683783.7837837851</v>
      </c>
      <c r="G540">
        <v>37</v>
      </c>
      <c r="H540">
        <v>18</v>
      </c>
      <c r="K540">
        <v>47</v>
      </c>
      <c r="L540">
        <v>20</v>
      </c>
      <c r="M540">
        <v>20041801.801801801</v>
      </c>
      <c r="N540">
        <v>17687387.387387387</v>
      </c>
      <c r="O540">
        <v>29172873.873873871</v>
      </c>
      <c r="P540">
        <v>31564274.774774775</v>
      </c>
      <c r="Q540">
        <v>20426576.576576576</v>
      </c>
      <c r="R540">
        <v>15200180.180180185</v>
      </c>
      <c r="S540">
        <v>6568</v>
      </c>
      <c r="T540">
        <v>6425</v>
      </c>
    </row>
    <row r="541" spans="1:20" x14ac:dyDescent="0.35">
      <c r="A541" s="7" t="s">
        <v>635</v>
      </c>
      <c r="B541" s="12" t="s">
        <v>134</v>
      </c>
      <c r="C541">
        <v>25525352.655990977</v>
      </c>
      <c r="D541">
        <v>26926529.548722111</v>
      </c>
      <c r="G541">
        <v>1</v>
      </c>
      <c r="H541">
        <v>2</v>
      </c>
      <c r="K541">
        <v>3</v>
      </c>
      <c r="L541">
        <v>4</v>
      </c>
      <c r="N541">
        <v>630630.630630631</v>
      </c>
      <c r="O541">
        <v>1707882.8828828831</v>
      </c>
      <c r="P541">
        <v>1924459.4594594601</v>
      </c>
      <c r="Q541">
        <v>386036.03603603598</v>
      </c>
      <c r="R541">
        <v>266666.66666666698</v>
      </c>
      <c r="S541">
        <v>1436</v>
      </c>
      <c r="T541">
        <v>1453</v>
      </c>
    </row>
    <row r="542" spans="1:20" x14ac:dyDescent="0.35">
      <c r="A542" s="7" t="s">
        <v>636</v>
      </c>
      <c r="B542" s="12" t="s">
        <v>479</v>
      </c>
      <c r="C542">
        <v>91153276.480471045</v>
      </c>
      <c r="D542">
        <v>81367275.059102461</v>
      </c>
      <c r="E542">
        <v>204054.05405405501</v>
      </c>
      <c r="F542">
        <v>570270.27027027204</v>
      </c>
      <c r="G542">
        <v>5</v>
      </c>
      <c r="H542">
        <v>6</v>
      </c>
      <c r="K542">
        <v>6</v>
      </c>
      <c r="L542">
        <v>8</v>
      </c>
      <c r="M542">
        <v>9955405.405405404</v>
      </c>
      <c r="N542">
        <v>18511711.711711712</v>
      </c>
      <c r="O542">
        <v>29189013.513513513</v>
      </c>
      <c r="P542">
        <v>27019405.405405402</v>
      </c>
      <c r="Q542">
        <v>11863963.963963961</v>
      </c>
      <c r="R542">
        <v>19013063.063063059</v>
      </c>
      <c r="S542">
        <v>5824</v>
      </c>
      <c r="T542">
        <v>5354</v>
      </c>
    </row>
    <row r="543" spans="1:20" x14ac:dyDescent="0.35">
      <c r="A543" s="7" t="s">
        <v>637</v>
      </c>
      <c r="B543" s="12" t="s">
        <v>143</v>
      </c>
      <c r="C543">
        <v>151717061.54303321</v>
      </c>
      <c r="D543">
        <v>144480051.74082667</v>
      </c>
      <c r="E543">
        <v>722522.52252252202</v>
      </c>
      <c r="F543">
        <v>2387837.8378378409</v>
      </c>
      <c r="G543">
        <v>21</v>
      </c>
      <c r="H543">
        <v>23</v>
      </c>
      <c r="K543">
        <v>29</v>
      </c>
      <c r="L543">
        <v>41</v>
      </c>
      <c r="M543">
        <v>12222342.342342341</v>
      </c>
      <c r="N543">
        <v>8040540.5405405443</v>
      </c>
      <c r="O543">
        <v>14719081.081081079</v>
      </c>
      <c r="P543">
        <v>18136990.990990993</v>
      </c>
      <c r="Q543">
        <v>8891171.1711711716</v>
      </c>
      <c r="R543">
        <v>6195135.1351351328</v>
      </c>
      <c r="S543">
        <v>9372</v>
      </c>
      <c r="T543">
        <v>9260</v>
      </c>
    </row>
    <row r="544" spans="1:20" x14ac:dyDescent="0.35">
      <c r="A544" s="7" t="s">
        <v>638</v>
      </c>
      <c r="B544" s="12" t="s">
        <v>241</v>
      </c>
      <c r="C544">
        <v>163389486.65736276</v>
      </c>
      <c r="D544">
        <v>149649303.10655484</v>
      </c>
      <c r="E544">
        <v>69816942.342342347</v>
      </c>
      <c r="F544">
        <v>22715776.576576579</v>
      </c>
      <c r="G544">
        <v>70</v>
      </c>
      <c r="H544">
        <v>73</v>
      </c>
      <c r="K544">
        <v>82</v>
      </c>
      <c r="L544">
        <v>92</v>
      </c>
      <c r="M544">
        <v>12311441.441441445</v>
      </c>
      <c r="N544">
        <v>10147747.747747744</v>
      </c>
      <c r="O544">
        <v>52734108.108108103</v>
      </c>
      <c r="P544">
        <v>47904684.684684679</v>
      </c>
      <c r="Q544">
        <v>7740270.2702702703</v>
      </c>
      <c r="R544">
        <v>6662522.5225225212</v>
      </c>
      <c r="S544">
        <v>12609</v>
      </c>
      <c r="T544">
        <v>12316</v>
      </c>
    </row>
    <row r="545" spans="1:20" x14ac:dyDescent="0.35">
      <c r="A545" s="7" t="s">
        <v>639</v>
      </c>
      <c r="B545" s="12" t="s">
        <v>132</v>
      </c>
      <c r="C545">
        <v>67299393.150166869</v>
      </c>
      <c r="D545">
        <v>58189410.989649013</v>
      </c>
      <c r="E545">
        <v>21578299.0990991</v>
      </c>
      <c r="F545">
        <v>29825119.819819819</v>
      </c>
      <c r="G545">
        <v>21</v>
      </c>
      <c r="H545">
        <v>16</v>
      </c>
      <c r="K545">
        <v>28</v>
      </c>
      <c r="L545">
        <v>29</v>
      </c>
      <c r="M545">
        <v>7007207.2072072057</v>
      </c>
      <c r="N545">
        <v>2254054.054054053</v>
      </c>
      <c r="O545">
        <v>23784567.567567568</v>
      </c>
      <c r="P545">
        <v>20169027.02702703</v>
      </c>
      <c r="Q545">
        <v>4176126.1261261259</v>
      </c>
      <c r="R545">
        <v>409099.099099099</v>
      </c>
      <c r="S545">
        <v>5693</v>
      </c>
      <c r="T545">
        <v>4917</v>
      </c>
    </row>
    <row r="546" spans="1:20" x14ac:dyDescent="0.35">
      <c r="A546" s="7" t="s">
        <v>640</v>
      </c>
      <c r="B546" s="12" t="s">
        <v>134</v>
      </c>
      <c r="C546">
        <v>188005780.0023362</v>
      </c>
      <c r="D546">
        <v>182312867.82450184</v>
      </c>
      <c r="E546">
        <v>58558.558558561002</v>
      </c>
      <c r="F546">
        <v>365765.76576576801</v>
      </c>
      <c r="G546">
        <v>27</v>
      </c>
      <c r="H546">
        <v>15</v>
      </c>
      <c r="K546">
        <v>30</v>
      </c>
      <c r="L546">
        <v>21</v>
      </c>
      <c r="M546">
        <v>11270270.270270271</v>
      </c>
      <c r="N546">
        <v>15058738.738738736</v>
      </c>
      <c r="O546">
        <v>20843265.765765768</v>
      </c>
      <c r="P546">
        <v>23398227.927927926</v>
      </c>
      <c r="Q546">
        <v>10549819.819819823</v>
      </c>
      <c r="R546">
        <v>10412295.495495494</v>
      </c>
      <c r="S546">
        <v>7670</v>
      </c>
      <c r="T546">
        <v>8153</v>
      </c>
    </row>
    <row r="547" spans="1:20" x14ac:dyDescent="0.35">
      <c r="A547" s="7" t="s">
        <v>641</v>
      </c>
      <c r="B547" s="12" t="s">
        <v>80</v>
      </c>
      <c r="C547">
        <v>97503587.655571088</v>
      </c>
      <c r="D547">
        <v>95561154.521211162</v>
      </c>
      <c r="E547">
        <v>1801.801801802</v>
      </c>
      <c r="F547">
        <v>93693.693693694993</v>
      </c>
      <c r="G547">
        <v>11</v>
      </c>
      <c r="H547">
        <v>15</v>
      </c>
      <c r="I547">
        <v>1</v>
      </c>
      <c r="K547">
        <v>12</v>
      </c>
      <c r="L547">
        <v>18</v>
      </c>
      <c r="M547">
        <v>9587387.3873873875</v>
      </c>
      <c r="N547">
        <v>7229729.7297297297</v>
      </c>
      <c r="O547">
        <v>32426637.837837841</v>
      </c>
      <c r="P547">
        <v>33588878.378378376</v>
      </c>
      <c r="Q547">
        <v>8501891.8918918911</v>
      </c>
      <c r="R547">
        <v>7586396.3963963967</v>
      </c>
      <c r="S547">
        <v>4928</v>
      </c>
      <c r="T547">
        <v>5222</v>
      </c>
    </row>
    <row r="548" spans="1:20" x14ac:dyDescent="0.35">
      <c r="A548" s="7" t="s">
        <v>642</v>
      </c>
      <c r="B548" s="12" t="s">
        <v>169</v>
      </c>
      <c r="C548">
        <v>172781102.94426107</v>
      </c>
      <c r="D548">
        <v>152321527.60470656</v>
      </c>
      <c r="E548">
        <v>301351.35135135101</v>
      </c>
      <c r="F548">
        <v>721621.62162162201</v>
      </c>
      <c r="G548">
        <v>18</v>
      </c>
      <c r="H548">
        <v>16</v>
      </c>
      <c r="I548">
        <v>1</v>
      </c>
      <c r="K548">
        <v>20</v>
      </c>
      <c r="L548">
        <v>21</v>
      </c>
      <c r="M548">
        <v>9220270.2702702712</v>
      </c>
      <c r="N548">
        <v>9325225.2252252232</v>
      </c>
      <c r="O548">
        <v>55575513.513513513</v>
      </c>
      <c r="P548">
        <v>54893693.693693697</v>
      </c>
      <c r="Q548">
        <v>11861081.081081081</v>
      </c>
      <c r="R548">
        <v>11341261.26126126</v>
      </c>
      <c r="S548">
        <v>8975</v>
      </c>
      <c r="T548">
        <v>8816</v>
      </c>
    </row>
    <row r="549" spans="1:20" x14ac:dyDescent="0.35">
      <c r="A549" s="7" t="s">
        <v>643</v>
      </c>
      <c r="B549" s="12" t="s">
        <v>58</v>
      </c>
      <c r="C549">
        <v>281602493.08250415</v>
      </c>
      <c r="D549">
        <v>268202098.88473958</v>
      </c>
      <c r="E549">
        <v>790540.54054054199</v>
      </c>
      <c r="F549">
        <v>1868468.4684684691</v>
      </c>
      <c r="G549">
        <v>65</v>
      </c>
      <c r="H549">
        <v>56</v>
      </c>
      <c r="K549">
        <v>73</v>
      </c>
      <c r="L549">
        <v>67</v>
      </c>
      <c r="M549">
        <v>21250000</v>
      </c>
      <c r="N549">
        <v>18195945.945945945</v>
      </c>
      <c r="O549">
        <v>55447198.198198199</v>
      </c>
      <c r="P549">
        <v>56446887.387387387</v>
      </c>
      <c r="Q549">
        <v>16010810.810810812</v>
      </c>
      <c r="R549">
        <v>17960360.360360362</v>
      </c>
      <c r="S549">
        <v>17480</v>
      </c>
      <c r="T549">
        <v>17773</v>
      </c>
    </row>
    <row r="550" spans="1:20" x14ac:dyDescent="0.35">
      <c r="A550" s="7" t="s">
        <v>644</v>
      </c>
      <c r="B550" s="12" t="s">
        <v>58</v>
      </c>
      <c r="C550">
        <v>352167166.01169938</v>
      </c>
      <c r="D550">
        <v>345337489.78468919</v>
      </c>
      <c r="E550">
        <v>125436539.63963965</v>
      </c>
      <c r="F550">
        <v>5486036.0360360397</v>
      </c>
      <c r="G550">
        <v>83</v>
      </c>
      <c r="H550">
        <v>84</v>
      </c>
      <c r="K550">
        <v>108</v>
      </c>
      <c r="L550">
        <v>113</v>
      </c>
      <c r="M550">
        <v>56119369.369369365</v>
      </c>
      <c r="N550">
        <v>61281081.081081077</v>
      </c>
      <c r="O550">
        <v>92498322.522522524</v>
      </c>
      <c r="P550">
        <v>95693504.504504517</v>
      </c>
      <c r="Q550">
        <v>42193333.333333336</v>
      </c>
      <c r="R550">
        <v>50335765.765765771</v>
      </c>
      <c r="S550">
        <v>22079</v>
      </c>
      <c r="T550">
        <v>22638</v>
      </c>
    </row>
    <row r="551" spans="1:20" x14ac:dyDescent="0.35">
      <c r="A551" s="7" t="s">
        <v>645</v>
      </c>
      <c r="B551" s="12" t="s">
        <v>307</v>
      </c>
      <c r="C551">
        <v>109733581.59318553</v>
      </c>
      <c r="D551">
        <v>108893636.89029618</v>
      </c>
      <c r="E551">
        <v>460360.36036036001</v>
      </c>
      <c r="F551">
        <v>946846.84684684698</v>
      </c>
      <c r="G551">
        <v>13</v>
      </c>
      <c r="H551">
        <v>6</v>
      </c>
      <c r="K551">
        <v>14</v>
      </c>
      <c r="L551">
        <v>7</v>
      </c>
      <c r="M551">
        <v>2051801.8018018031</v>
      </c>
      <c r="N551">
        <v>2108108.1081081079</v>
      </c>
      <c r="O551">
        <v>18229324.324324325</v>
      </c>
      <c r="P551">
        <v>18391002.252252251</v>
      </c>
      <c r="Q551">
        <v>2063063.0630630639</v>
      </c>
      <c r="R551">
        <v>2109369.3693693681</v>
      </c>
      <c r="S551">
        <v>5321</v>
      </c>
      <c r="T551">
        <v>5132</v>
      </c>
    </row>
    <row r="552" spans="1:20" x14ac:dyDescent="0.35">
      <c r="A552" s="7" t="s">
        <v>13</v>
      </c>
      <c r="B552" s="12" t="s">
        <v>158</v>
      </c>
      <c r="C552">
        <v>133444159.42732784</v>
      </c>
      <c r="D552">
        <v>120141754.29012379</v>
      </c>
      <c r="E552">
        <v>386036.03603603999</v>
      </c>
      <c r="F552">
        <v>725225.22522522497</v>
      </c>
      <c r="G552">
        <v>13</v>
      </c>
      <c r="H552">
        <v>9</v>
      </c>
      <c r="I552">
        <v>1</v>
      </c>
      <c r="K552">
        <v>90</v>
      </c>
      <c r="L552">
        <v>94</v>
      </c>
      <c r="M552">
        <v>21154234.234234232</v>
      </c>
      <c r="N552">
        <v>26844054.054054055</v>
      </c>
      <c r="O552">
        <v>74044103.603603601</v>
      </c>
      <c r="P552">
        <v>67838684.684684694</v>
      </c>
      <c r="Q552">
        <v>23754234.234234236</v>
      </c>
      <c r="R552">
        <v>29070360.360360362</v>
      </c>
      <c r="S552">
        <v>7443</v>
      </c>
      <c r="T552">
        <v>7006</v>
      </c>
    </row>
    <row r="553" spans="1:20" x14ac:dyDescent="0.35">
      <c r="A553" s="7" t="s">
        <v>646</v>
      </c>
      <c r="B553" s="12" t="s">
        <v>121</v>
      </c>
      <c r="C553">
        <v>86636263.421480596</v>
      </c>
      <c r="D553">
        <v>92161699.603958979</v>
      </c>
      <c r="E553">
        <v>900.900900901</v>
      </c>
      <c r="F553">
        <v>68468.468468467996</v>
      </c>
      <c r="G553">
        <v>20</v>
      </c>
      <c r="H553">
        <v>17</v>
      </c>
      <c r="K553">
        <v>20</v>
      </c>
      <c r="L553">
        <v>20</v>
      </c>
      <c r="M553">
        <v>181081.08108108101</v>
      </c>
      <c r="N553">
        <v>252252.25225225199</v>
      </c>
      <c r="O553">
        <v>7417234.2342342343</v>
      </c>
      <c r="P553">
        <v>7599391.8918918911</v>
      </c>
      <c r="Q553">
        <v>107657.65765765699</v>
      </c>
      <c r="R553">
        <v>332882.88288288302</v>
      </c>
      <c r="S553">
        <v>3051</v>
      </c>
      <c r="T553">
        <v>3229</v>
      </c>
    </row>
    <row r="554" spans="1:20" x14ac:dyDescent="0.35">
      <c r="A554" s="7" t="s">
        <v>647</v>
      </c>
      <c r="B554" s="12" t="s">
        <v>315</v>
      </c>
      <c r="C554">
        <v>32820297.13666027</v>
      </c>
      <c r="D554">
        <v>28738307.987342022</v>
      </c>
      <c r="E554">
        <v>326126.12612612598</v>
      </c>
      <c r="F554">
        <v>288288.28828828799</v>
      </c>
      <c r="G554">
        <v>11</v>
      </c>
      <c r="H554">
        <v>2</v>
      </c>
      <c r="K554">
        <v>13</v>
      </c>
      <c r="L554">
        <v>4</v>
      </c>
      <c r="M554">
        <v>670720.72072072199</v>
      </c>
      <c r="N554">
        <v>4093693.6936936919</v>
      </c>
      <c r="O554">
        <v>7468175.6756756762</v>
      </c>
      <c r="P554">
        <v>7083126.1261261264</v>
      </c>
      <c r="Q554">
        <v>2512342.3423423432</v>
      </c>
      <c r="R554">
        <v>3917117.1171171172</v>
      </c>
      <c r="S554">
        <v>1401</v>
      </c>
      <c r="T554">
        <v>1223</v>
      </c>
    </row>
    <row r="555" spans="1:20" x14ac:dyDescent="0.35">
      <c r="A555" s="7" t="s">
        <v>648</v>
      </c>
      <c r="B555" s="12" t="s">
        <v>260</v>
      </c>
      <c r="C555">
        <v>81487011.159357622</v>
      </c>
      <c r="D555">
        <v>78480316.423133641</v>
      </c>
      <c r="E555">
        <v>147117.11711711701</v>
      </c>
      <c r="F555">
        <v>519144.14414414502</v>
      </c>
      <c r="G555">
        <v>19</v>
      </c>
      <c r="H555">
        <v>20</v>
      </c>
      <c r="K555">
        <v>20</v>
      </c>
      <c r="L555">
        <v>25</v>
      </c>
      <c r="M555">
        <v>12759729.729729729</v>
      </c>
      <c r="N555">
        <v>13645045.045045044</v>
      </c>
      <c r="O555">
        <v>25077927.927927926</v>
      </c>
      <c r="P555">
        <v>25010756.756756756</v>
      </c>
      <c r="Q555">
        <v>11023603.603603603</v>
      </c>
      <c r="R555">
        <v>11179909.90990991</v>
      </c>
      <c r="S555">
        <v>4433</v>
      </c>
      <c r="T555">
        <v>4245</v>
      </c>
    </row>
    <row r="556" spans="1:20" x14ac:dyDescent="0.35">
      <c r="A556" s="7" t="s">
        <v>649</v>
      </c>
      <c r="B556" s="12" t="s">
        <v>224</v>
      </c>
      <c r="C556">
        <v>84890701.482622251</v>
      </c>
      <c r="D556">
        <v>73678491.114929795</v>
      </c>
      <c r="E556">
        <v>26576.576576577001</v>
      </c>
      <c r="F556">
        <v>345720.72072072199</v>
      </c>
      <c r="G556">
        <v>14</v>
      </c>
      <c r="H556">
        <v>14</v>
      </c>
      <c r="K556">
        <v>18</v>
      </c>
      <c r="L556">
        <v>18</v>
      </c>
      <c r="M556">
        <v>4211981.9819819788</v>
      </c>
      <c r="N556">
        <v>6755855.8558558533</v>
      </c>
      <c r="O556">
        <v>17212162.162162162</v>
      </c>
      <c r="P556">
        <v>17675747.747747749</v>
      </c>
      <c r="Q556">
        <v>3567837.8378378358</v>
      </c>
      <c r="R556">
        <v>7382162.1621621586</v>
      </c>
      <c r="S556">
        <v>5593</v>
      </c>
      <c r="T556">
        <v>5859</v>
      </c>
    </row>
    <row r="557" spans="1:20" x14ac:dyDescent="0.35">
      <c r="A557" s="7" t="s">
        <v>650</v>
      </c>
      <c r="B557" s="12" t="s">
        <v>224</v>
      </c>
      <c r="C557">
        <v>71368239.555030763</v>
      </c>
      <c r="D557">
        <v>60155839.799432479</v>
      </c>
      <c r="E557">
        <v>17117.117117116999</v>
      </c>
      <c r="F557">
        <v>27027.027027028002</v>
      </c>
      <c r="G557">
        <v>6</v>
      </c>
      <c r="H557">
        <v>10</v>
      </c>
      <c r="K557">
        <v>7</v>
      </c>
      <c r="L557">
        <v>12</v>
      </c>
      <c r="M557">
        <v>2008108.108108107</v>
      </c>
      <c r="N557">
        <v>837837.83783783799</v>
      </c>
      <c r="O557">
        <v>8772927.927927928</v>
      </c>
      <c r="P557">
        <v>9510711.7117117122</v>
      </c>
      <c r="Q557">
        <v>1492252.252252253</v>
      </c>
      <c r="R557">
        <v>1444414.414414414</v>
      </c>
      <c r="S557">
        <v>3126</v>
      </c>
      <c r="T557">
        <v>6252</v>
      </c>
    </row>
    <row r="558" spans="1:20" x14ac:dyDescent="0.35">
      <c r="A558" s="7" t="s">
        <v>651</v>
      </c>
      <c r="B558" s="12" t="s">
        <v>224</v>
      </c>
      <c r="C558">
        <v>263263551.05497295</v>
      </c>
      <c r="D558">
        <v>229668844.99565861</v>
      </c>
      <c r="E558">
        <v>95101338.738738745</v>
      </c>
      <c r="F558">
        <v>67286634.234234244</v>
      </c>
      <c r="G558">
        <v>60</v>
      </c>
      <c r="H558">
        <v>60</v>
      </c>
      <c r="I558">
        <v>2</v>
      </c>
      <c r="K558">
        <v>90</v>
      </c>
      <c r="L558">
        <v>90</v>
      </c>
      <c r="M558">
        <v>39126216.216216214</v>
      </c>
      <c r="N558">
        <v>39997297.297297299</v>
      </c>
      <c r="O558">
        <v>58323036.036036029</v>
      </c>
      <c r="P558">
        <v>60808792.79279279</v>
      </c>
      <c r="Q558">
        <v>28563783.783783793</v>
      </c>
      <c r="R558">
        <v>31454864.86486486</v>
      </c>
      <c r="S558">
        <v>18223</v>
      </c>
      <c r="T558">
        <v>18690</v>
      </c>
    </row>
    <row r="559" spans="1:20" x14ac:dyDescent="0.35">
      <c r="A559" s="7" t="s">
        <v>652</v>
      </c>
      <c r="B559" s="12" t="s">
        <v>224</v>
      </c>
      <c r="C559">
        <v>30000121.186019424</v>
      </c>
      <c r="D559">
        <v>30748519.144916177</v>
      </c>
      <c r="F559">
        <v>193693.69369369399</v>
      </c>
      <c r="G559">
        <v>10</v>
      </c>
      <c r="H559">
        <v>7</v>
      </c>
      <c r="K559">
        <v>11</v>
      </c>
      <c r="L559">
        <v>8</v>
      </c>
      <c r="M559">
        <v>900900.90090090001</v>
      </c>
      <c r="N559">
        <v>193693.69369369399</v>
      </c>
      <c r="O559">
        <v>4777117.1171171172</v>
      </c>
      <c r="P559">
        <v>4888198.1981981983</v>
      </c>
      <c r="Q559">
        <v>454234.23423423403</v>
      </c>
      <c r="R559">
        <v>451171.171171172</v>
      </c>
      <c r="S559">
        <v>1776</v>
      </c>
      <c r="T559">
        <v>1735</v>
      </c>
    </row>
    <row r="560" spans="1:20" x14ac:dyDescent="0.35">
      <c r="A560" s="7" t="s">
        <v>653</v>
      </c>
      <c r="B560" s="12" t="s">
        <v>96</v>
      </c>
      <c r="C560">
        <v>157541036.82534063</v>
      </c>
      <c r="D560">
        <v>149698057.49190745</v>
      </c>
      <c r="E560">
        <v>36036.036036037003</v>
      </c>
      <c r="F560">
        <v>94594.594594594993</v>
      </c>
      <c r="G560">
        <v>26</v>
      </c>
      <c r="H560">
        <v>53</v>
      </c>
      <c r="K560">
        <v>31</v>
      </c>
      <c r="L560">
        <v>77</v>
      </c>
      <c r="M560">
        <v>6096396.3963963948</v>
      </c>
      <c r="N560">
        <v>11188513.513513517</v>
      </c>
      <c r="O560">
        <v>19523549.54954955</v>
      </c>
      <c r="P560">
        <v>20765135.135135137</v>
      </c>
      <c r="Q560">
        <v>5831351.3513513505</v>
      </c>
      <c r="R560">
        <v>2835045.0450450471</v>
      </c>
      <c r="S560">
        <v>8979</v>
      </c>
      <c r="T560">
        <v>8626</v>
      </c>
    </row>
    <row r="561" spans="1:20" x14ac:dyDescent="0.35">
      <c r="A561" s="7" t="s">
        <v>654</v>
      </c>
      <c r="B561" s="12" t="s">
        <v>66</v>
      </c>
      <c r="C561">
        <v>91258626.192134261</v>
      </c>
      <c r="D561">
        <v>95400250.3388751</v>
      </c>
      <c r="E561">
        <v>1648648.6486486481</v>
      </c>
      <c r="F561">
        <v>1417117.1171171169</v>
      </c>
      <c r="G561">
        <v>24</v>
      </c>
      <c r="H561">
        <v>34</v>
      </c>
      <c r="K561">
        <v>28</v>
      </c>
      <c r="L561">
        <v>64</v>
      </c>
      <c r="M561">
        <v>11459189.189189192</v>
      </c>
      <c r="N561">
        <v>20018018.018018018</v>
      </c>
      <c r="O561">
        <v>58328648.648648649</v>
      </c>
      <c r="P561">
        <v>60358000</v>
      </c>
      <c r="Q561">
        <v>9832072.0720720757</v>
      </c>
      <c r="R561">
        <v>21249369.369369373</v>
      </c>
      <c r="S561">
        <v>5531</v>
      </c>
      <c r="T561">
        <v>5378</v>
      </c>
    </row>
    <row r="562" spans="1:20" x14ac:dyDescent="0.35">
      <c r="A562" s="7" t="s">
        <v>655</v>
      </c>
      <c r="B562" s="12" t="s">
        <v>68</v>
      </c>
      <c r="C562">
        <v>158791588.64510849</v>
      </c>
      <c r="D562">
        <v>136931628.09709769</v>
      </c>
      <c r="E562">
        <v>370990.99099099101</v>
      </c>
      <c r="F562">
        <v>496396.39639639697</v>
      </c>
      <c r="G562">
        <v>34</v>
      </c>
      <c r="H562">
        <v>19</v>
      </c>
      <c r="K562">
        <v>38</v>
      </c>
      <c r="L562">
        <v>21</v>
      </c>
      <c r="M562">
        <v>10756396.396396397</v>
      </c>
      <c r="N562">
        <v>5427477.4774774769</v>
      </c>
      <c r="O562">
        <v>20950283.783783782</v>
      </c>
      <c r="P562">
        <v>19516747.747747749</v>
      </c>
      <c r="Q562">
        <v>7246756.7567567574</v>
      </c>
      <c r="R562">
        <v>4620360.3603603598</v>
      </c>
      <c r="S562">
        <v>7271</v>
      </c>
      <c r="T562">
        <v>6893</v>
      </c>
    </row>
    <row r="563" spans="1:20" x14ac:dyDescent="0.35">
      <c r="A563" s="7" t="s">
        <v>14</v>
      </c>
      <c r="B563" s="12" t="s">
        <v>158</v>
      </c>
      <c r="C563">
        <v>70380805.100896075</v>
      </c>
      <c r="D563">
        <v>62340660.837393396</v>
      </c>
      <c r="E563">
        <v>62162.162162166002</v>
      </c>
      <c r="F563">
        <v>669369.36936937098</v>
      </c>
      <c r="G563">
        <v>9</v>
      </c>
      <c r="H563">
        <v>7</v>
      </c>
      <c r="K563">
        <v>9</v>
      </c>
      <c r="L563">
        <v>9</v>
      </c>
      <c r="M563">
        <v>5557657.6576576596</v>
      </c>
      <c r="N563">
        <v>22243243.243243244</v>
      </c>
      <c r="O563">
        <v>22712243.243243244</v>
      </c>
      <c r="P563">
        <v>21759126.126126129</v>
      </c>
      <c r="Q563">
        <v>4300630.630630631</v>
      </c>
      <c r="R563">
        <v>25825225.225225225</v>
      </c>
      <c r="S563">
        <v>4052</v>
      </c>
      <c r="T563">
        <v>3985</v>
      </c>
    </row>
    <row r="564" spans="1:20" x14ac:dyDescent="0.35">
      <c r="A564" s="7" t="s">
        <v>656</v>
      </c>
      <c r="B564" s="12" t="s">
        <v>304</v>
      </c>
      <c r="C564">
        <v>55716725.217373379</v>
      </c>
      <c r="D564">
        <v>71163705.864901349</v>
      </c>
      <c r="E564">
        <v>11711.711711712</v>
      </c>
      <c r="F564">
        <v>473873.87387387297</v>
      </c>
      <c r="G564">
        <v>25</v>
      </c>
      <c r="H564">
        <v>12</v>
      </c>
      <c r="K564">
        <v>27</v>
      </c>
      <c r="L564">
        <v>14</v>
      </c>
      <c r="M564">
        <v>12804504.504504504</v>
      </c>
      <c r="N564">
        <v>12130630.630630629</v>
      </c>
      <c r="O564">
        <v>18410441.441441439</v>
      </c>
      <c r="P564">
        <v>17307405.405405406</v>
      </c>
      <c r="Q564">
        <v>11131081.081081085</v>
      </c>
      <c r="R564">
        <v>9736486.4864864871</v>
      </c>
      <c r="S564">
        <v>3327</v>
      </c>
      <c r="T564">
        <v>3104</v>
      </c>
    </row>
    <row r="565" spans="1:20" x14ac:dyDescent="0.35">
      <c r="A565" s="7" t="s">
        <v>657</v>
      </c>
      <c r="B565" s="12" t="s">
        <v>48</v>
      </c>
      <c r="C565">
        <v>99180590.816936627</v>
      </c>
      <c r="D565">
        <v>84576288.94429341</v>
      </c>
      <c r="E565">
        <v>283783.78378378402</v>
      </c>
      <c r="F565">
        <v>698198.19819819904</v>
      </c>
      <c r="G565">
        <v>2</v>
      </c>
      <c r="H565">
        <v>8</v>
      </c>
      <c r="K565">
        <v>3</v>
      </c>
      <c r="L565">
        <v>19</v>
      </c>
      <c r="M565">
        <v>6504324.3243243257</v>
      </c>
      <c r="N565">
        <v>17063603.603603601</v>
      </c>
      <c r="O565">
        <v>29128279.27927928</v>
      </c>
      <c r="P565">
        <v>24879486.486486487</v>
      </c>
      <c r="Q565">
        <v>6988018.0180180203</v>
      </c>
      <c r="R565">
        <v>12060720.720720716</v>
      </c>
      <c r="S565">
        <v>3336</v>
      </c>
      <c r="T565">
        <v>3120</v>
      </c>
    </row>
    <row r="566" spans="1:20" x14ac:dyDescent="0.35">
      <c r="A566" s="7" t="s">
        <v>658</v>
      </c>
      <c r="B566" s="12" t="s">
        <v>54</v>
      </c>
      <c r="C566">
        <v>29046519.607674699</v>
      </c>
      <c r="D566">
        <v>28694242.52228912</v>
      </c>
      <c r="E566">
        <v>194594.59459459499</v>
      </c>
      <c r="F566">
        <v>52252.252252252001</v>
      </c>
      <c r="G566">
        <v>4</v>
      </c>
      <c r="K566">
        <v>5</v>
      </c>
      <c r="M566">
        <v>3890090.090090089</v>
      </c>
      <c r="N566">
        <v>2687387.387387387</v>
      </c>
      <c r="O566">
        <v>5918558.5585585581</v>
      </c>
      <c r="P566">
        <v>6715279.2792792786</v>
      </c>
      <c r="Q566">
        <v>3021891.8918918921</v>
      </c>
      <c r="R566">
        <v>2355045.0450450452</v>
      </c>
      <c r="S566">
        <v>1557</v>
      </c>
      <c r="T566">
        <v>1564</v>
      </c>
    </row>
    <row r="567" spans="1:20" x14ac:dyDescent="0.35">
      <c r="A567" s="7" t="s">
        <v>659</v>
      </c>
      <c r="B567" s="12" t="s">
        <v>50</v>
      </c>
      <c r="C567">
        <v>128009983.68607759</v>
      </c>
      <c r="D567">
        <v>126058158.559322</v>
      </c>
      <c r="E567">
        <v>247477.47747747801</v>
      </c>
      <c r="F567">
        <v>358558.55855855998</v>
      </c>
      <c r="G567">
        <v>11</v>
      </c>
      <c r="H567">
        <v>14</v>
      </c>
      <c r="K567">
        <v>13</v>
      </c>
      <c r="L567">
        <v>26</v>
      </c>
      <c r="M567">
        <v>31606846.846846849</v>
      </c>
      <c r="N567">
        <v>31607027.02702703</v>
      </c>
      <c r="O567">
        <v>59983180.180180177</v>
      </c>
      <c r="P567">
        <v>59061099.0990991</v>
      </c>
      <c r="Q567">
        <v>29700000</v>
      </c>
      <c r="R567">
        <v>28331621.621621624</v>
      </c>
      <c r="S567">
        <v>5876</v>
      </c>
      <c r="T567">
        <v>5768</v>
      </c>
    </row>
    <row r="568" spans="1:20" x14ac:dyDescent="0.35">
      <c r="A568" s="7" t="s">
        <v>660</v>
      </c>
      <c r="B568" s="12" t="s">
        <v>83</v>
      </c>
      <c r="C568">
        <v>146027847.47054058</v>
      </c>
      <c r="D568">
        <v>155153300.27018383</v>
      </c>
      <c r="E568">
        <v>9257747.7477477472</v>
      </c>
      <c r="F568">
        <v>1109009.0090090099</v>
      </c>
      <c r="G568">
        <v>35</v>
      </c>
      <c r="H568">
        <v>38</v>
      </c>
      <c r="I568">
        <v>2</v>
      </c>
      <c r="K568">
        <v>44</v>
      </c>
      <c r="L568">
        <v>50</v>
      </c>
      <c r="M568">
        <v>12855495.495495494</v>
      </c>
      <c r="N568">
        <v>39267567.567567565</v>
      </c>
      <c r="O568">
        <v>34218351.351351351</v>
      </c>
      <c r="P568">
        <v>39866072.072072074</v>
      </c>
      <c r="Q568">
        <v>11561171.171171172</v>
      </c>
      <c r="R568">
        <v>13655765.765765768</v>
      </c>
      <c r="S568">
        <v>8699</v>
      </c>
      <c r="T568">
        <v>8518</v>
      </c>
    </row>
    <row r="569" spans="1:20" x14ac:dyDescent="0.35">
      <c r="A569" s="14" t="s">
        <v>666</v>
      </c>
      <c r="B569" s="15"/>
      <c r="C569" s="16">
        <v>62871026147.513535</v>
      </c>
      <c r="D569" s="16">
        <v>61010880314.944786</v>
      </c>
      <c r="E569" s="16">
        <v>10773303306.306307</v>
      </c>
      <c r="F569" s="16">
        <v>12414488036.036053</v>
      </c>
      <c r="G569" s="16">
        <v>14918</v>
      </c>
      <c r="H569" s="16">
        <v>15635</v>
      </c>
      <c r="I569" s="16">
        <v>143</v>
      </c>
      <c r="J569" s="16"/>
      <c r="K569" s="16">
        <v>19919</v>
      </c>
      <c r="L569" s="16">
        <v>24492</v>
      </c>
      <c r="M569" s="16">
        <v>10269653662.162167</v>
      </c>
      <c r="N569" s="16">
        <v>10949456667.567566</v>
      </c>
      <c r="O569" s="16">
        <v>16414608072.072062</v>
      </c>
      <c r="P569" s="16">
        <v>17190503670.720711</v>
      </c>
      <c r="Q569" s="16">
        <v>8959678140.5405426</v>
      </c>
      <c r="R569" s="16">
        <v>9059857951.3513565</v>
      </c>
      <c r="S569" s="16">
        <v>3717117</v>
      </c>
      <c r="T569" s="16">
        <v>3721169</v>
      </c>
    </row>
    <row r="570" spans="1:20" x14ac:dyDescent="0.35">
      <c r="A570" s="7" t="s">
        <v>659</v>
      </c>
      <c r="B570" s="12" t="s">
        <v>50</v>
      </c>
      <c r="C570">
        <v>114045865.65448868</v>
      </c>
      <c r="D570">
        <v>109535305.16254662</v>
      </c>
      <c r="E570">
        <v>247477.47747747801</v>
      </c>
      <c r="F570">
        <v>188288.28828829099</v>
      </c>
      <c r="G570">
        <v>9</v>
      </c>
      <c r="H570">
        <v>12</v>
      </c>
      <c r="K570">
        <v>12</v>
      </c>
      <c r="L570">
        <v>25</v>
      </c>
      <c r="M570">
        <v>31606846.846846849</v>
      </c>
      <c r="N570">
        <v>28037297.297297295</v>
      </c>
      <c r="O570">
        <v>53046216.216216214</v>
      </c>
      <c r="P570">
        <v>50948144.144144148</v>
      </c>
      <c r="Q570">
        <v>28000900.900900904</v>
      </c>
      <c r="R570">
        <v>21749459.459459461</v>
      </c>
      <c r="S570">
        <v>5869</v>
      </c>
      <c r="T570">
        <v>5797</v>
      </c>
    </row>
    <row r="571" spans="1:20" x14ac:dyDescent="0.35">
      <c r="A571" s="7" t="s">
        <v>660</v>
      </c>
      <c r="B571" s="12" t="s">
        <v>83</v>
      </c>
      <c r="C571">
        <v>129423295.5094423</v>
      </c>
      <c r="D571">
        <v>137118044.1253657</v>
      </c>
      <c r="E571">
        <v>9119009.0090090074</v>
      </c>
      <c r="F571">
        <v>933333.33333333395</v>
      </c>
      <c r="G571">
        <v>32</v>
      </c>
      <c r="H571">
        <v>35</v>
      </c>
      <c r="I571">
        <v>2</v>
      </c>
      <c r="K571">
        <v>38</v>
      </c>
      <c r="L571">
        <v>44</v>
      </c>
      <c r="M571">
        <v>10952342.342342339</v>
      </c>
      <c r="N571">
        <v>38442792.79279279</v>
      </c>
      <c r="O571">
        <v>30253756.756756756</v>
      </c>
      <c r="P571">
        <v>35648090.090090089</v>
      </c>
      <c r="Q571">
        <v>9273873.8738738727</v>
      </c>
      <c r="R571">
        <v>12243153.153153157</v>
      </c>
      <c r="S571">
        <v>8593</v>
      </c>
      <c r="T571">
        <v>9482</v>
      </c>
    </row>
    <row r="572" spans="1:20" x14ac:dyDescent="0.35">
      <c r="A572" s="14" t="s">
        <v>666</v>
      </c>
      <c r="B572" s="15"/>
      <c r="C572" s="16">
        <v>55358547001.576622</v>
      </c>
      <c r="D572" s="16">
        <v>53437564264.043854</v>
      </c>
      <c r="E572" s="16">
        <v>8726350884.6846867</v>
      </c>
      <c r="F572" s="16">
        <v>11464027162.16217</v>
      </c>
      <c r="G572" s="16">
        <v>13062</v>
      </c>
      <c r="H572" s="16">
        <v>13456</v>
      </c>
      <c r="I572" s="16">
        <v>105</v>
      </c>
      <c r="J572" s="16"/>
      <c r="K572" s="16">
        <v>17425</v>
      </c>
      <c r="L572" s="16">
        <v>21377</v>
      </c>
      <c r="M572" s="16">
        <v>9406953593.6936951</v>
      </c>
      <c r="N572" s="16">
        <v>9090595687.387392</v>
      </c>
      <c r="O572" s="16">
        <v>14465865920.720705</v>
      </c>
      <c r="P572" s="16">
        <v>14948300250.900902</v>
      </c>
      <c r="Q572" s="16">
        <v>8290068868.4684687</v>
      </c>
      <c r="R572" s="16">
        <v>7345024007.207201</v>
      </c>
      <c r="S572" s="16">
        <v>3711109</v>
      </c>
      <c r="T572" s="16">
        <v>3718301</v>
      </c>
    </row>
    <row r="573" spans="1:20" x14ac:dyDescent="0.35">
      <c r="A573" s="14" t="s">
        <v>666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666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2026-09-10T14:08:35Z</dcterms:modified>
</cp:coreProperties>
</file>